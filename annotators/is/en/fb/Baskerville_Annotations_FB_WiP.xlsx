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hk\Desktop\"/>
    </mc:Choice>
  </mc:AlternateContent>
  <xr:revisionPtr revIDLastSave="0" documentId="13_ncr:1_{053231AC-0B34-49E9-A973-B011D9813606}" xr6:coauthVersionLast="47" xr6:coauthVersionMax="47" xr10:uidLastSave="{00000000-0000-0000-0000-000000000000}"/>
  <bookViews>
    <workbookView xWindow="-98" yWindow="-98" windowWidth="20715" windowHeight="13155" tabRatio="500" xr2:uid="{00000000-000D-0000-FFFF-FFFF00000000}"/>
  </bookViews>
  <sheets>
    <sheet name="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J612" i="1" l="1"/>
  <c r="H612" i="1" s="1"/>
  <c r="I612" i="1"/>
  <c r="J609" i="1"/>
  <c r="K612" i="1" s="1"/>
  <c r="I609" i="1"/>
  <c r="J596" i="1"/>
  <c r="K609" i="1" s="1"/>
  <c r="I596" i="1"/>
  <c r="J568" i="1"/>
  <c r="K596" i="1" s="1"/>
  <c r="I568" i="1"/>
  <c r="J539" i="1"/>
  <c r="K568" i="1" s="1"/>
  <c r="I539" i="1"/>
  <c r="J536" i="1"/>
  <c r="K539" i="1" s="1"/>
  <c r="I536" i="1"/>
  <c r="J517" i="1"/>
  <c r="K536" i="1" s="1"/>
  <c r="I517" i="1"/>
  <c r="J467" i="1"/>
  <c r="H467" i="1" s="1"/>
  <c r="I467" i="1"/>
  <c r="J466" i="1"/>
  <c r="K467" i="1" s="1"/>
  <c r="I466" i="1"/>
  <c r="J449" i="1"/>
  <c r="I449" i="1"/>
  <c r="J438" i="1"/>
  <c r="K449" i="1" s="1"/>
  <c r="I438" i="1"/>
  <c r="J403" i="1"/>
  <c r="K438" i="1" s="1"/>
  <c r="I403" i="1"/>
  <c r="J383" i="1"/>
  <c r="I383" i="1"/>
  <c r="J361" i="1"/>
  <c r="H361" i="1" s="1"/>
  <c r="J353" i="1"/>
  <c r="K383" i="1" s="1"/>
  <c r="I353" i="1"/>
  <c r="J342" i="1"/>
  <c r="K353" i="1" s="1"/>
  <c r="I342" i="1"/>
  <c r="J333" i="1"/>
  <c r="K342" i="1" s="1"/>
  <c r="I333" i="1"/>
  <c r="J328" i="1"/>
  <c r="K333" i="1" s="1"/>
  <c r="I328" i="1"/>
  <c r="J325" i="1"/>
  <c r="K328" i="1" s="1"/>
  <c r="I325" i="1"/>
  <c r="J319" i="1"/>
  <c r="K325" i="1" s="1"/>
  <c r="I319" i="1"/>
  <c r="J306" i="1"/>
  <c r="H306" i="1" s="1"/>
  <c r="I306" i="1"/>
  <c r="J302" i="1"/>
  <c r="H302" i="1" s="1"/>
  <c r="I302" i="1"/>
  <c r="J292" i="1"/>
  <c r="K302" i="1" s="1"/>
  <c r="I292" i="1"/>
  <c r="J290" i="1"/>
  <c r="K292" i="1" s="1"/>
  <c r="I290" i="1"/>
  <c r="J283" i="1"/>
  <c r="K290" i="1" s="1"/>
  <c r="I283" i="1"/>
  <c r="J273" i="1"/>
  <c r="I273" i="1"/>
  <c r="J263" i="1"/>
  <c r="K273" i="1" s="1"/>
  <c r="I263" i="1"/>
  <c r="J249" i="1"/>
  <c r="K263" i="1" s="1"/>
  <c r="I249" i="1"/>
  <c r="J245" i="1"/>
  <c r="K249" i="1" s="1"/>
  <c r="I245" i="1"/>
  <c r="J242" i="1"/>
  <c r="K245" i="1" s="1"/>
  <c r="I242" i="1"/>
  <c r="J237" i="1"/>
  <c r="K242" i="1" s="1"/>
  <c r="I237" i="1"/>
  <c r="J232" i="1"/>
  <c r="K237" i="1" s="1"/>
  <c r="I232" i="1"/>
  <c r="J224" i="1"/>
  <c r="K232" i="1" s="1"/>
  <c r="I224" i="1"/>
  <c r="J218" i="1"/>
  <c r="K224" i="1" s="1"/>
  <c r="I218" i="1"/>
  <c r="K208" i="1"/>
  <c r="J208" i="1"/>
  <c r="K218" i="1" s="1"/>
  <c r="I208" i="1"/>
  <c r="J199" i="1"/>
  <c r="H199" i="1" s="1"/>
  <c r="I199" i="1"/>
  <c r="J192" i="1"/>
  <c r="K199" i="1" s="1"/>
  <c r="I192" i="1"/>
  <c r="J186" i="1"/>
  <c r="K192" i="1" s="1"/>
  <c r="I186" i="1"/>
  <c r="J183" i="1"/>
  <c r="H183" i="1" s="1"/>
  <c r="I183" i="1"/>
  <c r="J174" i="1"/>
  <c r="K183" i="1" s="1"/>
  <c r="I174" i="1"/>
  <c r="J165" i="1"/>
  <c r="K174" i="1" s="1"/>
  <c r="I165" i="1"/>
  <c r="J156" i="1"/>
  <c r="K165" i="1" s="1"/>
  <c r="I156" i="1"/>
  <c r="J149" i="1"/>
  <c r="K156" i="1" s="1"/>
  <c r="I149" i="1"/>
  <c r="J136" i="1"/>
  <c r="K149" i="1" s="1"/>
  <c r="I136" i="1"/>
  <c r="K133" i="1"/>
  <c r="J133" i="1"/>
  <c r="K136" i="1" s="1"/>
  <c r="I133" i="1"/>
  <c r="J127" i="1"/>
  <c r="H127" i="1" s="1"/>
  <c r="I127" i="1"/>
  <c r="J124" i="1"/>
  <c r="K127" i="1" s="1"/>
  <c r="I124" i="1"/>
  <c r="J103" i="1"/>
  <c r="K124" i="1" s="1"/>
  <c r="I103" i="1"/>
  <c r="J97" i="1"/>
  <c r="K103" i="1" s="1"/>
  <c r="I97" i="1"/>
  <c r="K74" i="1"/>
  <c r="J74" i="1"/>
  <c r="H74" i="1" s="1"/>
  <c r="I74" i="1"/>
  <c r="J73" i="1"/>
  <c r="I73" i="1"/>
  <c r="K72" i="1"/>
  <c r="J72" i="1"/>
  <c r="H72" i="1" s="1"/>
  <c r="I72" i="1"/>
  <c r="K71" i="1"/>
  <c r="J71" i="1"/>
  <c r="H71" i="1" s="1"/>
  <c r="I71" i="1"/>
  <c r="K70" i="1"/>
  <c r="J70" i="1"/>
  <c r="H70" i="1" s="1"/>
  <c r="I70" i="1"/>
  <c r="K69" i="1"/>
  <c r="J69" i="1"/>
  <c r="H69" i="1" s="1"/>
  <c r="I69" i="1"/>
  <c r="K68" i="1"/>
  <c r="J68" i="1"/>
  <c r="H68" i="1" s="1"/>
  <c r="I68" i="1"/>
  <c r="K67" i="1"/>
  <c r="J67" i="1"/>
  <c r="H67" i="1" s="1"/>
  <c r="I67" i="1"/>
  <c r="J66" i="1"/>
  <c r="H66" i="1" s="1"/>
  <c r="I66" i="1"/>
  <c r="K65" i="1"/>
  <c r="J65" i="1"/>
  <c r="H65" i="1" s="1"/>
  <c r="I65" i="1"/>
  <c r="K64" i="1"/>
  <c r="J64" i="1"/>
  <c r="H64" i="1" s="1"/>
  <c r="I64" i="1"/>
  <c r="K63" i="1"/>
  <c r="J63" i="1"/>
  <c r="H63" i="1" s="1"/>
  <c r="I63" i="1"/>
  <c r="J62" i="1"/>
  <c r="I62" i="1"/>
  <c r="K61" i="1"/>
  <c r="J61" i="1"/>
  <c r="H61" i="1" s="1"/>
  <c r="I61" i="1"/>
  <c r="K60" i="1"/>
  <c r="J60" i="1"/>
  <c r="H60" i="1" s="1"/>
  <c r="I60" i="1"/>
  <c r="K59" i="1"/>
  <c r="J59" i="1"/>
  <c r="H59" i="1" s="1"/>
  <c r="I59" i="1"/>
  <c r="K58" i="1"/>
  <c r="J58" i="1"/>
  <c r="H58" i="1" s="1"/>
  <c r="I58" i="1"/>
  <c r="K57" i="1"/>
  <c r="J57" i="1"/>
  <c r="H57" i="1" s="1"/>
  <c r="I57" i="1"/>
  <c r="K56" i="1"/>
  <c r="J56" i="1"/>
  <c r="H56" i="1" s="1"/>
  <c r="I56" i="1"/>
  <c r="K55" i="1"/>
  <c r="J55" i="1"/>
  <c r="H55" i="1" s="1"/>
  <c r="I55" i="1"/>
  <c r="J54" i="1"/>
  <c r="I54" i="1"/>
  <c r="K53" i="1"/>
  <c r="J53" i="1"/>
  <c r="H53" i="1" s="1"/>
  <c r="I53" i="1"/>
  <c r="K52" i="1"/>
  <c r="J52" i="1"/>
  <c r="H52" i="1" s="1"/>
  <c r="I52" i="1"/>
  <c r="J51" i="1"/>
  <c r="I51" i="1"/>
  <c r="K50" i="1"/>
  <c r="J50" i="1"/>
  <c r="H50" i="1" s="1"/>
  <c r="I50" i="1"/>
  <c r="K49" i="1"/>
  <c r="J49" i="1"/>
  <c r="H49" i="1" s="1"/>
  <c r="I49" i="1"/>
  <c r="K48" i="1"/>
  <c r="J48" i="1"/>
  <c r="H48" i="1" s="1"/>
  <c r="I48" i="1"/>
  <c r="K47" i="1"/>
  <c r="J47" i="1"/>
  <c r="H47" i="1" s="1"/>
  <c r="I47" i="1"/>
  <c r="J46" i="1"/>
  <c r="I46" i="1"/>
  <c r="K45" i="1"/>
  <c r="J45" i="1"/>
  <c r="H45" i="1" s="1"/>
  <c r="I45" i="1"/>
  <c r="K44" i="1"/>
  <c r="J44" i="1"/>
  <c r="H44" i="1" s="1"/>
  <c r="I44" i="1"/>
  <c r="K43" i="1"/>
  <c r="J43" i="1"/>
  <c r="H43" i="1" s="1"/>
  <c r="I43" i="1"/>
  <c r="K42" i="1"/>
  <c r="J42" i="1"/>
  <c r="H42" i="1" s="1"/>
  <c r="I42" i="1"/>
  <c r="J41" i="1"/>
  <c r="H41" i="1" s="1"/>
  <c r="I41" i="1"/>
  <c r="J40" i="1"/>
  <c r="H40" i="1" s="1"/>
  <c r="I40" i="1"/>
  <c r="K39" i="1"/>
  <c r="J39" i="1"/>
  <c r="H39" i="1" s="1"/>
  <c r="I39" i="1"/>
  <c r="K38" i="1"/>
  <c r="J38" i="1"/>
  <c r="K41" i="1" s="1"/>
  <c r="I38" i="1"/>
  <c r="K37" i="1"/>
  <c r="J37" i="1"/>
  <c r="H37" i="1" s="1"/>
  <c r="I37" i="1"/>
  <c r="K36" i="1"/>
  <c r="J36" i="1"/>
  <c r="H36" i="1" s="1"/>
  <c r="I36" i="1"/>
  <c r="K35" i="1"/>
  <c r="J35" i="1"/>
  <c r="H35" i="1" s="1"/>
  <c r="I35" i="1"/>
  <c r="K34" i="1"/>
  <c r="J34" i="1"/>
  <c r="H34" i="1" s="1"/>
  <c r="I34" i="1"/>
  <c r="K33" i="1"/>
  <c r="J33" i="1"/>
  <c r="H33" i="1" s="1"/>
  <c r="I33" i="1"/>
  <c r="K32" i="1"/>
  <c r="J32" i="1"/>
  <c r="H32" i="1" s="1"/>
  <c r="I32" i="1"/>
  <c r="K31" i="1"/>
  <c r="J31" i="1"/>
  <c r="K40" i="1" s="1"/>
  <c r="I31" i="1"/>
  <c r="K30" i="1"/>
  <c r="J30" i="1"/>
  <c r="H30" i="1" s="1"/>
  <c r="I30" i="1"/>
  <c r="J29" i="1"/>
  <c r="I29" i="1"/>
  <c r="K28" i="1"/>
  <c r="J28" i="1"/>
  <c r="H28" i="1" s="1"/>
  <c r="I28" i="1"/>
  <c r="K27" i="1"/>
  <c r="J27" i="1"/>
  <c r="H27" i="1" s="1"/>
  <c r="I27" i="1"/>
  <c r="K26" i="1"/>
  <c r="J26" i="1"/>
  <c r="H26" i="1" s="1"/>
  <c r="I26" i="1"/>
  <c r="K25" i="1"/>
  <c r="J25" i="1"/>
  <c r="H25" i="1" s="1"/>
  <c r="I25" i="1"/>
  <c r="K24" i="1"/>
  <c r="J24" i="1"/>
  <c r="H24" i="1" s="1"/>
  <c r="I24" i="1"/>
  <c r="J23" i="1"/>
  <c r="K29" i="1" s="1"/>
  <c r="I23" i="1"/>
  <c r="K22" i="1"/>
  <c r="J22" i="1"/>
  <c r="H22" i="1" s="1"/>
  <c r="I22" i="1"/>
  <c r="K21" i="1"/>
  <c r="J21" i="1"/>
  <c r="H21" i="1" s="1"/>
  <c r="I21" i="1"/>
  <c r="K20" i="1"/>
  <c r="J20" i="1"/>
  <c r="H20" i="1" s="1"/>
  <c r="I20" i="1"/>
  <c r="K19" i="1"/>
  <c r="J19" i="1"/>
  <c r="H19" i="1" s="1"/>
  <c r="I19" i="1"/>
  <c r="J18" i="1"/>
  <c r="H18" i="1" s="1"/>
  <c r="I18" i="1"/>
  <c r="K17" i="1"/>
  <c r="J17" i="1"/>
  <c r="H17" i="1" s="1"/>
  <c r="I17" i="1"/>
  <c r="K16" i="1"/>
  <c r="J16" i="1"/>
  <c r="H16" i="1" s="1"/>
  <c r="I16" i="1"/>
  <c r="K15" i="1"/>
  <c r="J15" i="1"/>
  <c r="H15" i="1" s="1"/>
  <c r="I15" i="1"/>
  <c r="K14" i="1"/>
  <c r="J14" i="1"/>
  <c r="H14" i="1" s="1"/>
  <c r="I14" i="1"/>
  <c r="K13" i="1"/>
  <c r="J13" i="1"/>
  <c r="H13" i="1" s="1"/>
  <c r="I13" i="1"/>
  <c r="K12" i="1"/>
  <c r="J12" i="1"/>
  <c r="H12" i="1" s="1"/>
  <c r="I12" i="1"/>
  <c r="K11" i="1"/>
  <c r="J11" i="1"/>
  <c r="H11" i="1" s="1"/>
  <c r="I11" i="1"/>
  <c r="K10" i="1"/>
  <c r="J10" i="1"/>
  <c r="H10" i="1" s="1"/>
  <c r="I10" i="1"/>
  <c r="K9" i="1"/>
  <c r="J9" i="1"/>
  <c r="H9" i="1" s="1"/>
  <c r="I9" i="1"/>
  <c r="K8" i="1"/>
  <c r="J8" i="1"/>
  <c r="K23" i="1" s="1"/>
  <c r="I8" i="1"/>
  <c r="K7" i="1"/>
  <c r="J7" i="1"/>
  <c r="H7" i="1" s="1"/>
  <c r="I7" i="1"/>
  <c r="K6" i="1"/>
  <c r="J6" i="1"/>
  <c r="H6" i="1" s="1"/>
  <c r="I6" i="1"/>
  <c r="K5" i="1"/>
  <c r="J5" i="1"/>
  <c r="I5" i="1"/>
  <c r="K4" i="1"/>
  <c r="J4" i="1"/>
  <c r="H4" i="1" s="1"/>
  <c r="I4" i="1"/>
  <c r="E1005" i="1"/>
  <c r="G1005" i="1" s="1"/>
  <c r="E1004" i="1"/>
  <c r="G1004" i="1" s="1"/>
  <c r="F1003" i="1"/>
  <c r="E1003" i="1"/>
  <c r="G1003" i="1" s="1"/>
  <c r="E1002" i="1"/>
  <c r="E1001" i="1"/>
  <c r="G1001" i="1" s="1"/>
  <c r="E1000" i="1"/>
  <c r="G1000" i="1" s="1"/>
  <c r="F999" i="1"/>
  <c r="E999" i="1"/>
  <c r="G999" i="1" s="1"/>
  <c r="E998" i="1"/>
  <c r="E997" i="1"/>
  <c r="G997" i="1" s="1"/>
  <c r="E996" i="1"/>
  <c r="G996" i="1" s="1"/>
  <c r="F995" i="1"/>
  <c r="E995" i="1"/>
  <c r="G995" i="1" s="1"/>
  <c r="E994" i="1"/>
  <c r="E993" i="1"/>
  <c r="E992" i="1"/>
  <c r="G992" i="1" s="1"/>
  <c r="F991" i="1"/>
  <c r="E991" i="1"/>
  <c r="G991" i="1" s="1"/>
  <c r="F990" i="1"/>
  <c r="E990" i="1"/>
  <c r="G990" i="1" s="1"/>
  <c r="E989" i="1"/>
  <c r="E988" i="1"/>
  <c r="G988" i="1" s="1"/>
  <c r="F987" i="1"/>
  <c r="E987" i="1"/>
  <c r="G987" i="1" s="1"/>
  <c r="E986" i="1"/>
  <c r="G986" i="1" s="1"/>
  <c r="E985" i="1"/>
  <c r="E984" i="1"/>
  <c r="G984" i="1" s="1"/>
  <c r="F983" i="1"/>
  <c r="E983" i="1"/>
  <c r="G983" i="1" s="1"/>
  <c r="F982" i="1"/>
  <c r="E982" i="1"/>
  <c r="G982" i="1" s="1"/>
  <c r="E981" i="1"/>
  <c r="E980" i="1"/>
  <c r="G980" i="1" s="1"/>
  <c r="F979" i="1"/>
  <c r="E979" i="1"/>
  <c r="G979" i="1" s="1"/>
  <c r="E978" i="1"/>
  <c r="G978" i="1" s="1"/>
  <c r="E977" i="1"/>
  <c r="E976" i="1"/>
  <c r="G976" i="1" s="1"/>
  <c r="F975" i="1"/>
  <c r="E975" i="1"/>
  <c r="G975" i="1" s="1"/>
  <c r="F974" i="1"/>
  <c r="E974" i="1"/>
  <c r="G974" i="1" s="1"/>
  <c r="E973" i="1"/>
  <c r="E972" i="1"/>
  <c r="G972" i="1" s="1"/>
  <c r="F971" i="1"/>
  <c r="E971" i="1"/>
  <c r="G971" i="1" s="1"/>
  <c r="E970" i="1"/>
  <c r="G970" i="1" s="1"/>
  <c r="E969" i="1"/>
  <c r="E968" i="1"/>
  <c r="G968" i="1" s="1"/>
  <c r="F967" i="1"/>
  <c r="E967" i="1"/>
  <c r="G967" i="1" s="1"/>
  <c r="F966" i="1"/>
  <c r="E966" i="1"/>
  <c r="G966" i="1" s="1"/>
  <c r="E965" i="1"/>
  <c r="E964" i="1"/>
  <c r="G964" i="1" s="1"/>
  <c r="F963" i="1"/>
  <c r="E963" i="1"/>
  <c r="G963" i="1" s="1"/>
  <c r="E962" i="1"/>
  <c r="G962" i="1" s="1"/>
  <c r="E961" i="1"/>
  <c r="E960" i="1"/>
  <c r="G960" i="1" s="1"/>
  <c r="F959" i="1"/>
  <c r="E959" i="1"/>
  <c r="G959" i="1" s="1"/>
  <c r="F958" i="1"/>
  <c r="E958" i="1"/>
  <c r="G958" i="1" s="1"/>
  <c r="E957" i="1"/>
  <c r="E956" i="1"/>
  <c r="G956" i="1" s="1"/>
  <c r="F955" i="1"/>
  <c r="E955" i="1"/>
  <c r="G955" i="1" s="1"/>
  <c r="E954" i="1"/>
  <c r="G954" i="1" s="1"/>
  <c r="E953" i="1"/>
  <c r="E952" i="1"/>
  <c r="G952" i="1" s="1"/>
  <c r="F951" i="1"/>
  <c r="E951" i="1"/>
  <c r="G951" i="1" s="1"/>
  <c r="F950" i="1"/>
  <c r="E950" i="1"/>
  <c r="G950" i="1" s="1"/>
  <c r="E949" i="1"/>
  <c r="E948" i="1"/>
  <c r="G948" i="1" s="1"/>
  <c r="F947" i="1"/>
  <c r="E947" i="1"/>
  <c r="G947" i="1" s="1"/>
  <c r="E946" i="1"/>
  <c r="G946" i="1" s="1"/>
  <c r="E945" i="1"/>
  <c r="E944" i="1"/>
  <c r="G944" i="1" s="1"/>
  <c r="F943" i="1"/>
  <c r="E943" i="1"/>
  <c r="G943" i="1" s="1"/>
  <c r="F942" i="1"/>
  <c r="E942" i="1"/>
  <c r="G942" i="1" s="1"/>
  <c r="E941" i="1"/>
  <c r="E940" i="1"/>
  <c r="G940" i="1" s="1"/>
  <c r="F939" i="1"/>
  <c r="E939" i="1"/>
  <c r="G939" i="1" s="1"/>
  <c r="E938" i="1"/>
  <c r="G938" i="1" s="1"/>
  <c r="E937" i="1"/>
  <c r="E936" i="1"/>
  <c r="G936" i="1" s="1"/>
  <c r="F935" i="1"/>
  <c r="E935" i="1"/>
  <c r="G935" i="1" s="1"/>
  <c r="F934" i="1"/>
  <c r="E934" i="1"/>
  <c r="G934" i="1" s="1"/>
  <c r="E933" i="1"/>
  <c r="E932" i="1"/>
  <c r="G932" i="1" s="1"/>
  <c r="F931" i="1"/>
  <c r="E931" i="1"/>
  <c r="G931" i="1" s="1"/>
  <c r="E930" i="1"/>
  <c r="G930" i="1" s="1"/>
  <c r="E929" i="1"/>
  <c r="E928" i="1"/>
  <c r="G928" i="1" s="1"/>
  <c r="F927" i="1"/>
  <c r="E927" i="1"/>
  <c r="G927" i="1" s="1"/>
  <c r="F926" i="1"/>
  <c r="E926" i="1"/>
  <c r="G926" i="1" s="1"/>
  <c r="E925" i="1"/>
  <c r="E924" i="1"/>
  <c r="G924" i="1" s="1"/>
  <c r="F923" i="1"/>
  <c r="E923" i="1"/>
  <c r="G923" i="1" s="1"/>
  <c r="E922" i="1"/>
  <c r="G922" i="1" s="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G858" i="1" s="1"/>
  <c r="E857" i="1"/>
  <c r="G857" i="1" s="1"/>
  <c r="F856" i="1"/>
  <c r="E856" i="1"/>
  <c r="G856" i="1" s="1"/>
  <c r="E855" i="1"/>
  <c r="G855" i="1" s="1"/>
  <c r="E854" i="1"/>
  <c r="G854" i="1" s="1"/>
  <c r="F853" i="1"/>
  <c r="E853" i="1"/>
  <c r="G853" i="1" s="1"/>
  <c r="F852" i="1"/>
  <c r="E852" i="1"/>
  <c r="G852" i="1" s="1"/>
  <c r="E851" i="1"/>
  <c r="G851" i="1" s="1"/>
  <c r="E850" i="1"/>
  <c r="G850" i="1" s="1"/>
  <c r="F849" i="1"/>
  <c r="E849" i="1"/>
  <c r="G849" i="1" s="1"/>
  <c r="F848" i="1"/>
  <c r="E848" i="1"/>
  <c r="G848" i="1" s="1"/>
  <c r="E847" i="1"/>
  <c r="G847" i="1" s="1"/>
  <c r="E846" i="1"/>
  <c r="G846" i="1" s="1"/>
  <c r="F845" i="1"/>
  <c r="E845" i="1"/>
  <c r="G845" i="1" s="1"/>
  <c r="F844" i="1"/>
  <c r="E844" i="1"/>
  <c r="G844" i="1" s="1"/>
  <c r="E843" i="1"/>
  <c r="G843" i="1" s="1"/>
  <c r="E842" i="1"/>
  <c r="G842" i="1" s="1"/>
  <c r="F841" i="1"/>
  <c r="E841" i="1"/>
  <c r="G841" i="1" s="1"/>
  <c r="F840" i="1"/>
  <c r="E840" i="1"/>
  <c r="G840" i="1" s="1"/>
  <c r="E839" i="1"/>
  <c r="G839" i="1" s="1"/>
  <c r="E838" i="1"/>
  <c r="G838" i="1" s="1"/>
  <c r="F837" i="1"/>
  <c r="E837" i="1"/>
  <c r="G837" i="1" s="1"/>
  <c r="F836" i="1"/>
  <c r="E836" i="1"/>
  <c r="G836" i="1" s="1"/>
  <c r="E835" i="1"/>
  <c r="G835" i="1" s="1"/>
  <c r="E834" i="1"/>
  <c r="G834" i="1" s="1"/>
  <c r="F833" i="1"/>
  <c r="E833" i="1"/>
  <c r="G833" i="1" s="1"/>
  <c r="F832" i="1"/>
  <c r="E832" i="1"/>
  <c r="G832" i="1" s="1"/>
  <c r="E831" i="1"/>
  <c r="G831" i="1" s="1"/>
  <c r="E830" i="1"/>
  <c r="G830" i="1" s="1"/>
  <c r="F829" i="1"/>
  <c r="E829" i="1"/>
  <c r="G829" i="1" s="1"/>
  <c r="F828" i="1"/>
  <c r="E828" i="1"/>
  <c r="G828" i="1" s="1"/>
  <c r="E827" i="1"/>
  <c r="G827" i="1" s="1"/>
  <c r="E826" i="1"/>
  <c r="G826" i="1" s="1"/>
  <c r="F825" i="1"/>
  <c r="E825" i="1"/>
  <c r="G825" i="1" s="1"/>
  <c r="F824" i="1"/>
  <c r="E824" i="1"/>
  <c r="G824" i="1" s="1"/>
  <c r="E823" i="1"/>
  <c r="G823" i="1" s="1"/>
  <c r="E822" i="1"/>
  <c r="G822" i="1" s="1"/>
  <c r="F821" i="1"/>
  <c r="E821" i="1"/>
  <c r="G821" i="1" s="1"/>
  <c r="F820" i="1"/>
  <c r="E820" i="1"/>
  <c r="G820" i="1" s="1"/>
  <c r="E819" i="1"/>
  <c r="G819" i="1" s="1"/>
  <c r="E818" i="1"/>
  <c r="G818" i="1" s="1"/>
  <c r="F817" i="1"/>
  <c r="E817" i="1"/>
  <c r="G817" i="1" s="1"/>
  <c r="F816" i="1"/>
  <c r="E816" i="1"/>
  <c r="G816" i="1" s="1"/>
  <c r="E815" i="1"/>
  <c r="G815" i="1" s="1"/>
  <c r="E814" i="1"/>
  <c r="G814" i="1" s="1"/>
  <c r="E813" i="1"/>
  <c r="G813" i="1" s="1"/>
  <c r="F812" i="1"/>
  <c r="E812" i="1"/>
  <c r="G812" i="1" s="1"/>
  <c r="E811" i="1"/>
  <c r="G811" i="1" s="1"/>
  <c r="E810" i="1"/>
  <c r="G810" i="1" s="1"/>
  <c r="E809" i="1"/>
  <c r="G809" i="1" s="1"/>
  <c r="F808" i="1"/>
  <c r="E808" i="1"/>
  <c r="G808" i="1" s="1"/>
  <c r="E807" i="1"/>
  <c r="G807" i="1" s="1"/>
  <c r="E806" i="1"/>
  <c r="G806" i="1" s="1"/>
  <c r="E805" i="1"/>
  <c r="G805" i="1" s="1"/>
  <c r="F804" i="1"/>
  <c r="E804" i="1"/>
  <c r="G804" i="1" s="1"/>
  <c r="E803" i="1"/>
  <c r="G803" i="1" s="1"/>
  <c r="E802" i="1"/>
  <c r="G802" i="1" s="1"/>
  <c r="E801" i="1"/>
  <c r="G801" i="1" s="1"/>
  <c r="F800" i="1"/>
  <c r="E800" i="1"/>
  <c r="G800" i="1" s="1"/>
  <c r="E799" i="1"/>
  <c r="G799" i="1" s="1"/>
  <c r="E798" i="1"/>
  <c r="G798" i="1" s="1"/>
  <c r="E797" i="1"/>
  <c r="G797" i="1" s="1"/>
  <c r="F796" i="1"/>
  <c r="E796" i="1"/>
  <c r="G796" i="1" s="1"/>
  <c r="E795" i="1"/>
  <c r="G795" i="1" s="1"/>
  <c r="E794" i="1"/>
  <c r="G794" i="1" s="1"/>
  <c r="E793" i="1"/>
  <c r="G793" i="1" s="1"/>
  <c r="F792" i="1"/>
  <c r="E792" i="1"/>
  <c r="G792" i="1" s="1"/>
  <c r="E791" i="1"/>
  <c r="G791" i="1" s="1"/>
  <c r="E790" i="1"/>
  <c r="G790" i="1" s="1"/>
  <c r="E789" i="1"/>
  <c r="G789" i="1" s="1"/>
  <c r="F788" i="1"/>
  <c r="E788" i="1"/>
  <c r="G788" i="1" s="1"/>
  <c r="E787" i="1"/>
  <c r="G787" i="1" s="1"/>
  <c r="E786" i="1"/>
  <c r="G786" i="1" s="1"/>
  <c r="E785" i="1"/>
  <c r="G785" i="1" s="1"/>
  <c r="F784" i="1"/>
  <c r="E784" i="1"/>
  <c r="G784" i="1" s="1"/>
  <c r="E783" i="1"/>
  <c r="G783" i="1" s="1"/>
  <c r="E782" i="1"/>
  <c r="G782" i="1" s="1"/>
  <c r="E781" i="1"/>
  <c r="G781" i="1" s="1"/>
  <c r="F780" i="1"/>
  <c r="E780" i="1"/>
  <c r="G780" i="1" s="1"/>
  <c r="E779" i="1"/>
  <c r="G779" i="1" s="1"/>
  <c r="E778" i="1"/>
  <c r="G778" i="1" s="1"/>
  <c r="E777" i="1"/>
  <c r="G777" i="1" s="1"/>
  <c r="F776" i="1"/>
  <c r="E776" i="1"/>
  <c r="G776" i="1" s="1"/>
  <c r="E775" i="1"/>
  <c r="G775" i="1" s="1"/>
  <c r="E774" i="1"/>
  <c r="G774" i="1" s="1"/>
  <c r="E773" i="1"/>
  <c r="G773" i="1" s="1"/>
  <c r="E772" i="1"/>
  <c r="G772" i="1" s="1"/>
  <c r="E771" i="1"/>
  <c r="G771" i="1" s="1"/>
  <c r="E770" i="1"/>
  <c r="G770" i="1" s="1"/>
  <c r="E769" i="1"/>
  <c r="G769" i="1" s="1"/>
  <c r="E768" i="1"/>
  <c r="G768" i="1" s="1"/>
  <c r="E767" i="1"/>
  <c r="G767" i="1" s="1"/>
  <c r="E766" i="1"/>
  <c r="G766" i="1" s="1"/>
  <c r="E765" i="1"/>
  <c r="G765" i="1" s="1"/>
  <c r="E764" i="1"/>
  <c r="G764" i="1" s="1"/>
  <c r="E763" i="1"/>
  <c r="G763" i="1" s="1"/>
  <c r="E762" i="1"/>
  <c r="G762" i="1" s="1"/>
  <c r="E761" i="1"/>
  <c r="G761" i="1" s="1"/>
  <c r="E760" i="1"/>
  <c r="G760" i="1" s="1"/>
  <c r="E759" i="1"/>
  <c r="G759" i="1" s="1"/>
  <c r="E758" i="1"/>
  <c r="G758" i="1" s="1"/>
  <c r="E757" i="1"/>
  <c r="G757" i="1" s="1"/>
  <c r="E756" i="1"/>
  <c r="G756" i="1" s="1"/>
  <c r="E755" i="1"/>
  <c r="G755" i="1" s="1"/>
  <c r="E754" i="1"/>
  <c r="G754" i="1" s="1"/>
  <c r="E753" i="1"/>
  <c r="G753" i="1" s="1"/>
  <c r="E752" i="1"/>
  <c r="G752" i="1" s="1"/>
  <c r="E751" i="1"/>
  <c r="G751" i="1" s="1"/>
  <c r="E750" i="1"/>
  <c r="G750" i="1" s="1"/>
  <c r="E749" i="1"/>
  <c r="G749" i="1" s="1"/>
  <c r="E748" i="1"/>
  <c r="G748" i="1" s="1"/>
  <c r="E747" i="1"/>
  <c r="G747" i="1" s="1"/>
  <c r="E746" i="1"/>
  <c r="G746" i="1" s="1"/>
  <c r="E745" i="1"/>
  <c r="G745" i="1" s="1"/>
  <c r="E744" i="1"/>
  <c r="G744" i="1" s="1"/>
  <c r="E743" i="1"/>
  <c r="G743" i="1" s="1"/>
  <c r="E742" i="1"/>
  <c r="G742" i="1" s="1"/>
  <c r="E741" i="1"/>
  <c r="G741" i="1" s="1"/>
  <c r="E740" i="1"/>
  <c r="G740" i="1" s="1"/>
  <c r="E739" i="1"/>
  <c r="G739" i="1" s="1"/>
  <c r="E738" i="1"/>
  <c r="G738" i="1" s="1"/>
  <c r="E737" i="1"/>
  <c r="G737" i="1" s="1"/>
  <c r="E736" i="1"/>
  <c r="G736" i="1" s="1"/>
  <c r="E735" i="1"/>
  <c r="G735" i="1" s="1"/>
  <c r="E734" i="1"/>
  <c r="G734" i="1" s="1"/>
  <c r="E733" i="1"/>
  <c r="G733" i="1" s="1"/>
  <c r="E732" i="1"/>
  <c r="G732" i="1" s="1"/>
  <c r="E731" i="1"/>
  <c r="G731" i="1" s="1"/>
  <c r="E730" i="1"/>
  <c r="G730" i="1" s="1"/>
  <c r="E729" i="1"/>
  <c r="G729" i="1" s="1"/>
  <c r="E728" i="1"/>
  <c r="G728" i="1" s="1"/>
  <c r="E727" i="1"/>
  <c r="G727" i="1" s="1"/>
  <c r="E726" i="1"/>
  <c r="G726" i="1" s="1"/>
  <c r="E725" i="1"/>
  <c r="G725" i="1" s="1"/>
  <c r="E724" i="1"/>
  <c r="G724" i="1" s="1"/>
  <c r="E723" i="1"/>
  <c r="G723" i="1" s="1"/>
  <c r="E722" i="1"/>
  <c r="G722" i="1" s="1"/>
  <c r="E721" i="1"/>
  <c r="G721" i="1" s="1"/>
  <c r="E720" i="1"/>
  <c r="G720" i="1" s="1"/>
  <c r="E719" i="1"/>
  <c r="G719" i="1" s="1"/>
  <c r="E718" i="1"/>
  <c r="G718" i="1" s="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F632" i="1"/>
  <c r="E632" i="1"/>
  <c r="G632" i="1" s="1"/>
  <c r="E631" i="1"/>
  <c r="G631" i="1" s="1"/>
  <c r="E630" i="1"/>
  <c r="G630" i="1" s="1"/>
  <c r="E629" i="1"/>
  <c r="G629" i="1" s="1"/>
  <c r="E628" i="1"/>
  <c r="G628" i="1" s="1"/>
  <c r="E627" i="1"/>
  <c r="G627" i="1" s="1"/>
  <c r="E626" i="1"/>
  <c r="G626" i="1" s="1"/>
  <c r="E625" i="1"/>
  <c r="G625" i="1" s="1"/>
  <c r="E624" i="1"/>
  <c r="G624" i="1" s="1"/>
  <c r="E623" i="1"/>
  <c r="G623" i="1" s="1"/>
  <c r="E622" i="1"/>
  <c r="G622" i="1" s="1"/>
  <c r="E621" i="1"/>
  <c r="G621" i="1" s="1"/>
  <c r="E620" i="1"/>
  <c r="G620" i="1" s="1"/>
  <c r="E619" i="1"/>
  <c r="G619" i="1" s="1"/>
  <c r="E618" i="1"/>
  <c r="G618" i="1" s="1"/>
  <c r="E617" i="1"/>
  <c r="G617" i="1" s="1"/>
  <c r="E616" i="1"/>
  <c r="G616" i="1" s="1"/>
  <c r="E615" i="1"/>
  <c r="G615" i="1" s="1"/>
  <c r="E614" i="1"/>
  <c r="G614" i="1" s="1"/>
  <c r="E613" i="1"/>
  <c r="G613" i="1" s="1"/>
  <c r="E611" i="1"/>
  <c r="G611" i="1" s="1"/>
  <c r="E610" i="1"/>
  <c r="G610" i="1" s="1"/>
  <c r="E608" i="1"/>
  <c r="G608" i="1" s="1"/>
  <c r="E607" i="1"/>
  <c r="G607" i="1" s="1"/>
  <c r="E606" i="1"/>
  <c r="G606" i="1" s="1"/>
  <c r="E605" i="1"/>
  <c r="G605" i="1" s="1"/>
  <c r="E604" i="1"/>
  <c r="G604" i="1" s="1"/>
  <c r="E603" i="1"/>
  <c r="G603" i="1" s="1"/>
  <c r="E601" i="1"/>
  <c r="G601" i="1" s="1"/>
  <c r="E600" i="1"/>
  <c r="G600" i="1" s="1"/>
  <c r="E599" i="1"/>
  <c r="G599" i="1" s="1"/>
  <c r="E598" i="1"/>
  <c r="G598" i="1" s="1"/>
  <c r="E597" i="1"/>
  <c r="G597" i="1" s="1"/>
  <c r="E595" i="1"/>
  <c r="G595" i="1" s="1"/>
  <c r="E594" i="1"/>
  <c r="G594" i="1" s="1"/>
  <c r="E593" i="1"/>
  <c r="G593" i="1" s="1"/>
  <c r="E592" i="1"/>
  <c r="G592" i="1" s="1"/>
  <c r="E591" i="1"/>
  <c r="G591" i="1" s="1"/>
  <c r="E589" i="1"/>
  <c r="G589" i="1" s="1"/>
  <c r="E588" i="1"/>
  <c r="G588" i="1" s="1"/>
  <c r="E587" i="1"/>
  <c r="G587" i="1" s="1"/>
  <c r="E586" i="1"/>
  <c r="G586" i="1" s="1"/>
  <c r="E585" i="1"/>
  <c r="G585" i="1" s="1"/>
  <c r="E584" i="1"/>
  <c r="G584" i="1" s="1"/>
  <c r="E582" i="1"/>
  <c r="G582" i="1" s="1"/>
  <c r="E580" i="1"/>
  <c r="G580" i="1" s="1"/>
  <c r="E578" i="1"/>
  <c r="G578" i="1" s="1"/>
  <c r="E577" i="1"/>
  <c r="G577" i="1" s="1"/>
  <c r="E575" i="1"/>
  <c r="G575" i="1" s="1"/>
  <c r="E574" i="1"/>
  <c r="G574" i="1" s="1"/>
  <c r="E573" i="1"/>
  <c r="G573" i="1" s="1"/>
  <c r="E572" i="1"/>
  <c r="G572" i="1" s="1"/>
  <c r="E570" i="1"/>
  <c r="G570" i="1" s="1"/>
  <c r="E569" i="1"/>
  <c r="G569" i="1" s="1"/>
  <c r="H568" i="1"/>
  <c r="E567" i="1"/>
  <c r="G567" i="1" s="1"/>
  <c r="E566" i="1"/>
  <c r="G566" i="1" s="1"/>
  <c r="E565" i="1"/>
  <c r="G565" i="1" s="1"/>
  <c r="E564" i="1"/>
  <c r="G564" i="1" s="1"/>
  <c r="E562" i="1"/>
  <c r="G562" i="1" s="1"/>
  <c r="E561" i="1"/>
  <c r="G561" i="1" s="1"/>
  <c r="E560" i="1"/>
  <c r="G560" i="1" s="1"/>
  <c r="E559" i="1"/>
  <c r="G559" i="1" s="1"/>
  <c r="E558" i="1"/>
  <c r="G558" i="1" s="1"/>
  <c r="E557" i="1"/>
  <c r="G557" i="1" s="1"/>
  <c r="E556" i="1"/>
  <c r="G556" i="1" s="1"/>
  <c r="E555" i="1"/>
  <c r="G555" i="1" s="1"/>
  <c r="E554" i="1"/>
  <c r="G554" i="1" s="1"/>
  <c r="E553" i="1"/>
  <c r="G553" i="1" s="1"/>
  <c r="E552" i="1"/>
  <c r="G552" i="1" s="1"/>
  <c r="E551" i="1"/>
  <c r="G551" i="1" s="1"/>
  <c r="E550" i="1"/>
  <c r="G550" i="1" s="1"/>
  <c r="E549" i="1"/>
  <c r="G549" i="1" s="1"/>
  <c r="E548" i="1"/>
  <c r="G548" i="1" s="1"/>
  <c r="E546" i="1"/>
  <c r="G546" i="1" s="1"/>
  <c r="E545" i="1"/>
  <c r="F543" i="1"/>
  <c r="E543" i="1"/>
  <c r="G543" i="1" s="1"/>
  <c r="E542" i="1"/>
  <c r="G542" i="1" s="1"/>
  <c r="E541" i="1"/>
  <c r="E540" i="1"/>
  <c r="G540" i="1" s="1"/>
  <c r="E537" i="1"/>
  <c r="F535" i="1"/>
  <c r="J535" i="1" s="1"/>
  <c r="H535" i="1" s="1"/>
  <c r="E535" i="1"/>
  <c r="G535" i="1" s="1"/>
  <c r="E534" i="1"/>
  <c r="G534" i="1" s="1"/>
  <c r="E532" i="1"/>
  <c r="G532" i="1" s="1"/>
  <c r="F531" i="1"/>
  <c r="E531" i="1"/>
  <c r="G531" i="1" s="1"/>
  <c r="E529" i="1"/>
  <c r="E528" i="1"/>
  <c r="G528" i="1" s="1"/>
  <c r="F527" i="1"/>
  <c r="E527" i="1"/>
  <c r="G527" i="1" s="1"/>
  <c r="E526" i="1"/>
  <c r="G526" i="1" s="1"/>
  <c r="E525" i="1"/>
  <c r="E524" i="1"/>
  <c r="G524" i="1" s="1"/>
  <c r="F523" i="1"/>
  <c r="E522" i="1"/>
  <c r="G522" i="1" s="1"/>
  <c r="E521" i="1"/>
  <c r="F519" i="1"/>
  <c r="E519" i="1"/>
  <c r="G519" i="1" s="1"/>
  <c r="E518" i="1"/>
  <c r="G518" i="1" s="1"/>
  <c r="E516" i="1"/>
  <c r="G516" i="1" s="1"/>
  <c r="F515" i="1"/>
  <c r="E515" i="1"/>
  <c r="G515" i="1" s="1"/>
  <c r="E513" i="1"/>
  <c r="E512" i="1"/>
  <c r="G512" i="1" s="1"/>
  <c r="F511" i="1"/>
  <c r="E511" i="1"/>
  <c r="G511" i="1" s="1"/>
  <c r="E510" i="1"/>
  <c r="G510" i="1" s="1"/>
  <c r="E509" i="1"/>
  <c r="F507" i="1"/>
  <c r="E507" i="1"/>
  <c r="G507" i="1" s="1"/>
  <c r="E506" i="1"/>
  <c r="G506" i="1" s="1"/>
  <c r="E505" i="1"/>
  <c r="E504" i="1"/>
  <c r="G504" i="1" s="1"/>
  <c r="F503" i="1"/>
  <c r="E503" i="1"/>
  <c r="G503" i="1" s="1"/>
  <c r="E502" i="1"/>
  <c r="G502" i="1" s="1"/>
  <c r="E501" i="1"/>
  <c r="F499" i="1"/>
  <c r="J499" i="1" s="1"/>
  <c r="H499" i="1" s="1"/>
  <c r="E499" i="1"/>
  <c r="G499" i="1" s="1"/>
  <c r="E498" i="1"/>
  <c r="G498" i="1" s="1"/>
  <c r="E497" i="1"/>
  <c r="E496" i="1"/>
  <c r="G496" i="1" s="1"/>
  <c r="F495" i="1"/>
  <c r="E494" i="1"/>
  <c r="G494" i="1" s="1"/>
  <c r="E493" i="1"/>
  <c r="F491" i="1"/>
  <c r="E491" i="1"/>
  <c r="G491" i="1" s="1"/>
  <c r="E490" i="1"/>
  <c r="G490" i="1" s="1"/>
  <c r="E489" i="1"/>
  <c r="F487" i="1"/>
  <c r="E487" i="1"/>
  <c r="G487" i="1" s="1"/>
  <c r="E486" i="1"/>
  <c r="G486" i="1" s="1"/>
  <c r="E485" i="1"/>
  <c r="E484" i="1"/>
  <c r="G484" i="1" s="1"/>
  <c r="F483" i="1"/>
  <c r="E483" i="1"/>
  <c r="G483" i="1" s="1"/>
  <c r="E482" i="1"/>
  <c r="G482" i="1" s="1"/>
  <c r="E480" i="1"/>
  <c r="G480" i="1" s="1"/>
  <c r="F479" i="1"/>
  <c r="E479" i="1"/>
  <c r="G479" i="1" s="1"/>
  <c r="E478" i="1"/>
  <c r="G478" i="1" s="1"/>
  <c r="E477" i="1"/>
  <c r="F475" i="1"/>
  <c r="E475" i="1"/>
  <c r="G475" i="1" s="1"/>
  <c r="E474" i="1"/>
  <c r="G474" i="1" s="1"/>
  <c r="E473" i="1"/>
  <c r="E472" i="1"/>
  <c r="G472" i="1" s="1"/>
  <c r="F471" i="1"/>
  <c r="E471" i="1"/>
  <c r="G471" i="1" s="1"/>
  <c r="E470" i="1"/>
  <c r="G470" i="1" s="1"/>
  <c r="E468" i="1"/>
  <c r="G468" i="1" s="1"/>
  <c r="E465" i="1"/>
  <c r="E464" i="1"/>
  <c r="G464" i="1" s="1"/>
  <c r="F463" i="1"/>
  <c r="E463" i="1"/>
  <c r="G463" i="1" s="1"/>
  <c r="E462" i="1"/>
  <c r="G462" i="1" s="1"/>
  <c r="E461" i="1"/>
  <c r="E460" i="1"/>
  <c r="E459" i="1"/>
  <c r="E458" i="1"/>
  <c r="E457" i="1"/>
  <c r="E456" i="1"/>
  <c r="E455" i="1"/>
  <c r="E454" i="1"/>
  <c r="E453" i="1"/>
  <c r="E452" i="1"/>
  <c r="E451" i="1"/>
  <c r="E450" i="1"/>
  <c r="E448" i="1"/>
  <c r="E447" i="1"/>
  <c r="E446" i="1"/>
  <c r="E445" i="1"/>
  <c r="E444" i="1"/>
  <c r="E443" i="1"/>
  <c r="E442" i="1"/>
  <c r="E441" i="1"/>
  <c r="E439" i="1"/>
  <c r="E437" i="1"/>
  <c r="E436" i="1"/>
  <c r="E435" i="1"/>
  <c r="E434" i="1"/>
  <c r="E433" i="1"/>
  <c r="E431" i="1"/>
  <c r="E430" i="1"/>
  <c r="E429" i="1"/>
  <c r="E428" i="1"/>
  <c r="E427" i="1"/>
  <c r="E426" i="1"/>
  <c r="E425" i="1"/>
  <c r="E424" i="1"/>
  <c r="E423" i="1"/>
  <c r="E422" i="1"/>
  <c r="E421" i="1"/>
  <c r="E419" i="1"/>
  <c r="E416" i="1"/>
  <c r="E415" i="1"/>
  <c r="E414" i="1"/>
  <c r="E413" i="1"/>
  <c r="E412" i="1"/>
  <c r="E411" i="1"/>
  <c r="E410" i="1"/>
  <c r="E409" i="1"/>
  <c r="E408" i="1"/>
  <c r="E407" i="1"/>
  <c r="E406" i="1"/>
  <c r="G406" i="1" s="1"/>
  <c r="F404" i="1"/>
  <c r="E404" i="1"/>
  <c r="G404" i="1" s="1"/>
  <c r="E402" i="1"/>
  <c r="G402" i="1" s="1"/>
  <c r="F400" i="1"/>
  <c r="E399" i="1"/>
  <c r="G399" i="1" s="1"/>
  <c r="E398" i="1"/>
  <c r="G398" i="1" s="1"/>
  <c r="G396" i="1"/>
  <c r="E396" i="1"/>
  <c r="F396" i="1" s="1"/>
  <c r="F395" i="1"/>
  <c r="G394" i="1"/>
  <c r="E394" i="1"/>
  <c r="F394" i="1" s="1"/>
  <c r="G393" i="1"/>
  <c r="E393" i="1"/>
  <c r="F393" i="1" s="1"/>
  <c r="G392" i="1"/>
  <c r="E392" i="1"/>
  <c r="F392" i="1" s="1"/>
  <c r="J392" i="1" s="1"/>
  <c r="H392" i="1" s="1"/>
  <c r="G391" i="1"/>
  <c r="E391" i="1"/>
  <c r="F391" i="1" s="1"/>
  <c r="G390" i="1"/>
  <c r="E390" i="1"/>
  <c r="F390" i="1" s="1"/>
  <c r="F389" i="1"/>
  <c r="G388" i="1"/>
  <c r="E388" i="1"/>
  <c r="F388" i="1" s="1"/>
  <c r="G387" i="1"/>
  <c r="E387" i="1"/>
  <c r="F387" i="1" s="1"/>
  <c r="E386" i="1"/>
  <c r="E385" i="1"/>
  <c r="E381" i="1"/>
  <c r="E379" i="1"/>
  <c r="E378" i="1"/>
  <c r="F377" i="1"/>
  <c r="E377" i="1"/>
  <c r="G377" i="1" s="1"/>
  <c r="E376" i="1"/>
  <c r="G376" i="1" s="1"/>
  <c r="E375" i="1"/>
  <c r="G375" i="1" s="1"/>
  <c r="E374" i="1"/>
  <c r="G374" i="1" s="1"/>
  <c r="F373" i="1"/>
  <c r="E373" i="1"/>
  <c r="G373" i="1" s="1"/>
  <c r="E372" i="1"/>
  <c r="G372" i="1" s="1"/>
  <c r="E371" i="1"/>
  <c r="G371" i="1" s="1"/>
  <c r="F369" i="1"/>
  <c r="E369" i="1"/>
  <c r="G369" i="1" s="1"/>
  <c r="E368" i="1"/>
  <c r="G368" i="1" s="1"/>
  <c r="E367" i="1"/>
  <c r="G367" i="1" s="1"/>
  <c r="E366" i="1"/>
  <c r="G366" i="1" s="1"/>
  <c r="F365" i="1"/>
  <c r="E365" i="1"/>
  <c r="G365" i="1" s="1"/>
  <c r="E364" i="1"/>
  <c r="G364" i="1" s="1"/>
  <c r="E362" i="1"/>
  <c r="G362" i="1" s="1"/>
  <c r="F361" i="1"/>
  <c r="E361" i="1"/>
  <c r="G361" i="1" s="1"/>
  <c r="E359" i="1"/>
  <c r="G359" i="1" s="1"/>
  <c r="E358" i="1"/>
  <c r="G358" i="1" s="1"/>
  <c r="F357" i="1"/>
  <c r="E357" i="1"/>
  <c r="G357" i="1" s="1"/>
  <c r="E356" i="1"/>
  <c r="G356" i="1" s="1"/>
  <c r="E355" i="1"/>
  <c r="G355" i="1" s="1"/>
  <c r="E354" i="1"/>
  <c r="G354" i="1" s="1"/>
  <c r="E352" i="1"/>
  <c r="G352" i="1" s="1"/>
  <c r="E351" i="1"/>
  <c r="G351" i="1" s="1"/>
  <c r="E350" i="1"/>
  <c r="G350" i="1" s="1"/>
  <c r="F349" i="1"/>
  <c r="E349" i="1"/>
  <c r="G349" i="1" s="1"/>
  <c r="E348" i="1"/>
  <c r="G348" i="1" s="1"/>
  <c r="E346" i="1"/>
  <c r="G346" i="1" s="1"/>
  <c r="F345" i="1"/>
  <c r="E345" i="1"/>
  <c r="G345" i="1" s="1"/>
  <c r="E344" i="1"/>
  <c r="G344" i="1" s="1"/>
  <c r="E343" i="1"/>
  <c r="G343" i="1" s="1"/>
  <c r="F341" i="1"/>
  <c r="E341" i="1"/>
  <c r="G341" i="1" s="1"/>
  <c r="E340" i="1"/>
  <c r="G340" i="1" s="1"/>
  <c r="E339" i="1"/>
  <c r="G339" i="1" s="1"/>
  <c r="E338" i="1"/>
  <c r="G338" i="1" s="1"/>
  <c r="F337" i="1"/>
  <c r="E337" i="1"/>
  <c r="G337" i="1" s="1"/>
  <c r="E336" i="1"/>
  <c r="G336" i="1" s="1"/>
  <c r="E335" i="1"/>
  <c r="G335" i="1" s="1"/>
  <c r="E334" i="1"/>
  <c r="G334" i="1" s="1"/>
  <c r="E332" i="1"/>
  <c r="G332" i="1" s="1"/>
  <c r="E331" i="1"/>
  <c r="G331" i="1" s="1"/>
  <c r="E330" i="1"/>
  <c r="G330" i="1" s="1"/>
  <c r="F329" i="1"/>
  <c r="E329" i="1"/>
  <c r="G329" i="1" s="1"/>
  <c r="H328" i="1"/>
  <c r="E327" i="1"/>
  <c r="G327" i="1" s="1"/>
  <c r="E326" i="1"/>
  <c r="G326" i="1" s="1"/>
  <c r="E324" i="1"/>
  <c r="G324" i="1" s="1"/>
  <c r="E323" i="1"/>
  <c r="G323" i="1" s="1"/>
  <c r="E322" i="1"/>
  <c r="G322" i="1" s="1"/>
  <c r="F321" i="1"/>
  <c r="E321" i="1"/>
  <c r="G321" i="1" s="1"/>
  <c r="E320" i="1"/>
  <c r="G320" i="1" s="1"/>
  <c r="E318" i="1"/>
  <c r="G318" i="1" s="1"/>
  <c r="F317" i="1"/>
  <c r="E317" i="1"/>
  <c r="G317" i="1" s="1"/>
  <c r="E316" i="1"/>
  <c r="G316" i="1" s="1"/>
  <c r="E315" i="1"/>
  <c r="G315" i="1" s="1"/>
  <c r="E314" i="1"/>
  <c r="G314" i="1" s="1"/>
  <c r="F313" i="1"/>
  <c r="E313" i="1"/>
  <c r="G313" i="1" s="1"/>
  <c r="E311" i="1"/>
  <c r="G311" i="1" s="1"/>
  <c r="E310" i="1"/>
  <c r="G310" i="1" s="1"/>
  <c r="E309" i="1"/>
  <c r="G309" i="1" s="1"/>
  <c r="G308" i="1"/>
  <c r="E308" i="1"/>
  <c r="F308" i="1" s="1"/>
  <c r="G307" i="1"/>
  <c r="E307" i="1"/>
  <c r="F307" i="1" s="1"/>
  <c r="G305" i="1"/>
  <c r="E305" i="1"/>
  <c r="F305" i="1" s="1"/>
  <c r="G304" i="1"/>
  <c r="E304" i="1"/>
  <c r="F304" i="1" s="1"/>
  <c r="G303" i="1"/>
  <c r="E303" i="1"/>
  <c r="F303" i="1" s="1"/>
  <c r="G301" i="1"/>
  <c r="E301" i="1"/>
  <c r="F301" i="1" s="1"/>
  <c r="E300" i="1"/>
  <c r="G300" i="1" s="1"/>
  <c r="E299" i="1"/>
  <c r="G299" i="1" s="1"/>
  <c r="F298" i="1"/>
  <c r="E298" i="1"/>
  <c r="G298" i="1" s="1"/>
  <c r="E297" i="1"/>
  <c r="G297" i="1" s="1"/>
  <c r="E295" i="1"/>
  <c r="G295" i="1" s="1"/>
  <c r="F294" i="1"/>
  <c r="E294" i="1"/>
  <c r="G294" i="1" s="1"/>
  <c r="E293" i="1"/>
  <c r="G293" i="1" s="1"/>
  <c r="E291" i="1"/>
  <c r="G291" i="1" s="1"/>
  <c r="E289" i="1"/>
  <c r="G289" i="1" s="1"/>
  <c r="E288" i="1"/>
  <c r="G288" i="1" s="1"/>
  <c r="F287" i="1"/>
  <c r="E287" i="1"/>
  <c r="G287" i="1" s="1"/>
  <c r="F286" i="1"/>
  <c r="E285" i="1"/>
  <c r="G285" i="1" s="1"/>
  <c r="E284" i="1"/>
  <c r="G284" i="1" s="1"/>
  <c r="F282" i="1"/>
  <c r="E282" i="1"/>
  <c r="G282" i="1" s="1"/>
  <c r="E281" i="1"/>
  <c r="G281" i="1" s="1"/>
  <c r="E280" i="1"/>
  <c r="G280" i="1" s="1"/>
  <c r="F279" i="1"/>
  <c r="E279" i="1"/>
  <c r="G279" i="1" s="1"/>
  <c r="F278" i="1"/>
  <c r="E277" i="1"/>
  <c r="G277" i="1" s="1"/>
  <c r="E276" i="1"/>
  <c r="G276" i="1" s="1"/>
  <c r="F275" i="1"/>
  <c r="E275" i="1"/>
  <c r="G275" i="1" s="1"/>
  <c r="F274" i="1"/>
  <c r="E274" i="1"/>
  <c r="G274" i="1" s="1"/>
  <c r="E272" i="1"/>
  <c r="G272" i="1" s="1"/>
  <c r="F271" i="1"/>
  <c r="E271" i="1"/>
  <c r="G271" i="1" s="1"/>
  <c r="F270" i="1"/>
  <c r="E270" i="1"/>
  <c r="G270" i="1" s="1"/>
  <c r="E269" i="1"/>
  <c r="G269" i="1" s="1"/>
  <c r="E268" i="1"/>
  <c r="G268" i="1" s="1"/>
  <c r="F267" i="1"/>
  <c r="E267" i="1"/>
  <c r="G267" i="1" s="1"/>
  <c r="F266" i="1"/>
  <c r="E266" i="1"/>
  <c r="G266" i="1" s="1"/>
  <c r="E265" i="1"/>
  <c r="G265" i="1" s="1"/>
  <c r="E264" i="1"/>
  <c r="G264" i="1" s="1"/>
  <c r="F262" i="1"/>
  <c r="E261" i="1"/>
  <c r="G261" i="1" s="1"/>
  <c r="E260" i="1"/>
  <c r="G260" i="1" s="1"/>
  <c r="F259" i="1"/>
  <c r="E259" i="1"/>
  <c r="G259" i="1" s="1"/>
  <c r="F258" i="1"/>
  <c r="E258" i="1"/>
  <c r="G258" i="1" s="1"/>
  <c r="E257" i="1"/>
  <c r="G257" i="1" s="1"/>
  <c r="E256" i="1"/>
  <c r="G256" i="1" s="1"/>
  <c r="F255" i="1"/>
  <c r="E255" i="1"/>
  <c r="G255" i="1" s="1"/>
  <c r="F254" i="1"/>
  <c r="E254" i="1"/>
  <c r="G254" i="1" s="1"/>
  <c r="E252" i="1"/>
  <c r="G252" i="1" s="1"/>
  <c r="F251" i="1"/>
  <c r="E251" i="1"/>
  <c r="G251" i="1" s="1"/>
  <c r="F250" i="1"/>
  <c r="E250" i="1"/>
  <c r="G250" i="1" s="1"/>
  <c r="E248" i="1"/>
  <c r="G248" i="1" s="1"/>
  <c r="F247" i="1"/>
  <c r="E247" i="1"/>
  <c r="G247" i="1" s="1"/>
  <c r="F246" i="1"/>
  <c r="E246" i="1"/>
  <c r="G246" i="1" s="1"/>
  <c r="E244" i="1"/>
  <c r="G244" i="1" s="1"/>
  <c r="F243" i="1"/>
  <c r="E243" i="1"/>
  <c r="G243" i="1" s="1"/>
  <c r="E241" i="1"/>
  <c r="G241" i="1" s="1"/>
  <c r="E240" i="1"/>
  <c r="G240" i="1" s="1"/>
  <c r="F239" i="1"/>
  <c r="E239" i="1"/>
  <c r="G239" i="1" s="1"/>
  <c r="F238" i="1"/>
  <c r="E238" i="1"/>
  <c r="G238" i="1" s="1"/>
  <c r="F235" i="1"/>
  <c r="E235" i="1"/>
  <c r="G235" i="1" s="1"/>
  <c r="F234" i="1"/>
  <c r="E234" i="1"/>
  <c r="G234" i="1" s="1"/>
  <c r="E233" i="1"/>
  <c r="G233" i="1" s="1"/>
  <c r="F231" i="1"/>
  <c r="E231" i="1"/>
  <c r="G231" i="1" s="1"/>
  <c r="F230" i="1"/>
  <c r="E229" i="1"/>
  <c r="G229" i="1" s="1"/>
  <c r="E228" i="1"/>
  <c r="G228" i="1" s="1"/>
  <c r="F227" i="1"/>
  <c r="F226" i="1"/>
  <c r="E226" i="1"/>
  <c r="G226" i="1" s="1"/>
  <c r="E225" i="1"/>
  <c r="G225" i="1" s="1"/>
  <c r="F223" i="1"/>
  <c r="E223" i="1"/>
  <c r="G223" i="1" s="1"/>
  <c r="F222" i="1"/>
  <c r="E222" i="1"/>
  <c r="G222" i="1" s="1"/>
  <c r="E221" i="1"/>
  <c r="G221" i="1" s="1"/>
  <c r="E220" i="1"/>
  <c r="G220" i="1" s="1"/>
  <c r="F219" i="1"/>
  <c r="E219" i="1"/>
  <c r="G219" i="1" s="1"/>
  <c r="E217" i="1"/>
  <c r="G217" i="1" s="1"/>
  <c r="E216" i="1"/>
  <c r="G216" i="1" s="1"/>
  <c r="E215" i="1"/>
  <c r="G215" i="1" s="1"/>
  <c r="E214" i="1"/>
  <c r="G214" i="1" s="1"/>
  <c r="E213" i="1"/>
  <c r="G213" i="1" s="1"/>
  <c r="E212" i="1"/>
  <c r="G212" i="1" s="1"/>
  <c r="E211" i="1"/>
  <c r="G211" i="1" s="1"/>
  <c r="E210" i="1"/>
  <c r="G210" i="1" s="1"/>
  <c r="E209" i="1"/>
  <c r="G209" i="1" s="1"/>
  <c r="E207" i="1"/>
  <c r="G207" i="1" s="1"/>
  <c r="E206" i="1"/>
  <c r="G206" i="1" s="1"/>
  <c r="E205" i="1"/>
  <c r="G205" i="1" s="1"/>
  <c r="E204" i="1"/>
  <c r="G204" i="1" s="1"/>
  <c r="E202" i="1"/>
  <c r="G202" i="1" s="1"/>
  <c r="E200" i="1"/>
  <c r="G200" i="1" s="1"/>
  <c r="E198" i="1"/>
  <c r="G198" i="1" s="1"/>
  <c r="E197" i="1"/>
  <c r="E196" i="1"/>
  <c r="G196" i="1" s="1"/>
  <c r="F195" i="1"/>
  <c r="E195" i="1"/>
  <c r="G195" i="1" s="1"/>
  <c r="E194" i="1"/>
  <c r="G194" i="1" s="1"/>
  <c r="E193" i="1"/>
  <c r="E191" i="1"/>
  <c r="G191" i="1" s="1"/>
  <c r="E190" i="1"/>
  <c r="G190" i="1" s="1"/>
  <c r="E189" i="1"/>
  <c r="F188" i="1"/>
  <c r="E188" i="1"/>
  <c r="G188" i="1" s="1"/>
  <c r="E187" i="1"/>
  <c r="G187" i="1" s="1"/>
  <c r="E184" i="1"/>
  <c r="G184" i="1" s="1"/>
  <c r="E182" i="1"/>
  <c r="G182" i="1" s="1"/>
  <c r="E181" i="1"/>
  <c r="F180" i="1"/>
  <c r="E180" i="1"/>
  <c r="G180" i="1" s="1"/>
  <c r="F179" i="1"/>
  <c r="E179" i="1"/>
  <c r="G179" i="1" s="1"/>
  <c r="E178" i="1"/>
  <c r="G178" i="1" s="1"/>
  <c r="E177" i="1"/>
  <c r="E176" i="1"/>
  <c r="G176" i="1" s="1"/>
  <c r="E175" i="1"/>
  <c r="G175" i="1" s="1"/>
  <c r="F172" i="1"/>
  <c r="E172" i="1"/>
  <c r="G172" i="1" s="1"/>
  <c r="F171" i="1"/>
  <c r="E171" i="1"/>
  <c r="G171" i="1" s="1"/>
  <c r="E170" i="1"/>
  <c r="G170" i="1" s="1"/>
  <c r="E169" i="1"/>
  <c r="F168" i="1"/>
  <c r="E168" i="1"/>
  <c r="G168" i="1" s="1"/>
  <c r="E167" i="1"/>
  <c r="G167" i="1" s="1"/>
  <c r="E166" i="1"/>
  <c r="G166" i="1" s="1"/>
  <c r="F163" i="1"/>
  <c r="E163" i="1"/>
  <c r="G163" i="1" s="1"/>
  <c r="E162" i="1"/>
  <c r="G162" i="1" s="1"/>
  <c r="E161" i="1"/>
  <c r="F160" i="1"/>
  <c r="E160" i="1"/>
  <c r="G160" i="1" s="1"/>
  <c r="E158" i="1"/>
  <c r="G158" i="1" s="1"/>
  <c r="E157" i="1"/>
  <c r="F155" i="1"/>
  <c r="E155" i="1"/>
  <c r="G155" i="1" s="1"/>
  <c r="F154" i="1"/>
  <c r="E154" i="1"/>
  <c r="G154" i="1" s="1"/>
  <c r="E153" i="1"/>
  <c r="F152" i="1"/>
  <c r="E152" i="1"/>
  <c r="G152" i="1" s="1"/>
  <c r="F151" i="1"/>
  <c r="E151" i="1"/>
  <c r="G151" i="1" s="1"/>
  <c r="E150" i="1"/>
  <c r="G150" i="1" s="1"/>
  <c r="E148" i="1"/>
  <c r="G148" i="1" s="1"/>
  <c r="E146" i="1"/>
  <c r="G146" i="1" s="1"/>
  <c r="E145" i="1"/>
  <c r="F144" i="1"/>
  <c r="E144" i="1"/>
  <c r="G144" i="1" s="1"/>
  <c r="F143" i="1"/>
  <c r="E143" i="1"/>
  <c r="G143" i="1" s="1"/>
  <c r="E141" i="1"/>
  <c r="E140" i="1"/>
  <c r="G140" i="1" s="1"/>
  <c r="E139" i="1"/>
  <c r="G139" i="1" s="1"/>
  <c r="E137" i="1"/>
  <c r="F135" i="1"/>
  <c r="E135" i="1"/>
  <c r="G135" i="1" s="1"/>
  <c r="E134" i="1"/>
  <c r="G134" i="1" s="1"/>
  <c r="F132" i="1"/>
  <c r="E132" i="1"/>
  <c r="G132" i="1" s="1"/>
  <c r="E131" i="1"/>
  <c r="G131" i="1" s="1"/>
  <c r="E130" i="1"/>
  <c r="G130" i="1" s="1"/>
  <c r="E129" i="1"/>
  <c r="E128" i="1"/>
  <c r="G128" i="1" s="1"/>
  <c r="E126" i="1"/>
  <c r="G126" i="1" s="1"/>
  <c r="E125" i="1"/>
  <c r="E123" i="1"/>
  <c r="G123" i="1" s="1"/>
  <c r="E122" i="1"/>
  <c r="G122" i="1" s="1"/>
  <c r="E121" i="1"/>
  <c r="E120" i="1"/>
  <c r="G120" i="1" s="1"/>
  <c r="E119" i="1"/>
  <c r="G119" i="1" s="1"/>
  <c r="E118" i="1"/>
  <c r="G118" i="1" s="1"/>
  <c r="E117" i="1"/>
  <c r="E116" i="1"/>
  <c r="E115" i="1"/>
  <c r="E113" i="1"/>
  <c r="E112" i="1"/>
  <c r="E111" i="1"/>
  <c r="E110" i="1"/>
  <c r="E108" i="1"/>
  <c r="E107" i="1"/>
  <c r="E106" i="1"/>
  <c r="E105" i="1"/>
  <c r="E104" i="1"/>
  <c r="E101" i="1"/>
  <c r="E100" i="1"/>
  <c r="E99" i="1"/>
  <c r="E98" i="1"/>
  <c r="E96" i="1"/>
  <c r="E95" i="1"/>
  <c r="E94" i="1"/>
  <c r="E93" i="1"/>
  <c r="E92" i="1"/>
  <c r="E91" i="1"/>
  <c r="E90" i="1"/>
  <c r="E88" i="1"/>
  <c r="E87" i="1"/>
  <c r="E86" i="1"/>
  <c r="E85" i="1"/>
  <c r="E84" i="1"/>
  <c r="E83" i="1"/>
  <c r="E82" i="1"/>
  <c r="E81" i="1"/>
  <c r="E80" i="1"/>
  <c r="E78" i="1"/>
  <c r="E77" i="1"/>
  <c r="E76" i="1"/>
  <c r="E74" i="1"/>
  <c r="E72" i="1"/>
  <c r="E71" i="1"/>
  <c r="E70" i="1"/>
  <c r="E69" i="1"/>
  <c r="E68" i="1"/>
  <c r="E67" i="1"/>
  <c r="E65" i="1"/>
  <c r="E64" i="1"/>
  <c r="E63" i="1"/>
  <c r="E61" i="1"/>
  <c r="E60" i="1"/>
  <c r="E59" i="1"/>
  <c r="E58" i="1"/>
  <c r="E57" i="1"/>
  <c r="E56" i="1"/>
  <c r="E55" i="1"/>
  <c r="E53" i="1"/>
  <c r="G53" i="1" s="1"/>
  <c r="E52" i="1"/>
  <c r="G52" i="1" s="1"/>
  <c r="E50" i="1"/>
  <c r="G50" i="1" s="1"/>
  <c r="E49" i="1"/>
  <c r="G49" i="1" s="1"/>
  <c r="E48" i="1"/>
  <c r="G48" i="1" s="1"/>
  <c r="F47" i="1"/>
  <c r="E47" i="1"/>
  <c r="G47" i="1" s="1"/>
  <c r="E45" i="1"/>
  <c r="G45" i="1" s="1"/>
  <c r="E44" i="1"/>
  <c r="G44" i="1" s="1"/>
  <c r="E43" i="1"/>
  <c r="G43" i="1" s="1"/>
  <c r="E42" i="1"/>
  <c r="G42" i="1" s="1"/>
  <c r="F40" i="1"/>
  <c r="E39" i="1"/>
  <c r="G39" i="1" s="1"/>
  <c r="E37" i="1"/>
  <c r="G37" i="1" s="1"/>
  <c r="E36" i="1"/>
  <c r="G36" i="1" s="1"/>
  <c r="E35" i="1"/>
  <c r="G35" i="1" s="1"/>
  <c r="E34" i="1"/>
  <c r="G34" i="1" s="1"/>
  <c r="E33" i="1"/>
  <c r="G33" i="1" s="1"/>
  <c r="E32" i="1"/>
  <c r="G32" i="1" s="1"/>
  <c r="E30" i="1"/>
  <c r="G30" i="1" s="1"/>
  <c r="E28" i="1"/>
  <c r="F28" i="1" s="1"/>
  <c r="E27" i="1"/>
  <c r="G27" i="1" s="1"/>
  <c r="E26" i="1"/>
  <c r="F26" i="1" s="1"/>
  <c r="E25" i="1"/>
  <c r="G25" i="1" s="1"/>
  <c r="E24" i="1"/>
  <c r="G24" i="1" s="1"/>
  <c r="F23" i="1"/>
  <c r="E22" i="1"/>
  <c r="G22" i="1" s="1"/>
  <c r="E21" i="1"/>
  <c r="F21" i="1" s="1"/>
  <c r="E20" i="1"/>
  <c r="G20" i="1" s="1"/>
  <c r="E19" i="1"/>
  <c r="F19" i="1" s="1"/>
  <c r="E17" i="1"/>
  <c r="F17" i="1" s="1"/>
  <c r="E16" i="1"/>
  <c r="G16" i="1" s="1"/>
  <c r="E15" i="1"/>
  <c r="F15" i="1" s="1"/>
  <c r="E14" i="1"/>
  <c r="G14" i="1" s="1"/>
  <c r="E13" i="1"/>
  <c r="F13" i="1" s="1"/>
  <c r="E12" i="1"/>
  <c r="G12" i="1" s="1"/>
  <c r="E11" i="1"/>
  <c r="G11" i="1" s="1"/>
  <c r="F10" i="1"/>
  <c r="E9" i="1"/>
  <c r="F9" i="1" s="1"/>
  <c r="E7" i="1"/>
  <c r="G7" i="1" s="1"/>
  <c r="E6" i="1"/>
  <c r="G6" i="1" s="1"/>
  <c r="E4" i="1"/>
  <c r="G4" i="1" s="1"/>
  <c r="G3" i="1"/>
  <c r="E3" i="1"/>
  <c r="G2" i="1"/>
  <c r="F2" i="1"/>
  <c r="K2" i="1" s="1"/>
  <c r="E2" i="1"/>
  <c r="I2" i="1" s="1"/>
  <c r="K466" i="1" l="1"/>
  <c r="H249" i="1"/>
  <c r="H156" i="1"/>
  <c r="H539" i="1"/>
  <c r="H609" i="1"/>
  <c r="K283" i="1"/>
  <c r="H245" i="1"/>
  <c r="H23" i="1"/>
  <c r="H133" i="1"/>
  <c r="H232" i="1"/>
  <c r="H325" i="1"/>
  <c r="H536" i="1"/>
  <c r="H263" i="1"/>
  <c r="H283" i="1"/>
  <c r="H596" i="1"/>
  <c r="H353" i="1"/>
  <c r="H224" i="1"/>
  <c r="H403" i="1"/>
  <c r="H383" i="1"/>
  <c r="H97" i="1"/>
  <c r="H438" i="1"/>
  <c r="H466" i="1"/>
  <c r="J135" i="1"/>
  <c r="H135" i="1" s="1"/>
  <c r="I135" i="1"/>
  <c r="K135" i="1"/>
  <c r="K152" i="1"/>
  <c r="J152" i="1"/>
  <c r="H152" i="1" s="1"/>
  <c r="I152" i="1"/>
  <c r="I154" i="1"/>
  <c r="K154" i="1"/>
  <c r="J154" i="1"/>
  <c r="H154" i="1" s="1"/>
  <c r="K179" i="1"/>
  <c r="J179" i="1"/>
  <c r="H179" i="1" s="1"/>
  <c r="I179" i="1"/>
  <c r="K188" i="1"/>
  <c r="J188" i="1"/>
  <c r="H188" i="1" s="1"/>
  <c r="I188" i="1"/>
  <c r="K195" i="1"/>
  <c r="J195" i="1"/>
  <c r="H195" i="1" s="1"/>
  <c r="I195" i="1"/>
  <c r="J227" i="1"/>
  <c r="I227" i="1"/>
  <c r="J230" i="1"/>
  <c r="H230" i="1" s="1"/>
  <c r="I230" i="1"/>
  <c r="I243" i="1"/>
  <c r="K243" i="1"/>
  <c r="J243" i="1"/>
  <c r="H243" i="1" s="1"/>
  <c r="J250" i="1"/>
  <c r="H250" i="1" s="1"/>
  <c r="I250" i="1"/>
  <c r="K250" i="1"/>
  <c r="K259" i="1"/>
  <c r="J259" i="1"/>
  <c r="H259" i="1" s="1"/>
  <c r="I259" i="1"/>
  <c r="K163" i="1"/>
  <c r="J163" i="1"/>
  <c r="H163" i="1" s="1"/>
  <c r="I163" i="1"/>
  <c r="J172" i="1"/>
  <c r="H172" i="1" s="1"/>
  <c r="I172" i="1"/>
  <c r="K172" i="1"/>
  <c r="J222" i="1"/>
  <c r="H222" i="1" s="1"/>
  <c r="I222" i="1"/>
  <c r="K222" i="1"/>
  <c r="K254" i="1"/>
  <c r="J254" i="1"/>
  <c r="H254" i="1" s="1"/>
  <c r="I254" i="1"/>
  <c r="J267" i="1"/>
  <c r="H267" i="1" s="1"/>
  <c r="K267" i="1"/>
  <c r="I267" i="1"/>
  <c r="I301" i="1"/>
  <c r="K301" i="1"/>
  <c r="J301" i="1"/>
  <c r="H301" i="1" s="1"/>
  <c r="J341" i="1"/>
  <c r="H341" i="1" s="1"/>
  <c r="K341" i="1"/>
  <c r="I341" i="1"/>
  <c r="K365" i="1"/>
  <c r="I365" i="1"/>
  <c r="J365" i="1"/>
  <c r="H365" i="1" s="1"/>
  <c r="I391" i="1"/>
  <c r="K391" i="1"/>
  <c r="J391" i="1"/>
  <c r="H391" i="1" s="1"/>
  <c r="K483" i="1"/>
  <c r="J483" i="1"/>
  <c r="H483" i="1" s="1"/>
  <c r="I483" i="1"/>
  <c r="I531" i="1"/>
  <c r="K531" i="1"/>
  <c r="J531" i="1"/>
  <c r="H531" i="1" s="1"/>
  <c r="I829" i="1"/>
  <c r="K829" i="1"/>
  <c r="J829" i="1"/>
  <c r="H829" i="1" s="1"/>
  <c r="K955" i="1"/>
  <c r="J955" i="1"/>
  <c r="H955" i="1" s="1"/>
  <c r="I955" i="1"/>
  <c r="K967" i="1"/>
  <c r="J967" i="1"/>
  <c r="H967" i="1" s="1"/>
  <c r="I967" i="1"/>
  <c r="K132" i="1"/>
  <c r="J132" i="1"/>
  <c r="H132" i="1" s="1"/>
  <c r="I132" i="1"/>
  <c r="I144" i="1"/>
  <c r="K144" i="1"/>
  <c r="J144" i="1"/>
  <c r="H144" i="1" s="1"/>
  <c r="J155" i="1"/>
  <c r="H155" i="1" s="1"/>
  <c r="I155" i="1"/>
  <c r="K155" i="1"/>
  <c r="J278" i="1"/>
  <c r="I278" i="1"/>
  <c r="J298" i="1"/>
  <c r="H298" i="1" s="1"/>
  <c r="K298" i="1"/>
  <c r="I298" i="1"/>
  <c r="I395" i="1"/>
  <c r="J395" i="1"/>
  <c r="H395" i="1" s="1"/>
  <c r="J503" i="1"/>
  <c r="H503" i="1" s="1"/>
  <c r="I503" i="1"/>
  <c r="K503" i="1"/>
  <c r="K515" i="1"/>
  <c r="J515" i="1"/>
  <c r="H515" i="1" s="1"/>
  <c r="I515" i="1"/>
  <c r="I825" i="1"/>
  <c r="K825" i="1"/>
  <c r="J825" i="1"/>
  <c r="H825" i="1" s="1"/>
  <c r="K848" i="1"/>
  <c r="J848" i="1"/>
  <c r="H848" i="1" s="1"/>
  <c r="I848" i="1"/>
  <c r="K926" i="1"/>
  <c r="J926" i="1"/>
  <c r="H926" i="1" s="1"/>
  <c r="I926" i="1"/>
  <c r="K974" i="1"/>
  <c r="J974" i="1"/>
  <c r="H974" i="1" s="1"/>
  <c r="I974" i="1"/>
  <c r="K18" i="1"/>
  <c r="H5" i="1"/>
  <c r="J151" i="1"/>
  <c r="H151" i="1" s="1"/>
  <c r="I151" i="1"/>
  <c r="K151" i="1"/>
  <c r="J168" i="1"/>
  <c r="H168" i="1" s="1"/>
  <c r="I168" i="1"/>
  <c r="K168" i="1"/>
  <c r="K251" i="1"/>
  <c r="J251" i="1"/>
  <c r="H251" i="1" s="1"/>
  <c r="I251" i="1"/>
  <c r="K258" i="1"/>
  <c r="J258" i="1"/>
  <c r="H258" i="1" s="1"/>
  <c r="I258" i="1"/>
  <c r="K275" i="1"/>
  <c r="J275" i="1"/>
  <c r="H275" i="1" s="1"/>
  <c r="I275" i="1"/>
  <c r="I287" i="1"/>
  <c r="K287" i="1"/>
  <c r="J287" i="1"/>
  <c r="H287" i="1" s="1"/>
  <c r="J305" i="1"/>
  <c r="H305" i="1" s="1"/>
  <c r="K305" i="1"/>
  <c r="I305" i="1"/>
  <c r="K377" i="1"/>
  <c r="I377" i="1"/>
  <c r="J377" i="1"/>
  <c r="H377" i="1" s="1"/>
  <c r="J388" i="1"/>
  <c r="H388" i="1" s="1"/>
  <c r="I388" i="1"/>
  <c r="K388" i="1"/>
  <c r="K393" i="1"/>
  <c r="I393" i="1"/>
  <c r="J393" i="1"/>
  <c r="H393" i="1" s="1"/>
  <c r="K143" i="1"/>
  <c r="I143" i="1"/>
  <c r="J143" i="1"/>
  <c r="H143" i="1" s="1"/>
  <c r="I171" i="1"/>
  <c r="K171" i="1"/>
  <c r="J171" i="1"/>
  <c r="H171" i="1" s="1"/>
  <c r="I234" i="1"/>
  <c r="K234" i="1"/>
  <c r="J234" i="1"/>
  <c r="H234" i="1" s="1"/>
  <c r="K238" i="1"/>
  <c r="J238" i="1"/>
  <c r="H238" i="1" s="1"/>
  <c r="I238" i="1"/>
  <c r="J247" i="1"/>
  <c r="H247" i="1" s="1"/>
  <c r="I247" i="1"/>
  <c r="K247" i="1"/>
  <c r="K282" i="1"/>
  <c r="J282" i="1"/>
  <c r="H282" i="1" s="1"/>
  <c r="I282" i="1"/>
  <c r="I304" i="1"/>
  <c r="K304" i="1"/>
  <c r="J304" i="1"/>
  <c r="H304" i="1" s="1"/>
  <c r="J337" i="1"/>
  <c r="H337" i="1" s="1"/>
  <c r="I337" i="1"/>
  <c r="K337" i="1"/>
  <c r="I345" i="1"/>
  <c r="K345" i="1"/>
  <c r="J345" i="1"/>
  <c r="H345" i="1" s="1"/>
  <c r="K373" i="1"/>
  <c r="I373" i="1"/>
  <c r="J373" i="1"/>
  <c r="H373" i="1" s="1"/>
  <c r="J390" i="1"/>
  <c r="H390" i="1" s="1"/>
  <c r="K390" i="1"/>
  <c r="I390" i="1"/>
  <c r="K487" i="1"/>
  <c r="J487" i="1"/>
  <c r="H487" i="1" s="1"/>
  <c r="I487" i="1"/>
  <c r="K543" i="1"/>
  <c r="J543" i="1"/>
  <c r="H543" i="1" s="1"/>
  <c r="I543" i="1"/>
  <c r="K951" i="1"/>
  <c r="J951" i="1"/>
  <c r="H951" i="1" s="1"/>
  <c r="I951" i="1"/>
  <c r="J262" i="1"/>
  <c r="K286" i="1" s="1"/>
  <c r="I262" i="1"/>
  <c r="J271" i="1"/>
  <c r="H271" i="1" s="1"/>
  <c r="K271" i="1"/>
  <c r="I271" i="1"/>
  <c r="J274" i="1"/>
  <c r="H274" i="1" s="1"/>
  <c r="I274" i="1"/>
  <c r="K274" i="1"/>
  <c r="I286" i="1"/>
  <c r="J286" i="1"/>
  <c r="I294" i="1"/>
  <c r="K294" i="1"/>
  <c r="J294" i="1"/>
  <c r="H294" i="1" s="1"/>
  <c r="I307" i="1"/>
  <c r="K307" i="1"/>
  <c r="J307" i="1"/>
  <c r="H307" i="1" s="1"/>
  <c r="J313" i="1"/>
  <c r="H313" i="1" s="1"/>
  <c r="K313" i="1"/>
  <c r="I313" i="1"/>
  <c r="I321" i="1"/>
  <c r="K321" i="1"/>
  <c r="J321" i="1"/>
  <c r="H321" i="1" s="1"/>
  <c r="K329" i="1"/>
  <c r="I329" i="1"/>
  <c r="J329" i="1"/>
  <c r="H329" i="1" s="1"/>
  <c r="J404" i="1"/>
  <c r="H404" i="1" s="1"/>
  <c r="K404" i="1"/>
  <c r="I404" i="1"/>
  <c r="J495" i="1"/>
  <c r="I495" i="1"/>
  <c r="K511" i="1"/>
  <c r="J511" i="1"/>
  <c r="H511" i="1" s="1"/>
  <c r="I511" i="1"/>
  <c r="K527" i="1"/>
  <c r="J527" i="1"/>
  <c r="H527" i="1" s="1"/>
  <c r="I527" i="1"/>
  <c r="K817" i="1"/>
  <c r="J817" i="1"/>
  <c r="H817" i="1" s="1"/>
  <c r="I817" i="1"/>
  <c r="K820" i="1"/>
  <c r="J820" i="1"/>
  <c r="H820" i="1" s="1"/>
  <c r="I820" i="1"/>
  <c r="K856" i="1"/>
  <c r="J856" i="1"/>
  <c r="H856" i="1" s="1"/>
  <c r="I856" i="1"/>
  <c r="K959" i="1"/>
  <c r="J959" i="1"/>
  <c r="H959" i="1" s="1"/>
  <c r="I959" i="1"/>
  <c r="K990" i="1"/>
  <c r="J990" i="1"/>
  <c r="H990" i="1" s="1"/>
  <c r="I990" i="1"/>
  <c r="K999" i="1"/>
  <c r="J999" i="1"/>
  <c r="H999" i="1" s="1"/>
  <c r="I999" i="1"/>
  <c r="I845" i="1"/>
  <c r="K845" i="1"/>
  <c r="J845" i="1"/>
  <c r="H845" i="1" s="1"/>
  <c r="K931" i="1"/>
  <c r="J931" i="1"/>
  <c r="H931" i="1" s="1"/>
  <c r="I931" i="1"/>
  <c r="K160" i="1"/>
  <c r="J160" i="1"/>
  <c r="H160" i="1" s="1"/>
  <c r="K180" i="1"/>
  <c r="J180" i="1"/>
  <c r="H180" i="1" s="1"/>
  <c r="K219" i="1"/>
  <c r="J219" i="1"/>
  <c r="H219" i="1" s="1"/>
  <c r="I219" i="1"/>
  <c r="K223" i="1"/>
  <c r="J223" i="1"/>
  <c r="H223" i="1" s="1"/>
  <c r="I223" i="1"/>
  <c r="K226" i="1"/>
  <c r="J226" i="1"/>
  <c r="H226" i="1" s="1"/>
  <c r="I226" i="1"/>
  <c r="I231" i="1"/>
  <c r="K231" i="1"/>
  <c r="J235" i="1"/>
  <c r="H235" i="1" s="1"/>
  <c r="I235" i="1"/>
  <c r="K239" i="1"/>
  <c r="J239" i="1"/>
  <c r="H239" i="1" s="1"/>
  <c r="I246" i="1"/>
  <c r="K246" i="1"/>
  <c r="K255" i="1"/>
  <c r="J255" i="1"/>
  <c r="H255" i="1" s="1"/>
  <c r="I266" i="1"/>
  <c r="K266" i="1"/>
  <c r="J266" i="1"/>
  <c r="H266" i="1" s="1"/>
  <c r="I270" i="1"/>
  <c r="J270" i="1"/>
  <c r="H270" i="1" s="1"/>
  <c r="K279" i="1"/>
  <c r="J279" i="1"/>
  <c r="H279" i="1" s="1"/>
  <c r="I279" i="1"/>
  <c r="J303" i="1"/>
  <c r="H303" i="1" s="1"/>
  <c r="K303" i="1"/>
  <c r="I303" i="1"/>
  <c r="J308" i="1"/>
  <c r="H308" i="1" s="1"/>
  <c r="K308" i="1"/>
  <c r="I308" i="1"/>
  <c r="J317" i="1"/>
  <c r="H317" i="1" s="1"/>
  <c r="I317" i="1"/>
  <c r="J349" i="1"/>
  <c r="H349" i="1" s="1"/>
  <c r="K349" i="1"/>
  <c r="I349" i="1"/>
  <c r="K357" i="1"/>
  <c r="I357" i="1"/>
  <c r="J357" i="1"/>
  <c r="H357" i="1" s="1"/>
  <c r="K369" i="1"/>
  <c r="I369" i="1"/>
  <c r="I387" i="1"/>
  <c r="K387" i="1"/>
  <c r="J387" i="1"/>
  <c r="H387" i="1" s="1"/>
  <c r="K389" i="1"/>
  <c r="I389" i="1"/>
  <c r="J389" i="1"/>
  <c r="J394" i="1"/>
  <c r="H394" i="1" s="1"/>
  <c r="K394" i="1"/>
  <c r="J400" i="1"/>
  <c r="K400" i="1"/>
  <c r="K463" i="1"/>
  <c r="J463" i="1"/>
  <c r="H463" i="1" s="1"/>
  <c r="I463" i="1"/>
  <c r="J471" i="1"/>
  <c r="H471" i="1" s="1"/>
  <c r="I471" i="1"/>
  <c r="K471" i="1"/>
  <c r="J475" i="1"/>
  <c r="H475" i="1" s="1"/>
  <c r="I475" i="1"/>
  <c r="K475" i="1"/>
  <c r="J479" i="1"/>
  <c r="H479" i="1" s="1"/>
  <c r="I479" i="1"/>
  <c r="J507" i="1"/>
  <c r="H507" i="1" s="1"/>
  <c r="I507" i="1"/>
  <c r="K519" i="1"/>
  <c r="J519" i="1"/>
  <c r="H519" i="1" s="1"/>
  <c r="I519" i="1"/>
  <c r="J796" i="1"/>
  <c r="H796" i="1" s="1"/>
  <c r="I796" i="1"/>
  <c r="K796" i="1"/>
  <c r="J800" i="1"/>
  <c r="H800" i="1" s="1"/>
  <c r="I800" i="1"/>
  <c r="K800" i="1"/>
  <c r="J804" i="1"/>
  <c r="H804" i="1" s="1"/>
  <c r="I804" i="1"/>
  <c r="K804" i="1"/>
  <c r="J808" i="1"/>
  <c r="H808" i="1" s="1"/>
  <c r="K808" i="1"/>
  <c r="I808" i="1"/>
  <c r="K812" i="1"/>
  <c r="J812" i="1"/>
  <c r="H812" i="1" s="1"/>
  <c r="I812" i="1"/>
  <c r="K816" i="1"/>
  <c r="J816" i="1"/>
  <c r="H816" i="1" s="1"/>
  <c r="I816" i="1"/>
  <c r="K824" i="1"/>
  <c r="J824" i="1"/>
  <c r="H824" i="1" s="1"/>
  <c r="I824" i="1"/>
  <c r="K836" i="1"/>
  <c r="J836" i="1"/>
  <c r="H836" i="1" s="1"/>
  <c r="I836" i="1"/>
  <c r="I849" i="1"/>
  <c r="K849" i="1"/>
  <c r="J849" i="1"/>
  <c r="H849" i="1" s="1"/>
  <c r="K923" i="1"/>
  <c r="J923" i="1"/>
  <c r="H923" i="1" s="1"/>
  <c r="I923" i="1"/>
  <c r="K927" i="1"/>
  <c r="J927" i="1"/>
  <c r="H927" i="1" s="1"/>
  <c r="I927" i="1"/>
  <c r="K935" i="1"/>
  <c r="J935" i="1"/>
  <c r="H935" i="1" s="1"/>
  <c r="I935" i="1"/>
  <c r="K942" i="1"/>
  <c r="J942" i="1"/>
  <c r="H942" i="1" s="1"/>
  <c r="I942" i="1"/>
  <c r="K958" i="1"/>
  <c r="J958" i="1"/>
  <c r="H958" i="1" s="1"/>
  <c r="I958" i="1"/>
  <c r="K983" i="1"/>
  <c r="J983" i="1"/>
  <c r="H983" i="1" s="1"/>
  <c r="I983" i="1"/>
  <c r="K987" i="1"/>
  <c r="J987" i="1"/>
  <c r="H987" i="1" s="1"/>
  <c r="I987" i="1"/>
  <c r="K991" i="1"/>
  <c r="J991" i="1"/>
  <c r="H991" i="1" s="1"/>
  <c r="I991" i="1"/>
  <c r="H29" i="1"/>
  <c r="K51" i="1"/>
  <c r="K114" i="1"/>
  <c r="I180" i="1"/>
  <c r="J231" i="1"/>
  <c r="H231" i="1" s="1"/>
  <c r="I239" i="1"/>
  <c r="I255" i="1"/>
  <c r="K523" i="1"/>
  <c r="J523" i="1"/>
  <c r="H523" i="1" s="1"/>
  <c r="J632" i="1"/>
  <c r="H632" i="1" s="1"/>
  <c r="K632" i="1"/>
  <c r="I632" i="1"/>
  <c r="K832" i="1"/>
  <c r="J832" i="1"/>
  <c r="H832" i="1" s="1"/>
  <c r="I832" i="1"/>
  <c r="K840" i="1"/>
  <c r="J840" i="1"/>
  <c r="H840" i="1" s="1"/>
  <c r="I840" i="1"/>
  <c r="K852" i="1"/>
  <c r="J852" i="1"/>
  <c r="H852" i="1" s="1"/>
  <c r="I852" i="1"/>
  <c r="K963" i="1"/>
  <c r="J963" i="1"/>
  <c r="H963" i="1" s="1"/>
  <c r="I963" i="1"/>
  <c r="K971" i="1"/>
  <c r="J971" i="1"/>
  <c r="H971" i="1" s="1"/>
  <c r="I971" i="1"/>
  <c r="K982" i="1"/>
  <c r="J982" i="1"/>
  <c r="H982" i="1" s="1"/>
  <c r="I982" i="1"/>
  <c r="K1003" i="1"/>
  <c r="J1003" i="1"/>
  <c r="H1003" i="1" s="1"/>
  <c r="I1003" i="1"/>
  <c r="K235" i="1"/>
  <c r="J246" i="1"/>
  <c r="H246" i="1" s="1"/>
  <c r="I394" i="1"/>
  <c r="K317" i="1"/>
  <c r="K479" i="1"/>
  <c r="I833" i="1"/>
  <c r="K833" i="1"/>
  <c r="J833" i="1"/>
  <c r="H833" i="1" s="1"/>
  <c r="I841" i="1"/>
  <c r="K841" i="1"/>
  <c r="J841" i="1"/>
  <c r="H841" i="1" s="1"/>
  <c r="K939" i="1"/>
  <c r="J939" i="1"/>
  <c r="H939" i="1" s="1"/>
  <c r="I939" i="1"/>
  <c r="K950" i="1"/>
  <c r="J950" i="1"/>
  <c r="H950" i="1" s="1"/>
  <c r="I950" i="1"/>
  <c r="K995" i="1"/>
  <c r="J995" i="1"/>
  <c r="H995" i="1" s="1"/>
  <c r="I995" i="1"/>
  <c r="I160" i="1"/>
  <c r="K270" i="1"/>
  <c r="J369" i="1"/>
  <c r="H369" i="1" s="1"/>
  <c r="I400" i="1"/>
  <c r="K507" i="1"/>
  <c r="I523" i="1"/>
  <c r="I392" i="1"/>
  <c r="K392" i="1"/>
  <c r="K361" i="1"/>
  <c r="I361" i="1"/>
  <c r="K396" i="1"/>
  <c r="I396" i="1"/>
  <c r="K491" i="1"/>
  <c r="J491" i="1"/>
  <c r="H491" i="1" s="1"/>
  <c r="I491" i="1"/>
  <c r="I499" i="1"/>
  <c r="K499" i="1"/>
  <c r="I535" i="1"/>
  <c r="K535" i="1"/>
  <c r="J776" i="1"/>
  <c r="H776" i="1" s="1"/>
  <c r="I776" i="1"/>
  <c r="K776" i="1"/>
  <c r="J780" i="1"/>
  <c r="H780" i="1" s="1"/>
  <c r="I780" i="1"/>
  <c r="K780" i="1"/>
  <c r="J784" i="1"/>
  <c r="H784" i="1" s="1"/>
  <c r="I784" i="1"/>
  <c r="K784" i="1"/>
  <c r="J788" i="1"/>
  <c r="H788" i="1" s="1"/>
  <c r="I788" i="1"/>
  <c r="K788" i="1"/>
  <c r="J792" i="1"/>
  <c r="H792" i="1" s="1"/>
  <c r="I792" i="1"/>
  <c r="K792" i="1"/>
  <c r="I821" i="1"/>
  <c r="K821" i="1"/>
  <c r="J821" i="1"/>
  <c r="H821" i="1" s="1"/>
  <c r="K828" i="1"/>
  <c r="J828" i="1"/>
  <c r="H828" i="1" s="1"/>
  <c r="I828" i="1"/>
  <c r="I837" i="1"/>
  <c r="K837" i="1"/>
  <c r="J837" i="1"/>
  <c r="H837" i="1" s="1"/>
  <c r="K844" i="1"/>
  <c r="J844" i="1"/>
  <c r="H844" i="1" s="1"/>
  <c r="I844" i="1"/>
  <c r="I853" i="1"/>
  <c r="K853" i="1"/>
  <c r="J853" i="1"/>
  <c r="H853" i="1" s="1"/>
  <c r="K934" i="1"/>
  <c r="J934" i="1"/>
  <c r="H934" i="1" s="1"/>
  <c r="I934" i="1"/>
  <c r="K943" i="1"/>
  <c r="J943" i="1"/>
  <c r="H943" i="1" s="1"/>
  <c r="I943" i="1"/>
  <c r="K947" i="1"/>
  <c r="J947" i="1"/>
  <c r="H947" i="1" s="1"/>
  <c r="I947" i="1"/>
  <c r="K966" i="1"/>
  <c r="J966" i="1"/>
  <c r="H966" i="1" s="1"/>
  <c r="I966" i="1"/>
  <c r="K975" i="1"/>
  <c r="J975" i="1"/>
  <c r="H975" i="1" s="1"/>
  <c r="I975" i="1"/>
  <c r="K979" i="1"/>
  <c r="J979" i="1"/>
  <c r="H979" i="1" s="1"/>
  <c r="I979" i="1"/>
  <c r="J396" i="1"/>
  <c r="H396" i="1" s="1"/>
  <c r="H517" i="1"/>
  <c r="H8" i="1"/>
  <c r="H149" i="1"/>
  <c r="G208" i="1"/>
  <c r="H208" i="1"/>
  <c r="H103" i="1"/>
  <c r="H292" i="1"/>
  <c r="K66" i="1"/>
  <c r="K186" i="1"/>
  <c r="H31" i="1"/>
  <c r="H136" i="1"/>
  <c r="H165" i="1"/>
  <c r="H192" i="1"/>
  <c r="K319" i="1"/>
  <c r="K54" i="1"/>
  <c r="K62" i="1"/>
  <c r="K306" i="1"/>
  <c r="H290" i="1"/>
  <c r="H342" i="1"/>
  <c r="K46" i="1"/>
  <c r="H38" i="1"/>
  <c r="H62" i="1"/>
  <c r="H242" i="1"/>
  <c r="K73" i="1"/>
  <c r="H186" i="1"/>
  <c r="G860" i="1"/>
  <c r="F860" i="1"/>
  <c r="G864" i="1"/>
  <c r="F864" i="1"/>
  <c r="G868" i="1"/>
  <c r="F868" i="1"/>
  <c r="G872" i="1"/>
  <c r="F872" i="1"/>
  <c r="G876" i="1"/>
  <c r="F876" i="1"/>
  <c r="G880" i="1"/>
  <c r="F880" i="1"/>
  <c r="G882" i="1"/>
  <c r="F882" i="1"/>
  <c r="G886" i="1"/>
  <c r="F886" i="1"/>
  <c r="G890" i="1"/>
  <c r="F890" i="1"/>
  <c r="G894" i="1"/>
  <c r="F894" i="1"/>
  <c r="G898" i="1"/>
  <c r="F898" i="1"/>
  <c r="G902" i="1"/>
  <c r="F902" i="1"/>
  <c r="G908" i="1"/>
  <c r="F908" i="1"/>
  <c r="G912" i="1"/>
  <c r="F912" i="1"/>
  <c r="G916" i="1"/>
  <c r="F916" i="1"/>
  <c r="G941" i="1"/>
  <c r="F941" i="1"/>
  <c r="G949" i="1"/>
  <c r="F949" i="1"/>
  <c r="G957" i="1"/>
  <c r="F957" i="1"/>
  <c r="G965" i="1"/>
  <c r="F965" i="1"/>
  <c r="G973" i="1"/>
  <c r="F973" i="1"/>
  <c r="G981" i="1"/>
  <c r="F981" i="1"/>
  <c r="F922" i="1"/>
  <c r="F930" i="1"/>
  <c r="F938" i="1"/>
  <c r="F946" i="1"/>
  <c r="F954" i="1"/>
  <c r="F962" i="1"/>
  <c r="F970" i="1"/>
  <c r="F978" i="1"/>
  <c r="F986" i="1"/>
  <c r="G998" i="1"/>
  <c r="F998" i="1"/>
  <c r="G862" i="1"/>
  <c r="F862" i="1"/>
  <c r="G866" i="1"/>
  <c r="F866" i="1"/>
  <c r="G870" i="1"/>
  <c r="F870" i="1"/>
  <c r="G874" i="1"/>
  <c r="F874" i="1"/>
  <c r="G878" i="1"/>
  <c r="F878" i="1"/>
  <c r="G884" i="1"/>
  <c r="F884" i="1"/>
  <c r="G888" i="1"/>
  <c r="F888" i="1"/>
  <c r="G892" i="1"/>
  <c r="F892" i="1"/>
  <c r="G896" i="1"/>
  <c r="F896" i="1"/>
  <c r="G900" i="1"/>
  <c r="F900" i="1"/>
  <c r="G904" i="1"/>
  <c r="F904" i="1"/>
  <c r="G906" i="1"/>
  <c r="F906" i="1"/>
  <c r="G910" i="1"/>
  <c r="F910" i="1"/>
  <c r="G914" i="1"/>
  <c r="F914" i="1"/>
  <c r="G918" i="1"/>
  <c r="F918" i="1"/>
  <c r="G920" i="1"/>
  <c r="F920" i="1"/>
  <c r="G925" i="1"/>
  <c r="F925" i="1"/>
  <c r="G933" i="1"/>
  <c r="F933" i="1"/>
  <c r="G989" i="1"/>
  <c r="F989" i="1"/>
  <c r="G994" i="1"/>
  <c r="F994" i="1"/>
  <c r="G859" i="1"/>
  <c r="F859" i="1"/>
  <c r="G861" i="1"/>
  <c r="F861" i="1"/>
  <c r="G863" i="1"/>
  <c r="F863" i="1"/>
  <c r="G865" i="1"/>
  <c r="F865" i="1"/>
  <c r="G867" i="1"/>
  <c r="F867" i="1"/>
  <c r="G869" i="1"/>
  <c r="F869" i="1"/>
  <c r="G871" i="1"/>
  <c r="F871" i="1"/>
  <c r="G873" i="1"/>
  <c r="F873" i="1"/>
  <c r="G875" i="1"/>
  <c r="F875" i="1"/>
  <c r="G877" i="1"/>
  <c r="F877" i="1"/>
  <c r="G879" i="1"/>
  <c r="F879" i="1"/>
  <c r="G881" i="1"/>
  <c r="F881" i="1"/>
  <c r="G883" i="1"/>
  <c r="F883" i="1"/>
  <c r="G885" i="1"/>
  <c r="F885" i="1"/>
  <c r="G887" i="1"/>
  <c r="F887" i="1"/>
  <c r="G889" i="1"/>
  <c r="F889" i="1"/>
  <c r="G891" i="1"/>
  <c r="F891" i="1"/>
  <c r="G893" i="1"/>
  <c r="F893" i="1"/>
  <c r="G895" i="1"/>
  <c r="F895" i="1"/>
  <c r="G897" i="1"/>
  <c r="F897" i="1"/>
  <c r="G899" i="1"/>
  <c r="F899" i="1"/>
  <c r="G901" i="1"/>
  <c r="F901" i="1"/>
  <c r="G903" i="1"/>
  <c r="F903" i="1"/>
  <c r="G905" i="1"/>
  <c r="F905" i="1"/>
  <c r="G907" i="1"/>
  <c r="F907" i="1"/>
  <c r="G909" i="1"/>
  <c r="F909" i="1"/>
  <c r="G911" i="1"/>
  <c r="F911" i="1"/>
  <c r="G913" i="1"/>
  <c r="F913" i="1"/>
  <c r="G915" i="1"/>
  <c r="F915" i="1"/>
  <c r="G917" i="1"/>
  <c r="F917" i="1"/>
  <c r="G919" i="1"/>
  <c r="F919" i="1"/>
  <c r="G921" i="1"/>
  <c r="F921" i="1"/>
  <c r="G929" i="1"/>
  <c r="F929" i="1"/>
  <c r="G937" i="1"/>
  <c r="F937" i="1"/>
  <c r="G945" i="1"/>
  <c r="F945" i="1"/>
  <c r="G953" i="1"/>
  <c r="F953" i="1"/>
  <c r="G961" i="1"/>
  <c r="F961" i="1"/>
  <c r="G969" i="1"/>
  <c r="F969" i="1"/>
  <c r="G977" i="1"/>
  <c r="F977" i="1"/>
  <c r="G985" i="1"/>
  <c r="F985" i="1"/>
  <c r="G993" i="1"/>
  <c r="F993" i="1"/>
  <c r="G1002" i="1"/>
  <c r="F1002" i="1"/>
  <c r="F997" i="1"/>
  <c r="F1001" i="1"/>
  <c r="F1005" i="1"/>
  <c r="F924" i="1"/>
  <c r="F928" i="1"/>
  <c r="F932" i="1"/>
  <c r="F936" i="1"/>
  <c r="F940" i="1"/>
  <c r="F944" i="1"/>
  <c r="F948" i="1"/>
  <c r="F952" i="1"/>
  <c r="F956" i="1"/>
  <c r="F960" i="1"/>
  <c r="F964" i="1"/>
  <c r="F968" i="1"/>
  <c r="F972" i="1"/>
  <c r="F976" i="1"/>
  <c r="F980" i="1"/>
  <c r="F984" i="1"/>
  <c r="F988" i="1"/>
  <c r="F992" i="1"/>
  <c r="F996" i="1"/>
  <c r="F1000" i="1"/>
  <c r="F1004" i="1"/>
  <c r="F787" i="1"/>
  <c r="F795" i="1"/>
  <c r="F815" i="1"/>
  <c r="F823" i="1"/>
  <c r="F827" i="1"/>
  <c r="F835" i="1"/>
  <c r="F843" i="1"/>
  <c r="F851"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8" i="1"/>
  <c r="F782" i="1"/>
  <c r="F786" i="1"/>
  <c r="F790" i="1"/>
  <c r="F794" i="1"/>
  <c r="F798" i="1"/>
  <c r="F802" i="1"/>
  <c r="F806" i="1"/>
  <c r="F810" i="1"/>
  <c r="F814" i="1"/>
  <c r="F818" i="1"/>
  <c r="F822" i="1"/>
  <c r="F826" i="1"/>
  <c r="F830" i="1"/>
  <c r="F834" i="1"/>
  <c r="F838" i="1"/>
  <c r="F842" i="1"/>
  <c r="F846" i="1"/>
  <c r="F850" i="1"/>
  <c r="F854" i="1"/>
  <c r="F858" i="1"/>
  <c r="F775" i="1"/>
  <c r="F779" i="1"/>
  <c r="F783" i="1"/>
  <c r="F791" i="1"/>
  <c r="F799" i="1"/>
  <c r="F803" i="1"/>
  <c r="F807" i="1"/>
  <c r="F811" i="1"/>
  <c r="F819" i="1"/>
  <c r="F831" i="1"/>
  <c r="F839" i="1"/>
  <c r="F847" i="1"/>
  <c r="F855" i="1"/>
  <c r="F777" i="1"/>
  <c r="F781" i="1"/>
  <c r="F785" i="1"/>
  <c r="F789" i="1"/>
  <c r="F793" i="1"/>
  <c r="F797" i="1"/>
  <c r="F801" i="1"/>
  <c r="F805" i="1"/>
  <c r="F809" i="1"/>
  <c r="F813" i="1"/>
  <c r="F857" i="1"/>
  <c r="G634" i="1"/>
  <c r="F634" i="1"/>
  <c r="G636" i="1"/>
  <c r="F636" i="1"/>
  <c r="G638" i="1"/>
  <c r="F638" i="1"/>
  <c r="G640" i="1"/>
  <c r="F640" i="1"/>
  <c r="G642" i="1"/>
  <c r="F642" i="1"/>
  <c r="G644" i="1"/>
  <c r="F644" i="1"/>
  <c r="G646" i="1"/>
  <c r="F646" i="1"/>
  <c r="G648" i="1"/>
  <c r="F648" i="1"/>
  <c r="G650" i="1"/>
  <c r="F650" i="1"/>
  <c r="G652" i="1"/>
  <c r="F652" i="1"/>
  <c r="G654" i="1"/>
  <c r="F654" i="1"/>
  <c r="G656" i="1"/>
  <c r="F656" i="1"/>
  <c r="G658" i="1"/>
  <c r="F658" i="1"/>
  <c r="G660" i="1"/>
  <c r="F660" i="1"/>
  <c r="G662" i="1"/>
  <c r="F662" i="1"/>
  <c r="G664" i="1"/>
  <c r="F664" i="1"/>
  <c r="G666" i="1"/>
  <c r="F666" i="1"/>
  <c r="G668" i="1"/>
  <c r="F668" i="1"/>
  <c r="G670" i="1"/>
  <c r="F670" i="1"/>
  <c r="G672" i="1"/>
  <c r="F672" i="1"/>
  <c r="G674" i="1"/>
  <c r="F674" i="1"/>
  <c r="G676" i="1"/>
  <c r="F676" i="1"/>
  <c r="G678" i="1"/>
  <c r="F678" i="1"/>
  <c r="G680" i="1"/>
  <c r="F680" i="1"/>
  <c r="G682" i="1"/>
  <c r="F682" i="1"/>
  <c r="G684" i="1"/>
  <c r="F684" i="1"/>
  <c r="G686" i="1"/>
  <c r="F686" i="1"/>
  <c r="G688" i="1"/>
  <c r="F688" i="1"/>
  <c r="G690" i="1"/>
  <c r="F690" i="1"/>
  <c r="G692" i="1"/>
  <c r="F692" i="1"/>
  <c r="G694" i="1"/>
  <c r="F694" i="1"/>
  <c r="G696" i="1"/>
  <c r="F696" i="1"/>
  <c r="G698" i="1"/>
  <c r="F698" i="1"/>
  <c r="G700" i="1"/>
  <c r="F700" i="1"/>
  <c r="G702" i="1"/>
  <c r="F702" i="1"/>
  <c r="G704" i="1"/>
  <c r="F704" i="1"/>
  <c r="G706" i="1"/>
  <c r="F706" i="1"/>
  <c r="G708" i="1"/>
  <c r="F708" i="1"/>
  <c r="G710" i="1"/>
  <c r="F710" i="1"/>
  <c r="G712" i="1"/>
  <c r="F712" i="1"/>
  <c r="G714" i="1"/>
  <c r="F714" i="1"/>
  <c r="G716" i="1"/>
  <c r="F716" i="1"/>
  <c r="F546" i="1"/>
  <c r="F547" i="1"/>
  <c r="F548" i="1"/>
  <c r="F549" i="1"/>
  <c r="F550" i="1"/>
  <c r="F551" i="1"/>
  <c r="F552" i="1"/>
  <c r="F553" i="1"/>
  <c r="F554" i="1"/>
  <c r="F555" i="1"/>
  <c r="F556" i="1"/>
  <c r="F557" i="1"/>
  <c r="F558" i="1"/>
  <c r="F559" i="1"/>
  <c r="F560" i="1"/>
  <c r="F561" i="1"/>
  <c r="F562" i="1"/>
  <c r="F563" i="1"/>
  <c r="F564" i="1"/>
  <c r="F565" i="1"/>
  <c r="F566" i="1"/>
  <c r="F567"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7" i="1"/>
  <c r="F598" i="1"/>
  <c r="F599" i="1"/>
  <c r="F600" i="1"/>
  <c r="F601" i="1"/>
  <c r="F602" i="1"/>
  <c r="F603" i="1"/>
  <c r="F604" i="1"/>
  <c r="F605" i="1"/>
  <c r="F606" i="1"/>
  <c r="F607" i="1"/>
  <c r="F608" i="1"/>
  <c r="F610" i="1"/>
  <c r="F611" i="1"/>
  <c r="F613" i="1"/>
  <c r="F614" i="1"/>
  <c r="F615" i="1"/>
  <c r="F616" i="1"/>
  <c r="F617" i="1"/>
  <c r="F618" i="1"/>
  <c r="F619" i="1"/>
  <c r="F620" i="1"/>
  <c r="F621" i="1"/>
  <c r="F622" i="1"/>
  <c r="F623" i="1"/>
  <c r="F624" i="1"/>
  <c r="F625" i="1"/>
  <c r="F626" i="1"/>
  <c r="F627" i="1"/>
  <c r="F628" i="1"/>
  <c r="F629" i="1"/>
  <c r="F630" i="1"/>
  <c r="F631" i="1"/>
  <c r="G633" i="1"/>
  <c r="F633" i="1"/>
  <c r="G635" i="1"/>
  <c r="F635" i="1"/>
  <c r="G637" i="1"/>
  <c r="F637" i="1"/>
  <c r="G639" i="1"/>
  <c r="F639" i="1"/>
  <c r="G641" i="1"/>
  <c r="F641" i="1"/>
  <c r="G643" i="1"/>
  <c r="F643" i="1"/>
  <c r="G645" i="1"/>
  <c r="F645" i="1"/>
  <c r="G647" i="1"/>
  <c r="F647" i="1"/>
  <c r="G649" i="1"/>
  <c r="F649" i="1"/>
  <c r="G651" i="1"/>
  <c r="F651" i="1"/>
  <c r="G653" i="1"/>
  <c r="F653" i="1"/>
  <c r="G655" i="1"/>
  <c r="F655" i="1"/>
  <c r="G657" i="1"/>
  <c r="F657" i="1"/>
  <c r="G659" i="1"/>
  <c r="F659" i="1"/>
  <c r="G661" i="1"/>
  <c r="F661" i="1"/>
  <c r="G663" i="1"/>
  <c r="F663" i="1"/>
  <c r="G665" i="1"/>
  <c r="F665" i="1"/>
  <c r="G667" i="1"/>
  <c r="F667" i="1"/>
  <c r="G669" i="1"/>
  <c r="F669" i="1"/>
  <c r="G671" i="1"/>
  <c r="F671" i="1"/>
  <c r="G673" i="1"/>
  <c r="F673" i="1"/>
  <c r="G675" i="1"/>
  <c r="F675" i="1"/>
  <c r="G677" i="1"/>
  <c r="F677" i="1"/>
  <c r="G679" i="1"/>
  <c r="F679" i="1"/>
  <c r="G681" i="1"/>
  <c r="F681" i="1"/>
  <c r="G683" i="1"/>
  <c r="F683" i="1"/>
  <c r="G685" i="1"/>
  <c r="F685" i="1"/>
  <c r="G687" i="1"/>
  <c r="F687" i="1"/>
  <c r="G689" i="1"/>
  <c r="F689" i="1"/>
  <c r="G691" i="1"/>
  <c r="F691" i="1"/>
  <c r="G693" i="1"/>
  <c r="F693" i="1"/>
  <c r="G695" i="1"/>
  <c r="F695" i="1"/>
  <c r="G697" i="1"/>
  <c r="F697" i="1"/>
  <c r="G699" i="1"/>
  <c r="F699" i="1"/>
  <c r="G701" i="1"/>
  <c r="F701" i="1"/>
  <c r="G703" i="1"/>
  <c r="F703" i="1"/>
  <c r="G705" i="1"/>
  <c r="F705" i="1"/>
  <c r="G707" i="1"/>
  <c r="F707" i="1"/>
  <c r="G709" i="1"/>
  <c r="F709" i="1"/>
  <c r="G711" i="1"/>
  <c r="F711" i="1"/>
  <c r="G713" i="1"/>
  <c r="F713" i="1"/>
  <c r="G715" i="1"/>
  <c r="F715" i="1"/>
  <c r="G717" i="1"/>
  <c r="F717" i="1"/>
  <c r="G409" i="1"/>
  <c r="F409" i="1"/>
  <c r="G413" i="1"/>
  <c r="F413" i="1"/>
  <c r="G415" i="1"/>
  <c r="F415" i="1"/>
  <c r="G421" i="1"/>
  <c r="F421" i="1"/>
  <c r="G425" i="1"/>
  <c r="F425" i="1"/>
  <c r="G429" i="1"/>
  <c r="F429" i="1"/>
  <c r="G433" i="1"/>
  <c r="F433" i="1"/>
  <c r="G437" i="1"/>
  <c r="F437" i="1"/>
  <c r="G443" i="1"/>
  <c r="F443" i="1"/>
  <c r="G455" i="1"/>
  <c r="F455" i="1"/>
  <c r="F469" i="1"/>
  <c r="G477" i="1"/>
  <c r="F477" i="1"/>
  <c r="F482" i="1"/>
  <c r="F490" i="1"/>
  <c r="F498" i="1"/>
  <c r="F506" i="1"/>
  <c r="F514" i="1"/>
  <c r="F538" i="1"/>
  <c r="G408" i="1"/>
  <c r="F408" i="1"/>
  <c r="G410" i="1"/>
  <c r="F410" i="1"/>
  <c r="G412" i="1"/>
  <c r="F412" i="1"/>
  <c r="G416" i="1"/>
  <c r="F416" i="1"/>
  <c r="F418" i="1"/>
  <c r="G422" i="1"/>
  <c r="F422" i="1"/>
  <c r="G424" i="1"/>
  <c r="F424" i="1"/>
  <c r="G428" i="1"/>
  <c r="F428" i="1"/>
  <c r="G430" i="1"/>
  <c r="F430" i="1"/>
  <c r="F432" i="1"/>
  <c r="G434" i="1"/>
  <c r="F434" i="1"/>
  <c r="G436" i="1"/>
  <c r="F436" i="1"/>
  <c r="F440" i="1"/>
  <c r="G442" i="1"/>
  <c r="F442" i="1"/>
  <c r="G444" i="1"/>
  <c r="F444" i="1"/>
  <c r="G448" i="1"/>
  <c r="F448" i="1"/>
  <c r="G450" i="1"/>
  <c r="F450" i="1"/>
  <c r="G452" i="1"/>
  <c r="F452" i="1"/>
  <c r="G454" i="1"/>
  <c r="F454" i="1"/>
  <c r="G456" i="1"/>
  <c r="F456" i="1"/>
  <c r="G458" i="1"/>
  <c r="F458" i="1"/>
  <c r="G460" i="1"/>
  <c r="F460" i="1"/>
  <c r="F465" i="1"/>
  <c r="G473" i="1"/>
  <c r="F473" i="1"/>
  <c r="F481" i="1"/>
  <c r="G489" i="1"/>
  <c r="F489" i="1"/>
  <c r="G497" i="1"/>
  <c r="F497" i="1"/>
  <c r="G505" i="1"/>
  <c r="F505" i="1"/>
  <c r="G513" i="1"/>
  <c r="F513" i="1"/>
  <c r="G521" i="1"/>
  <c r="F521" i="1"/>
  <c r="G529" i="1"/>
  <c r="F529" i="1"/>
  <c r="G537" i="1"/>
  <c r="F537" i="1"/>
  <c r="G545" i="1"/>
  <c r="F545" i="1"/>
  <c r="G407" i="1"/>
  <c r="F407" i="1"/>
  <c r="G411" i="1"/>
  <c r="F411" i="1"/>
  <c r="F417" i="1"/>
  <c r="G419" i="1"/>
  <c r="F419" i="1"/>
  <c r="G423" i="1"/>
  <c r="F423" i="1"/>
  <c r="G427" i="1"/>
  <c r="F427" i="1"/>
  <c r="G431" i="1"/>
  <c r="F431" i="1"/>
  <c r="G435" i="1"/>
  <c r="F435" i="1"/>
  <c r="G439" i="1"/>
  <c r="F439" i="1"/>
  <c r="G441" i="1"/>
  <c r="F441" i="1"/>
  <c r="G445" i="1"/>
  <c r="F445" i="1"/>
  <c r="G447" i="1"/>
  <c r="F447" i="1"/>
  <c r="G451" i="1"/>
  <c r="F451" i="1"/>
  <c r="G453" i="1"/>
  <c r="F453" i="1"/>
  <c r="G457" i="1"/>
  <c r="F457" i="1"/>
  <c r="G459" i="1"/>
  <c r="F459" i="1"/>
  <c r="G461" i="1"/>
  <c r="F461" i="1"/>
  <c r="G485" i="1"/>
  <c r="F485" i="1"/>
  <c r="G493" i="1"/>
  <c r="F493" i="1"/>
  <c r="G501" i="1"/>
  <c r="F501" i="1"/>
  <c r="G509" i="1"/>
  <c r="F509" i="1"/>
  <c r="G525" i="1"/>
  <c r="F525" i="1"/>
  <c r="F533" i="1"/>
  <c r="G541" i="1"/>
  <c r="F541" i="1"/>
  <c r="F399" i="1"/>
  <c r="F474" i="1"/>
  <c r="F522" i="1"/>
  <c r="F530" i="1"/>
  <c r="F398" i="1"/>
  <c r="F402" i="1"/>
  <c r="F406" i="1"/>
  <c r="G414" i="1"/>
  <c r="F414" i="1"/>
  <c r="F420" i="1"/>
  <c r="G426" i="1"/>
  <c r="F426" i="1"/>
  <c r="G446" i="1"/>
  <c r="F446" i="1"/>
  <c r="F397" i="1"/>
  <c r="F401" i="1"/>
  <c r="F405" i="1"/>
  <c r="F462" i="1"/>
  <c r="F470" i="1"/>
  <c r="F478" i="1"/>
  <c r="F486" i="1"/>
  <c r="F494" i="1"/>
  <c r="F502" i="1"/>
  <c r="F510" i="1"/>
  <c r="F518" i="1"/>
  <c r="F526" i="1"/>
  <c r="F534" i="1"/>
  <c r="F542" i="1"/>
  <c r="F464" i="1"/>
  <c r="F468" i="1"/>
  <c r="F472" i="1"/>
  <c r="F476" i="1"/>
  <c r="F480" i="1"/>
  <c r="F484" i="1"/>
  <c r="F488" i="1"/>
  <c r="F492" i="1"/>
  <c r="K492" i="1" s="1"/>
  <c r="F496" i="1"/>
  <c r="F500" i="1"/>
  <c r="F504" i="1"/>
  <c r="F508" i="1"/>
  <c r="F512" i="1"/>
  <c r="F516" i="1"/>
  <c r="F520" i="1"/>
  <c r="F524" i="1"/>
  <c r="F528" i="1"/>
  <c r="F532" i="1"/>
  <c r="F540" i="1"/>
  <c r="F544" i="1"/>
  <c r="G379" i="1"/>
  <c r="F379" i="1"/>
  <c r="G381" i="1"/>
  <c r="F381" i="1"/>
  <c r="G385" i="1"/>
  <c r="F385" i="1"/>
  <c r="F312" i="1"/>
  <c r="F316" i="1"/>
  <c r="F320" i="1"/>
  <c r="F324" i="1"/>
  <c r="F332" i="1"/>
  <c r="F336" i="1"/>
  <c r="F340" i="1"/>
  <c r="F344" i="1"/>
  <c r="F348" i="1"/>
  <c r="F352" i="1"/>
  <c r="F356" i="1"/>
  <c r="F360" i="1"/>
  <c r="F364" i="1"/>
  <c r="F368" i="1"/>
  <c r="F372" i="1"/>
  <c r="F376" i="1"/>
  <c r="F311" i="1"/>
  <c r="F315" i="1"/>
  <c r="F323" i="1"/>
  <c r="F327" i="1"/>
  <c r="F331" i="1"/>
  <c r="F335" i="1"/>
  <c r="F339" i="1"/>
  <c r="F343" i="1"/>
  <c r="F347" i="1"/>
  <c r="F351" i="1"/>
  <c r="F355" i="1"/>
  <c r="F359" i="1"/>
  <c r="F363" i="1"/>
  <c r="F367" i="1"/>
  <c r="F371" i="1"/>
  <c r="F375" i="1"/>
  <c r="G378" i="1"/>
  <c r="F378" i="1"/>
  <c r="F380" i="1"/>
  <c r="F382" i="1"/>
  <c r="F384" i="1"/>
  <c r="G386" i="1"/>
  <c r="F386" i="1"/>
  <c r="F314" i="1"/>
  <c r="F318" i="1"/>
  <c r="F322" i="1"/>
  <c r="F326" i="1"/>
  <c r="F330" i="1"/>
  <c r="F334" i="1"/>
  <c r="F338" i="1"/>
  <c r="F346" i="1"/>
  <c r="F350" i="1"/>
  <c r="F354" i="1"/>
  <c r="F358" i="1"/>
  <c r="F362" i="1"/>
  <c r="F366" i="1"/>
  <c r="F370" i="1"/>
  <c r="F374" i="1"/>
  <c r="F309" i="1"/>
  <c r="F310" i="1"/>
  <c r="F217" i="1"/>
  <c r="F221" i="1"/>
  <c r="F225" i="1"/>
  <c r="F241" i="1"/>
  <c r="F253" i="1"/>
  <c r="F257" i="1"/>
  <c r="F265" i="1"/>
  <c r="F277" i="1"/>
  <c r="F281" i="1"/>
  <c r="F285" i="1"/>
  <c r="F289" i="1"/>
  <c r="F293" i="1"/>
  <c r="F297" i="1"/>
  <c r="F202" i="1"/>
  <c r="F203" i="1"/>
  <c r="F204" i="1"/>
  <c r="F205" i="1"/>
  <c r="F206" i="1"/>
  <c r="F207" i="1"/>
  <c r="F209" i="1"/>
  <c r="F210" i="1"/>
  <c r="F211" i="1"/>
  <c r="F212" i="1"/>
  <c r="F213" i="1"/>
  <c r="F214" i="1"/>
  <c r="F215" i="1"/>
  <c r="F216" i="1"/>
  <c r="F220" i="1"/>
  <c r="F228" i="1"/>
  <c r="F236" i="1"/>
  <c r="F240" i="1"/>
  <c r="F244" i="1"/>
  <c r="F248" i="1"/>
  <c r="F252" i="1"/>
  <c r="F256" i="1"/>
  <c r="F260" i="1"/>
  <c r="F264" i="1"/>
  <c r="F268" i="1"/>
  <c r="F272" i="1"/>
  <c r="F276" i="1"/>
  <c r="F280" i="1"/>
  <c r="F284" i="1"/>
  <c r="F288" i="1"/>
  <c r="F296" i="1"/>
  <c r="F300" i="1"/>
  <c r="F229" i="1"/>
  <c r="F233" i="1"/>
  <c r="F261" i="1"/>
  <c r="F269" i="1"/>
  <c r="F291" i="1"/>
  <c r="F295" i="1"/>
  <c r="F299" i="1"/>
  <c r="F138" i="1"/>
  <c r="F51" i="1"/>
  <c r="F120" i="1"/>
  <c r="F123" i="1"/>
  <c r="F131" i="1"/>
  <c r="F140" i="1"/>
  <c r="F148" i="1"/>
  <c r="F159" i="1"/>
  <c r="F167" i="1"/>
  <c r="F170" i="1"/>
  <c r="F176" i="1"/>
  <c r="F184" i="1"/>
  <c r="F187" i="1"/>
  <c r="F119" i="1"/>
  <c r="F122" i="1"/>
  <c r="F128" i="1"/>
  <c r="F139" i="1"/>
  <c r="F147" i="1"/>
  <c r="F164" i="1"/>
  <c r="F175" i="1"/>
  <c r="F191" i="1"/>
  <c r="G60" i="1"/>
  <c r="F60" i="1"/>
  <c r="G68" i="1"/>
  <c r="F68" i="1"/>
  <c r="G72" i="1"/>
  <c r="F72" i="1"/>
  <c r="G76" i="1"/>
  <c r="F76" i="1"/>
  <c r="G78" i="1"/>
  <c r="F78" i="1"/>
  <c r="G82" i="1"/>
  <c r="F82" i="1"/>
  <c r="G86" i="1"/>
  <c r="F86" i="1"/>
  <c r="G90" i="1"/>
  <c r="F90" i="1"/>
  <c r="G96" i="1"/>
  <c r="F96" i="1"/>
  <c r="G98" i="1"/>
  <c r="F98" i="1"/>
  <c r="F102" i="1"/>
  <c r="G106" i="1"/>
  <c r="F106" i="1"/>
  <c r="G110" i="1"/>
  <c r="F110" i="1"/>
  <c r="F114" i="1"/>
  <c r="G116" i="1"/>
  <c r="F116" i="1"/>
  <c r="G157" i="1"/>
  <c r="F157" i="1"/>
  <c r="G189" i="1"/>
  <c r="F189" i="1"/>
  <c r="F5" i="1"/>
  <c r="F7" i="1"/>
  <c r="F8" i="1"/>
  <c r="F11" i="1"/>
  <c r="F12" i="1"/>
  <c r="F14" i="1"/>
  <c r="F16" i="1"/>
  <c r="F18" i="1"/>
  <c r="F20" i="1"/>
  <c r="F22" i="1"/>
  <c r="F24" i="1"/>
  <c r="F25" i="1"/>
  <c r="F27" i="1"/>
  <c r="F29" i="1"/>
  <c r="F31" i="1"/>
  <c r="F33" i="1"/>
  <c r="F35" i="1"/>
  <c r="F37" i="1"/>
  <c r="F43" i="1"/>
  <c r="F45" i="1"/>
  <c r="F50" i="1"/>
  <c r="G121" i="1"/>
  <c r="F121" i="1"/>
  <c r="G137" i="1"/>
  <c r="F137" i="1"/>
  <c r="F166" i="1"/>
  <c r="F185" i="1"/>
  <c r="G9" i="1"/>
  <c r="G10" i="1"/>
  <c r="G13" i="1"/>
  <c r="G15" i="1"/>
  <c r="G17" i="1"/>
  <c r="G19" i="1"/>
  <c r="G21" i="1"/>
  <c r="G26" i="1"/>
  <c r="G28" i="1"/>
  <c r="F49" i="1"/>
  <c r="F53" i="1"/>
  <c r="G57" i="1"/>
  <c r="F57" i="1"/>
  <c r="G59" i="1"/>
  <c r="F59" i="1"/>
  <c r="G61" i="1"/>
  <c r="F61" i="1"/>
  <c r="G63" i="1"/>
  <c r="F63" i="1"/>
  <c r="G67" i="1"/>
  <c r="F67" i="1"/>
  <c r="G69" i="1"/>
  <c r="F69" i="1"/>
  <c r="G71" i="1"/>
  <c r="F71" i="1"/>
  <c r="F73" i="1"/>
  <c r="G77" i="1"/>
  <c r="F77" i="1"/>
  <c r="F79" i="1"/>
  <c r="G81" i="1"/>
  <c r="F81" i="1"/>
  <c r="G83" i="1"/>
  <c r="F83" i="1"/>
  <c r="G85" i="1"/>
  <c r="F85" i="1"/>
  <c r="G87" i="1"/>
  <c r="F87" i="1"/>
  <c r="F89" i="1"/>
  <c r="G91" i="1"/>
  <c r="F91" i="1"/>
  <c r="G93" i="1"/>
  <c r="F93" i="1"/>
  <c r="G95" i="1"/>
  <c r="F95" i="1"/>
  <c r="G99" i="1"/>
  <c r="F99" i="1"/>
  <c r="G101" i="1"/>
  <c r="F101" i="1"/>
  <c r="G105" i="1"/>
  <c r="F105" i="1"/>
  <c r="G107" i="1"/>
  <c r="F107" i="1"/>
  <c r="F109" i="1"/>
  <c r="G111" i="1"/>
  <c r="F111" i="1"/>
  <c r="G113" i="1"/>
  <c r="F113" i="1"/>
  <c r="G115" i="1"/>
  <c r="F115" i="1"/>
  <c r="G117" i="1"/>
  <c r="F117" i="1"/>
  <c r="F130" i="1"/>
  <c r="F146" i="1"/>
  <c r="F162" i="1"/>
  <c r="F178" i="1"/>
  <c r="G181" i="1"/>
  <c r="F181" i="1"/>
  <c r="G193" i="1"/>
  <c r="F193" i="1"/>
  <c r="F201" i="1"/>
  <c r="G56" i="1"/>
  <c r="F56" i="1"/>
  <c r="G58" i="1"/>
  <c r="F58" i="1"/>
  <c r="G64" i="1"/>
  <c r="F64" i="1"/>
  <c r="F66" i="1"/>
  <c r="G70" i="1"/>
  <c r="F70" i="1"/>
  <c r="G74" i="1"/>
  <c r="F74" i="1"/>
  <c r="G80" i="1"/>
  <c r="F80" i="1"/>
  <c r="G84" i="1"/>
  <c r="F84" i="1"/>
  <c r="G88" i="1"/>
  <c r="F88" i="1"/>
  <c r="G92" i="1"/>
  <c r="F92" i="1"/>
  <c r="G94" i="1"/>
  <c r="F94" i="1"/>
  <c r="G100" i="1"/>
  <c r="F100" i="1"/>
  <c r="G104" i="1"/>
  <c r="F104" i="1"/>
  <c r="G108" i="1"/>
  <c r="F108" i="1"/>
  <c r="G112" i="1"/>
  <c r="F112" i="1"/>
  <c r="G125" i="1"/>
  <c r="F125" i="1"/>
  <c r="G141" i="1"/>
  <c r="F141" i="1"/>
  <c r="F173" i="1"/>
  <c r="G197" i="1"/>
  <c r="F197" i="1"/>
  <c r="F4" i="1"/>
  <c r="F6" i="1"/>
  <c r="F30" i="1"/>
  <c r="F32" i="1"/>
  <c r="F34" i="1"/>
  <c r="F36" i="1"/>
  <c r="F39" i="1"/>
  <c r="F42" i="1"/>
  <c r="F44" i="1"/>
  <c r="F46" i="1"/>
  <c r="F118" i="1"/>
  <c r="F134" i="1"/>
  <c r="F150" i="1"/>
  <c r="G153" i="1"/>
  <c r="F153" i="1"/>
  <c r="G169" i="1"/>
  <c r="F169" i="1"/>
  <c r="F182" i="1"/>
  <c r="F194" i="1"/>
  <c r="G55" i="1"/>
  <c r="F55" i="1"/>
  <c r="G65" i="1"/>
  <c r="F65" i="1"/>
  <c r="F48" i="1"/>
  <c r="F52" i="1"/>
  <c r="F126" i="1"/>
  <c r="G129" i="1"/>
  <c r="F129" i="1"/>
  <c r="F142" i="1"/>
  <c r="G145" i="1"/>
  <c r="F145" i="1"/>
  <c r="F158" i="1"/>
  <c r="G161" i="1"/>
  <c r="F161" i="1"/>
  <c r="G177" i="1"/>
  <c r="F177" i="1"/>
  <c r="F190" i="1"/>
  <c r="F198" i="1"/>
  <c r="F196" i="1"/>
  <c r="F200" i="1"/>
  <c r="J2" i="1"/>
  <c r="H2" i="1" s="1"/>
  <c r="F3" i="1"/>
  <c r="J3" i="1" s="1"/>
  <c r="H3" i="1" s="1"/>
  <c r="H400" i="1" l="1"/>
  <c r="G400" i="1"/>
  <c r="H389" i="1"/>
  <c r="K403" i="1"/>
  <c r="H262" i="1"/>
  <c r="K230" i="1"/>
  <c r="I177" i="1"/>
  <c r="K177" i="1"/>
  <c r="J177" i="1"/>
  <c r="H177" i="1" s="1"/>
  <c r="I130" i="1"/>
  <c r="J130" i="1"/>
  <c r="H130" i="1" s="1"/>
  <c r="K130" i="1"/>
  <c r="J99" i="1"/>
  <c r="H99" i="1" s="1"/>
  <c r="I99" i="1"/>
  <c r="K99" i="1"/>
  <c r="K93" i="1"/>
  <c r="I93" i="1"/>
  <c r="J93" i="1"/>
  <c r="H93" i="1" s="1"/>
  <c r="I296" i="1"/>
  <c r="J296" i="1"/>
  <c r="I260" i="1"/>
  <c r="K260" i="1"/>
  <c r="J260" i="1"/>
  <c r="H260" i="1" s="1"/>
  <c r="J244" i="1"/>
  <c r="H244" i="1" s="1"/>
  <c r="I244" i="1"/>
  <c r="K244" i="1"/>
  <c r="K213" i="1"/>
  <c r="J213" i="1"/>
  <c r="H213" i="1" s="1"/>
  <c r="I213" i="1"/>
  <c r="K209" i="1"/>
  <c r="J209" i="1"/>
  <c r="H209" i="1" s="1"/>
  <c r="I209" i="1"/>
  <c r="K204" i="1"/>
  <c r="J204" i="1"/>
  <c r="H204" i="1" s="1"/>
  <c r="I204" i="1"/>
  <c r="J293" i="1"/>
  <c r="H293" i="1" s="1"/>
  <c r="I293" i="1"/>
  <c r="K293" i="1"/>
  <c r="I277" i="1"/>
  <c r="K277" i="1"/>
  <c r="J277" i="1"/>
  <c r="H277" i="1" s="1"/>
  <c r="J241" i="1"/>
  <c r="H241" i="1" s="1"/>
  <c r="I241" i="1"/>
  <c r="K241" i="1"/>
  <c r="J310" i="1"/>
  <c r="H310" i="1" s="1"/>
  <c r="K310" i="1"/>
  <c r="I310" i="1"/>
  <c r="J366" i="1"/>
  <c r="H366" i="1" s="1"/>
  <c r="I366" i="1"/>
  <c r="K366" i="1"/>
  <c r="K350" i="1"/>
  <c r="I350" i="1"/>
  <c r="J350" i="1"/>
  <c r="H350" i="1" s="1"/>
  <c r="J330" i="1"/>
  <c r="H330" i="1" s="1"/>
  <c r="K330" i="1"/>
  <c r="I330" i="1"/>
  <c r="I314" i="1"/>
  <c r="K314" i="1"/>
  <c r="J314" i="1"/>
  <c r="H314" i="1" s="1"/>
  <c r="I375" i="1"/>
  <c r="K375" i="1"/>
  <c r="J375" i="1"/>
  <c r="H375" i="1" s="1"/>
  <c r="K343" i="1"/>
  <c r="I343" i="1"/>
  <c r="J343" i="1"/>
  <c r="H343" i="1" s="1"/>
  <c r="J327" i="1"/>
  <c r="H327" i="1" s="1"/>
  <c r="I327" i="1"/>
  <c r="K327" i="1"/>
  <c r="J324" i="1"/>
  <c r="H324" i="1" s="1"/>
  <c r="K324" i="1"/>
  <c r="I324" i="1"/>
  <c r="J481" i="1"/>
  <c r="H481" i="1" s="1"/>
  <c r="I481" i="1"/>
  <c r="I452" i="1"/>
  <c r="K452" i="1"/>
  <c r="J452" i="1"/>
  <c r="H452" i="1" s="1"/>
  <c r="K430" i="1"/>
  <c r="I430" i="1"/>
  <c r="J430" i="1"/>
  <c r="H430" i="1" s="1"/>
  <c r="J425" i="1"/>
  <c r="H425" i="1" s="1"/>
  <c r="K425" i="1"/>
  <c r="I425" i="1"/>
  <c r="I707" i="1"/>
  <c r="K707" i="1"/>
  <c r="J707" i="1"/>
  <c r="H707" i="1" s="1"/>
  <c r="I687" i="1"/>
  <c r="K687" i="1"/>
  <c r="J687" i="1"/>
  <c r="H687" i="1" s="1"/>
  <c r="I675" i="1"/>
  <c r="K675" i="1"/>
  <c r="J675" i="1"/>
  <c r="H675" i="1" s="1"/>
  <c r="I659" i="1"/>
  <c r="K659" i="1"/>
  <c r="J659" i="1"/>
  <c r="H659" i="1" s="1"/>
  <c r="I647" i="1"/>
  <c r="K647" i="1"/>
  <c r="J647" i="1"/>
  <c r="H647" i="1" s="1"/>
  <c r="I635" i="1"/>
  <c r="K635" i="1"/>
  <c r="J635" i="1"/>
  <c r="H635" i="1" s="1"/>
  <c r="I627" i="1"/>
  <c r="K627" i="1"/>
  <c r="J627" i="1"/>
  <c r="H627" i="1" s="1"/>
  <c r="I619" i="1"/>
  <c r="K619" i="1"/>
  <c r="J619" i="1"/>
  <c r="H619" i="1" s="1"/>
  <c r="I615" i="1"/>
  <c r="K615" i="1"/>
  <c r="J615" i="1"/>
  <c r="H615" i="1" s="1"/>
  <c r="I610" i="1"/>
  <c r="K610" i="1"/>
  <c r="J610" i="1"/>
  <c r="H610" i="1" s="1"/>
  <c r="K605" i="1"/>
  <c r="J605" i="1"/>
  <c r="H605" i="1" s="1"/>
  <c r="I605" i="1"/>
  <c r="K601" i="1"/>
  <c r="J601" i="1"/>
  <c r="H601" i="1" s="1"/>
  <c r="I601" i="1"/>
  <c r="K597" i="1"/>
  <c r="J597" i="1"/>
  <c r="H597" i="1" s="1"/>
  <c r="I597" i="1"/>
  <c r="I592" i="1"/>
  <c r="K592" i="1"/>
  <c r="J592" i="1"/>
  <c r="H592" i="1" s="1"/>
  <c r="K588" i="1"/>
  <c r="J588" i="1"/>
  <c r="H588" i="1" s="1"/>
  <c r="I588" i="1"/>
  <c r="K584" i="1"/>
  <c r="J584" i="1"/>
  <c r="H584" i="1" s="1"/>
  <c r="I584" i="1"/>
  <c r="K580" i="1"/>
  <c r="J580" i="1"/>
  <c r="H580" i="1" s="1"/>
  <c r="I580" i="1"/>
  <c r="K196" i="1"/>
  <c r="J196" i="1"/>
  <c r="H196" i="1" s="1"/>
  <c r="I196" i="1"/>
  <c r="J145" i="1"/>
  <c r="H145" i="1" s="1"/>
  <c r="I145" i="1"/>
  <c r="K145" i="1"/>
  <c r="J194" i="1"/>
  <c r="H194" i="1" s="1"/>
  <c r="I194" i="1"/>
  <c r="K194" i="1"/>
  <c r="K153" i="1"/>
  <c r="J153" i="1"/>
  <c r="H153" i="1" s="1"/>
  <c r="I153" i="1"/>
  <c r="K118" i="1"/>
  <c r="J118" i="1"/>
  <c r="H118" i="1" s="1"/>
  <c r="I118" i="1"/>
  <c r="K125" i="1"/>
  <c r="J125" i="1"/>
  <c r="H125" i="1" s="1"/>
  <c r="I125" i="1"/>
  <c r="K108" i="1"/>
  <c r="J108" i="1"/>
  <c r="H108" i="1" s="1"/>
  <c r="I108" i="1"/>
  <c r="K100" i="1"/>
  <c r="J100" i="1"/>
  <c r="H100" i="1" s="1"/>
  <c r="I100" i="1"/>
  <c r="J92" i="1"/>
  <c r="H92" i="1" s="1"/>
  <c r="K92" i="1"/>
  <c r="I92" i="1"/>
  <c r="I84" i="1"/>
  <c r="K84" i="1"/>
  <c r="J84" i="1"/>
  <c r="H84" i="1" s="1"/>
  <c r="I193" i="1"/>
  <c r="K193" i="1"/>
  <c r="J193" i="1"/>
  <c r="H193" i="1" s="1"/>
  <c r="J178" i="1"/>
  <c r="H178" i="1" s="1"/>
  <c r="I178" i="1"/>
  <c r="K178" i="1"/>
  <c r="J117" i="1"/>
  <c r="H117" i="1" s="1"/>
  <c r="I117" i="1"/>
  <c r="K117" i="1"/>
  <c r="I113" i="1"/>
  <c r="K113" i="1"/>
  <c r="J113" i="1"/>
  <c r="H113" i="1" s="1"/>
  <c r="I109" i="1"/>
  <c r="J109" i="1"/>
  <c r="H109" i="1" s="1"/>
  <c r="K109" i="1"/>
  <c r="J87" i="1"/>
  <c r="H87" i="1" s="1"/>
  <c r="I87" i="1"/>
  <c r="K87" i="1"/>
  <c r="K83" i="1"/>
  <c r="J83" i="1"/>
  <c r="H83" i="1" s="1"/>
  <c r="I83" i="1"/>
  <c r="J79" i="1"/>
  <c r="I79" i="1"/>
  <c r="K166" i="1"/>
  <c r="J166" i="1"/>
  <c r="H166" i="1" s="1"/>
  <c r="I166" i="1"/>
  <c r="I157" i="1"/>
  <c r="K157" i="1"/>
  <c r="J157" i="1"/>
  <c r="H157" i="1" s="1"/>
  <c r="J114" i="1"/>
  <c r="H114" i="1" s="1"/>
  <c r="I114" i="1"/>
  <c r="J96" i="1"/>
  <c r="H96" i="1" s="1"/>
  <c r="K96" i="1"/>
  <c r="I96" i="1"/>
  <c r="K86" i="1"/>
  <c r="J86" i="1"/>
  <c r="H86" i="1" s="1"/>
  <c r="I86" i="1"/>
  <c r="J78" i="1"/>
  <c r="H78" i="1" s="1"/>
  <c r="I78" i="1"/>
  <c r="K78" i="1"/>
  <c r="J164" i="1"/>
  <c r="I164" i="1"/>
  <c r="K122" i="1"/>
  <c r="J122" i="1"/>
  <c r="H122" i="1" s="1"/>
  <c r="I122" i="1"/>
  <c r="K176" i="1"/>
  <c r="J176" i="1"/>
  <c r="H176" i="1" s="1"/>
  <c r="I176" i="1"/>
  <c r="J148" i="1"/>
  <c r="H148" i="1" s="1"/>
  <c r="I148" i="1"/>
  <c r="K148" i="1"/>
  <c r="I120" i="1"/>
  <c r="J120" i="1"/>
  <c r="H120" i="1" s="1"/>
  <c r="K120" i="1"/>
  <c r="J295" i="1"/>
  <c r="H295" i="1" s="1"/>
  <c r="K295" i="1"/>
  <c r="I295" i="1"/>
  <c r="K233" i="1"/>
  <c r="J233" i="1"/>
  <c r="H233" i="1" s="1"/>
  <c r="I233" i="1"/>
  <c r="J288" i="1"/>
  <c r="H288" i="1" s="1"/>
  <c r="K288" i="1"/>
  <c r="I288" i="1"/>
  <c r="K272" i="1"/>
  <c r="I272" i="1"/>
  <c r="J272" i="1"/>
  <c r="H272" i="1" s="1"/>
  <c r="I256" i="1"/>
  <c r="K256" i="1"/>
  <c r="J256" i="1"/>
  <c r="H256" i="1" s="1"/>
  <c r="I240" i="1"/>
  <c r="K240" i="1"/>
  <c r="J240" i="1"/>
  <c r="H240" i="1" s="1"/>
  <c r="K216" i="1"/>
  <c r="J216" i="1"/>
  <c r="H216" i="1" s="1"/>
  <c r="I216" i="1"/>
  <c r="K212" i="1"/>
  <c r="J212" i="1"/>
  <c r="H212" i="1" s="1"/>
  <c r="I212" i="1"/>
  <c r="J207" i="1"/>
  <c r="H207" i="1" s="1"/>
  <c r="I207" i="1"/>
  <c r="K207" i="1"/>
  <c r="I203" i="1"/>
  <c r="J203" i="1"/>
  <c r="K289" i="1"/>
  <c r="I289" i="1"/>
  <c r="J289" i="1"/>
  <c r="H289" i="1" s="1"/>
  <c r="I265" i="1"/>
  <c r="K265" i="1"/>
  <c r="J265" i="1"/>
  <c r="H265" i="1" s="1"/>
  <c r="J225" i="1"/>
  <c r="H225" i="1" s="1"/>
  <c r="I225" i="1"/>
  <c r="K225" i="1"/>
  <c r="K309" i="1"/>
  <c r="I309" i="1"/>
  <c r="J309" i="1"/>
  <c r="H309" i="1" s="1"/>
  <c r="J362" i="1"/>
  <c r="H362" i="1" s="1"/>
  <c r="K362" i="1"/>
  <c r="I362" i="1"/>
  <c r="J346" i="1"/>
  <c r="H346" i="1" s="1"/>
  <c r="K346" i="1"/>
  <c r="I346" i="1"/>
  <c r="K326" i="1"/>
  <c r="I326" i="1"/>
  <c r="J326" i="1"/>
  <c r="H326" i="1" s="1"/>
  <c r="J386" i="1"/>
  <c r="H386" i="1" s="1"/>
  <c r="K386" i="1"/>
  <c r="I386" i="1"/>
  <c r="J380" i="1"/>
  <c r="I380" i="1"/>
  <c r="I371" i="1"/>
  <c r="K371" i="1"/>
  <c r="J371" i="1"/>
  <c r="H371" i="1" s="1"/>
  <c r="I355" i="1"/>
  <c r="K355" i="1"/>
  <c r="J355" i="1"/>
  <c r="H355" i="1" s="1"/>
  <c r="J339" i="1"/>
  <c r="H339" i="1" s="1"/>
  <c r="K339" i="1"/>
  <c r="I339" i="1"/>
  <c r="K323" i="1"/>
  <c r="I323" i="1"/>
  <c r="J323" i="1"/>
  <c r="H323" i="1" s="1"/>
  <c r="J372" i="1"/>
  <c r="H372" i="1" s="1"/>
  <c r="K372" i="1"/>
  <c r="I372" i="1"/>
  <c r="J356" i="1"/>
  <c r="H356" i="1" s="1"/>
  <c r="K356" i="1"/>
  <c r="I356" i="1"/>
  <c r="K340" i="1"/>
  <c r="I340" i="1"/>
  <c r="J340" i="1"/>
  <c r="H340" i="1" s="1"/>
  <c r="J320" i="1"/>
  <c r="H320" i="1" s="1"/>
  <c r="K320" i="1"/>
  <c r="I320" i="1"/>
  <c r="I528" i="1"/>
  <c r="K528" i="1"/>
  <c r="J528" i="1"/>
  <c r="H528" i="1" s="1"/>
  <c r="K512" i="1"/>
  <c r="J512" i="1"/>
  <c r="H512" i="1" s="1"/>
  <c r="I512" i="1"/>
  <c r="J496" i="1"/>
  <c r="H496" i="1" s="1"/>
  <c r="I496" i="1"/>
  <c r="K496" i="1"/>
  <c r="K480" i="1"/>
  <c r="J480" i="1"/>
  <c r="H480" i="1" s="1"/>
  <c r="I480" i="1"/>
  <c r="I464" i="1"/>
  <c r="K464" i="1"/>
  <c r="J464" i="1"/>
  <c r="H464" i="1" s="1"/>
  <c r="K518" i="1"/>
  <c r="J518" i="1"/>
  <c r="H518" i="1" s="1"/>
  <c r="I518" i="1"/>
  <c r="J486" i="1"/>
  <c r="H486" i="1" s="1"/>
  <c r="I486" i="1"/>
  <c r="K486" i="1"/>
  <c r="K405" i="1"/>
  <c r="I405" i="1"/>
  <c r="J405" i="1"/>
  <c r="H405" i="1" s="1"/>
  <c r="J414" i="1"/>
  <c r="H414" i="1" s="1"/>
  <c r="K414" i="1"/>
  <c r="I414" i="1"/>
  <c r="J398" i="1"/>
  <c r="H398" i="1" s="1"/>
  <c r="K398" i="1"/>
  <c r="I398" i="1"/>
  <c r="K399" i="1"/>
  <c r="I399" i="1"/>
  <c r="J399" i="1"/>
  <c r="H399" i="1" s="1"/>
  <c r="J525" i="1"/>
  <c r="H525" i="1" s="1"/>
  <c r="I525" i="1"/>
  <c r="K525" i="1"/>
  <c r="K501" i="1"/>
  <c r="J501" i="1"/>
  <c r="H501" i="1" s="1"/>
  <c r="I501" i="1"/>
  <c r="I485" i="1"/>
  <c r="K485" i="1"/>
  <c r="J485" i="1"/>
  <c r="H485" i="1" s="1"/>
  <c r="K459" i="1"/>
  <c r="J459" i="1"/>
  <c r="I459" i="1"/>
  <c r="J453" i="1"/>
  <c r="H453" i="1" s="1"/>
  <c r="I453" i="1"/>
  <c r="K453" i="1"/>
  <c r="K447" i="1"/>
  <c r="J447" i="1"/>
  <c r="H447" i="1" s="1"/>
  <c r="I447" i="1"/>
  <c r="I441" i="1"/>
  <c r="K441" i="1"/>
  <c r="J441" i="1"/>
  <c r="H441" i="1" s="1"/>
  <c r="I435" i="1"/>
  <c r="K435" i="1"/>
  <c r="J435" i="1"/>
  <c r="H435" i="1" s="1"/>
  <c r="J427" i="1"/>
  <c r="H427" i="1" s="1"/>
  <c r="I427" i="1"/>
  <c r="K427" i="1"/>
  <c r="K419" i="1"/>
  <c r="I419" i="1"/>
  <c r="J419" i="1"/>
  <c r="H419" i="1" s="1"/>
  <c r="K473" i="1"/>
  <c r="J473" i="1"/>
  <c r="H473" i="1" s="1"/>
  <c r="I473" i="1"/>
  <c r="J434" i="1"/>
  <c r="H434" i="1" s="1"/>
  <c r="K434" i="1"/>
  <c r="I434" i="1"/>
  <c r="J416" i="1"/>
  <c r="H416" i="1" s="1"/>
  <c r="K416" i="1"/>
  <c r="I416" i="1"/>
  <c r="J410" i="1"/>
  <c r="H410" i="1" s="1"/>
  <c r="I410" i="1"/>
  <c r="K410" i="1"/>
  <c r="I538" i="1"/>
  <c r="J538" i="1"/>
  <c r="J490" i="1"/>
  <c r="H490" i="1" s="1"/>
  <c r="I490" i="1"/>
  <c r="K490" i="1"/>
  <c r="K469" i="1"/>
  <c r="J469" i="1"/>
  <c r="H469" i="1" s="1"/>
  <c r="I469" i="1"/>
  <c r="J630" i="1"/>
  <c r="H630" i="1" s="1"/>
  <c r="K630" i="1"/>
  <c r="I630" i="1"/>
  <c r="J626" i="1"/>
  <c r="H626" i="1" s="1"/>
  <c r="I626" i="1"/>
  <c r="K626" i="1"/>
  <c r="J622" i="1"/>
  <c r="H622" i="1" s="1"/>
  <c r="K622" i="1"/>
  <c r="I622" i="1"/>
  <c r="J618" i="1"/>
  <c r="H618" i="1" s="1"/>
  <c r="I618" i="1"/>
  <c r="K618" i="1"/>
  <c r="J614" i="1"/>
  <c r="H614" i="1" s="1"/>
  <c r="K614" i="1"/>
  <c r="I614" i="1"/>
  <c r="K608" i="1"/>
  <c r="J608" i="1"/>
  <c r="H608" i="1" s="1"/>
  <c r="I608" i="1"/>
  <c r="K604" i="1"/>
  <c r="J604" i="1"/>
  <c r="H604" i="1" s="1"/>
  <c r="I604" i="1"/>
  <c r="J600" i="1"/>
  <c r="H600" i="1" s="1"/>
  <c r="I600" i="1"/>
  <c r="K600" i="1"/>
  <c r="K595" i="1"/>
  <c r="J595" i="1"/>
  <c r="H595" i="1" s="1"/>
  <c r="I595" i="1"/>
  <c r="K591" i="1"/>
  <c r="J591" i="1"/>
  <c r="H591" i="1" s="1"/>
  <c r="I591" i="1"/>
  <c r="K587" i="1"/>
  <c r="J587" i="1"/>
  <c r="H587" i="1" s="1"/>
  <c r="I587" i="1"/>
  <c r="J583" i="1"/>
  <c r="H583" i="1" s="1"/>
  <c r="I583" i="1"/>
  <c r="I579" i="1"/>
  <c r="J579" i="1"/>
  <c r="K602" i="1" s="1"/>
  <c r="K575" i="1"/>
  <c r="J575" i="1"/>
  <c r="H575" i="1" s="1"/>
  <c r="I575" i="1"/>
  <c r="J571" i="1"/>
  <c r="H571" i="1" s="1"/>
  <c r="I571" i="1"/>
  <c r="I566" i="1"/>
  <c r="K566" i="1"/>
  <c r="J566" i="1"/>
  <c r="H566" i="1" s="1"/>
  <c r="K562" i="1"/>
  <c r="J562" i="1"/>
  <c r="H562" i="1" s="1"/>
  <c r="I562" i="1"/>
  <c r="K558" i="1"/>
  <c r="J558" i="1"/>
  <c r="H558" i="1" s="1"/>
  <c r="I558" i="1"/>
  <c r="K554" i="1"/>
  <c r="J554" i="1"/>
  <c r="H554" i="1" s="1"/>
  <c r="I554" i="1"/>
  <c r="K550" i="1"/>
  <c r="J550" i="1"/>
  <c r="H550" i="1" s="1"/>
  <c r="I550" i="1"/>
  <c r="K546" i="1"/>
  <c r="J546" i="1"/>
  <c r="H546" i="1" s="1"/>
  <c r="I546" i="1"/>
  <c r="K805" i="1"/>
  <c r="J805" i="1"/>
  <c r="H805" i="1" s="1"/>
  <c r="I805" i="1"/>
  <c r="K789" i="1"/>
  <c r="J789" i="1"/>
  <c r="H789" i="1" s="1"/>
  <c r="I789" i="1"/>
  <c r="K855" i="1"/>
  <c r="J855" i="1"/>
  <c r="H855" i="1" s="1"/>
  <c r="I855" i="1"/>
  <c r="K819" i="1"/>
  <c r="J819" i="1"/>
  <c r="H819" i="1" s="1"/>
  <c r="I819" i="1"/>
  <c r="I799" i="1"/>
  <c r="K799" i="1"/>
  <c r="J799" i="1"/>
  <c r="H799" i="1" s="1"/>
  <c r="I775" i="1"/>
  <c r="K775" i="1"/>
  <c r="J775" i="1"/>
  <c r="H775" i="1" s="1"/>
  <c r="J846" i="1"/>
  <c r="H846" i="1" s="1"/>
  <c r="I846" i="1"/>
  <c r="K846" i="1"/>
  <c r="J830" i="1"/>
  <c r="H830" i="1" s="1"/>
  <c r="I830" i="1"/>
  <c r="K830" i="1"/>
  <c r="I814" i="1"/>
  <c r="K814" i="1"/>
  <c r="J814" i="1"/>
  <c r="H814" i="1" s="1"/>
  <c r="K798" i="1"/>
  <c r="J798" i="1"/>
  <c r="H798" i="1" s="1"/>
  <c r="I798" i="1"/>
  <c r="K782" i="1"/>
  <c r="J782" i="1"/>
  <c r="H782" i="1" s="1"/>
  <c r="I782" i="1"/>
  <c r="J772" i="1"/>
  <c r="H772" i="1" s="1"/>
  <c r="I772" i="1"/>
  <c r="K772" i="1"/>
  <c r="J768" i="1"/>
  <c r="H768" i="1" s="1"/>
  <c r="I768" i="1"/>
  <c r="K768" i="1"/>
  <c r="J764" i="1"/>
  <c r="H764" i="1" s="1"/>
  <c r="I764" i="1"/>
  <c r="K764" i="1"/>
  <c r="J760" i="1"/>
  <c r="H760" i="1" s="1"/>
  <c r="I760" i="1"/>
  <c r="K760" i="1"/>
  <c r="J756" i="1"/>
  <c r="H756" i="1" s="1"/>
  <c r="I756" i="1"/>
  <c r="K756" i="1"/>
  <c r="J752" i="1"/>
  <c r="H752" i="1" s="1"/>
  <c r="I752" i="1"/>
  <c r="K752" i="1"/>
  <c r="J748" i="1"/>
  <c r="H748" i="1" s="1"/>
  <c r="I748" i="1"/>
  <c r="K748" i="1"/>
  <c r="J744" i="1"/>
  <c r="H744" i="1" s="1"/>
  <c r="I744" i="1"/>
  <c r="K744" i="1"/>
  <c r="J740" i="1"/>
  <c r="H740" i="1" s="1"/>
  <c r="I740" i="1"/>
  <c r="K740" i="1"/>
  <c r="J736" i="1"/>
  <c r="H736" i="1" s="1"/>
  <c r="I736" i="1"/>
  <c r="K736" i="1"/>
  <c r="J732" i="1"/>
  <c r="H732" i="1" s="1"/>
  <c r="I732" i="1"/>
  <c r="K732" i="1"/>
  <c r="J728" i="1"/>
  <c r="H728" i="1" s="1"/>
  <c r="I728" i="1"/>
  <c r="K728" i="1"/>
  <c r="J724" i="1"/>
  <c r="H724" i="1" s="1"/>
  <c r="I724" i="1"/>
  <c r="K724" i="1"/>
  <c r="J720" i="1"/>
  <c r="H720" i="1" s="1"/>
  <c r="I720" i="1"/>
  <c r="K720" i="1"/>
  <c r="K843" i="1"/>
  <c r="J843" i="1"/>
  <c r="H843" i="1" s="1"/>
  <c r="I843" i="1"/>
  <c r="J815" i="1"/>
  <c r="H815" i="1" s="1"/>
  <c r="I815" i="1"/>
  <c r="K815" i="1"/>
  <c r="I1000" i="1"/>
  <c r="K1000" i="1"/>
  <c r="J1000" i="1"/>
  <c r="H1000" i="1" s="1"/>
  <c r="I984" i="1"/>
  <c r="K984" i="1"/>
  <c r="J984" i="1"/>
  <c r="H984" i="1" s="1"/>
  <c r="I968" i="1"/>
  <c r="K968" i="1"/>
  <c r="J968" i="1"/>
  <c r="H968" i="1" s="1"/>
  <c r="I952" i="1"/>
  <c r="K952" i="1"/>
  <c r="J952" i="1"/>
  <c r="H952" i="1" s="1"/>
  <c r="I936" i="1"/>
  <c r="K936" i="1"/>
  <c r="J936" i="1"/>
  <c r="H936" i="1" s="1"/>
  <c r="J1005" i="1"/>
  <c r="H1005" i="1" s="1"/>
  <c r="I1005" i="1"/>
  <c r="K1005" i="1"/>
  <c r="K962" i="1"/>
  <c r="J962" i="1"/>
  <c r="H962" i="1" s="1"/>
  <c r="I962" i="1"/>
  <c r="K930" i="1"/>
  <c r="J930" i="1"/>
  <c r="H930" i="1" s="1"/>
  <c r="I930" i="1"/>
  <c r="J973" i="1"/>
  <c r="H973" i="1" s="1"/>
  <c r="I973" i="1"/>
  <c r="K973" i="1"/>
  <c r="J957" i="1"/>
  <c r="H957" i="1" s="1"/>
  <c r="I957" i="1"/>
  <c r="K957" i="1"/>
  <c r="J941" i="1"/>
  <c r="H941" i="1" s="1"/>
  <c r="I941" i="1"/>
  <c r="K941" i="1"/>
  <c r="I912" i="1"/>
  <c r="K912" i="1"/>
  <c r="J912" i="1"/>
  <c r="H912" i="1" s="1"/>
  <c r="K902" i="1"/>
  <c r="J902" i="1"/>
  <c r="H902" i="1" s="1"/>
  <c r="I902" i="1"/>
  <c r="K894" i="1"/>
  <c r="I894" i="1"/>
  <c r="J894" i="1"/>
  <c r="H894" i="1" s="1"/>
  <c r="J886" i="1"/>
  <c r="H886" i="1" s="1"/>
  <c r="I886" i="1"/>
  <c r="K886" i="1"/>
  <c r="K880" i="1"/>
  <c r="J880" i="1"/>
  <c r="H880" i="1" s="1"/>
  <c r="I880" i="1"/>
  <c r="K872" i="1"/>
  <c r="J872" i="1"/>
  <c r="H872" i="1" s="1"/>
  <c r="I872" i="1"/>
  <c r="K864" i="1"/>
  <c r="J864" i="1"/>
  <c r="H864" i="1" s="1"/>
  <c r="I864" i="1"/>
  <c r="K538" i="1"/>
  <c r="K296" i="1"/>
  <c r="K418" i="1"/>
  <c r="H278" i="1"/>
  <c r="I200" i="1"/>
  <c r="K200" i="1"/>
  <c r="J200" i="1"/>
  <c r="H200" i="1" s="1"/>
  <c r="K129" i="1"/>
  <c r="J129" i="1"/>
  <c r="H129" i="1" s="1"/>
  <c r="I129" i="1"/>
  <c r="I134" i="1"/>
  <c r="K134" i="1"/>
  <c r="J134" i="1"/>
  <c r="H134" i="1" s="1"/>
  <c r="J185" i="1"/>
  <c r="I185" i="1"/>
  <c r="K175" i="1"/>
  <c r="J175" i="1"/>
  <c r="H175" i="1" s="1"/>
  <c r="I175" i="1"/>
  <c r="I184" i="1"/>
  <c r="K184" i="1"/>
  <c r="J184" i="1"/>
  <c r="H184" i="1" s="1"/>
  <c r="K123" i="1"/>
  <c r="I123" i="1"/>
  <c r="J123" i="1"/>
  <c r="H123" i="1" s="1"/>
  <c r="K299" i="1"/>
  <c r="I299" i="1"/>
  <c r="J299" i="1"/>
  <c r="H299" i="1" s="1"/>
  <c r="I276" i="1"/>
  <c r="K276" i="1"/>
  <c r="J276" i="1"/>
  <c r="H276" i="1" s="1"/>
  <c r="K220" i="1"/>
  <c r="J220" i="1"/>
  <c r="H220" i="1" s="1"/>
  <c r="I220" i="1"/>
  <c r="J360" i="1"/>
  <c r="H360" i="1" s="1"/>
  <c r="K360" i="1"/>
  <c r="I360" i="1"/>
  <c r="J344" i="1"/>
  <c r="H344" i="1" s="1"/>
  <c r="K344" i="1"/>
  <c r="I344" i="1"/>
  <c r="K385" i="1"/>
  <c r="I385" i="1"/>
  <c r="J385" i="1"/>
  <c r="H385" i="1" s="1"/>
  <c r="I379" i="1"/>
  <c r="K379" i="1"/>
  <c r="J379" i="1"/>
  <c r="H379" i="1" s="1"/>
  <c r="J532" i="1"/>
  <c r="H532" i="1" s="1"/>
  <c r="I532" i="1"/>
  <c r="K532" i="1"/>
  <c r="K516" i="1"/>
  <c r="J516" i="1"/>
  <c r="H516" i="1" s="1"/>
  <c r="I516" i="1"/>
  <c r="K484" i="1"/>
  <c r="J484" i="1"/>
  <c r="H484" i="1" s="1"/>
  <c r="I484" i="1"/>
  <c r="K468" i="1"/>
  <c r="J468" i="1"/>
  <c r="H468" i="1" s="1"/>
  <c r="I468" i="1"/>
  <c r="K494" i="1"/>
  <c r="J494" i="1"/>
  <c r="H494" i="1" s="1"/>
  <c r="I494" i="1"/>
  <c r="K462" i="1"/>
  <c r="J462" i="1"/>
  <c r="H462" i="1" s="1"/>
  <c r="I462" i="1"/>
  <c r="J446" i="1"/>
  <c r="H446" i="1" s="1"/>
  <c r="I446" i="1"/>
  <c r="K446" i="1"/>
  <c r="I418" i="1"/>
  <c r="J418" i="1"/>
  <c r="H418" i="1" s="1"/>
  <c r="I415" i="1"/>
  <c r="K415" i="1"/>
  <c r="J415" i="1"/>
  <c r="H415" i="1" s="1"/>
  <c r="I715" i="1"/>
  <c r="K715" i="1"/>
  <c r="J715" i="1"/>
  <c r="H715" i="1" s="1"/>
  <c r="I699" i="1"/>
  <c r="K699" i="1"/>
  <c r="J699" i="1"/>
  <c r="H699" i="1" s="1"/>
  <c r="I683" i="1"/>
  <c r="K683" i="1"/>
  <c r="J683" i="1"/>
  <c r="H683" i="1" s="1"/>
  <c r="I667" i="1"/>
  <c r="K667" i="1"/>
  <c r="J667" i="1"/>
  <c r="H667" i="1" s="1"/>
  <c r="I576" i="1"/>
  <c r="J576" i="1"/>
  <c r="I572" i="1"/>
  <c r="K572" i="1"/>
  <c r="J572" i="1"/>
  <c r="H572" i="1" s="1"/>
  <c r="J567" i="1"/>
  <c r="H567" i="1" s="1"/>
  <c r="I567" i="1"/>
  <c r="K567" i="1"/>
  <c r="J173" i="1"/>
  <c r="I173" i="1"/>
  <c r="J162" i="1"/>
  <c r="H162" i="1" s="1"/>
  <c r="I162" i="1"/>
  <c r="K162" i="1"/>
  <c r="K101" i="1"/>
  <c r="J101" i="1"/>
  <c r="H101" i="1" s="1"/>
  <c r="I101" i="1"/>
  <c r="I91" i="1"/>
  <c r="J91" i="1"/>
  <c r="H91" i="1" s="1"/>
  <c r="K91" i="1"/>
  <c r="I137" i="1"/>
  <c r="J137" i="1"/>
  <c r="H137" i="1" s="1"/>
  <c r="K137" i="1"/>
  <c r="J110" i="1"/>
  <c r="H110" i="1" s="1"/>
  <c r="I110" i="1"/>
  <c r="K110" i="1"/>
  <c r="I102" i="1"/>
  <c r="J102" i="1"/>
  <c r="J236" i="1"/>
  <c r="I236" i="1"/>
  <c r="J211" i="1"/>
  <c r="H211" i="1" s="1"/>
  <c r="I211" i="1"/>
  <c r="K211" i="1"/>
  <c r="K202" i="1"/>
  <c r="J202" i="1"/>
  <c r="H202" i="1" s="1"/>
  <c r="I202" i="1"/>
  <c r="J257" i="1"/>
  <c r="H257" i="1" s="1"/>
  <c r="I257" i="1"/>
  <c r="K257" i="1"/>
  <c r="J374" i="1"/>
  <c r="H374" i="1" s="1"/>
  <c r="I374" i="1"/>
  <c r="K374" i="1"/>
  <c r="I338" i="1"/>
  <c r="K338" i="1"/>
  <c r="J338" i="1"/>
  <c r="H338" i="1" s="1"/>
  <c r="I367" i="1"/>
  <c r="K367" i="1"/>
  <c r="J367" i="1"/>
  <c r="H367" i="1" s="1"/>
  <c r="J335" i="1"/>
  <c r="H335" i="1" s="1"/>
  <c r="K335" i="1"/>
  <c r="I335" i="1"/>
  <c r="J368" i="1"/>
  <c r="H368" i="1" s="1"/>
  <c r="K368" i="1"/>
  <c r="I368" i="1"/>
  <c r="K336" i="1"/>
  <c r="I336" i="1"/>
  <c r="J336" i="1"/>
  <c r="H336" i="1" s="1"/>
  <c r="I544" i="1"/>
  <c r="J544" i="1"/>
  <c r="H544" i="1" s="1"/>
  <c r="I524" i="1"/>
  <c r="K524" i="1"/>
  <c r="J524" i="1"/>
  <c r="H524" i="1" s="1"/>
  <c r="J492" i="1"/>
  <c r="I492" i="1"/>
  <c r="K476" i="1"/>
  <c r="J476" i="1"/>
  <c r="I476" i="1"/>
  <c r="K542" i="1"/>
  <c r="J542" i="1"/>
  <c r="H542" i="1" s="1"/>
  <c r="I542" i="1"/>
  <c r="J510" i="1"/>
  <c r="H510" i="1" s="1"/>
  <c r="I510" i="1"/>
  <c r="K510" i="1"/>
  <c r="I478" i="1"/>
  <c r="K478" i="1"/>
  <c r="J478" i="1"/>
  <c r="H478" i="1" s="1"/>
  <c r="I401" i="1"/>
  <c r="J401" i="1"/>
  <c r="K426" i="1"/>
  <c r="I426" i="1"/>
  <c r="J426" i="1"/>
  <c r="H426" i="1" s="1"/>
  <c r="J541" i="1"/>
  <c r="H541" i="1" s="1"/>
  <c r="I541" i="1"/>
  <c r="K541" i="1"/>
  <c r="K537" i="1"/>
  <c r="J537" i="1"/>
  <c r="H537" i="1" s="1"/>
  <c r="I537" i="1"/>
  <c r="K505" i="1"/>
  <c r="J505" i="1"/>
  <c r="H505" i="1" s="1"/>
  <c r="I505" i="1"/>
  <c r="K454" i="1"/>
  <c r="J454" i="1"/>
  <c r="H454" i="1" s="1"/>
  <c r="I454" i="1"/>
  <c r="K450" i="1"/>
  <c r="J450" i="1"/>
  <c r="H450" i="1" s="1"/>
  <c r="I450" i="1"/>
  <c r="J444" i="1"/>
  <c r="H444" i="1" s="1"/>
  <c r="K444" i="1"/>
  <c r="I444" i="1"/>
  <c r="J514" i="1"/>
  <c r="H514" i="1" s="1"/>
  <c r="I514" i="1"/>
  <c r="K514" i="1"/>
  <c r="J482" i="1"/>
  <c r="H482" i="1" s="1"/>
  <c r="I482" i="1"/>
  <c r="K482" i="1"/>
  <c r="K437" i="1"/>
  <c r="I437" i="1"/>
  <c r="J437" i="1"/>
  <c r="H437" i="1" s="1"/>
  <c r="J429" i="1"/>
  <c r="H429" i="1" s="1"/>
  <c r="K429" i="1"/>
  <c r="I429" i="1"/>
  <c r="J421" i="1"/>
  <c r="H421" i="1" s="1"/>
  <c r="K421" i="1"/>
  <c r="I421" i="1"/>
  <c r="K413" i="1"/>
  <c r="I413" i="1"/>
  <c r="J413" i="1"/>
  <c r="H413" i="1" s="1"/>
  <c r="K717" i="1"/>
  <c r="J717" i="1"/>
  <c r="H717" i="1" s="1"/>
  <c r="I717" i="1"/>
  <c r="K713" i="1"/>
  <c r="J713" i="1"/>
  <c r="H713" i="1" s="1"/>
  <c r="I713" i="1"/>
  <c r="K709" i="1"/>
  <c r="J709" i="1"/>
  <c r="H709" i="1" s="1"/>
  <c r="I709" i="1"/>
  <c r="K705" i="1"/>
  <c r="J705" i="1"/>
  <c r="H705" i="1" s="1"/>
  <c r="I705" i="1"/>
  <c r="K701" i="1"/>
  <c r="J701" i="1"/>
  <c r="H701" i="1" s="1"/>
  <c r="I701" i="1"/>
  <c r="K697" i="1"/>
  <c r="J697" i="1"/>
  <c r="H697" i="1" s="1"/>
  <c r="I697" i="1"/>
  <c r="K693" i="1"/>
  <c r="J693" i="1"/>
  <c r="H693" i="1" s="1"/>
  <c r="I693" i="1"/>
  <c r="K689" i="1"/>
  <c r="J689" i="1"/>
  <c r="H689" i="1" s="1"/>
  <c r="I689" i="1"/>
  <c r="K685" i="1"/>
  <c r="I685" i="1"/>
  <c r="J685" i="1"/>
  <c r="H685" i="1" s="1"/>
  <c r="K681" i="1"/>
  <c r="I681" i="1"/>
  <c r="J681" i="1"/>
  <c r="H681" i="1" s="1"/>
  <c r="K677" i="1"/>
  <c r="I677" i="1"/>
  <c r="J677" i="1"/>
  <c r="H677" i="1" s="1"/>
  <c r="K673" i="1"/>
  <c r="I673" i="1"/>
  <c r="J673" i="1"/>
  <c r="H673" i="1" s="1"/>
  <c r="K669" i="1"/>
  <c r="I669" i="1"/>
  <c r="J669" i="1"/>
  <c r="H669" i="1" s="1"/>
  <c r="K665" i="1"/>
  <c r="I665" i="1"/>
  <c r="J665" i="1"/>
  <c r="H665" i="1" s="1"/>
  <c r="K661" i="1"/>
  <c r="I661" i="1"/>
  <c r="J661" i="1"/>
  <c r="H661" i="1" s="1"/>
  <c r="K657" i="1"/>
  <c r="I657" i="1"/>
  <c r="J657" i="1"/>
  <c r="H657" i="1" s="1"/>
  <c r="K653" i="1"/>
  <c r="I653" i="1"/>
  <c r="J653" i="1"/>
  <c r="H653" i="1" s="1"/>
  <c r="K649" i="1"/>
  <c r="I649" i="1"/>
  <c r="J649" i="1"/>
  <c r="H649" i="1" s="1"/>
  <c r="K645" i="1"/>
  <c r="I645" i="1"/>
  <c r="J645" i="1"/>
  <c r="H645" i="1" s="1"/>
  <c r="K641" i="1"/>
  <c r="I641" i="1"/>
  <c r="J641" i="1"/>
  <c r="H641" i="1" s="1"/>
  <c r="K637" i="1"/>
  <c r="I637" i="1"/>
  <c r="J637" i="1"/>
  <c r="H637" i="1" s="1"/>
  <c r="K633" i="1"/>
  <c r="I633" i="1"/>
  <c r="J633" i="1"/>
  <c r="H633" i="1" s="1"/>
  <c r="K629" i="1"/>
  <c r="I629" i="1"/>
  <c r="J629" i="1"/>
  <c r="H629" i="1" s="1"/>
  <c r="K625" i="1"/>
  <c r="I625" i="1"/>
  <c r="J625" i="1"/>
  <c r="H625" i="1" s="1"/>
  <c r="K621" i="1"/>
  <c r="I621" i="1"/>
  <c r="J621" i="1"/>
  <c r="H621" i="1" s="1"/>
  <c r="K617" i="1"/>
  <c r="I617" i="1"/>
  <c r="J617" i="1"/>
  <c r="H617" i="1" s="1"/>
  <c r="K613" i="1"/>
  <c r="I613" i="1"/>
  <c r="J613" i="1"/>
  <c r="H613" i="1" s="1"/>
  <c r="J607" i="1"/>
  <c r="H607" i="1" s="1"/>
  <c r="I607" i="1"/>
  <c r="K607" i="1"/>
  <c r="J603" i="1"/>
  <c r="H603" i="1" s="1"/>
  <c r="I603" i="1"/>
  <c r="K603" i="1"/>
  <c r="I599" i="1"/>
  <c r="K599" i="1"/>
  <c r="J599" i="1"/>
  <c r="H599" i="1" s="1"/>
  <c r="K594" i="1"/>
  <c r="J594" i="1"/>
  <c r="H594" i="1" s="1"/>
  <c r="I594" i="1"/>
  <c r="J586" i="1"/>
  <c r="H586" i="1" s="1"/>
  <c r="I586" i="1"/>
  <c r="K586" i="1"/>
  <c r="K578" i="1"/>
  <c r="J578" i="1"/>
  <c r="H578" i="1" s="1"/>
  <c r="I578" i="1"/>
  <c r="K557" i="1"/>
  <c r="J557" i="1"/>
  <c r="H557" i="1" s="1"/>
  <c r="I557" i="1"/>
  <c r="K553" i="1"/>
  <c r="J553" i="1"/>
  <c r="H553" i="1" s="1"/>
  <c r="I553" i="1"/>
  <c r="K549" i="1"/>
  <c r="J549" i="1"/>
  <c r="H549" i="1" s="1"/>
  <c r="I549" i="1"/>
  <c r="J716" i="1"/>
  <c r="H716" i="1" s="1"/>
  <c r="I716" i="1"/>
  <c r="K716" i="1"/>
  <c r="J712" i="1"/>
  <c r="H712" i="1" s="1"/>
  <c r="I712" i="1"/>
  <c r="K712" i="1"/>
  <c r="J708" i="1"/>
  <c r="H708" i="1" s="1"/>
  <c r="I708" i="1"/>
  <c r="K708" i="1"/>
  <c r="J704" i="1"/>
  <c r="H704" i="1" s="1"/>
  <c r="I704" i="1"/>
  <c r="K704" i="1"/>
  <c r="J700" i="1"/>
  <c r="H700" i="1" s="1"/>
  <c r="I700" i="1"/>
  <c r="K700" i="1"/>
  <c r="J696" i="1"/>
  <c r="H696" i="1" s="1"/>
  <c r="I696" i="1"/>
  <c r="K696" i="1"/>
  <c r="J692" i="1"/>
  <c r="H692" i="1" s="1"/>
  <c r="I692" i="1"/>
  <c r="K692" i="1"/>
  <c r="J688" i="1"/>
  <c r="H688" i="1" s="1"/>
  <c r="I688" i="1"/>
  <c r="K688" i="1"/>
  <c r="J684" i="1"/>
  <c r="H684" i="1" s="1"/>
  <c r="K684" i="1"/>
  <c r="I684" i="1"/>
  <c r="J680" i="1"/>
  <c r="H680" i="1" s="1"/>
  <c r="K680" i="1"/>
  <c r="I680" i="1"/>
  <c r="J676" i="1"/>
  <c r="H676" i="1" s="1"/>
  <c r="K676" i="1"/>
  <c r="I676" i="1"/>
  <c r="J672" i="1"/>
  <c r="H672" i="1" s="1"/>
  <c r="K672" i="1"/>
  <c r="I672" i="1"/>
  <c r="J668" i="1"/>
  <c r="H668" i="1" s="1"/>
  <c r="K668" i="1"/>
  <c r="I668" i="1"/>
  <c r="J664" i="1"/>
  <c r="H664" i="1" s="1"/>
  <c r="K664" i="1"/>
  <c r="I664" i="1"/>
  <c r="J660" i="1"/>
  <c r="H660" i="1" s="1"/>
  <c r="K660" i="1"/>
  <c r="I660" i="1"/>
  <c r="J656" i="1"/>
  <c r="H656" i="1" s="1"/>
  <c r="K656" i="1"/>
  <c r="I656" i="1"/>
  <c r="J652" i="1"/>
  <c r="H652" i="1" s="1"/>
  <c r="K652" i="1"/>
  <c r="I652" i="1"/>
  <c r="J648" i="1"/>
  <c r="H648" i="1" s="1"/>
  <c r="K648" i="1"/>
  <c r="I648" i="1"/>
  <c r="J644" i="1"/>
  <c r="H644" i="1" s="1"/>
  <c r="K644" i="1"/>
  <c r="I644" i="1"/>
  <c r="J640" i="1"/>
  <c r="H640" i="1" s="1"/>
  <c r="K640" i="1"/>
  <c r="I640" i="1"/>
  <c r="J636" i="1"/>
  <c r="H636" i="1" s="1"/>
  <c r="K636" i="1"/>
  <c r="I636" i="1"/>
  <c r="I857" i="1"/>
  <c r="K857" i="1"/>
  <c r="J857" i="1"/>
  <c r="H857" i="1" s="1"/>
  <c r="K801" i="1"/>
  <c r="J801" i="1"/>
  <c r="H801" i="1" s="1"/>
  <c r="I801" i="1"/>
  <c r="K785" i="1"/>
  <c r="J785" i="1"/>
  <c r="H785" i="1" s="1"/>
  <c r="I785" i="1"/>
  <c r="K847" i="1"/>
  <c r="J847" i="1"/>
  <c r="H847" i="1" s="1"/>
  <c r="I847" i="1"/>
  <c r="J811" i="1"/>
  <c r="H811" i="1" s="1"/>
  <c r="I811" i="1"/>
  <c r="K811" i="1"/>
  <c r="I791" i="1"/>
  <c r="K791" i="1"/>
  <c r="J791" i="1"/>
  <c r="H791" i="1" s="1"/>
  <c r="J858" i="1"/>
  <c r="H858" i="1" s="1"/>
  <c r="I858" i="1"/>
  <c r="K858" i="1"/>
  <c r="J842" i="1"/>
  <c r="H842" i="1" s="1"/>
  <c r="I842" i="1"/>
  <c r="K842" i="1"/>
  <c r="J826" i="1"/>
  <c r="H826" i="1" s="1"/>
  <c r="I826" i="1"/>
  <c r="K826" i="1"/>
  <c r="I810" i="1"/>
  <c r="K810" i="1"/>
  <c r="J810" i="1"/>
  <c r="H810" i="1" s="1"/>
  <c r="K794" i="1"/>
  <c r="J794" i="1"/>
  <c r="H794" i="1" s="1"/>
  <c r="I794" i="1"/>
  <c r="K778" i="1"/>
  <c r="J778" i="1"/>
  <c r="H778" i="1" s="1"/>
  <c r="I778" i="1"/>
  <c r="I771" i="1"/>
  <c r="K771" i="1"/>
  <c r="J771" i="1"/>
  <c r="H771" i="1" s="1"/>
  <c r="I767" i="1"/>
  <c r="K767" i="1"/>
  <c r="J767" i="1"/>
  <c r="H767" i="1" s="1"/>
  <c r="I763" i="1"/>
  <c r="K763" i="1"/>
  <c r="J763" i="1"/>
  <c r="H763" i="1" s="1"/>
  <c r="I759" i="1"/>
  <c r="K759" i="1"/>
  <c r="J759" i="1"/>
  <c r="H759" i="1" s="1"/>
  <c r="I755" i="1"/>
  <c r="K755" i="1"/>
  <c r="J755" i="1"/>
  <c r="H755" i="1" s="1"/>
  <c r="I751" i="1"/>
  <c r="K751" i="1"/>
  <c r="J751" i="1"/>
  <c r="H751" i="1" s="1"/>
  <c r="I747" i="1"/>
  <c r="K747" i="1"/>
  <c r="J747" i="1"/>
  <c r="H747" i="1" s="1"/>
  <c r="I743" i="1"/>
  <c r="K743" i="1"/>
  <c r="J743" i="1"/>
  <c r="H743" i="1" s="1"/>
  <c r="I739" i="1"/>
  <c r="K739" i="1"/>
  <c r="J739" i="1"/>
  <c r="H739" i="1" s="1"/>
  <c r="I735" i="1"/>
  <c r="K735" i="1"/>
  <c r="J735" i="1"/>
  <c r="H735" i="1" s="1"/>
  <c r="I731" i="1"/>
  <c r="K731" i="1"/>
  <c r="J731" i="1"/>
  <c r="H731" i="1" s="1"/>
  <c r="I727" i="1"/>
  <c r="K727" i="1"/>
  <c r="J727" i="1"/>
  <c r="H727" i="1" s="1"/>
  <c r="I723" i="1"/>
  <c r="K723" i="1"/>
  <c r="J723" i="1"/>
  <c r="H723" i="1" s="1"/>
  <c r="I719" i="1"/>
  <c r="K719" i="1"/>
  <c r="J719" i="1"/>
  <c r="H719" i="1" s="1"/>
  <c r="K835" i="1"/>
  <c r="J835" i="1"/>
  <c r="H835" i="1" s="1"/>
  <c r="I835" i="1"/>
  <c r="I795" i="1"/>
  <c r="K795" i="1"/>
  <c r="J795" i="1"/>
  <c r="H795" i="1" s="1"/>
  <c r="I996" i="1"/>
  <c r="K996" i="1"/>
  <c r="J996" i="1"/>
  <c r="H996" i="1" s="1"/>
  <c r="I980" i="1"/>
  <c r="K980" i="1"/>
  <c r="J980" i="1"/>
  <c r="H980" i="1" s="1"/>
  <c r="I964" i="1"/>
  <c r="K964" i="1"/>
  <c r="J964" i="1"/>
  <c r="H964" i="1" s="1"/>
  <c r="I948" i="1"/>
  <c r="K948" i="1"/>
  <c r="J948" i="1"/>
  <c r="H948" i="1" s="1"/>
  <c r="I932" i="1"/>
  <c r="K932" i="1"/>
  <c r="J932" i="1"/>
  <c r="H932" i="1" s="1"/>
  <c r="J1001" i="1"/>
  <c r="H1001" i="1" s="1"/>
  <c r="I1001" i="1"/>
  <c r="K1001" i="1"/>
  <c r="J993" i="1"/>
  <c r="H993" i="1" s="1"/>
  <c r="I993" i="1"/>
  <c r="K993" i="1"/>
  <c r="J977" i="1"/>
  <c r="H977" i="1" s="1"/>
  <c r="I977" i="1"/>
  <c r="K977" i="1"/>
  <c r="J961" i="1"/>
  <c r="H961" i="1" s="1"/>
  <c r="I961" i="1"/>
  <c r="K961" i="1"/>
  <c r="J945" i="1"/>
  <c r="H945" i="1" s="1"/>
  <c r="I945" i="1"/>
  <c r="K945" i="1"/>
  <c r="J929" i="1"/>
  <c r="H929" i="1" s="1"/>
  <c r="I929" i="1"/>
  <c r="K929" i="1"/>
  <c r="K919" i="1"/>
  <c r="J919" i="1"/>
  <c r="H919" i="1" s="1"/>
  <c r="I919" i="1"/>
  <c r="K915" i="1"/>
  <c r="J915" i="1"/>
  <c r="H915" i="1" s="1"/>
  <c r="I915" i="1"/>
  <c r="K911" i="1"/>
  <c r="J911" i="1"/>
  <c r="H911" i="1" s="1"/>
  <c r="I911" i="1"/>
  <c r="K907" i="1"/>
  <c r="J907" i="1"/>
  <c r="H907" i="1" s="1"/>
  <c r="I907" i="1"/>
  <c r="K903" i="1"/>
  <c r="J903" i="1"/>
  <c r="H903" i="1" s="1"/>
  <c r="I903" i="1"/>
  <c r="J899" i="1"/>
  <c r="H899" i="1" s="1"/>
  <c r="I899" i="1"/>
  <c r="K899" i="1"/>
  <c r="J895" i="1"/>
  <c r="H895" i="1" s="1"/>
  <c r="K895" i="1"/>
  <c r="I895" i="1"/>
  <c r="K891" i="1"/>
  <c r="J891" i="1"/>
  <c r="H891" i="1" s="1"/>
  <c r="I891" i="1"/>
  <c r="K887" i="1"/>
  <c r="J887" i="1"/>
  <c r="H887" i="1" s="1"/>
  <c r="I887" i="1"/>
  <c r="K883" i="1"/>
  <c r="J883" i="1"/>
  <c r="H883" i="1" s="1"/>
  <c r="I883" i="1"/>
  <c r="K879" i="1"/>
  <c r="J879" i="1"/>
  <c r="H879" i="1" s="1"/>
  <c r="I879" i="1"/>
  <c r="K875" i="1"/>
  <c r="J875" i="1"/>
  <c r="H875" i="1" s="1"/>
  <c r="I875" i="1"/>
  <c r="K871" i="1"/>
  <c r="J871" i="1"/>
  <c r="H871" i="1" s="1"/>
  <c r="I871" i="1"/>
  <c r="K867" i="1"/>
  <c r="J867" i="1"/>
  <c r="H867" i="1" s="1"/>
  <c r="I867" i="1"/>
  <c r="K863" i="1"/>
  <c r="J863" i="1"/>
  <c r="H863" i="1" s="1"/>
  <c r="I863" i="1"/>
  <c r="K859" i="1"/>
  <c r="J859" i="1"/>
  <c r="H859" i="1" s="1"/>
  <c r="I859" i="1"/>
  <c r="J989" i="1"/>
  <c r="H989" i="1" s="1"/>
  <c r="I989" i="1"/>
  <c r="K989" i="1"/>
  <c r="J925" i="1"/>
  <c r="H925" i="1" s="1"/>
  <c r="I925" i="1"/>
  <c r="K925" i="1"/>
  <c r="K918" i="1"/>
  <c r="J918" i="1"/>
  <c r="H918" i="1" s="1"/>
  <c r="I918" i="1"/>
  <c r="K910" i="1"/>
  <c r="J910" i="1"/>
  <c r="H910" i="1" s="1"/>
  <c r="I910" i="1"/>
  <c r="I904" i="1"/>
  <c r="K904" i="1"/>
  <c r="J904" i="1"/>
  <c r="H904" i="1" s="1"/>
  <c r="I896" i="1"/>
  <c r="K896" i="1"/>
  <c r="J896" i="1"/>
  <c r="H896" i="1" s="1"/>
  <c r="K888" i="1"/>
  <c r="J888" i="1"/>
  <c r="H888" i="1" s="1"/>
  <c r="I888" i="1"/>
  <c r="J878" i="1"/>
  <c r="H878" i="1" s="1"/>
  <c r="I878" i="1"/>
  <c r="K878" i="1"/>
  <c r="J870" i="1"/>
  <c r="H870" i="1" s="1"/>
  <c r="I870" i="1"/>
  <c r="K870" i="1"/>
  <c r="J862" i="1"/>
  <c r="H862" i="1" s="1"/>
  <c r="I862" i="1"/>
  <c r="K862" i="1"/>
  <c r="K986" i="1"/>
  <c r="J986" i="1"/>
  <c r="H986" i="1" s="1"/>
  <c r="I986" i="1"/>
  <c r="K954" i="1"/>
  <c r="J954" i="1"/>
  <c r="H954" i="1" s="1"/>
  <c r="I954" i="1"/>
  <c r="K922" i="1"/>
  <c r="J922" i="1"/>
  <c r="H922" i="1" s="1"/>
  <c r="I922" i="1"/>
  <c r="K500" i="1"/>
  <c r="H495" i="1"/>
  <c r="J158" i="1"/>
  <c r="H158" i="1" s="1"/>
  <c r="I158" i="1"/>
  <c r="K158" i="1"/>
  <c r="I197" i="1"/>
  <c r="K197" i="1"/>
  <c r="J197" i="1"/>
  <c r="H197" i="1" s="1"/>
  <c r="J89" i="1"/>
  <c r="I89" i="1"/>
  <c r="J159" i="1"/>
  <c r="I159" i="1"/>
  <c r="J261" i="1"/>
  <c r="H261" i="1" s="1"/>
  <c r="I261" i="1"/>
  <c r="K261" i="1"/>
  <c r="K533" i="1"/>
  <c r="J533" i="1"/>
  <c r="H533" i="1" s="1"/>
  <c r="I533" i="1"/>
  <c r="I411" i="1"/>
  <c r="K411" i="1"/>
  <c r="J411" i="1"/>
  <c r="H411" i="1" s="1"/>
  <c r="J529" i="1"/>
  <c r="H529" i="1" s="1"/>
  <c r="I529" i="1"/>
  <c r="K529" i="1"/>
  <c r="K497" i="1"/>
  <c r="J497" i="1"/>
  <c r="H497" i="1" s="1"/>
  <c r="I497" i="1"/>
  <c r="I456" i="1"/>
  <c r="K456" i="1"/>
  <c r="J456" i="1"/>
  <c r="H456" i="1" s="1"/>
  <c r="J442" i="1"/>
  <c r="H442" i="1" s="1"/>
  <c r="K442" i="1"/>
  <c r="I442" i="1"/>
  <c r="I424" i="1"/>
  <c r="K424" i="1"/>
  <c r="J424" i="1"/>
  <c r="H424" i="1" s="1"/>
  <c r="K498" i="1"/>
  <c r="J498" i="1"/>
  <c r="H498" i="1" s="1"/>
  <c r="I498" i="1"/>
  <c r="K443" i="1"/>
  <c r="I443" i="1"/>
  <c r="J443" i="1"/>
  <c r="H443" i="1" s="1"/>
  <c r="K409" i="1"/>
  <c r="I409" i="1"/>
  <c r="J409" i="1"/>
  <c r="H409" i="1" s="1"/>
  <c r="I703" i="1"/>
  <c r="K703" i="1"/>
  <c r="J703" i="1"/>
  <c r="H703" i="1" s="1"/>
  <c r="I695" i="1"/>
  <c r="K695" i="1"/>
  <c r="J695" i="1"/>
  <c r="H695" i="1" s="1"/>
  <c r="I679" i="1"/>
  <c r="K679" i="1"/>
  <c r="J679" i="1"/>
  <c r="H679" i="1" s="1"/>
  <c r="I663" i="1"/>
  <c r="K663" i="1"/>
  <c r="J663" i="1"/>
  <c r="H663" i="1" s="1"/>
  <c r="I651" i="1"/>
  <c r="K651" i="1"/>
  <c r="J651" i="1"/>
  <c r="H651" i="1" s="1"/>
  <c r="I639" i="1"/>
  <c r="K639" i="1"/>
  <c r="J639" i="1"/>
  <c r="H639" i="1" s="1"/>
  <c r="I623" i="1"/>
  <c r="K623" i="1"/>
  <c r="J623" i="1"/>
  <c r="H623" i="1" s="1"/>
  <c r="I563" i="1"/>
  <c r="J563" i="1"/>
  <c r="I559" i="1"/>
  <c r="K559" i="1"/>
  <c r="J559" i="1"/>
  <c r="H559" i="1" s="1"/>
  <c r="I555" i="1"/>
  <c r="K555" i="1"/>
  <c r="J555" i="1"/>
  <c r="H555" i="1" s="1"/>
  <c r="I551" i="1"/>
  <c r="K551" i="1"/>
  <c r="J551" i="1"/>
  <c r="H551" i="1" s="1"/>
  <c r="K714" i="1"/>
  <c r="J714" i="1"/>
  <c r="H714" i="1" s="1"/>
  <c r="I714" i="1"/>
  <c r="K710" i="1"/>
  <c r="J710" i="1"/>
  <c r="H710" i="1" s="1"/>
  <c r="I710" i="1"/>
  <c r="K702" i="1"/>
  <c r="J702" i="1"/>
  <c r="H702" i="1" s="1"/>
  <c r="I702" i="1"/>
  <c r="K694" i="1"/>
  <c r="J694" i="1"/>
  <c r="H694" i="1" s="1"/>
  <c r="I694" i="1"/>
  <c r="K690" i="1"/>
  <c r="J690" i="1"/>
  <c r="H690" i="1" s="1"/>
  <c r="I690" i="1"/>
  <c r="J682" i="1"/>
  <c r="H682" i="1" s="1"/>
  <c r="I682" i="1"/>
  <c r="K682" i="1"/>
  <c r="J674" i="1"/>
  <c r="H674" i="1" s="1"/>
  <c r="I674" i="1"/>
  <c r="K674" i="1"/>
  <c r="J666" i="1"/>
  <c r="H666" i="1" s="1"/>
  <c r="I666" i="1"/>
  <c r="K666" i="1"/>
  <c r="J658" i="1"/>
  <c r="H658" i="1" s="1"/>
  <c r="I658" i="1"/>
  <c r="K658" i="1"/>
  <c r="J654" i="1"/>
  <c r="H654" i="1" s="1"/>
  <c r="K654" i="1"/>
  <c r="I654" i="1"/>
  <c r="J646" i="1"/>
  <c r="H646" i="1" s="1"/>
  <c r="K646" i="1"/>
  <c r="I646" i="1"/>
  <c r="J638" i="1"/>
  <c r="H638" i="1" s="1"/>
  <c r="K638" i="1"/>
  <c r="I638" i="1"/>
  <c r="K809" i="1"/>
  <c r="J809" i="1"/>
  <c r="H809" i="1" s="1"/>
  <c r="I809" i="1"/>
  <c r="K793" i="1"/>
  <c r="J793" i="1"/>
  <c r="H793" i="1" s="1"/>
  <c r="I793" i="1"/>
  <c r="K831" i="1"/>
  <c r="J831" i="1"/>
  <c r="H831" i="1" s="1"/>
  <c r="I831" i="1"/>
  <c r="I779" i="1"/>
  <c r="K779" i="1"/>
  <c r="J779" i="1"/>
  <c r="H779" i="1" s="1"/>
  <c r="J850" i="1"/>
  <c r="H850" i="1" s="1"/>
  <c r="I850" i="1"/>
  <c r="K850" i="1"/>
  <c r="J818" i="1"/>
  <c r="H818" i="1" s="1"/>
  <c r="I818" i="1"/>
  <c r="K818" i="1"/>
  <c r="K786" i="1"/>
  <c r="J786" i="1"/>
  <c r="H786" i="1" s="1"/>
  <c r="I786" i="1"/>
  <c r="K773" i="1"/>
  <c r="J773" i="1"/>
  <c r="H773" i="1" s="1"/>
  <c r="I773" i="1"/>
  <c r="K765" i="1"/>
  <c r="J765" i="1"/>
  <c r="H765" i="1" s="1"/>
  <c r="I765" i="1"/>
  <c r="K757" i="1"/>
  <c r="J757" i="1"/>
  <c r="H757" i="1" s="1"/>
  <c r="I757" i="1"/>
  <c r="K753" i="1"/>
  <c r="J753" i="1"/>
  <c r="H753" i="1" s="1"/>
  <c r="I753" i="1"/>
  <c r="K745" i="1"/>
  <c r="J745" i="1"/>
  <c r="H745" i="1" s="1"/>
  <c r="I745" i="1"/>
  <c r="K737" i="1"/>
  <c r="J737" i="1"/>
  <c r="H737" i="1" s="1"/>
  <c r="I737" i="1"/>
  <c r="K729" i="1"/>
  <c r="J729" i="1"/>
  <c r="H729" i="1" s="1"/>
  <c r="I729" i="1"/>
  <c r="K725" i="1"/>
  <c r="J725" i="1"/>
  <c r="H725" i="1" s="1"/>
  <c r="I725" i="1"/>
  <c r="K851" i="1"/>
  <c r="J851" i="1"/>
  <c r="H851" i="1" s="1"/>
  <c r="I851" i="1"/>
  <c r="I1004" i="1"/>
  <c r="K1004" i="1"/>
  <c r="J1004" i="1"/>
  <c r="H1004" i="1" s="1"/>
  <c r="I972" i="1"/>
  <c r="K972" i="1"/>
  <c r="J972" i="1"/>
  <c r="H972" i="1" s="1"/>
  <c r="I940" i="1"/>
  <c r="K940" i="1"/>
  <c r="J940" i="1"/>
  <c r="H940" i="1" s="1"/>
  <c r="I924" i="1"/>
  <c r="K924" i="1"/>
  <c r="J924" i="1"/>
  <c r="H924" i="1" s="1"/>
  <c r="J985" i="1"/>
  <c r="H985" i="1" s="1"/>
  <c r="I985" i="1"/>
  <c r="K985" i="1"/>
  <c r="J953" i="1"/>
  <c r="H953" i="1" s="1"/>
  <c r="I953" i="1"/>
  <c r="K953" i="1"/>
  <c r="J937" i="1"/>
  <c r="H937" i="1" s="1"/>
  <c r="I937" i="1"/>
  <c r="K937" i="1"/>
  <c r="J917" i="1"/>
  <c r="H917" i="1" s="1"/>
  <c r="I917" i="1"/>
  <c r="K917" i="1"/>
  <c r="J909" i="1"/>
  <c r="H909" i="1" s="1"/>
  <c r="I909" i="1"/>
  <c r="K909" i="1"/>
  <c r="J901" i="1"/>
  <c r="H901" i="1" s="1"/>
  <c r="I901" i="1"/>
  <c r="K901" i="1"/>
  <c r="J897" i="1"/>
  <c r="H897" i="1" s="1"/>
  <c r="K897" i="1"/>
  <c r="I897" i="1"/>
  <c r="I889" i="1"/>
  <c r="K889" i="1"/>
  <c r="J889" i="1"/>
  <c r="H889" i="1" s="1"/>
  <c r="I881" i="1"/>
  <c r="K881" i="1"/>
  <c r="J881" i="1"/>
  <c r="H881" i="1" s="1"/>
  <c r="I873" i="1"/>
  <c r="K873" i="1"/>
  <c r="J873" i="1"/>
  <c r="H873" i="1" s="1"/>
  <c r="I869" i="1"/>
  <c r="K869" i="1"/>
  <c r="J869" i="1"/>
  <c r="H869" i="1" s="1"/>
  <c r="I861" i="1"/>
  <c r="K861" i="1"/>
  <c r="J861" i="1"/>
  <c r="H861" i="1" s="1"/>
  <c r="J933" i="1"/>
  <c r="H933" i="1" s="1"/>
  <c r="I933" i="1"/>
  <c r="K933" i="1"/>
  <c r="K914" i="1"/>
  <c r="J914" i="1"/>
  <c r="H914" i="1" s="1"/>
  <c r="I914" i="1"/>
  <c r="I900" i="1"/>
  <c r="K900" i="1"/>
  <c r="J900" i="1"/>
  <c r="H900" i="1" s="1"/>
  <c r="K892" i="1"/>
  <c r="J892" i="1"/>
  <c r="H892" i="1" s="1"/>
  <c r="I892" i="1"/>
  <c r="J874" i="1"/>
  <c r="H874" i="1" s="1"/>
  <c r="I874" i="1"/>
  <c r="K874" i="1"/>
  <c r="J866" i="1"/>
  <c r="H866" i="1" s="1"/>
  <c r="I866" i="1"/>
  <c r="K866" i="1"/>
  <c r="K970" i="1"/>
  <c r="J970" i="1"/>
  <c r="H970" i="1" s="1"/>
  <c r="I970" i="1"/>
  <c r="K938" i="1"/>
  <c r="J938" i="1"/>
  <c r="H938" i="1" s="1"/>
  <c r="I938" i="1"/>
  <c r="J198" i="1"/>
  <c r="H198" i="1" s="1"/>
  <c r="I198" i="1"/>
  <c r="K198" i="1"/>
  <c r="I161" i="1"/>
  <c r="K161" i="1"/>
  <c r="J161" i="1"/>
  <c r="H161" i="1" s="1"/>
  <c r="K126" i="1"/>
  <c r="J126" i="1"/>
  <c r="H126" i="1" s="1"/>
  <c r="I126" i="1"/>
  <c r="J182" i="1"/>
  <c r="H182" i="1" s="1"/>
  <c r="I182" i="1"/>
  <c r="K182" i="1"/>
  <c r="K107" i="1"/>
  <c r="J107" i="1"/>
  <c r="H107" i="1" s="1"/>
  <c r="I107" i="1"/>
  <c r="I95" i="1"/>
  <c r="K95" i="1"/>
  <c r="J95" i="1"/>
  <c r="H95" i="1" s="1"/>
  <c r="I77" i="1"/>
  <c r="K77" i="1"/>
  <c r="J77" i="1"/>
  <c r="H77" i="1" s="1"/>
  <c r="J147" i="1"/>
  <c r="I147" i="1"/>
  <c r="K119" i="1"/>
  <c r="J119" i="1"/>
  <c r="H119" i="1" s="1"/>
  <c r="I119" i="1"/>
  <c r="K170" i="1"/>
  <c r="J170" i="1"/>
  <c r="H170" i="1" s="1"/>
  <c r="I170" i="1"/>
  <c r="K140" i="1"/>
  <c r="I140" i="1"/>
  <c r="J140" i="1"/>
  <c r="H140" i="1" s="1"/>
  <c r="I291" i="1"/>
  <c r="K291" i="1"/>
  <c r="J291" i="1"/>
  <c r="H291" i="1" s="1"/>
  <c r="K229" i="1"/>
  <c r="J229" i="1"/>
  <c r="H229" i="1" s="1"/>
  <c r="I229" i="1"/>
  <c r="I284" i="1"/>
  <c r="K284" i="1"/>
  <c r="J284" i="1"/>
  <c r="H284" i="1" s="1"/>
  <c r="K268" i="1"/>
  <c r="J268" i="1"/>
  <c r="H268" i="1" s="1"/>
  <c r="I268" i="1"/>
  <c r="K252" i="1"/>
  <c r="J252" i="1"/>
  <c r="H252" i="1" s="1"/>
  <c r="I252" i="1"/>
  <c r="J215" i="1"/>
  <c r="H215" i="1" s="1"/>
  <c r="I215" i="1"/>
  <c r="K215" i="1"/>
  <c r="I206" i="1"/>
  <c r="K206" i="1"/>
  <c r="J206" i="1"/>
  <c r="H206" i="1" s="1"/>
  <c r="J285" i="1"/>
  <c r="H285" i="1" s="1"/>
  <c r="K285" i="1"/>
  <c r="I285" i="1"/>
  <c r="I221" i="1"/>
  <c r="K221" i="1"/>
  <c r="J221" i="1"/>
  <c r="H221" i="1" s="1"/>
  <c r="J358" i="1"/>
  <c r="H358" i="1" s="1"/>
  <c r="I358" i="1"/>
  <c r="K358" i="1"/>
  <c r="J322" i="1"/>
  <c r="H322" i="1" s="1"/>
  <c r="I322" i="1"/>
  <c r="K322" i="1"/>
  <c r="J378" i="1"/>
  <c r="H378" i="1" s="1"/>
  <c r="K378" i="1"/>
  <c r="I378" i="1"/>
  <c r="J351" i="1"/>
  <c r="H351" i="1" s="1"/>
  <c r="K351" i="1"/>
  <c r="I351" i="1"/>
  <c r="J315" i="1"/>
  <c r="H315" i="1" s="1"/>
  <c r="K315" i="1"/>
  <c r="I315" i="1"/>
  <c r="I352" i="1"/>
  <c r="K352" i="1"/>
  <c r="J352" i="1"/>
  <c r="H352" i="1" s="1"/>
  <c r="K316" i="1"/>
  <c r="I316" i="1"/>
  <c r="J316" i="1"/>
  <c r="H316" i="1" s="1"/>
  <c r="J381" i="1"/>
  <c r="H381" i="1" s="1"/>
  <c r="K381" i="1"/>
  <c r="I381" i="1"/>
  <c r="J508" i="1"/>
  <c r="I508" i="1"/>
  <c r="J530" i="1"/>
  <c r="I530" i="1"/>
  <c r="I407" i="1"/>
  <c r="K407" i="1"/>
  <c r="J407" i="1"/>
  <c r="H407" i="1" s="1"/>
  <c r="J521" i="1"/>
  <c r="H521" i="1" s="1"/>
  <c r="I521" i="1"/>
  <c r="K521" i="1"/>
  <c r="I489" i="1"/>
  <c r="K489" i="1"/>
  <c r="J489" i="1"/>
  <c r="H489" i="1" s="1"/>
  <c r="K458" i="1"/>
  <c r="J458" i="1"/>
  <c r="H458" i="1" s="1"/>
  <c r="I458" i="1"/>
  <c r="I440" i="1"/>
  <c r="J440" i="1"/>
  <c r="I428" i="1"/>
  <c r="K428" i="1"/>
  <c r="J428" i="1"/>
  <c r="H428" i="1" s="1"/>
  <c r="K422" i="1"/>
  <c r="I422" i="1"/>
  <c r="J422" i="1"/>
  <c r="H422" i="1" s="1"/>
  <c r="K455" i="1"/>
  <c r="J455" i="1"/>
  <c r="H455" i="1" s="1"/>
  <c r="I455" i="1"/>
  <c r="J590" i="1"/>
  <c r="H590" i="1" s="1"/>
  <c r="I590" i="1"/>
  <c r="I582" i="1"/>
  <c r="K582" i="1"/>
  <c r="J582" i="1"/>
  <c r="H582" i="1" s="1"/>
  <c r="K574" i="1"/>
  <c r="J574" i="1"/>
  <c r="H574" i="1" s="1"/>
  <c r="I574" i="1"/>
  <c r="J570" i="1"/>
  <c r="H570" i="1" s="1"/>
  <c r="I570" i="1"/>
  <c r="K570" i="1"/>
  <c r="K565" i="1"/>
  <c r="J565" i="1"/>
  <c r="H565" i="1" s="1"/>
  <c r="I565" i="1"/>
  <c r="K561" i="1"/>
  <c r="J561" i="1"/>
  <c r="H561" i="1" s="1"/>
  <c r="I561" i="1"/>
  <c r="I190" i="1"/>
  <c r="K190" i="1"/>
  <c r="J190" i="1"/>
  <c r="H190" i="1" s="1"/>
  <c r="J142" i="1"/>
  <c r="I142" i="1"/>
  <c r="K169" i="1"/>
  <c r="J169" i="1"/>
  <c r="H169" i="1" s="1"/>
  <c r="I169" i="1"/>
  <c r="I150" i="1"/>
  <c r="K150" i="1"/>
  <c r="J150" i="1"/>
  <c r="H150" i="1" s="1"/>
  <c r="I141" i="1"/>
  <c r="K141" i="1"/>
  <c r="J141" i="1"/>
  <c r="H141" i="1" s="1"/>
  <c r="K112" i="1"/>
  <c r="I112" i="1"/>
  <c r="J112" i="1"/>
  <c r="H112" i="1" s="1"/>
  <c r="K104" i="1"/>
  <c r="I104" i="1"/>
  <c r="J104" i="1"/>
  <c r="H104" i="1" s="1"/>
  <c r="K94" i="1"/>
  <c r="J94" i="1"/>
  <c r="H94" i="1" s="1"/>
  <c r="I94" i="1"/>
  <c r="I88" i="1"/>
  <c r="K88" i="1"/>
  <c r="J88" i="1"/>
  <c r="H88" i="1" s="1"/>
  <c r="I80" i="1"/>
  <c r="J80" i="1"/>
  <c r="H80" i="1" s="1"/>
  <c r="K80" i="1"/>
  <c r="I181" i="1"/>
  <c r="K181" i="1"/>
  <c r="J181" i="1"/>
  <c r="H181" i="1" s="1"/>
  <c r="K146" i="1"/>
  <c r="J146" i="1"/>
  <c r="H146" i="1" s="1"/>
  <c r="I146" i="1"/>
  <c r="K115" i="1"/>
  <c r="I115" i="1"/>
  <c r="J115" i="1"/>
  <c r="H115" i="1" s="1"/>
  <c r="K111" i="1"/>
  <c r="J111" i="1"/>
  <c r="H111" i="1" s="1"/>
  <c r="I111" i="1"/>
  <c r="J85" i="1"/>
  <c r="H85" i="1" s="1"/>
  <c r="K85" i="1"/>
  <c r="I85" i="1"/>
  <c r="J81" i="1"/>
  <c r="H81" i="1" s="1"/>
  <c r="K81" i="1"/>
  <c r="I81" i="1"/>
  <c r="K189" i="1"/>
  <c r="J189" i="1"/>
  <c r="H189" i="1" s="1"/>
  <c r="I189" i="1"/>
  <c r="I116" i="1"/>
  <c r="K116" i="1"/>
  <c r="J116" i="1"/>
  <c r="H116" i="1" s="1"/>
  <c r="I98" i="1"/>
  <c r="K98" i="1"/>
  <c r="J98" i="1"/>
  <c r="H98" i="1" s="1"/>
  <c r="K90" i="1"/>
  <c r="J90" i="1"/>
  <c r="H90" i="1" s="1"/>
  <c r="I90" i="1"/>
  <c r="K82" i="1"/>
  <c r="I82" i="1"/>
  <c r="J82" i="1"/>
  <c r="H82" i="1" s="1"/>
  <c r="J76" i="1"/>
  <c r="H76" i="1" s="1"/>
  <c r="I76" i="1"/>
  <c r="K76" i="1"/>
  <c r="J191" i="1"/>
  <c r="H191" i="1" s="1"/>
  <c r="I191" i="1"/>
  <c r="K191" i="1"/>
  <c r="K139" i="1"/>
  <c r="J139" i="1"/>
  <c r="H139" i="1" s="1"/>
  <c r="I139" i="1"/>
  <c r="J187" i="1"/>
  <c r="H187" i="1" s="1"/>
  <c r="I187" i="1"/>
  <c r="K187" i="1"/>
  <c r="I167" i="1"/>
  <c r="K167" i="1"/>
  <c r="J167" i="1"/>
  <c r="H167" i="1" s="1"/>
  <c r="J131" i="1"/>
  <c r="H131" i="1" s="1"/>
  <c r="I131" i="1"/>
  <c r="K131" i="1"/>
  <c r="J138" i="1"/>
  <c r="I138" i="1"/>
  <c r="K138" i="1"/>
  <c r="K269" i="1"/>
  <c r="J269" i="1"/>
  <c r="H269" i="1" s="1"/>
  <c r="I269" i="1"/>
  <c r="J300" i="1"/>
  <c r="H300" i="1" s="1"/>
  <c r="K300" i="1"/>
  <c r="I300" i="1"/>
  <c r="I280" i="1"/>
  <c r="K280" i="1"/>
  <c r="J280" i="1"/>
  <c r="H280" i="1" s="1"/>
  <c r="K264" i="1"/>
  <c r="J264" i="1"/>
  <c r="H264" i="1" s="1"/>
  <c r="I264" i="1"/>
  <c r="K248" i="1"/>
  <c r="J248" i="1"/>
  <c r="H248" i="1" s="1"/>
  <c r="I248" i="1"/>
  <c r="J228" i="1"/>
  <c r="H228" i="1" s="1"/>
  <c r="I228" i="1"/>
  <c r="K228" i="1"/>
  <c r="I214" i="1"/>
  <c r="K214" i="1"/>
  <c r="J214" i="1"/>
  <c r="H214" i="1" s="1"/>
  <c r="I210" i="1"/>
  <c r="K210" i="1"/>
  <c r="J210" i="1"/>
  <c r="H210" i="1" s="1"/>
  <c r="K205" i="1"/>
  <c r="J205" i="1"/>
  <c r="H205" i="1" s="1"/>
  <c r="I205" i="1"/>
  <c r="I297" i="1"/>
  <c r="K297" i="1"/>
  <c r="J297" i="1"/>
  <c r="H297" i="1" s="1"/>
  <c r="J281" i="1"/>
  <c r="H281" i="1" s="1"/>
  <c r="K281" i="1"/>
  <c r="I281" i="1"/>
  <c r="I253" i="1"/>
  <c r="J253" i="1"/>
  <c r="K217" i="1"/>
  <c r="J217" i="1"/>
  <c r="H217" i="1" s="1"/>
  <c r="I217" i="1"/>
  <c r="J370" i="1"/>
  <c r="I370" i="1"/>
  <c r="J354" i="1"/>
  <c r="H354" i="1" s="1"/>
  <c r="K354" i="1"/>
  <c r="I354" i="1"/>
  <c r="I334" i="1"/>
  <c r="K334" i="1"/>
  <c r="J334" i="1"/>
  <c r="H334" i="1" s="1"/>
  <c r="I318" i="1"/>
  <c r="K318" i="1"/>
  <c r="J318" i="1"/>
  <c r="H318" i="1" s="1"/>
  <c r="I384" i="1"/>
  <c r="J384" i="1"/>
  <c r="I363" i="1"/>
  <c r="K363" i="1"/>
  <c r="J363" i="1"/>
  <c r="H363" i="1" s="1"/>
  <c r="I347" i="1"/>
  <c r="J347" i="1"/>
  <c r="I331" i="1"/>
  <c r="K331" i="1"/>
  <c r="J331" i="1"/>
  <c r="H331" i="1" s="1"/>
  <c r="I311" i="1"/>
  <c r="K311" i="1"/>
  <c r="J311" i="1"/>
  <c r="H311" i="1" s="1"/>
  <c r="J364" i="1"/>
  <c r="H364" i="1" s="1"/>
  <c r="K364" i="1"/>
  <c r="I364" i="1"/>
  <c r="I348" i="1"/>
  <c r="K348" i="1"/>
  <c r="J348" i="1"/>
  <c r="H348" i="1" s="1"/>
  <c r="J332" i="1"/>
  <c r="H332" i="1" s="1"/>
  <c r="I332" i="1"/>
  <c r="K332" i="1"/>
  <c r="J312" i="1"/>
  <c r="I312" i="1"/>
  <c r="I540" i="1"/>
  <c r="K540" i="1"/>
  <c r="J540" i="1"/>
  <c r="H540" i="1" s="1"/>
  <c r="I520" i="1"/>
  <c r="K520" i="1"/>
  <c r="J520" i="1"/>
  <c r="K504" i="1"/>
  <c r="J504" i="1"/>
  <c r="H504" i="1" s="1"/>
  <c r="I504" i="1"/>
  <c r="J488" i="1"/>
  <c r="H488" i="1" s="1"/>
  <c r="I488" i="1"/>
  <c r="K472" i="1"/>
  <c r="J472" i="1"/>
  <c r="H472" i="1" s="1"/>
  <c r="I472" i="1"/>
  <c r="K534" i="1"/>
  <c r="J534" i="1"/>
  <c r="H534" i="1" s="1"/>
  <c r="I534" i="1"/>
  <c r="I502" i="1"/>
  <c r="K502" i="1"/>
  <c r="J502" i="1"/>
  <c r="H502" i="1" s="1"/>
  <c r="I470" i="1"/>
  <c r="K470" i="1"/>
  <c r="J470" i="1"/>
  <c r="H470" i="1" s="1"/>
  <c r="J397" i="1"/>
  <c r="I397" i="1"/>
  <c r="J406" i="1"/>
  <c r="H406" i="1" s="1"/>
  <c r="K406" i="1"/>
  <c r="I406" i="1"/>
  <c r="K522" i="1"/>
  <c r="J522" i="1"/>
  <c r="H522" i="1" s="1"/>
  <c r="I522" i="1"/>
  <c r="I509" i="1"/>
  <c r="K509" i="1"/>
  <c r="J509" i="1"/>
  <c r="H509" i="1" s="1"/>
  <c r="J493" i="1"/>
  <c r="H493" i="1" s="1"/>
  <c r="I493" i="1"/>
  <c r="K493" i="1"/>
  <c r="J461" i="1"/>
  <c r="H461" i="1" s="1"/>
  <c r="I461" i="1"/>
  <c r="K461" i="1"/>
  <c r="J457" i="1"/>
  <c r="H457" i="1" s="1"/>
  <c r="I457" i="1"/>
  <c r="K457" i="1"/>
  <c r="K451" i="1"/>
  <c r="J451" i="1"/>
  <c r="H451" i="1" s="1"/>
  <c r="I451" i="1"/>
  <c r="I445" i="1"/>
  <c r="K445" i="1"/>
  <c r="J445" i="1"/>
  <c r="H445" i="1" s="1"/>
  <c r="J439" i="1"/>
  <c r="H439" i="1" s="1"/>
  <c r="K439" i="1"/>
  <c r="I439" i="1"/>
  <c r="J431" i="1"/>
  <c r="H431" i="1" s="1"/>
  <c r="K431" i="1"/>
  <c r="I431" i="1"/>
  <c r="J423" i="1"/>
  <c r="H423" i="1" s="1"/>
  <c r="K423" i="1"/>
  <c r="I423" i="1"/>
  <c r="I417" i="1"/>
  <c r="J417" i="1"/>
  <c r="J465" i="1"/>
  <c r="H465" i="1" s="1"/>
  <c r="I465" i="1"/>
  <c r="K465" i="1"/>
  <c r="J436" i="1"/>
  <c r="H436" i="1" s="1"/>
  <c r="K436" i="1"/>
  <c r="I436" i="1"/>
  <c r="I432" i="1"/>
  <c r="J432" i="1"/>
  <c r="J412" i="1"/>
  <c r="H412" i="1" s="1"/>
  <c r="K412" i="1"/>
  <c r="I412" i="1"/>
  <c r="J408" i="1"/>
  <c r="H408" i="1" s="1"/>
  <c r="K408" i="1"/>
  <c r="I408" i="1"/>
  <c r="I506" i="1"/>
  <c r="K506" i="1"/>
  <c r="J506" i="1"/>
  <c r="H506" i="1" s="1"/>
  <c r="K477" i="1"/>
  <c r="J477" i="1"/>
  <c r="H477" i="1" s="1"/>
  <c r="I477" i="1"/>
  <c r="J628" i="1"/>
  <c r="H628" i="1" s="1"/>
  <c r="K628" i="1"/>
  <c r="I628" i="1"/>
  <c r="J624" i="1"/>
  <c r="H624" i="1" s="1"/>
  <c r="K624" i="1"/>
  <c r="I624" i="1"/>
  <c r="J620" i="1"/>
  <c r="H620" i="1" s="1"/>
  <c r="K620" i="1"/>
  <c r="I620" i="1"/>
  <c r="J616" i="1"/>
  <c r="H616" i="1" s="1"/>
  <c r="K616" i="1"/>
  <c r="I616" i="1"/>
  <c r="J611" i="1"/>
  <c r="H611" i="1" s="1"/>
  <c r="I611" i="1"/>
  <c r="K611" i="1"/>
  <c r="I606" i="1"/>
  <c r="K606" i="1"/>
  <c r="J606" i="1"/>
  <c r="H606" i="1" s="1"/>
  <c r="J602" i="1"/>
  <c r="I602" i="1"/>
  <c r="K598" i="1"/>
  <c r="J598" i="1"/>
  <c r="H598" i="1" s="1"/>
  <c r="I598" i="1"/>
  <c r="J593" i="1"/>
  <c r="H593" i="1" s="1"/>
  <c r="I593" i="1"/>
  <c r="K593" i="1"/>
  <c r="I589" i="1"/>
  <c r="K589" i="1"/>
  <c r="J589" i="1"/>
  <c r="H589" i="1" s="1"/>
  <c r="I585" i="1"/>
  <c r="K585" i="1"/>
  <c r="J585" i="1"/>
  <c r="H585" i="1" s="1"/>
  <c r="J581" i="1"/>
  <c r="I581" i="1"/>
  <c r="K577" i="1"/>
  <c r="J577" i="1"/>
  <c r="H577" i="1" s="1"/>
  <c r="I577" i="1"/>
  <c r="J573" i="1"/>
  <c r="H573" i="1" s="1"/>
  <c r="I573" i="1"/>
  <c r="K573" i="1"/>
  <c r="I569" i="1"/>
  <c r="K569" i="1"/>
  <c r="J569" i="1"/>
  <c r="H569" i="1" s="1"/>
  <c r="K564" i="1"/>
  <c r="J564" i="1"/>
  <c r="H564" i="1" s="1"/>
  <c r="I564" i="1"/>
  <c r="J560" i="1"/>
  <c r="H560" i="1" s="1"/>
  <c r="I560" i="1"/>
  <c r="K560" i="1"/>
  <c r="J556" i="1"/>
  <c r="H556" i="1" s="1"/>
  <c r="I556" i="1"/>
  <c r="K556" i="1"/>
  <c r="J552" i="1"/>
  <c r="H552" i="1" s="1"/>
  <c r="I552" i="1"/>
  <c r="K552" i="1"/>
  <c r="J548" i="1"/>
  <c r="H548" i="1" s="1"/>
  <c r="I548" i="1"/>
  <c r="K548" i="1"/>
  <c r="K813" i="1"/>
  <c r="J813" i="1"/>
  <c r="H813" i="1" s="1"/>
  <c r="I813" i="1"/>
  <c r="K797" i="1"/>
  <c r="J797" i="1"/>
  <c r="H797" i="1" s="1"/>
  <c r="I797" i="1"/>
  <c r="K781" i="1"/>
  <c r="J781" i="1"/>
  <c r="H781" i="1" s="1"/>
  <c r="I781" i="1"/>
  <c r="K839" i="1"/>
  <c r="J839" i="1"/>
  <c r="H839" i="1" s="1"/>
  <c r="I839" i="1"/>
  <c r="I807" i="1"/>
  <c r="K807" i="1"/>
  <c r="J807" i="1"/>
  <c r="H807" i="1" s="1"/>
  <c r="I783" i="1"/>
  <c r="K783" i="1"/>
  <c r="J783" i="1"/>
  <c r="H783" i="1" s="1"/>
  <c r="J854" i="1"/>
  <c r="H854" i="1" s="1"/>
  <c r="I854" i="1"/>
  <c r="K854" i="1"/>
  <c r="J838" i="1"/>
  <c r="H838" i="1" s="1"/>
  <c r="I838" i="1"/>
  <c r="K838" i="1"/>
  <c r="J822" i="1"/>
  <c r="H822" i="1" s="1"/>
  <c r="I822" i="1"/>
  <c r="K822" i="1"/>
  <c r="K806" i="1"/>
  <c r="J806" i="1"/>
  <c r="H806" i="1" s="1"/>
  <c r="I806" i="1"/>
  <c r="K790" i="1"/>
  <c r="J790" i="1"/>
  <c r="H790" i="1" s="1"/>
  <c r="I790" i="1"/>
  <c r="K774" i="1"/>
  <c r="J774" i="1"/>
  <c r="H774" i="1" s="1"/>
  <c r="I774" i="1"/>
  <c r="K770" i="1"/>
  <c r="J770" i="1"/>
  <c r="H770" i="1" s="1"/>
  <c r="I770" i="1"/>
  <c r="K766" i="1"/>
  <c r="J766" i="1"/>
  <c r="H766" i="1" s="1"/>
  <c r="I766" i="1"/>
  <c r="K762" i="1"/>
  <c r="J762" i="1"/>
  <c r="H762" i="1" s="1"/>
  <c r="I762" i="1"/>
  <c r="K758" i="1"/>
  <c r="J758" i="1"/>
  <c r="H758" i="1" s="1"/>
  <c r="I758" i="1"/>
  <c r="K754" i="1"/>
  <c r="J754" i="1"/>
  <c r="H754" i="1" s="1"/>
  <c r="I754" i="1"/>
  <c r="K750" i="1"/>
  <c r="J750" i="1"/>
  <c r="H750" i="1" s="1"/>
  <c r="I750" i="1"/>
  <c r="K746" i="1"/>
  <c r="J746" i="1"/>
  <c r="H746" i="1" s="1"/>
  <c r="I746" i="1"/>
  <c r="K742" i="1"/>
  <c r="J742" i="1"/>
  <c r="H742" i="1" s="1"/>
  <c r="I742" i="1"/>
  <c r="K738" i="1"/>
  <c r="J738" i="1"/>
  <c r="H738" i="1" s="1"/>
  <c r="I738" i="1"/>
  <c r="K734" i="1"/>
  <c r="J734" i="1"/>
  <c r="H734" i="1" s="1"/>
  <c r="I734" i="1"/>
  <c r="K730" i="1"/>
  <c r="J730" i="1"/>
  <c r="H730" i="1" s="1"/>
  <c r="I730" i="1"/>
  <c r="K726" i="1"/>
  <c r="J726" i="1"/>
  <c r="H726" i="1" s="1"/>
  <c r="I726" i="1"/>
  <c r="K722" i="1"/>
  <c r="J722" i="1"/>
  <c r="H722" i="1" s="1"/>
  <c r="I722" i="1"/>
  <c r="K718" i="1"/>
  <c r="J718" i="1"/>
  <c r="H718" i="1" s="1"/>
  <c r="I718" i="1"/>
  <c r="K827" i="1"/>
  <c r="J827" i="1"/>
  <c r="H827" i="1" s="1"/>
  <c r="I827" i="1"/>
  <c r="I787" i="1"/>
  <c r="K787" i="1"/>
  <c r="J787" i="1"/>
  <c r="H787" i="1" s="1"/>
  <c r="I992" i="1"/>
  <c r="K992" i="1"/>
  <c r="J992" i="1"/>
  <c r="H992" i="1" s="1"/>
  <c r="I976" i="1"/>
  <c r="K976" i="1"/>
  <c r="J976" i="1"/>
  <c r="H976" i="1" s="1"/>
  <c r="I960" i="1"/>
  <c r="K960" i="1"/>
  <c r="J960" i="1"/>
  <c r="H960" i="1" s="1"/>
  <c r="I944" i="1"/>
  <c r="K944" i="1"/>
  <c r="J944" i="1"/>
  <c r="H944" i="1" s="1"/>
  <c r="I928" i="1"/>
  <c r="K928" i="1"/>
  <c r="J928" i="1"/>
  <c r="H928" i="1" s="1"/>
  <c r="J997" i="1"/>
  <c r="H997" i="1" s="1"/>
  <c r="I997" i="1"/>
  <c r="K997" i="1"/>
  <c r="K978" i="1"/>
  <c r="J978" i="1"/>
  <c r="H978" i="1" s="1"/>
  <c r="I978" i="1"/>
  <c r="K946" i="1"/>
  <c r="J946" i="1"/>
  <c r="H946" i="1" s="1"/>
  <c r="I946" i="1"/>
  <c r="J981" i="1"/>
  <c r="H981" i="1" s="1"/>
  <c r="I981" i="1"/>
  <c r="K981" i="1"/>
  <c r="J965" i="1"/>
  <c r="H965" i="1" s="1"/>
  <c r="I965" i="1"/>
  <c r="K965" i="1"/>
  <c r="J949" i="1"/>
  <c r="H949" i="1" s="1"/>
  <c r="I949" i="1"/>
  <c r="K949" i="1"/>
  <c r="I916" i="1"/>
  <c r="K916" i="1"/>
  <c r="J916" i="1"/>
  <c r="H916" i="1" s="1"/>
  <c r="I908" i="1"/>
  <c r="K908" i="1"/>
  <c r="J908" i="1"/>
  <c r="H908" i="1" s="1"/>
  <c r="K898" i="1"/>
  <c r="I898" i="1"/>
  <c r="J898" i="1"/>
  <c r="H898" i="1" s="1"/>
  <c r="J890" i="1"/>
  <c r="H890" i="1" s="1"/>
  <c r="I890" i="1"/>
  <c r="K890" i="1"/>
  <c r="J882" i="1"/>
  <c r="H882" i="1" s="1"/>
  <c r="I882" i="1"/>
  <c r="K882" i="1"/>
  <c r="K876" i="1"/>
  <c r="J876" i="1"/>
  <c r="H876" i="1" s="1"/>
  <c r="I876" i="1"/>
  <c r="K868" i="1"/>
  <c r="J868" i="1"/>
  <c r="H868" i="1" s="1"/>
  <c r="I868" i="1"/>
  <c r="K860" i="1"/>
  <c r="J860" i="1"/>
  <c r="H860" i="1" s="1"/>
  <c r="I860" i="1"/>
  <c r="K79" i="1"/>
  <c r="K397" i="1"/>
  <c r="K236" i="1"/>
  <c r="J201" i="1"/>
  <c r="I201" i="1"/>
  <c r="I105" i="1"/>
  <c r="K105" i="1"/>
  <c r="J105" i="1"/>
  <c r="H105" i="1" s="1"/>
  <c r="K75" i="1"/>
  <c r="J75" i="1"/>
  <c r="I75" i="1"/>
  <c r="J121" i="1"/>
  <c r="H121" i="1" s="1"/>
  <c r="I121" i="1"/>
  <c r="K121" i="1"/>
  <c r="J106" i="1"/>
  <c r="H106" i="1" s="1"/>
  <c r="I106" i="1"/>
  <c r="K106" i="1"/>
  <c r="K128" i="1"/>
  <c r="J128" i="1"/>
  <c r="H128" i="1" s="1"/>
  <c r="I128" i="1"/>
  <c r="I382" i="1"/>
  <c r="J382" i="1"/>
  <c r="I359" i="1"/>
  <c r="K359" i="1"/>
  <c r="J359" i="1"/>
  <c r="H359" i="1" s="1"/>
  <c r="J376" i="1"/>
  <c r="H376" i="1" s="1"/>
  <c r="K376" i="1"/>
  <c r="I376" i="1"/>
  <c r="J500" i="1"/>
  <c r="H500" i="1" s="1"/>
  <c r="I500" i="1"/>
  <c r="K526" i="1"/>
  <c r="J526" i="1"/>
  <c r="H526" i="1" s="1"/>
  <c r="I526" i="1"/>
  <c r="J420" i="1"/>
  <c r="H420" i="1" s="1"/>
  <c r="I420" i="1"/>
  <c r="K402" i="1"/>
  <c r="I402" i="1"/>
  <c r="J402" i="1"/>
  <c r="H402" i="1" s="1"/>
  <c r="I474" i="1"/>
  <c r="K474" i="1"/>
  <c r="J474" i="1"/>
  <c r="H474" i="1" s="1"/>
  <c r="K545" i="1"/>
  <c r="J545" i="1"/>
  <c r="H545" i="1" s="1"/>
  <c r="I545" i="1"/>
  <c r="I513" i="1"/>
  <c r="K513" i="1"/>
  <c r="J513" i="1"/>
  <c r="H513" i="1" s="1"/>
  <c r="I460" i="1"/>
  <c r="K460" i="1"/>
  <c r="J460" i="1"/>
  <c r="H460" i="1" s="1"/>
  <c r="K448" i="1"/>
  <c r="J448" i="1"/>
  <c r="H448" i="1" s="1"/>
  <c r="I448" i="1"/>
  <c r="K433" i="1"/>
  <c r="I433" i="1"/>
  <c r="J433" i="1"/>
  <c r="H433" i="1" s="1"/>
  <c r="I711" i="1"/>
  <c r="K711" i="1"/>
  <c r="J711" i="1"/>
  <c r="H711" i="1" s="1"/>
  <c r="I691" i="1"/>
  <c r="K691" i="1"/>
  <c r="J691" i="1"/>
  <c r="H691" i="1" s="1"/>
  <c r="I671" i="1"/>
  <c r="K671" i="1"/>
  <c r="J671" i="1"/>
  <c r="H671" i="1" s="1"/>
  <c r="I655" i="1"/>
  <c r="K655" i="1"/>
  <c r="J655" i="1"/>
  <c r="H655" i="1" s="1"/>
  <c r="I643" i="1"/>
  <c r="K643" i="1"/>
  <c r="J643" i="1"/>
  <c r="H643" i="1" s="1"/>
  <c r="I631" i="1"/>
  <c r="K631" i="1"/>
  <c r="J631" i="1"/>
  <c r="H631" i="1" s="1"/>
  <c r="I547" i="1"/>
  <c r="K547" i="1"/>
  <c r="J547" i="1"/>
  <c r="H547" i="1" s="1"/>
  <c r="K706" i="1"/>
  <c r="J706" i="1"/>
  <c r="H706" i="1" s="1"/>
  <c r="I706" i="1"/>
  <c r="K698" i="1"/>
  <c r="J698" i="1"/>
  <c r="H698" i="1" s="1"/>
  <c r="I698" i="1"/>
  <c r="K686" i="1"/>
  <c r="J686" i="1"/>
  <c r="H686" i="1" s="1"/>
  <c r="I686" i="1"/>
  <c r="J678" i="1"/>
  <c r="H678" i="1" s="1"/>
  <c r="K678" i="1"/>
  <c r="I678" i="1"/>
  <c r="J670" i="1"/>
  <c r="H670" i="1" s="1"/>
  <c r="K670" i="1"/>
  <c r="I670" i="1"/>
  <c r="J662" i="1"/>
  <c r="H662" i="1" s="1"/>
  <c r="K662" i="1"/>
  <c r="I662" i="1"/>
  <c r="J650" i="1"/>
  <c r="H650" i="1" s="1"/>
  <c r="I650" i="1"/>
  <c r="K650" i="1"/>
  <c r="J642" i="1"/>
  <c r="H642" i="1" s="1"/>
  <c r="I642" i="1"/>
  <c r="K642" i="1"/>
  <c r="J634" i="1"/>
  <c r="H634" i="1" s="1"/>
  <c r="I634" i="1"/>
  <c r="K634" i="1"/>
  <c r="K777" i="1"/>
  <c r="J777" i="1"/>
  <c r="H777" i="1" s="1"/>
  <c r="I777" i="1"/>
  <c r="I803" i="1"/>
  <c r="K803" i="1"/>
  <c r="J803" i="1"/>
  <c r="H803" i="1" s="1"/>
  <c r="J834" i="1"/>
  <c r="H834" i="1" s="1"/>
  <c r="I834" i="1"/>
  <c r="K834" i="1"/>
  <c r="K802" i="1"/>
  <c r="J802" i="1"/>
  <c r="H802" i="1" s="1"/>
  <c r="I802" i="1"/>
  <c r="K769" i="1"/>
  <c r="J769" i="1"/>
  <c r="H769" i="1" s="1"/>
  <c r="I769" i="1"/>
  <c r="K761" i="1"/>
  <c r="J761" i="1"/>
  <c r="H761" i="1" s="1"/>
  <c r="I761" i="1"/>
  <c r="K749" i="1"/>
  <c r="J749" i="1"/>
  <c r="H749" i="1" s="1"/>
  <c r="I749" i="1"/>
  <c r="K741" i="1"/>
  <c r="J741" i="1"/>
  <c r="H741" i="1" s="1"/>
  <c r="I741" i="1"/>
  <c r="K733" i="1"/>
  <c r="J733" i="1"/>
  <c r="H733" i="1" s="1"/>
  <c r="I733" i="1"/>
  <c r="K721" i="1"/>
  <c r="J721" i="1"/>
  <c r="H721" i="1" s="1"/>
  <c r="I721" i="1"/>
  <c r="K823" i="1"/>
  <c r="J823" i="1"/>
  <c r="H823" i="1" s="1"/>
  <c r="I823" i="1"/>
  <c r="I988" i="1"/>
  <c r="K988" i="1"/>
  <c r="J988" i="1"/>
  <c r="H988" i="1" s="1"/>
  <c r="I956" i="1"/>
  <c r="K956" i="1"/>
  <c r="J956" i="1"/>
  <c r="H956" i="1" s="1"/>
  <c r="K1002" i="1"/>
  <c r="J1002" i="1"/>
  <c r="H1002" i="1" s="1"/>
  <c r="I1002" i="1"/>
  <c r="J969" i="1"/>
  <c r="H969" i="1" s="1"/>
  <c r="I969" i="1"/>
  <c r="K969" i="1"/>
  <c r="J921" i="1"/>
  <c r="H921" i="1" s="1"/>
  <c r="I921" i="1"/>
  <c r="K921" i="1"/>
  <c r="J913" i="1"/>
  <c r="H913" i="1" s="1"/>
  <c r="I913" i="1"/>
  <c r="K913" i="1"/>
  <c r="J905" i="1"/>
  <c r="H905" i="1" s="1"/>
  <c r="I905" i="1"/>
  <c r="K905" i="1"/>
  <c r="J893" i="1"/>
  <c r="H893" i="1" s="1"/>
  <c r="K893" i="1"/>
  <c r="I893" i="1"/>
  <c r="I885" i="1"/>
  <c r="K885" i="1"/>
  <c r="J885" i="1"/>
  <c r="H885" i="1" s="1"/>
  <c r="I877" i="1"/>
  <c r="K877" i="1"/>
  <c r="J877" i="1"/>
  <c r="H877" i="1" s="1"/>
  <c r="I865" i="1"/>
  <c r="K865" i="1"/>
  <c r="J865" i="1"/>
  <c r="H865" i="1" s="1"/>
  <c r="K994" i="1"/>
  <c r="J994" i="1"/>
  <c r="H994" i="1" s="1"/>
  <c r="I994" i="1"/>
  <c r="I920" i="1"/>
  <c r="K920" i="1"/>
  <c r="J920" i="1"/>
  <c r="H920" i="1" s="1"/>
  <c r="K906" i="1"/>
  <c r="J906" i="1"/>
  <c r="H906" i="1" s="1"/>
  <c r="I906" i="1"/>
  <c r="K884" i="1"/>
  <c r="J884" i="1"/>
  <c r="H884" i="1" s="1"/>
  <c r="I884" i="1"/>
  <c r="K998" i="1"/>
  <c r="J998" i="1"/>
  <c r="H998" i="1" s="1"/>
  <c r="I998" i="1"/>
  <c r="K3" i="1"/>
  <c r="I3" i="1"/>
  <c r="K159" i="1" l="1"/>
  <c r="K581" i="1"/>
  <c r="K488" i="1"/>
  <c r="K370" i="1"/>
  <c r="H476" i="1"/>
  <c r="K579" i="1"/>
  <c r="K203" i="1"/>
  <c r="K401" i="1"/>
  <c r="H397" i="1"/>
  <c r="K380" i="1"/>
  <c r="H370" i="1"/>
  <c r="H253" i="1"/>
  <c r="K262" i="1"/>
  <c r="K544" i="1"/>
  <c r="H440" i="1"/>
  <c r="K495" i="1"/>
  <c r="H492" i="1"/>
  <c r="K590" i="1"/>
  <c r="H576" i="1"/>
  <c r="K417" i="1"/>
  <c r="H164" i="1"/>
  <c r="K312" i="1"/>
  <c r="H296" i="1"/>
  <c r="K440" i="1"/>
  <c r="K432" i="1"/>
  <c r="H602" i="1"/>
  <c r="H138" i="1"/>
  <c r="K142" i="1"/>
  <c r="H508" i="1"/>
  <c r="K517" i="1"/>
  <c r="K481" i="1"/>
  <c r="H401" i="1"/>
  <c r="K201" i="1"/>
  <c r="H579" i="1"/>
  <c r="K382" i="1"/>
  <c r="K384" i="1"/>
  <c r="H382" i="1"/>
  <c r="K583" i="1"/>
  <c r="H581" i="1"/>
  <c r="K347" i="1"/>
  <c r="H347" i="1"/>
  <c r="K147" i="1"/>
  <c r="H142" i="1"/>
  <c r="K571" i="1"/>
  <c r="H563" i="1"/>
  <c r="K97" i="1"/>
  <c r="K253" i="1"/>
  <c r="K227" i="1"/>
  <c r="H203" i="1"/>
  <c r="K508" i="1"/>
  <c r="K420" i="1"/>
  <c r="H417" i="1"/>
  <c r="K278" i="1"/>
  <c r="H201" i="1"/>
  <c r="K530" i="1"/>
  <c r="H520" i="1"/>
  <c r="K395" i="1"/>
  <c r="H384" i="1"/>
  <c r="K576" i="1"/>
  <c r="H530" i="1"/>
  <c r="K185" i="1"/>
  <c r="H147" i="1"/>
  <c r="K173" i="1"/>
  <c r="H159" i="1"/>
  <c r="K164" i="1"/>
  <c r="K563" i="1"/>
  <c r="H538" i="1"/>
  <c r="K102" i="1"/>
  <c r="H79" i="1"/>
  <c r="K89" i="1"/>
</calcChain>
</file>

<file path=xl/sharedStrings.xml><?xml version="1.0" encoding="utf-8"?>
<sst xmlns="http://schemas.openxmlformats.org/spreadsheetml/2006/main" count="4103" uniqueCount="891">
  <si>
    <t>WORD</t>
  </si>
  <si>
    <t>GR</t>
  </si>
  <si>
    <t>NP_TYPE</t>
  </si>
  <si>
    <t>REF_AUTO</t>
  </si>
  <si>
    <t>COREF</t>
  </si>
  <si>
    <t>REF</t>
  </si>
  <si>
    <t>IS</t>
  </si>
  <si>
    <t>CB</t>
  </si>
  <si>
    <t>GR_ANTE</t>
  </si>
  <si>
    <t>REF_DIST</t>
  </si>
  <si>
    <t>REF_DIST_ANTE</t>
  </si>
  <si>
    <t>COMMENT</t>
  </si>
  <si>
    <t># text = One of Sherlock Holmes's defectsâ€”if, indeed, one may call it a defectâ€”was that he was exceedingly loath to communicate his full plans to any other person until the instant of their fulfilment.</t>
  </si>
  <si>
    <t>One</t>
  </si>
  <si>
    <t>SBJ</t>
  </si>
  <si>
    <t>def-np.poss</t>
  </si>
  <si>
    <t>?OLD</t>
  </si>
  <si>
    <t>of</t>
  </si>
  <si>
    <t>Sherlock</t>
  </si>
  <si>
    <t>Holmes</t>
  </si>
  <si>
    <t>other_3</t>
  </si>
  <si>
    <t>ne</t>
  </si>
  <si>
    <t>'s</t>
  </si>
  <si>
    <t>defects</t>
  </si>
  <si>
    <t>other_2</t>
  </si>
  <si>
    <t>â€”if</t>
  </si>
  <si>
    <t>,</t>
  </si>
  <si>
    <t>indeed</t>
  </si>
  <si>
    <t>one</t>
  </si>
  <si>
    <t>may</t>
  </si>
  <si>
    <t>call</t>
  </si>
  <si>
    <t>it</t>
  </si>
  <si>
    <t>OBJ</t>
  </si>
  <si>
    <t>pron.pper</t>
  </si>
  <si>
    <t>a</t>
  </si>
  <si>
    <t>defect</t>
  </si>
  <si>
    <t>SBJ_2</t>
  </si>
  <si>
    <t>indef-np.a</t>
  </si>
  <si>
    <t>â€”was</t>
  </si>
  <si>
    <t>that</t>
  </si>
  <si>
    <t>he</t>
  </si>
  <si>
    <t>SBJ_3</t>
  </si>
  <si>
    <t>was</t>
  </si>
  <si>
    <t>exceedingly</t>
  </si>
  <si>
    <t>loath</t>
  </si>
  <si>
    <t>to</t>
  </si>
  <si>
    <t>communicate</t>
  </si>
  <si>
    <t>his</t>
  </si>
  <si>
    <t>other_5</t>
  </si>
  <si>
    <t>pron.ppos</t>
  </si>
  <si>
    <t>full</t>
  </si>
  <si>
    <t>plans</t>
  </si>
  <si>
    <t>OBJ_4</t>
  </si>
  <si>
    <t>any</t>
  </si>
  <si>
    <t>other</t>
  </si>
  <si>
    <t>person</t>
  </si>
  <si>
    <t>other_4</t>
  </si>
  <si>
    <t>until</t>
  </si>
  <si>
    <t>the</t>
  </si>
  <si>
    <t>instant</t>
  </si>
  <si>
    <t>their</t>
  </si>
  <si>
    <t>other_6</t>
  </si>
  <si>
    <t>fulfilment</t>
  </si>
  <si>
    <t>.</t>
  </si>
  <si>
    <t># text = Partly it came no doubt from his own masterful nature, which loved to dominate and surprise those who were around him.</t>
  </si>
  <si>
    <t>Partly</t>
  </si>
  <si>
    <t>came</t>
  </si>
  <si>
    <t>no</t>
  </si>
  <si>
    <t>doubt</t>
  </si>
  <si>
    <t>from</t>
  </si>
  <si>
    <t>own</t>
  </si>
  <si>
    <t>masterful</t>
  </si>
  <si>
    <t>nature</t>
  </si>
  <si>
    <t>which</t>
  </si>
  <si>
    <t>loved</t>
  </si>
  <si>
    <t>dominate</t>
  </si>
  <si>
    <t>and</t>
  </si>
  <si>
    <t>surprise</t>
  </si>
  <si>
    <t>those</t>
  </si>
  <si>
    <t>OBJ_5</t>
  </si>
  <si>
    <t>pron.pds</t>
  </si>
  <si>
    <t>who</t>
  </si>
  <si>
    <t>SBJ_7</t>
  </si>
  <si>
    <t>were</t>
  </si>
  <si>
    <t>around</t>
  </si>
  <si>
    <t>him</t>
  </si>
  <si>
    <t># text = Partly also from his professional caution, which urged him never to take any chances.</t>
  </si>
  <si>
    <t>also</t>
  </si>
  <si>
    <t>professional</t>
  </si>
  <si>
    <t>caution</t>
  </si>
  <si>
    <t>urged</t>
  </si>
  <si>
    <t>OBJ_2</t>
  </si>
  <si>
    <t>never</t>
  </si>
  <si>
    <t>take</t>
  </si>
  <si>
    <t>chances</t>
  </si>
  <si>
    <t>OBJ_3</t>
  </si>
  <si>
    <t># text = The result, however, was very trying for those who were acting as his agents and assistants.</t>
  </si>
  <si>
    <t>The</t>
  </si>
  <si>
    <t>result</t>
  </si>
  <si>
    <t>def-np.the</t>
  </si>
  <si>
    <t>however</t>
  </si>
  <si>
    <t>very</t>
  </si>
  <si>
    <t>trying</t>
  </si>
  <si>
    <t>for</t>
  </si>
  <si>
    <t>acting</t>
  </si>
  <si>
    <t>as</t>
  </si>
  <si>
    <t>agents</t>
  </si>
  <si>
    <t>assistants</t>
  </si>
  <si>
    <t>indef-np.bare</t>
  </si>
  <si>
    <t># text = I had often suffered under it, but never more so than during that long drive in the darkness.</t>
  </si>
  <si>
    <t>I</t>
  </si>
  <si>
    <t>had</t>
  </si>
  <si>
    <t>often</t>
  </si>
  <si>
    <t>suffered</t>
  </si>
  <si>
    <t>under</t>
  </si>
  <si>
    <t>but</t>
  </si>
  <si>
    <t>more</t>
  </si>
  <si>
    <t>so</t>
  </si>
  <si>
    <t>than</t>
  </si>
  <si>
    <t>during</t>
  </si>
  <si>
    <t>long</t>
  </si>
  <si>
    <t>drive</t>
  </si>
  <si>
    <t>def-np.dem</t>
  </si>
  <si>
    <t>in</t>
  </si>
  <si>
    <t>darkness</t>
  </si>
  <si>
    <t># text = The great ordeal was in front of us; at last we were about to make our final effort, and yet Holmes had said nothing, and I could only surmise what his course of action would be.</t>
  </si>
  <si>
    <t>great</t>
  </si>
  <si>
    <t>ordeal</t>
  </si>
  <si>
    <t>front</t>
  </si>
  <si>
    <t>us</t>
  </si>
  <si>
    <t>;</t>
  </si>
  <si>
    <t>at</t>
  </si>
  <si>
    <t>last</t>
  </si>
  <si>
    <t>we</t>
  </si>
  <si>
    <t>about</t>
  </si>
  <si>
    <t>make</t>
  </si>
  <si>
    <t>our</t>
  </si>
  <si>
    <t>final</t>
  </si>
  <si>
    <t>effort</t>
  </si>
  <si>
    <t>yet</t>
  </si>
  <si>
    <t>said</t>
  </si>
  <si>
    <t>nothing</t>
  </si>
  <si>
    <t>pron</t>
  </si>
  <si>
    <t>SBJ_4</t>
  </si>
  <si>
    <t>could</t>
  </si>
  <si>
    <t>only</t>
  </si>
  <si>
    <t>surmise</t>
  </si>
  <si>
    <t>what</t>
  </si>
  <si>
    <t>pron.pint</t>
  </si>
  <si>
    <t>other_7</t>
  </si>
  <si>
    <t>course</t>
  </si>
  <si>
    <t>SBJ_6</t>
  </si>
  <si>
    <t>action</t>
  </si>
  <si>
    <t>would</t>
  </si>
  <si>
    <t>be</t>
  </si>
  <si>
    <t># text = My nerves thrilled with anticipation when at last the cold wind upon our faces and the dark, void spaces on either side of the narrow road told me that we were back upon the moor once again.</t>
  </si>
  <si>
    <t>My</t>
  </si>
  <si>
    <t>nerves</t>
  </si>
  <si>
    <t>thrilled</t>
  </si>
  <si>
    <t>with</t>
  </si>
  <si>
    <t>anticipation</t>
  </si>
  <si>
    <t>when</t>
  </si>
  <si>
    <t>cold</t>
  </si>
  <si>
    <t>wind</t>
  </si>
  <si>
    <t>upon</t>
  </si>
  <si>
    <t>faces</t>
  </si>
  <si>
    <t>dark</t>
  </si>
  <si>
    <t>void</t>
  </si>
  <si>
    <t>spaces</t>
  </si>
  <si>
    <t>on</t>
  </si>
  <si>
    <t>either</t>
  </si>
  <si>
    <t>side</t>
  </si>
  <si>
    <t>indef-np</t>
  </si>
  <si>
    <t>narrow</t>
  </si>
  <si>
    <t>road</t>
  </si>
  <si>
    <t>told</t>
  </si>
  <si>
    <t>me</t>
  </si>
  <si>
    <t>back</t>
  </si>
  <si>
    <t>moor</t>
  </si>
  <si>
    <t>once</t>
  </si>
  <si>
    <t>again</t>
  </si>
  <si>
    <t># text = Every stride of the horses and every turn of the wheels was taking us nearer to our supreme adventure.</t>
  </si>
  <si>
    <t>Every</t>
  </si>
  <si>
    <t>stride</t>
  </si>
  <si>
    <t>horses</t>
  </si>
  <si>
    <t>every</t>
  </si>
  <si>
    <t>turn</t>
  </si>
  <si>
    <t>wheels</t>
  </si>
  <si>
    <t>taking</t>
  </si>
  <si>
    <t>nearer</t>
  </si>
  <si>
    <t>supreme</t>
  </si>
  <si>
    <t>adventure</t>
  </si>
  <si>
    <t># text = Our conversation was hampered by the presence of the driver of the hired wagonette, so that we were forced to talk of trivial matters when our nerves were tense with emotion and anticipation.</t>
  </si>
  <si>
    <t>Our</t>
  </si>
  <si>
    <t>conversation</t>
  </si>
  <si>
    <t>hampered</t>
  </si>
  <si>
    <t>by</t>
  </si>
  <si>
    <t>presence</t>
  </si>
  <si>
    <t>driver</t>
  </si>
  <si>
    <t>hired</t>
  </si>
  <si>
    <t>wagonette</t>
  </si>
  <si>
    <t>forced</t>
  </si>
  <si>
    <t>talk</t>
  </si>
  <si>
    <t>trivial</t>
  </si>
  <si>
    <t>matters</t>
  </si>
  <si>
    <t>tense</t>
  </si>
  <si>
    <t>emotion</t>
  </si>
  <si>
    <t># text = It was a relief to me, after that unnatural restraint, when we at last passed Frankland's house and knew that we were drawing near to the Hall and to the scene of action.</t>
  </si>
  <si>
    <t>It</t>
  </si>
  <si>
    <t>relief</t>
  </si>
  <si>
    <t>after</t>
  </si>
  <si>
    <t>unnatural</t>
  </si>
  <si>
    <t>restraint</t>
  </si>
  <si>
    <t>passed</t>
  </si>
  <si>
    <t>Frankland</t>
  </si>
  <si>
    <t>house</t>
  </si>
  <si>
    <t>knew</t>
  </si>
  <si>
    <t>drawing</t>
  </si>
  <si>
    <t>near</t>
  </si>
  <si>
    <t>Hall</t>
  </si>
  <si>
    <t>scene</t>
  </si>
  <si>
    <t># text = We did not drive up to the door but got down near the gate of the avenue.</t>
  </si>
  <si>
    <t>We</t>
  </si>
  <si>
    <t>did</t>
  </si>
  <si>
    <t>not</t>
  </si>
  <si>
    <t>up</t>
  </si>
  <si>
    <t>door</t>
  </si>
  <si>
    <t>got</t>
  </si>
  <si>
    <t>down</t>
  </si>
  <si>
    <t>gate</t>
  </si>
  <si>
    <t>avenue</t>
  </si>
  <si>
    <t># text = The wagonette was paid off and ordered to return to Coombe Tracey forthwith, while we started to walk to Merripit House.</t>
  </si>
  <si>
    <t>paid</t>
  </si>
  <si>
    <t>off</t>
  </si>
  <si>
    <t>ordered</t>
  </si>
  <si>
    <t>return</t>
  </si>
  <si>
    <t>Coombe</t>
  </si>
  <si>
    <t>Tracey</t>
  </si>
  <si>
    <t>forthwith</t>
  </si>
  <si>
    <t>while</t>
  </si>
  <si>
    <t>started</t>
  </si>
  <si>
    <t>walk</t>
  </si>
  <si>
    <t>Merripit</t>
  </si>
  <si>
    <t>House</t>
  </si>
  <si>
    <t>--</t>
  </si>
  <si>
    <t># text = "Are you armed, Lestrade?"</t>
  </si>
  <si>
    <t>&amp;quot;</t>
  </si>
  <si>
    <t>Are</t>
  </si>
  <si>
    <t>you</t>
  </si>
  <si>
    <t>armed</t>
  </si>
  <si>
    <t>Lestrade</t>
  </si>
  <si>
    <t>?</t>
  </si>
  <si>
    <t># text = The little detective smiled.</t>
  </si>
  <si>
    <t>little</t>
  </si>
  <si>
    <t>detective</t>
  </si>
  <si>
    <t>smiled</t>
  </si>
  <si>
    <t># text = \"As long as I have my trousers I have a hip-pocket, and as long as I have my hip-pocket I have something in it.\"</t>
  </si>
  <si>
    <t>As</t>
  </si>
  <si>
    <t>have</t>
  </si>
  <si>
    <t>my</t>
  </si>
  <si>
    <t>trousers</t>
  </si>
  <si>
    <t>hip</t>
  </si>
  <si>
    <t>_</t>
  </si>
  <si>
    <t>pocket</t>
  </si>
  <si>
    <t>other_9</t>
  </si>
  <si>
    <t>OBJ_7</t>
  </si>
  <si>
    <t>SBJ_9</t>
  </si>
  <si>
    <t>something</t>
  </si>
  <si>
    <t>OBJ_9</t>
  </si>
  <si>
    <t>other_10</t>
  </si>
  <si>
    <t># text = "Good!</t>
  </si>
  <si>
    <t>Good</t>
  </si>
  <si>
    <t>!</t>
  </si>
  <si>
    <t># text = My friend and I are also ready for emergencies."</t>
  </si>
  <si>
    <t>friend</t>
  </si>
  <si>
    <t>are</t>
  </si>
  <si>
    <t>ready</t>
  </si>
  <si>
    <t>emergencies</t>
  </si>
  <si>
    <t># text = "You're mighty close about this affair, Mr. Holmes.</t>
  </si>
  <si>
    <t>You</t>
  </si>
  <si>
    <t>'re</t>
  </si>
  <si>
    <t>mighty</t>
  </si>
  <si>
    <t>close</t>
  </si>
  <si>
    <t>this</t>
  </si>
  <si>
    <t>affair</t>
  </si>
  <si>
    <t>Mr.</t>
  </si>
  <si>
    <t># text = What's the game now?"</t>
  </si>
  <si>
    <t>What</t>
  </si>
  <si>
    <t>game</t>
  </si>
  <si>
    <t>now</t>
  </si>
  <si>
    <t># text = \"A waiting game.\"</t>
  </si>
  <si>
    <t>A</t>
  </si>
  <si>
    <t>waiting</t>
  </si>
  <si>
    <t># text = "My word, it does not seem a very cheerful place," said the detective with a shiver, glancing round him at the gloomy slopes of the hill and at the huge lake of fog which lay over the Grimpen Mire.</t>
  </si>
  <si>
    <t>word</t>
  </si>
  <si>
    <t>does</t>
  </si>
  <si>
    <t>seem</t>
  </si>
  <si>
    <t>cheerful</t>
  </si>
  <si>
    <t>place</t>
  </si>
  <si>
    <t>shiver</t>
  </si>
  <si>
    <t>glancing</t>
  </si>
  <si>
    <t>round</t>
  </si>
  <si>
    <t>gloomy</t>
  </si>
  <si>
    <t>slopes</t>
  </si>
  <si>
    <t>hill</t>
  </si>
  <si>
    <t>huge</t>
  </si>
  <si>
    <t>lake</t>
  </si>
  <si>
    <t>fog</t>
  </si>
  <si>
    <t>SBJ_5</t>
  </si>
  <si>
    <t>lay</t>
  </si>
  <si>
    <t>over</t>
  </si>
  <si>
    <t>Grimpen</t>
  </si>
  <si>
    <t>Mire</t>
  </si>
  <si>
    <t># text = \"I see the lights of a house ahead of us.\"</t>
  </si>
  <si>
    <t>see</t>
  </si>
  <si>
    <t>lights</t>
  </si>
  <si>
    <t>ahead</t>
  </si>
  <si>
    <t># text = "That is Merripit House and the end of our journey.</t>
  </si>
  <si>
    <t>That</t>
  </si>
  <si>
    <t>is</t>
  </si>
  <si>
    <t>end</t>
  </si>
  <si>
    <t>journey</t>
  </si>
  <si>
    <t># text = I must request you to walk on tiptoe and not to talk above a whisper.\"</t>
  </si>
  <si>
    <t>must</t>
  </si>
  <si>
    <t>request</t>
  </si>
  <si>
    <t>tiptoe</t>
  </si>
  <si>
    <t>above</t>
  </si>
  <si>
    <t>whisper</t>
  </si>
  <si>
    <t># text = We moved cautiously along the track as if we were bound for the house, but Holmes halted us when we were about two hundred yards from it.</t>
  </si>
  <si>
    <t>moved</t>
  </si>
  <si>
    <t>cautiously</t>
  </si>
  <si>
    <t>along</t>
  </si>
  <si>
    <t>track</t>
  </si>
  <si>
    <t>if</t>
  </si>
  <si>
    <t>bound</t>
  </si>
  <si>
    <t>halted</t>
  </si>
  <si>
    <t>two</t>
  </si>
  <si>
    <t>hundred</t>
  </si>
  <si>
    <t>yards</t>
  </si>
  <si>
    <t>indef-np.quant</t>
  </si>
  <si>
    <t># text = \"This will do,\" said he.</t>
  </si>
  <si>
    <t>This</t>
  </si>
  <si>
    <t>will</t>
  </si>
  <si>
    <t>do</t>
  </si>
  <si>
    <t># text = \"These rocks upon the right make an admirable screen.\"</t>
  </si>
  <si>
    <t>These</t>
  </si>
  <si>
    <t>rocks</t>
  </si>
  <si>
    <t>right</t>
  </si>
  <si>
    <t>an</t>
  </si>
  <si>
    <t>admirable</t>
  </si>
  <si>
    <t>screen</t>
  </si>
  <si>
    <t># text = "We are to wait here?"</t>
  </si>
  <si>
    <t>wait</t>
  </si>
  <si>
    <t>here</t>
  </si>
  <si>
    <t># text = "Yes, we shall make our little ambush here.</t>
  </si>
  <si>
    <t>Yes</t>
  </si>
  <si>
    <t>shall</t>
  </si>
  <si>
    <t>ambush</t>
  </si>
  <si>
    <t># text = Get into this hollow, Lestrade.</t>
  </si>
  <si>
    <t>Get</t>
  </si>
  <si>
    <t>into</t>
  </si>
  <si>
    <t>hollow</t>
  </si>
  <si>
    <t># text = You have been inside the house, have you not, Watson?</t>
  </si>
  <si>
    <t>been</t>
  </si>
  <si>
    <t>inside</t>
  </si>
  <si>
    <t>Watson</t>
  </si>
  <si>
    <t># text = Can you tell the position of the rooms?</t>
  </si>
  <si>
    <t>Can</t>
  </si>
  <si>
    <t>tell</t>
  </si>
  <si>
    <t>position</t>
  </si>
  <si>
    <t>rooms</t>
  </si>
  <si>
    <t># text = What are those latticed windows at this end?\"</t>
  </si>
  <si>
    <t>latticed</t>
  </si>
  <si>
    <t>windows</t>
  </si>
  <si>
    <t># text = \"I think they are the kitchen windows.\"</t>
  </si>
  <si>
    <t>think</t>
  </si>
  <si>
    <t>they</t>
  </si>
  <si>
    <t>kitchen</t>
  </si>
  <si>
    <t># text = \"And the one beyond, which shines so brightly?\"</t>
  </si>
  <si>
    <t>And</t>
  </si>
  <si>
    <t>beyond</t>
  </si>
  <si>
    <t>def-np.quant</t>
  </si>
  <si>
    <t>shines</t>
  </si>
  <si>
    <t>brightly</t>
  </si>
  <si>
    <t># text = "That is certainly the dining-room."</t>
  </si>
  <si>
    <t>certainly</t>
  </si>
  <si>
    <t>dining</t>
  </si>
  <si>
    <t>room</t>
  </si>
  <si>
    <t># text = \"The blinds are up.</t>
  </si>
  <si>
    <t>blinds</t>
  </si>
  <si>
    <t># text = You know the lie of the land best.</t>
  </si>
  <si>
    <t>know</t>
  </si>
  <si>
    <t>lie</t>
  </si>
  <si>
    <t>land</t>
  </si>
  <si>
    <t>best</t>
  </si>
  <si>
    <t># text = Creep forward quietly and see what they are doingâ€”but for heaven's sake don't let them know that they are watched!"</t>
  </si>
  <si>
    <t>Creep</t>
  </si>
  <si>
    <t>forward</t>
  </si>
  <si>
    <t>quietly</t>
  </si>
  <si>
    <t>doing</t>
  </si>
  <si>
    <t>â€”but</t>
  </si>
  <si>
    <t>heaven</t>
  </si>
  <si>
    <t>sake</t>
  </si>
  <si>
    <t>n't</t>
  </si>
  <si>
    <t>let</t>
  </si>
  <si>
    <t>them</t>
  </si>
  <si>
    <t>watched</t>
  </si>
  <si>
    <t># text = I tiptoed down the path and stooped behind the low wall which surrounded the stunted orchard.</t>
  </si>
  <si>
    <t>tiptoed</t>
  </si>
  <si>
    <t>path</t>
  </si>
  <si>
    <t>stooped</t>
  </si>
  <si>
    <t>behind</t>
  </si>
  <si>
    <t>low</t>
  </si>
  <si>
    <t>wall</t>
  </si>
  <si>
    <t>surrounded</t>
  </si>
  <si>
    <t>stunted</t>
  </si>
  <si>
    <t>orchard</t>
  </si>
  <si>
    <t># text = Creeping in its shadow I reached a point whence I could look straight through the uncurtained window.</t>
  </si>
  <si>
    <t>Creeping</t>
  </si>
  <si>
    <t>s</t>
  </si>
  <si>
    <t>shadow</t>
  </si>
  <si>
    <t>reached</t>
  </si>
  <si>
    <t>point</t>
  </si>
  <si>
    <t>whence</t>
  </si>
  <si>
    <t>look</t>
  </si>
  <si>
    <t>straight</t>
  </si>
  <si>
    <t>through</t>
  </si>
  <si>
    <t>uncurtained</t>
  </si>
  <si>
    <t>window</t>
  </si>
  <si>
    <t># text = There were only two men in the room, Sir Henry and Stapleton.</t>
  </si>
  <si>
    <t>There</t>
  </si>
  <si>
    <t>men</t>
  </si>
  <si>
    <t>Sir</t>
  </si>
  <si>
    <t>Henry</t>
  </si>
  <si>
    <t>Stapleton</t>
  </si>
  <si>
    <t># text = They sat with their profiles towards me on either side of the round table.</t>
  </si>
  <si>
    <t>They</t>
  </si>
  <si>
    <t>sat</t>
  </si>
  <si>
    <t>profiles</t>
  </si>
  <si>
    <t>towards</t>
  </si>
  <si>
    <t>table</t>
  </si>
  <si>
    <t># text = Both of them were smoking cigars, and coffee and wine were in front of them.</t>
  </si>
  <si>
    <t>Both</t>
  </si>
  <si>
    <t>smoking</t>
  </si>
  <si>
    <t>cigars</t>
  </si>
  <si>
    <t>coffee</t>
  </si>
  <si>
    <t>wine</t>
  </si>
  <si>
    <t># text = Stapleton was talking with animation, but the baronet looked pale and distrait.</t>
  </si>
  <si>
    <t>talking</t>
  </si>
  <si>
    <t>animation</t>
  </si>
  <si>
    <t>baronet</t>
  </si>
  <si>
    <t>looked</t>
  </si>
  <si>
    <t>pale</t>
  </si>
  <si>
    <t>distrait</t>
  </si>
  <si>
    <t># text = Perhaps the thought of that lonely walk across the ill-omened moor was weighing heavily upon his mind.</t>
  </si>
  <si>
    <t>Perhaps</t>
  </si>
  <si>
    <t>thought</t>
  </si>
  <si>
    <t>lonely</t>
  </si>
  <si>
    <t>across</t>
  </si>
  <si>
    <t>ill</t>
  </si>
  <si>
    <t>omened</t>
  </si>
  <si>
    <t>weighing</t>
  </si>
  <si>
    <t>heavily</t>
  </si>
  <si>
    <t>mind</t>
  </si>
  <si>
    <t># text = As I watched them Stapleton rose and left the room, while Sir Henry filled his glass again and leaned back in his chair, puffing at his cigar.</t>
  </si>
  <si>
    <t>rose</t>
  </si>
  <si>
    <t>left</t>
  </si>
  <si>
    <t>filled</t>
  </si>
  <si>
    <t>glass</t>
  </si>
  <si>
    <t>leaned</t>
  </si>
  <si>
    <t>chair</t>
  </si>
  <si>
    <t>puffing</t>
  </si>
  <si>
    <t>cigar</t>
  </si>
  <si>
    <t># text = I heard the creak of a door and the crisp sound of boots upon gravel.</t>
  </si>
  <si>
    <t>heard</t>
  </si>
  <si>
    <t>creak</t>
  </si>
  <si>
    <t>crisp</t>
  </si>
  <si>
    <t>sound</t>
  </si>
  <si>
    <t>boots</t>
  </si>
  <si>
    <t>gravel</t>
  </si>
  <si>
    <t># text = The steps passed along the path on the other side of the wall under which I crouched.</t>
  </si>
  <si>
    <t>steps</t>
  </si>
  <si>
    <t>def-np.the.other</t>
  </si>
  <si>
    <t>crouched</t>
  </si>
  <si>
    <t># text = Looking over, I saw the naturalist pause at the door of an out-house in the corner of the orchard.</t>
  </si>
  <si>
    <t>Looking</t>
  </si>
  <si>
    <t>saw</t>
  </si>
  <si>
    <t>naturalist</t>
  </si>
  <si>
    <t>pause</t>
  </si>
  <si>
    <t>out</t>
  </si>
  <si>
    <t>corner</t>
  </si>
  <si>
    <t># text = A key turned in a lock, and as he passed in there was a curious scuffling noise from within.</t>
  </si>
  <si>
    <t>key</t>
  </si>
  <si>
    <t>turned</t>
  </si>
  <si>
    <t>lock</t>
  </si>
  <si>
    <t>there</t>
  </si>
  <si>
    <t>curious</t>
  </si>
  <si>
    <t>scuffling</t>
  </si>
  <si>
    <t>noise</t>
  </si>
  <si>
    <t>within</t>
  </si>
  <si>
    <t># text = He was only a minute or so inside, and then I heard the key turn once more and he passed me and re-entered the house.</t>
  </si>
  <si>
    <t>He</t>
  </si>
  <si>
    <t>minute</t>
  </si>
  <si>
    <t>or</t>
  </si>
  <si>
    <t>then</t>
  </si>
  <si>
    <t>re-entered</t>
  </si>
  <si>
    <t># text = I saw him rejoin his guest, and I crept quietly back to where my companions were waiting to tell them what I had seen.</t>
  </si>
  <si>
    <t>rejoin</t>
  </si>
  <si>
    <t>guest</t>
  </si>
  <si>
    <t>crept</t>
  </si>
  <si>
    <t>where</t>
  </si>
  <si>
    <t>companions</t>
  </si>
  <si>
    <t>OBJ_6</t>
  </si>
  <si>
    <t>seen</t>
  </si>
  <si>
    <t># text = "You say, Watson, that the lady is not there?"</t>
  </si>
  <si>
    <t>say</t>
  </si>
  <si>
    <t>lady</t>
  </si>
  <si>
    <t>pron.padv</t>
  </si>
  <si>
    <t># text = Holmes asked, when I had finished my report.</t>
  </si>
  <si>
    <t>asked</t>
  </si>
  <si>
    <t>finished</t>
  </si>
  <si>
    <t>report</t>
  </si>
  <si>
    <t># text = \"No.\" \"Where can she be, then, since there is no light in any other room except the kitchen?\"</t>
  </si>
  <si>
    <t>No</t>
  </si>
  <si>
    <t>Where</t>
  </si>
  <si>
    <t>can</t>
  </si>
  <si>
    <t>she</t>
  </si>
  <si>
    <t>since</t>
  </si>
  <si>
    <t>light</t>
  </si>
  <si>
    <t>except</t>
  </si>
  <si>
    <t># text = "I cannot think where she is."</t>
  </si>
  <si>
    <t># text = I have said that over the great Grimpen Mire there hung a dense, white fog.</t>
  </si>
  <si>
    <t>hung</t>
  </si>
  <si>
    <t>dense</t>
  </si>
  <si>
    <t>white</t>
  </si>
  <si>
    <t># text = It was drifting slowly in our direction, and banked itself up like a wall on that side of us, low, but thick and well defined.</t>
  </si>
  <si>
    <t>drifting</t>
  </si>
  <si>
    <t>slowly</t>
  </si>
  <si>
    <t>direction</t>
  </si>
  <si>
    <t>banked</t>
  </si>
  <si>
    <t>itself</t>
  </si>
  <si>
    <t>like</t>
  </si>
  <si>
    <t>thick</t>
  </si>
  <si>
    <t>well</t>
  </si>
  <si>
    <t>defined</t>
  </si>
  <si>
    <t># text = The moon shone on it, and it looked like a great shimmering ice-field, with the heads of the distant tors as rocks borne upon its surface.</t>
  </si>
  <si>
    <t>moon</t>
  </si>
  <si>
    <t>shone</t>
  </si>
  <si>
    <t>shimmering</t>
  </si>
  <si>
    <t>ice</t>
  </si>
  <si>
    <t>field</t>
  </si>
  <si>
    <t>heads</t>
  </si>
  <si>
    <t>distant</t>
  </si>
  <si>
    <t>tors</t>
  </si>
  <si>
    <t>borne</t>
  </si>
  <si>
    <t>its</t>
  </si>
  <si>
    <t>surface</t>
  </si>
  <si>
    <t># text = Holmes's face was turned towards it, and he muttered impatiently as he watched its sluggish drift.</t>
  </si>
  <si>
    <t>face</t>
  </si>
  <si>
    <t>muttered</t>
  </si>
  <si>
    <t>impatiently</t>
  </si>
  <si>
    <t>sluggish</t>
  </si>
  <si>
    <t>drift</t>
  </si>
  <si>
    <t># text = "It's moving towards us, Watson."</t>
  </si>
  <si>
    <t>moving</t>
  </si>
  <si>
    <t># text = "Is that serious?"</t>
  </si>
  <si>
    <t>Is</t>
  </si>
  <si>
    <t>serious</t>
  </si>
  <si>
    <t># text = "Very serious, indeedâ€”the one thing upon earth which could have disarranged my plans.</t>
  </si>
  <si>
    <t>Very</t>
  </si>
  <si>
    <t>â€”the</t>
  </si>
  <si>
    <t>thing</t>
  </si>
  <si>
    <t>def-np</t>
  </si>
  <si>
    <t>earth</t>
  </si>
  <si>
    <t>disarranged</t>
  </si>
  <si>
    <t># text = He can't be very long, now.</t>
  </si>
  <si>
    <t>ca</t>
  </si>
  <si>
    <t># text = It is already ten o'clock.</t>
  </si>
  <si>
    <t>already</t>
  </si>
  <si>
    <t>ten</t>
  </si>
  <si>
    <t>o'clock</t>
  </si>
  <si>
    <t># text = Our success and even his life may depend upon his coming out before the fog is over the path."</t>
  </si>
  <si>
    <t>success</t>
  </si>
  <si>
    <t>even</t>
  </si>
  <si>
    <t>life</t>
  </si>
  <si>
    <t>depend</t>
  </si>
  <si>
    <t>coming</t>
  </si>
  <si>
    <t>before</t>
  </si>
  <si>
    <t># text = The night was clear and fine above us.</t>
  </si>
  <si>
    <t>night</t>
  </si>
  <si>
    <t>clear</t>
  </si>
  <si>
    <t>fine</t>
  </si>
  <si>
    <t># text = The stars shone cold and bright, while a half-moon bathed the whole scene in a soft, uncertain light.</t>
  </si>
  <si>
    <t>stars</t>
  </si>
  <si>
    <t>bright</t>
  </si>
  <si>
    <t>half</t>
  </si>
  <si>
    <t>bathed</t>
  </si>
  <si>
    <t>whole</t>
  </si>
  <si>
    <t>soft</t>
  </si>
  <si>
    <t>uncertain</t>
  </si>
  <si>
    <t># text = Before us lay the dark bulk of the house, its serrated roof and bristling chimneys hard outlined against the silver-spangled sky.</t>
  </si>
  <si>
    <t>Before</t>
  </si>
  <si>
    <t>bulk</t>
  </si>
  <si>
    <t>serrated</t>
  </si>
  <si>
    <t>roof</t>
  </si>
  <si>
    <t>bristling</t>
  </si>
  <si>
    <t>chimneys</t>
  </si>
  <si>
    <t>hard</t>
  </si>
  <si>
    <t>outlined</t>
  </si>
  <si>
    <t>against</t>
  </si>
  <si>
    <t>silver</t>
  </si>
  <si>
    <t>spangled</t>
  </si>
  <si>
    <t>sky</t>
  </si>
  <si>
    <t># text = Broad bars of golden light from the lower windows stretched across the orchard and the moor.</t>
  </si>
  <si>
    <t>Broad</t>
  </si>
  <si>
    <t>bars</t>
  </si>
  <si>
    <t>golden</t>
  </si>
  <si>
    <t>lower</t>
  </si>
  <si>
    <t>stretched</t>
  </si>
  <si>
    <t># text = One of them was suddenly shut off.</t>
  </si>
  <si>
    <t>suddenly</t>
  </si>
  <si>
    <t>shut</t>
  </si>
  <si>
    <t># text = The servants had left the kitchen.</t>
  </si>
  <si>
    <t>servants</t>
  </si>
  <si>
    <t># text = There only remained the lamp in the dining-room where the two men, the murderous host and the unconscious guest, still chatted over their cigars.</t>
  </si>
  <si>
    <t>remained</t>
  </si>
  <si>
    <t>lamp</t>
  </si>
  <si>
    <t>murderous</t>
  </si>
  <si>
    <t>host</t>
  </si>
  <si>
    <t>unconscious</t>
  </si>
  <si>
    <t>still</t>
  </si>
  <si>
    <t>chatted</t>
  </si>
  <si>
    <t># text = Every minute that white woolly plain which covered one half of the moor was drifting closer and closer to the house.</t>
  </si>
  <si>
    <t>woolly</t>
  </si>
  <si>
    <t>plain</t>
  </si>
  <si>
    <t>covered</t>
  </si>
  <si>
    <t>closer</t>
  </si>
  <si>
    <t># text = Already the first thin wisps of it were curling across the golden square of the lighted window.</t>
  </si>
  <si>
    <t>Already</t>
  </si>
  <si>
    <t>first</t>
  </si>
  <si>
    <t>thin</t>
  </si>
  <si>
    <t>wisps</t>
  </si>
  <si>
    <t>curling</t>
  </si>
  <si>
    <t>square</t>
  </si>
  <si>
    <t>lighted</t>
  </si>
  <si>
    <t># text = The farther wall of the orchard was already invisible, and the trees were standing out of a swirl of white vapour.</t>
  </si>
  <si>
    <t>farther</t>
  </si>
  <si>
    <t>invisible</t>
  </si>
  <si>
    <t>trees</t>
  </si>
  <si>
    <t>standing</t>
  </si>
  <si>
    <t>swirl</t>
  </si>
  <si>
    <t>vapour</t>
  </si>
  <si>
    <t># text = As we watched it the fog-wreaths came crawling round both corners of the house and rolled slowly into one dense bank, on which the upper floor and the roof floated like a strange ship upon a shadowy sea.</t>
  </si>
  <si>
    <t>wreaths</t>
  </si>
  <si>
    <t>crawling</t>
  </si>
  <si>
    <t>both</t>
  </si>
  <si>
    <t>corners</t>
  </si>
  <si>
    <t>rolled</t>
  </si>
  <si>
    <t>bank</t>
  </si>
  <si>
    <t>upper</t>
  </si>
  <si>
    <t>floor</t>
  </si>
  <si>
    <t>floated</t>
  </si>
  <si>
    <t>strange</t>
  </si>
  <si>
    <t>ship</t>
  </si>
  <si>
    <t>shadowy</t>
  </si>
  <si>
    <t>sea</t>
  </si>
  <si>
    <t># text = Holmes struck his hand passionately upon the rock in front of us and stamped his feet in his impatience.</t>
  </si>
  <si>
    <t>struck</t>
  </si>
  <si>
    <t>hand</t>
  </si>
  <si>
    <t>passionately</t>
  </si>
  <si>
    <t>rock</t>
  </si>
  <si>
    <t>stamped</t>
  </si>
  <si>
    <t>feet</t>
  </si>
  <si>
    <t>impatience</t>
  </si>
  <si>
    <t># text = \"If he isn't out in a quarter of an hour the path will be covered.</t>
  </si>
  <si>
    <t>If</t>
  </si>
  <si>
    <t>quarter</t>
  </si>
  <si>
    <t>hour</t>
  </si>
  <si>
    <t># text = In half an hour we won't be able to see our hands in front of us."</t>
  </si>
  <si>
    <t>In</t>
  </si>
  <si>
    <t>wo</t>
  </si>
  <si>
    <t>able</t>
  </si>
  <si>
    <t>hands</t>
  </si>
  <si>
    <t># text = "Shall we move farther back upon higher ground?"</t>
  </si>
  <si>
    <t>Shall</t>
  </si>
  <si>
    <t>move</t>
  </si>
  <si>
    <t>higher</t>
  </si>
  <si>
    <t>ground</t>
  </si>
  <si>
    <t># text = \"Yes, I think it would be as well.\"</t>
  </si>
  <si>
    <t># text = So as the fog-bank flowed onward we fell back before it until we were half a mile from the house, and still that dense white sea, with the moon silvering its upper edge, swept slowly and inexorably on.</t>
  </si>
  <si>
    <t>So</t>
  </si>
  <si>
    <t>flowed</t>
  </si>
  <si>
    <t>onward</t>
  </si>
  <si>
    <t>fell</t>
  </si>
  <si>
    <t>mile</t>
  </si>
  <si>
    <t>silvering</t>
  </si>
  <si>
    <t>edge</t>
  </si>
  <si>
    <t>swept</t>
  </si>
  <si>
    <t>inexorably</t>
  </si>
  <si>
    <t># text = \"We are going too far,\" said Holmes.</t>
  </si>
  <si>
    <t>going</t>
  </si>
  <si>
    <t>too</t>
  </si>
  <si>
    <t>far</t>
  </si>
  <si>
    <t># text = "We dare not take the chance of his being overtaken before he can reach us.</t>
  </si>
  <si>
    <t>dare</t>
  </si>
  <si>
    <t>chance</t>
  </si>
  <si>
    <t>being</t>
  </si>
  <si>
    <t>overtaken</t>
  </si>
  <si>
    <t>reach</t>
  </si>
  <si>
    <t># text = At all costs we must hold our ground where we are."</t>
  </si>
  <si>
    <t>At</t>
  </si>
  <si>
    <t>all</t>
  </si>
  <si>
    <t>costs</t>
  </si>
  <si>
    <t>hold</t>
  </si>
  <si>
    <t># text = He dropped on his knees and clapped his ear to the ground.</t>
  </si>
  <si>
    <t>dropped</t>
  </si>
  <si>
    <t>knees</t>
  </si>
  <si>
    <t>clapped</t>
  </si>
  <si>
    <t>ear</t>
  </si>
  <si>
    <t># text = \"Thank God, I think that I hear him coming.\"</t>
  </si>
  <si>
    <t>Thank</t>
  </si>
  <si>
    <t>God</t>
  </si>
  <si>
    <t>hear</t>
  </si>
  <si>
    <t># text = A sound of quick steps broke the silence of the moor.</t>
  </si>
  <si>
    <t>quick</t>
  </si>
  <si>
    <t>broke</t>
  </si>
  <si>
    <t>silence</t>
  </si>
  <si>
    <t># text = Crouching among the stones we stared intently at the silver-tipped bank in front of us.</t>
  </si>
  <si>
    <t>Crouching</t>
  </si>
  <si>
    <t>among</t>
  </si>
  <si>
    <t>stones</t>
  </si>
  <si>
    <t>stared</t>
  </si>
  <si>
    <t>intently</t>
  </si>
  <si>
    <t>tipped</t>
  </si>
  <si>
    <t># text = The steps grew louder, and through the fog, as through a curtain, there stepped the man whom we were awaiting.</t>
  </si>
  <si>
    <t>grew</t>
  </si>
  <si>
    <t>louder</t>
  </si>
  <si>
    <t>curtain</t>
  </si>
  <si>
    <t>stepped</t>
  </si>
  <si>
    <t>man</t>
  </si>
  <si>
    <t>whom</t>
  </si>
  <si>
    <t>awaiting</t>
  </si>
  <si>
    <t># text = He looked round him in surprise as he emerged into the clear, starlit night.</t>
  </si>
  <si>
    <t>emerged</t>
  </si>
  <si>
    <t>starlit</t>
  </si>
  <si>
    <t># text = Then he came swiftly along the path, passed close to where we lay, and went on up the long slope behind us.</t>
  </si>
  <si>
    <t>Then</t>
  </si>
  <si>
    <t>swiftly</t>
  </si>
  <si>
    <t>went</t>
  </si>
  <si>
    <t>slope</t>
  </si>
  <si>
    <t># text = As he walked he glanced continually over either shoulder, like a man who is ill at ease.</t>
  </si>
  <si>
    <t>walked</t>
  </si>
  <si>
    <t>glanced</t>
  </si>
  <si>
    <t>continually</t>
  </si>
  <si>
    <t>shoulder</t>
  </si>
  <si>
    <t>ease</t>
  </si>
  <si>
    <t># text = "Hist!" cried Holmes, and I heard the sharp click of a cocking pistol.</t>
  </si>
  <si>
    <t>Hist</t>
  </si>
  <si>
    <t>cried</t>
  </si>
  <si>
    <t>sharp</t>
  </si>
  <si>
    <t>click</t>
  </si>
  <si>
    <t>cocking</t>
  </si>
  <si>
    <t>pistol</t>
  </si>
  <si>
    <t># text = \"Look out!</t>
  </si>
  <si>
    <t>Look</t>
  </si>
  <si>
    <t># text = It's coming!\"</t>
  </si>
  <si>
    <t># text = There was a thin, crisp, continuous patter from somewhere in the heart of that crawling bank.</t>
  </si>
  <si>
    <t>continuous</t>
  </si>
  <si>
    <t>patter</t>
  </si>
  <si>
    <t>somewhere</t>
  </si>
  <si>
    <t>heart</t>
  </si>
  <si>
    <t># text = The cloud was within fifty yards of where we lay, and we glared at it, all three, uncertain what horror was about to break from the heart of it.</t>
  </si>
  <si>
    <t>cloud</t>
  </si>
  <si>
    <t>fifty</t>
  </si>
  <si>
    <t>glared</t>
  </si>
  <si>
    <t>three</t>
  </si>
  <si>
    <t>horror</t>
  </si>
  <si>
    <t>break</t>
  </si>
  <si>
    <t># text = I was at Holmes's elbow, and I glanced for an instant at his face.</t>
  </si>
  <si>
    <t>elbow</t>
  </si>
  <si>
    <t># text = It was pale and exultant, his eyes shining brightly in the moonlight.</t>
  </si>
  <si>
    <t>exultant</t>
  </si>
  <si>
    <t>eyes</t>
  </si>
  <si>
    <t>shining</t>
  </si>
  <si>
    <t>moonlight</t>
  </si>
  <si>
    <t># text = But suddenly they started forward in a rigid, fixed stare, and his lips parted in amazement.</t>
  </si>
  <si>
    <t>But</t>
  </si>
  <si>
    <t>rigid</t>
  </si>
  <si>
    <t>fixed</t>
  </si>
  <si>
    <t>stare</t>
  </si>
  <si>
    <t>lips</t>
  </si>
  <si>
    <t>parted</t>
  </si>
  <si>
    <t>amazement</t>
  </si>
  <si>
    <t># text = At the same instant Lestrade gave a yell of terror and threw himself face downward upon the ground.</t>
  </si>
  <si>
    <t>same</t>
  </si>
  <si>
    <t>gave</t>
  </si>
  <si>
    <t>yell</t>
  </si>
  <si>
    <t>terror</t>
  </si>
  <si>
    <t>threw</t>
  </si>
  <si>
    <t>himself</t>
  </si>
  <si>
    <t>downward</t>
  </si>
  <si>
    <t># text = I sprang to my feet, my inert hand grasping my pistol, my mind paralyzed by the dreadful shape which had sprung out upon us from the shadows of the fog.</t>
  </si>
  <si>
    <t>sprang</t>
  </si>
  <si>
    <t>inert</t>
  </si>
  <si>
    <t>grasping</t>
  </si>
  <si>
    <t>paralyzed</t>
  </si>
  <si>
    <t>dreadful</t>
  </si>
  <si>
    <t>shape</t>
  </si>
  <si>
    <t>sprung</t>
  </si>
  <si>
    <t>shadows</t>
  </si>
  <si>
    <t>other_8</t>
  </si>
  <si>
    <t># text = A hound it was, an enormous coal-black hound, but not such a hound as mortal eyes have ever seen.</t>
  </si>
  <si>
    <t>hound</t>
  </si>
  <si>
    <t>enormous</t>
  </si>
  <si>
    <t>coal</t>
  </si>
  <si>
    <t>black</t>
  </si>
  <si>
    <t>such</t>
  </si>
  <si>
    <t>mortal</t>
  </si>
  <si>
    <t>ever</t>
  </si>
  <si>
    <t># text = Fire burst from its open mouth, its eyes glowed with a smouldering glare, its muzzle and hackles and dewlap were outlined in flickering flame.</t>
  </si>
  <si>
    <t>Fire</t>
  </si>
  <si>
    <t>burst</t>
  </si>
  <si>
    <t>open</t>
  </si>
  <si>
    <t>mouth</t>
  </si>
  <si>
    <t>glowed</t>
  </si>
  <si>
    <t>smouldering</t>
  </si>
  <si>
    <t>glare</t>
  </si>
  <si>
    <t>muzzle</t>
  </si>
  <si>
    <t>hackles</t>
  </si>
  <si>
    <t>dewlap</t>
  </si>
  <si>
    <t>flickering</t>
  </si>
  <si>
    <t>flame</t>
  </si>
  <si>
    <t># text = Never in the delirious dream of a disordered brain could anything more savage, more appalling, more hellish be conceived than that dark form and savage face which broke upon us out of the wall of fog.</t>
  </si>
  <si>
    <t>Never</t>
  </si>
  <si>
    <t>delirious</t>
  </si>
  <si>
    <t>dream</t>
  </si>
  <si>
    <t>disordered</t>
  </si>
  <si>
    <t>brain</t>
  </si>
  <si>
    <t>anything</t>
  </si>
  <si>
    <t>savage</t>
  </si>
  <si>
    <t>appalling</t>
  </si>
  <si>
    <t>hellish</t>
  </si>
  <si>
    <t>conceived</t>
  </si>
  <si>
    <t>form</t>
  </si>
  <si>
    <t># text = With long bounds the huge black creature was leaping down the track, following hard upon the footsteps of our friend.</t>
  </si>
  <si>
    <t>With</t>
  </si>
  <si>
    <t>bounds</t>
  </si>
  <si>
    <t>creature</t>
  </si>
  <si>
    <t>leaping</t>
  </si>
  <si>
    <t>following</t>
  </si>
  <si>
    <t>footsteps</t>
  </si>
  <si>
    <t># text = So paralyzed were we by the apparition that we allowed him to pass before we had recovered our nerve.</t>
  </si>
  <si>
    <t>apparition</t>
  </si>
  <si>
    <t>allowed</t>
  </si>
  <si>
    <t>pass</t>
  </si>
  <si>
    <t>recovered</t>
  </si>
  <si>
    <t>nerve</t>
  </si>
  <si>
    <t># text = Then Holmes and I both fired together, and the creature gave a hideous howl, which showed that one at least had hit him.</t>
  </si>
  <si>
    <t>fired</t>
  </si>
  <si>
    <t>together</t>
  </si>
  <si>
    <t>hideous</t>
  </si>
  <si>
    <t>howl</t>
  </si>
  <si>
    <t>showed</t>
  </si>
  <si>
    <t>least</t>
  </si>
  <si>
    <t>hit</t>
  </si>
  <si>
    <t># text = He did not pause, however, but bounded onward.</t>
  </si>
  <si>
    <t>bounded</t>
  </si>
  <si>
    <t>NEW</t>
  </si>
  <si>
    <t>Sherlock Holmes</t>
  </si>
  <si>
    <t>OLD</t>
  </si>
  <si>
    <t>IN FOCUS</t>
  </si>
  <si>
    <t>Defect</t>
  </si>
  <si>
    <t>SH + W</t>
  </si>
  <si>
    <t>Type Identifiable</t>
  </si>
  <si>
    <t>Familiar</t>
  </si>
  <si>
    <t>Uniquely Identifiable</t>
  </si>
  <si>
    <t>GEN</t>
  </si>
  <si>
    <t>Activated</t>
  </si>
  <si>
    <t>Idiom</t>
  </si>
  <si>
    <t>might be mentioned later</t>
  </si>
  <si>
    <t>little detective</t>
  </si>
  <si>
    <t>hip-pocket</t>
  </si>
  <si>
    <t>Referential</t>
  </si>
  <si>
    <t>Merripit House</t>
  </si>
  <si>
    <t>SH + W + L</t>
  </si>
  <si>
    <t>Watson + Lestrade</t>
  </si>
  <si>
    <t xml:space="preserve">                                                                </t>
  </si>
  <si>
    <t>a waiting game</t>
  </si>
  <si>
    <t>Idiom/fixed expression</t>
  </si>
  <si>
    <t>IDIOM</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</si>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</sst>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6">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26"/>
  <sheetViews>
    <sheetView tabSelected="1" zoomScaleNormal="100" workbookViewId="0">
      <pane xSplit="1" ySplit="1" topLeftCell="B378" activePane="bottomRight" state="frozen"/>
      <selection pane="topRight" activeCell="G1" sqref="G1"/>
      <selection pane="bottomLeft" activeCell="A2177" sqref="A2177"/>
      <selection pane="bottomRight" activeCell="G390" sqref="G390"/>
    </sheetView>
  </sheetViews>
  <sheetFormatPr baseColWidth="10" defaultColWidth="11.59765625" defaultRowHeight="12.75" x14ac:dyDescent="0.35"/>
  <cols>
    <col min="2" max="2" width="14.59765625" customWidth="1"/>
    <col min="3" max="3" width="18.265625" customWidth="1"/>
    <col min="4" max="4" width="23.6640625" customWidth="1"/>
    <col min="5" max="5" width="16.1328125" customWidth="1"/>
    <col min="7" max="7" width="14.73046875" customWidth="1"/>
    <col min="9" max="10" width="11.53125" customWidth="1"/>
    <col min="11" max="11" width="18.86328125" customWidth="1"/>
    <col min="12" max="12" width="46.6640625" customWidth="1"/>
  </cols>
  <sheetData>
    <row r="1" spans="1:12" x14ac:dyDescent="0.35">
      <c r="A1" s="1" t="s">
        <v>0</v>
      </c>
      <c r="B1" s="1" t="s">
        <v>1</v>
      </c>
      <c r="C1" s="1" t="s">
        <v>2</v>
      </c>
      <c r="D1" s="1" t="s">
        <v>3</v>
      </c>
      <c r="E1" s="2" t="s">
        <v>4</v>
      </c>
      <c r="F1" s="3" t="s">
        <v>5</v>
      </c>
      <c r="G1" s="4" t="s">
        <v>6</v>
      </c>
      <c r="H1" s="5" t="s">
        <v>7</v>
      </c>
      <c r="I1" s="6" t="s">
        <v>8</v>
      </c>
      <c r="J1" s="7" t="s">
        <v>9</v>
      </c>
      <c r="K1" s="7" t="s">
        <v>10</v>
      </c>
      <c r="L1" s="8" t="s">
        <v>11</v>
      </c>
    </row>
    <row r="2" spans="1:12" x14ac:dyDescent="0.35">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35">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35">
      <c r="A4" t="s">
        <v>12</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x14ac:dyDescent="0.35">
      <c r="A5" t="s">
        <v>13</v>
      </c>
      <c r="B5" t="s">
        <v>14</v>
      </c>
      <c r="C5" t="s">
        <v>15</v>
      </c>
      <c r="D5" t="s">
        <v>867</v>
      </c>
      <c r="E5" s="9" t="s">
        <v>871</v>
      </c>
      <c r="F5" s="10" t="str">
        <f>IF(OR(E5="",E5="!!!"),"",IF(NOT(ISNA(VLOOKUP(E5,E$1:E4,1,FALSE()))),"OLD",IF(AND(E5&lt;&gt;"",E5&lt;&gt;"!!!"),"NEW","")))</f>
        <v>NEW</v>
      </c>
      <c r="G5" s="11" t="s">
        <v>873</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x14ac:dyDescent="0.35">
      <c r="A6" t="s">
        <v>17</v>
      </c>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x14ac:dyDescent="0.35">
      <c r="A7" t="s">
        <v>18</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x14ac:dyDescent="0.35">
      <c r="A8" t="s">
        <v>19</v>
      </c>
      <c r="B8" t="s">
        <v>20</v>
      </c>
      <c r="C8" t="s">
        <v>21</v>
      </c>
      <c r="D8" t="s">
        <v>867</v>
      </c>
      <c r="E8" s="9" t="s">
        <v>868</v>
      </c>
      <c r="F8" s="10" t="str">
        <f>IF(OR(E8="",E8="!!!"),"",IF(NOT(ISNA(VLOOKUP(E8,E$1:E7,1,FALSE()))),"OLD",IF(AND(E8&lt;&gt;"",E8&lt;&gt;"!!!"),"NEW","")))</f>
        <v>NEW</v>
      </c>
      <c r="G8" s="11" t="s">
        <v>874</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35">
      <c r="A9" t="s">
        <v>22</v>
      </c>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x14ac:dyDescent="0.35">
      <c r="A10" t="s">
        <v>23</v>
      </c>
      <c r="B10" t="s">
        <v>24</v>
      </c>
      <c r="C10" t="s">
        <v>15</v>
      </c>
      <c r="D10" t="s">
        <v>16</v>
      </c>
      <c r="E10" s="9"/>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x14ac:dyDescent="0.35">
      <c r="A11" t="s">
        <v>25</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x14ac:dyDescent="0.35">
      <c r="A12" t="s">
        <v>26</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x14ac:dyDescent="0.35">
      <c r="A13" t="s">
        <v>27</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x14ac:dyDescent="0.35">
      <c r="A14" t="s">
        <v>26</v>
      </c>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x14ac:dyDescent="0.35">
      <c r="A15" t="s">
        <v>28</v>
      </c>
      <c r="B15" t="s">
        <v>14</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x14ac:dyDescent="0.35">
      <c r="A16" t="s">
        <v>29</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x14ac:dyDescent="0.35">
      <c r="A17" t="s">
        <v>30</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x14ac:dyDescent="0.35">
      <c r="A18" t="s">
        <v>31</v>
      </c>
      <c r="B18" t="s">
        <v>32</v>
      </c>
      <c r="C18" t="s">
        <v>33</v>
      </c>
      <c r="D18" t="s">
        <v>16</v>
      </c>
      <c r="E18" s="9" t="s">
        <v>871</v>
      </c>
      <c r="F18" s="10" t="str">
        <f>IF(OR(E18="",E18="!!!"),"",IF(NOT(ISNA(VLOOKUP(E18,E$1:E17,1,FALSE()))),"OLD",IF(AND(E18&lt;&gt;"",E18&lt;&gt;"!!!"),"NEW","")))</f>
        <v>OLD</v>
      </c>
      <c r="G18" s="11" t="s">
        <v>870</v>
      </c>
      <c r="H18" s="12" t="str">
        <f t="shared" ca="1" si="1"/>
        <v/>
      </c>
      <c r="I18" s="13" t="str">
        <f>IF(OR(E18="",E18="!!!",F18="NEW"),"",INDEX(B$2:B17,-1+SUMPRODUCT(MAX(ROW(E$2:E17)*(E18=E$2:E17)))))</f>
        <v>SBJ</v>
      </c>
      <c r="J18" s="14">
        <f ca="1">IF(OR(E18="",E18="!!!",F18="NEW"),"",COUNTBLANK(OFFSET(A$1,,,SUMPRODUCT(MAX(ROW(E$2:E18)*(E18=E$2:E18)))))-COUNTBLANK(OFFSET(A$1,,,SUMPRODUCT(MAX(ROW(E$1:E17)*(E18=E$1:E17))))))</f>
        <v>0</v>
      </c>
      <c r="K18" s="14" t="str">
        <f ca="1">IF(OR(E18="",E18="!!!",F18="NEW"),"",INDEX(J$1:J17,SUMPRODUCT(MAX(ROW(E$1:E17)*(E18=E$1:E17)))))</f>
        <v/>
      </c>
      <c r="L18" s="15"/>
    </row>
    <row r="19" spans="1:12" x14ac:dyDescent="0.35">
      <c r="A19" t="s">
        <v>34</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35">
      <c r="A20" t="s">
        <v>35</v>
      </c>
      <c r="B20" t="s">
        <v>36</v>
      </c>
      <c r="C20" t="s">
        <v>37</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x14ac:dyDescent="0.35">
      <c r="A21" t="s">
        <v>38</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x14ac:dyDescent="0.35">
      <c r="A22" t="s">
        <v>39</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x14ac:dyDescent="0.35">
      <c r="A23" t="s">
        <v>40</v>
      </c>
      <c r="B23" t="s">
        <v>41</v>
      </c>
      <c r="C23" t="s">
        <v>33</v>
      </c>
      <c r="D23" t="s">
        <v>867</v>
      </c>
      <c r="E23" s="9" t="s">
        <v>868</v>
      </c>
      <c r="F23" s="10" t="str">
        <f>IF(OR(E23="",E23="!!!"),"",IF(NOT(ISNA(VLOOKUP(E23,E$1:E22,1,FALSE()))),"OLD",IF(AND(E23&lt;&gt;"",E23&lt;&gt;"!!!"),"NEW","")))</f>
        <v>OLD</v>
      </c>
      <c r="G23" s="11" t="s">
        <v>870</v>
      </c>
      <c r="H23" s="12" t="str">
        <f t="shared" ca="1" si="1"/>
        <v/>
      </c>
      <c r="I23" s="13" t="str">
        <f>IF(OR(E23="",E23="!!!",F23="NEW"),"",INDEX(B$2:B22,-1+SUMPRODUCT(MAX(ROW(E$2:E22)*(E23=E$2:E22)))))</f>
        <v>other_3</v>
      </c>
      <c r="J23" s="14">
        <f ca="1">IF(OR(E23="",E23="!!!",F23="NEW"),"",COUNTBLANK(OFFSET(A$1,,,SUMPRODUCT(MAX(ROW(E$2:E23)*(E23=E$2:E23)))))-COUNTBLANK(OFFSET(A$1,,,SUMPRODUCT(MAX(ROW(E$1:E22)*(E23=E$1:E22))))))</f>
        <v>0</v>
      </c>
      <c r="K23" s="14" t="str">
        <f ca="1">IF(OR(E23="",E23="!!!",F23="NEW"),"",INDEX(J$1:J22,SUMPRODUCT(MAX(ROW(E$1:E22)*(E23=E$1:E22)))))</f>
        <v/>
      </c>
      <c r="L23" s="15"/>
    </row>
    <row r="24" spans="1:12" x14ac:dyDescent="0.35">
      <c r="A24" t="s">
        <v>42</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x14ac:dyDescent="0.35">
      <c r="A25" t="s">
        <v>43</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x14ac:dyDescent="0.35">
      <c r="A26" t="s">
        <v>44</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x14ac:dyDescent="0.35">
      <c r="A27" t="s">
        <v>45</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x14ac:dyDescent="0.35">
      <c r="A28" t="s">
        <v>46</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x14ac:dyDescent="0.35">
      <c r="A29" t="s">
        <v>47</v>
      </c>
      <c r="B29" t="s">
        <v>48</v>
      </c>
      <c r="C29" t="s">
        <v>49</v>
      </c>
      <c r="D29" t="s">
        <v>869</v>
      </c>
      <c r="E29" s="9" t="s">
        <v>868</v>
      </c>
      <c r="F29" s="10" t="str">
        <f>IF(OR(E29="",E29="!!!"),"",IF(NOT(ISNA(VLOOKUP(E29,E$1:E28,1,FALSE()))),"OLD",IF(AND(E29&lt;&gt;"",E29&lt;&gt;"!!!"),"NEW","")))</f>
        <v>OLD</v>
      </c>
      <c r="G29" s="11" t="s">
        <v>870</v>
      </c>
      <c r="H29" s="12" t="str">
        <f t="shared" ca="1" si="1"/>
        <v/>
      </c>
      <c r="I29" s="13" t="str">
        <f>IF(OR(E29="",E29="!!!",F29="NEW"),"",INDEX(B$2:B28,-1+SUMPRODUCT(MAX(ROW(E$2:E28)*(E29=E$2:E28)))))</f>
        <v>SBJ_3</v>
      </c>
      <c r="J29" s="14">
        <f ca="1">IF(OR(E29="",E29="!!!",F29="NEW"),"",COUNTBLANK(OFFSET(A$1,,,SUMPRODUCT(MAX(ROW(E$2:E29)*(E29=E$2:E29)))))-COUNTBLANK(OFFSET(A$1,,,SUMPRODUCT(MAX(ROW(E$1:E28)*(E29=E$1:E28))))))</f>
        <v>0</v>
      </c>
      <c r="K29" s="14">
        <f ca="1">IF(OR(E29="",E29="!!!",F29="NEW"),"",INDEX(J$1:J28,SUMPRODUCT(MAX(ROW(E$1:E28)*(E29=E$1:E28)))))</f>
        <v>0</v>
      </c>
      <c r="L29" s="15"/>
    </row>
    <row r="30" spans="1:12" x14ac:dyDescent="0.35">
      <c r="A30" t="s">
        <v>50</v>
      </c>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x14ac:dyDescent="0.35">
      <c r="A31" t="s">
        <v>51</v>
      </c>
      <c r="B31" t="s">
        <v>52</v>
      </c>
      <c r="C31" t="s">
        <v>15</v>
      </c>
      <c r="D31" t="s">
        <v>867</v>
      </c>
      <c r="E31" s="9" t="s">
        <v>51</v>
      </c>
      <c r="F31" s="10" t="str">
        <f>IF(OR(E31="",E31="!!!"),"",IF(NOT(ISNA(VLOOKUP(E31,E$1:E30,1,FALSE()))),"OLD",IF(AND(E31&lt;&gt;"",E31&lt;&gt;"!!!"),"NEW","")))</f>
        <v>NEW</v>
      </c>
      <c r="G31" s="11" t="s">
        <v>875</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x14ac:dyDescent="0.35">
      <c r="A32" t="s">
        <v>45</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x14ac:dyDescent="0.35">
      <c r="A33" t="s">
        <v>53</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x14ac:dyDescent="0.35">
      <c r="A34" t="s">
        <v>54</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x14ac:dyDescent="0.35">
      <c r="A35" t="s">
        <v>55</v>
      </c>
      <c r="B35" t="s">
        <v>56</v>
      </c>
      <c r="C35" t="s">
        <v>37</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x14ac:dyDescent="0.35">
      <c r="A36" t="s">
        <v>57</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x14ac:dyDescent="0.35">
      <c r="A37" t="s">
        <v>58</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x14ac:dyDescent="0.35">
      <c r="A38" t="s">
        <v>59</v>
      </c>
      <c r="B38" t="s">
        <v>56</v>
      </c>
      <c r="C38" t="s">
        <v>15</v>
      </c>
      <c r="D38" t="s">
        <v>16</v>
      </c>
      <c r="E38" s="9" t="s">
        <v>262</v>
      </c>
      <c r="F38" s="10" t="s">
        <v>876</v>
      </c>
      <c r="G38" s="11"/>
      <c r="H38" s="12" t="e">
        <f t="shared" ca="1" si="1"/>
        <v>#REF!</v>
      </c>
      <c r="I38" s="13" t="e">
        <f>IF(OR(E38="",E38="!!!",F38="NEW"),"",INDEX(B$2:B37,-1+SUMPRODUCT(MAX(ROW(E$2:E37)*(E38=E$2:E37)))))</f>
        <v>#VALUE!</v>
      </c>
      <c r="J38" s="14" t="e">
        <f ca="1">IF(OR(E38="",E38="!!!",F38="NEW"),"",COUNTBLANK(OFFSET(A$1,,,SUMPRODUCT(MAX(ROW(E$2:E38)*(E38=E$2:E38)))))-COUNTBLANK(OFFSET(A$1,,,SUMPRODUCT(MAX(ROW(E$1:E37)*(E38=E$1:E37))))))</f>
        <v>#REF!</v>
      </c>
      <c r="K38" s="14" t="e">
        <f>IF(OR(E38="",E38="!!!",F38="NEW"),"",INDEX(J$1:J37,SUMPRODUCT(MAX(ROW(E$1:E37)*(E38=E$1:E37)))))</f>
        <v>#VALUE!</v>
      </c>
      <c r="L38" s="15"/>
    </row>
    <row r="39" spans="1:12" x14ac:dyDescent="0.35">
      <c r="A39" t="s">
        <v>17</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x14ac:dyDescent="0.35">
      <c r="A40" t="s">
        <v>60</v>
      </c>
      <c r="B40" t="s">
        <v>61</v>
      </c>
      <c r="C40" t="s">
        <v>49</v>
      </c>
      <c r="D40" t="s">
        <v>867</v>
      </c>
      <c r="E40" s="9" t="s">
        <v>51</v>
      </c>
      <c r="F40" s="10" t="str">
        <f>IF(OR(E40="",E40="!!!"),"",IF(NOT(ISNA(VLOOKUP(E40,E$1:E39,1,FALSE()))),"OLD",IF(AND(E40&lt;&gt;"",E40&lt;&gt;"!!!"),"NEW","")))</f>
        <v>OLD</v>
      </c>
      <c r="G40" s="11" t="s">
        <v>875</v>
      </c>
      <c r="H40" s="12" t="str">
        <f t="shared" ca="1" si="1"/>
        <v/>
      </c>
      <c r="I40" s="13" t="str">
        <f>IF(OR(E40="",E40="!!!",F40="NEW"),"",INDEX(B$2:B39,-1+SUMPRODUCT(MAX(ROW(E$2:E39)*(E40=E$2:E39)))))</f>
        <v>OBJ_4</v>
      </c>
      <c r="J40" s="14">
        <f ca="1">IF(OR(E40="",E40="!!!",F40="NEW"),"",COUNTBLANK(OFFSET(A$1,,,SUMPRODUCT(MAX(ROW(E$2:E40)*(E40=E$2:E40)))))-COUNTBLANK(OFFSET(A$1,,,SUMPRODUCT(MAX(ROW(E$1:E39)*(E40=E$1:E39))))))</f>
        <v>0</v>
      </c>
      <c r="K40" s="14" t="str">
        <f ca="1">IF(OR(E40="",E40="!!!",F40="NEW"),"",INDEX(J$1:J39,SUMPRODUCT(MAX(ROW(E$1:E39)*(E40=E$1:E39)))))</f>
        <v/>
      </c>
      <c r="L40" s="15"/>
    </row>
    <row r="41" spans="1:12" x14ac:dyDescent="0.35">
      <c r="A41" t="s">
        <v>62</v>
      </c>
      <c r="B41" t="s">
        <v>48</v>
      </c>
      <c r="C41" t="s">
        <v>15</v>
      </c>
      <c r="D41" t="s">
        <v>16</v>
      </c>
      <c r="E41" s="9" t="s">
        <v>262</v>
      </c>
      <c r="F41" s="10" t="s">
        <v>876</v>
      </c>
      <c r="G41" s="11"/>
      <c r="H41" s="12" t="str">
        <f t="shared" ca="1" si="1"/>
        <v/>
      </c>
      <c r="I41" s="13" t="str">
        <f>IF(OR(E41="",E41="!!!",F41="NEW"),"",INDEX(B$2:B40,-1+SUMPRODUCT(MAX(ROW(E$2:E40)*(E41=E$2:E40)))))</f>
        <v>other_4</v>
      </c>
      <c r="J41" s="14">
        <f ca="1">IF(OR(E41="",E41="!!!",F41="NEW"),"",COUNTBLANK(OFFSET(A$1,,,SUMPRODUCT(MAX(ROW(E$2:E41)*(E41=E$2:E41)))))-COUNTBLANK(OFFSET(A$1,,,SUMPRODUCT(MAX(ROW(E$1:E40)*(E41=E$1:E40))))))</f>
        <v>0</v>
      </c>
      <c r="K41" s="14" t="e">
        <f ca="1">IF(OR(E41="",E41="!!!",F41="NEW"),"",INDEX(J$1:J40,SUMPRODUCT(MAX(ROW(E$1:E40)*(E41=E$1:E40)))))</f>
        <v>#REF!</v>
      </c>
      <c r="L41" s="15"/>
    </row>
    <row r="42" spans="1:12" x14ac:dyDescent="0.35">
      <c r="A42" t="s">
        <v>63</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x14ac:dyDescent="0.35">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x14ac:dyDescent="0.35">
      <c r="A44" t="s">
        <v>64</v>
      </c>
      <c r="E44" s="9" t="str">
        <f t="shared" si="0"/>
        <v/>
      </c>
      <c r="F44" s="10" t="str">
        <f>IF(OR(E44="",E44="!!!"),"",IF(NOT(ISNA(VLOOKUP(E44,E$1:E43,1,FALSE()))),"OLD",IF(AND(E44&lt;&gt;"",E44&lt;&gt;"!!!"),"NEW","")))</f>
        <v/>
      </c>
      <c r="G44" s="11" t="str">
        <f>IF(OR(E44="",E44="!!!"),"",IF(OR(J44=0,AND(J44=1,K44=1),AND(J44=1,I44="SBJ"),AND(J44=1,I44=0)),"?IN_FOCUS",IF(J44&lt;=2,"?ACTIVATED",IF(J44&lt;&gt;"","?FAMILIAR",IF(F44="NEW",IF(ISNA(VLOOKUP(E44,#REF!,1,FALSE())),"?TYPE_IDENTIFIABLE","?REFERENTIAL"),"_")))))</f>
        <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x14ac:dyDescent="0.35">
      <c r="A45" t="s">
        <v>65</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x14ac:dyDescent="0.35">
      <c r="A46" t="s">
        <v>31</v>
      </c>
      <c r="B46" t="s">
        <v>14</v>
      </c>
      <c r="C46" t="s">
        <v>33</v>
      </c>
      <c r="D46" t="s">
        <v>869</v>
      </c>
      <c r="E46" s="9" t="s">
        <v>871</v>
      </c>
      <c r="F46" s="10" t="str">
        <f>IF(OR(E46="",E46="!!!"),"",IF(NOT(ISNA(VLOOKUP(E46,E$1:E45,1,FALSE()))),"OLD",IF(AND(E46&lt;&gt;"",E46&lt;&gt;"!!!"),"NEW","")))</f>
        <v>OLD</v>
      </c>
      <c r="G46" s="11" t="s">
        <v>870</v>
      </c>
      <c r="H46" s="12" t="s">
        <v>7</v>
      </c>
      <c r="I46" s="13" t="str">
        <f>IF(OR(E46="",E46="!!!",F46="NEW"),"",INDEX(B$2:B45,-1+SUMPRODUCT(MAX(ROW(E$2:E45)*(E46=E$2:E45)))))</f>
        <v>OBJ</v>
      </c>
      <c r="J46" s="14">
        <f ca="1">IF(OR(E46="",E46="!!!",F46="NEW"),"",COUNTBLANK(OFFSET(A$1,,,SUMPRODUCT(MAX(ROW(E$2:E46)*(E46=E$2:E46)))))-COUNTBLANK(OFFSET(A$1,,,SUMPRODUCT(MAX(ROW(E$1:E45)*(E46=E$1:E45))))))</f>
        <v>1</v>
      </c>
      <c r="K46" s="14">
        <f ca="1">IF(OR(E46="",E46="!!!",F46="NEW"),"",INDEX(J$1:J45,SUMPRODUCT(MAX(ROW(E$1:E45)*(E46=E$1:E45)))))</f>
        <v>0</v>
      </c>
      <c r="L46" s="15"/>
    </row>
    <row r="47" spans="1:12" x14ac:dyDescent="0.35">
      <c r="A47" t="s">
        <v>66</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35">
      <c r="A48" t="s">
        <v>67</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x14ac:dyDescent="0.35">
      <c r="A49" t="s">
        <v>68</v>
      </c>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x14ac:dyDescent="0.35">
      <c r="A50" t="s">
        <v>69</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x14ac:dyDescent="0.35">
      <c r="A51" t="s">
        <v>47</v>
      </c>
      <c r="B51" t="s">
        <v>24</v>
      </c>
      <c r="C51" t="s">
        <v>49</v>
      </c>
      <c r="D51" t="s">
        <v>869</v>
      </c>
      <c r="E51" s="9" t="s">
        <v>868</v>
      </c>
      <c r="F51" s="10" t="str">
        <f>IF(OR(E51="",E51="!!!"),"",IF(NOT(ISNA(VLOOKUP(E51,E$1:E50,1,FALSE()))),"OLD",IF(AND(E51&lt;&gt;"",E51&lt;&gt;"!!!"),"NEW","")))</f>
        <v>OLD</v>
      </c>
      <c r="G51" s="11" t="s">
        <v>877</v>
      </c>
      <c r="H51" s="12"/>
      <c r="I51" s="13" t="str">
        <f>IF(OR(E51="",E51="!!!",F51="NEW"),"",INDEX(B$2:B50,-1+SUMPRODUCT(MAX(ROW(E$2:E50)*(E51=E$2:E50)))))</f>
        <v>other_5</v>
      </c>
      <c r="J51" s="14">
        <f ca="1">IF(OR(E51="",E51="!!!",F51="NEW"),"",COUNTBLANK(OFFSET(A$1,,,SUMPRODUCT(MAX(ROW(E$2:E51)*(E51=E$2:E51)))))-COUNTBLANK(OFFSET(A$1,,,SUMPRODUCT(MAX(ROW(E$1:E50)*(E51=E$1:E50))))))</f>
        <v>1</v>
      </c>
      <c r="K51" s="14">
        <f ca="1">IF(OR(E51="",E51="!!!",F51="NEW"),"",INDEX(J$1:J50,SUMPRODUCT(MAX(ROW(E$1:E50)*(E51=E$1:E50)))))</f>
        <v>0</v>
      </c>
      <c r="L51" s="15"/>
    </row>
    <row r="52" spans="1:12" x14ac:dyDescent="0.35">
      <c r="A52" t="s">
        <v>70</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x14ac:dyDescent="0.35">
      <c r="A53" t="s">
        <v>71</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x14ac:dyDescent="0.35">
      <c r="A54" t="s">
        <v>72</v>
      </c>
      <c r="B54" t="s">
        <v>54</v>
      </c>
      <c r="C54" t="s">
        <v>15</v>
      </c>
      <c r="D54" t="s">
        <v>16</v>
      </c>
      <c r="E54" s="9" t="s">
        <v>262</v>
      </c>
      <c r="F54" s="10" t="s">
        <v>878</v>
      </c>
      <c r="G54" s="11"/>
      <c r="H54" s="12"/>
      <c r="I54" s="13" t="str">
        <f>IF(OR(E54="",E54="!!!",F54="NEW"),"",INDEX(B$2:B53,-1+SUMPRODUCT(MAX(ROW(E$2:E53)*(E54=E$2:E53)))))</f>
        <v>other_5</v>
      </c>
      <c r="J54" s="14">
        <f ca="1">IF(OR(E54="",E54="!!!",F54="NEW"),"",COUNTBLANK(OFFSET(A$1,,,SUMPRODUCT(MAX(ROW(E$2:E54)*(E54=E$2:E54)))))-COUNTBLANK(OFFSET(A$1,,,SUMPRODUCT(MAX(ROW(E$1:E53)*(E54=E$1:E53))))))</f>
        <v>1</v>
      </c>
      <c r="K54" s="14">
        <f ca="1">IF(OR(E54="",E54="!!!",F54="NEW"),"",INDEX(J$1:J53,SUMPRODUCT(MAX(ROW(E$1:E53)*(E54=E$1:E53)))))</f>
        <v>0</v>
      </c>
      <c r="L54" s="15"/>
    </row>
    <row r="55" spans="1:12" x14ac:dyDescent="0.35">
      <c r="A55" t="s">
        <v>26</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x14ac:dyDescent="0.35">
      <c r="A56" t="s">
        <v>73</v>
      </c>
      <c r="B56" t="s">
        <v>41</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x14ac:dyDescent="0.35">
      <c r="A57" t="s">
        <v>74</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x14ac:dyDescent="0.35">
      <c r="A58" t="s">
        <v>45</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x14ac:dyDescent="0.35">
      <c r="A59" t="s">
        <v>75</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x14ac:dyDescent="0.35">
      <c r="A60" t="s">
        <v>76</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x14ac:dyDescent="0.35">
      <c r="A61" t="s">
        <v>77</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x14ac:dyDescent="0.35">
      <c r="A62" t="s">
        <v>78</v>
      </c>
      <c r="B62" t="s">
        <v>79</v>
      </c>
      <c r="C62" t="s">
        <v>80</v>
      </c>
      <c r="D62" t="s">
        <v>867</v>
      </c>
      <c r="E62" s="9" t="s">
        <v>262</v>
      </c>
      <c r="F62" s="10" t="s">
        <v>876</v>
      </c>
      <c r="G62" s="11"/>
      <c r="H62" s="12" t="str">
        <f t="shared" ca="1" si="1"/>
        <v/>
      </c>
      <c r="I62" s="13" t="str">
        <f>IF(OR(E62="",E62="!!!",F62="NEW"),"",INDEX(B$2:B61,-1+SUMPRODUCT(MAX(ROW(E$2:E61)*(E62=E$2:E61)))))</f>
        <v>other</v>
      </c>
      <c r="J62" s="14">
        <f ca="1">IF(OR(E62="",E62="!!!",F62="NEW"),"",COUNTBLANK(OFFSET(A$1,,,SUMPRODUCT(MAX(ROW(E$2:E62)*(E62=E$2:E62)))))-COUNTBLANK(OFFSET(A$1,,,SUMPRODUCT(MAX(ROW(E$1:E61)*(E62=E$1:E61))))))</f>
        <v>0</v>
      </c>
      <c r="K62" s="14">
        <f ca="1">IF(OR(E62="",E62="!!!",F62="NEW"),"",INDEX(J$1:J61,SUMPRODUCT(MAX(ROW(E$1:E61)*(E62=E$1:E61)))))</f>
        <v>1</v>
      </c>
      <c r="L62" s="15"/>
    </row>
    <row r="63" spans="1:12" x14ac:dyDescent="0.35">
      <c r="A63" t="s">
        <v>81</v>
      </c>
      <c r="B63" t="s">
        <v>82</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x14ac:dyDescent="0.35">
      <c r="A64" t="s">
        <v>83</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x14ac:dyDescent="0.35">
      <c r="A65" t="s">
        <v>84</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x14ac:dyDescent="0.35">
      <c r="A66" t="s">
        <v>85</v>
      </c>
      <c r="B66" t="s">
        <v>61</v>
      </c>
      <c r="C66" t="s">
        <v>33</v>
      </c>
      <c r="D66" t="s">
        <v>867</v>
      </c>
      <c r="E66" s="9" t="s">
        <v>868</v>
      </c>
      <c r="F66" s="10" t="str">
        <f>IF(OR(E66="",E66="!!!"),"",IF(NOT(ISNA(VLOOKUP(E66,E$1:E65,1,FALSE()))),"OLD",IF(AND(E66&lt;&gt;"",E66&lt;&gt;"!!!"),"NEW","")))</f>
        <v>OLD</v>
      </c>
      <c r="G66" s="11" t="s">
        <v>870</v>
      </c>
      <c r="H66" s="12" t="str">
        <f t="shared" ca="1" si="1"/>
        <v/>
      </c>
      <c r="I66" s="13" t="str">
        <f>IF(OR(E66="",E66="!!!",F66="NEW"),"",INDEX(B$2:B65,-1+SUMPRODUCT(MAX(ROW(E$2:E65)*(E66=E$2:E65)))))</f>
        <v>other_2</v>
      </c>
      <c r="J66" s="14">
        <f ca="1">IF(OR(E66="",E66="!!!",F66="NEW"),"",COUNTBLANK(OFFSET(A$1,,,SUMPRODUCT(MAX(ROW(E$2:E66)*(E66=E$2:E66)))))-COUNTBLANK(OFFSET(A$1,,,SUMPRODUCT(MAX(ROW(E$1:E65)*(E66=E$1:E65))))))</f>
        <v>0</v>
      </c>
      <c r="K66" s="14">
        <f ca="1">IF(OR(E66="",E66="!!!",F66="NEW"),"",INDEX(J$1:J65,SUMPRODUCT(MAX(ROW(E$1:E65)*(E66=E$1:E65)))))</f>
        <v>1</v>
      </c>
      <c r="L66" s="15"/>
    </row>
    <row r="67" spans="1:12" x14ac:dyDescent="0.35">
      <c r="A67" t="s">
        <v>63</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x14ac:dyDescent="0.35">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x14ac:dyDescent="0.35">
      <c r="A69" t="s">
        <v>86</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x14ac:dyDescent="0.35">
      <c r="A70" t="s">
        <v>65</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x14ac:dyDescent="0.35">
      <c r="A71" t="s">
        <v>87</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x14ac:dyDescent="0.35">
      <c r="A72" t="s">
        <v>69</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x14ac:dyDescent="0.35">
      <c r="A73" t="s">
        <v>47</v>
      </c>
      <c r="B73" t="s">
        <v>54</v>
      </c>
      <c r="C73" t="s">
        <v>49</v>
      </c>
      <c r="D73" t="s">
        <v>869</v>
      </c>
      <c r="E73" s="9" t="s">
        <v>868</v>
      </c>
      <c r="F73" s="10" t="str">
        <f>IF(OR(E73="",E73="!!!"),"",IF(NOT(ISNA(VLOOKUP(E73,E$1:E72,1,FALSE()))),"OLD",IF(AND(E73&lt;&gt;"",E73&lt;&gt;"!!!"),"NEW","")))</f>
        <v>OLD</v>
      </c>
      <c r="G73" s="11" t="s">
        <v>877</v>
      </c>
      <c r="H73" s="12" t="s">
        <v>7</v>
      </c>
      <c r="I73" s="13" t="str">
        <f>IF(OR(E73="",E73="!!!",F73="NEW"),"",INDEX(B$2:B72,-1+SUMPRODUCT(MAX(ROW(E$2:E72)*(E73=E$2:E72)))))</f>
        <v>other_6</v>
      </c>
      <c r="J73" s="14">
        <f ca="1">IF(OR(E73="",E73="!!!",F73="NEW"),"",COUNTBLANK(OFFSET(A$1,,,SUMPRODUCT(MAX(ROW(E$2:E73)*(E73=E$2:E73)))))-COUNTBLANK(OFFSET(A$1,,,SUMPRODUCT(MAX(ROW(E$1:E72)*(E73=E$1:E72))))))</f>
        <v>1</v>
      </c>
      <c r="K73" s="14">
        <f ca="1">IF(OR(E73="",E73="!!!",F73="NEW"),"",INDEX(J$1:J72,SUMPRODUCT(MAX(ROW(E$1:E72)*(E73=E$1:E72)))))</f>
        <v>0</v>
      </c>
      <c r="L73" s="15"/>
    </row>
    <row r="74" spans="1:12" x14ac:dyDescent="0.35">
      <c r="A74" t="s">
        <v>88</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x14ac:dyDescent="0.35">
      <c r="A75" t="s">
        <v>89</v>
      </c>
      <c r="B75" t="s">
        <v>54</v>
      </c>
      <c r="C75" t="s">
        <v>15</v>
      </c>
      <c r="D75" t="s">
        <v>16</v>
      </c>
      <c r="E75" s="9" t="s">
        <v>262</v>
      </c>
      <c r="F75" s="10" t="s">
        <v>876</v>
      </c>
      <c r="G75" s="11"/>
      <c r="H75" s="12"/>
      <c r="I75" s="13" t="str">
        <f>IF(OR(E75="",E75="!!!",F75="NEW"),"",INDEX(B$2:B74,-1+SUMPRODUCT(MAX(ROW(E$2:E74)*(E75=E$2:E74)))))</f>
        <v>OBJ_5</v>
      </c>
      <c r="J75" s="14">
        <f ca="1">IF(OR(E75="",E75="!!!",F75="NEW"),"",COUNTBLANK(OFFSET(A$1,,,SUMPRODUCT(MAX(ROW(E$2:E75)*(E75=E$2:E75)))))-COUNTBLANK(OFFSET(A$1,,,SUMPRODUCT(MAX(ROW(E$1:E74)*(E75=E$1:E74))))))</f>
        <v>1</v>
      </c>
      <c r="K75" s="14">
        <f ca="1">IF(OR(E75="",E75="!!!",F75="NEW"),"",INDEX(J$1:J74,SUMPRODUCT(MAX(ROW(E$1:E74)*(E75=E$1:E74)))))</f>
        <v>0</v>
      </c>
      <c r="L75" s="15"/>
    </row>
    <row r="76" spans="1:12" x14ac:dyDescent="0.35">
      <c r="A76" t="s">
        <v>26</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x14ac:dyDescent="0.35">
      <c r="A77" t="s">
        <v>73</v>
      </c>
      <c r="B77" t="s">
        <v>36</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x14ac:dyDescent="0.35">
      <c r="A78" t="s">
        <v>90</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x14ac:dyDescent="0.35">
      <c r="A79" t="s">
        <v>85</v>
      </c>
      <c r="B79" t="s">
        <v>91</v>
      </c>
      <c r="C79" t="s">
        <v>33</v>
      </c>
      <c r="D79" t="s">
        <v>869</v>
      </c>
      <c r="E79" s="9" t="s">
        <v>868</v>
      </c>
      <c r="F79" s="10" t="str">
        <f>IF(OR(E79="",E79="!!!"),"",IF(NOT(ISNA(VLOOKUP(E79,E$1:E78,1,FALSE()))),"OLD",IF(AND(E79&lt;&gt;"",E79&lt;&gt;"!!!"),"NEW","")))</f>
        <v>OLD</v>
      </c>
      <c r="G79" s="11" t="s">
        <v>877</v>
      </c>
      <c r="H79" s="12" t="str">
        <f t="shared" ca="1" si="3"/>
        <v/>
      </c>
      <c r="I79" s="13" t="str">
        <f>IF(OR(E79="",E79="!!!",F79="NEW"),"",INDEX(B$2:B78,-1+SUMPRODUCT(MAX(ROW(E$2:E78)*(E79=E$2:E78)))))</f>
        <v>other</v>
      </c>
      <c r="J79" s="14">
        <f ca="1">IF(OR(E79="",E79="!!!",F79="NEW"),"",COUNTBLANK(OFFSET(A$1,,,SUMPRODUCT(MAX(ROW(E$2:E79)*(E79=E$2:E79)))))-COUNTBLANK(OFFSET(A$1,,,SUMPRODUCT(MAX(ROW(E$1:E78)*(E79=E$1:E78))))))</f>
        <v>0</v>
      </c>
      <c r="K79" s="14">
        <f ca="1">IF(OR(E79="",E79="!!!",F79="NEW"),"",INDEX(J$1:J78,SUMPRODUCT(MAX(ROW(E$1:E78)*(E79=E$1:E78)))))</f>
        <v>1</v>
      </c>
      <c r="L79" s="15"/>
    </row>
    <row r="80" spans="1:12" x14ac:dyDescent="0.35">
      <c r="A80" t="s">
        <v>92</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x14ac:dyDescent="0.35">
      <c r="A81" t="s">
        <v>45</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35">
      <c r="A82" t="s">
        <v>93</v>
      </c>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x14ac:dyDescent="0.35">
      <c r="A83" t="s">
        <v>53</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x14ac:dyDescent="0.35">
      <c r="A84" t="s">
        <v>94</v>
      </c>
      <c r="B84" t="s">
        <v>95</v>
      </c>
      <c r="C84" t="s">
        <v>37</v>
      </c>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x14ac:dyDescent="0.35">
      <c r="A85" t="s">
        <v>63</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x14ac:dyDescent="0.35">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x14ac:dyDescent="0.35">
      <c r="A87" t="s">
        <v>96</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x14ac:dyDescent="0.35">
      <c r="A88" t="s">
        <v>97</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x14ac:dyDescent="0.35">
      <c r="A89" t="s">
        <v>98</v>
      </c>
      <c r="B89" t="s">
        <v>14</v>
      </c>
      <c r="C89" t="s">
        <v>99</v>
      </c>
      <c r="D89" t="s">
        <v>16</v>
      </c>
      <c r="E89" s="9" t="s">
        <v>262</v>
      </c>
      <c r="F89" s="10" t="str">
        <f>IF(OR(E89="",E89="!!!"),"",IF(NOT(ISNA(VLOOKUP(E89,E$1:E88,1,FALSE()))),"OLD",IF(AND(E89&lt;&gt;"",E89&lt;&gt;"!!!"),"NEW","")))</f>
        <v>OLD</v>
      </c>
      <c r="G89" s="11"/>
      <c r="H89" s="12"/>
      <c r="I89" s="13" t="str">
        <f>IF(OR(E89="",E89="!!!",F89="NEW"),"",INDEX(B$2:B88,-1+SUMPRODUCT(MAX(ROW(E$2:E88)*(E89=E$2:E88)))))</f>
        <v>other</v>
      </c>
      <c r="J89" s="14">
        <f ca="1">IF(OR(E89="",E89="!!!",F89="NEW"),"",COUNTBLANK(OFFSET(A$1,,,SUMPRODUCT(MAX(ROW(E$2:E89)*(E89=E$2:E89)))))-COUNTBLANK(OFFSET(A$1,,,SUMPRODUCT(MAX(ROW(E$1:E88)*(E89=E$1:E88))))))</f>
        <v>1</v>
      </c>
      <c r="K89" s="14">
        <f ca="1">IF(OR(E89="",E89="!!!",F89="NEW"),"",INDEX(J$1:J88,SUMPRODUCT(MAX(ROW(E$1:E88)*(E89=E$1:E88)))))</f>
        <v>1</v>
      </c>
      <c r="L89" s="15"/>
    </row>
    <row r="90" spans="1:12" x14ac:dyDescent="0.35">
      <c r="A90" t="s">
        <v>26</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x14ac:dyDescent="0.35">
      <c r="A91" t="s">
        <v>100</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x14ac:dyDescent="0.35">
      <c r="A92" t="s">
        <v>26</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x14ac:dyDescent="0.35">
      <c r="A93" t="s">
        <v>42</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x14ac:dyDescent="0.35">
      <c r="A94" t="s">
        <v>101</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x14ac:dyDescent="0.35">
      <c r="A95" t="s">
        <v>102</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x14ac:dyDescent="0.35">
      <c r="A96" t="s">
        <v>103</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x14ac:dyDescent="0.35">
      <c r="A97" t="s">
        <v>78</v>
      </c>
      <c r="B97" t="s">
        <v>54</v>
      </c>
      <c r="C97" t="s">
        <v>80</v>
      </c>
      <c r="D97" t="s">
        <v>869</v>
      </c>
      <c r="E97" s="9" t="s">
        <v>262</v>
      </c>
      <c r="F97" s="10" t="s">
        <v>876</v>
      </c>
      <c r="G97" s="11"/>
      <c r="H97" s="12" t="str">
        <f t="shared" ca="1" si="3"/>
        <v/>
      </c>
      <c r="I97" s="13" t="str">
        <f>IF(OR(E97="",E97="!!!",F97="NEW"),"",INDEX(B$2:B96,-1+SUMPRODUCT(MAX(ROW(E$2:E96)*(E97=E$2:E96)))))</f>
        <v>SBJ</v>
      </c>
      <c r="J97" s="14">
        <f ca="1">IF(OR(E97="",E97="!!!",F97="NEW"),"",COUNTBLANK(OFFSET(A$1,,,SUMPRODUCT(MAX(ROW(E$2:E97)*(E97=E$2:E97)))))-COUNTBLANK(OFFSET(A$1,,,SUMPRODUCT(MAX(ROW(E$1:E96)*(E97=E$1:E96))))))</f>
        <v>0</v>
      </c>
      <c r="K97" s="14">
        <f ca="1">IF(OR(E97="",E97="!!!",F97="NEW"),"",INDEX(J$1:J96,SUMPRODUCT(MAX(ROW(E$1:E96)*(E97=E$1:E96)))))</f>
        <v>1</v>
      </c>
      <c r="L97" s="15"/>
    </row>
    <row r="98" spans="1:12" x14ac:dyDescent="0.35">
      <c r="A98" t="s">
        <v>81</v>
      </c>
      <c r="B98" t="s">
        <v>41</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x14ac:dyDescent="0.35">
      <c r="A99" t="s">
        <v>83</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x14ac:dyDescent="0.35">
      <c r="A100" t="s">
        <v>104</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x14ac:dyDescent="0.35">
      <c r="A101" t="s">
        <v>105</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x14ac:dyDescent="0.35">
      <c r="A102" t="s">
        <v>47</v>
      </c>
      <c r="B102" t="s">
        <v>56</v>
      </c>
      <c r="C102" t="s">
        <v>49</v>
      </c>
      <c r="D102" t="s">
        <v>869</v>
      </c>
      <c r="E102" s="9" t="s">
        <v>868</v>
      </c>
      <c r="F102" s="10" t="str">
        <f>IF(OR(E102="",E102="!!!"),"",IF(NOT(ISNA(VLOOKUP(E102,E$1:E101,1,FALSE()))),"OLD",IF(AND(E102&lt;&gt;"",E102&lt;&gt;"!!!"),"NEW","")))</f>
        <v>OLD</v>
      </c>
      <c r="G102" s="11" t="s">
        <v>877</v>
      </c>
      <c r="H102" s="12" t="s">
        <v>7</v>
      </c>
      <c r="I102" s="13" t="str">
        <f>IF(OR(E102="",E102="!!!",F102="NEW"),"",INDEX(B$2:B101,-1+SUMPRODUCT(MAX(ROW(E$2:E101)*(E102=E$2:E101)))))</f>
        <v>OBJ_2</v>
      </c>
      <c r="J102" s="14">
        <f ca="1">IF(OR(E102="",E102="!!!",F102="NEW"),"",COUNTBLANK(OFFSET(A$1,,,SUMPRODUCT(MAX(ROW(E$2:E102)*(E102=E$2:E102)))))-COUNTBLANK(OFFSET(A$1,,,SUMPRODUCT(MAX(ROW(E$1:E101)*(E102=E$1:E101))))))</f>
        <v>1</v>
      </c>
      <c r="K102" s="14">
        <f ca="1">IF(OR(E102="",E102="!!!",F102="NEW"),"",INDEX(J$1:J101,SUMPRODUCT(MAX(ROW(E$1:E101)*(E102=E$1:E101)))))</f>
        <v>0</v>
      </c>
      <c r="L102" s="15"/>
    </row>
    <row r="103" spans="1:12" x14ac:dyDescent="0.35">
      <c r="A103" t="s">
        <v>106</v>
      </c>
      <c r="B103" t="s">
        <v>20</v>
      </c>
      <c r="C103" t="s">
        <v>15</v>
      </c>
      <c r="D103" t="s">
        <v>16</v>
      </c>
      <c r="E103" s="9" t="s">
        <v>262</v>
      </c>
      <c r="F103" s="10" t="s">
        <v>876</v>
      </c>
      <c r="G103" s="11"/>
      <c r="H103" s="12" t="str">
        <f t="shared" ca="1" si="3"/>
        <v/>
      </c>
      <c r="I103" s="13" t="str">
        <f>IF(OR(E103="",E103="!!!",F103="NEW"),"",INDEX(B$2:B102,-1+SUMPRODUCT(MAX(ROW(E$2:E102)*(E103=E$2:E102)))))</f>
        <v>other</v>
      </c>
      <c r="J103" s="14">
        <f ca="1">IF(OR(E103="",E103="!!!",F103="NEW"),"",COUNTBLANK(OFFSET(A$1,,,SUMPRODUCT(MAX(ROW(E$2:E103)*(E103=E$2:E103)))))-COUNTBLANK(OFFSET(A$1,,,SUMPRODUCT(MAX(ROW(E$1:E102)*(E103=E$1:E102))))))</f>
        <v>0</v>
      </c>
      <c r="K103" s="14">
        <f ca="1">IF(OR(E103="",E103="!!!",F103="NEW"),"",INDEX(J$1:J102,SUMPRODUCT(MAX(ROW(E$1:E102)*(E103=E$1:E102)))))</f>
        <v>0</v>
      </c>
      <c r="L103" s="15"/>
    </row>
    <row r="104" spans="1:12" x14ac:dyDescent="0.35">
      <c r="A104" t="s">
        <v>76</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x14ac:dyDescent="0.35">
      <c r="A105" t="s">
        <v>107</v>
      </c>
      <c r="B105" t="s">
        <v>56</v>
      </c>
      <c r="C105" t="s">
        <v>108</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x14ac:dyDescent="0.35">
      <c r="A106" t="s">
        <v>63</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x14ac:dyDescent="0.35">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35">
      <c r="A108" t="s">
        <v>109</v>
      </c>
      <c r="E108" s="9" t="str">
        <f t="shared" si="2"/>
        <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x14ac:dyDescent="0.35">
      <c r="A109" t="s">
        <v>110</v>
      </c>
      <c r="B109" t="s">
        <v>14</v>
      </c>
      <c r="C109" t="s">
        <v>33</v>
      </c>
      <c r="D109" t="s">
        <v>867</v>
      </c>
      <c r="E109" s="9" t="s">
        <v>365</v>
      </c>
      <c r="F109" s="10" t="str">
        <f>IF(OR(E109="",E109="!!!"),"",IF(NOT(ISNA(VLOOKUP(E109,E$1:E108,1,FALSE()))),"OLD",IF(AND(E109&lt;&gt;"",E109&lt;&gt;"!!!"),"NEW","")))</f>
        <v>NEW</v>
      </c>
      <c r="G109" s="11" t="s">
        <v>870</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x14ac:dyDescent="0.35">
      <c r="A110" t="s">
        <v>111</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x14ac:dyDescent="0.35">
      <c r="A111" t="s">
        <v>112</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x14ac:dyDescent="0.35">
      <c r="A112" t="s">
        <v>113</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x14ac:dyDescent="0.35">
      <c r="A113" t="s">
        <v>114</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x14ac:dyDescent="0.35">
      <c r="A114" t="s">
        <v>31</v>
      </c>
      <c r="B114" t="s">
        <v>54</v>
      </c>
      <c r="C114" t="s">
        <v>33</v>
      </c>
      <c r="D114" t="s">
        <v>869</v>
      </c>
      <c r="E114" s="9" t="s">
        <v>871</v>
      </c>
      <c r="F114" s="10" t="str">
        <f>IF(OR(E114="",E114="!!!"),"",IF(NOT(ISNA(VLOOKUP(E114,E$1:E113,1,FALSE()))),"OLD",IF(AND(E114&lt;&gt;"",E114&lt;&gt;"!!!"),"NEW","")))</f>
        <v>OLD</v>
      </c>
      <c r="G114" s="11" t="s">
        <v>874</v>
      </c>
      <c r="H114" s="12" t="str">
        <f t="shared" ca="1" si="3"/>
        <v/>
      </c>
      <c r="I114" s="13" t="str">
        <f>IF(OR(E114="",E114="!!!",F114="NEW"),"",INDEX(B$2:B113,-1+SUMPRODUCT(MAX(ROW(E$2:E113)*(E114=E$2:E113)))))</f>
        <v>SBJ</v>
      </c>
      <c r="J114" s="14">
        <f ca="1">IF(OR(E114="",E114="!!!",F114="NEW"),"",COUNTBLANK(OFFSET(A$1,,,SUMPRODUCT(MAX(ROW(E$2:E114)*(E114=E$2:E114)))))-COUNTBLANK(OFFSET(A$1,,,SUMPRODUCT(MAX(ROW(E$1:E113)*(E114=E$1:E113))))))</f>
        <v>3</v>
      </c>
      <c r="K114" s="14">
        <f ca="1">IF(OR(E114="",E114="!!!",F114="NEW"),"",INDEX(J$1:J113,SUMPRODUCT(MAX(ROW(E$1:E113)*(E114=E$1:E113)))))</f>
        <v>1</v>
      </c>
      <c r="L114" s="15"/>
    </row>
    <row r="115" spans="1:12" x14ac:dyDescent="0.35">
      <c r="A115" t="s">
        <v>26</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x14ac:dyDescent="0.35">
      <c r="A116" t="s">
        <v>115</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x14ac:dyDescent="0.35">
      <c r="A117" t="s">
        <v>92</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x14ac:dyDescent="0.35">
      <c r="A118" t="s">
        <v>116</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x14ac:dyDescent="0.35">
      <c r="A119" t="s">
        <v>117</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x14ac:dyDescent="0.35">
      <c r="A120" t="s">
        <v>118</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x14ac:dyDescent="0.35">
      <c r="A121" t="s">
        <v>119</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x14ac:dyDescent="0.35">
      <c r="A122" t="s">
        <v>39</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x14ac:dyDescent="0.35">
      <c r="A123" t="s">
        <v>120</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x14ac:dyDescent="0.35">
      <c r="A124" t="s">
        <v>121</v>
      </c>
      <c r="B124" t="s">
        <v>54</v>
      </c>
      <c r="C124" t="s">
        <v>122</v>
      </c>
      <c r="D124" t="s">
        <v>16</v>
      </c>
      <c r="E124" s="9" t="s">
        <v>262</v>
      </c>
      <c r="F124" s="10" t="s">
        <v>876</v>
      </c>
      <c r="G124" s="11"/>
      <c r="H124" s="12"/>
      <c r="I124" s="13" t="str">
        <f>IF(OR(E124="",E124="!!!",F124="NEW"),"",INDEX(B$2:B123,-1+SUMPRODUCT(MAX(ROW(E$2:E123)*(E124=E$2:E123)))))</f>
        <v>other_3</v>
      </c>
      <c r="J124" s="14">
        <f ca="1">IF(OR(E124="",E124="!!!",F124="NEW"),"",COUNTBLANK(OFFSET(A$1,,,SUMPRODUCT(MAX(ROW(E$2:E124)*(E124=E$2:E124)))))-COUNTBLANK(OFFSET(A$1,,,SUMPRODUCT(MAX(ROW(E$1:E123)*(E124=E$1:E123))))))</f>
        <v>1</v>
      </c>
      <c r="K124" s="14">
        <f ca="1">IF(OR(E124="",E124="!!!",F124="NEW"),"",INDEX(J$1:J123,SUMPRODUCT(MAX(ROW(E$1:E123)*(E124=E$1:E123)))))</f>
        <v>0</v>
      </c>
      <c r="L124" s="15"/>
    </row>
    <row r="125" spans="1:12" x14ac:dyDescent="0.35">
      <c r="A125" t="s">
        <v>123</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x14ac:dyDescent="0.35">
      <c r="A126" t="s">
        <v>58</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x14ac:dyDescent="0.35">
      <c r="A127" t="s">
        <v>124</v>
      </c>
      <c r="B127" t="s">
        <v>24</v>
      </c>
      <c r="C127" t="s">
        <v>99</v>
      </c>
      <c r="D127" t="s">
        <v>16</v>
      </c>
      <c r="E127" s="9" t="s">
        <v>262</v>
      </c>
      <c r="F127" s="10" t="s">
        <v>876</v>
      </c>
      <c r="G127" s="11"/>
      <c r="H127" s="12" t="str">
        <f t="shared" ca="1" si="3"/>
        <v/>
      </c>
      <c r="I127" s="13" t="str">
        <f>IF(OR(E127="",E127="!!!",F127="NEW"),"",INDEX(B$2:B126,-1+SUMPRODUCT(MAX(ROW(E$2:E126)*(E127=E$2:E126)))))</f>
        <v>other</v>
      </c>
      <c r="J127" s="14">
        <f ca="1">IF(OR(E127="",E127="!!!",F127="NEW"),"",COUNTBLANK(OFFSET(A$1,,,SUMPRODUCT(MAX(ROW(E$2:E127)*(E127=E$2:E127)))))-COUNTBLANK(OFFSET(A$1,,,SUMPRODUCT(MAX(ROW(E$1:E126)*(E127=E$1:E126))))))</f>
        <v>0</v>
      </c>
      <c r="K127" s="14">
        <f ca="1">IF(OR(E127="",E127="!!!",F127="NEW"),"",INDEX(J$1:J126,SUMPRODUCT(MAX(ROW(E$1:E126)*(E127=E$1:E126)))))</f>
        <v>1</v>
      </c>
      <c r="L127" s="15"/>
    </row>
    <row r="128" spans="1:12" x14ac:dyDescent="0.35">
      <c r="A128" t="s">
        <v>63</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x14ac:dyDescent="0.35">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35">
      <c r="A130" t="s">
        <v>125</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x14ac:dyDescent="0.35">
      <c r="A131" t="s">
        <v>97</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x14ac:dyDescent="0.35">
      <c r="A132" t="s">
        <v>126</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x14ac:dyDescent="0.35">
      <c r="A133" t="s">
        <v>127</v>
      </c>
      <c r="B133" t="s">
        <v>14</v>
      </c>
      <c r="C133" t="s">
        <v>99</v>
      </c>
      <c r="D133" t="s">
        <v>16</v>
      </c>
      <c r="E133" s="9" t="s">
        <v>262</v>
      </c>
      <c r="F133" s="10" t="s">
        <v>867</v>
      </c>
      <c r="G133" s="11"/>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x14ac:dyDescent="0.35">
      <c r="A134" t="s">
        <v>42</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x14ac:dyDescent="0.35">
      <c r="A135" t="s">
        <v>123</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x14ac:dyDescent="0.35">
      <c r="A136" t="s">
        <v>128</v>
      </c>
      <c r="B136" t="s">
        <v>54</v>
      </c>
      <c r="C136" t="s">
        <v>15</v>
      </c>
      <c r="D136" t="s">
        <v>16</v>
      </c>
      <c r="E136" s="9" t="s">
        <v>262</v>
      </c>
      <c r="F136" s="10" t="s">
        <v>876</v>
      </c>
      <c r="G136" s="11"/>
      <c r="H136" s="12" t="str">
        <f t="shared" ca="1" si="5"/>
        <v/>
      </c>
      <c r="I136" s="13" t="str">
        <f>IF(OR(E136="",E136="!!!",F136="NEW"),"",INDEX(B$2:B135,-1+SUMPRODUCT(MAX(ROW(E$2:E135)*(E136=E$2:E135)))))</f>
        <v>SBJ</v>
      </c>
      <c r="J136" s="14">
        <f ca="1">IF(OR(E136="",E136="!!!",F136="NEW"),"",COUNTBLANK(OFFSET(A$1,,,SUMPRODUCT(MAX(ROW(E$2:E136)*(E136=E$2:E136)))))-COUNTBLANK(OFFSET(A$1,,,SUMPRODUCT(MAX(ROW(E$1:E135)*(E136=E$1:E135))))))</f>
        <v>0</v>
      </c>
      <c r="K136" s="14" t="str">
        <f ca="1">IF(OR(E136="",E136="!!!",F136="NEW"),"",INDEX(J$1:J135,SUMPRODUCT(MAX(ROW(E$1:E135)*(E136=E$1:E135)))))</f>
        <v/>
      </c>
      <c r="L136" s="15"/>
    </row>
    <row r="137" spans="1:12" x14ac:dyDescent="0.35">
      <c r="A137" t="s">
        <v>17</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5"/>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x14ac:dyDescent="0.35">
      <c r="A138" t="s">
        <v>129</v>
      </c>
      <c r="B138" t="s">
        <v>54</v>
      </c>
      <c r="C138" t="s">
        <v>33</v>
      </c>
      <c r="D138" t="s">
        <v>867</v>
      </c>
      <c r="E138" s="9" t="s">
        <v>872</v>
      </c>
      <c r="F138" s="10" t="str">
        <f>IF(OR(E138="",E138="!!!"),"",IF(NOT(ISNA(VLOOKUP(E138,E$1:E137,1,FALSE()))),"OLD",IF(AND(E138&lt;&gt;"",E138&lt;&gt;"!!!"),"NEW","")))</f>
        <v>NEW</v>
      </c>
      <c r="G138" s="11" t="s">
        <v>874</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x14ac:dyDescent="0.35">
      <c r="A139" t="s">
        <v>130</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x14ac:dyDescent="0.35">
      <c r="A140" t="s">
        <v>131</v>
      </c>
      <c r="E140" s="9" t="str">
        <f t="shared" si="4"/>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5"/>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x14ac:dyDescent="0.35">
      <c r="A141" t="s">
        <v>132</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x14ac:dyDescent="0.35">
      <c r="A142" t="s">
        <v>133</v>
      </c>
      <c r="B142" t="s">
        <v>36</v>
      </c>
      <c r="C142" t="s">
        <v>33</v>
      </c>
      <c r="D142" t="s">
        <v>869</v>
      </c>
      <c r="E142" s="9" t="s">
        <v>872</v>
      </c>
      <c r="F142" s="10" t="str">
        <f>IF(OR(E142="",E142="!!!"),"",IF(NOT(ISNA(VLOOKUP(E142,E$1:E141,1,FALSE()))),"OLD",IF(AND(E142&lt;&gt;"",E142&lt;&gt;"!!!"),"NEW","")))</f>
        <v>OLD</v>
      </c>
      <c r="G142" s="11" t="s">
        <v>870</v>
      </c>
      <c r="H142" s="12" t="str">
        <f t="shared" ca="1" si="5"/>
        <v/>
      </c>
      <c r="I142" s="13" t="str">
        <f>IF(OR(E142="",E142="!!!",F142="NEW"),"",INDEX(B$2:B141,-1+SUMPRODUCT(MAX(ROW(E$2:E141)*(E142=E$2:E141)))))</f>
        <v>other</v>
      </c>
      <c r="J142" s="14">
        <f ca="1">IF(OR(E142="",E142="!!!",F142="NEW"),"",COUNTBLANK(OFFSET(A$1,,,SUMPRODUCT(MAX(ROW(E$2:E142)*(E142=E$2:E142)))))-COUNTBLANK(OFFSET(A$1,,,SUMPRODUCT(MAX(ROW(E$1:E141)*(E142=E$1:E141))))))</f>
        <v>0</v>
      </c>
      <c r="K142" s="14" t="str">
        <f ca="1">IF(OR(E142="",E142="!!!",F142="NEW"),"",INDEX(J$1:J141,SUMPRODUCT(MAX(ROW(E$1:E141)*(E142=E$1:E141)))))</f>
        <v/>
      </c>
      <c r="L142" s="15"/>
    </row>
    <row r="143" spans="1:12" x14ac:dyDescent="0.35">
      <c r="A143" t="s">
        <v>83</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5"/>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x14ac:dyDescent="0.35">
      <c r="A144" t="s">
        <v>134</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x14ac:dyDescent="0.35">
      <c r="A145" t="s">
        <v>45</v>
      </c>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ca="1" si="5"/>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x14ac:dyDescent="0.35">
      <c r="A146" t="s">
        <v>135</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x14ac:dyDescent="0.35">
      <c r="A147" t="s">
        <v>136</v>
      </c>
      <c r="B147" t="s">
        <v>20</v>
      </c>
      <c r="C147" t="s">
        <v>49</v>
      </c>
      <c r="D147" t="s">
        <v>869</v>
      </c>
      <c r="E147" s="9" t="s">
        <v>872</v>
      </c>
      <c r="F147" s="10" t="str">
        <f>IF(OR(E147="",E147="!!!"),"",IF(NOT(ISNA(VLOOKUP(E147,E$1:E146,1,FALSE()))),"OLD",IF(AND(E147&lt;&gt;"",E147&lt;&gt;"!!!"),"NEW","")))</f>
        <v>OLD</v>
      </c>
      <c r="G147" s="11" t="s">
        <v>870</v>
      </c>
      <c r="H147" s="12" t="str">
        <f t="shared" ca="1" si="5"/>
        <v/>
      </c>
      <c r="I147" s="13" t="str">
        <f>IF(OR(E147="",E147="!!!",F147="NEW"),"",INDEX(B$2:B146,-1+SUMPRODUCT(MAX(ROW(E$2:E146)*(E147=E$2:E146)))))</f>
        <v>SBJ_2</v>
      </c>
      <c r="J147" s="14">
        <f ca="1">IF(OR(E147="",E147="!!!",F147="NEW"),"",COUNTBLANK(OFFSET(A$1,,,SUMPRODUCT(MAX(ROW(E$2:E147)*(E147=E$2:E147)))))-COUNTBLANK(OFFSET(A$1,,,SUMPRODUCT(MAX(ROW(E$1:E146)*(E147=E$1:E146))))))</f>
        <v>0</v>
      </c>
      <c r="K147" s="14">
        <f ca="1">IF(OR(E147="",E147="!!!",F147="NEW"),"",INDEX(J$1:J146,SUMPRODUCT(MAX(ROW(E$1:E146)*(E147=E$1:E146)))))</f>
        <v>0</v>
      </c>
      <c r="L147" s="15"/>
    </row>
    <row r="148" spans="1:12" x14ac:dyDescent="0.35">
      <c r="A148" t="s">
        <v>137</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x14ac:dyDescent="0.35">
      <c r="A149" t="s">
        <v>138</v>
      </c>
      <c r="B149" t="s">
        <v>91</v>
      </c>
      <c r="C149" t="s">
        <v>15</v>
      </c>
      <c r="D149" t="s">
        <v>16</v>
      </c>
      <c r="E149" s="9" t="s">
        <v>262</v>
      </c>
      <c r="F149" s="10" t="s">
        <v>876</v>
      </c>
      <c r="G149" s="11"/>
      <c r="H149" s="12" t="str">
        <f t="shared" ca="1" si="5"/>
        <v/>
      </c>
      <c r="I149" s="13" t="str">
        <f>IF(OR(E149="",E149="!!!",F149="NEW"),"",INDEX(B$2:B148,-1+SUMPRODUCT(MAX(ROW(E$2:E148)*(E149=E$2:E148)))))</f>
        <v>other</v>
      </c>
      <c r="J149" s="14">
        <f ca="1">IF(OR(E149="",E149="!!!",F149="NEW"),"",COUNTBLANK(OFFSET(A$1,,,SUMPRODUCT(MAX(ROW(E$2:E149)*(E149=E$2:E149)))))-COUNTBLANK(OFFSET(A$1,,,SUMPRODUCT(MAX(ROW(E$1:E148)*(E149=E$1:E148))))))</f>
        <v>0</v>
      </c>
      <c r="K149" s="14">
        <f ca="1">IF(OR(E149="",E149="!!!",F149="NEW"),"",INDEX(J$1:J148,SUMPRODUCT(MAX(ROW(E$1:E148)*(E149=E$1:E148)))))</f>
        <v>0</v>
      </c>
      <c r="L149" s="15"/>
    </row>
    <row r="150" spans="1:12" x14ac:dyDescent="0.35">
      <c r="A150" t="s">
        <v>26</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x14ac:dyDescent="0.35">
      <c r="A151" t="s">
        <v>76</v>
      </c>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5"/>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x14ac:dyDescent="0.35">
      <c r="A152" t="s">
        <v>139</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35">
      <c r="A153" t="s">
        <v>19</v>
      </c>
      <c r="B153" t="s">
        <v>36</v>
      </c>
      <c r="C153" t="s">
        <v>108</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5"/>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x14ac:dyDescent="0.35">
      <c r="A154" t="s">
        <v>111</v>
      </c>
      <c r="E154" s="9" t="str">
        <f t="shared" si="4"/>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x14ac:dyDescent="0.35">
      <c r="A155" t="s">
        <v>140</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x14ac:dyDescent="0.35">
      <c r="A156" t="s">
        <v>141</v>
      </c>
      <c r="B156" t="s">
        <v>91</v>
      </c>
      <c r="C156" t="s">
        <v>142</v>
      </c>
      <c r="D156" t="s">
        <v>16</v>
      </c>
      <c r="E156" s="9" t="s">
        <v>262</v>
      </c>
      <c r="F156" s="10" t="s">
        <v>876</v>
      </c>
      <c r="G156" s="11"/>
      <c r="H156" s="12" t="str">
        <f t="shared" ca="1" si="5"/>
        <v/>
      </c>
      <c r="I156" s="13" t="str">
        <f>IF(OR(E156="",E156="!!!",F156="NEW"),"",INDEX(B$2:B155,-1+SUMPRODUCT(MAX(ROW(E$2:E155)*(E156=E$2:E155)))))</f>
        <v>OBJ_2</v>
      </c>
      <c r="J156" s="14">
        <f ca="1">IF(OR(E156="",E156="!!!",F156="NEW"),"",COUNTBLANK(OFFSET(A$1,,,SUMPRODUCT(MAX(ROW(E$2:E156)*(E156=E$2:E156)))))-COUNTBLANK(OFFSET(A$1,,,SUMPRODUCT(MAX(ROW(E$1:E155)*(E156=E$1:E155))))))</f>
        <v>0</v>
      </c>
      <c r="K156" s="14">
        <f ca="1">IF(OR(E156="",E156="!!!",F156="NEW"),"",INDEX(J$1:J155,SUMPRODUCT(MAX(ROW(E$1:E155)*(E156=E$1:E155)))))</f>
        <v>0</v>
      </c>
      <c r="L156" s="15"/>
    </row>
    <row r="157" spans="1:12" x14ac:dyDescent="0.35">
      <c r="A157" t="s">
        <v>26</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5"/>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x14ac:dyDescent="0.35">
      <c r="A158" t="s">
        <v>76</v>
      </c>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5"/>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x14ac:dyDescent="0.35">
      <c r="A159" t="s">
        <v>110</v>
      </c>
      <c r="B159" t="s">
        <v>143</v>
      </c>
      <c r="C159" t="s">
        <v>33</v>
      </c>
      <c r="D159" t="s">
        <v>869</v>
      </c>
      <c r="E159" s="9" t="s">
        <v>365</v>
      </c>
      <c r="F159" s="10" t="str">
        <f>IF(OR(E159="",E159="!!!"),"",IF(NOT(ISNA(VLOOKUP(E159,E$1:E158,1,FALSE()))),"OLD",IF(AND(E159&lt;&gt;"",E159&lt;&gt;"!!!"),"NEW","")))</f>
        <v>OLD</v>
      </c>
      <c r="G159" s="11" t="s">
        <v>877</v>
      </c>
      <c r="H159" s="12" t="str">
        <f t="shared" ca="1" si="5"/>
        <v>CB</v>
      </c>
      <c r="I159" s="13" t="str">
        <f>IF(OR(E159="",E159="!!!",F159="NEW"),"",INDEX(B$2:B158,-1+SUMPRODUCT(MAX(ROW(E$2:E158)*(E159=E$2:E158)))))</f>
        <v>SBJ</v>
      </c>
      <c r="J159" s="14">
        <f ca="1">IF(OR(E159="",E159="!!!",F159="NEW"),"",COUNTBLANK(OFFSET(A$1,,,SUMPRODUCT(MAX(ROW(E$2:E159)*(E159=E$2:E159)))))-COUNTBLANK(OFFSET(A$1,,,SUMPRODUCT(MAX(ROW(E$1:E158)*(E159=E$1:E158))))))</f>
        <v>1</v>
      </c>
      <c r="K159" s="14" t="str">
        <f ca="1">IF(OR(E159="",E159="!!!",F159="NEW"),"",INDEX(J$1:J158,SUMPRODUCT(MAX(ROW(E$1:E158)*(E159=E$1:E158)))))</f>
        <v/>
      </c>
      <c r="L159" s="15"/>
    </row>
    <row r="160" spans="1:12" x14ac:dyDescent="0.35">
      <c r="A160" t="s">
        <v>144</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x14ac:dyDescent="0.35">
      <c r="A161" t="s">
        <v>145</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5"/>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x14ac:dyDescent="0.35">
      <c r="A162" t="s">
        <v>146</v>
      </c>
      <c r="E162" s="9" t="str">
        <f t="shared" si="4"/>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5"/>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x14ac:dyDescent="0.35">
      <c r="A163" t="s">
        <v>147</v>
      </c>
      <c r="B163" t="s">
        <v>52</v>
      </c>
      <c r="C163" t="s">
        <v>148</v>
      </c>
      <c r="E163" s="9" t="str">
        <f t="shared" si="4"/>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x14ac:dyDescent="0.35">
      <c r="A164" t="s">
        <v>47</v>
      </c>
      <c r="B164" t="s">
        <v>149</v>
      </c>
      <c r="C164" t="s">
        <v>49</v>
      </c>
      <c r="D164" t="s">
        <v>869</v>
      </c>
      <c r="E164" s="9" t="s">
        <v>868</v>
      </c>
      <c r="F164" s="10" t="str">
        <f>IF(OR(E164="",E164="!!!"),"",IF(NOT(ISNA(VLOOKUP(E164,E$1:E163,1,FALSE()))),"OLD",IF(AND(E164&lt;&gt;"",E164&lt;&gt;"!!!"),"NEW","")))</f>
        <v>OLD</v>
      </c>
      <c r="G164" s="11" t="s">
        <v>877</v>
      </c>
      <c r="H164" s="12" t="str">
        <f t="shared" ca="1" si="5"/>
        <v/>
      </c>
      <c r="I164" s="13" t="str">
        <f>IF(OR(E164="",E164="!!!",F164="NEW"),"",INDEX(B$2:B163,-1+SUMPRODUCT(MAX(ROW(E$2:E163)*(E164=E$2:E163)))))</f>
        <v>other_4</v>
      </c>
      <c r="J164" s="14">
        <f ca="1">IF(OR(E164="",E164="!!!",F164="NEW"),"",COUNTBLANK(OFFSET(A$1,,,SUMPRODUCT(MAX(ROW(E$2:E164)*(E164=E$2:E164)))))-COUNTBLANK(OFFSET(A$1,,,SUMPRODUCT(MAX(ROW(E$1:E163)*(E164=E$1:E163))))))</f>
        <v>2</v>
      </c>
      <c r="K164" s="14">
        <f ca="1">IF(OR(E164="",E164="!!!",F164="NEW"),"",INDEX(J$1:J163,SUMPRODUCT(MAX(ROW(E$1:E163)*(E164=E$1:E163)))))</f>
        <v>1</v>
      </c>
      <c r="L164" s="15"/>
    </row>
    <row r="165" spans="1:12" x14ac:dyDescent="0.35">
      <c r="A165" t="s">
        <v>150</v>
      </c>
      <c r="B165" t="s">
        <v>151</v>
      </c>
      <c r="C165" t="s">
        <v>15</v>
      </c>
      <c r="D165" t="s">
        <v>16</v>
      </c>
      <c r="E165" s="9" t="s">
        <v>262</v>
      </c>
      <c r="F165" s="10" t="s">
        <v>876</v>
      </c>
      <c r="G165" s="11"/>
      <c r="H165" s="12" t="str">
        <f t="shared" ca="1" si="5"/>
        <v/>
      </c>
      <c r="I165" s="13" t="str">
        <f>IF(OR(E165="",E165="!!!",F165="NEW"),"",INDEX(B$2:B164,-1+SUMPRODUCT(MAX(ROW(E$2:E164)*(E165=E$2:E164)))))</f>
        <v>OBJ_2</v>
      </c>
      <c r="J165" s="14">
        <f ca="1">IF(OR(E165="",E165="!!!",F165="NEW"),"",COUNTBLANK(OFFSET(A$1,,,SUMPRODUCT(MAX(ROW(E$2:E165)*(E165=E$2:E165)))))-COUNTBLANK(OFFSET(A$1,,,SUMPRODUCT(MAX(ROW(E$1:E164)*(E165=E$1:E164))))))</f>
        <v>0</v>
      </c>
      <c r="K165" s="14">
        <f ca="1">IF(OR(E165="",E165="!!!",F165="NEW"),"",INDEX(J$1:J164,SUMPRODUCT(MAX(ROW(E$1:E164)*(E165=E$1:E164)))))</f>
        <v>0</v>
      </c>
      <c r="L165" s="15"/>
    </row>
    <row r="166" spans="1:12" x14ac:dyDescent="0.35">
      <c r="A166" t="s">
        <v>17</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5"/>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x14ac:dyDescent="0.35">
      <c r="A167" t="s">
        <v>152</v>
      </c>
      <c r="B167" t="s">
        <v>149</v>
      </c>
      <c r="C167" t="s">
        <v>108</v>
      </c>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x14ac:dyDescent="0.35">
      <c r="A168" t="s">
        <v>153</v>
      </c>
      <c r="E168" s="9" t="str">
        <f t="shared" si="4"/>
        <v/>
      </c>
      <c r="F168" s="10" t="str">
        <f>IF(OR(E168="",E168="!!!"),"",IF(NOT(ISNA(VLOOKUP(E168,E$1:E167,1,FALSE()))),"OLD",IF(AND(E168&lt;&gt;"",E168&lt;&gt;"!!!"),"NEW","")))</f>
        <v/>
      </c>
      <c r="G168" s="11" t="str">
        <f>IF(OR(E168="",E168="!!!"),"",IF(OR(J168=0,AND(J168=1,K168=1),AND(J168=1,I168="SBJ"),AND(J168=1,I168=0)),"?IN_FOCUS",IF(J168&lt;=2,"?ACTIVATED",IF(J168&lt;&gt;"","?FAMILIAR",IF(F168="NEW",IF(ISNA(VLOOKUP(E168,#REF!,1,FALSE())),"?TYPE_IDENTIFIABLE","?REFERENTIAL"),"_")))))</f>
        <v/>
      </c>
      <c r="H168" s="12" t="str">
        <f t="shared" ca="1" si="5"/>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x14ac:dyDescent="0.35">
      <c r="A169" t="s">
        <v>154</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x14ac:dyDescent="0.35">
      <c r="A170" t="s">
        <v>63</v>
      </c>
      <c r="E170" s="9" t="str">
        <f t="shared" si="4"/>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5"/>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x14ac:dyDescent="0.35">
      <c r="E171" s="9" t="str">
        <f t="shared" si="4"/>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5"/>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x14ac:dyDescent="0.35">
      <c r="A172" t="s">
        <v>155</v>
      </c>
      <c r="E172" s="9" t="str">
        <f t="shared" si="4"/>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ca="1" si="5"/>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x14ac:dyDescent="0.35">
      <c r="A173" t="s">
        <v>156</v>
      </c>
      <c r="B173" t="s">
        <v>24</v>
      </c>
      <c r="C173" t="s">
        <v>49</v>
      </c>
      <c r="D173" t="s">
        <v>16</v>
      </c>
      <c r="E173" s="9" t="s">
        <v>365</v>
      </c>
      <c r="F173" s="10" t="str">
        <f>IF(OR(E173="",E173="!!!"),"",IF(NOT(ISNA(VLOOKUP(E173,E$1:E172,1,FALSE()))),"OLD",IF(AND(E173&lt;&gt;"",E173&lt;&gt;"!!!"),"NEW","")))</f>
        <v>OLD</v>
      </c>
      <c r="G173" s="11" t="s">
        <v>877</v>
      </c>
      <c r="H173" s="12" t="s">
        <v>7</v>
      </c>
      <c r="I173" s="13" t="str">
        <f>IF(OR(E173="",E173="!!!",F173="NEW"),"",INDEX(B$2:B172,-1+SUMPRODUCT(MAX(ROW(E$2:E172)*(E173=E$2:E172)))))</f>
        <v>SBJ_4</v>
      </c>
      <c r="J173" s="14">
        <f ca="1">IF(OR(E173="",E173="!!!",F173="NEW"),"",COUNTBLANK(OFFSET(A$1,,,SUMPRODUCT(MAX(ROW(E$2:E173)*(E173=E$2:E173)))))-COUNTBLANK(OFFSET(A$1,,,SUMPRODUCT(MAX(ROW(E$1:E172)*(E173=E$1:E172))))))</f>
        <v>1</v>
      </c>
      <c r="K173" s="14">
        <f ca="1">IF(OR(E173="",E173="!!!",F173="NEW"),"",INDEX(J$1:J172,SUMPRODUCT(MAX(ROW(E$1:E172)*(E173=E$1:E172)))))</f>
        <v>1</v>
      </c>
      <c r="L173" s="15"/>
    </row>
    <row r="174" spans="1:12" x14ac:dyDescent="0.35">
      <c r="A174" t="s">
        <v>157</v>
      </c>
      <c r="B174" t="s">
        <v>14</v>
      </c>
      <c r="C174" t="s">
        <v>15</v>
      </c>
      <c r="D174" t="s">
        <v>16</v>
      </c>
      <c r="E174" s="9" t="s">
        <v>262</v>
      </c>
      <c r="F174" s="10" t="s">
        <v>876</v>
      </c>
      <c r="G174" s="11"/>
      <c r="H174" s="12"/>
      <c r="I174" s="13" t="str">
        <f>IF(OR(E174="",E174="!!!",F174="NEW"),"",INDEX(B$2:B173,-1+SUMPRODUCT(MAX(ROW(E$2:E173)*(E174=E$2:E173)))))</f>
        <v>SBJ_6</v>
      </c>
      <c r="J174" s="14">
        <f ca="1">IF(OR(E174="",E174="!!!",F174="NEW"),"",COUNTBLANK(OFFSET(A$1,,,SUMPRODUCT(MAX(ROW(E$2:E174)*(E174=E$2:E174)))))-COUNTBLANK(OFFSET(A$1,,,SUMPRODUCT(MAX(ROW(E$1:E173)*(E174=E$1:E173))))))</f>
        <v>1</v>
      </c>
      <c r="K174" s="14">
        <f ca="1">IF(OR(E174="",E174="!!!",F174="NEW"),"",INDEX(J$1:J173,SUMPRODUCT(MAX(ROW(E$1:E173)*(E174=E$1:E173)))))</f>
        <v>0</v>
      </c>
      <c r="L174" s="15"/>
    </row>
    <row r="175" spans="1:12" x14ac:dyDescent="0.35">
      <c r="A175" t="s">
        <v>158</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x14ac:dyDescent="0.35">
      <c r="A176" t="s">
        <v>159</v>
      </c>
      <c r="E176" s="9" t="str">
        <f t="shared" si="4"/>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5"/>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x14ac:dyDescent="0.35">
      <c r="A177" t="s">
        <v>160</v>
      </c>
      <c r="B177" t="s">
        <v>54</v>
      </c>
      <c r="C177" t="s">
        <v>108</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x14ac:dyDescent="0.35">
      <c r="A178" t="s">
        <v>161</v>
      </c>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x14ac:dyDescent="0.35">
      <c r="A179" t="s">
        <v>131</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5"/>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x14ac:dyDescent="0.35">
      <c r="A180" t="s">
        <v>132</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5"/>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x14ac:dyDescent="0.35">
      <c r="A181" t="s">
        <v>58</v>
      </c>
      <c r="E181" s="9" t="str">
        <f t="shared" si="4"/>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x14ac:dyDescent="0.35">
      <c r="A182" t="s">
        <v>162</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x14ac:dyDescent="0.35">
      <c r="A183" t="s">
        <v>163</v>
      </c>
      <c r="B183" t="s">
        <v>24</v>
      </c>
      <c r="C183" t="s">
        <v>99</v>
      </c>
      <c r="D183" t="s">
        <v>16</v>
      </c>
      <c r="E183" s="9" t="s">
        <v>262</v>
      </c>
      <c r="F183" s="10" t="s">
        <v>876</v>
      </c>
      <c r="G183" s="11"/>
      <c r="H183" s="12" t="str">
        <f t="shared" ca="1" si="5"/>
        <v/>
      </c>
      <c r="I183" s="13" t="str">
        <f>IF(OR(E183="",E183="!!!",F183="NEW"),"",INDEX(B$2:B182,-1+SUMPRODUCT(MAX(ROW(E$2:E182)*(E183=E$2:E182)))))</f>
        <v>SBJ</v>
      </c>
      <c r="J183" s="14">
        <f ca="1">IF(OR(E183="",E183="!!!",F183="NEW"),"",COUNTBLANK(OFFSET(A$1,,,SUMPRODUCT(MAX(ROW(E$2:E183)*(E183=E$2:E183)))))-COUNTBLANK(OFFSET(A$1,,,SUMPRODUCT(MAX(ROW(E$1:E182)*(E183=E$1:E182))))))</f>
        <v>0</v>
      </c>
      <c r="K183" s="14">
        <f ca="1">IF(OR(E183="",E183="!!!",F183="NEW"),"",INDEX(J$1:J182,SUMPRODUCT(MAX(ROW(E$1:E182)*(E183=E$1:E182)))))</f>
        <v>1</v>
      </c>
      <c r="L183" s="15"/>
    </row>
    <row r="184" spans="1:12" x14ac:dyDescent="0.35">
      <c r="A184" t="s">
        <v>164</v>
      </c>
      <c r="E184" s="9" t="str">
        <f t="shared" si="4"/>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5"/>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x14ac:dyDescent="0.35">
      <c r="A185" t="s">
        <v>136</v>
      </c>
      <c r="B185" t="s">
        <v>56</v>
      </c>
      <c r="C185" t="s">
        <v>49</v>
      </c>
      <c r="D185" t="s">
        <v>16</v>
      </c>
      <c r="E185" s="9" t="s">
        <v>872</v>
      </c>
      <c r="F185" s="10" t="str">
        <f>IF(OR(E185="",E185="!!!"),"",IF(NOT(ISNA(VLOOKUP(E185,E$1:E184,1,FALSE()))),"OLD",IF(AND(E185&lt;&gt;"",E185&lt;&gt;"!!!"),"NEW","")))</f>
        <v>OLD</v>
      </c>
      <c r="G185" s="11" t="s">
        <v>874</v>
      </c>
      <c r="H185" s="12"/>
      <c r="I185" s="13" t="str">
        <f>IF(OR(E185="",E185="!!!",F185="NEW"),"",INDEX(B$2:B184,-1+SUMPRODUCT(MAX(ROW(E$2:E184)*(E185=E$2:E184)))))</f>
        <v>other_3</v>
      </c>
      <c r="J185" s="14">
        <f ca="1">IF(OR(E185="",E185="!!!",F185="NEW"),"",COUNTBLANK(OFFSET(A$1,,,SUMPRODUCT(MAX(ROW(E$2:E185)*(E185=E$2:E185)))))-COUNTBLANK(OFFSET(A$1,,,SUMPRODUCT(MAX(ROW(E$1:E184)*(E185=E$1:E184))))))</f>
        <v>1</v>
      </c>
      <c r="K185" s="14">
        <f ca="1">IF(OR(E185="",E185="!!!",F185="NEW"),"",INDEX(J$1:J184,SUMPRODUCT(MAX(ROW(E$1:E184)*(E185=E$1:E184)))))</f>
        <v>0</v>
      </c>
      <c r="L185" s="15"/>
    </row>
    <row r="186" spans="1:12" x14ac:dyDescent="0.35">
      <c r="A186" t="s">
        <v>165</v>
      </c>
      <c r="B186" t="s">
        <v>20</v>
      </c>
      <c r="C186" t="s">
        <v>15</v>
      </c>
      <c r="D186" t="s">
        <v>16</v>
      </c>
      <c r="E186" s="9" t="s">
        <v>262</v>
      </c>
      <c r="F186" s="10" t="s">
        <v>876</v>
      </c>
      <c r="G186" s="11"/>
      <c r="H186" s="12" t="str">
        <f t="shared" ca="1" si="5"/>
        <v/>
      </c>
      <c r="I186" s="13" t="str">
        <f>IF(OR(E186="",E186="!!!",F186="NEW"),"",INDEX(B$2:B185,-1+SUMPRODUCT(MAX(ROW(E$2:E185)*(E186=E$2:E185)))))</f>
        <v>other_2</v>
      </c>
      <c r="J186" s="14">
        <f ca="1">IF(OR(E186="",E186="!!!",F186="NEW"),"",COUNTBLANK(OFFSET(A$1,,,SUMPRODUCT(MAX(ROW(E$2:E186)*(E186=E$2:E186)))))-COUNTBLANK(OFFSET(A$1,,,SUMPRODUCT(MAX(ROW(E$1:E185)*(E186=E$1:E185))))))</f>
        <v>0</v>
      </c>
      <c r="K186" s="14">
        <f ca="1">IF(OR(E186="",E186="!!!",F186="NEW"),"",INDEX(J$1:J185,SUMPRODUCT(MAX(ROW(E$1:E185)*(E186=E$1:E185)))))</f>
        <v>0</v>
      </c>
      <c r="L186" s="15"/>
    </row>
    <row r="187" spans="1:12" x14ac:dyDescent="0.35">
      <c r="A187" t="s">
        <v>76</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x14ac:dyDescent="0.35">
      <c r="A188" t="s">
        <v>58</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x14ac:dyDescent="0.35">
      <c r="A189" t="s">
        <v>166</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x14ac:dyDescent="0.35">
      <c r="A190" t="s">
        <v>26</v>
      </c>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x14ac:dyDescent="0.35">
      <c r="A191" t="s">
        <v>167</v>
      </c>
      <c r="E191" s="9" t="str">
        <f t="shared" si="4"/>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5"/>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x14ac:dyDescent="0.35">
      <c r="A192" t="s">
        <v>168</v>
      </c>
      <c r="B192" t="s">
        <v>56</v>
      </c>
      <c r="C192" t="s">
        <v>99</v>
      </c>
      <c r="D192" t="s">
        <v>16</v>
      </c>
      <c r="E192" s="9" t="s">
        <v>262</v>
      </c>
      <c r="F192" s="10" t="s">
        <v>876</v>
      </c>
      <c r="G192" s="11"/>
      <c r="H192" s="12" t="str">
        <f t="shared" ca="1" si="5"/>
        <v/>
      </c>
      <c r="I192" s="13" t="str">
        <f>IF(OR(E192="",E192="!!!",F192="NEW"),"",INDEX(B$2:B191,-1+SUMPRODUCT(MAX(ROW(E$2:E191)*(E192=E$2:E191)))))</f>
        <v>other_3</v>
      </c>
      <c r="J192" s="14">
        <f ca="1">IF(OR(E192="",E192="!!!",F192="NEW"),"",COUNTBLANK(OFFSET(A$1,,,SUMPRODUCT(MAX(ROW(E$2:E192)*(E192=E$2:E192)))))-COUNTBLANK(OFFSET(A$1,,,SUMPRODUCT(MAX(ROW(E$1:E191)*(E192=E$1:E191))))))</f>
        <v>0</v>
      </c>
      <c r="K192" s="14">
        <f ca="1">IF(OR(E192="",E192="!!!",F192="NEW"),"",INDEX(J$1:J191,SUMPRODUCT(MAX(ROW(E$1:E191)*(E192=E$1:E191)))))</f>
        <v>0</v>
      </c>
      <c r="L192" s="15"/>
    </row>
    <row r="193" spans="1:12" x14ac:dyDescent="0.35">
      <c r="A193" t="s">
        <v>169</v>
      </c>
      <c r="E193" s="9" t="str">
        <f t="shared" si="4"/>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x14ac:dyDescent="0.35">
      <c r="A194" t="s">
        <v>170</v>
      </c>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5"/>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x14ac:dyDescent="0.35">
      <c r="A195" t="s">
        <v>171</v>
      </c>
      <c r="B195" t="s">
        <v>48</v>
      </c>
      <c r="C195" t="s">
        <v>172</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x14ac:dyDescent="0.35">
      <c r="A196" t="s">
        <v>17</v>
      </c>
      <c r="E196" s="9" t="str">
        <f t="shared" ref="E196:E200"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01"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x14ac:dyDescent="0.35">
      <c r="A197" t="s">
        <v>58</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x14ac:dyDescent="0.35">
      <c r="A198" t="s">
        <v>173</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x14ac:dyDescent="0.35">
      <c r="A199" t="s">
        <v>174</v>
      </c>
      <c r="B199" t="s">
        <v>61</v>
      </c>
      <c r="C199" t="s">
        <v>99</v>
      </c>
      <c r="D199" t="s">
        <v>16</v>
      </c>
      <c r="E199" s="9" t="s">
        <v>262</v>
      </c>
      <c r="F199" s="10" t="s">
        <v>876</v>
      </c>
      <c r="G199" s="11"/>
      <c r="H199" s="12" t="str">
        <f t="shared" ca="1" si="7"/>
        <v/>
      </c>
      <c r="I199" s="13" t="str">
        <f>IF(OR(E199="",E199="!!!",F199="NEW"),"",INDEX(B$2:B198,-1+SUMPRODUCT(MAX(ROW(E$2:E198)*(E199=E$2:E198)))))</f>
        <v>other_4</v>
      </c>
      <c r="J199" s="14">
        <f ca="1">IF(OR(E199="",E199="!!!",F199="NEW"),"",COUNTBLANK(OFFSET(A$1,,,SUMPRODUCT(MAX(ROW(E$2:E199)*(E199=E$2:E199)))))-COUNTBLANK(OFFSET(A$1,,,SUMPRODUCT(MAX(ROW(E$1:E198)*(E199=E$1:E198))))))</f>
        <v>0</v>
      </c>
      <c r="K199" s="14">
        <f ca="1">IF(OR(E199="",E199="!!!",F199="NEW"),"",INDEX(J$1:J198,SUMPRODUCT(MAX(ROW(E$1:E198)*(E199=E$1:E198)))))</f>
        <v>0</v>
      </c>
      <c r="L199" s="15"/>
    </row>
    <row r="200" spans="1:12" x14ac:dyDescent="0.35">
      <c r="A200" t="s">
        <v>175</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x14ac:dyDescent="0.35">
      <c r="A201" t="s">
        <v>176</v>
      </c>
      <c r="B201" t="s">
        <v>91</v>
      </c>
      <c r="C201" t="s">
        <v>33</v>
      </c>
      <c r="D201" t="s">
        <v>16</v>
      </c>
      <c r="E201" s="9" t="s">
        <v>365</v>
      </c>
      <c r="F201" s="10" t="str">
        <f>IF(OR(E201="",E201="!!!"),"",IF(NOT(ISNA(VLOOKUP(E201,E$1:E200,1,FALSE()))),"OLD",IF(AND(E201&lt;&gt;"",E201&lt;&gt;"!!!"),"NEW","")))</f>
        <v>OLD</v>
      </c>
      <c r="G201" s="11" t="s">
        <v>870</v>
      </c>
      <c r="H201" s="12" t="str">
        <f t="shared" ca="1" si="7"/>
        <v/>
      </c>
      <c r="I201" s="13" t="str">
        <f>IF(OR(E201="",E201="!!!",F201="NEW"),"",INDEX(B$2:B200,-1+SUMPRODUCT(MAX(ROW(E$2:E200)*(E201=E$2:E200)))))</f>
        <v>other_2</v>
      </c>
      <c r="J201" s="14">
        <f ca="1">IF(OR(E201="",E201="!!!",F201="NEW"),"",COUNTBLANK(OFFSET(A$1,,,SUMPRODUCT(MAX(ROW(E$2:E201)*(E201=E$2:E201)))))-COUNTBLANK(OFFSET(A$1,,,SUMPRODUCT(MAX(ROW(E$1:E200)*(E201=E$1:E200))))))</f>
        <v>0</v>
      </c>
      <c r="K201" s="14">
        <f ca="1">IF(OR(E201="",E201="!!!",F201="NEW"),"",INDEX(J$1:J200,SUMPRODUCT(MAX(ROW(E$1:E200)*(E201=E$1:E200)))))</f>
        <v>1</v>
      </c>
      <c r="L201" s="15"/>
    </row>
    <row r="202" spans="1:12" x14ac:dyDescent="0.35">
      <c r="A202" t="s">
        <v>39</v>
      </c>
      <c r="E202" s="9" t="str">
        <f t="shared" ref="E202:E265" si="8">IF(D202="?OLD","!!!","")</f>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ref="H202:H265" ca="1" si="9">IF(J202&lt;&gt;1,"",IF(I202="SBJ","CB","?"))</f>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x14ac:dyDescent="0.35">
      <c r="A203" t="s">
        <v>133</v>
      </c>
      <c r="B203" t="s">
        <v>41</v>
      </c>
      <c r="C203" t="s">
        <v>33</v>
      </c>
      <c r="D203" t="s">
        <v>16</v>
      </c>
      <c r="E203" s="9" t="s">
        <v>872</v>
      </c>
      <c r="F203" s="10" t="str">
        <f>IF(OR(E203="",E203="!!!"),"",IF(NOT(ISNA(VLOOKUP(E203,E$1:E202,1,FALSE()))),"OLD",IF(AND(E203&lt;&gt;"",E203&lt;&gt;"!!!"),"NEW","")))</f>
        <v>OLD</v>
      </c>
      <c r="G203" s="11" t="s">
        <v>870</v>
      </c>
      <c r="H203" s="12" t="str">
        <f t="shared" ca="1" si="9"/>
        <v/>
      </c>
      <c r="I203" s="13" t="str">
        <f>IF(OR(E203="",E203="!!!",F203="NEW"),"",INDEX(B$2:B202,-1+SUMPRODUCT(MAX(ROW(E$2:E202)*(E203=E$2:E202)))))</f>
        <v>other_4</v>
      </c>
      <c r="J203" s="14">
        <f ca="1">IF(OR(E203="",E203="!!!",F203="NEW"),"",COUNTBLANK(OFFSET(A$1,,,SUMPRODUCT(MAX(ROW(E$2:E203)*(E203=E$2:E203)))))-COUNTBLANK(OFFSET(A$1,,,SUMPRODUCT(MAX(ROW(E$1:E202)*(E203=E$1:E202))))))</f>
        <v>0</v>
      </c>
      <c r="K203" s="14">
        <f ca="1">IF(OR(E203="",E203="!!!",F203="NEW"),"",INDEX(J$1:J202,SUMPRODUCT(MAX(ROW(E$1:E202)*(E203=E$1:E202)))))</f>
        <v>1</v>
      </c>
      <c r="L203" s="15"/>
    </row>
    <row r="204" spans="1:12" x14ac:dyDescent="0.35">
      <c r="A204" t="s">
        <v>83</v>
      </c>
      <c r="E204" s="9" t="str">
        <f t="shared" si="8"/>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9"/>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x14ac:dyDescent="0.35">
      <c r="A205" t="s">
        <v>177</v>
      </c>
      <c r="E205" s="9" t="str">
        <f t="shared" si="8"/>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9"/>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x14ac:dyDescent="0.35">
      <c r="A206" t="s">
        <v>164</v>
      </c>
      <c r="E206" s="9" t="str">
        <f t="shared" si="8"/>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ca="1" si="9"/>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x14ac:dyDescent="0.35">
      <c r="A207" t="s">
        <v>58</v>
      </c>
      <c r="E207" s="9" t="str">
        <f t="shared" si="8"/>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9"/>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35">
      <c r="A208" t="s">
        <v>178</v>
      </c>
      <c r="B208" t="s">
        <v>24</v>
      </c>
      <c r="C208" t="s">
        <v>99</v>
      </c>
      <c r="D208" t="s">
        <v>16</v>
      </c>
      <c r="E208" s="9" t="s">
        <v>262</v>
      </c>
      <c r="F208" s="10" t="s">
        <v>867</v>
      </c>
      <c r="G208" s="11" t="str">
        <f ca="1">IF(OR(E208="",E208="!!!"),"",IF(OR(J208=0,AND(J208=1,K208=1),AND(J208=1,I208="SBJ"),AND(J208=1,I208=0)),"?IN_FOCUS",IF(J208&lt;=2,"?ACTIVATED",IF(J208&lt;&gt;"","?FAMILIAR",IF(F208="NEW",IF(ISNA(VLOOKUP(E208,#REF!,1,FALSE())),"?TYPE_IDENTIFIABLE","?REFERENTIAL"),"_")))))</f>
        <v>?REFERENTIAL</v>
      </c>
      <c r="H208" s="12" t="str">
        <f t="shared" ca="1" si="9"/>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t="s">
        <v>879</v>
      </c>
    </row>
    <row r="209" spans="1:12" x14ac:dyDescent="0.35">
      <c r="A209" t="s">
        <v>179</v>
      </c>
      <c r="E209" s="9" t="str">
        <f t="shared" si="8"/>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9"/>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x14ac:dyDescent="0.35">
      <c r="A210" t="s">
        <v>180</v>
      </c>
      <c r="E210" s="9" t="str">
        <f t="shared" si="8"/>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9"/>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x14ac:dyDescent="0.35">
      <c r="A211" t="s">
        <v>63</v>
      </c>
      <c r="E211" s="9" t="str">
        <f t="shared" si="8"/>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9"/>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x14ac:dyDescent="0.35">
      <c r="E212" s="9" t="str">
        <f t="shared" si="8"/>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9"/>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x14ac:dyDescent="0.35">
      <c r="A213" t="s">
        <v>181</v>
      </c>
      <c r="E213" s="9" t="str">
        <f t="shared" si="8"/>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9"/>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x14ac:dyDescent="0.35">
      <c r="A214" t="s">
        <v>182</v>
      </c>
      <c r="E214" s="9" t="str">
        <f t="shared" si="8"/>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9"/>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x14ac:dyDescent="0.35">
      <c r="A215" t="s">
        <v>183</v>
      </c>
      <c r="B215" t="s">
        <v>54</v>
      </c>
      <c r="C215" t="s">
        <v>172</v>
      </c>
      <c r="E215" s="9" t="str">
        <f t="shared" si="8"/>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9"/>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x14ac:dyDescent="0.35">
      <c r="A216" t="s">
        <v>17</v>
      </c>
      <c r="E216" s="9" t="str">
        <f t="shared" si="8"/>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ca="1" si="9"/>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x14ac:dyDescent="0.35">
      <c r="A217" t="s">
        <v>58</v>
      </c>
      <c r="E217" s="9" t="str">
        <f t="shared" si="8"/>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9"/>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x14ac:dyDescent="0.35">
      <c r="A218" t="s">
        <v>184</v>
      </c>
      <c r="B218" t="s">
        <v>54</v>
      </c>
      <c r="C218" t="s">
        <v>99</v>
      </c>
      <c r="D218" t="s">
        <v>16</v>
      </c>
      <c r="E218" s="9" t="s">
        <v>262</v>
      </c>
      <c r="F218" s="10" t="s">
        <v>876</v>
      </c>
      <c r="G218" s="11"/>
      <c r="H218" s="12"/>
      <c r="I218" s="13" t="str">
        <f>IF(OR(E218="",E218="!!!",F218="NEW"),"",INDEX(B$2:B217,-1+SUMPRODUCT(MAX(ROW(E$2:E217)*(E218=E$2:E217)))))</f>
        <v>other_2</v>
      </c>
      <c r="J218" s="14">
        <f ca="1">IF(OR(E218="",E218="!!!",F218="NEW"),"",COUNTBLANK(OFFSET(A$1,,,SUMPRODUCT(MAX(ROW(E$2:E218)*(E218=E$2:E218)))))-COUNTBLANK(OFFSET(A$1,,,SUMPRODUCT(MAX(ROW(E$1:E217)*(E218=E$1:E217))))))</f>
        <v>1</v>
      </c>
      <c r="K218" s="14" t="str">
        <f ca="1">IF(OR(E218="",E218="!!!",F218="NEW"),"",INDEX(J$1:J217,SUMPRODUCT(MAX(ROW(E$1:E217)*(E218=E$1:E217)))))</f>
        <v/>
      </c>
      <c r="L218" s="15"/>
    </row>
    <row r="219" spans="1:12" x14ac:dyDescent="0.35">
      <c r="A219" t="s">
        <v>76</v>
      </c>
      <c r="E219" s="9" t="str">
        <f t="shared" si="8"/>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9"/>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x14ac:dyDescent="0.35">
      <c r="A220" t="s">
        <v>185</v>
      </c>
      <c r="E220" s="9" t="str">
        <f t="shared" si="8"/>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9"/>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x14ac:dyDescent="0.35">
      <c r="A221" t="s">
        <v>186</v>
      </c>
      <c r="B221" t="s">
        <v>36</v>
      </c>
      <c r="C221" t="s">
        <v>172</v>
      </c>
      <c r="E221" s="9" t="str">
        <f t="shared" si="8"/>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ca="1" si="9"/>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x14ac:dyDescent="0.35">
      <c r="A222" t="s">
        <v>17</v>
      </c>
      <c r="E222" s="9" t="str">
        <f t="shared" si="8"/>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9"/>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x14ac:dyDescent="0.35">
      <c r="A223" t="s">
        <v>58</v>
      </c>
      <c r="E223" s="9" t="str">
        <f t="shared" si="8"/>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9"/>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x14ac:dyDescent="0.35">
      <c r="A224" t="s">
        <v>187</v>
      </c>
      <c r="B224" t="s">
        <v>20</v>
      </c>
      <c r="C224" t="s">
        <v>99</v>
      </c>
      <c r="D224" t="s">
        <v>16</v>
      </c>
      <c r="E224" s="9" t="s">
        <v>262</v>
      </c>
      <c r="F224" s="10" t="s">
        <v>876</v>
      </c>
      <c r="G224" s="11"/>
      <c r="H224" s="12" t="str">
        <f t="shared" ca="1" si="9"/>
        <v/>
      </c>
      <c r="I224" s="13" t="str">
        <f>IF(OR(E224="",E224="!!!",F224="NEW"),"",INDEX(B$2:B223,-1+SUMPRODUCT(MAX(ROW(E$2:E223)*(E224=E$2:E223)))))</f>
        <v>other</v>
      </c>
      <c r="J224" s="14">
        <f ca="1">IF(OR(E224="",E224="!!!",F224="NEW"),"",COUNTBLANK(OFFSET(A$1,,,SUMPRODUCT(MAX(ROW(E$2:E224)*(E224=E$2:E224)))))-COUNTBLANK(OFFSET(A$1,,,SUMPRODUCT(MAX(ROW(E$1:E223)*(E224=E$1:E223))))))</f>
        <v>0</v>
      </c>
      <c r="K224" s="14">
        <f ca="1">IF(OR(E224="",E224="!!!",F224="NEW"),"",INDEX(J$1:J223,SUMPRODUCT(MAX(ROW(E$1:E223)*(E224=E$1:E223)))))</f>
        <v>1</v>
      </c>
      <c r="L224" s="15"/>
    </row>
    <row r="225" spans="1:12" x14ac:dyDescent="0.35">
      <c r="A225" t="s">
        <v>42</v>
      </c>
      <c r="E225" s="9" t="str">
        <f t="shared" si="8"/>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9"/>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x14ac:dyDescent="0.35">
      <c r="A226" t="s">
        <v>188</v>
      </c>
      <c r="E226" s="9" t="str">
        <f t="shared" si="8"/>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9"/>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x14ac:dyDescent="0.35">
      <c r="A227" t="s">
        <v>129</v>
      </c>
      <c r="B227" t="s">
        <v>91</v>
      </c>
      <c r="C227" t="s">
        <v>33</v>
      </c>
      <c r="D227" t="s">
        <v>16</v>
      </c>
      <c r="E227" s="9" t="s">
        <v>872</v>
      </c>
      <c r="F227" s="10" t="str">
        <f>IF(OR(E227="",E227="!!!"),"",IF(NOT(ISNA(VLOOKUP(E227,E$1:E226,1,FALSE()))),"OLD",IF(AND(E227&lt;&gt;"",E227&lt;&gt;"!!!"),"NEW","")))</f>
        <v>OLD</v>
      </c>
      <c r="G227" s="11" t="s">
        <v>877</v>
      </c>
      <c r="H227" s="12" t="s">
        <v>7</v>
      </c>
      <c r="I227" s="13" t="str">
        <f>IF(OR(E227="",E227="!!!",F227="NEW"),"",INDEX(B$2:B226,-1+SUMPRODUCT(MAX(ROW(E$2:E226)*(E227=E$2:E226)))))</f>
        <v>SBJ_3</v>
      </c>
      <c r="J227" s="14">
        <f ca="1">IF(OR(E227="",E227="!!!",F227="NEW"),"",COUNTBLANK(OFFSET(A$1,,,SUMPRODUCT(MAX(ROW(E$2:E227)*(E227=E$2:E227)))))-COUNTBLANK(OFFSET(A$1,,,SUMPRODUCT(MAX(ROW(E$1:E226)*(E227=E$1:E226))))))</f>
        <v>1</v>
      </c>
      <c r="K227" s="14">
        <f ca="1">IF(OR(E227="",E227="!!!",F227="NEW"),"",INDEX(J$1:J226,SUMPRODUCT(MAX(ROW(E$1:E226)*(E227=E$1:E226)))))</f>
        <v>0</v>
      </c>
      <c r="L227" s="15"/>
    </row>
    <row r="228" spans="1:12" x14ac:dyDescent="0.35">
      <c r="A228" t="s">
        <v>189</v>
      </c>
      <c r="E228" s="9" t="str">
        <f t="shared" si="8"/>
        <v/>
      </c>
      <c r="F228" s="10" t="str">
        <f>IF(OR(E228="",E228="!!!"),"",IF(NOT(ISNA(VLOOKUP(E228,E$1:E227,1,FALSE()))),"OLD",IF(AND(E228&lt;&gt;"",E228&lt;&gt;"!!!"),"NEW","")))</f>
        <v/>
      </c>
      <c r="G228" s="11" t="str">
        <f>IF(OR(E228="",E228="!!!"),"",IF(OR(J228=0,AND(J228=1,K228=1),AND(J228=1,I228="SBJ"),AND(J228=1,I228=0)),"?IN_FOCUS",IF(J228&lt;=2,"?ACTIVATED",IF(J228&lt;&gt;"","?FAMILIAR",IF(F228="NEW",IF(ISNA(VLOOKUP(E228,#REF!,1,FALSE())),"?TYPE_IDENTIFIABLE","?REFERENTIAL"),"_")))))</f>
        <v/>
      </c>
      <c r="H228" s="12" t="str">
        <f t="shared" ca="1" si="9"/>
        <v/>
      </c>
      <c r="I228" s="13" t="str">
        <f>IF(OR(E228="",E228="!!!",F228="NEW"),"",INDEX(B$2:B227,-1+SUMPRODUCT(MAX(ROW(E$2:E227)*(E228=E$2:E227)))))</f>
        <v/>
      </c>
      <c r="J228" s="14" t="str">
        <f ca="1">IF(OR(E228="",E228="!!!",F228="NEW"),"",COUNTBLANK(OFFSET(A$1,,,SUMPRODUCT(MAX(ROW(E$2:E228)*(E228=E$2:E228)))))-COUNTBLANK(OFFSET(A$1,,,SUMPRODUCT(MAX(ROW(E$1:E227)*(E228=E$1:E227))))))</f>
        <v/>
      </c>
      <c r="K228" s="14" t="str">
        <f>IF(OR(E228="",E228="!!!",F228="NEW"),"",INDEX(J$1:J227,SUMPRODUCT(MAX(ROW(E$1:E227)*(E228=E$1:E227)))))</f>
        <v/>
      </c>
      <c r="L228" s="15"/>
    </row>
    <row r="229" spans="1:12" x14ac:dyDescent="0.35">
      <c r="A229" t="s">
        <v>45</v>
      </c>
      <c r="E229" s="9" t="str">
        <f t="shared" si="8"/>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9"/>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x14ac:dyDescent="0.35">
      <c r="A230" t="s">
        <v>136</v>
      </c>
      <c r="B230" t="s">
        <v>56</v>
      </c>
      <c r="C230" t="s">
        <v>49</v>
      </c>
      <c r="D230" t="s">
        <v>16</v>
      </c>
      <c r="E230" s="9" t="s">
        <v>872</v>
      </c>
      <c r="F230" s="10" t="str">
        <f>IF(OR(E230="",E230="!!!"),"",IF(NOT(ISNA(VLOOKUP(E230,E$1:E229,1,FALSE()))),"OLD",IF(AND(E230&lt;&gt;"",E230&lt;&gt;"!!!"),"NEW","")))</f>
        <v>OLD</v>
      </c>
      <c r="G230" s="11" t="s">
        <v>870</v>
      </c>
      <c r="H230" s="12" t="str">
        <f t="shared" ca="1" si="9"/>
        <v/>
      </c>
      <c r="I230" s="13" t="str">
        <f>IF(OR(E230="",E230="!!!",F230="NEW"),"",INDEX(B$2:B229,-1+SUMPRODUCT(MAX(ROW(E$2:E229)*(E230=E$2:E229)))))</f>
        <v>OBJ_2</v>
      </c>
      <c r="J230" s="14">
        <f ca="1">IF(OR(E230="",E230="!!!",F230="NEW"),"",COUNTBLANK(OFFSET(A$1,,,SUMPRODUCT(MAX(ROW(E$2:E230)*(E230=E$2:E230)))))-COUNTBLANK(OFFSET(A$1,,,SUMPRODUCT(MAX(ROW(E$1:E229)*(E230=E$1:E229))))))</f>
        <v>0</v>
      </c>
      <c r="K230" s="14">
        <f ca="1">IF(OR(E230="",E230="!!!",F230="NEW"),"",INDEX(J$1:J229,SUMPRODUCT(MAX(ROW(E$1:E229)*(E230=E$1:E229)))))</f>
        <v>1</v>
      </c>
      <c r="L230" s="15"/>
    </row>
    <row r="231" spans="1:12" x14ac:dyDescent="0.35">
      <c r="A231" t="s">
        <v>190</v>
      </c>
      <c r="E231" s="9" t="str">
        <f t="shared" si="8"/>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9"/>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35">
      <c r="A232" t="s">
        <v>191</v>
      </c>
      <c r="B232" t="s">
        <v>20</v>
      </c>
      <c r="C232" t="s">
        <v>15</v>
      </c>
      <c r="D232" t="s">
        <v>16</v>
      </c>
      <c r="E232" s="9" t="s">
        <v>262</v>
      </c>
      <c r="F232" s="10" t="s">
        <v>876</v>
      </c>
      <c r="G232" s="11"/>
      <c r="H232" s="12" t="str">
        <f t="shared" ca="1" si="9"/>
        <v/>
      </c>
      <c r="I232" s="13" t="str">
        <f>IF(OR(E232="",E232="!!!",F232="NEW"),"",INDEX(B$2:B231,-1+SUMPRODUCT(MAX(ROW(E$2:E231)*(E232=E$2:E231)))))</f>
        <v>other_3</v>
      </c>
      <c r="J232" s="14">
        <f ca="1">IF(OR(E232="",E232="!!!",F232="NEW"),"",COUNTBLANK(OFFSET(A$1,,,SUMPRODUCT(MAX(ROW(E$2:E232)*(E232=E$2:E232)))))-COUNTBLANK(OFFSET(A$1,,,SUMPRODUCT(MAX(ROW(E$1:E231)*(E232=E$1:E231))))))</f>
        <v>0</v>
      </c>
      <c r="K232" s="14">
        <f ca="1">IF(OR(E232="",E232="!!!",F232="NEW"),"",INDEX(J$1:J231,SUMPRODUCT(MAX(ROW(E$1:E231)*(E232=E$1:E231)))))</f>
        <v>0</v>
      </c>
      <c r="L232" s="15"/>
    </row>
    <row r="233" spans="1:12" x14ac:dyDescent="0.35">
      <c r="A233" t="s">
        <v>63</v>
      </c>
      <c r="E233" s="9" t="str">
        <f t="shared" si="8"/>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9"/>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35">
      <c r="E234" s="9" t="str">
        <f t="shared" si="8"/>
        <v/>
      </c>
      <c r="F234" s="10" t="str">
        <f>IF(OR(E234="",E234="!!!"),"",IF(NOT(ISNA(VLOOKUP(E234,E$1:E233,1,FALSE()))),"OLD",IF(AND(E234&lt;&gt;"",E234&lt;&gt;"!!!"),"NEW","")))</f>
        <v/>
      </c>
      <c r="G234" s="11" t="str">
        <f>IF(OR(E234="",E234="!!!"),"",IF(OR(J234=0,AND(J234=1,K234=1),AND(J234=1,I234="SBJ"),AND(J234=1,I234=0)),"?IN_FOCUS",IF(J234&lt;=2,"?ACTIVATED",IF(J234&lt;&gt;"","?FAMILIAR",IF(F234="NEW",IF(ISNA(VLOOKUP(E234,#REF!,1,FALSE())),"?TYPE_IDENTIFIABLE","?REFERENTIAL"),"_")))))</f>
        <v/>
      </c>
      <c r="H234" s="12" t="str">
        <f t="shared" ca="1" si="9"/>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x14ac:dyDescent="0.35">
      <c r="A235" t="s">
        <v>192</v>
      </c>
      <c r="E235" s="9" t="str">
        <f t="shared" si="8"/>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9"/>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x14ac:dyDescent="0.35">
      <c r="A236" t="s">
        <v>193</v>
      </c>
      <c r="B236" t="s">
        <v>24</v>
      </c>
      <c r="C236" t="s">
        <v>49</v>
      </c>
      <c r="D236" t="s">
        <v>16</v>
      </c>
      <c r="E236" s="9" t="s">
        <v>872</v>
      </c>
      <c r="F236" s="10" t="str">
        <f>IF(OR(E236="",E236="!!!"),"",IF(NOT(ISNA(VLOOKUP(E236,E$1:E235,1,FALSE()))),"OLD",IF(AND(E236&lt;&gt;"",E236&lt;&gt;"!!!"),"NEW","")))</f>
        <v>OLD</v>
      </c>
      <c r="G236" s="11" t="s">
        <v>877</v>
      </c>
      <c r="H236" s="12" t="s">
        <v>7</v>
      </c>
      <c r="I236" s="13" t="str">
        <f>IF(OR(E236="",E236="!!!",F236="NEW"),"",INDEX(B$2:B235,-1+SUMPRODUCT(MAX(ROW(E$2:E235)*(E236=E$2:E235)))))</f>
        <v>other_4</v>
      </c>
      <c r="J236" s="14">
        <f ca="1">IF(OR(E236="",E236="!!!",F236="NEW"),"",COUNTBLANK(OFFSET(A$1,,,SUMPRODUCT(MAX(ROW(E$2:E236)*(E236=E$2:E236)))))-COUNTBLANK(OFFSET(A$1,,,SUMPRODUCT(MAX(ROW(E$1:E235)*(E236=E$1:E235))))))</f>
        <v>1</v>
      </c>
      <c r="K236" s="14">
        <f ca="1">IF(OR(E236="",E236="!!!",F236="NEW"),"",INDEX(J$1:J235,SUMPRODUCT(MAX(ROW(E$1:E235)*(E236=E$1:E235)))))</f>
        <v>0</v>
      </c>
      <c r="L236" s="15"/>
    </row>
    <row r="237" spans="1:12" x14ac:dyDescent="0.35">
      <c r="A237" t="s">
        <v>194</v>
      </c>
      <c r="B237" t="s">
        <v>14</v>
      </c>
      <c r="C237" t="s">
        <v>15</v>
      </c>
      <c r="D237" t="s">
        <v>16</v>
      </c>
      <c r="E237" s="9" t="s">
        <v>262</v>
      </c>
      <c r="F237" s="10" t="s">
        <v>876</v>
      </c>
      <c r="G237" s="11"/>
      <c r="H237" s="12" t="s">
        <v>886</v>
      </c>
      <c r="I237" s="13" t="str">
        <f>IF(OR(E237="",E237="!!!",F237="NEW"),"",INDEX(B$2:B236,-1+SUMPRODUCT(MAX(ROW(E$2:E236)*(E237=E$2:E236)))))</f>
        <v>other_3</v>
      </c>
      <c r="J237" s="14">
        <f ca="1">IF(OR(E237="",E237="!!!",F237="NEW"),"",COUNTBLANK(OFFSET(A$1,,,SUMPRODUCT(MAX(ROW(E$2:E237)*(E237=E$2:E237)))))-COUNTBLANK(OFFSET(A$1,,,SUMPRODUCT(MAX(ROW(E$1:E236)*(E237=E$1:E236))))))</f>
        <v>1</v>
      </c>
      <c r="K237" s="14">
        <f ca="1">IF(OR(E237="",E237="!!!",F237="NEW"),"",INDEX(J$1:J236,SUMPRODUCT(MAX(ROW(E$1:E236)*(E237=E$1:E236)))))</f>
        <v>0</v>
      </c>
      <c r="L237" s="15"/>
    </row>
    <row r="238" spans="1:12" x14ac:dyDescent="0.35">
      <c r="A238" t="s">
        <v>42</v>
      </c>
      <c r="E238" s="9" t="str">
        <f t="shared" si="8"/>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9"/>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x14ac:dyDescent="0.35">
      <c r="A239" t="s">
        <v>195</v>
      </c>
      <c r="E239" s="9" t="str">
        <f t="shared" si="8"/>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9"/>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35">
      <c r="A240" t="s">
        <v>196</v>
      </c>
      <c r="E240" s="9" t="str">
        <f t="shared" si="8"/>
        <v/>
      </c>
      <c r="F240" s="10" t="str">
        <f>IF(OR(E240="",E240="!!!"),"",IF(NOT(ISNA(VLOOKUP(E240,E$1:E239,1,FALSE()))),"OLD",IF(AND(E240&lt;&gt;"",E240&lt;&gt;"!!!"),"NEW","")))</f>
        <v/>
      </c>
      <c r="G240" s="11" t="str">
        <f>IF(OR(E240="",E240="!!!"),"",IF(OR(J240=0,AND(J240=1,K240=1),AND(J240=1,I240="SBJ"),AND(J240=1,I240=0)),"?IN_FOCUS",IF(J240&lt;=2,"?ACTIVATED",IF(J240&lt;&gt;"","?FAMILIAR",IF(F240="NEW",IF(ISNA(VLOOKUP(E240,#REF!,1,FALSE())),"?TYPE_IDENTIFIABLE","?REFERENTIAL"),"_")))))</f>
        <v/>
      </c>
      <c r="H240" s="12" t="str">
        <f t="shared" ca="1" si="9"/>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x14ac:dyDescent="0.35">
      <c r="A241" t="s">
        <v>58</v>
      </c>
      <c r="E241" s="9" t="str">
        <f t="shared" si="8"/>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9"/>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x14ac:dyDescent="0.35">
      <c r="A242" t="s">
        <v>197</v>
      </c>
      <c r="B242" t="s">
        <v>54</v>
      </c>
      <c r="C242" t="s">
        <v>99</v>
      </c>
      <c r="D242" t="s">
        <v>16</v>
      </c>
      <c r="E242" s="9" t="s">
        <v>262</v>
      </c>
      <c r="F242" s="10" t="s">
        <v>876</v>
      </c>
      <c r="G242" s="11"/>
      <c r="H242" s="12" t="str">
        <f t="shared" ca="1" si="9"/>
        <v/>
      </c>
      <c r="I242" s="13" t="str">
        <f>IF(OR(E242="",E242="!!!",F242="NEW"),"",INDEX(B$2:B241,-1+SUMPRODUCT(MAX(ROW(E$2:E241)*(E242=E$2:E241)))))</f>
        <v>SBJ</v>
      </c>
      <c r="J242" s="14">
        <f ca="1">IF(OR(E242="",E242="!!!",F242="NEW"),"",COUNTBLANK(OFFSET(A$1,,,SUMPRODUCT(MAX(ROW(E$2:E242)*(E242=E$2:E242)))))-COUNTBLANK(OFFSET(A$1,,,SUMPRODUCT(MAX(ROW(E$1:E241)*(E242=E$1:E241))))))</f>
        <v>0</v>
      </c>
      <c r="K242" s="14">
        <f ca="1">IF(OR(E242="",E242="!!!",F242="NEW"),"",INDEX(J$1:J241,SUMPRODUCT(MAX(ROW(E$1:E241)*(E242=E$1:E241)))))</f>
        <v>1</v>
      </c>
      <c r="L242" s="15"/>
    </row>
    <row r="243" spans="1:12" x14ac:dyDescent="0.35">
      <c r="A243" t="s">
        <v>17</v>
      </c>
      <c r="E243" s="9" t="str">
        <f t="shared" si="8"/>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ca="1" si="9"/>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35">
      <c r="A244" t="s">
        <v>58</v>
      </c>
      <c r="E244" s="9" t="str">
        <f t="shared" si="8"/>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9"/>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x14ac:dyDescent="0.35">
      <c r="A245" t="s">
        <v>198</v>
      </c>
      <c r="B245" t="s">
        <v>24</v>
      </c>
      <c r="C245" t="s">
        <v>99</v>
      </c>
      <c r="D245" t="s">
        <v>16</v>
      </c>
      <c r="E245" s="9" t="s">
        <v>262</v>
      </c>
      <c r="F245" s="10" t="s">
        <v>876</v>
      </c>
      <c r="G245" s="11"/>
      <c r="H245" s="12" t="str">
        <f t="shared" ca="1" si="9"/>
        <v/>
      </c>
      <c r="I245" s="13" t="str">
        <f>IF(OR(E245="",E245="!!!",F245="NEW"),"",INDEX(B$2:B244,-1+SUMPRODUCT(MAX(ROW(E$2:E244)*(E245=E$2:E244)))))</f>
        <v>other</v>
      </c>
      <c r="J245" s="14">
        <f ca="1">IF(OR(E245="",E245="!!!",F245="NEW"),"",COUNTBLANK(OFFSET(A$1,,,SUMPRODUCT(MAX(ROW(E$2:E245)*(E245=E$2:E245)))))-COUNTBLANK(OFFSET(A$1,,,SUMPRODUCT(MAX(ROW(E$1:E244)*(E245=E$1:E244))))))</f>
        <v>0</v>
      </c>
      <c r="K245" s="14">
        <f ca="1">IF(OR(E245="",E245="!!!",F245="NEW"),"",INDEX(J$1:J244,SUMPRODUCT(MAX(ROW(E$1:E244)*(E245=E$1:E244)))))</f>
        <v>0</v>
      </c>
      <c r="L245" s="15"/>
    </row>
    <row r="246" spans="1:12" x14ac:dyDescent="0.35">
      <c r="A246" t="s">
        <v>17</v>
      </c>
      <c r="E246" s="9" t="str">
        <f t="shared" si="8"/>
        <v/>
      </c>
      <c r="F246" s="10" t="str">
        <f>IF(OR(E246="",E246="!!!"),"",IF(NOT(ISNA(VLOOKUP(E246,E$1:E245,1,FALSE()))),"OLD",IF(AND(E246&lt;&gt;"",E246&lt;&gt;"!!!"),"NEW","")))</f>
        <v/>
      </c>
      <c r="G246" s="11" t="str">
        <f>IF(OR(E246="",E246="!!!"),"",IF(OR(J246=0,AND(J246=1,K246=1),AND(J246=1,I246="SBJ"),AND(J246=1,I246=0)),"?IN_FOCUS",IF(J246&lt;=2,"?ACTIVATED",IF(J246&lt;&gt;"","?FAMILIAR",IF(F246="NEW",IF(ISNA(VLOOKUP(E246,#REF!,1,FALSE())),"?TYPE_IDENTIFIABLE","?REFERENTIAL"),"_")))))</f>
        <v/>
      </c>
      <c r="H246" s="12" t="str">
        <f t="shared" ca="1" si="9"/>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x14ac:dyDescent="0.35">
      <c r="A247" t="s">
        <v>58</v>
      </c>
      <c r="E247" s="9" t="str">
        <f t="shared" si="8"/>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9"/>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x14ac:dyDescent="0.35">
      <c r="A248" t="s">
        <v>199</v>
      </c>
      <c r="E248" s="9" t="str">
        <f t="shared" si="8"/>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9"/>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x14ac:dyDescent="0.35">
      <c r="A249" t="s">
        <v>200</v>
      </c>
      <c r="B249" t="s">
        <v>20</v>
      </c>
      <c r="C249" t="s">
        <v>99</v>
      </c>
      <c r="D249" t="s">
        <v>16</v>
      </c>
      <c r="E249" s="9" t="s">
        <v>262</v>
      </c>
      <c r="F249" s="10" t="s">
        <v>876</v>
      </c>
      <c r="G249" s="11"/>
      <c r="H249" s="12" t="str">
        <f t="shared" ca="1" si="9"/>
        <v/>
      </c>
      <c r="I249" s="13" t="str">
        <f>IF(OR(E249="",E249="!!!",F249="NEW"),"",INDEX(B$2:B248,-1+SUMPRODUCT(MAX(ROW(E$2:E248)*(E249=E$2:E248)))))</f>
        <v>other_2</v>
      </c>
      <c r="J249" s="14">
        <f ca="1">IF(OR(E249="",E249="!!!",F249="NEW"),"",COUNTBLANK(OFFSET(A$1,,,SUMPRODUCT(MAX(ROW(E$2:E249)*(E249=E$2:E249)))))-COUNTBLANK(OFFSET(A$1,,,SUMPRODUCT(MAX(ROW(E$1:E248)*(E249=E$1:E248))))))</f>
        <v>0</v>
      </c>
      <c r="K249" s="14">
        <f ca="1">IF(OR(E249="",E249="!!!",F249="NEW"),"",INDEX(J$1:J248,SUMPRODUCT(MAX(ROW(E$1:E248)*(E249=E$1:E248)))))</f>
        <v>0</v>
      </c>
      <c r="L249" s="15"/>
    </row>
    <row r="250" spans="1:12" x14ac:dyDescent="0.35">
      <c r="A250" t="s">
        <v>26</v>
      </c>
      <c r="E250" s="9" t="str">
        <f t="shared" si="8"/>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9"/>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x14ac:dyDescent="0.35">
      <c r="A251" t="s">
        <v>117</v>
      </c>
      <c r="E251" s="9" t="str">
        <f t="shared" si="8"/>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ca="1" si="9"/>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x14ac:dyDescent="0.35">
      <c r="A252" t="s">
        <v>39</v>
      </c>
      <c r="E252" s="9" t="str">
        <f t="shared" si="8"/>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9"/>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x14ac:dyDescent="0.35">
      <c r="A253" t="s">
        <v>133</v>
      </c>
      <c r="B253" t="s">
        <v>36</v>
      </c>
      <c r="C253" t="s">
        <v>33</v>
      </c>
      <c r="D253" t="s">
        <v>16</v>
      </c>
      <c r="E253" s="9" t="s">
        <v>872</v>
      </c>
      <c r="F253" s="10" t="str">
        <f>IF(OR(E253="",E253="!!!"),"",IF(NOT(ISNA(VLOOKUP(E253,E$1:E252,1,FALSE()))),"OLD",IF(AND(E253&lt;&gt;"",E253&lt;&gt;"!!!"),"NEW","")))</f>
        <v>OLD</v>
      </c>
      <c r="G253" s="11" t="s">
        <v>870</v>
      </c>
      <c r="H253" s="12" t="str">
        <f t="shared" ca="1" si="9"/>
        <v/>
      </c>
      <c r="I253" s="13" t="str">
        <f>IF(OR(E253="",E253="!!!",F253="NEW"),"",INDEX(B$2:B252,-1+SUMPRODUCT(MAX(ROW(E$2:E252)*(E253=E$2:E252)))))</f>
        <v>other_2</v>
      </c>
      <c r="J253" s="14">
        <f ca="1">IF(OR(E253="",E253="!!!",F253="NEW"),"",COUNTBLANK(OFFSET(A$1,,,SUMPRODUCT(MAX(ROW(E$2:E253)*(E253=E$2:E253)))))-COUNTBLANK(OFFSET(A$1,,,SUMPRODUCT(MAX(ROW(E$1:E252)*(E253=E$1:E252))))))</f>
        <v>0</v>
      </c>
      <c r="K253" s="14">
        <f ca="1">IF(OR(E253="",E253="!!!",F253="NEW"),"",INDEX(J$1:J252,SUMPRODUCT(MAX(ROW(E$1:E252)*(E253=E$1:E252)))))</f>
        <v>1</v>
      </c>
      <c r="L253" s="15"/>
    </row>
    <row r="254" spans="1:12" x14ac:dyDescent="0.35">
      <c r="A254" t="s">
        <v>83</v>
      </c>
      <c r="E254" s="9" t="str">
        <f t="shared" si="8"/>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9"/>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x14ac:dyDescent="0.35">
      <c r="A255" t="s">
        <v>201</v>
      </c>
      <c r="E255" s="9" t="str">
        <f t="shared" si="8"/>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9"/>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x14ac:dyDescent="0.35">
      <c r="A256" t="s">
        <v>45</v>
      </c>
      <c r="E256" s="9" t="str">
        <f t="shared" si="8"/>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9"/>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x14ac:dyDescent="0.35">
      <c r="A257" t="s">
        <v>202</v>
      </c>
      <c r="E257" s="9" t="str">
        <f t="shared" si="8"/>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9"/>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x14ac:dyDescent="0.35">
      <c r="A258" t="s">
        <v>17</v>
      </c>
      <c r="E258" s="9" t="str">
        <f t="shared" si="8"/>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9"/>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x14ac:dyDescent="0.35">
      <c r="A259" t="s">
        <v>203</v>
      </c>
      <c r="E259" s="9" t="str">
        <f t="shared" si="8"/>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9"/>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x14ac:dyDescent="0.35">
      <c r="A260" t="s">
        <v>204</v>
      </c>
      <c r="B260" t="s">
        <v>20</v>
      </c>
      <c r="C260" t="s">
        <v>108</v>
      </c>
      <c r="E260" s="9" t="str">
        <f t="shared" si="8"/>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ca="1" si="9"/>
        <v/>
      </c>
      <c r="I260" s="13" t="str">
        <f>IF(OR(E260="",E260="!!!",F260="NEW"),"",INDEX(B$2:B259,-1+SUMPRODUCT(MAX(ROW(E$2:E259)*(E260=E$2:E259)))))</f>
        <v/>
      </c>
      <c r="J260" s="14" t="str">
        <f ca="1">IF(OR(E260="",E260="!!!",F260="NEW"),"",COUNTBLANK(OFFSET(A$1,,,SUMPRODUCT(MAX(ROW(E$2:E260)*(E260=E$2:E260)))))-COUNTBLANK(OFFSET(A$1,,,SUMPRODUCT(MAX(ROW(E$1:E259)*(E260=E$1:E259))))))</f>
        <v/>
      </c>
      <c r="K260" s="14" t="str">
        <f>IF(OR(E260="",E260="!!!",F260="NEW"),"",INDEX(J$1:J259,SUMPRODUCT(MAX(ROW(E$1:E259)*(E260=E$1:E259)))))</f>
        <v/>
      </c>
      <c r="L260" s="15"/>
    </row>
    <row r="261" spans="1:12" x14ac:dyDescent="0.35">
      <c r="A261" t="s">
        <v>161</v>
      </c>
      <c r="E261" s="9" t="str">
        <f t="shared" si="8"/>
        <v/>
      </c>
      <c r="F261" s="10" t="str">
        <f>IF(OR(E261="",E261="!!!"),"",IF(NOT(ISNA(VLOOKUP(E261,E$1:E260,1,FALSE()))),"OLD",IF(AND(E261&lt;&gt;"",E261&lt;&gt;"!!!"),"NEW","")))</f>
        <v/>
      </c>
      <c r="G261" s="11" t="str">
        <f>IF(OR(E261="",E261="!!!"),"",IF(OR(J261=0,AND(J261=1,K261=1),AND(J261=1,I261="SBJ"),AND(J261=1,I261=0)),"?IN_FOCUS",IF(J261&lt;=2,"?ACTIVATED",IF(J261&lt;&gt;"","?FAMILIAR",IF(F261="NEW",IF(ISNA(VLOOKUP(E261,#REF!,1,FALSE())),"?TYPE_IDENTIFIABLE","?REFERENTIAL"),"_")))))</f>
        <v/>
      </c>
      <c r="H261" s="12" t="str">
        <f t="shared" ca="1" si="9"/>
        <v/>
      </c>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x14ac:dyDescent="0.35">
      <c r="A262" t="s">
        <v>136</v>
      </c>
      <c r="B262" t="s">
        <v>48</v>
      </c>
      <c r="C262" t="s">
        <v>49</v>
      </c>
      <c r="D262" t="s">
        <v>16</v>
      </c>
      <c r="E262" s="9" t="s">
        <v>872</v>
      </c>
      <c r="F262" s="10" t="str">
        <f>IF(OR(E262="",E262="!!!"),"",IF(NOT(ISNA(VLOOKUP(E262,E$1:E261,1,FALSE()))),"OLD",IF(AND(E262&lt;&gt;"",E262&lt;&gt;"!!!"),"NEW","")))</f>
        <v>OLD</v>
      </c>
      <c r="G262" s="11" t="s">
        <v>870</v>
      </c>
      <c r="H262" s="12" t="str">
        <f t="shared" ca="1" si="9"/>
        <v/>
      </c>
      <c r="I262" s="13" t="str">
        <f>IF(OR(E262="",E262="!!!",F262="NEW"),"",INDEX(B$2:B261,-1+SUMPRODUCT(MAX(ROW(E$2:E261)*(E262=E$2:E261)))))</f>
        <v>SBJ_2</v>
      </c>
      <c r="J262" s="14">
        <f ca="1">IF(OR(E262="",E262="!!!",F262="NEW"),"",COUNTBLANK(OFFSET(A$1,,,SUMPRODUCT(MAX(ROW(E$2:E262)*(E262=E$2:E262)))))-COUNTBLANK(OFFSET(A$1,,,SUMPRODUCT(MAX(ROW(E$1:E261)*(E262=E$1:E261))))))</f>
        <v>0</v>
      </c>
      <c r="K262" s="14">
        <f ca="1">IF(OR(E262="",E262="!!!",F262="NEW"),"",INDEX(J$1:J261,SUMPRODUCT(MAX(ROW(E$1:E261)*(E262=E$1:E261)))))</f>
        <v>0</v>
      </c>
      <c r="L262" s="15"/>
    </row>
    <row r="263" spans="1:12" x14ac:dyDescent="0.35">
      <c r="A263" t="s">
        <v>157</v>
      </c>
      <c r="B263" t="s">
        <v>143</v>
      </c>
      <c r="C263" t="s">
        <v>15</v>
      </c>
      <c r="D263" t="s">
        <v>16</v>
      </c>
      <c r="E263" s="9" t="s">
        <v>262</v>
      </c>
      <c r="F263" s="10" t="s">
        <v>876</v>
      </c>
      <c r="G263" s="11"/>
      <c r="H263" s="12" t="str">
        <f t="shared" ca="1" si="9"/>
        <v/>
      </c>
      <c r="I263" s="13" t="str">
        <f>IF(OR(E263="",E263="!!!",F263="NEW"),"",INDEX(B$2:B262,-1+SUMPRODUCT(MAX(ROW(E$2:E262)*(E263=E$2:E262)))))</f>
        <v>other_3</v>
      </c>
      <c r="J263" s="14">
        <f ca="1">IF(OR(E263="",E263="!!!",F263="NEW"),"",COUNTBLANK(OFFSET(A$1,,,SUMPRODUCT(MAX(ROW(E$2:E263)*(E263=E$2:E263)))))-COUNTBLANK(OFFSET(A$1,,,SUMPRODUCT(MAX(ROW(E$1:E262)*(E263=E$1:E262))))))</f>
        <v>0</v>
      </c>
      <c r="K263" s="14">
        <f ca="1">IF(OR(E263="",E263="!!!",F263="NEW"),"",INDEX(J$1:J262,SUMPRODUCT(MAX(ROW(E$1:E262)*(E263=E$1:E262)))))</f>
        <v>0</v>
      </c>
      <c r="L263" s="15"/>
    </row>
    <row r="264" spans="1:12" x14ac:dyDescent="0.35">
      <c r="A264" t="s">
        <v>83</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9"/>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x14ac:dyDescent="0.35">
      <c r="A265" t="s">
        <v>205</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9"/>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x14ac:dyDescent="0.35">
      <c r="A266" t="s">
        <v>159</v>
      </c>
      <c r="E266" s="9" t="str">
        <f t="shared" ref="E266:E300" si="10">IF(D266="?OLD","!!!","")</f>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ref="H266:H300" ca="1" si="11">IF(J266&lt;&gt;1,"",IF(I266="SBJ","CB","?"))</f>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x14ac:dyDescent="0.35">
      <c r="A267" t="s">
        <v>206</v>
      </c>
      <c r="B267" t="s">
        <v>56</v>
      </c>
      <c r="C267" t="s">
        <v>108</v>
      </c>
      <c r="E267" s="9" t="str">
        <f t="shared" si="10"/>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11"/>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x14ac:dyDescent="0.35">
      <c r="A268" t="s">
        <v>76</v>
      </c>
      <c r="E268" s="9" t="str">
        <f t="shared" si="10"/>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11"/>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x14ac:dyDescent="0.35">
      <c r="A269" t="s">
        <v>160</v>
      </c>
      <c r="B269" t="s">
        <v>48</v>
      </c>
      <c r="C269" t="s">
        <v>108</v>
      </c>
      <c r="E269" s="9" t="str">
        <f t="shared" si="10"/>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11"/>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x14ac:dyDescent="0.35">
      <c r="A270" t="s">
        <v>63</v>
      </c>
      <c r="E270" s="9" t="str">
        <f t="shared" si="10"/>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11"/>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x14ac:dyDescent="0.35">
      <c r="E271" s="9" t="str">
        <f t="shared" si="10"/>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11"/>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x14ac:dyDescent="0.35">
      <c r="A272" t="s">
        <v>207</v>
      </c>
      <c r="E272" s="9" t="str">
        <f t="shared" si="10"/>
        <v/>
      </c>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ca="1" si="11"/>
        <v/>
      </c>
      <c r="I272" s="13" t="str">
        <f>IF(OR(E272="",E272="!!!",F272="NEW"),"",INDEX(B$2:B271,-1+SUMPRODUCT(MAX(ROW(E$2:E271)*(E272=E$2:E271)))))</f>
        <v/>
      </c>
      <c r="J272" s="14" t="str">
        <f ca="1">IF(OR(E272="",E272="!!!",F272="NEW"),"",COUNTBLANK(OFFSET(A$1,,,SUMPRODUCT(MAX(ROW(E$2:E272)*(E272=E$2:E272)))))-COUNTBLANK(OFFSET(A$1,,,SUMPRODUCT(MAX(ROW(E$1:E271)*(E272=E$1:E271))))))</f>
        <v/>
      </c>
      <c r="K272" s="14" t="str">
        <f>IF(OR(E272="",E272="!!!",F272="NEW"),"",INDEX(J$1:J271,SUMPRODUCT(MAX(ROW(E$1:E271)*(E272=E$1:E271)))))</f>
        <v/>
      </c>
      <c r="L272" s="15"/>
    </row>
    <row r="273" spans="1:12" x14ac:dyDescent="0.35">
      <c r="A273" t="s">
        <v>208</v>
      </c>
      <c r="B273" t="s">
        <v>14</v>
      </c>
      <c r="C273" t="s">
        <v>33</v>
      </c>
      <c r="D273" t="s">
        <v>16</v>
      </c>
      <c r="E273" s="9" t="s">
        <v>262</v>
      </c>
      <c r="F273" s="10" t="s">
        <v>876</v>
      </c>
      <c r="G273" s="11"/>
      <c r="H273" s="12"/>
      <c r="I273" s="13" t="str">
        <f>IF(OR(E273="",E273="!!!",F273="NEW"),"",INDEX(B$2:B272,-1+SUMPRODUCT(MAX(ROW(E$2:E272)*(E273=E$2:E272)))))</f>
        <v>SBJ_4</v>
      </c>
      <c r="J273" s="14">
        <f ca="1">IF(OR(E273="",E273="!!!",F273="NEW"),"",COUNTBLANK(OFFSET(A$1,,,SUMPRODUCT(MAX(ROW(E$2:E273)*(E273=E$2:E273)))))-COUNTBLANK(OFFSET(A$1,,,SUMPRODUCT(MAX(ROW(E$1:E272)*(E273=E$1:E272))))))</f>
        <v>1</v>
      </c>
      <c r="K273" s="14">
        <f ca="1">IF(OR(E273="",E273="!!!",F273="NEW"),"",INDEX(J$1:J272,SUMPRODUCT(MAX(ROW(E$1:E272)*(E273=E$1:E272)))))</f>
        <v>0</v>
      </c>
      <c r="L273" s="15"/>
    </row>
    <row r="274" spans="1:12" x14ac:dyDescent="0.35">
      <c r="A274" t="s">
        <v>42</v>
      </c>
      <c r="E274" s="9" t="str">
        <f t="shared" si="10"/>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11"/>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x14ac:dyDescent="0.35">
      <c r="A275" t="s">
        <v>34</v>
      </c>
      <c r="E275" s="9" t="str">
        <f t="shared" si="10"/>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11"/>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x14ac:dyDescent="0.35">
      <c r="A276" t="s">
        <v>209</v>
      </c>
      <c r="B276" t="s">
        <v>54</v>
      </c>
      <c r="C276" t="s">
        <v>37</v>
      </c>
      <c r="E276" s="9" t="str">
        <f t="shared" si="10"/>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ca="1" si="11"/>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x14ac:dyDescent="0.35">
      <c r="A277" t="s">
        <v>45</v>
      </c>
      <c r="E277" s="9" t="str">
        <f t="shared" si="10"/>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11"/>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x14ac:dyDescent="0.35">
      <c r="A278" t="s">
        <v>176</v>
      </c>
      <c r="B278" t="s">
        <v>54</v>
      </c>
      <c r="C278" t="s">
        <v>33</v>
      </c>
      <c r="D278" t="s">
        <v>16</v>
      </c>
      <c r="E278" s="9" t="s">
        <v>365</v>
      </c>
      <c r="F278" s="10" t="str">
        <f>IF(OR(E278="",E278="!!!"),"",IF(NOT(ISNA(VLOOKUP(E278,E$1:E277,1,FALSE()))),"OLD",IF(AND(E278&lt;&gt;"",E278&lt;&gt;"!!!"),"NEW","")))</f>
        <v>OLD</v>
      </c>
      <c r="G278" s="11" t="s">
        <v>874</v>
      </c>
      <c r="H278" s="12" t="str">
        <f t="shared" ca="1" si="11"/>
        <v/>
      </c>
      <c r="I278" s="13" t="str">
        <f>IF(OR(E278="",E278="!!!",F278="NEW"),"",INDEX(B$2:B277,-1+SUMPRODUCT(MAX(ROW(E$2:E277)*(E278=E$2:E277)))))</f>
        <v>OBJ_2</v>
      </c>
      <c r="J278" s="14">
        <f ca="1">IF(OR(E278="",E278="!!!",F278="NEW"),"",COUNTBLANK(OFFSET(A$1,,,SUMPRODUCT(MAX(ROW(E$2:E278)*(E278=E$2:E278)))))-COUNTBLANK(OFFSET(A$1,,,SUMPRODUCT(MAX(ROW(E$1:E277)*(E278=E$1:E277))))))</f>
        <v>3</v>
      </c>
      <c r="K278" s="14">
        <f ca="1">IF(OR(E278="",E278="!!!",F278="NEW"),"",INDEX(J$1:J277,SUMPRODUCT(MAX(ROW(E$1:E277)*(E278=E$1:E277)))))</f>
        <v>0</v>
      </c>
      <c r="L278" s="15"/>
    </row>
    <row r="279" spans="1:12" x14ac:dyDescent="0.35">
      <c r="A279" t="s">
        <v>26</v>
      </c>
      <c r="E279" s="9" t="str">
        <f t="shared" si="10"/>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11"/>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x14ac:dyDescent="0.35">
      <c r="A280" t="s">
        <v>210</v>
      </c>
      <c r="E280" s="9" t="str">
        <f t="shared" si="10"/>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11"/>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x14ac:dyDescent="0.35">
      <c r="A281" t="s">
        <v>39</v>
      </c>
      <c r="E281" s="9" t="str">
        <f t="shared" si="10"/>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11"/>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x14ac:dyDescent="0.35">
      <c r="A282" t="s">
        <v>211</v>
      </c>
      <c r="E282" s="9" t="str">
        <f t="shared" si="10"/>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11"/>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x14ac:dyDescent="0.35">
      <c r="A283" t="s">
        <v>212</v>
      </c>
      <c r="B283" t="s">
        <v>54</v>
      </c>
      <c r="C283" t="s">
        <v>122</v>
      </c>
      <c r="D283" t="s">
        <v>16</v>
      </c>
      <c r="E283" s="9" t="s">
        <v>262</v>
      </c>
      <c r="F283" s="10" t="s">
        <v>876</v>
      </c>
      <c r="G283" s="11"/>
      <c r="H283" s="12" t="str">
        <f t="shared" ca="1" si="11"/>
        <v/>
      </c>
      <c r="I283" s="13" t="str">
        <f>IF(OR(E283="",E283="!!!",F283="NEW"),"",INDEX(B$2:B282,-1+SUMPRODUCT(MAX(ROW(E$2:E282)*(E283=E$2:E282)))))</f>
        <v>SBJ</v>
      </c>
      <c r="J283" s="14">
        <f ca="1">IF(OR(E283="",E283="!!!",F283="NEW"),"",COUNTBLANK(OFFSET(A$1,,,SUMPRODUCT(MAX(ROW(E$2:E283)*(E283=E$2:E283)))))-COUNTBLANK(OFFSET(A$1,,,SUMPRODUCT(MAX(ROW(E$1:E282)*(E283=E$1:E282))))))</f>
        <v>0</v>
      </c>
      <c r="K283" s="14">
        <f ca="1">IF(OR(E283="",E283="!!!",F283="NEW"),"",INDEX(J$1:J282,SUMPRODUCT(MAX(ROW(E$1:E282)*(E283=E$1:E282)))))</f>
        <v>1</v>
      </c>
      <c r="L283" s="15"/>
    </row>
    <row r="284" spans="1:12" x14ac:dyDescent="0.35">
      <c r="A284" t="s">
        <v>26</v>
      </c>
      <c r="E284" s="9" t="str">
        <f t="shared" si="10"/>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11"/>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x14ac:dyDescent="0.35">
      <c r="A285" t="s">
        <v>161</v>
      </c>
      <c r="E285" s="9" t="str">
        <f t="shared" si="10"/>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11"/>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x14ac:dyDescent="0.35">
      <c r="A286" t="s">
        <v>133</v>
      </c>
      <c r="B286" t="s">
        <v>36</v>
      </c>
      <c r="C286" t="s">
        <v>33</v>
      </c>
      <c r="D286" t="s">
        <v>16</v>
      </c>
      <c r="E286" s="9" t="s">
        <v>872</v>
      </c>
      <c r="F286" s="10" t="str">
        <f>IF(OR(E286="",E286="!!!"),"",IF(NOT(ISNA(VLOOKUP(E286,E$1:E285,1,FALSE()))),"OLD",IF(AND(E286&lt;&gt;"",E286&lt;&gt;"!!!"),"NEW","")))</f>
        <v>OLD</v>
      </c>
      <c r="G286" s="11" t="s">
        <v>877</v>
      </c>
      <c r="H286" s="12" t="s">
        <v>7</v>
      </c>
      <c r="I286" s="13" t="str">
        <f>IF(OR(E286="",E286="!!!",F286="NEW"),"",INDEX(B$2:B285,-1+SUMPRODUCT(MAX(ROW(E$2:E285)*(E286=E$2:E285)))))</f>
        <v>other_5</v>
      </c>
      <c r="J286" s="14">
        <f ca="1">IF(OR(E286="",E286="!!!",F286="NEW"),"",COUNTBLANK(OFFSET(A$1,,,SUMPRODUCT(MAX(ROW(E$2:E286)*(E286=E$2:E286)))))-COUNTBLANK(OFFSET(A$1,,,SUMPRODUCT(MAX(ROW(E$1:E285)*(E286=E$1:E285))))))</f>
        <v>1</v>
      </c>
      <c r="K286" s="14">
        <f ca="1">IF(OR(E286="",E286="!!!",F286="NEW"),"",INDEX(J$1:J285,SUMPRODUCT(MAX(ROW(E$1:E285)*(E286=E$1:E285)))))</f>
        <v>0</v>
      </c>
      <c r="L286" s="15"/>
    </row>
    <row r="287" spans="1:12" x14ac:dyDescent="0.35">
      <c r="A287" t="s">
        <v>131</v>
      </c>
      <c r="E287" s="9" t="str">
        <f t="shared" si="10"/>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11"/>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x14ac:dyDescent="0.35">
      <c r="A288" t="s">
        <v>132</v>
      </c>
      <c r="E288" s="9" t="str">
        <f t="shared" si="10"/>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11"/>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x14ac:dyDescent="0.35">
      <c r="A289" t="s">
        <v>213</v>
      </c>
      <c r="E289" s="9" t="str">
        <f t="shared" si="10"/>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11"/>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x14ac:dyDescent="0.35">
      <c r="A290" t="s">
        <v>214</v>
      </c>
      <c r="B290" t="s">
        <v>20</v>
      </c>
      <c r="C290" t="s">
        <v>21</v>
      </c>
      <c r="D290" t="s">
        <v>16</v>
      </c>
      <c r="E290" s="9" t="s">
        <v>262</v>
      </c>
      <c r="F290" s="10" t="s">
        <v>876</v>
      </c>
      <c r="G290" s="11"/>
      <c r="H290" s="12" t="str">
        <f t="shared" ca="1" si="11"/>
        <v/>
      </c>
      <c r="I290" s="13" t="str">
        <f>IF(OR(E290="",E290="!!!",F290="NEW"),"",INDEX(B$2:B289,-1+SUMPRODUCT(MAX(ROW(E$2:E289)*(E290=E$2:E289)))))</f>
        <v>other</v>
      </c>
      <c r="J290" s="14">
        <f ca="1">IF(OR(E290="",E290="!!!",F290="NEW"),"",COUNTBLANK(OFFSET(A$1,,,SUMPRODUCT(MAX(ROW(E$2:E290)*(E290=E$2:E290)))))-COUNTBLANK(OFFSET(A$1,,,SUMPRODUCT(MAX(ROW(E$1:E289)*(E290=E$1:E289))))))</f>
        <v>0</v>
      </c>
      <c r="K290" s="14">
        <f ca="1">IF(OR(E290="",E290="!!!",F290="NEW"),"",INDEX(J$1:J289,SUMPRODUCT(MAX(ROW(E$1:E289)*(E290=E$1:E289)))))</f>
        <v>0</v>
      </c>
      <c r="L290" s="15"/>
    </row>
    <row r="291" spans="1:12" x14ac:dyDescent="0.35">
      <c r="A291" t="s">
        <v>22</v>
      </c>
      <c r="E291" s="9" t="str">
        <f t="shared" si="10"/>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11"/>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x14ac:dyDescent="0.35">
      <c r="A292" t="s">
        <v>215</v>
      </c>
      <c r="B292" t="s">
        <v>91</v>
      </c>
      <c r="C292" t="s">
        <v>15</v>
      </c>
      <c r="D292" t="s">
        <v>16</v>
      </c>
      <c r="E292" s="9" t="s">
        <v>262</v>
      </c>
      <c r="F292" s="10" t="s">
        <v>876</v>
      </c>
      <c r="G292" s="11"/>
      <c r="H292" s="12" t="str">
        <f t="shared" ca="1" si="11"/>
        <v/>
      </c>
      <c r="I292" s="13" t="str">
        <f>IF(OR(E292="",E292="!!!",F292="NEW"),"",INDEX(B$2:B291,-1+SUMPRODUCT(MAX(ROW(E$2:E291)*(E292=E$2:E291)))))</f>
        <v>other_3</v>
      </c>
      <c r="J292" s="14">
        <f ca="1">IF(OR(E292="",E292="!!!",F292="NEW"),"",COUNTBLANK(OFFSET(A$1,,,SUMPRODUCT(MAX(ROW(E$2:E292)*(E292=E$2:E292)))))-COUNTBLANK(OFFSET(A$1,,,SUMPRODUCT(MAX(ROW(E$1:E291)*(E292=E$1:E291))))))</f>
        <v>0</v>
      </c>
      <c r="K292" s="14">
        <f ca="1">IF(OR(E292="",E292="!!!",F292="NEW"),"",INDEX(J$1:J291,SUMPRODUCT(MAX(ROW(E$1:E291)*(E292=E$1:E291)))))</f>
        <v>0</v>
      </c>
      <c r="L292" s="15"/>
    </row>
    <row r="293" spans="1:12" x14ac:dyDescent="0.35">
      <c r="A293" t="s">
        <v>76</v>
      </c>
      <c r="E293" s="9" t="str">
        <f t="shared" si="10"/>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ca="1" si="11"/>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x14ac:dyDescent="0.35">
      <c r="A294" t="s">
        <v>216</v>
      </c>
      <c r="E294" s="9" t="str">
        <f t="shared" si="10"/>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11"/>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x14ac:dyDescent="0.35">
      <c r="A295" t="s">
        <v>39</v>
      </c>
      <c r="E295" s="9" t="str">
        <f t="shared" si="10"/>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11"/>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x14ac:dyDescent="0.35">
      <c r="A296" t="s">
        <v>133</v>
      </c>
      <c r="B296" t="s">
        <v>143</v>
      </c>
      <c r="C296" t="s">
        <v>33</v>
      </c>
      <c r="D296" t="s">
        <v>16</v>
      </c>
      <c r="E296" s="9" t="s">
        <v>872</v>
      </c>
      <c r="F296" s="10" t="str">
        <f>IF(OR(E296="",E296="!!!"),"",IF(NOT(ISNA(VLOOKUP(E296,E$1:E295,1,FALSE()))),"OLD",IF(AND(E296&lt;&gt;"",E296&lt;&gt;"!!!"),"NEW","")))</f>
        <v>OLD</v>
      </c>
      <c r="G296" s="11" t="s">
        <v>870</v>
      </c>
      <c r="H296" s="12" t="str">
        <f t="shared" ca="1" si="11"/>
        <v/>
      </c>
      <c r="I296" s="13" t="str">
        <f>IF(OR(E296="",E296="!!!",F296="NEW"),"",INDEX(B$2:B295,-1+SUMPRODUCT(MAX(ROW(E$2:E295)*(E296=E$2:E295)))))</f>
        <v>SBJ_2</v>
      </c>
      <c r="J296" s="14">
        <f ca="1">IF(OR(E296="",E296="!!!",F296="NEW"),"",COUNTBLANK(OFFSET(A$1,,,SUMPRODUCT(MAX(ROW(E$2:E296)*(E296=E$2:E296)))))-COUNTBLANK(OFFSET(A$1,,,SUMPRODUCT(MAX(ROW(E$1:E295)*(E296=E$1:E295))))))</f>
        <v>0</v>
      </c>
      <c r="K296" s="14">
        <f ca="1">IF(OR(E296="",E296="!!!",F296="NEW"),"",INDEX(J$1:J295,SUMPRODUCT(MAX(ROW(E$1:E295)*(E296=E$1:E295)))))</f>
        <v>1</v>
      </c>
      <c r="L296" s="15"/>
    </row>
    <row r="297" spans="1:12" x14ac:dyDescent="0.35">
      <c r="A297" t="s">
        <v>83</v>
      </c>
      <c r="E297" s="9" t="str">
        <f t="shared" si="10"/>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11"/>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x14ac:dyDescent="0.35">
      <c r="A298" t="s">
        <v>217</v>
      </c>
      <c r="E298" s="9" t="str">
        <f t="shared" si="10"/>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11"/>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x14ac:dyDescent="0.35">
      <c r="A299" t="s">
        <v>218</v>
      </c>
      <c r="E299" s="9" t="str">
        <f t="shared" si="10"/>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11"/>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x14ac:dyDescent="0.35">
      <c r="A300" t="s">
        <v>45</v>
      </c>
      <c r="E300" s="9" t="str">
        <f t="shared" si="10"/>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11"/>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x14ac:dyDescent="0.35">
      <c r="A301" t="s">
        <v>58</v>
      </c>
      <c r="E301" s="9" t="str">
        <f t="shared" ref="E301:E310" si="12">IF(D301="?OLD","!!!","")</f>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ref="H301:H310" ca="1" si="13">IF(J301&lt;&gt;1,"",IF(I301="SBJ","CB","?"))</f>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x14ac:dyDescent="0.35">
      <c r="A302" t="s">
        <v>219</v>
      </c>
      <c r="B302" t="s">
        <v>56</v>
      </c>
      <c r="C302" t="s">
        <v>21</v>
      </c>
      <c r="D302" t="s">
        <v>16</v>
      </c>
      <c r="E302" s="9" t="s">
        <v>262</v>
      </c>
      <c r="F302" s="10" t="s">
        <v>876</v>
      </c>
      <c r="G302" s="11"/>
      <c r="H302" s="12" t="str">
        <f t="shared" ca="1" si="13"/>
        <v/>
      </c>
      <c r="I302" s="13" t="str">
        <f>IF(OR(E302="",E302="!!!",F302="NEW"),"",INDEX(B$2:B301,-1+SUMPRODUCT(MAX(ROW(E$2:E301)*(E302=E$2:E301)))))</f>
        <v>OBJ_2</v>
      </c>
      <c r="J302" s="14">
        <f ca="1">IF(OR(E302="",E302="!!!",F302="NEW"),"",COUNTBLANK(OFFSET(A$1,,,SUMPRODUCT(MAX(ROW(E$2:E302)*(E302=E$2:E302)))))-COUNTBLANK(OFFSET(A$1,,,SUMPRODUCT(MAX(ROW(E$1:E301)*(E302=E$1:E301))))))</f>
        <v>0</v>
      </c>
      <c r="K302" s="14">
        <f ca="1">IF(OR(E302="",E302="!!!",F302="NEW"),"",INDEX(J$1:J301,SUMPRODUCT(MAX(ROW(E$1:E301)*(E302=E$1:E301)))))</f>
        <v>0</v>
      </c>
      <c r="L302" s="15"/>
    </row>
    <row r="303" spans="1:12" x14ac:dyDescent="0.35">
      <c r="A303" t="s">
        <v>76</v>
      </c>
      <c r="E303" s="9" t="str">
        <f t="shared" si="12"/>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13"/>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35">
      <c r="A304" t="s">
        <v>45</v>
      </c>
      <c r="E304" s="9" t="str">
        <f t="shared" si="12"/>
        <v/>
      </c>
      <c r="F304" s="10" t="str">
        <f>IF(OR(E304="",E304="!!!"),"",IF(NOT(ISNA(VLOOKUP(E304,E$1:E303,1,FALSE()))),"OLD",IF(AND(E304&lt;&gt;"",E304&lt;&gt;"!!!"),"NEW","")))</f>
        <v/>
      </c>
      <c r="G304" s="11" t="str">
        <f>IF(OR(E304="",E304="!!!"),"",IF(OR(J304=0,AND(J304=1,K304=1),AND(J304=1,I304="SBJ"),AND(J304=1,I304=0)),"?IN_FOCUS",IF(J304&lt;=2,"?ACTIVATED",IF(J304&lt;&gt;"","?FAMILIAR",IF(F304="NEW",IF(ISNA(VLOOKUP(E304,#REF!,1,FALSE())),"?TYPE_IDENTIFIABLE","?REFERENTIAL"),"_")))))</f>
        <v/>
      </c>
      <c r="H304" s="12" t="str">
        <f t="shared" ca="1" si="13"/>
        <v/>
      </c>
      <c r="I304" s="13" t="str">
        <f>IF(OR(E304="",E304="!!!",F304="NEW"),"",INDEX(B$2:B303,-1+SUMPRODUCT(MAX(ROW(E$2:E303)*(E304=E$2:E303)))))</f>
        <v/>
      </c>
      <c r="J304" s="14" t="str">
        <f ca="1">IF(OR(E304="",E304="!!!",F304="NEW"),"",COUNTBLANK(OFFSET(A$1,,,SUMPRODUCT(MAX(ROW(E$2:E304)*(E304=E$2:E304)))))-COUNTBLANK(OFFSET(A$1,,,SUMPRODUCT(MAX(ROW(E$1:E303)*(E304=E$1:E303))))))</f>
        <v/>
      </c>
      <c r="K304" s="14" t="str">
        <f>IF(OR(E304="",E304="!!!",F304="NEW"),"",INDEX(J$1:J303,SUMPRODUCT(MAX(ROW(E$1:E303)*(E304=E$1:E303)))))</f>
        <v/>
      </c>
      <c r="L304" s="15"/>
    </row>
    <row r="305" spans="1:12" x14ac:dyDescent="0.35">
      <c r="A305" t="s">
        <v>58</v>
      </c>
      <c r="E305" s="9" t="str">
        <f t="shared" si="12"/>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13"/>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x14ac:dyDescent="0.35">
      <c r="A306" t="s">
        <v>220</v>
      </c>
      <c r="B306" t="s">
        <v>56</v>
      </c>
      <c r="C306" t="s">
        <v>99</v>
      </c>
      <c r="D306" t="s">
        <v>16</v>
      </c>
      <c r="E306" s="9" t="s">
        <v>262</v>
      </c>
      <c r="F306" s="10" t="s">
        <v>876</v>
      </c>
      <c r="G306" s="11"/>
      <c r="H306" s="12" t="str">
        <f t="shared" ca="1" si="13"/>
        <v/>
      </c>
      <c r="I306" s="13" t="str">
        <f>IF(OR(E306="",E306="!!!",F306="NEW"),"",INDEX(B$2:B305,-1+SUMPRODUCT(MAX(ROW(E$2:E305)*(E306=E$2:E305)))))</f>
        <v>other_4</v>
      </c>
      <c r="J306" s="14">
        <f ca="1">IF(OR(E306="",E306="!!!",F306="NEW"),"",COUNTBLANK(OFFSET(A$1,,,SUMPRODUCT(MAX(ROW(E$2:E306)*(E306=E$2:E306)))))-COUNTBLANK(OFFSET(A$1,,,SUMPRODUCT(MAX(ROW(E$1:E305)*(E306=E$1:E305))))))</f>
        <v>0</v>
      </c>
      <c r="K306" s="14">
        <f ca="1">IF(OR(E306="",E306="!!!",F306="NEW"),"",INDEX(J$1:J305,SUMPRODUCT(MAX(ROW(E$1:E305)*(E306=E$1:E305)))))</f>
        <v>0</v>
      </c>
      <c r="L306" s="15"/>
    </row>
    <row r="307" spans="1:12" x14ac:dyDescent="0.35">
      <c r="A307" t="s">
        <v>17</v>
      </c>
      <c r="E307" s="9" t="str">
        <f t="shared" si="12"/>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ca="1" si="13"/>
        <v/>
      </c>
      <c r="I307" s="13" t="str">
        <f>IF(OR(E307="",E307="!!!",F307="NEW"),"",INDEX(B$2:B306,-1+SUMPRODUCT(MAX(ROW(E$2:E306)*(E307=E$2:E306)))))</f>
        <v/>
      </c>
      <c r="J307" s="14" t="str">
        <f ca="1">IF(OR(E307="",E307="!!!",F307="NEW"),"",COUNTBLANK(OFFSET(A$1,,,SUMPRODUCT(MAX(ROW(E$2:E307)*(E307=E$2:E307)))))-COUNTBLANK(OFFSET(A$1,,,SUMPRODUCT(MAX(ROW(E$1:E306)*(E307=E$1:E306))))))</f>
        <v/>
      </c>
      <c r="K307" s="14" t="str">
        <f>IF(OR(E307="",E307="!!!",F307="NEW"),"",INDEX(J$1:J306,SUMPRODUCT(MAX(ROW(E$1:E306)*(E307=E$1:E306)))))</f>
        <v/>
      </c>
      <c r="L307" s="15"/>
    </row>
    <row r="308" spans="1:12" x14ac:dyDescent="0.35">
      <c r="A308" t="s">
        <v>152</v>
      </c>
      <c r="B308" t="s">
        <v>48</v>
      </c>
      <c r="C308" t="s">
        <v>108</v>
      </c>
      <c r="E308" s="9" t="str">
        <f t="shared" si="12"/>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13"/>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x14ac:dyDescent="0.35">
      <c r="A309" t="s">
        <v>63</v>
      </c>
      <c r="E309" s="9" t="str">
        <f t="shared" si="12"/>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13"/>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x14ac:dyDescent="0.35">
      <c r="E310" s="9" t="str">
        <f t="shared" si="12"/>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ca="1" si="13"/>
        <v/>
      </c>
      <c r="I310" s="13" t="str">
        <f>IF(OR(E310="",E310="!!!",F310="NEW"),"",INDEX(B$2:B309,-1+SUMPRODUCT(MAX(ROW(E$2:E309)*(E310=E$2:E309)))))</f>
        <v/>
      </c>
      <c r="J310" s="14" t="str">
        <f ca="1">IF(OR(E310="",E310="!!!",F310="NEW"),"",COUNTBLANK(OFFSET(A$1,,,SUMPRODUCT(MAX(ROW(E$2:E310)*(E310=E$2:E310)))))-COUNTBLANK(OFFSET(A$1,,,SUMPRODUCT(MAX(ROW(E$1:E309)*(E310=E$1:E309))))))</f>
        <v/>
      </c>
      <c r="K310" s="14" t="str">
        <f>IF(OR(E310="",E310="!!!",F310="NEW"),"",INDEX(J$1:J309,SUMPRODUCT(MAX(ROW(E$1:E309)*(E310=E$1:E309)))))</f>
        <v/>
      </c>
      <c r="L310" s="15"/>
    </row>
    <row r="311" spans="1:12" x14ac:dyDescent="0.35">
      <c r="A311" t="s">
        <v>221</v>
      </c>
      <c r="E311" s="9" t="str">
        <f t="shared" ref="E311:E374" si="14">IF(D311="?OLD","!!!","")</f>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ref="H311:H374" ca="1" si="15">IF(J311&lt;&gt;1,"",IF(I311="SBJ","CB","?"))</f>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x14ac:dyDescent="0.35">
      <c r="A312" t="s">
        <v>222</v>
      </c>
      <c r="B312" t="s">
        <v>14</v>
      </c>
      <c r="C312" t="s">
        <v>33</v>
      </c>
      <c r="D312" t="s">
        <v>16</v>
      </c>
      <c r="E312" s="9" t="s">
        <v>872</v>
      </c>
      <c r="F312" s="10" t="str">
        <f>IF(OR(E312="",E312="!!!"),"",IF(NOT(ISNA(VLOOKUP(E312,E$1:E311,1,FALSE()))),"OLD",IF(AND(E312&lt;&gt;"",E312&lt;&gt;"!!!"),"NEW","")))</f>
        <v>OLD</v>
      </c>
      <c r="G312" s="11" t="s">
        <v>877</v>
      </c>
      <c r="H312" s="12" t="s">
        <v>7</v>
      </c>
      <c r="I312" s="13" t="str">
        <f>IF(OR(E312="",E312="!!!",F312="NEW"),"",INDEX(B$2:B311,-1+SUMPRODUCT(MAX(ROW(E$2:E311)*(E312=E$2:E311)))))</f>
        <v>SBJ_4</v>
      </c>
      <c r="J312" s="14">
        <f ca="1">IF(OR(E312="",E312="!!!",F312="NEW"),"",COUNTBLANK(OFFSET(A$1,,,SUMPRODUCT(MAX(ROW(E$2:E312)*(E312=E$2:E312)))))-COUNTBLANK(OFFSET(A$1,,,SUMPRODUCT(MAX(ROW(E$1:E311)*(E312=E$1:E311))))))</f>
        <v>1</v>
      </c>
      <c r="K312" s="14">
        <f ca="1">IF(OR(E312="",E312="!!!",F312="NEW"),"",INDEX(J$1:J311,SUMPRODUCT(MAX(ROW(E$1:E311)*(E312=E$1:E311)))))</f>
        <v>0</v>
      </c>
      <c r="L312" s="15"/>
    </row>
    <row r="313" spans="1:12" x14ac:dyDescent="0.35">
      <c r="A313" t="s">
        <v>223</v>
      </c>
      <c r="E313" s="9" t="str">
        <f t="shared" si="14"/>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15"/>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x14ac:dyDescent="0.35">
      <c r="A314" t="s">
        <v>224</v>
      </c>
      <c r="E314" s="9" t="str">
        <f t="shared" si="14"/>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15"/>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x14ac:dyDescent="0.35">
      <c r="A315" t="s">
        <v>121</v>
      </c>
      <c r="E315" s="9" t="str">
        <f t="shared" si="14"/>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15"/>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x14ac:dyDescent="0.35">
      <c r="A316" t="s">
        <v>225</v>
      </c>
      <c r="E316" s="9" t="str">
        <f t="shared" si="14"/>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15"/>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35">
      <c r="A317" t="s">
        <v>45</v>
      </c>
      <c r="E317" s="9" t="str">
        <f t="shared" si="14"/>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15"/>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x14ac:dyDescent="0.35">
      <c r="A318" t="s">
        <v>58</v>
      </c>
      <c r="E318" s="9" t="str">
        <f t="shared" si="14"/>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ca="1" si="15"/>
        <v/>
      </c>
      <c r="I318" s="13" t="str">
        <f>IF(OR(E318="",E318="!!!",F318="NEW"),"",INDEX(B$2:B317,-1+SUMPRODUCT(MAX(ROW(E$2:E317)*(E318=E$2:E317)))))</f>
        <v/>
      </c>
      <c r="J318" s="14" t="str">
        <f ca="1">IF(OR(E318="",E318="!!!",F318="NEW"),"",COUNTBLANK(OFFSET(A$1,,,SUMPRODUCT(MAX(ROW(E$2:E318)*(E318=E$2:E318)))))-COUNTBLANK(OFFSET(A$1,,,SUMPRODUCT(MAX(ROW(E$1:E317)*(E318=E$1:E317))))))</f>
        <v/>
      </c>
      <c r="K318" s="14" t="str">
        <f>IF(OR(E318="",E318="!!!",F318="NEW"),"",INDEX(J$1:J317,SUMPRODUCT(MAX(ROW(E$1:E317)*(E318=E$1:E317)))))</f>
        <v/>
      </c>
      <c r="L318" s="15"/>
    </row>
    <row r="319" spans="1:12" x14ac:dyDescent="0.35">
      <c r="A319" t="s">
        <v>226</v>
      </c>
      <c r="B319" t="s">
        <v>54</v>
      </c>
      <c r="C319" t="s">
        <v>99</v>
      </c>
      <c r="D319" t="s">
        <v>16</v>
      </c>
      <c r="E319" s="9" t="s">
        <v>262</v>
      </c>
      <c r="F319" s="10" t="s">
        <v>876</v>
      </c>
      <c r="G319" s="11"/>
      <c r="H319" s="12"/>
      <c r="I319" s="13" t="str">
        <f>IF(OR(E319="",E319="!!!",F319="NEW"),"",INDEX(B$2:B318,-1+SUMPRODUCT(MAX(ROW(E$2:E318)*(E319=E$2:E318)))))</f>
        <v>other_4</v>
      </c>
      <c r="J319" s="14">
        <f ca="1">IF(OR(E319="",E319="!!!",F319="NEW"),"",COUNTBLANK(OFFSET(A$1,,,SUMPRODUCT(MAX(ROW(E$2:E319)*(E319=E$2:E319)))))-COUNTBLANK(OFFSET(A$1,,,SUMPRODUCT(MAX(ROW(E$1:E318)*(E319=E$1:E318))))))</f>
        <v>1</v>
      </c>
      <c r="K319" s="14">
        <f ca="1">IF(OR(E319="",E319="!!!",F319="NEW"),"",INDEX(J$1:J318,SUMPRODUCT(MAX(ROW(E$1:E318)*(E319=E$1:E318)))))</f>
        <v>0</v>
      </c>
      <c r="L319" s="15"/>
    </row>
    <row r="320" spans="1:12" x14ac:dyDescent="0.35">
      <c r="A320" t="s">
        <v>115</v>
      </c>
      <c r="E320" s="9" t="str">
        <f t="shared" si="14"/>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15"/>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35">
      <c r="A321" t="s">
        <v>227</v>
      </c>
      <c r="E321" s="9" t="str">
        <f t="shared" si="14"/>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15"/>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x14ac:dyDescent="0.35">
      <c r="A322" t="s">
        <v>228</v>
      </c>
      <c r="E322" s="9" t="str">
        <f t="shared" si="14"/>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15"/>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x14ac:dyDescent="0.35">
      <c r="A323" t="s">
        <v>218</v>
      </c>
      <c r="E323" s="9" t="str">
        <f t="shared" si="14"/>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15"/>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x14ac:dyDescent="0.35">
      <c r="A324" t="s">
        <v>58</v>
      </c>
      <c r="E324" s="9" t="str">
        <f t="shared" si="14"/>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ca="1" si="15"/>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x14ac:dyDescent="0.35">
      <c r="A325" t="s">
        <v>229</v>
      </c>
      <c r="B325" t="s">
        <v>24</v>
      </c>
      <c r="C325" t="s">
        <v>99</v>
      </c>
      <c r="D325" t="s">
        <v>16</v>
      </c>
      <c r="E325" s="9" t="s">
        <v>262</v>
      </c>
      <c r="F325" s="10" t="s">
        <v>876</v>
      </c>
      <c r="G325" s="11"/>
      <c r="H325" s="12" t="str">
        <f t="shared" ca="1" si="15"/>
        <v/>
      </c>
      <c r="I325" s="13" t="str">
        <f>IF(OR(E325="",E325="!!!",F325="NEW"),"",INDEX(B$2:B324,-1+SUMPRODUCT(MAX(ROW(E$2:E324)*(E325=E$2:E324)))))</f>
        <v>other</v>
      </c>
      <c r="J325" s="14">
        <f ca="1">IF(OR(E325="",E325="!!!",F325="NEW"),"",COUNTBLANK(OFFSET(A$1,,,SUMPRODUCT(MAX(ROW(E$2:E325)*(E325=E$2:E325)))))-COUNTBLANK(OFFSET(A$1,,,SUMPRODUCT(MAX(ROW(E$1:E324)*(E325=E$1:E324))))))</f>
        <v>0</v>
      </c>
      <c r="K325" s="14">
        <f ca="1">IF(OR(E325="",E325="!!!",F325="NEW"),"",INDEX(J$1:J324,SUMPRODUCT(MAX(ROW(E$1:E324)*(E325=E$1:E324)))))</f>
        <v>1</v>
      </c>
      <c r="L325" s="15"/>
    </row>
    <row r="326" spans="1:12" x14ac:dyDescent="0.35">
      <c r="A326" t="s">
        <v>17</v>
      </c>
      <c r="E326" s="9" t="str">
        <f t="shared" si="14"/>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5"/>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35">
      <c r="A327" t="s">
        <v>58</v>
      </c>
      <c r="E327" s="9" t="str">
        <f t="shared" si="14"/>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5"/>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x14ac:dyDescent="0.35">
      <c r="A328" t="s">
        <v>230</v>
      </c>
      <c r="B328" t="s">
        <v>20</v>
      </c>
      <c r="C328" t="s">
        <v>99</v>
      </c>
      <c r="D328" t="s">
        <v>16</v>
      </c>
      <c r="E328" s="9" t="s">
        <v>262</v>
      </c>
      <c r="F328" s="10" t="s">
        <v>876</v>
      </c>
      <c r="G328" s="11"/>
      <c r="H328" s="12" t="str">
        <f t="shared" ca="1" si="15"/>
        <v/>
      </c>
      <c r="I328" s="13" t="str">
        <f>IF(OR(E328="",E328="!!!",F328="NEW"),"",INDEX(B$2:B327,-1+SUMPRODUCT(MAX(ROW(E$2:E327)*(E328=E$2:E327)))))</f>
        <v>other_2</v>
      </c>
      <c r="J328" s="14">
        <f ca="1">IF(OR(E328="",E328="!!!",F328="NEW"),"",COUNTBLANK(OFFSET(A$1,,,SUMPRODUCT(MAX(ROW(E$2:E328)*(E328=E$2:E328)))))-COUNTBLANK(OFFSET(A$1,,,SUMPRODUCT(MAX(ROW(E$1:E327)*(E328=E$1:E327))))))</f>
        <v>0</v>
      </c>
      <c r="K328" s="14">
        <f ca="1">IF(OR(E328="",E328="!!!",F328="NEW"),"",INDEX(J$1:J327,SUMPRODUCT(MAX(ROW(E$1:E327)*(E328=E$1:E327)))))</f>
        <v>0</v>
      </c>
      <c r="L328" s="15"/>
    </row>
    <row r="329" spans="1:12" x14ac:dyDescent="0.35">
      <c r="A329" t="s">
        <v>63</v>
      </c>
      <c r="E329" s="9" t="str">
        <f t="shared" si="14"/>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5"/>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x14ac:dyDescent="0.35">
      <c r="E330" s="9" t="str">
        <f t="shared" si="14"/>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5"/>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35">
      <c r="A331" t="s">
        <v>231</v>
      </c>
      <c r="E331" s="9" t="str">
        <f t="shared" si="14"/>
        <v/>
      </c>
      <c r="F331" s="10" t="str">
        <f>IF(OR(E331="",E331="!!!"),"",IF(NOT(ISNA(VLOOKUP(E331,E$1:E330,1,FALSE()))),"OLD",IF(AND(E331&lt;&gt;"",E331&lt;&gt;"!!!"),"NEW","")))</f>
        <v/>
      </c>
      <c r="G331" s="11" t="str">
        <f>IF(OR(E331="",E331="!!!"),"",IF(OR(J331=0,AND(J331=1,K331=1),AND(J331=1,I331="SBJ"),AND(J331=1,I331=0)),"?IN_FOCUS",IF(J331&lt;=2,"?ACTIVATED",IF(J331&lt;&gt;"","?FAMILIAR",IF(F331="NEW",IF(ISNA(VLOOKUP(E331,#REF!,1,FALSE())),"?TYPE_IDENTIFIABLE","?REFERENTIAL"),"_")))))</f>
        <v/>
      </c>
      <c r="H331" s="12" t="str">
        <f t="shared" ca="1" si="15"/>
        <v/>
      </c>
      <c r="I331" s="13" t="str">
        <f>IF(OR(E331="",E331="!!!",F331="NEW"),"",INDEX(B$2:B330,-1+SUMPRODUCT(MAX(ROW(E$2:E330)*(E331=E$2:E330)))))</f>
        <v/>
      </c>
      <c r="J331" s="14" t="str">
        <f ca="1">IF(OR(E331="",E331="!!!",F331="NEW"),"",COUNTBLANK(OFFSET(A$1,,,SUMPRODUCT(MAX(ROW(E$2:E331)*(E331=E$2:E331)))))-COUNTBLANK(OFFSET(A$1,,,SUMPRODUCT(MAX(ROW(E$1:E330)*(E331=E$1:E330))))))</f>
        <v/>
      </c>
      <c r="K331" s="14" t="str">
        <f>IF(OR(E331="",E331="!!!",F331="NEW"),"",INDEX(J$1:J330,SUMPRODUCT(MAX(ROW(E$1:E330)*(E331=E$1:E330)))))</f>
        <v/>
      </c>
      <c r="L331" s="15"/>
    </row>
    <row r="332" spans="1:12" x14ac:dyDescent="0.35">
      <c r="A332" t="s">
        <v>97</v>
      </c>
      <c r="E332" s="9" t="str">
        <f t="shared" si="14"/>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5"/>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x14ac:dyDescent="0.35">
      <c r="A333" t="s">
        <v>200</v>
      </c>
      <c r="B333" t="s">
        <v>14</v>
      </c>
      <c r="C333" t="s">
        <v>99</v>
      </c>
      <c r="D333" t="s">
        <v>16</v>
      </c>
      <c r="E333" s="9" t="s">
        <v>262</v>
      </c>
      <c r="F333" s="10" t="s">
        <v>876</v>
      </c>
      <c r="G333" s="11"/>
      <c r="H333" s="12"/>
      <c r="I333" s="13" t="str">
        <f>IF(OR(E333="",E333="!!!",F333="NEW"),"",INDEX(B$2:B332,-1+SUMPRODUCT(MAX(ROW(E$2:E332)*(E333=E$2:E332)))))</f>
        <v>other_3</v>
      </c>
      <c r="J333" s="14">
        <f ca="1">IF(OR(E333="",E333="!!!",F333="NEW"),"",COUNTBLANK(OFFSET(A$1,,,SUMPRODUCT(MAX(ROW(E$2:E333)*(E333=E$2:E333)))))-COUNTBLANK(OFFSET(A$1,,,SUMPRODUCT(MAX(ROW(E$1:E332)*(E333=E$1:E332))))))</f>
        <v>1</v>
      </c>
      <c r="K333" s="14">
        <f ca="1">IF(OR(E333="",E333="!!!",F333="NEW"),"",INDEX(J$1:J332,SUMPRODUCT(MAX(ROW(E$1:E332)*(E333=E$1:E332)))))</f>
        <v>0</v>
      </c>
      <c r="L333" s="15"/>
    </row>
    <row r="334" spans="1:12" x14ac:dyDescent="0.35">
      <c r="A334" t="s">
        <v>42</v>
      </c>
      <c r="E334" s="9" t="str">
        <f t="shared" si="14"/>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5"/>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x14ac:dyDescent="0.35">
      <c r="A335" t="s">
        <v>232</v>
      </c>
      <c r="E335" s="9" t="str">
        <f t="shared" si="14"/>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5"/>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x14ac:dyDescent="0.35">
      <c r="A336" t="s">
        <v>233</v>
      </c>
      <c r="E336" s="9" t="str">
        <f t="shared" si="14"/>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5"/>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x14ac:dyDescent="0.35">
      <c r="A337" t="s">
        <v>76</v>
      </c>
      <c r="E337" s="9" t="str">
        <f t="shared" si="14"/>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5"/>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35">
      <c r="A338" t="s">
        <v>234</v>
      </c>
      <c r="E338" s="9" t="str">
        <f t="shared" si="14"/>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5"/>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x14ac:dyDescent="0.35">
      <c r="A339" t="s">
        <v>45</v>
      </c>
      <c r="E339" s="9" t="str">
        <f t="shared" si="14"/>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5"/>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x14ac:dyDescent="0.35">
      <c r="A340" t="s">
        <v>235</v>
      </c>
      <c r="E340" s="9" t="str">
        <f t="shared" si="14"/>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ca="1" si="15"/>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x14ac:dyDescent="0.35">
      <c r="A341" t="s">
        <v>45</v>
      </c>
      <c r="E341" s="9" t="str">
        <f t="shared" si="14"/>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5"/>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x14ac:dyDescent="0.35">
      <c r="A342" t="s">
        <v>236</v>
      </c>
      <c r="B342" t="s">
        <v>20</v>
      </c>
      <c r="C342" t="s">
        <v>21</v>
      </c>
      <c r="D342" t="s">
        <v>16</v>
      </c>
      <c r="E342" s="9" t="s">
        <v>262</v>
      </c>
      <c r="F342" s="10" t="s">
        <v>876</v>
      </c>
      <c r="G342" s="11"/>
      <c r="H342" s="12" t="str">
        <f t="shared" ca="1" si="15"/>
        <v/>
      </c>
      <c r="I342" s="13" t="str">
        <f>IF(OR(E342="",E342="!!!",F342="NEW"),"",INDEX(B$2:B341,-1+SUMPRODUCT(MAX(ROW(E$2:E341)*(E342=E$2:E341)))))</f>
        <v>SBJ</v>
      </c>
      <c r="J342" s="14">
        <f ca="1">IF(OR(E342="",E342="!!!",F342="NEW"),"",COUNTBLANK(OFFSET(A$1,,,SUMPRODUCT(MAX(ROW(E$2:E342)*(E342=E$2:E342)))))-COUNTBLANK(OFFSET(A$1,,,SUMPRODUCT(MAX(ROW(E$1:E341)*(E342=E$1:E341))))))</f>
        <v>0</v>
      </c>
      <c r="K342" s="14">
        <f ca="1">IF(OR(E342="",E342="!!!",F342="NEW"),"",INDEX(J$1:J341,SUMPRODUCT(MAX(ROW(E$1:E341)*(E342=E$1:E341)))))</f>
        <v>1</v>
      </c>
      <c r="L342" s="15"/>
    </row>
    <row r="343" spans="1:12" x14ac:dyDescent="0.35">
      <c r="A343" t="s">
        <v>237</v>
      </c>
      <c r="E343" s="9" t="str">
        <f t="shared" si="14"/>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5"/>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x14ac:dyDescent="0.35">
      <c r="A344" t="s">
        <v>238</v>
      </c>
      <c r="E344" s="9" t="str">
        <f t="shared" si="14"/>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5"/>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35">
      <c r="A345" t="s">
        <v>26</v>
      </c>
      <c r="E345" s="9" t="str">
        <f t="shared" si="14"/>
        <v/>
      </c>
      <c r="F345" s="10" t="str">
        <f>IF(OR(E345="",E345="!!!"),"",IF(NOT(ISNA(VLOOKUP(E345,E$1:E344,1,FALSE()))),"OLD",IF(AND(E345&lt;&gt;"",E345&lt;&gt;"!!!"),"NEW","")))</f>
        <v/>
      </c>
      <c r="G345" s="11" t="str">
        <f>IF(OR(E345="",E345="!!!"),"",IF(OR(J345=0,AND(J345=1,K345=1),AND(J345=1,I345="SBJ"),AND(J345=1,I345=0)),"?IN_FOCUS",IF(J345&lt;=2,"?ACTIVATED",IF(J345&lt;&gt;"","?FAMILIAR",IF(F345="NEW",IF(ISNA(VLOOKUP(E345,#REF!,1,FALSE())),"?TYPE_IDENTIFIABLE","?REFERENTIAL"),"_")))))</f>
        <v/>
      </c>
      <c r="H345" s="12" t="str">
        <f t="shared" ca="1" si="15"/>
        <v/>
      </c>
      <c r="I345" s="13" t="str">
        <f>IF(OR(E345="",E345="!!!",F345="NEW"),"",INDEX(B$2:B344,-1+SUMPRODUCT(MAX(ROW(E$2:E344)*(E345=E$2:E344)))))</f>
        <v/>
      </c>
      <c r="J345" s="14" t="str">
        <f ca="1">IF(OR(E345="",E345="!!!",F345="NEW"),"",COUNTBLANK(OFFSET(A$1,,,SUMPRODUCT(MAX(ROW(E$2:E345)*(E345=E$2:E345)))))-COUNTBLANK(OFFSET(A$1,,,SUMPRODUCT(MAX(ROW(E$1:E344)*(E345=E$1:E344))))))</f>
        <v/>
      </c>
      <c r="K345" s="14" t="str">
        <f>IF(OR(E345="",E345="!!!",F345="NEW"),"",INDEX(J$1:J344,SUMPRODUCT(MAX(ROW(E$1:E344)*(E345=E$1:E344)))))</f>
        <v/>
      </c>
      <c r="L345" s="15"/>
    </row>
    <row r="346" spans="1:12" x14ac:dyDescent="0.35">
      <c r="A346" t="s">
        <v>239</v>
      </c>
      <c r="E346" s="9" t="str">
        <f t="shared" si="14"/>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5"/>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x14ac:dyDescent="0.35">
      <c r="A347" t="s">
        <v>133</v>
      </c>
      <c r="B347" t="s">
        <v>36</v>
      </c>
      <c r="C347" t="s">
        <v>33</v>
      </c>
      <c r="D347" t="s">
        <v>16</v>
      </c>
      <c r="E347" s="9" t="s">
        <v>872</v>
      </c>
      <c r="F347" s="10" t="str">
        <f>IF(OR(E347="",E347="!!!"),"",IF(NOT(ISNA(VLOOKUP(E347,E$1:E346,1,FALSE()))),"OLD",IF(AND(E347&lt;&gt;"",E347&lt;&gt;"!!!"),"NEW","")))</f>
        <v>OLD</v>
      </c>
      <c r="G347" s="11" t="s">
        <v>877</v>
      </c>
      <c r="H347" s="12" t="str">
        <f t="shared" ca="1" si="15"/>
        <v>CB</v>
      </c>
      <c r="I347" s="13" t="str">
        <f>IF(OR(E347="",E347="!!!",F347="NEW"),"",INDEX(B$2:B346,-1+SUMPRODUCT(MAX(ROW(E$2:E346)*(E347=E$2:E346)))))</f>
        <v>SBJ</v>
      </c>
      <c r="J347" s="14">
        <f ca="1">IF(OR(E347="",E347="!!!",F347="NEW"),"",COUNTBLANK(OFFSET(A$1,,,SUMPRODUCT(MAX(ROW(E$2:E347)*(E347=E$2:E347)))))-COUNTBLANK(OFFSET(A$1,,,SUMPRODUCT(MAX(ROW(E$1:E346)*(E347=E$1:E346))))))</f>
        <v>1</v>
      </c>
      <c r="K347" s="14">
        <f ca="1">IF(OR(E347="",E347="!!!",F347="NEW"),"",INDEX(J$1:J346,SUMPRODUCT(MAX(ROW(E$1:E346)*(E347=E$1:E346)))))</f>
        <v>1</v>
      </c>
      <c r="L347" s="15"/>
    </row>
    <row r="348" spans="1:12" x14ac:dyDescent="0.35">
      <c r="A348" t="s">
        <v>240</v>
      </c>
      <c r="E348" s="9" t="str">
        <f t="shared" si="14"/>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5"/>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x14ac:dyDescent="0.35">
      <c r="A349" t="s">
        <v>45</v>
      </c>
      <c r="E349" s="9" t="str">
        <f t="shared" si="14"/>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5"/>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x14ac:dyDescent="0.35">
      <c r="A350" t="s">
        <v>241</v>
      </c>
      <c r="E350" s="9" t="str">
        <f t="shared" si="14"/>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5"/>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x14ac:dyDescent="0.35">
      <c r="A351" t="s">
        <v>45</v>
      </c>
      <c r="E351" s="9" t="str">
        <f t="shared" si="14"/>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5"/>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x14ac:dyDescent="0.35">
      <c r="A352" t="s">
        <v>242</v>
      </c>
      <c r="E352" s="9" t="str">
        <f t="shared" si="14"/>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5"/>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x14ac:dyDescent="0.35">
      <c r="A353" t="s">
        <v>243</v>
      </c>
      <c r="B353" t="s">
        <v>20</v>
      </c>
      <c r="C353" t="s">
        <v>21</v>
      </c>
      <c r="D353" t="s">
        <v>16</v>
      </c>
      <c r="E353" s="9" t="s">
        <v>262</v>
      </c>
      <c r="F353" s="10" t="s">
        <v>867</v>
      </c>
      <c r="G353" s="11"/>
      <c r="H353" s="12" t="str">
        <f t="shared" ca="1" si="15"/>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x14ac:dyDescent="0.35">
      <c r="A354" t="s">
        <v>63</v>
      </c>
      <c r="E354" s="9" t="str">
        <f t="shared" si="14"/>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5"/>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x14ac:dyDescent="0.35">
      <c r="E355" s="9" t="str">
        <f t="shared" si="14"/>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5"/>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x14ac:dyDescent="0.35">
      <c r="A356" t="s">
        <v>244</v>
      </c>
      <c r="E356" s="9" t="str">
        <f t="shared" si="14"/>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5"/>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x14ac:dyDescent="0.35">
      <c r="A357" t="s">
        <v>245</v>
      </c>
      <c r="E357" s="9" t="str">
        <f t="shared" si="14"/>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5"/>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x14ac:dyDescent="0.35">
      <c r="A358" t="s">
        <v>246</v>
      </c>
      <c r="E358" s="9" t="str">
        <f t="shared" si="14"/>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5"/>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x14ac:dyDescent="0.35">
      <c r="A359" t="s">
        <v>247</v>
      </c>
      <c r="E359" s="9" t="str">
        <f t="shared" si="14"/>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5"/>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x14ac:dyDescent="0.35">
      <c r="A360" t="s">
        <v>248</v>
      </c>
      <c r="B360" t="s">
        <v>14</v>
      </c>
      <c r="C360" t="s">
        <v>33</v>
      </c>
      <c r="D360" t="s">
        <v>16</v>
      </c>
      <c r="E360" s="9" t="s">
        <v>250</v>
      </c>
      <c r="F360" s="10" t="str">
        <f>IF(OR(E360="",E360="!!!"),"",IF(NOT(ISNA(VLOOKUP(E360,E$1:E359,1,FALSE()))),"OLD",IF(AND(E360&lt;&gt;"",E360&lt;&gt;"!!!"),"NEW","")))</f>
        <v>NEW</v>
      </c>
      <c r="G360" s="11" t="s">
        <v>882</v>
      </c>
      <c r="H360" s="12" t="str">
        <f t="shared" ca="1" si="15"/>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x14ac:dyDescent="0.35">
      <c r="A361" t="s">
        <v>249</v>
      </c>
      <c r="E361" s="9" t="str">
        <f t="shared" si="14"/>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5"/>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x14ac:dyDescent="0.35">
      <c r="A362" t="s">
        <v>26</v>
      </c>
      <c r="E362" s="9" t="str">
        <f t="shared" si="14"/>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5"/>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x14ac:dyDescent="0.35">
      <c r="A363" t="s">
        <v>250</v>
      </c>
      <c r="B363" t="s">
        <v>54</v>
      </c>
      <c r="C363" t="s">
        <v>21</v>
      </c>
      <c r="D363" t="s">
        <v>16</v>
      </c>
      <c r="E363" s="9" t="s">
        <v>880</v>
      </c>
      <c r="F363" s="10" t="str">
        <f>IF(OR(E363="",E363="!!!"),"",IF(NOT(ISNA(VLOOKUP(E363,E$1:E362,1,FALSE()))),"OLD",IF(AND(E363&lt;&gt;"",E363&lt;&gt;"!!!"),"NEW","")))</f>
        <v>NEW</v>
      </c>
      <c r="G363" s="11" t="s">
        <v>874</v>
      </c>
      <c r="H363" s="12" t="str">
        <f t="shared" ca="1" si="15"/>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x14ac:dyDescent="0.35">
      <c r="A364" t="s">
        <v>251</v>
      </c>
      <c r="E364" s="9" t="str">
        <f t="shared" si="14"/>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5"/>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35">
      <c r="A365" t="s">
        <v>246</v>
      </c>
      <c r="E365" s="9" t="str">
        <f t="shared" si="14"/>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5"/>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x14ac:dyDescent="0.35">
      <c r="E366" s="9" t="str">
        <f t="shared" si="14"/>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5"/>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x14ac:dyDescent="0.35">
      <c r="A367" t="s">
        <v>252</v>
      </c>
      <c r="E367" s="9" t="str">
        <f t="shared" si="14"/>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5"/>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x14ac:dyDescent="0.35">
      <c r="A368" t="s">
        <v>97</v>
      </c>
      <c r="E368" s="9" t="str">
        <f t="shared" si="14"/>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ca="1" si="15"/>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x14ac:dyDescent="0.35">
      <c r="A369" t="s">
        <v>253</v>
      </c>
      <c r="E369" s="9" t="str">
        <f t="shared" si="14"/>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5"/>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x14ac:dyDescent="0.35">
      <c r="A370" t="s">
        <v>254</v>
      </c>
      <c r="B370" t="s">
        <v>54</v>
      </c>
      <c r="C370" t="s">
        <v>99</v>
      </c>
      <c r="D370" t="s">
        <v>16</v>
      </c>
      <c r="E370" s="9" t="s">
        <v>250</v>
      </c>
      <c r="F370" s="10" t="str">
        <f>IF(OR(E370="",E370="!!!"),"",IF(NOT(ISNA(VLOOKUP(E370,E$1:E369,1,FALSE()))),"OLD",IF(AND(E370&lt;&gt;"",E370&lt;&gt;"!!!"),"NEW","")))</f>
        <v>OLD</v>
      </c>
      <c r="G370" s="11" t="s">
        <v>870</v>
      </c>
      <c r="H370" s="12" t="str">
        <f t="shared" ca="1" si="15"/>
        <v>CB</v>
      </c>
      <c r="I370" s="13" t="str">
        <f>IF(OR(E370="",E370="!!!",F370="NEW"),"",INDEX(B$2:B369,-1+SUMPRODUCT(MAX(ROW(E$2:E369)*(E370=E$2:E369)))))</f>
        <v>SBJ</v>
      </c>
      <c r="J370" s="14">
        <f ca="1">IF(OR(E370="",E370="!!!",F370="NEW"),"",COUNTBLANK(OFFSET(A$1,,,SUMPRODUCT(MAX(ROW(E$2:E370)*(E370=E$2:E370)))))-COUNTBLANK(OFFSET(A$1,,,SUMPRODUCT(MAX(ROW(E$1:E369)*(E370=E$1:E369))))))</f>
        <v>1</v>
      </c>
      <c r="K370" s="14" t="str">
        <f ca="1">IF(OR(E370="",E370="!!!",F370="NEW"),"",INDEX(J$1:J369,SUMPRODUCT(MAX(ROW(E$1:E369)*(E370=E$1:E369)))))</f>
        <v/>
      </c>
      <c r="L370" s="15"/>
    </row>
    <row r="371" spans="1:12" x14ac:dyDescent="0.35">
      <c r="A371" t="s">
        <v>255</v>
      </c>
      <c r="E371" s="9" t="str">
        <f t="shared" si="14"/>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5"/>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x14ac:dyDescent="0.35">
      <c r="A372" t="s">
        <v>63</v>
      </c>
      <c r="E372" s="9" t="str">
        <f t="shared" si="14"/>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5"/>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x14ac:dyDescent="0.35">
      <c r="E373" s="9" t="str">
        <f t="shared" si="14"/>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5"/>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35">
      <c r="A374" t="s">
        <v>244</v>
      </c>
      <c r="E374" s="9" t="str">
        <f t="shared" si="14"/>
        <v/>
      </c>
      <c r="F374" s="10" t="str">
        <f>IF(OR(E374="",E374="!!!"),"",IF(NOT(ISNA(VLOOKUP(E374,E$1:E373,1,FALSE()))),"OLD",IF(AND(E374&lt;&gt;"",E374&lt;&gt;"!!!"),"NEW","")))</f>
        <v/>
      </c>
      <c r="G374" s="11" t="str">
        <f>IF(OR(E374="",E374="!!!"),"",IF(OR(J374=0,AND(J374=1,K374=1),AND(J374=1,I374="SBJ"),AND(J374=1,I374=0)),"?IN_FOCUS",IF(J374&lt;=2,"?ACTIVATED",IF(J374&lt;&gt;"","?FAMILIAR",IF(F374="NEW",IF(ISNA(VLOOKUP(E374,#REF!,1,FALSE())),"?TYPE_IDENTIFIABLE","?REFERENTIAL"),"_")))))</f>
        <v/>
      </c>
      <c r="H374" s="12" t="str">
        <f t="shared" ca="1" si="15"/>
        <v/>
      </c>
      <c r="I374" s="13" t="str">
        <f>IF(OR(E374="",E374="!!!",F374="NEW"),"",INDEX(B$2:B373,-1+SUMPRODUCT(MAX(ROW(E$2:E373)*(E374=E$2:E373)))))</f>
        <v/>
      </c>
      <c r="J374" s="14" t="str">
        <f ca="1">IF(OR(E374="",E374="!!!",F374="NEW"),"",COUNTBLANK(OFFSET(A$1,,,SUMPRODUCT(MAX(ROW(E$2:E374)*(E374=E$2:E374)))))-COUNTBLANK(OFFSET(A$1,,,SUMPRODUCT(MAX(ROW(E$1:E373)*(E374=E$1:E373))))))</f>
        <v/>
      </c>
      <c r="K374" s="14" t="str">
        <f>IF(OR(E374="",E374="!!!",F374="NEW"),"",INDEX(J$1:J373,SUMPRODUCT(MAX(ROW(E$1:E373)*(E374=E$1:E373)))))</f>
        <v/>
      </c>
      <c r="L374" s="15"/>
    </row>
    <row r="375" spans="1:12" x14ac:dyDescent="0.35">
      <c r="A375" t="s">
        <v>256</v>
      </c>
      <c r="E375" s="9" t="str">
        <f t="shared" ref="E375:E437" si="16">IF(D375="?OLD","!!!","")</f>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ref="H375:H438" ca="1" si="17">IF(J375&lt;&gt;1,"",IF(I375="SBJ","CB","?"))</f>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x14ac:dyDescent="0.35">
      <c r="A376" t="s">
        <v>246</v>
      </c>
      <c r="E376" s="9" t="str">
        <f t="shared" si="16"/>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7"/>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x14ac:dyDescent="0.35">
      <c r="A377" t="s">
        <v>257</v>
      </c>
      <c r="E377" s="9" t="str">
        <f t="shared" si="16"/>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7"/>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x14ac:dyDescent="0.35">
      <c r="A378" t="s">
        <v>120</v>
      </c>
      <c r="E378" s="9" t="str">
        <f t="shared" si="16"/>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7"/>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x14ac:dyDescent="0.35">
      <c r="A379" t="s">
        <v>105</v>
      </c>
      <c r="E379" s="9" t="str">
        <f t="shared" si="16"/>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7"/>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x14ac:dyDescent="0.35">
      <c r="A380" t="s">
        <v>110</v>
      </c>
      <c r="B380" t="s">
        <v>36</v>
      </c>
      <c r="C380" t="s">
        <v>33</v>
      </c>
      <c r="D380" t="s">
        <v>16</v>
      </c>
      <c r="E380" s="9" t="s">
        <v>250</v>
      </c>
      <c r="F380" s="10" t="str">
        <f>IF(OR(E380="",E380="!!!"),"",IF(NOT(ISNA(VLOOKUP(E380,E$1:E379,1,FALSE()))),"OLD",IF(AND(E380&lt;&gt;"",E380&lt;&gt;"!!!"),"NEW","")))</f>
        <v>OLD</v>
      </c>
      <c r="G380" s="11" t="s">
        <v>870</v>
      </c>
      <c r="H380" s="12" t="s">
        <v>7</v>
      </c>
      <c r="I380" s="13" t="str">
        <f>IF(OR(E380="",E380="!!!",F380="NEW"),"",INDEX(B$2:B379,-1+SUMPRODUCT(MAX(ROW(E$2:E379)*(E380=E$2:E379)))))</f>
        <v>other</v>
      </c>
      <c r="J380" s="14">
        <f ca="1">IF(OR(E380="",E380="!!!",F380="NEW"),"",COUNTBLANK(OFFSET(A$1,,,SUMPRODUCT(MAX(ROW(E$2:E380)*(E380=E$2:E380)))))-COUNTBLANK(OFFSET(A$1,,,SUMPRODUCT(MAX(ROW(E$1:E379)*(E380=E$1:E379))))))</f>
        <v>1</v>
      </c>
      <c r="K380" s="14">
        <f ca="1">IF(OR(E380="",E380="!!!",F380="NEW"),"",INDEX(J$1:J379,SUMPRODUCT(MAX(ROW(E$1:E379)*(E380=E$1:E379)))))</f>
        <v>1</v>
      </c>
      <c r="L380" s="15"/>
    </row>
    <row r="381" spans="1:12" x14ac:dyDescent="0.35">
      <c r="A381" t="s">
        <v>258</v>
      </c>
      <c r="E381" s="9" t="str">
        <f t="shared" si="16"/>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7"/>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x14ac:dyDescent="0.35">
      <c r="A382" t="s">
        <v>259</v>
      </c>
      <c r="B382" t="s">
        <v>20</v>
      </c>
      <c r="C382" t="s">
        <v>49</v>
      </c>
      <c r="D382" t="s">
        <v>16</v>
      </c>
      <c r="E382" s="9" t="s">
        <v>250</v>
      </c>
      <c r="F382" s="10" t="str">
        <f>IF(OR(E382="",E382="!!!"),"",IF(NOT(ISNA(VLOOKUP(E382,E$1:E381,1,FALSE()))),"OLD",IF(AND(E382&lt;&gt;"",E382&lt;&gt;"!!!"),"NEW","")))</f>
        <v>OLD</v>
      </c>
      <c r="G382" s="11" t="s">
        <v>870</v>
      </c>
      <c r="H382" s="12" t="str">
        <f t="shared" ca="1" si="17"/>
        <v/>
      </c>
      <c r="I382" s="13" t="str">
        <f>IF(OR(E382="",E382="!!!",F382="NEW"),"",INDEX(B$2:B381,-1+SUMPRODUCT(MAX(ROW(E$2:E381)*(E382=E$2:E381)))))</f>
        <v>SBJ_2</v>
      </c>
      <c r="J382" s="14">
        <f ca="1">IF(OR(E382="",E382="!!!",F382="NEW"),"",COUNTBLANK(OFFSET(A$1,,,SUMPRODUCT(MAX(ROW(E$2:E382)*(E382=E$2:E382)))))-COUNTBLANK(OFFSET(A$1,,,SUMPRODUCT(MAX(ROW(E$1:E381)*(E382=E$1:E381))))))</f>
        <v>0</v>
      </c>
      <c r="K382" s="14">
        <f ca="1">IF(OR(E382="",E382="!!!",F382="NEW"),"",INDEX(J$1:J381,SUMPRODUCT(MAX(ROW(E$1:E381)*(E382=E$1:E381)))))</f>
        <v>1</v>
      </c>
      <c r="L382" s="15"/>
    </row>
    <row r="383" spans="1:12" x14ac:dyDescent="0.35">
      <c r="A383" t="s">
        <v>260</v>
      </c>
      <c r="B383" t="s">
        <v>91</v>
      </c>
      <c r="C383" t="s">
        <v>15</v>
      </c>
      <c r="D383" t="s">
        <v>16</v>
      </c>
      <c r="E383" s="9" t="s">
        <v>890</v>
      </c>
      <c r="F383" s="10" t="s">
        <v>867</v>
      </c>
      <c r="G383" s="11" t="s">
        <v>882</v>
      </c>
      <c r="H383" s="12" t="str">
        <f t="shared" ca="1" si="17"/>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35">
      <c r="A384" t="s">
        <v>110</v>
      </c>
      <c r="B384" t="s">
        <v>143</v>
      </c>
      <c r="C384" t="s">
        <v>33</v>
      </c>
      <c r="D384" t="s">
        <v>16</v>
      </c>
      <c r="E384" s="9" t="s">
        <v>250</v>
      </c>
      <c r="F384" s="10" t="str">
        <f>IF(OR(E384="",E384="!!!"),"",IF(NOT(ISNA(VLOOKUP(E384,E$1:E383,1,FALSE()))),"OLD",IF(AND(E384&lt;&gt;"",E384&lt;&gt;"!!!"),"NEW","")))</f>
        <v>OLD</v>
      </c>
      <c r="G384" s="11" t="s">
        <v>870</v>
      </c>
      <c r="H384" s="12" t="str">
        <f t="shared" ca="1" si="17"/>
        <v/>
      </c>
      <c r="I384" s="13" t="str">
        <f>IF(OR(E384="",E384="!!!",F384="NEW"),"",INDEX(B$2:B383,-1+SUMPRODUCT(MAX(ROW(E$2:E383)*(E384=E$2:E383)))))</f>
        <v>other_3</v>
      </c>
      <c r="J384" s="14">
        <f ca="1">IF(OR(E384="",E384="!!!",F384="NEW"),"",COUNTBLANK(OFFSET(A$1,,,SUMPRODUCT(MAX(ROW(E$2:E384)*(E384=E$2:E384)))))-COUNTBLANK(OFFSET(A$1,,,SUMPRODUCT(MAX(ROW(E$1:E383)*(E384=E$1:E383))))))</f>
        <v>0</v>
      </c>
      <c r="K384" s="14">
        <f ca="1">IF(OR(E384="",E384="!!!",F384="NEW"),"",INDEX(J$1:J383,SUMPRODUCT(MAX(ROW(E$1:E383)*(E384=E$1:E383)))))</f>
        <v>0</v>
      </c>
      <c r="L384" s="15"/>
    </row>
    <row r="385" spans="1:12" x14ac:dyDescent="0.35">
      <c r="A385" t="s">
        <v>258</v>
      </c>
      <c r="E385" s="9" t="str">
        <f t="shared" si="16"/>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7"/>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x14ac:dyDescent="0.35">
      <c r="A386" t="s">
        <v>34</v>
      </c>
      <c r="E386" s="9" t="str">
        <f t="shared" si="16"/>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7"/>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x14ac:dyDescent="0.35">
      <c r="A387" t="s">
        <v>261</v>
      </c>
      <c r="E387" s="9" t="str">
        <f t="shared" si="16"/>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7"/>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x14ac:dyDescent="0.35">
      <c r="A388" t="s">
        <v>262</v>
      </c>
      <c r="E388" s="9" t="str">
        <f t="shared" si="16"/>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ca="1" si="17"/>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x14ac:dyDescent="0.35">
      <c r="A389" t="s">
        <v>263</v>
      </c>
      <c r="B389" t="s">
        <v>52</v>
      </c>
      <c r="C389" t="s">
        <v>37</v>
      </c>
      <c r="E389" s="9" t="s">
        <v>262</v>
      </c>
      <c r="F389" s="10" t="str">
        <f>IF(OR(E389="",E389="!!!"),"",IF(NOT(ISNA(VLOOKUP(E389,E$1:E388,1,FALSE()))),"OLD",IF(AND(E389&lt;&gt;"",E389&lt;&gt;"!!!"),"NEW","")))</f>
        <v>OLD</v>
      </c>
      <c r="G389" s="11" t="s">
        <v>875</v>
      </c>
      <c r="H389" s="12" t="str">
        <f t="shared" ca="1" si="17"/>
        <v/>
      </c>
      <c r="I389" s="13" t="str">
        <f>IF(OR(E389="",E389="!!!",F389="NEW"),"",INDEX(B$2:B388,-1+SUMPRODUCT(MAX(ROW(E$2:E388)*(E389=E$2:E388)))))</f>
        <v>other_3</v>
      </c>
      <c r="J389" s="14">
        <f ca="1">IF(OR(E389="",E389="!!!",F389="NEW"),"",COUNTBLANK(OFFSET(A$1,,,SUMPRODUCT(MAX(ROW(E$2:E389)*(E389=E$2:E389)))))-COUNTBLANK(OFFSET(A$1,,,SUMPRODUCT(MAX(ROW(E$1:E388)*(E389=E$1:E388))))))</f>
        <v>3</v>
      </c>
      <c r="K389" s="14" t="str">
        <f ca="1">IF(OR(E389="",E389="!!!",F389="NEW"),"",INDEX(J$1:J388,SUMPRODUCT(MAX(ROW(E$1:E388)*(E389=E$1:E388)))))</f>
        <v/>
      </c>
      <c r="L389" s="15"/>
    </row>
    <row r="390" spans="1:12" x14ac:dyDescent="0.35">
      <c r="A390" t="s">
        <v>26</v>
      </c>
      <c r="E390" s="9" t="str">
        <f t="shared" si="16"/>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ca="1" si="17"/>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x14ac:dyDescent="0.35">
      <c r="A391" t="s">
        <v>76</v>
      </c>
      <c r="E391" s="9" t="str">
        <f t="shared" si="16"/>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7"/>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x14ac:dyDescent="0.35">
      <c r="A392" t="s">
        <v>105</v>
      </c>
      <c r="E392" s="9" t="str">
        <f t="shared" si="16"/>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7"/>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x14ac:dyDescent="0.35">
      <c r="A393" t="s">
        <v>120</v>
      </c>
      <c r="E393" s="9" t="str">
        <f t="shared" si="16"/>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7"/>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x14ac:dyDescent="0.35">
      <c r="A394" t="s">
        <v>105</v>
      </c>
      <c r="E394" s="9" t="str">
        <f t="shared" si="16"/>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ca="1" si="17"/>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x14ac:dyDescent="0.35">
      <c r="A395" t="s">
        <v>110</v>
      </c>
      <c r="B395" t="s">
        <v>82</v>
      </c>
      <c r="C395" t="s">
        <v>33</v>
      </c>
      <c r="D395" t="s">
        <v>16</v>
      </c>
      <c r="E395" s="9" t="s">
        <v>250</v>
      </c>
      <c r="F395" s="10" t="str">
        <f>IF(OR(E395="",E395="!!!"),"",IF(NOT(ISNA(VLOOKUP(E395,E$1:E394,1,FALSE()))),"OLD",IF(AND(E395&lt;&gt;"",E395&lt;&gt;"!!!"),"NEW","")))</f>
        <v>OLD</v>
      </c>
      <c r="G395" s="11" t="s">
        <v>870</v>
      </c>
      <c r="H395" s="12" t="str">
        <f t="shared" ca="1" si="17"/>
        <v/>
      </c>
      <c r="I395" s="13" t="str">
        <f>IF(OR(E395="",E395="!!!",F395="NEW"),"",INDEX(B$2:B394,-1+SUMPRODUCT(MAX(ROW(E$2:E394)*(E395=E$2:E394)))))</f>
        <v>SBJ_4</v>
      </c>
      <c r="J395" s="14">
        <f ca="1">IF(OR(E395="",E395="!!!",F395="NEW"),"",COUNTBLANK(OFFSET(A$1,,,SUMPRODUCT(MAX(ROW(E$2:E395)*(E395=E$2:E395)))))-COUNTBLANK(OFFSET(A$1,,,SUMPRODUCT(MAX(ROW(E$1:E394)*(E395=E$1:E394))))))</f>
        <v>0</v>
      </c>
      <c r="K395" s="14">
        <f ca="1">IF(OR(E395="",E395="!!!",F395="NEW"),"",INDEX(J$1:J394,SUMPRODUCT(MAX(ROW(E$1:E394)*(E395=E$1:E394)))))</f>
        <v>0</v>
      </c>
      <c r="L395" s="15"/>
    </row>
    <row r="396" spans="1:12" x14ac:dyDescent="0.35">
      <c r="A396" t="s">
        <v>258</v>
      </c>
      <c r="E396" s="9" t="str">
        <f t="shared" si="16"/>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7"/>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x14ac:dyDescent="0.35">
      <c r="A397" t="s">
        <v>259</v>
      </c>
      <c r="B397" t="s">
        <v>264</v>
      </c>
      <c r="C397" t="s">
        <v>49</v>
      </c>
      <c r="D397" t="s">
        <v>16</v>
      </c>
      <c r="E397" s="9" t="s">
        <v>250</v>
      </c>
      <c r="F397" s="10" t="str">
        <f>IF(OR(E397="",E397="!!!"),"",IF(NOT(ISNA(VLOOKUP(E397,E$1:E396,1,FALSE()))),"OLD",IF(AND(E397&lt;&gt;"",E397&lt;&gt;"!!!"),"NEW","")))</f>
        <v>OLD</v>
      </c>
      <c r="G397" s="11" t="s">
        <v>870</v>
      </c>
      <c r="H397" s="12" t="str">
        <f t="shared" ca="1" si="17"/>
        <v/>
      </c>
      <c r="I397" s="13" t="str">
        <f>IF(OR(E397="",E397="!!!",F397="NEW"),"",INDEX(B$2:B396,-1+SUMPRODUCT(MAX(ROW(E$2:E396)*(E397=E$2:E396)))))</f>
        <v>SBJ_7</v>
      </c>
      <c r="J397" s="14">
        <f ca="1">IF(OR(E397="",E397="!!!",F397="NEW"),"",COUNTBLANK(OFFSET(A$1,,,SUMPRODUCT(MAX(ROW(E$2:E397)*(E397=E$2:E397)))))-COUNTBLANK(OFFSET(A$1,,,SUMPRODUCT(MAX(ROW(E$1:E396)*(E397=E$1:E396))))))</f>
        <v>0</v>
      </c>
      <c r="K397" s="14">
        <f ca="1">IF(OR(E397="",E397="!!!",F397="NEW"),"",INDEX(J$1:J396,SUMPRODUCT(MAX(ROW(E$1:E396)*(E397=E$1:E396)))))</f>
        <v>0</v>
      </c>
      <c r="L397" s="15"/>
    </row>
    <row r="398" spans="1:12" x14ac:dyDescent="0.35">
      <c r="A398" t="s">
        <v>261</v>
      </c>
      <c r="E398" s="9" t="str">
        <f t="shared" si="16"/>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7"/>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x14ac:dyDescent="0.35">
      <c r="A399" t="s">
        <v>262</v>
      </c>
      <c r="E399" s="9" t="str">
        <f t="shared" si="16"/>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7"/>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x14ac:dyDescent="0.35">
      <c r="A400" t="s">
        <v>263</v>
      </c>
      <c r="B400" t="s">
        <v>265</v>
      </c>
      <c r="C400" t="s">
        <v>108</v>
      </c>
      <c r="E400" s="9" t="s">
        <v>31</v>
      </c>
      <c r="F400" s="10" t="str">
        <f>IF(OR(E400="",E400="!!!"),"",IF(NOT(ISNA(VLOOKUP(E400,E$1:E399,1,FALSE()))),"OLD",IF(AND(E400&lt;&gt;"",E400&lt;&gt;"!!!"),"NEW","")))</f>
        <v>NEW</v>
      </c>
      <c r="G400" s="11" t="str">
        <f ca="1">IF(OR(E400="",E400="!!!"),"",IF(OR(J400=0,AND(J400=1,K400=1),AND(J400=1,I400="SBJ"),AND(J400=1,I400=0)),"?IN_FOCUS",IF(J400&lt;=2,"?ACTIVATED",IF(J400&lt;&gt;"","?FAMILIAR",IF(F400="NEW",IF(ISNA(VLOOKUP(E400,#REF!,1,FALSE())),"?TYPE_IDENTIFIABLE","?REFERENTIAL"),"_")))))</f>
        <v>?REFERENTIAL</v>
      </c>
      <c r="H400" s="12" t="str">
        <f t="shared" ca="1" si="17"/>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x14ac:dyDescent="0.35">
      <c r="A401" t="s">
        <v>110</v>
      </c>
      <c r="B401" t="s">
        <v>266</v>
      </c>
      <c r="C401" t="s">
        <v>33</v>
      </c>
      <c r="D401" t="s">
        <v>16</v>
      </c>
      <c r="E401" s="9" t="s">
        <v>250</v>
      </c>
      <c r="F401" s="10" t="str">
        <f>IF(OR(E401="",E401="!!!"),"",IF(NOT(ISNA(VLOOKUP(E401,E$1:E400,1,FALSE()))),"OLD",IF(AND(E401&lt;&gt;"",E401&lt;&gt;"!!!"),"NEW","")))</f>
        <v>OLD</v>
      </c>
      <c r="G401" s="11" t="s">
        <v>870</v>
      </c>
      <c r="H401" s="12" t="str">
        <f t="shared" ca="1" si="17"/>
        <v/>
      </c>
      <c r="I401" s="13" t="str">
        <f>IF(OR(E401="",E401="!!!",F401="NEW"),"",INDEX(B$2:B400,-1+SUMPRODUCT(MAX(ROW(E$2:E400)*(E401=E$2:E400)))))</f>
        <v>other_9</v>
      </c>
      <c r="J401" s="14">
        <f ca="1">IF(OR(E401="",E401="!!!",F401="NEW"),"",COUNTBLANK(OFFSET(A$1,,,SUMPRODUCT(MAX(ROW(E$2:E401)*(E401=E$2:E401)))))-COUNTBLANK(OFFSET(A$1,,,SUMPRODUCT(MAX(ROW(E$1:E400)*(E401=E$1:E400))))))</f>
        <v>0</v>
      </c>
      <c r="K401" s="14">
        <f ca="1">IF(OR(E401="",E401="!!!",F401="NEW"),"",INDEX(J$1:J400,SUMPRODUCT(MAX(ROW(E$1:E400)*(E401=E$1:E400)))))</f>
        <v>0</v>
      </c>
      <c r="L401" s="15"/>
    </row>
    <row r="402" spans="1:12" x14ac:dyDescent="0.35">
      <c r="A402" t="s">
        <v>258</v>
      </c>
      <c r="E402" s="9" t="str">
        <f t="shared" si="16"/>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7"/>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x14ac:dyDescent="0.35">
      <c r="A403" t="s">
        <v>267</v>
      </c>
      <c r="B403" t="s">
        <v>268</v>
      </c>
      <c r="C403" t="s">
        <v>142</v>
      </c>
      <c r="D403" t="s">
        <v>16</v>
      </c>
      <c r="E403" s="9" t="s">
        <v>262</v>
      </c>
      <c r="F403" s="10" t="s">
        <v>876</v>
      </c>
      <c r="G403" s="11"/>
      <c r="H403" s="12" t="str">
        <f t="shared" ca="1" si="17"/>
        <v/>
      </c>
      <c r="I403" s="13" t="str">
        <f>IF(OR(E403="",E403="!!!",F403="NEW"),"",INDEX(B$2:B402,-1+SUMPRODUCT(MAX(ROW(E$2:E402)*(E403=E$2:E402)))))</f>
        <v>OBJ_4</v>
      </c>
      <c r="J403" s="14">
        <f ca="1">IF(OR(E403="",E403="!!!",F403="NEW"),"",COUNTBLANK(OFFSET(A$1,,,SUMPRODUCT(MAX(ROW(E$2:E403)*(E403=E$2:E403)))))-COUNTBLANK(OFFSET(A$1,,,SUMPRODUCT(MAX(ROW(E$1:E402)*(E403=E$1:E402))))))</f>
        <v>0</v>
      </c>
      <c r="K403" s="14">
        <f ca="1">IF(OR(E403="",E403="!!!",F403="NEW"),"",INDEX(J$1:J402,SUMPRODUCT(MAX(ROW(E$1:E402)*(E403=E$1:E402)))))</f>
        <v>3</v>
      </c>
      <c r="L403" s="15"/>
    </row>
    <row r="404" spans="1:12" x14ac:dyDescent="0.35">
      <c r="A404" t="s">
        <v>123</v>
      </c>
      <c r="E404" s="9" t="str">
        <f t="shared" si="16"/>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ca="1" si="17"/>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x14ac:dyDescent="0.35">
      <c r="A405" t="s">
        <v>31</v>
      </c>
      <c r="B405" t="s">
        <v>269</v>
      </c>
      <c r="C405" t="s">
        <v>33</v>
      </c>
      <c r="D405" t="s">
        <v>16</v>
      </c>
      <c r="E405" s="9" t="s">
        <v>881</v>
      </c>
      <c r="F405" s="10" t="str">
        <f>IF(OR(E405="",E405="!!!"),"",IF(NOT(ISNA(VLOOKUP(E405,E$1:E404,1,FALSE()))),"OLD",IF(AND(E405&lt;&gt;"",E405&lt;&gt;"!!!"),"NEW","")))</f>
        <v>NEW</v>
      </c>
      <c r="G405" s="11" t="s">
        <v>870</v>
      </c>
      <c r="H405" s="12" t="str">
        <f t="shared" ca="1" si="17"/>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x14ac:dyDescent="0.35">
      <c r="A406" t="s">
        <v>63</v>
      </c>
      <c r="E406" s="9" t="str">
        <f t="shared" si="16"/>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7"/>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x14ac:dyDescent="0.35">
      <c r="A407" t="s">
        <v>246</v>
      </c>
      <c r="E407" s="9" t="str">
        <f t="shared" si="16"/>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7"/>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x14ac:dyDescent="0.35">
      <c r="E408" s="9" t="str">
        <f t="shared" si="16"/>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7"/>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x14ac:dyDescent="0.35">
      <c r="A409" t="s">
        <v>244</v>
      </c>
      <c r="E409" s="9" t="str">
        <f t="shared" si="16"/>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7"/>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x14ac:dyDescent="0.35">
      <c r="A410" t="s">
        <v>270</v>
      </c>
      <c r="E410" s="9" t="str">
        <f t="shared" si="16"/>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7"/>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x14ac:dyDescent="0.35">
      <c r="A411" t="s">
        <v>246</v>
      </c>
      <c r="E411" s="9" t="str">
        <f t="shared" si="16"/>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7"/>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x14ac:dyDescent="0.35">
      <c r="A412" t="s">
        <v>271</v>
      </c>
      <c r="E412" s="9" t="str">
        <f t="shared" si="16"/>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7"/>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x14ac:dyDescent="0.35">
      <c r="A413" t="s">
        <v>272</v>
      </c>
      <c r="E413" s="9" t="str">
        <f t="shared" si="16"/>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7"/>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x14ac:dyDescent="0.35">
      <c r="E414" s="9" t="str">
        <f t="shared" si="16"/>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7"/>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x14ac:dyDescent="0.35">
      <c r="A415" t="s">
        <v>244</v>
      </c>
      <c r="E415" s="9" t="str">
        <f t="shared" si="16"/>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7"/>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x14ac:dyDescent="0.35">
      <c r="A416" t="s">
        <v>273</v>
      </c>
      <c r="E416" s="9" t="str">
        <f t="shared" si="16"/>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ca="1" si="17"/>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x14ac:dyDescent="0.35">
      <c r="A417" t="s">
        <v>156</v>
      </c>
      <c r="B417" t="s">
        <v>24</v>
      </c>
      <c r="C417" t="s">
        <v>49</v>
      </c>
      <c r="D417" t="s">
        <v>16</v>
      </c>
      <c r="E417" s="9" t="s">
        <v>868</v>
      </c>
      <c r="F417" s="10" t="str">
        <f>IF(OR(E417="",E417="!!!"),"",IF(NOT(ISNA(VLOOKUP(E417,E$1:E416,1,FALSE()))),"OLD",IF(AND(E417&lt;&gt;"",E417&lt;&gt;"!!!"),"NEW","")))</f>
        <v>OLD</v>
      </c>
      <c r="G417" s="11" t="s">
        <v>874</v>
      </c>
      <c r="H417" s="12" t="str">
        <f t="shared" ca="1" si="17"/>
        <v/>
      </c>
      <c r="I417" s="13" t="str">
        <f>IF(OR(E417="",E417="!!!",F417="NEW"),"",INDEX(B$2:B416,-1+SUMPRODUCT(MAX(ROW(E$2:E416)*(E417=E$2:E416)))))</f>
        <v>other_7</v>
      </c>
      <c r="J417" s="14">
        <f ca="1">IF(OR(E417="",E417="!!!",F417="NEW"),"",COUNTBLANK(OFFSET(A$1,,,SUMPRODUCT(MAX(ROW(E$2:E417)*(E417=E$2:E417)))))-COUNTBLANK(OFFSET(A$1,,,SUMPRODUCT(MAX(ROW(E$1:E416)*(E417=E$1:E416))))))</f>
        <v>11</v>
      </c>
      <c r="K417" s="14">
        <f ca="1">IF(OR(E417="",E417="!!!",F417="NEW"),"",INDEX(J$1:J416,SUMPRODUCT(MAX(ROW(E$1:E416)*(E417=E$1:E416)))))</f>
        <v>2</v>
      </c>
      <c r="L417" s="15"/>
    </row>
    <row r="418" spans="1:12" x14ac:dyDescent="0.35">
      <c r="A418" t="s">
        <v>274</v>
      </c>
      <c r="B418" t="s">
        <v>14</v>
      </c>
      <c r="C418" t="s">
        <v>15</v>
      </c>
      <c r="D418" t="s">
        <v>16</v>
      </c>
      <c r="E418" s="9" t="s">
        <v>365</v>
      </c>
      <c r="F418" s="10" t="str">
        <f>IF(OR(E418="",E418="!!!"),"",IF(NOT(ISNA(VLOOKUP(E418,E$1:E417,1,FALSE()))),"OLD",IF(AND(E418&lt;&gt;"",E418&lt;&gt;"!!!"),"NEW","")))</f>
        <v>OLD</v>
      </c>
      <c r="G418" s="11" t="s">
        <v>870</v>
      </c>
      <c r="H418" s="12" t="str">
        <f t="shared" ca="1" si="17"/>
        <v/>
      </c>
      <c r="I418" s="13" t="str">
        <f>IF(OR(E418="",E418="!!!",F418="NEW"),"",INDEX(B$2:B417,-1+SUMPRODUCT(MAX(ROW(E$2:E417)*(E418=E$2:E417)))))</f>
        <v>other</v>
      </c>
      <c r="J418" s="14">
        <f ca="1">IF(OR(E418="",E418="!!!",F418="NEW"),"",COUNTBLANK(OFFSET(A$1,,,SUMPRODUCT(MAX(ROW(E$2:E418)*(E418=E$2:E418)))))-COUNTBLANK(OFFSET(A$1,,,SUMPRODUCT(MAX(ROW(E$1:E417)*(E418=E$1:E417))))))</f>
        <v>7</v>
      </c>
      <c r="K418" s="14">
        <f ca="1">IF(OR(E418="",E418="!!!",F418="NEW"),"",INDEX(J$1:J417,SUMPRODUCT(MAX(ROW(E$1:E417)*(E418=E$1:E417)))))</f>
        <v>3</v>
      </c>
      <c r="L418" s="15"/>
    </row>
    <row r="419" spans="1:12" x14ac:dyDescent="0.35">
      <c r="A419" t="s">
        <v>76</v>
      </c>
      <c r="E419" s="9" t="str">
        <f t="shared" si="16"/>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7"/>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35">
      <c r="A420" t="s">
        <v>110</v>
      </c>
      <c r="B420" t="s">
        <v>24</v>
      </c>
      <c r="C420" t="s">
        <v>33</v>
      </c>
      <c r="D420" t="s">
        <v>16</v>
      </c>
      <c r="E420" s="9" t="s">
        <v>868</v>
      </c>
      <c r="F420" s="10" t="str">
        <f>IF(OR(E420="",E420="!!!"),"",IF(NOT(ISNA(VLOOKUP(E420,E$1:E419,1,FALSE()))),"OLD",IF(AND(E420&lt;&gt;"",E420&lt;&gt;"!!!"),"NEW","")))</f>
        <v>OLD</v>
      </c>
      <c r="G420" s="11" t="s">
        <v>870</v>
      </c>
      <c r="H420" s="12" t="str">
        <f t="shared" ca="1" si="17"/>
        <v/>
      </c>
      <c r="I420" s="13" t="str">
        <f>IF(OR(E420="",E420="!!!",F420="NEW"),"",INDEX(B$2:B419,-1+SUMPRODUCT(MAX(ROW(E$2:E419)*(E420=E$2:E419)))))</f>
        <v>other_2</v>
      </c>
      <c r="J420" s="14">
        <f ca="1">IF(OR(E420="",E420="!!!",F420="NEW"),"",COUNTBLANK(OFFSET(A$1,,,SUMPRODUCT(MAX(ROW(E$2:E420)*(E420=E$2:E420)))))-COUNTBLANK(OFFSET(A$1,,,SUMPRODUCT(MAX(ROW(E$1:E419)*(E420=E$1:E419))))))</f>
        <v>0</v>
      </c>
      <c r="K420" s="14">
        <f ca="1">IF(OR(E420="",E420="!!!",F420="NEW"),"",INDEX(J$1:J419,SUMPRODUCT(MAX(ROW(E$1:E419)*(E420=E$1:E419)))))</f>
        <v>11</v>
      </c>
      <c r="L420" s="15"/>
    </row>
    <row r="421" spans="1:12" x14ac:dyDescent="0.35">
      <c r="A421" t="s">
        <v>275</v>
      </c>
      <c r="E421" s="9" t="str">
        <f t="shared" si="16"/>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7"/>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x14ac:dyDescent="0.35">
      <c r="A422" t="s">
        <v>87</v>
      </c>
      <c r="E422" s="9" t="str">
        <f t="shared" si="16"/>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ca="1" si="17"/>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x14ac:dyDescent="0.35">
      <c r="A423" t="s">
        <v>276</v>
      </c>
      <c r="E423" s="9" t="str">
        <f t="shared" si="16"/>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7"/>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x14ac:dyDescent="0.35">
      <c r="A424" t="s">
        <v>103</v>
      </c>
      <c r="E424" s="9" t="str">
        <f t="shared" si="16"/>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ca="1" si="17"/>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x14ac:dyDescent="0.35">
      <c r="A425" t="s">
        <v>277</v>
      </c>
      <c r="B425" t="s">
        <v>54</v>
      </c>
      <c r="C425" t="s">
        <v>108</v>
      </c>
      <c r="E425" s="9" t="str">
        <f t="shared" si="16"/>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7"/>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x14ac:dyDescent="0.35">
      <c r="A426" t="s">
        <v>63</v>
      </c>
      <c r="E426" s="9" t="str">
        <f t="shared" si="16"/>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7"/>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x14ac:dyDescent="0.35">
      <c r="A427" t="s">
        <v>246</v>
      </c>
      <c r="E427" s="9" t="str">
        <f t="shared" si="16"/>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7"/>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x14ac:dyDescent="0.35">
      <c r="E428" s="9" t="str">
        <f t="shared" si="16"/>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7"/>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x14ac:dyDescent="0.35">
      <c r="A429" t="s">
        <v>244</v>
      </c>
      <c r="E429" s="9" t="str">
        <f t="shared" si="16"/>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7"/>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x14ac:dyDescent="0.35">
      <c r="A430" t="s">
        <v>278</v>
      </c>
      <c r="E430" s="9" t="str">
        <f t="shared" si="16"/>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7"/>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x14ac:dyDescent="0.35">
      <c r="A431" t="s">
        <v>246</v>
      </c>
      <c r="E431" s="9" t="str">
        <f t="shared" si="16"/>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7"/>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x14ac:dyDescent="0.35">
      <c r="A432" t="s">
        <v>279</v>
      </c>
      <c r="B432" t="s">
        <v>36</v>
      </c>
      <c r="C432" t="s">
        <v>33</v>
      </c>
      <c r="D432" t="s">
        <v>16</v>
      </c>
      <c r="E432" s="9" t="s">
        <v>868</v>
      </c>
      <c r="F432" s="10" t="str">
        <f>IF(OR(E432="",E432="!!!"),"",IF(NOT(ISNA(VLOOKUP(E432,E$1:E431,1,FALSE()))),"OLD",IF(AND(E432&lt;&gt;"",E432&lt;&gt;"!!!"),"NEW","")))</f>
        <v>OLD</v>
      </c>
      <c r="G432" s="11" t="s">
        <v>874</v>
      </c>
      <c r="H432" s="12" t="s">
        <v>7</v>
      </c>
      <c r="I432" s="13" t="str">
        <f>IF(OR(E432="",E432="!!!",F432="NEW"),"",INDEX(B$2:B431,-1+SUMPRODUCT(MAX(ROW(E$2:E431)*(E432=E$2:E431)))))</f>
        <v>other_2</v>
      </c>
      <c r="J432" s="14">
        <f ca="1">IF(OR(E432="",E432="!!!",F432="NEW"),"",COUNTBLANK(OFFSET(A$1,,,SUMPRODUCT(MAX(ROW(E$2:E432)*(E432=E$2:E432)))))-COUNTBLANK(OFFSET(A$1,,,SUMPRODUCT(MAX(ROW(E$1:E431)*(E432=E$1:E431))))))</f>
        <v>1</v>
      </c>
      <c r="K432" s="14">
        <f ca="1">IF(OR(E432="",E432="!!!",F432="NEW"),"",INDEX(J$1:J431,SUMPRODUCT(MAX(ROW(E$1:E431)*(E432=E$1:E431)))))</f>
        <v>0</v>
      </c>
      <c r="L432" s="15"/>
    </row>
    <row r="433" spans="1:12" x14ac:dyDescent="0.35">
      <c r="A433" t="s">
        <v>280</v>
      </c>
      <c r="E433" s="9" t="str">
        <f t="shared" si="16"/>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7"/>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x14ac:dyDescent="0.35">
      <c r="A434" t="s">
        <v>281</v>
      </c>
      <c r="E434" s="9" t="str">
        <f t="shared" si="16"/>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7"/>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x14ac:dyDescent="0.35">
      <c r="A435" t="s">
        <v>282</v>
      </c>
      <c r="E435" s="9" t="str">
        <f t="shared" si="16"/>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7"/>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x14ac:dyDescent="0.35">
      <c r="A436" t="s">
        <v>134</v>
      </c>
      <c r="E436" s="9" t="str">
        <f t="shared" si="16"/>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7"/>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x14ac:dyDescent="0.35">
      <c r="A437" t="s">
        <v>283</v>
      </c>
      <c r="E437" s="9" t="str">
        <f t="shared" si="16"/>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7"/>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x14ac:dyDescent="0.35">
      <c r="A438" t="s">
        <v>284</v>
      </c>
      <c r="B438" t="s">
        <v>24</v>
      </c>
      <c r="C438" t="s">
        <v>122</v>
      </c>
      <c r="D438" t="s">
        <v>16</v>
      </c>
      <c r="E438" s="9" t="s">
        <v>262</v>
      </c>
      <c r="F438" s="10" t="s">
        <v>876</v>
      </c>
      <c r="G438" s="11"/>
      <c r="H438" s="12" t="str">
        <f t="shared" ca="1" si="17"/>
        <v/>
      </c>
      <c r="I438" s="13" t="str">
        <f>IF(OR(E438="",E438="!!!",F438="NEW"),"",INDEX(B$2:B437,-1+SUMPRODUCT(MAX(ROW(E$2:E437)*(E438=E$2:E437)))))</f>
        <v>OBJ_9</v>
      </c>
      <c r="J438" s="14">
        <f ca="1">IF(OR(E438="",E438="!!!",F438="NEW"),"",COUNTBLANK(OFFSET(A$1,,,SUMPRODUCT(MAX(ROW(E$2:E438)*(E438=E$2:E438)))))-COUNTBLANK(OFFSET(A$1,,,SUMPRODUCT(MAX(ROW(E$1:E437)*(E438=E$1:E437))))))</f>
        <v>3</v>
      </c>
      <c r="K438" s="14">
        <f ca="1">IF(OR(E438="",E438="!!!",F438="NEW"),"",INDEX(J$1:J437,SUMPRODUCT(MAX(ROW(E$1:E437)*(E438=E$1:E437)))))</f>
        <v>0</v>
      </c>
      <c r="L438" s="15"/>
    </row>
    <row r="439" spans="1:12" x14ac:dyDescent="0.35">
      <c r="A439" t="s">
        <v>26</v>
      </c>
      <c r="E439" s="9" t="str">
        <f t="shared" ref="E439:E502" si="18">IF(D439="?OLD","!!!","")</f>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ref="H439:H502" ca="1" si="19">IF(J439&lt;&gt;1,"",IF(I439="SBJ","CB","?"))</f>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x14ac:dyDescent="0.35">
      <c r="A440" t="s">
        <v>285</v>
      </c>
      <c r="B440" t="s">
        <v>54</v>
      </c>
      <c r="C440" t="s">
        <v>21</v>
      </c>
      <c r="D440" t="s">
        <v>16</v>
      </c>
      <c r="E440" s="9" t="s">
        <v>868</v>
      </c>
      <c r="F440" s="10" t="str">
        <f>IF(OR(E440="",E440="!!!"),"",IF(NOT(ISNA(VLOOKUP(E440,E$1:E439,1,FALSE()))),"OLD",IF(AND(E440&lt;&gt;"",E440&lt;&gt;"!!!"),"NEW","")))</f>
        <v>OLD</v>
      </c>
      <c r="G440" s="11" t="s">
        <v>870</v>
      </c>
      <c r="H440" s="12" t="str">
        <f t="shared" ca="1" si="19"/>
        <v/>
      </c>
      <c r="I440" s="13" t="str">
        <f>IF(OR(E440="",E440="!!!",F440="NEW"),"",INDEX(B$2:B439,-1+SUMPRODUCT(MAX(ROW(E$2:E439)*(E440=E$2:E439)))))</f>
        <v>SBJ_2</v>
      </c>
      <c r="J440" s="14">
        <f ca="1">IF(OR(E440="",E440="!!!",F440="NEW"),"",COUNTBLANK(OFFSET(A$1,,,SUMPRODUCT(MAX(ROW(E$2:E440)*(E440=E$2:E440)))))-COUNTBLANK(OFFSET(A$1,,,SUMPRODUCT(MAX(ROW(E$1:E439)*(E440=E$1:E439))))))</f>
        <v>0</v>
      </c>
      <c r="K440" s="14">
        <f ca="1">IF(OR(E440="",E440="!!!",F440="NEW"),"",INDEX(J$1:J439,SUMPRODUCT(MAX(ROW(E$1:E439)*(E440=E$1:E439)))))</f>
        <v>1</v>
      </c>
      <c r="L440" s="15"/>
    </row>
    <row r="441" spans="1:12" x14ac:dyDescent="0.35">
      <c r="A441" t="s">
        <v>19</v>
      </c>
      <c r="E441" s="9" t="str">
        <f t="shared" si="18"/>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9"/>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35">
      <c r="A442" t="s">
        <v>63</v>
      </c>
      <c r="E442" s="9" t="str">
        <f t="shared" si="18"/>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9"/>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x14ac:dyDescent="0.35">
      <c r="E443" s="9" t="str">
        <f t="shared" si="18"/>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9"/>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x14ac:dyDescent="0.35">
      <c r="A444" t="s">
        <v>244</v>
      </c>
      <c r="E444" s="9" t="str">
        <f t="shared" si="18"/>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9"/>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x14ac:dyDescent="0.35">
      <c r="A445" t="s">
        <v>286</v>
      </c>
      <c r="E445" s="9" t="str">
        <f t="shared" si="18"/>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9"/>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x14ac:dyDescent="0.35">
      <c r="A446" t="s">
        <v>287</v>
      </c>
      <c r="B446" t="s">
        <v>54</v>
      </c>
      <c r="C446" t="s">
        <v>148</v>
      </c>
      <c r="E446" s="9" t="str">
        <f t="shared" si="18"/>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9"/>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x14ac:dyDescent="0.35">
      <c r="A447" t="s">
        <v>22</v>
      </c>
      <c r="E447" s="9" t="str">
        <f t="shared" si="18"/>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9"/>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x14ac:dyDescent="0.35">
      <c r="A448" t="s">
        <v>58</v>
      </c>
      <c r="E448" s="9" t="str">
        <f t="shared" si="18"/>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9"/>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x14ac:dyDescent="0.35">
      <c r="A449" t="s">
        <v>288</v>
      </c>
      <c r="B449" t="s">
        <v>14</v>
      </c>
      <c r="C449" t="s">
        <v>99</v>
      </c>
      <c r="D449" t="s">
        <v>16</v>
      </c>
      <c r="E449" s="9" t="s">
        <v>887</v>
      </c>
      <c r="F449" s="10" t="s">
        <v>869</v>
      </c>
      <c r="G449" s="11" t="s">
        <v>882</v>
      </c>
      <c r="H449" s="12"/>
      <c r="I449" s="13" t="e">
        <f>IF(OR(E449="",E449="!!!",F449="NEW"),"",INDEX(B$2:B448,-1+SUMPRODUCT(MAX(ROW(E$2:E448)*(E449=E$2:E448)))))</f>
        <v>#VALUE!</v>
      </c>
      <c r="J449" s="14" t="e">
        <f ca="1">IF(OR(E449="",E449="!!!",F449="NEW"),"",COUNTBLANK(OFFSET(A$1,,,SUMPRODUCT(MAX(ROW(E$2:E449)*(E449=E$2:E449)))))-COUNTBLANK(OFFSET(A$1,,,SUMPRODUCT(MAX(ROW(E$1:E448)*(E449=E$1:E448))))))</f>
        <v>#REF!</v>
      </c>
      <c r="K449" s="14" t="e">
        <f>IF(OR(E449="",E449="!!!",F449="NEW"),"",INDEX(J$1:J448,SUMPRODUCT(MAX(ROW(E$1:E448)*(E449=E$1:E448)))))</f>
        <v>#VALUE!</v>
      </c>
      <c r="L449" s="15"/>
    </row>
    <row r="450" spans="1:12" x14ac:dyDescent="0.35">
      <c r="A450" t="s">
        <v>289</v>
      </c>
      <c r="E450" s="9" t="str">
        <f t="shared" si="18"/>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9"/>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x14ac:dyDescent="0.35">
      <c r="A451" t="s">
        <v>251</v>
      </c>
      <c r="E451" s="9" t="str">
        <f t="shared" si="18"/>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9"/>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x14ac:dyDescent="0.35">
      <c r="A452" t="s">
        <v>246</v>
      </c>
      <c r="E452" s="9" t="str">
        <f t="shared" si="18"/>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ca="1" si="19"/>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x14ac:dyDescent="0.35">
      <c r="E453" s="9" t="str">
        <f t="shared" si="18"/>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ca="1" si="19"/>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x14ac:dyDescent="0.35">
      <c r="A454" t="s">
        <v>244</v>
      </c>
      <c r="E454" s="9" t="str">
        <f t="shared" si="18"/>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9"/>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x14ac:dyDescent="0.35">
      <c r="A455" t="s">
        <v>290</v>
      </c>
      <c r="E455" s="9" t="str">
        <f t="shared" si="18"/>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9"/>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x14ac:dyDescent="0.35">
      <c r="A456" t="s">
        <v>246</v>
      </c>
      <c r="E456" s="9" t="str">
        <f t="shared" si="18"/>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9"/>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x14ac:dyDescent="0.35">
      <c r="A457" t="s">
        <v>291</v>
      </c>
      <c r="E457" s="9" t="str">
        <f t="shared" si="18"/>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9"/>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x14ac:dyDescent="0.35">
      <c r="A458" t="s">
        <v>292</v>
      </c>
      <c r="E458" s="9" t="str">
        <f t="shared" si="18"/>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9"/>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x14ac:dyDescent="0.35">
      <c r="A459" t="s">
        <v>288</v>
      </c>
      <c r="B459" t="s">
        <v>54</v>
      </c>
      <c r="C459" t="s">
        <v>37</v>
      </c>
      <c r="E459" s="9" t="str">
        <f t="shared" si="18"/>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
        <v>7</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35">
      <c r="A460" t="s">
        <v>63</v>
      </c>
      <c r="E460" s="9" t="str">
        <f t="shared" si="18"/>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9"/>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x14ac:dyDescent="0.35">
      <c r="A461" t="s">
        <v>246</v>
      </c>
      <c r="E461" s="9" t="str">
        <f t="shared" si="18"/>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9"/>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x14ac:dyDescent="0.35">
      <c r="E462" s="9" t="str">
        <f t="shared" si="18"/>
        <v/>
      </c>
      <c r="F462" s="10" t="str">
        <f>IF(OR(E462="",E462="!!!"),"",IF(NOT(ISNA(VLOOKUP(E462,E$1:E461,1,FALSE()))),"OLD",IF(AND(E462&lt;&gt;"",E462&lt;&gt;"!!!"),"NEW","")))</f>
        <v/>
      </c>
      <c r="G462" s="11" t="str">
        <f>IF(OR(E462="",E462="!!!"),"",IF(OR(J462=0,AND(J462=1,K462=1),AND(J462=1,I462="SBJ"),AND(J462=1,I462=0)),"?IN_FOCUS",IF(J462&lt;=2,"?ACTIVATED",IF(J462&lt;&gt;"","?FAMILIAR",IF(F462="NEW",IF(ISNA(VLOOKUP(E462,#REF!,1,FALSE())),"?TYPE_IDENTIFIABLE","?REFERENTIAL"),"_")))))</f>
        <v/>
      </c>
      <c r="H462" s="12" t="str">
        <f t="shared" ca="1" si="19"/>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x14ac:dyDescent="0.35">
      <c r="A463" t="s">
        <v>244</v>
      </c>
      <c r="E463" s="9" t="str">
        <f t="shared" si="18"/>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9"/>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x14ac:dyDescent="0.35">
      <c r="A464" t="s">
        <v>293</v>
      </c>
      <c r="E464" s="9" t="str">
        <f t="shared" si="18"/>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9"/>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x14ac:dyDescent="0.35">
      <c r="A465" t="s">
        <v>246</v>
      </c>
      <c r="E465" s="9" t="str">
        <f t="shared" si="18"/>
        <v/>
      </c>
      <c r="F465" s="10" t="str">
        <f>IF(OR(E465="",E465="!!!"),"",IF(NOT(ISNA(VLOOKUP(E465,E$1:E464,1,FALSE()))),"OLD",IF(AND(E465&lt;&gt;"",E465&lt;&gt;"!!!"),"NEW","")))</f>
        <v/>
      </c>
      <c r="G465" s="11"/>
      <c r="H465" s="12" t="str">
        <f t="shared" ca="1" si="19"/>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x14ac:dyDescent="0.35">
      <c r="A466" t="s">
        <v>156</v>
      </c>
      <c r="B466" t="s">
        <v>20</v>
      </c>
      <c r="C466" t="s">
        <v>49</v>
      </c>
      <c r="D466" t="s">
        <v>16</v>
      </c>
      <c r="E466" s="9" t="s">
        <v>262</v>
      </c>
      <c r="F466" s="10" t="s">
        <v>889</v>
      </c>
      <c r="G466" s="11"/>
      <c r="H466" s="12" t="str">
        <f t="shared" ca="1" si="19"/>
        <v/>
      </c>
      <c r="I466" s="13" t="str">
        <f>IF(OR(E466="",E466="!!!",F466="NEW"),"",INDEX(B$2:B465,-1+SUMPRODUCT(MAX(ROW(E$2:E465)*(E466=E$2:E465)))))</f>
        <v>other_2</v>
      </c>
      <c r="J466" s="14">
        <f ca="1">IF(OR(E466="",E466="!!!",F466="NEW"),"",COUNTBLANK(OFFSET(A$1,,,SUMPRODUCT(MAX(ROW(E$2:E466)*(E466=E$2:E466)))))-COUNTBLANK(OFFSET(A$1,,,SUMPRODUCT(MAX(ROW(E$1:E465)*(E466=E$1:E465))))))</f>
        <v>3</v>
      </c>
      <c r="K466" s="14">
        <f ca="1">IF(OR(E466="",E466="!!!",F466="NEW"),"",INDEX(J$1:J465,SUMPRODUCT(MAX(ROW(E$1:E465)*(E466=E$1:E465)))))</f>
        <v>3</v>
      </c>
      <c r="L466" s="15" t="s">
        <v>888</v>
      </c>
    </row>
    <row r="467" spans="1:12" x14ac:dyDescent="0.35">
      <c r="A467" t="s">
        <v>294</v>
      </c>
      <c r="B467" t="s">
        <v>36</v>
      </c>
      <c r="C467" t="s">
        <v>15</v>
      </c>
      <c r="D467" t="s">
        <v>16</v>
      </c>
      <c r="E467" s="9" t="s">
        <v>262</v>
      </c>
      <c r="F467" s="10" t="s">
        <v>889</v>
      </c>
      <c r="G467" s="11"/>
      <c r="H467" s="12" t="str">
        <f t="shared" ca="1" si="19"/>
        <v/>
      </c>
      <c r="I467" s="13" t="str">
        <f>IF(OR(E467="",E467="!!!",F467="NEW"),"",INDEX(B$2:B466,-1+SUMPRODUCT(MAX(ROW(E$2:E466)*(E467=E$2:E466)))))</f>
        <v>other_3</v>
      </c>
      <c r="J467" s="14">
        <f ca="1">IF(OR(E467="",E467="!!!",F467="NEW"),"",COUNTBLANK(OFFSET(A$1,,,SUMPRODUCT(MAX(ROW(E$2:E467)*(E467=E$2:E467)))))-COUNTBLANK(OFFSET(A$1,,,SUMPRODUCT(MAX(ROW(E$1:E466)*(E467=E$1:E466))))))</f>
        <v>0</v>
      </c>
      <c r="K467" s="14">
        <f ca="1">IF(OR(E467="",E467="!!!",F467="NEW"),"",INDEX(J$1:J466,SUMPRODUCT(MAX(ROW(E$1:E466)*(E467=E$1:E466)))))</f>
        <v>3</v>
      </c>
      <c r="L467" s="15"/>
    </row>
    <row r="468" spans="1:12" x14ac:dyDescent="0.35">
      <c r="A468" t="s">
        <v>26</v>
      </c>
      <c r="E468" s="9" t="str">
        <f t="shared" si="18"/>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9"/>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x14ac:dyDescent="0.35">
      <c r="A469" t="s">
        <v>31</v>
      </c>
      <c r="B469" t="s">
        <v>36</v>
      </c>
      <c r="C469" t="s">
        <v>33</v>
      </c>
      <c r="D469" t="s">
        <v>16</v>
      </c>
      <c r="E469" s="9" t="s">
        <v>298</v>
      </c>
      <c r="F469" s="10" t="str">
        <f>IF(OR(E469="",E469="!!!"),"",IF(NOT(ISNA(VLOOKUP(E469,E$1:E468,1,FALSE()))),"OLD",IF(AND(E469&lt;&gt;"",E469&lt;&gt;"!!!"),"NEW","")))</f>
        <v>NEW</v>
      </c>
      <c r="G469" s="11" t="s">
        <v>882</v>
      </c>
      <c r="H469" s="12" t="str">
        <f t="shared" ca="1" si="19"/>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x14ac:dyDescent="0.35">
      <c r="A470" t="s">
        <v>295</v>
      </c>
      <c r="E470" s="9" t="str">
        <f t="shared" si="18"/>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9"/>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x14ac:dyDescent="0.35">
      <c r="A471" t="s">
        <v>224</v>
      </c>
      <c r="E471" s="9" t="str">
        <f t="shared" si="18"/>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9"/>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x14ac:dyDescent="0.35">
      <c r="A472" t="s">
        <v>296</v>
      </c>
      <c r="E472" s="9" t="str">
        <f t="shared" si="18"/>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9"/>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35">
      <c r="A473" t="s">
        <v>34</v>
      </c>
      <c r="E473" s="9" t="str">
        <f t="shared" si="18"/>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ca="1" si="19"/>
        <v/>
      </c>
      <c r="I473" s="13" t="str">
        <f>IF(OR(E473="",E473="!!!",F473="NEW"),"",INDEX(B$2:B472,-1+SUMPRODUCT(MAX(ROW(E$2:E472)*(E473=E$2:E472)))))</f>
        <v/>
      </c>
      <c r="J473" s="14" t="str">
        <f ca="1">IF(OR(E473="",E473="!!!",F473="NEW"),"",COUNTBLANK(OFFSET(A$1,,,SUMPRODUCT(MAX(ROW(E$2:E473)*(E473=E$2:E473)))))-COUNTBLANK(OFFSET(A$1,,,SUMPRODUCT(MAX(ROW(E$1:E472)*(E473=E$1:E472))))))</f>
        <v/>
      </c>
      <c r="K473" s="14" t="str">
        <f>IF(OR(E473="",E473="!!!",F473="NEW"),"",INDEX(J$1:J472,SUMPRODUCT(MAX(ROW(E$1:E472)*(E473=E$1:E472)))))</f>
        <v/>
      </c>
      <c r="L473" s="15"/>
    </row>
    <row r="474" spans="1:12" x14ac:dyDescent="0.35">
      <c r="A474" t="s">
        <v>101</v>
      </c>
      <c r="E474" s="9" t="str">
        <f t="shared" si="18"/>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9"/>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x14ac:dyDescent="0.35">
      <c r="A475" t="s">
        <v>297</v>
      </c>
      <c r="E475" s="9" t="str">
        <f t="shared" si="18"/>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9"/>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x14ac:dyDescent="0.35">
      <c r="A476" t="s">
        <v>298</v>
      </c>
      <c r="B476" t="s">
        <v>91</v>
      </c>
      <c r="C476" t="s">
        <v>37</v>
      </c>
      <c r="E476" s="9" t="s">
        <v>31</v>
      </c>
      <c r="F476" s="10" t="str">
        <f>IF(OR(E476="",E476="!!!"),"",IF(NOT(ISNA(VLOOKUP(E476,E$1:E475,1,FALSE()))),"OLD",IF(AND(E476&lt;&gt;"",E476&lt;&gt;"!!!"),"NEW","")))</f>
        <v>OLD</v>
      </c>
      <c r="G476" s="11" t="s">
        <v>870</v>
      </c>
      <c r="H476" s="12" t="str">
        <f t="shared" ca="1" si="19"/>
        <v/>
      </c>
      <c r="I476" s="13" t="str">
        <f>IF(OR(E476="",E476="!!!",F476="NEW"),"",INDEX(B$2:B475,-1+SUMPRODUCT(MAX(ROW(E$2:E475)*(E476=E$2:E475)))))</f>
        <v>OBJ_7</v>
      </c>
      <c r="J476" s="14">
        <f ca="1">IF(OR(E476="",E476="!!!",F476="NEW"),"",COUNTBLANK(OFFSET(A$1,,,SUMPRODUCT(MAX(ROW(E$2:E476)*(E476=E$2:E476)))))-COUNTBLANK(OFFSET(A$1,,,SUMPRODUCT(MAX(ROW(E$1:E475)*(E476=E$1:E475))))))</f>
        <v>6</v>
      </c>
      <c r="K476" s="14" t="str">
        <f ca="1">IF(OR(E476="",E476="!!!",F476="NEW"),"",INDEX(J$1:J475,SUMPRODUCT(MAX(ROW(E$1:E475)*(E476=E$1:E475)))))</f>
        <v/>
      </c>
      <c r="L476" s="15"/>
    </row>
    <row r="477" spans="1:12" x14ac:dyDescent="0.35">
      <c r="A477" t="s">
        <v>26</v>
      </c>
      <c r="E477" s="9" t="str">
        <f t="shared" si="18"/>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9"/>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x14ac:dyDescent="0.35">
      <c r="A478" t="s">
        <v>246</v>
      </c>
      <c r="E478" s="9" t="str">
        <f t="shared" si="18"/>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9"/>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x14ac:dyDescent="0.35">
      <c r="A479" t="s">
        <v>140</v>
      </c>
      <c r="E479" s="9" t="str">
        <f t="shared" si="18"/>
        <v/>
      </c>
      <c r="F479" s="10" t="str">
        <f>IF(OR(E479="",E479="!!!"),"",IF(NOT(ISNA(VLOOKUP(E479,E$1:E478,1,FALSE()))),"OLD",IF(AND(E479&lt;&gt;"",E479&lt;&gt;"!!!"),"NEW","")))</f>
        <v/>
      </c>
      <c r="G479" s="11" t="str">
        <f>IF(OR(E479="",E479="!!!"),"",IF(OR(J479=0,AND(J479=1,K479=1),AND(J479=1,I479="SBJ"),AND(J479=1,I479=0)),"?IN_FOCUS",IF(J479&lt;=2,"?ACTIVATED",IF(J479&lt;&gt;"","?FAMILIAR",IF(F479="NEW",IF(ISNA(VLOOKUP(E479,#REF!,1,FALSE())),"?TYPE_IDENTIFIABLE","?REFERENTIAL"),"_")))))</f>
        <v/>
      </c>
      <c r="H479" s="12" t="str">
        <f t="shared" ca="1" si="19"/>
        <v/>
      </c>
      <c r="I479" s="13" t="str">
        <f>IF(OR(E479="",E479="!!!",F479="NEW"),"",INDEX(B$2:B478,-1+SUMPRODUCT(MAX(ROW(E$2:E478)*(E479=E$2:E478)))))</f>
        <v/>
      </c>
      <c r="J479" s="14" t="str">
        <f ca="1">IF(OR(E479="",E479="!!!",F479="NEW"),"",COUNTBLANK(OFFSET(A$1,,,SUMPRODUCT(MAX(ROW(E$2:E479)*(E479=E$2:E479)))))-COUNTBLANK(OFFSET(A$1,,,SUMPRODUCT(MAX(ROW(E$1:E478)*(E479=E$1:E478))))))</f>
        <v/>
      </c>
      <c r="K479" s="14" t="str">
        <f>IF(OR(E479="",E479="!!!",F479="NEW"),"",INDEX(J$1:J478,SUMPRODUCT(MAX(ROW(E$1:E478)*(E479=E$1:E478)))))</f>
        <v/>
      </c>
      <c r="L479" s="15"/>
    </row>
    <row r="480" spans="1:12" x14ac:dyDescent="0.35">
      <c r="A480" t="s">
        <v>58</v>
      </c>
      <c r="E480" s="9" t="str">
        <f t="shared" si="18"/>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9"/>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x14ac:dyDescent="0.35">
      <c r="A481" t="s">
        <v>254</v>
      </c>
      <c r="B481" t="s">
        <v>14</v>
      </c>
      <c r="C481" t="s">
        <v>99</v>
      </c>
      <c r="D481" t="s">
        <v>16</v>
      </c>
      <c r="E481" s="9" t="s">
        <v>250</v>
      </c>
      <c r="F481" s="10" t="str">
        <f>IF(OR(E481="",E481="!!!"),"",IF(NOT(ISNA(VLOOKUP(E481,E$1:E480,1,FALSE()))),"OLD",IF(AND(E481&lt;&gt;"",E481&lt;&gt;"!!!"),"NEW","")))</f>
        <v>OLD</v>
      </c>
      <c r="G481" s="11" t="s">
        <v>874</v>
      </c>
      <c r="H481" s="12" t="str">
        <f t="shared" ca="1" si="19"/>
        <v/>
      </c>
      <c r="I481" s="13" t="str">
        <f>IF(OR(E481="",E481="!!!",F481="NEW"),"",INDEX(B$2:B480,-1+SUMPRODUCT(MAX(ROW(E$2:E480)*(E481=E$2:E480)))))</f>
        <v>SBJ_9</v>
      </c>
      <c r="J481" s="14">
        <f ca="1">IF(OR(E481="",E481="!!!",F481="NEW"),"",COUNTBLANK(OFFSET(A$1,,,SUMPRODUCT(MAX(ROW(E$2:E481)*(E481=E$2:E481)))))-COUNTBLANK(OFFSET(A$1,,,SUMPRODUCT(MAX(ROW(E$1:E480)*(E481=E$1:E480))))))</f>
        <v>6</v>
      </c>
      <c r="K481" s="14">
        <f ca="1">IF(OR(E481="",E481="!!!",F481="NEW"),"",INDEX(J$1:J480,SUMPRODUCT(MAX(ROW(E$1:E480)*(E481=E$1:E480)))))</f>
        <v>0</v>
      </c>
      <c r="L481" s="15"/>
    </row>
    <row r="482" spans="1:12" x14ac:dyDescent="0.35">
      <c r="A482" t="s">
        <v>159</v>
      </c>
      <c r="E482" s="9" t="str">
        <f t="shared" si="18"/>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9"/>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35">
      <c r="A483" t="s">
        <v>34</v>
      </c>
      <c r="E483" s="9" t="str">
        <f t="shared" si="18"/>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9"/>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x14ac:dyDescent="0.35">
      <c r="A484" t="s">
        <v>299</v>
      </c>
      <c r="B484" t="s">
        <v>24</v>
      </c>
      <c r="C484" t="s">
        <v>37</v>
      </c>
      <c r="E484" s="9" t="str">
        <f t="shared" si="18"/>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9"/>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x14ac:dyDescent="0.35">
      <c r="A485" t="s">
        <v>26</v>
      </c>
      <c r="E485" s="9" t="str">
        <f t="shared" si="18"/>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9"/>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x14ac:dyDescent="0.35">
      <c r="A486" t="s">
        <v>300</v>
      </c>
      <c r="E486" s="9" t="str">
        <f t="shared" si="18"/>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9"/>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x14ac:dyDescent="0.35">
      <c r="A487" t="s">
        <v>301</v>
      </c>
      <c r="E487" s="9" t="str">
        <f t="shared" si="18"/>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9"/>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x14ac:dyDescent="0.35">
      <c r="A488" t="s">
        <v>85</v>
      </c>
      <c r="B488" t="s">
        <v>95</v>
      </c>
      <c r="C488" t="s">
        <v>33</v>
      </c>
      <c r="D488" t="s">
        <v>16</v>
      </c>
      <c r="E488" s="9" t="s">
        <v>250</v>
      </c>
      <c r="F488" s="10" t="str">
        <f>IF(OR(E488="",E488="!!!"),"",IF(NOT(ISNA(VLOOKUP(E488,E$1:E487,1,FALSE()))),"OLD",IF(AND(E488&lt;&gt;"",E488&lt;&gt;"!!!"),"NEW","")))</f>
        <v>OLD</v>
      </c>
      <c r="G488" s="11" t="s">
        <v>870</v>
      </c>
      <c r="H488" s="12" t="str">
        <f t="shared" ca="1" si="19"/>
        <v/>
      </c>
      <c r="I488" s="13" t="str">
        <f>IF(OR(E488="",E488="!!!",F488="NEW"),"",INDEX(B$2:B487,-1+SUMPRODUCT(MAX(ROW(E$2:E487)*(E488=E$2:E487)))))</f>
        <v>SBJ</v>
      </c>
      <c r="J488" s="14">
        <f ca="1">IF(OR(E488="",E488="!!!",F488="NEW"),"",COUNTBLANK(OFFSET(A$1,,,SUMPRODUCT(MAX(ROW(E$2:E488)*(E488=E$2:E488)))))-COUNTBLANK(OFFSET(A$1,,,SUMPRODUCT(MAX(ROW(E$1:E487)*(E488=E$1:E487))))))</f>
        <v>0</v>
      </c>
      <c r="K488" s="14">
        <f ca="1">IF(OR(E488="",E488="!!!",F488="NEW"),"",INDEX(J$1:J487,SUMPRODUCT(MAX(ROW(E$1:E487)*(E488=E$1:E487)))))</f>
        <v>6</v>
      </c>
      <c r="L488" s="15"/>
    </row>
    <row r="489" spans="1:12" x14ac:dyDescent="0.35">
      <c r="A489" t="s">
        <v>131</v>
      </c>
      <c r="E489" s="9" t="str">
        <f t="shared" si="18"/>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9"/>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x14ac:dyDescent="0.35">
      <c r="A490" t="s">
        <v>58</v>
      </c>
      <c r="E490" s="9" t="str">
        <f t="shared" si="18"/>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9"/>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x14ac:dyDescent="0.35">
      <c r="A491" t="s">
        <v>302</v>
      </c>
      <c r="E491" s="9" t="str">
        <f t="shared" si="18"/>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9"/>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x14ac:dyDescent="0.35">
      <c r="A492" t="s">
        <v>303</v>
      </c>
      <c r="B492" t="s">
        <v>20</v>
      </c>
      <c r="C492" t="s">
        <v>15</v>
      </c>
      <c r="D492" t="s">
        <v>16</v>
      </c>
      <c r="E492" s="9" t="s">
        <v>262</v>
      </c>
      <c r="F492" s="10" t="str">
        <f>IF(OR(E492="",E492="!!!"),"",IF(NOT(ISNA(VLOOKUP(E492,E$1:E491,1,FALSE()))),"OLD",IF(AND(E492&lt;&gt;"",E492&lt;&gt;"!!!"),"NEW","")))</f>
        <v>OLD</v>
      </c>
      <c r="G492" s="11"/>
      <c r="H492" s="12" t="str">
        <f t="shared" ca="1" si="19"/>
        <v/>
      </c>
      <c r="I492" s="13" t="str">
        <f>IF(OR(E492="",E492="!!!",F492="NEW"),"",INDEX(B$2:B491,-1+SUMPRODUCT(MAX(ROW(E$2:E491)*(E492=E$2:E491)))))</f>
        <v>SBJ_2</v>
      </c>
      <c r="J492" s="14">
        <f ca="1">IF(OR(E492="",E492="!!!",F492="NEW"),"",COUNTBLANK(OFFSET(A$1,,,SUMPRODUCT(MAX(ROW(E$2:E492)*(E492=E$2:E492)))))-COUNTBLANK(OFFSET(A$1,,,SUMPRODUCT(MAX(ROW(E$1:E491)*(E492=E$1:E491))))))</f>
        <v>0</v>
      </c>
      <c r="K492" s="14">
        <f ca="1">IF(OR(E492="",E492="!!!",F492="NEW"),"",INDEX(J$1:J491,SUMPRODUCT(MAX(ROW(E$1:E491)*(E492=E$1:E491)))))</f>
        <v>0</v>
      </c>
      <c r="L492" s="15"/>
    </row>
    <row r="493" spans="1:12" x14ac:dyDescent="0.35">
      <c r="A493" t="s">
        <v>17</v>
      </c>
      <c r="E493" s="9" t="str">
        <f t="shared" si="18"/>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9"/>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x14ac:dyDescent="0.35">
      <c r="A494" t="s">
        <v>58</v>
      </c>
      <c r="E494" s="9" t="str">
        <f t="shared" si="18"/>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9"/>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x14ac:dyDescent="0.35">
      <c r="A495" t="s">
        <v>304</v>
      </c>
      <c r="B495" t="s">
        <v>56</v>
      </c>
      <c r="C495" t="s">
        <v>21</v>
      </c>
      <c r="D495" t="s">
        <v>16</v>
      </c>
      <c r="E495" s="9" t="s">
        <v>262</v>
      </c>
      <c r="F495" s="10" t="str">
        <f>IF(OR(E495="",E495="!!!"),"",IF(NOT(ISNA(VLOOKUP(E495,E$1:E494,1,FALSE()))),"OLD",IF(AND(E495&lt;&gt;"",E495&lt;&gt;"!!!"),"NEW","")))</f>
        <v>OLD</v>
      </c>
      <c r="G495" s="11"/>
      <c r="H495" s="12" t="str">
        <f t="shared" ca="1" si="19"/>
        <v/>
      </c>
      <c r="I495" s="13" t="str">
        <f>IF(OR(E495="",E495="!!!",F495="NEW"),"",INDEX(B$2:B494,-1+SUMPRODUCT(MAX(ROW(E$2:E494)*(E495=E$2:E494)))))</f>
        <v>other_3</v>
      </c>
      <c r="J495" s="14">
        <f ca="1">IF(OR(E495="",E495="!!!",F495="NEW"),"",COUNTBLANK(OFFSET(A$1,,,SUMPRODUCT(MAX(ROW(E$2:E495)*(E495=E$2:E495)))))-COUNTBLANK(OFFSET(A$1,,,SUMPRODUCT(MAX(ROW(E$1:E494)*(E495=E$1:E494))))))</f>
        <v>0</v>
      </c>
      <c r="K495" s="14">
        <f ca="1">IF(OR(E495="",E495="!!!",F495="NEW"),"",INDEX(J$1:J494,SUMPRODUCT(MAX(ROW(E$1:E494)*(E495=E$1:E494)))))</f>
        <v>0</v>
      </c>
      <c r="L495" s="15"/>
    </row>
    <row r="496" spans="1:12" x14ac:dyDescent="0.35">
      <c r="A496" t="s">
        <v>76</v>
      </c>
      <c r="E496" s="9" t="str">
        <f t="shared" si="18"/>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9"/>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x14ac:dyDescent="0.35">
      <c r="A497" t="s">
        <v>131</v>
      </c>
      <c r="E497" s="9" t="str">
        <f t="shared" si="18"/>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9"/>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x14ac:dyDescent="0.35">
      <c r="A498" t="s">
        <v>58</v>
      </c>
      <c r="E498" s="9" t="str">
        <f t="shared" si="18"/>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ca="1" si="19"/>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x14ac:dyDescent="0.35">
      <c r="A499" t="s">
        <v>305</v>
      </c>
      <c r="E499" s="9" t="str">
        <f t="shared" si="18"/>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ca="1" si="19"/>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x14ac:dyDescent="0.35">
      <c r="A500" t="s">
        <v>306</v>
      </c>
      <c r="B500" t="s">
        <v>20</v>
      </c>
      <c r="C500" t="s">
        <v>99</v>
      </c>
      <c r="D500" t="s">
        <v>16</v>
      </c>
      <c r="E500" s="9" t="s">
        <v>262</v>
      </c>
      <c r="F500" s="10" t="str">
        <f>IF(OR(E500="",E500="!!!"),"",IF(NOT(ISNA(VLOOKUP(E500,E$1:E499,1,FALSE()))),"OLD",IF(AND(E500&lt;&gt;"",E500&lt;&gt;"!!!"),"NEW","")))</f>
        <v>OLD</v>
      </c>
      <c r="G500" s="11"/>
      <c r="H500" s="12" t="str">
        <f t="shared" ca="1" si="19"/>
        <v/>
      </c>
      <c r="I500" s="13" t="str">
        <f>IF(OR(E500="",E500="!!!",F500="NEW"),"",INDEX(B$2:B499,-1+SUMPRODUCT(MAX(ROW(E$2:E499)*(E500=E$2:E499)))))</f>
        <v>other_4</v>
      </c>
      <c r="J500" s="14">
        <f ca="1">IF(OR(E500="",E500="!!!",F500="NEW"),"",COUNTBLANK(OFFSET(A$1,,,SUMPRODUCT(MAX(ROW(E$2:E500)*(E500=E$2:E500)))))-COUNTBLANK(OFFSET(A$1,,,SUMPRODUCT(MAX(ROW(E$1:E499)*(E500=E$1:E499))))))</f>
        <v>0</v>
      </c>
      <c r="K500" s="14">
        <f ca="1">IF(OR(E500="",E500="!!!",F500="NEW"),"",INDEX(J$1:J499,SUMPRODUCT(MAX(ROW(E$1:E499)*(E500=E$1:E499)))))</f>
        <v>0</v>
      </c>
      <c r="L500" s="15"/>
    </row>
    <row r="501" spans="1:12" x14ac:dyDescent="0.35">
      <c r="A501" t="s">
        <v>17</v>
      </c>
      <c r="E501" s="9" t="str">
        <f t="shared" si="18"/>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ca="1" si="19"/>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x14ac:dyDescent="0.35">
      <c r="A502" t="s">
        <v>307</v>
      </c>
      <c r="B502" t="s">
        <v>56</v>
      </c>
      <c r="C502" t="s">
        <v>108</v>
      </c>
      <c r="E502" s="9" t="str">
        <f t="shared" si="18"/>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9"/>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x14ac:dyDescent="0.35">
      <c r="A503" t="s">
        <v>73</v>
      </c>
      <c r="B503" t="s">
        <v>308</v>
      </c>
      <c r="E503" s="9" t="str">
        <f t="shared" ref="E503:E566" si="20">IF(D503="?OLD","!!!","")</f>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ref="H503:H566" ca="1" si="21">IF(J503&lt;&gt;1,"",IF(I503="SBJ","CB","?"))</f>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x14ac:dyDescent="0.35">
      <c r="A504" t="s">
        <v>309</v>
      </c>
      <c r="E504" s="9" t="str">
        <f t="shared" si="20"/>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21"/>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x14ac:dyDescent="0.35">
      <c r="A505" t="s">
        <v>310</v>
      </c>
      <c r="E505" s="9" t="str">
        <f t="shared" si="20"/>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21"/>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x14ac:dyDescent="0.35">
      <c r="A506" t="s">
        <v>58</v>
      </c>
      <c r="E506" s="9" t="str">
        <f t="shared" si="20"/>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21"/>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x14ac:dyDescent="0.35">
      <c r="A507" t="s">
        <v>311</v>
      </c>
      <c r="E507" s="9" t="str">
        <f t="shared" si="20"/>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21"/>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x14ac:dyDescent="0.35">
      <c r="A508" t="s">
        <v>312</v>
      </c>
      <c r="B508" t="s">
        <v>48</v>
      </c>
      <c r="C508" t="s">
        <v>21</v>
      </c>
      <c r="D508" t="s">
        <v>16</v>
      </c>
      <c r="E508" s="9" t="s">
        <v>262</v>
      </c>
      <c r="F508" s="10" t="str">
        <f>IF(OR(E508="",E508="!!!"),"",IF(NOT(ISNA(VLOOKUP(E508,E$1:E507,1,FALSE()))),"OLD",IF(AND(E508&lt;&gt;"",E508&lt;&gt;"!!!"),"NEW","")))</f>
        <v>OLD</v>
      </c>
      <c r="G508" s="11"/>
      <c r="H508" s="12" t="str">
        <f t="shared" ca="1" si="21"/>
        <v/>
      </c>
      <c r="I508" s="13" t="str">
        <f>IF(OR(E508="",E508="!!!",F508="NEW"),"",INDEX(B$2:B507,-1+SUMPRODUCT(MAX(ROW(E$2:E507)*(E508=E$2:E507)))))</f>
        <v>other_3</v>
      </c>
      <c r="J508" s="14">
        <f ca="1">IF(OR(E508="",E508="!!!",F508="NEW"),"",COUNTBLANK(OFFSET(A$1,,,SUMPRODUCT(MAX(ROW(E$2:E508)*(E508=E$2:E508)))))-COUNTBLANK(OFFSET(A$1,,,SUMPRODUCT(MAX(ROW(E$1:E507)*(E508=E$1:E507))))))</f>
        <v>0</v>
      </c>
      <c r="K508" s="14">
        <f ca="1">IF(OR(E508="",E508="!!!",F508="NEW"),"",INDEX(J$1:J507,SUMPRODUCT(MAX(ROW(E$1:E507)*(E508=E$1:E507)))))</f>
        <v>0</v>
      </c>
      <c r="L508" s="15"/>
    </row>
    <row r="509" spans="1:12" x14ac:dyDescent="0.35">
      <c r="A509" t="s">
        <v>63</v>
      </c>
      <c r="E509" s="9" t="str">
        <f t="shared" si="20"/>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21"/>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x14ac:dyDescent="0.35">
      <c r="E510" s="9" t="str">
        <f t="shared" si="20"/>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21"/>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x14ac:dyDescent="0.35">
      <c r="A511" t="s">
        <v>244</v>
      </c>
      <c r="E511" s="9" t="str">
        <f t="shared" si="20"/>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21"/>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x14ac:dyDescent="0.35">
      <c r="A512" t="s">
        <v>313</v>
      </c>
      <c r="E512" s="9" t="str">
        <f t="shared" si="20"/>
        <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ca="1" si="21"/>
        <v/>
      </c>
      <c r="I512" s="13" t="str">
        <f>IF(OR(E512="",E512="!!!",F512="NEW"),"",INDEX(B$2:B511,-1+SUMPRODUCT(MAX(ROW(E$2:E511)*(E512=E$2:E511)))))</f>
        <v/>
      </c>
      <c r="J512" s="14" t="str">
        <f ca="1">IF(OR(E512="",E512="!!!",F512="NEW"),"",COUNTBLANK(OFFSET(A$1,,,SUMPRODUCT(MAX(ROW(E$2:E512)*(E512=E$2:E512)))))-COUNTBLANK(OFFSET(A$1,,,SUMPRODUCT(MAX(ROW(E$1:E511)*(E512=E$1:E511))))))</f>
        <v/>
      </c>
      <c r="K512" s="14" t="str">
        <f>IF(OR(E512="",E512="!!!",F512="NEW"),"",INDEX(J$1:J511,SUMPRODUCT(MAX(ROW(E$1:E511)*(E512=E$1:E511)))))</f>
        <v/>
      </c>
      <c r="L512" s="15"/>
    </row>
    <row r="513" spans="1:12" x14ac:dyDescent="0.35">
      <c r="A513" t="s">
        <v>246</v>
      </c>
      <c r="E513" s="9" t="str">
        <f t="shared" si="20"/>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21"/>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x14ac:dyDescent="0.35">
      <c r="A514" t="s">
        <v>110</v>
      </c>
      <c r="B514" t="s">
        <v>14</v>
      </c>
      <c r="C514" t="s">
        <v>33</v>
      </c>
      <c r="D514" t="s">
        <v>16</v>
      </c>
      <c r="E514" s="9" t="s">
        <v>251</v>
      </c>
      <c r="F514" s="10" t="str">
        <f>IF(OR(E514="",E514="!!!"),"",IF(NOT(ISNA(VLOOKUP(E514,E$1:E513,1,FALSE()))),"OLD",IF(AND(E514&lt;&gt;"",E514&lt;&gt;"!!!"),"NEW","")))</f>
        <v>OLD</v>
      </c>
      <c r="G514" s="11"/>
      <c r="H514" s="12" t="e">
        <f t="shared" ca="1" si="21"/>
        <v>#REF!</v>
      </c>
      <c r="I514" s="13" t="e">
        <f>IF(OR(E514="",E514="!!!",F514="NEW"),"",INDEX(B$2:B513,-1+SUMPRODUCT(MAX(ROW(E$2:E513)*(E514=E$2:E513)))))</f>
        <v>#VALUE!</v>
      </c>
      <c r="J514" s="14" t="e">
        <f ca="1">IF(OR(E514="",E514="!!!",F514="NEW"),"",COUNTBLANK(OFFSET(A$1,,,SUMPRODUCT(MAX(ROW(E$2:E514)*(E514=E$2:E514)))))-COUNTBLANK(OFFSET(A$1,,,SUMPRODUCT(MAX(ROW(E$1:E513)*(E514=E$1:E513))))))</f>
        <v>#REF!</v>
      </c>
      <c r="K514" s="14" t="e">
        <f>IF(OR(E514="",E514="!!!",F514="NEW"),"",INDEX(J$1:J513,SUMPRODUCT(MAX(ROW(E$1:E513)*(E514=E$1:E513)))))</f>
        <v>#VALUE!</v>
      </c>
      <c r="L514" s="15"/>
    </row>
    <row r="515" spans="1:12" x14ac:dyDescent="0.35">
      <c r="A515" t="s">
        <v>314</v>
      </c>
      <c r="E515" s="9" t="str">
        <f t="shared" si="20"/>
        <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ca="1" si="21"/>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x14ac:dyDescent="0.35">
      <c r="A516" t="s">
        <v>58</v>
      </c>
      <c r="E516" s="9" t="str">
        <f t="shared" si="20"/>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ca="1" si="21"/>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x14ac:dyDescent="0.35">
      <c r="A517" t="s">
        <v>315</v>
      </c>
      <c r="B517" t="s">
        <v>32</v>
      </c>
      <c r="C517" t="s">
        <v>99</v>
      </c>
      <c r="D517" t="s">
        <v>16</v>
      </c>
      <c r="E517" s="9" t="s">
        <v>262</v>
      </c>
      <c r="F517" s="10" t="s">
        <v>876</v>
      </c>
      <c r="G517" s="11"/>
      <c r="H517" s="12" t="str">
        <f t="shared" ca="1" si="21"/>
        <v>?</v>
      </c>
      <c r="I517" s="13" t="str">
        <f>IF(OR(E517="",E517="!!!",F517="NEW"),"",INDEX(B$2:B516,-1+SUMPRODUCT(MAX(ROW(E$2:E516)*(E517=E$2:E516)))))</f>
        <v>other_5</v>
      </c>
      <c r="J517" s="14">
        <f ca="1">IF(OR(E517="",E517="!!!",F517="NEW"),"",COUNTBLANK(OFFSET(A$1,,,SUMPRODUCT(MAX(ROW(E$2:E517)*(E517=E$2:E517)))))-COUNTBLANK(OFFSET(A$1,,,SUMPRODUCT(MAX(ROW(E$1:E516)*(E517=E$1:E516))))))</f>
        <v>1</v>
      </c>
      <c r="K517" s="14">
        <f ca="1">IF(OR(E517="",E517="!!!",F517="NEW"),"",INDEX(J$1:J516,SUMPRODUCT(MAX(ROW(E$1:E516)*(E517=E$1:E516)))))</f>
        <v>0</v>
      </c>
      <c r="L517" s="15"/>
    </row>
    <row r="518" spans="1:12" x14ac:dyDescent="0.35">
      <c r="A518" t="s">
        <v>17</v>
      </c>
      <c r="E518" s="9" t="str">
        <f t="shared" si="20"/>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21"/>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x14ac:dyDescent="0.35">
      <c r="A519" t="s">
        <v>34</v>
      </c>
      <c r="E519" s="9" t="str">
        <f t="shared" si="20"/>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21"/>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x14ac:dyDescent="0.35">
      <c r="A520" t="s">
        <v>215</v>
      </c>
      <c r="B520" t="s">
        <v>24</v>
      </c>
      <c r="C520" t="s">
        <v>15</v>
      </c>
      <c r="D520" t="s">
        <v>16</v>
      </c>
      <c r="E520" s="9" t="s">
        <v>883</v>
      </c>
      <c r="F520" s="10" t="str">
        <f>IF(OR(E520="",E520="!!!"),"",IF(NOT(ISNA(VLOOKUP(E520,E$1:E519,1,FALSE()))),"OLD",IF(AND(E520&lt;&gt;"",E520&lt;&gt;"!!!"),"NEW","")))</f>
        <v>NEW</v>
      </c>
      <c r="G520" s="11" t="s">
        <v>882</v>
      </c>
      <c r="H520" s="12" t="str">
        <f t="shared" ca="1" si="21"/>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x14ac:dyDescent="0.35">
      <c r="A521" t="s">
        <v>316</v>
      </c>
      <c r="E521" s="9" t="str">
        <f t="shared" si="20"/>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21"/>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x14ac:dyDescent="0.35">
      <c r="A522" t="s">
        <v>17</v>
      </c>
      <c r="E522" s="9" t="str">
        <f t="shared" si="20"/>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21"/>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x14ac:dyDescent="0.35">
      <c r="A523" t="s">
        <v>129</v>
      </c>
      <c r="B523" t="s">
        <v>20</v>
      </c>
      <c r="C523" t="s">
        <v>33</v>
      </c>
      <c r="D523" t="s">
        <v>16</v>
      </c>
      <c r="E523" s="9" t="s">
        <v>884</v>
      </c>
      <c r="F523" s="10" t="str">
        <f>IF(OR(E523="",E523="!!!"),"",IF(NOT(ISNA(VLOOKUP(E523,E$1:E522,1,FALSE()))),"OLD",IF(AND(E523&lt;&gt;"",E523&lt;&gt;"!!!"),"NEW","")))</f>
        <v>NEW</v>
      </c>
      <c r="G523" s="11" t="s">
        <v>870</v>
      </c>
      <c r="H523" s="12" t="str">
        <f t="shared" ca="1" si="21"/>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x14ac:dyDescent="0.35">
      <c r="A524" t="s">
        <v>63</v>
      </c>
      <c r="E524" s="9" t="str">
        <f t="shared" si="20"/>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21"/>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x14ac:dyDescent="0.35">
      <c r="A525" t="s">
        <v>246</v>
      </c>
      <c r="E525" s="9" t="str">
        <f t="shared" si="20"/>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21"/>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x14ac:dyDescent="0.35">
      <c r="E526" s="9" t="str">
        <f t="shared" si="20"/>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21"/>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x14ac:dyDescent="0.35">
      <c r="A527" t="s">
        <v>244</v>
      </c>
      <c r="E527" s="9" t="str">
        <f t="shared" si="20"/>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21"/>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35">
      <c r="A528" t="s">
        <v>317</v>
      </c>
      <c r="E528" s="9" t="str">
        <f t="shared" si="20"/>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21"/>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x14ac:dyDescent="0.35">
      <c r="A529" t="s">
        <v>246</v>
      </c>
      <c r="E529" s="9" t="str">
        <f t="shared" si="20"/>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21"/>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x14ac:dyDescent="0.35">
      <c r="A530" t="s">
        <v>318</v>
      </c>
      <c r="B530" t="s">
        <v>14</v>
      </c>
      <c r="C530" t="s">
        <v>80</v>
      </c>
      <c r="D530" t="s">
        <v>16</v>
      </c>
      <c r="E530" s="9" t="s">
        <v>883</v>
      </c>
      <c r="F530" s="10" t="str">
        <f>IF(OR(E530="",E530="!!!"),"",IF(NOT(ISNA(VLOOKUP(E530,E$1:E529,1,FALSE()))),"OLD",IF(AND(E530&lt;&gt;"",E530&lt;&gt;"!!!"),"NEW","")))</f>
        <v>OLD</v>
      </c>
      <c r="G530" s="11" t="s">
        <v>874</v>
      </c>
      <c r="H530" s="12" t="str">
        <f t="shared" ca="1" si="21"/>
        <v>?</v>
      </c>
      <c r="I530" s="13" t="str">
        <f>IF(OR(E530="",E530="!!!",F530="NEW"),"",INDEX(B$2:B529,-1+SUMPRODUCT(MAX(ROW(E$2:E529)*(E530=E$2:E529)))))</f>
        <v>other_2</v>
      </c>
      <c r="J530" s="14">
        <f ca="1">IF(OR(E530="",E530="!!!",F530="NEW"),"",COUNTBLANK(OFFSET(A$1,,,SUMPRODUCT(MAX(ROW(E$2:E530)*(E530=E$2:E530)))))-COUNTBLANK(OFFSET(A$1,,,SUMPRODUCT(MAX(ROW(E$1:E529)*(E530=E$1:E529))))))</f>
        <v>1</v>
      </c>
      <c r="K530" s="14" t="str">
        <f ca="1">IF(OR(E530="",E530="!!!",F530="NEW"),"",INDEX(J$1:J529,SUMPRODUCT(MAX(ROW(E$1:E529)*(E530=E$1:E529)))))</f>
        <v/>
      </c>
      <c r="L530" s="15"/>
    </row>
    <row r="531" spans="1:12" x14ac:dyDescent="0.35">
      <c r="A531" t="s">
        <v>319</v>
      </c>
      <c r="E531" s="9" t="str">
        <f t="shared" si="20"/>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ca="1" si="21"/>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x14ac:dyDescent="0.35">
      <c r="A532" t="s">
        <v>242</v>
      </c>
      <c r="E532" s="9" t="str">
        <f t="shared" si="20"/>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21"/>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x14ac:dyDescent="0.35">
      <c r="A533" t="s">
        <v>243</v>
      </c>
      <c r="B533" t="s">
        <v>54</v>
      </c>
      <c r="C533" t="s">
        <v>21</v>
      </c>
      <c r="D533" t="s">
        <v>16</v>
      </c>
      <c r="E533" s="9" t="s">
        <v>39</v>
      </c>
      <c r="F533" s="10" t="str">
        <f>IF(OR(E533="",E533="!!!"),"",IF(NOT(ISNA(VLOOKUP(E533,E$1:E532,1,FALSE()))),"OLD",IF(AND(E533&lt;&gt;"",E533&lt;&gt;"!!!"),"NEW","")))</f>
        <v>NEW</v>
      </c>
      <c r="G533" s="11" t="s">
        <v>877</v>
      </c>
      <c r="H533" s="12" t="str">
        <f t="shared" ca="1" si="21"/>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x14ac:dyDescent="0.35">
      <c r="A534" t="s">
        <v>76</v>
      </c>
      <c r="E534" s="9" t="str">
        <f t="shared" si="20"/>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21"/>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x14ac:dyDescent="0.35">
      <c r="A535" t="s">
        <v>58</v>
      </c>
      <c r="E535" s="9" t="str">
        <f t="shared" si="20"/>
        <v/>
      </c>
      <c r="F535" s="10" t="str">
        <f>IF(OR(E535="",E535="!!!"),"",IF(NOT(ISNA(VLOOKUP(E535,E$1:E534,1,FALSE()))),"OLD",IF(AND(E535&lt;&gt;"",E535&lt;&gt;"!!!"),"NEW","")))</f>
        <v/>
      </c>
      <c r="G535" s="11" t="str">
        <f>IF(OR(E535="",E535="!!!"),"",IF(OR(J535=0,AND(J535=1,K535=1),AND(J535=1,I535="SBJ"),AND(J535=1,I535=0)),"?IN_FOCUS",IF(J535&lt;=2,"?ACTIVATED",IF(J535&lt;&gt;"","?FAMILIAR",IF(F535="NEW",IF(ISNA(VLOOKUP(E535,#REF!,1,FALSE())),"?TYPE_IDENTIFIABLE","?REFERENTIAL"),"_")))))</f>
        <v/>
      </c>
      <c r="H535" s="12" t="str">
        <f t="shared" ca="1" si="21"/>
        <v/>
      </c>
      <c r="I535" s="13" t="str">
        <f>IF(OR(E535="",E535="!!!",F535="NEW"),"",INDEX(B$2:B534,-1+SUMPRODUCT(MAX(ROW(E$2:E534)*(E535=E$2:E534)))))</f>
        <v/>
      </c>
      <c r="J535" s="14" t="str">
        <f ca="1">IF(OR(E535="",E535="!!!",F535="NEW"),"",COUNTBLANK(OFFSET(A$1,,,SUMPRODUCT(MAX(ROW(E$2:E535)*(E535=E$2:E535)))))-COUNTBLANK(OFFSET(A$1,,,SUMPRODUCT(MAX(ROW(E$1:E534)*(E535=E$1:E534))))))</f>
        <v/>
      </c>
      <c r="K535" s="14" t="str">
        <f>IF(OR(E535="",E535="!!!",F535="NEW"),"",INDEX(J$1:J534,SUMPRODUCT(MAX(ROW(E$1:E534)*(E535=E$1:E534)))))</f>
        <v/>
      </c>
      <c r="L535" s="15"/>
    </row>
    <row r="536" spans="1:12" x14ac:dyDescent="0.35">
      <c r="A536" t="s">
        <v>320</v>
      </c>
      <c r="B536" t="s">
        <v>54</v>
      </c>
      <c r="C536" t="s">
        <v>15</v>
      </c>
      <c r="D536" t="s">
        <v>16</v>
      </c>
      <c r="E536" s="9" t="s">
        <v>262</v>
      </c>
      <c r="F536" s="10" t="s">
        <v>876</v>
      </c>
      <c r="G536" s="11"/>
      <c r="H536" s="12" t="str">
        <f t="shared" ca="1" si="21"/>
        <v>?</v>
      </c>
      <c r="I536" s="13" t="str">
        <f>IF(OR(E536="",E536="!!!",F536="NEW"),"",INDEX(B$2:B535,-1+SUMPRODUCT(MAX(ROW(E$2:E535)*(E536=E$2:E535)))))</f>
        <v>OBJ</v>
      </c>
      <c r="J536" s="14">
        <f ca="1">IF(OR(E536="",E536="!!!",F536="NEW"),"",COUNTBLANK(OFFSET(A$1,,,SUMPRODUCT(MAX(ROW(E$2:E536)*(E536=E$2:E536)))))-COUNTBLANK(OFFSET(A$1,,,SUMPRODUCT(MAX(ROW(E$1:E535)*(E536=E$1:E535))))))</f>
        <v>1</v>
      </c>
      <c r="K536" s="14">
        <f ca="1">IF(OR(E536="",E536="!!!",F536="NEW"),"",INDEX(J$1:J535,SUMPRODUCT(MAX(ROW(E$1:E535)*(E536=E$1:E535)))))</f>
        <v>1</v>
      </c>
      <c r="L536" s="15"/>
    </row>
    <row r="537" spans="1:12" x14ac:dyDescent="0.35">
      <c r="A537" t="s">
        <v>17</v>
      </c>
      <c r="E537" s="9" t="str">
        <f t="shared" si="20"/>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21"/>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x14ac:dyDescent="0.35">
      <c r="A538" t="s">
        <v>136</v>
      </c>
      <c r="B538" t="s">
        <v>20</v>
      </c>
      <c r="C538" t="s">
        <v>49</v>
      </c>
      <c r="D538" t="s">
        <v>16</v>
      </c>
      <c r="E538" s="9" t="s">
        <v>884</v>
      </c>
      <c r="F538" s="10" t="str">
        <f>IF(OR(E538="",E538="!!!"),"",IF(NOT(ISNA(VLOOKUP(E538,E$1:E537,1,FALSE()))),"OLD",IF(AND(E538&lt;&gt;"",E538&lt;&gt;"!!!"),"NEW","")))</f>
        <v>OLD</v>
      </c>
      <c r="G538" s="11" t="s">
        <v>870</v>
      </c>
      <c r="H538" s="12" t="str">
        <f t="shared" ca="1" si="21"/>
        <v>?</v>
      </c>
      <c r="I538" s="13" t="str">
        <f>IF(OR(E538="",E538="!!!",F538="NEW"),"",INDEX(B$2:B537,-1+SUMPRODUCT(MAX(ROW(E$2:E537)*(E538=E$2:E537)))))</f>
        <v>other_3</v>
      </c>
      <c r="J538" s="14">
        <f ca="1">IF(OR(E538="",E538="!!!",F538="NEW"),"",COUNTBLANK(OFFSET(A$1,,,SUMPRODUCT(MAX(ROW(E$2:E538)*(E538=E$2:E538)))))-COUNTBLANK(OFFSET(A$1,,,SUMPRODUCT(MAX(ROW(E$1:E537)*(E538=E$1:E537))))))</f>
        <v>1</v>
      </c>
      <c r="K538" s="14" t="str">
        <f ca="1">IF(OR(E538="",E538="!!!",F538="NEW"),"",INDEX(J$1:J537,SUMPRODUCT(MAX(ROW(E$1:E537)*(E538=E$1:E537)))))</f>
        <v/>
      </c>
      <c r="L538" s="15"/>
    </row>
    <row r="539" spans="1:12" x14ac:dyDescent="0.35">
      <c r="A539" t="s">
        <v>321</v>
      </c>
      <c r="B539" t="s">
        <v>24</v>
      </c>
      <c r="C539" t="s">
        <v>15</v>
      </c>
      <c r="D539" t="s">
        <v>16</v>
      </c>
      <c r="E539" s="9" t="s">
        <v>262</v>
      </c>
      <c r="F539" s="10" t="s">
        <v>876</v>
      </c>
      <c r="G539" s="11"/>
      <c r="H539" s="12" t="str">
        <f t="shared" ca="1" si="21"/>
        <v/>
      </c>
      <c r="I539" s="13" t="str">
        <f>IF(OR(E539="",E539="!!!",F539="NEW"),"",INDEX(B$2:B538,-1+SUMPRODUCT(MAX(ROW(E$2:E538)*(E539=E$2:E538)))))</f>
        <v>other</v>
      </c>
      <c r="J539" s="14">
        <f ca="1">IF(OR(E539="",E539="!!!",F539="NEW"),"",COUNTBLANK(OFFSET(A$1,,,SUMPRODUCT(MAX(ROW(E$2:E539)*(E539=E$2:E539)))))-COUNTBLANK(OFFSET(A$1,,,SUMPRODUCT(MAX(ROW(E$1:E538)*(E539=E$1:E538))))))</f>
        <v>0</v>
      </c>
      <c r="K539" s="14">
        <f ca="1">IF(OR(E539="",E539="!!!",F539="NEW"),"",INDEX(J$1:J538,SUMPRODUCT(MAX(ROW(E$1:E538)*(E539=E$1:E538)))))</f>
        <v>1</v>
      </c>
      <c r="L539" s="15"/>
    </row>
    <row r="540" spans="1:12" x14ac:dyDescent="0.35">
      <c r="A540" t="s">
        <v>63</v>
      </c>
      <c r="E540" s="9" t="str">
        <f t="shared" si="20"/>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21"/>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x14ac:dyDescent="0.35">
      <c r="E541" s="9" t="str">
        <f t="shared" si="20"/>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21"/>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x14ac:dyDescent="0.35">
      <c r="A542" t="s">
        <v>244</v>
      </c>
      <c r="E542" s="9" t="str">
        <f t="shared" si="20"/>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21"/>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x14ac:dyDescent="0.35">
      <c r="A543" t="s">
        <v>322</v>
      </c>
      <c r="E543" s="9" t="str">
        <f t="shared" si="20"/>
        <v/>
      </c>
      <c r="F543" s="10" t="str">
        <f>IF(OR(E543="",E543="!!!"),"",IF(NOT(ISNA(VLOOKUP(E543,E$1:E542,1,FALSE()))),"OLD",IF(AND(E543&lt;&gt;"",E543&lt;&gt;"!!!"),"NEW","")))</f>
        <v/>
      </c>
      <c r="G543" s="11" t="str">
        <f>IF(OR(E543="",E543="!!!"),"",IF(OR(J543=0,AND(J543=1,K543=1),AND(J543=1,I543="SBJ"),AND(J543=1,I543=0)),"?IN_FOCUS",IF(J543&lt;=2,"?ACTIVATED",IF(J543&lt;&gt;"","?FAMILIAR",IF(F543="NEW",IF(ISNA(VLOOKUP(E543,#REF!,1,FALSE())),"?TYPE_IDENTIFIABLE","?REFERENTIAL"),"_")))))</f>
        <v/>
      </c>
      <c r="H543" s="12" t="str">
        <f t="shared" ca="1" si="21"/>
        <v/>
      </c>
      <c r="I543" s="13" t="str">
        <f>IF(OR(E543="",E543="!!!",F543="NEW"),"",INDEX(B$2:B542,-1+SUMPRODUCT(MAX(ROW(E$2:E542)*(E543=E$2:E542)))))</f>
        <v/>
      </c>
      <c r="J543" s="14" t="str">
        <f ca="1">IF(OR(E543="",E543="!!!",F543="NEW"),"",COUNTBLANK(OFFSET(A$1,,,SUMPRODUCT(MAX(ROW(E$2:E543)*(E543=E$2:E543)))))-COUNTBLANK(OFFSET(A$1,,,SUMPRODUCT(MAX(ROW(E$1:E542)*(E543=E$1:E542))))))</f>
        <v/>
      </c>
      <c r="K543" s="14" t="str">
        <f>IF(OR(E543="",E543="!!!",F543="NEW"),"",INDEX(J$1:J542,SUMPRODUCT(MAX(ROW(E$1:E542)*(E543=E$1:E542)))))</f>
        <v/>
      </c>
      <c r="L543" s="15"/>
    </row>
    <row r="544" spans="1:12" x14ac:dyDescent="0.35">
      <c r="A544" t="s">
        <v>110</v>
      </c>
      <c r="B544" t="s">
        <v>14</v>
      </c>
      <c r="C544" t="s">
        <v>33</v>
      </c>
      <c r="D544" t="s">
        <v>16</v>
      </c>
      <c r="E544" s="9" t="s">
        <v>868</v>
      </c>
      <c r="F544" s="10" t="str">
        <f>IF(OR(E544="",E544="!!!"),"",IF(NOT(ISNA(VLOOKUP(E544,E$1:E543,1,FALSE()))),"OLD",IF(AND(E544&lt;&gt;"",E544&lt;&gt;"!!!"),"NEW","")))</f>
        <v>OLD</v>
      </c>
      <c r="G544" s="11" t="s">
        <v>874</v>
      </c>
      <c r="H544" s="12" t="str">
        <f t="shared" ca="1" si="21"/>
        <v/>
      </c>
      <c r="I544" s="13" t="str">
        <f>IF(OR(E544="",E544="!!!",F544="NEW"),"",INDEX(B$2:B543,-1+SUMPRODUCT(MAX(ROW(E$2:E543)*(E544=E$2:E543)))))</f>
        <v>other</v>
      </c>
      <c r="J544" s="14">
        <f ca="1">IF(OR(E544="",E544="!!!",F544="NEW"),"",COUNTBLANK(OFFSET(A$1,,,SUMPRODUCT(MAX(ROW(E$2:E544)*(E544=E$2:E544)))))-COUNTBLANK(OFFSET(A$1,,,SUMPRODUCT(MAX(ROW(E$1:E543)*(E544=E$1:E543))))))</f>
        <v>6</v>
      </c>
      <c r="K544" s="14">
        <f ca="1">IF(OR(E544="",E544="!!!",F544="NEW"),"",INDEX(J$1:J543,SUMPRODUCT(MAX(ROW(E$1:E543)*(E544=E$1:E543)))))</f>
        <v>0</v>
      </c>
      <c r="L544" s="15"/>
    </row>
    <row r="545" spans="1:12" x14ac:dyDescent="0.35">
      <c r="A545" t="s">
        <v>323</v>
      </c>
      <c r="E545" s="9" t="str">
        <f t="shared" si="20"/>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21"/>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x14ac:dyDescent="0.35">
      <c r="A546" t="s">
        <v>324</v>
      </c>
      <c r="E546" s="9" t="str">
        <f t="shared" si="20"/>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21"/>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x14ac:dyDescent="0.35">
      <c r="A547" t="s">
        <v>248</v>
      </c>
      <c r="B547" t="s">
        <v>32</v>
      </c>
      <c r="C547" t="s">
        <v>33</v>
      </c>
      <c r="D547" t="s">
        <v>16</v>
      </c>
      <c r="E547" s="9" t="s">
        <v>885</v>
      </c>
      <c r="F547" s="10" t="str">
        <f>IF(OR(E547="",E547="!!!"),"",IF(NOT(ISNA(VLOOKUP(E547,E$1:E546,1,FALSE()))),"OLD",IF(AND(E547&lt;&gt;"",E547&lt;&gt;"!!!"),"NEW","")))</f>
        <v>NEW</v>
      </c>
      <c r="G547" s="11" t="s">
        <v>870</v>
      </c>
      <c r="H547" s="12" t="str">
        <f t="shared" ca="1" si="21"/>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x14ac:dyDescent="0.35">
      <c r="A548" t="s">
        <v>45</v>
      </c>
      <c r="E548" s="9" t="str">
        <f t="shared" si="20"/>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21"/>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x14ac:dyDescent="0.35">
      <c r="A549" t="s">
        <v>241</v>
      </c>
      <c r="E549" s="9" t="str">
        <f t="shared" si="20"/>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21"/>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x14ac:dyDescent="0.35">
      <c r="A550" t="s">
        <v>169</v>
      </c>
      <c r="E550" s="9" t="str">
        <f t="shared" si="20"/>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21"/>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35">
      <c r="A551" t="s">
        <v>325</v>
      </c>
      <c r="B551" t="s">
        <v>24</v>
      </c>
      <c r="C551" t="s">
        <v>108</v>
      </c>
      <c r="E551" s="9" t="str">
        <f t="shared" si="20"/>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21"/>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x14ac:dyDescent="0.35">
      <c r="A552" t="s">
        <v>76</v>
      </c>
      <c r="E552" s="9" t="str">
        <f t="shared" si="20"/>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21"/>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x14ac:dyDescent="0.35">
      <c r="A553" t="s">
        <v>224</v>
      </c>
      <c r="E553" s="9" t="str">
        <f t="shared" si="20"/>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21"/>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x14ac:dyDescent="0.35">
      <c r="A554" t="s">
        <v>45</v>
      </c>
      <c r="E554" s="9" t="str">
        <f t="shared" si="20"/>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21"/>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x14ac:dyDescent="0.35">
      <c r="A555" t="s">
        <v>202</v>
      </c>
      <c r="E555" s="9" t="str">
        <f t="shared" si="20"/>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21"/>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x14ac:dyDescent="0.35">
      <c r="A556" t="s">
        <v>326</v>
      </c>
      <c r="E556" s="9" t="str">
        <f t="shared" si="20"/>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21"/>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x14ac:dyDescent="0.35">
      <c r="A557" t="s">
        <v>34</v>
      </c>
      <c r="E557" s="9" t="str">
        <f t="shared" si="20"/>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21"/>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x14ac:dyDescent="0.35">
      <c r="A558" t="s">
        <v>327</v>
      </c>
      <c r="B558" t="s">
        <v>56</v>
      </c>
      <c r="C558" t="s">
        <v>37</v>
      </c>
      <c r="E558" s="9" t="str">
        <f t="shared" si="20"/>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21"/>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x14ac:dyDescent="0.35">
      <c r="A559" t="s">
        <v>63</v>
      </c>
      <c r="E559" s="9" t="str">
        <f t="shared" si="20"/>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ca="1" si="21"/>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x14ac:dyDescent="0.35">
      <c r="A560" t="s">
        <v>246</v>
      </c>
      <c r="E560" s="9" t="str">
        <f t="shared" si="20"/>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21"/>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x14ac:dyDescent="0.35">
      <c r="E561" s="9" t="str">
        <f t="shared" si="20"/>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ca="1" si="21"/>
        <v/>
      </c>
      <c r="I561" s="13" t="str">
        <f>IF(OR(E561="",E561="!!!",F561="NEW"),"",INDEX(B$2:B560,-1+SUMPRODUCT(MAX(ROW(E$2:E560)*(E561=E$2:E560)))))</f>
        <v/>
      </c>
      <c r="J561" s="14" t="str">
        <f ca="1">IF(OR(E561="",E561="!!!",F561="NEW"),"",COUNTBLANK(OFFSET(A$1,,,SUMPRODUCT(MAX(ROW(E$2:E561)*(E561=E$2:E561)))))-COUNTBLANK(OFFSET(A$1,,,SUMPRODUCT(MAX(ROW(E$1:E560)*(E561=E$1:E560))))))</f>
        <v/>
      </c>
      <c r="K561" s="14" t="str">
        <f>IF(OR(E561="",E561="!!!",F561="NEW"),"",INDEX(J$1:J560,SUMPRODUCT(MAX(ROW(E$1:E560)*(E561=E$1:E560)))))</f>
        <v/>
      </c>
      <c r="L561" s="15"/>
    </row>
    <row r="562" spans="1:12" x14ac:dyDescent="0.35">
      <c r="A562" t="s">
        <v>328</v>
      </c>
      <c r="E562" s="9" t="str">
        <f t="shared" si="20"/>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21"/>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x14ac:dyDescent="0.35">
      <c r="A563" t="s">
        <v>222</v>
      </c>
      <c r="B563" t="s">
        <v>14</v>
      </c>
      <c r="C563" t="s">
        <v>33</v>
      </c>
      <c r="D563" t="s">
        <v>16</v>
      </c>
      <c r="E563" s="9" t="s">
        <v>884</v>
      </c>
      <c r="F563" s="10" t="str">
        <f>IF(OR(E563="",E563="!!!"),"",IF(NOT(ISNA(VLOOKUP(E563,E$1:E562,1,FALSE()))),"OLD",IF(AND(E563&lt;&gt;"",E563&lt;&gt;"!!!"),"NEW","")))</f>
        <v>OLD</v>
      </c>
      <c r="G563" s="11" t="s">
        <v>877</v>
      </c>
      <c r="H563" s="12" t="str">
        <f t="shared" ca="1" si="21"/>
        <v/>
      </c>
      <c r="I563" s="13" t="str">
        <f>IF(OR(E563="",E563="!!!",F563="NEW"),"",INDEX(B$2:B562,-1+SUMPRODUCT(MAX(ROW(E$2:E562)*(E563=E$2:E562)))))</f>
        <v>other_3</v>
      </c>
      <c r="J563" s="14">
        <f ca="1">IF(OR(E563="",E563="!!!",F563="NEW"),"",COUNTBLANK(OFFSET(A$1,,,SUMPRODUCT(MAX(ROW(E$2:E563)*(E563=E$2:E563)))))-COUNTBLANK(OFFSET(A$1,,,SUMPRODUCT(MAX(ROW(E$1:E562)*(E563=E$1:E562))))))</f>
        <v>2</v>
      </c>
      <c r="K563" s="14">
        <f ca="1">IF(OR(E563="",E563="!!!",F563="NEW"),"",INDEX(J$1:J562,SUMPRODUCT(MAX(ROW(E$1:E562)*(E563=E$1:E562)))))</f>
        <v>1</v>
      </c>
      <c r="L563" s="15"/>
    </row>
    <row r="564" spans="1:12" x14ac:dyDescent="0.35">
      <c r="A564" t="s">
        <v>329</v>
      </c>
      <c r="E564" s="9" t="str">
        <f t="shared" si="20"/>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21"/>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x14ac:dyDescent="0.35">
      <c r="A565" t="s">
        <v>330</v>
      </c>
      <c r="E565" s="9" t="str">
        <f t="shared" si="20"/>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21"/>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x14ac:dyDescent="0.35">
      <c r="A566" t="s">
        <v>331</v>
      </c>
      <c r="E566" s="9" t="str">
        <f t="shared" si="20"/>
        <v/>
      </c>
      <c r="F566" s="10" t="str">
        <f>IF(OR(E566="",E566="!!!"),"",IF(NOT(ISNA(VLOOKUP(E566,E$1:E565,1,FALSE()))),"OLD",IF(AND(E566&lt;&gt;"",E566&lt;&gt;"!!!"),"NEW","")))</f>
        <v/>
      </c>
      <c r="G566" s="11" t="str">
        <f>IF(OR(E566="",E566="!!!"),"",IF(OR(J566=0,AND(J566=1,K566=1),AND(J566=1,I566="SBJ"),AND(J566=1,I566=0)),"?IN_FOCUS",IF(J566&lt;=2,"?ACTIVATED",IF(J566&lt;&gt;"","?FAMILIAR",IF(F566="NEW",IF(ISNA(VLOOKUP(E566,#REF!,1,FALSE())),"?TYPE_IDENTIFIABLE","?REFERENTIAL"),"_")))))</f>
        <v/>
      </c>
      <c r="H566" s="12" t="str">
        <f t="shared" ca="1" si="21"/>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x14ac:dyDescent="0.35">
      <c r="A567" t="s">
        <v>58</v>
      </c>
      <c r="E567" s="9" t="str">
        <f t="shared" ref="E567:E630" si="22">IF(D567="?OLD","!!!","")</f>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ref="H567:H630" ca="1" si="23">IF(J567&lt;&gt;1,"",IF(I567="SBJ","CB","?"))</f>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x14ac:dyDescent="0.35">
      <c r="A568" t="s">
        <v>332</v>
      </c>
      <c r="B568" t="s">
        <v>54</v>
      </c>
      <c r="C568" t="s">
        <v>99</v>
      </c>
      <c r="D568" t="s">
        <v>16</v>
      </c>
      <c r="E568" s="9" t="s">
        <v>262</v>
      </c>
      <c r="F568" s="10" t="s">
        <v>876</v>
      </c>
      <c r="G568" s="11"/>
      <c r="H568" s="12" t="str">
        <f t="shared" ca="1" si="23"/>
        <v/>
      </c>
      <c r="I568" s="13" t="str">
        <f>IF(OR(E568="",E568="!!!",F568="NEW"),"",INDEX(B$2:B567,-1+SUMPRODUCT(MAX(ROW(E$2:E567)*(E568=E$2:E567)))))</f>
        <v>other_2</v>
      </c>
      <c r="J568" s="14">
        <f ca="1">IF(OR(E568="",E568="!!!",F568="NEW"),"",COUNTBLANK(OFFSET(A$1,,,SUMPRODUCT(MAX(ROW(E$2:E568)*(E568=E$2:E568)))))-COUNTBLANK(OFFSET(A$1,,,SUMPRODUCT(MAX(ROW(E$1:E567)*(E568=E$1:E567))))))</f>
        <v>2</v>
      </c>
      <c r="K568" s="14">
        <f ca="1">IF(OR(E568="",E568="!!!",F568="NEW"),"",INDEX(J$1:J567,SUMPRODUCT(MAX(ROW(E$1:E567)*(E568=E$1:E567)))))</f>
        <v>0</v>
      </c>
      <c r="L568" s="15"/>
    </row>
    <row r="569" spans="1:12" x14ac:dyDescent="0.35">
      <c r="A569" t="s">
        <v>105</v>
      </c>
      <c r="E569" s="9" t="str">
        <f t="shared" si="22"/>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23"/>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x14ac:dyDescent="0.35">
      <c r="A570" t="s">
        <v>333</v>
      </c>
      <c r="E570" s="9" t="str">
        <f t="shared" si="22"/>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23"/>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x14ac:dyDescent="0.35">
      <c r="A571" t="s">
        <v>133</v>
      </c>
      <c r="B571" t="s">
        <v>36</v>
      </c>
      <c r="C571" t="s">
        <v>33</v>
      </c>
      <c r="D571" t="s">
        <v>16</v>
      </c>
      <c r="E571" s="9" t="s">
        <v>884</v>
      </c>
      <c r="F571" s="10" t="str">
        <f>IF(OR(E571="",E571="!!!"),"",IF(NOT(ISNA(VLOOKUP(E571,E$1:E570,1,FALSE()))),"OLD",IF(AND(E571&lt;&gt;"",E571&lt;&gt;"!!!"),"NEW","")))</f>
        <v>OLD</v>
      </c>
      <c r="G571" s="11" t="s">
        <v>870</v>
      </c>
      <c r="H571" s="12" t="str">
        <f t="shared" ca="1" si="23"/>
        <v/>
      </c>
      <c r="I571" s="13" t="str">
        <f>IF(OR(E571="",E571="!!!",F571="NEW"),"",INDEX(B$2:B570,-1+SUMPRODUCT(MAX(ROW(E$2:E570)*(E571=E$2:E570)))))</f>
        <v>SBJ</v>
      </c>
      <c r="J571" s="14">
        <f ca="1">IF(OR(E571="",E571="!!!",F571="NEW"),"",COUNTBLANK(OFFSET(A$1,,,SUMPRODUCT(MAX(ROW(E$2:E571)*(E571=E$2:E571)))))-COUNTBLANK(OFFSET(A$1,,,SUMPRODUCT(MAX(ROW(E$1:E570)*(E571=E$1:E570))))))</f>
        <v>0</v>
      </c>
      <c r="K571" s="14">
        <f ca="1">IF(OR(E571="",E571="!!!",F571="NEW"),"",INDEX(J$1:J570,SUMPRODUCT(MAX(ROW(E$1:E570)*(E571=E$1:E570)))))</f>
        <v>2</v>
      </c>
      <c r="L571" s="15"/>
    </row>
    <row r="572" spans="1:12" x14ac:dyDescent="0.35">
      <c r="A572" t="s">
        <v>83</v>
      </c>
      <c r="E572" s="9" t="str">
        <f t="shared" si="22"/>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23"/>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x14ac:dyDescent="0.35">
      <c r="A573" t="s">
        <v>334</v>
      </c>
      <c r="E573" s="9" t="str">
        <f t="shared" si="22"/>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23"/>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x14ac:dyDescent="0.35">
      <c r="A574" t="s">
        <v>103</v>
      </c>
      <c r="E574" s="9" t="str">
        <f t="shared" si="22"/>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23"/>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x14ac:dyDescent="0.35">
      <c r="A575" t="s">
        <v>58</v>
      </c>
      <c r="E575" s="9" t="str">
        <f t="shared" si="22"/>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23"/>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x14ac:dyDescent="0.35">
      <c r="A576" t="s">
        <v>215</v>
      </c>
      <c r="B576" t="s">
        <v>24</v>
      </c>
      <c r="C576" t="s">
        <v>99</v>
      </c>
      <c r="D576" t="s">
        <v>16</v>
      </c>
      <c r="E576" s="9" t="s">
        <v>883</v>
      </c>
      <c r="F576" s="10" t="str">
        <f>IF(OR(E576="",E576="!!!"),"",IF(NOT(ISNA(VLOOKUP(E576,E$1:E575,1,FALSE()))),"OLD",IF(AND(E576&lt;&gt;"",E576&lt;&gt;"!!!"),"NEW","")))</f>
        <v>OLD</v>
      </c>
      <c r="G576" s="11" t="s">
        <v>877</v>
      </c>
      <c r="H576" s="12" t="str">
        <f t="shared" ca="1" si="23"/>
        <v/>
      </c>
      <c r="I576" s="13" t="str">
        <f>IF(OR(E576="",E576="!!!",F576="NEW"),"",INDEX(B$2:B575,-1+SUMPRODUCT(MAX(ROW(E$2:E575)*(E576=E$2:E575)))))</f>
        <v>SBJ</v>
      </c>
      <c r="J576" s="14">
        <f ca="1">IF(OR(E576="",E576="!!!",F576="NEW"),"",COUNTBLANK(OFFSET(A$1,,,SUMPRODUCT(MAX(ROW(E$2:E576)*(E576=E$2:E576)))))-COUNTBLANK(OFFSET(A$1,,,SUMPRODUCT(MAX(ROW(E$1:E575)*(E576=E$1:E575))))))</f>
        <v>2</v>
      </c>
      <c r="K576" s="14">
        <f ca="1">IF(OR(E576="",E576="!!!",F576="NEW"),"",INDEX(J$1:J575,SUMPRODUCT(MAX(ROW(E$1:E575)*(E576=E$1:E575)))))</f>
        <v>1</v>
      </c>
      <c r="L576" s="15"/>
    </row>
    <row r="577" spans="1:12" x14ac:dyDescent="0.35">
      <c r="A577" t="s">
        <v>26</v>
      </c>
      <c r="E577" s="9" t="str">
        <f t="shared" si="22"/>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23"/>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x14ac:dyDescent="0.35">
      <c r="A578" t="s">
        <v>115</v>
      </c>
      <c r="E578" s="9" t="str">
        <f t="shared" si="22"/>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23"/>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x14ac:dyDescent="0.35">
      <c r="A579" t="s">
        <v>19</v>
      </c>
      <c r="B579" t="s">
        <v>36</v>
      </c>
      <c r="C579" t="s">
        <v>21</v>
      </c>
      <c r="D579" t="s">
        <v>16</v>
      </c>
      <c r="E579" s="9" t="s">
        <v>868</v>
      </c>
      <c r="F579" s="10" t="str">
        <f>IF(OR(E579="",E579="!!!"),"",IF(NOT(ISNA(VLOOKUP(E579,E$1:E578,1,FALSE()))),"OLD",IF(AND(E579&lt;&gt;"",E579&lt;&gt;"!!!"),"NEW","")))</f>
        <v>OLD</v>
      </c>
      <c r="G579" s="11" t="s">
        <v>870</v>
      </c>
      <c r="H579" s="12" t="str">
        <f t="shared" ca="1" si="23"/>
        <v>CB</v>
      </c>
      <c r="I579" s="13" t="str">
        <f>IF(OR(E579="",E579="!!!",F579="NEW"),"",INDEX(B$2:B578,-1+SUMPRODUCT(MAX(ROW(E$2:E578)*(E579=E$2:E578)))))</f>
        <v>SBJ</v>
      </c>
      <c r="J579" s="14">
        <f ca="1">IF(OR(E579="",E579="!!!",F579="NEW"),"",COUNTBLANK(OFFSET(A$1,,,SUMPRODUCT(MAX(ROW(E$2:E579)*(E579=E$2:E579)))))-COUNTBLANK(OFFSET(A$1,,,SUMPRODUCT(MAX(ROW(E$1:E578)*(E579=E$1:E578))))))</f>
        <v>1</v>
      </c>
      <c r="K579" s="14">
        <f ca="1">IF(OR(E579="",E579="!!!",F579="NEW"),"",INDEX(J$1:J578,SUMPRODUCT(MAX(ROW(E$1:E578)*(E579=E$1:E578)))))</f>
        <v>6</v>
      </c>
      <c r="L579" s="15"/>
    </row>
    <row r="580" spans="1:12" x14ac:dyDescent="0.35">
      <c r="A580" t="s">
        <v>335</v>
      </c>
      <c r="E580" s="9" t="str">
        <f t="shared" si="22"/>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ca="1" si="23"/>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x14ac:dyDescent="0.35">
      <c r="A581" t="s">
        <v>129</v>
      </c>
      <c r="B581" t="s">
        <v>91</v>
      </c>
      <c r="C581" t="s">
        <v>33</v>
      </c>
      <c r="D581" t="s">
        <v>16</v>
      </c>
      <c r="E581" s="9" t="s">
        <v>884</v>
      </c>
      <c r="F581" s="10" t="str">
        <f>IF(OR(E581="",E581="!!!"),"",IF(NOT(ISNA(VLOOKUP(E581,E$1:E580,1,FALSE()))),"OLD",IF(AND(E581&lt;&gt;"",E581&lt;&gt;"!!!"),"NEW","")))</f>
        <v>OLD</v>
      </c>
      <c r="G581" s="11" t="s">
        <v>870</v>
      </c>
      <c r="H581" s="12" t="str">
        <f t="shared" ca="1" si="23"/>
        <v/>
      </c>
      <c r="I581" s="13" t="str">
        <f>IF(OR(E581="",E581="!!!",F581="NEW"),"",INDEX(B$2:B580,-1+SUMPRODUCT(MAX(ROW(E$2:E580)*(E581=E$2:E580)))))</f>
        <v>SBJ_2</v>
      </c>
      <c r="J581" s="14">
        <f ca="1">IF(OR(E581="",E581="!!!",F581="NEW"),"",COUNTBLANK(OFFSET(A$1,,,SUMPRODUCT(MAX(ROW(E$2:E581)*(E581=E$2:E581)))))-COUNTBLANK(OFFSET(A$1,,,SUMPRODUCT(MAX(ROW(E$1:E580)*(E581=E$1:E580))))))</f>
        <v>0</v>
      </c>
      <c r="K581" s="14">
        <f ca="1">IF(OR(E581="",E581="!!!",F581="NEW"),"",INDEX(J$1:J580,SUMPRODUCT(MAX(ROW(E$1:E580)*(E581=E$1:E580)))))</f>
        <v>0</v>
      </c>
      <c r="L581" s="15"/>
    </row>
    <row r="582" spans="1:12" x14ac:dyDescent="0.35">
      <c r="A582" t="s">
        <v>161</v>
      </c>
      <c r="E582" s="9" t="str">
        <f t="shared" si="22"/>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23"/>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x14ac:dyDescent="0.35">
      <c r="A583" t="s">
        <v>133</v>
      </c>
      <c r="B583" t="s">
        <v>41</v>
      </c>
      <c r="C583" t="s">
        <v>33</v>
      </c>
      <c r="D583" t="s">
        <v>16</v>
      </c>
      <c r="E583" s="9" t="s">
        <v>884</v>
      </c>
      <c r="F583" s="10" t="str">
        <f>IF(OR(E583="",E583="!!!"),"",IF(NOT(ISNA(VLOOKUP(E583,E$1:E582,1,FALSE()))),"OLD",IF(AND(E583&lt;&gt;"",E583&lt;&gt;"!!!"),"NEW","")))</f>
        <v>OLD</v>
      </c>
      <c r="G583" s="11" t="s">
        <v>870</v>
      </c>
      <c r="H583" s="12" t="str">
        <f t="shared" ca="1" si="23"/>
        <v/>
      </c>
      <c r="I583" s="13" t="str">
        <f>IF(OR(E583="",E583="!!!",F583="NEW"),"",INDEX(B$2:B582,-1+SUMPRODUCT(MAX(ROW(E$2:E582)*(E583=E$2:E582)))))</f>
        <v>OBJ_2</v>
      </c>
      <c r="J583" s="14">
        <f ca="1">IF(OR(E583="",E583="!!!",F583="NEW"),"",COUNTBLANK(OFFSET(A$1,,,SUMPRODUCT(MAX(ROW(E$2:E583)*(E583=E$2:E583)))))-COUNTBLANK(OFFSET(A$1,,,SUMPRODUCT(MAX(ROW(E$1:E582)*(E583=E$1:E582))))))</f>
        <v>0</v>
      </c>
      <c r="K583" s="14">
        <f ca="1">IF(OR(E583="",E583="!!!",F583="NEW"),"",INDEX(J$1:J582,SUMPRODUCT(MAX(ROW(E$1:E582)*(E583=E$1:E582)))))</f>
        <v>0</v>
      </c>
      <c r="L583" s="15"/>
    </row>
    <row r="584" spans="1:12" x14ac:dyDescent="0.35">
      <c r="A584" t="s">
        <v>83</v>
      </c>
      <c r="E584" s="9" t="str">
        <f t="shared" si="22"/>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23"/>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x14ac:dyDescent="0.35">
      <c r="A585" t="s">
        <v>134</v>
      </c>
      <c r="E585" s="9" t="str">
        <f t="shared" si="22"/>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23"/>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x14ac:dyDescent="0.35">
      <c r="A586" t="s">
        <v>336</v>
      </c>
      <c r="E586" s="9" t="str">
        <f t="shared" si="22"/>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23"/>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x14ac:dyDescent="0.35">
      <c r="A587" t="s">
        <v>337</v>
      </c>
      <c r="E587" s="9" t="str">
        <f t="shared" si="22"/>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23"/>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x14ac:dyDescent="0.35">
      <c r="A588" t="s">
        <v>338</v>
      </c>
      <c r="B588" t="s">
        <v>24</v>
      </c>
      <c r="C588" t="s">
        <v>339</v>
      </c>
      <c r="E588" s="9" t="str">
        <f t="shared" si="22"/>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23"/>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x14ac:dyDescent="0.35">
      <c r="A589" t="s">
        <v>69</v>
      </c>
      <c r="E589" s="9" t="str">
        <f t="shared" si="22"/>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23"/>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x14ac:dyDescent="0.35">
      <c r="A590" t="s">
        <v>31</v>
      </c>
      <c r="B590" t="s">
        <v>20</v>
      </c>
      <c r="C590" t="s">
        <v>33</v>
      </c>
      <c r="D590" t="s">
        <v>16</v>
      </c>
      <c r="E590" s="9" t="s">
        <v>883</v>
      </c>
      <c r="F590" s="10" t="str">
        <f>IF(OR(E590="",E590="!!!"),"",IF(NOT(ISNA(VLOOKUP(E590,E$1:E589,1,FALSE()))),"OLD",IF(AND(E590&lt;&gt;"",E590&lt;&gt;"!!!"),"NEW","")))</f>
        <v>OLD</v>
      </c>
      <c r="G590" s="11" t="s">
        <v>870</v>
      </c>
      <c r="H590" s="12" t="str">
        <f t="shared" ca="1" si="23"/>
        <v/>
      </c>
      <c r="I590" s="13" t="str">
        <f>IF(OR(E590="",E590="!!!",F590="NEW"),"",INDEX(B$2:B589,-1+SUMPRODUCT(MAX(ROW(E$2:E589)*(E590=E$2:E589)))))</f>
        <v>other_2</v>
      </c>
      <c r="J590" s="14">
        <f ca="1">IF(OR(E590="",E590="!!!",F590="NEW"),"",COUNTBLANK(OFFSET(A$1,,,SUMPRODUCT(MAX(ROW(E$2:E590)*(E590=E$2:E590)))))-COUNTBLANK(OFFSET(A$1,,,SUMPRODUCT(MAX(ROW(E$1:E589)*(E590=E$1:E589))))))</f>
        <v>0</v>
      </c>
      <c r="K590" s="14">
        <f ca="1">IF(OR(E590="",E590="!!!",F590="NEW"),"",INDEX(J$1:J589,SUMPRODUCT(MAX(ROW(E$1:E589)*(E590=E$1:E589)))))</f>
        <v>2</v>
      </c>
      <c r="L590" s="15"/>
    </row>
    <row r="591" spans="1:12" x14ac:dyDescent="0.35">
      <c r="A591" t="s">
        <v>63</v>
      </c>
      <c r="E591" s="9" t="str">
        <f t="shared" si="22"/>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23"/>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35">
      <c r="E592" s="9" t="str">
        <f t="shared" si="22"/>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23"/>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x14ac:dyDescent="0.35">
      <c r="A593" t="s">
        <v>244</v>
      </c>
      <c r="E593" s="9" t="str">
        <f t="shared" si="22"/>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23"/>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x14ac:dyDescent="0.35">
      <c r="A594" t="s">
        <v>340</v>
      </c>
      <c r="E594" s="9" t="str">
        <f t="shared" si="22"/>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23"/>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x14ac:dyDescent="0.35">
      <c r="A595" t="s">
        <v>246</v>
      </c>
      <c r="E595" s="9" t="str">
        <f t="shared" si="22"/>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23"/>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x14ac:dyDescent="0.35">
      <c r="A596" t="s">
        <v>341</v>
      </c>
      <c r="B596" t="s">
        <v>36</v>
      </c>
      <c r="C596" t="s">
        <v>80</v>
      </c>
      <c r="D596" t="s">
        <v>16</v>
      </c>
      <c r="E596" s="9" t="s">
        <v>262</v>
      </c>
      <c r="F596" s="10" t="s">
        <v>876</v>
      </c>
      <c r="G596" s="11"/>
      <c r="H596" s="12" t="str">
        <f t="shared" ca="1" si="23"/>
        <v>?</v>
      </c>
      <c r="I596" s="13" t="str">
        <f>IF(OR(E596="",E596="!!!",F596="NEW"),"",INDEX(B$2:B595,-1+SUMPRODUCT(MAX(ROW(E$2:E595)*(E596=E$2:E595)))))</f>
        <v>other</v>
      </c>
      <c r="J596" s="14">
        <f ca="1">IF(OR(E596="",E596="!!!",F596="NEW"),"",COUNTBLANK(OFFSET(A$1,,,SUMPRODUCT(MAX(ROW(E$2:E596)*(E596=E$2:E596)))))-COUNTBLANK(OFFSET(A$1,,,SUMPRODUCT(MAX(ROW(E$1:E595)*(E596=E$1:E595))))))</f>
        <v>1</v>
      </c>
      <c r="K596" s="14">
        <f ca="1">IF(OR(E596="",E596="!!!",F596="NEW"),"",INDEX(J$1:J595,SUMPRODUCT(MAX(ROW(E$1:E595)*(E596=E$1:E595)))))</f>
        <v>2</v>
      </c>
      <c r="L596" s="15"/>
    </row>
    <row r="597" spans="1:12" x14ac:dyDescent="0.35">
      <c r="A597" t="s">
        <v>342</v>
      </c>
      <c r="E597" s="9" t="str">
        <f t="shared" si="22"/>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23"/>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x14ac:dyDescent="0.35">
      <c r="A598" t="s">
        <v>343</v>
      </c>
      <c r="E598" s="9" t="str">
        <f t="shared" si="22"/>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23"/>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35">
      <c r="A599" t="s">
        <v>26</v>
      </c>
      <c r="E599" s="9" t="str">
        <f t="shared" si="22"/>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23"/>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x14ac:dyDescent="0.35">
      <c r="A600" t="s">
        <v>246</v>
      </c>
      <c r="E600" s="9" t="str">
        <f t="shared" si="22"/>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ca="1" si="23"/>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x14ac:dyDescent="0.35">
      <c r="A601" t="s">
        <v>140</v>
      </c>
      <c r="E601" s="9" t="str">
        <f t="shared" si="22"/>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23"/>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x14ac:dyDescent="0.35">
      <c r="A602" t="s">
        <v>40</v>
      </c>
      <c r="B602" t="s">
        <v>14</v>
      </c>
      <c r="C602" t="s">
        <v>33</v>
      </c>
      <c r="D602" t="s">
        <v>16</v>
      </c>
      <c r="E602" s="9" t="s">
        <v>868</v>
      </c>
      <c r="F602" s="10" t="str">
        <f>IF(OR(E602="",E602="!!!"),"",IF(NOT(ISNA(VLOOKUP(E602,E$1:E601,1,FALSE()))),"OLD",IF(AND(E602&lt;&gt;"",E602&lt;&gt;"!!!"),"NEW","")))</f>
        <v>OLD</v>
      </c>
      <c r="G602" s="11" t="s">
        <v>870</v>
      </c>
      <c r="H602" s="12" t="str">
        <f t="shared" ca="1" si="23"/>
        <v>?</v>
      </c>
      <c r="I602" s="13" t="str">
        <f>IF(OR(E602="",E602="!!!",F602="NEW"),"",INDEX(B$2:B601,-1+SUMPRODUCT(MAX(ROW(E$2:E601)*(E602=E$2:E601)))))</f>
        <v>SBJ_2</v>
      </c>
      <c r="J602" s="14">
        <f ca="1">IF(OR(E602="",E602="!!!",F602="NEW"),"",COUNTBLANK(OFFSET(A$1,,,SUMPRODUCT(MAX(ROW(E$2:E602)*(E602=E$2:E602)))))-COUNTBLANK(OFFSET(A$1,,,SUMPRODUCT(MAX(ROW(E$1:E601)*(E602=E$1:E601))))))</f>
        <v>1</v>
      </c>
      <c r="K602" s="14">
        <f ca="1">IF(OR(E602="",E602="!!!",F602="NEW"),"",INDEX(J$1:J601,SUMPRODUCT(MAX(ROW(E$1:E601)*(E602=E$1:E601)))))</f>
        <v>1</v>
      </c>
      <c r="L602" s="15"/>
    </row>
    <row r="603" spans="1:12" x14ac:dyDescent="0.35">
      <c r="A603" t="s">
        <v>63</v>
      </c>
      <c r="E603" s="9" t="str">
        <f t="shared" si="22"/>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23"/>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row>
    <row r="604" spans="1:12" x14ac:dyDescent="0.35">
      <c r="E604" s="9" t="str">
        <f t="shared" si="22"/>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23"/>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x14ac:dyDescent="0.35">
      <c r="A605" t="s">
        <v>244</v>
      </c>
      <c r="E605" s="9" t="str">
        <f t="shared" si="22"/>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23"/>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x14ac:dyDescent="0.35">
      <c r="A606" t="s">
        <v>344</v>
      </c>
      <c r="E606" s="9" t="str">
        <f t="shared" si="22"/>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23"/>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x14ac:dyDescent="0.35">
      <c r="A607" t="s">
        <v>246</v>
      </c>
      <c r="E607" s="9" t="str">
        <f t="shared" si="22"/>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23"/>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x14ac:dyDescent="0.35">
      <c r="A608" t="s">
        <v>345</v>
      </c>
      <c r="E608" s="9" t="str">
        <f t="shared" si="22"/>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23"/>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x14ac:dyDescent="0.35">
      <c r="A609" t="s">
        <v>346</v>
      </c>
      <c r="B609" t="s">
        <v>14</v>
      </c>
      <c r="C609" t="s">
        <v>122</v>
      </c>
      <c r="D609" t="s">
        <v>16</v>
      </c>
      <c r="E609" s="9" t="s">
        <v>262</v>
      </c>
      <c r="F609" s="10" t="s">
        <v>876</v>
      </c>
      <c r="G609" s="11"/>
      <c r="H609" s="12" t="str">
        <f t="shared" ca="1" si="23"/>
        <v>?</v>
      </c>
      <c r="I609" s="13" t="str">
        <f>IF(OR(E609="",E609="!!!",F609="NEW"),"",INDEX(B$2:B608,-1+SUMPRODUCT(MAX(ROW(E$2:E608)*(E609=E$2:E608)))))</f>
        <v>SBJ_2</v>
      </c>
      <c r="J609" s="14">
        <f ca="1">IF(OR(E609="",E609="!!!",F609="NEW"),"",COUNTBLANK(OFFSET(A$1,,,SUMPRODUCT(MAX(ROW(E$2:E609)*(E609=E$2:E609)))))-COUNTBLANK(OFFSET(A$1,,,SUMPRODUCT(MAX(ROW(E$1:E608)*(E609=E$1:E608))))))</f>
        <v>1</v>
      </c>
      <c r="K609" s="14">
        <f ca="1">IF(OR(E609="",E609="!!!",F609="NEW"),"",INDEX(J$1:J608,SUMPRODUCT(MAX(ROW(E$1:E608)*(E609=E$1:E608)))))</f>
        <v>1</v>
      </c>
      <c r="L609" s="15"/>
    </row>
    <row r="610" spans="1:12" x14ac:dyDescent="0.35">
      <c r="A610" t="s">
        <v>164</v>
      </c>
      <c r="E610" s="9" t="str">
        <f t="shared" si="22"/>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23"/>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x14ac:dyDescent="0.35">
      <c r="A611" t="s">
        <v>58</v>
      </c>
      <c r="E611" s="9" t="str">
        <f t="shared" si="22"/>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23"/>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x14ac:dyDescent="0.35">
      <c r="A612" t="s">
        <v>347</v>
      </c>
      <c r="B612" t="s">
        <v>24</v>
      </c>
      <c r="C612" t="s">
        <v>99</v>
      </c>
      <c r="D612" t="s">
        <v>16</v>
      </c>
      <c r="E612" s="9" t="s">
        <v>262</v>
      </c>
      <c r="F612" s="10" t="s">
        <v>876</v>
      </c>
      <c r="G612" s="11"/>
      <c r="H612" s="12" t="str">
        <f t="shared" ca="1" si="23"/>
        <v/>
      </c>
      <c r="I612" s="13" t="str">
        <f>IF(OR(E612="",E612="!!!",F612="NEW"),"",INDEX(B$2:B611,-1+SUMPRODUCT(MAX(ROW(E$2:E611)*(E612=E$2:E611)))))</f>
        <v>SBJ</v>
      </c>
      <c r="J612" s="14">
        <f ca="1">IF(OR(E612="",E612="!!!",F612="NEW"),"",COUNTBLANK(OFFSET(A$1,,,SUMPRODUCT(MAX(ROW(E$2:E612)*(E612=E$2:E612)))))-COUNTBLANK(OFFSET(A$1,,,SUMPRODUCT(MAX(ROW(E$1:E611)*(E612=E$1:E611))))))</f>
        <v>0</v>
      </c>
      <c r="K612" s="14">
        <f ca="1">IF(OR(E612="",E612="!!!",F612="NEW"),"",INDEX(J$1:J611,SUMPRODUCT(MAX(ROW(E$1:E611)*(E612=E$1:E611)))))</f>
        <v>1</v>
      </c>
      <c r="L612" s="15"/>
    </row>
    <row r="613" spans="1:12" x14ac:dyDescent="0.35">
      <c r="A613" t="s">
        <v>135</v>
      </c>
      <c r="E613" s="9" t="str">
        <f t="shared" si="22"/>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23"/>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x14ac:dyDescent="0.35">
      <c r="A614" t="s">
        <v>348</v>
      </c>
      <c r="E614" s="9" t="str">
        <f t="shared" si="22"/>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23"/>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x14ac:dyDescent="0.35">
      <c r="A615" t="s">
        <v>349</v>
      </c>
      <c r="E615" s="9" t="str">
        <f t="shared" si="22"/>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23"/>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x14ac:dyDescent="0.35">
      <c r="A616" t="s">
        <v>350</v>
      </c>
      <c r="B616" t="s">
        <v>32</v>
      </c>
      <c r="C616" t="s">
        <v>37</v>
      </c>
      <c r="E616" s="9" t="str">
        <f t="shared" si="22"/>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23"/>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x14ac:dyDescent="0.35">
      <c r="A617" t="s">
        <v>63</v>
      </c>
      <c r="E617" s="9" t="str">
        <f t="shared" si="22"/>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23"/>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x14ac:dyDescent="0.35">
      <c r="A618" t="s">
        <v>246</v>
      </c>
      <c r="E618" s="9" t="str">
        <f t="shared" si="22"/>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23"/>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x14ac:dyDescent="0.35">
      <c r="E619" s="9" t="str">
        <f t="shared" si="22"/>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23"/>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x14ac:dyDescent="0.35">
      <c r="A620" t="s">
        <v>244</v>
      </c>
      <c r="E620" s="9" t="str">
        <f t="shared" si="22"/>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23"/>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x14ac:dyDescent="0.35">
      <c r="A621" t="s">
        <v>351</v>
      </c>
      <c r="E621" s="9" t="str">
        <f t="shared" si="22"/>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ca="1" si="23"/>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x14ac:dyDescent="0.35">
      <c r="A622" t="s">
        <v>246</v>
      </c>
      <c r="E622" s="9" t="str">
        <f t="shared" si="22"/>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23"/>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x14ac:dyDescent="0.35">
      <c r="A623" t="s">
        <v>222</v>
      </c>
      <c r="B623" t="s">
        <v>14</v>
      </c>
      <c r="C623" t="s">
        <v>33</v>
      </c>
      <c r="D623" t="s">
        <v>16</v>
      </c>
      <c r="E623" s="9" t="str">
        <f t="shared" si="22"/>
        <v>!!!</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23"/>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x14ac:dyDescent="0.35">
      <c r="A624" t="s">
        <v>275</v>
      </c>
      <c r="E624" s="9" t="str">
        <f t="shared" si="22"/>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23"/>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x14ac:dyDescent="0.35">
      <c r="A625" t="s">
        <v>45</v>
      </c>
      <c r="E625" s="9" t="str">
        <f t="shared" si="22"/>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23"/>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x14ac:dyDescent="0.35">
      <c r="A626" t="s">
        <v>352</v>
      </c>
      <c r="E626" s="9" t="str">
        <f t="shared" si="22"/>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23"/>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x14ac:dyDescent="0.35">
      <c r="A627" t="s">
        <v>353</v>
      </c>
      <c r="E627" s="9" t="str">
        <f t="shared" si="22"/>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23"/>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x14ac:dyDescent="0.35">
      <c r="A628" t="s">
        <v>251</v>
      </c>
      <c r="E628" s="9" t="str">
        <f t="shared" si="22"/>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23"/>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x14ac:dyDescent="0.35">
      <c r="A629" t="s">
        <v>246</v>
      </c>
      <c r="E629" s="9" t="str">
        <f t="shared" si="22"/>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23"/>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x14ac:dyDescent="0.35">
      <c r="E630" s="9" t="str">
        <f t="shared" si="22"/>
        <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ca="1" si="23"/>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x14ac:dyDescent="0.35">
      <c r="A631" t="s">
        <v>244</v>
      </c>
      <c r="E631" s="9" t="str">
        <f t="shared" ref="E631:E694" si="24">IF(D631="?OLD","!!!","")</f>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ref="H631:H694" ca="1" si="25">IF(J631&lt;&gt;1,"",IF(I631="SBJ","CB","?"))</f>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x14ac:dyDescent="0.35">
      <c r="A632" t="s">
        <v>354</v>
      </c>
      <c r="E632" s="9" t="str">
        <f t="shared" si="24"/>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25"/>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x14ac:dyDescent="0.35">
      <c r="A633" t="s">
        <v>246</v>
      </c>
      <c r="E633" s="9" t="str">
        <f t="shared" si="24"/>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25"/>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x14ac:dyDescent="0.35">
      <c r="A634" t="s">
        <v>355</v>
      </c>
      <c r="E634" s="9" t="str">
        <f t="shared" si="24"/>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25"/>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x14ac:dyDescent="0.35">
      <c r="A635" t="s">
        <v>26</v>
      </c>
      <c r="E635" s="9" t="str">
        <f t="shared" si="24"/>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25"/>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x14ac:dyDescent="0.35">
      <c r="A636" t="s">
        <v>133</v>
      </c>
      <c r="B636" t="s">
        <v>14</v>
      </c>
      <c r="C636" t="s">
        <v>33</v>
      </c>
      <c r="D636" t="s">
        <v>16</v>
      </c>
      <c r="E636" s="9" t="str">
        <f t="shared" si="24"/>
        <v>!!!</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ca="1" si="25"/>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x14ac:dyDescent="0.35">
      <c r="A637" t="s">
        <v>356</v>
      </c>
      <c r="E637" s="9" t="str">
        <f t="shared" si="24"/>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25"/>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x14ac:dyDescent="0.35">
      <c r="A638" t="s">
        <v>135</v>
      </c>
      <c r="E638" s="9" t="str">
        <f t="shared" si="24"/>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25"/>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x14ac:dyDescent="0.35">
      <c r="A639" t="s">
        <v>136</v>
      </c>
      <c r="B639" t="s">
        <v>24</v>
      </c>
      <c r="C639" t="s">
        <v>49</v>
      </c>
      <c r="D639" t="s">
        <v>16</v>
      </c>
      <c r="E639" s="9" t="str">
        <f t="shared" si="24"/>
        <v>!!!</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25"/>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x14ac:dyDescent="0.35">
      <c r="A640" t="s">
        <v>253</v>
      </c>
      <c r="E640" s="9" t="str">
        <f t="shared" si="24"/>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25"/>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x14ac:dyDescent="0.35">
      <c r="A641" t="s">
        <v>357</v>
      </c>
      <c r="B641" t="s">
        <v>32</v>
      </c>
      <c r="C641" t="s">
        <v>15</v>
      </c>
      <c r="D641" t="s">
        <v>16</v>
      </c>
      <c r="E641" s="9" t="str">
        <f t="shared" si="24"/>
        <v>!!!</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ca="1" si="25"/>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x14ac:dyDescent="0.35">
      <c r="A642" t="s">
        <v>353</v>
      </c>
      <c r="E642" s="9" t="str">
        <f t="shared" si="24"/>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25"/>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x14ac:dyDescent="0.35">
      <c r="A643" t="s">
        <v>63</v>
      </c>
      <c r="E643" s="9" t="str">
        <f t="shared" si="24"/>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25"/>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x14ac:dyDescent="0.35">
      <c r="E644" s="9" t="str">
        <f t="shared" si="24"/>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ca="1" si="25"/>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x14ac:dyDescent="0.35">
      <c r="A645" t="s">
        <v>358</v>
      </c>
      <c r="E645" s="9" t="str">
        <f t="shared" si="24"/>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5"/>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x14ac:dyDescent="0.35">
      <c r="A646" t="s">
        <v>359</v>
      </c>
      <c r="E646" s="9" t="str">
        <f t="shared" si="24"/>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5"/>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x14ac:dyDescent="0.35">
      <c r="A647" t="s">
        <v>360</v>
      </c>
      <c r="E647" s="9" t="str">
        <f t="shared" si="24"/>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5"/>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x14ac:dyDescent="0.35">
      <c r="A648" t="s">
        <v>283</v>
      </c>
      <c r="E648" s="9" t="str">
        <f t="shared" si="24"/>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5"/>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x14ac:dyDescent="0.35">
      <c r="A649" t="s">
        <v>361</v>
      </c>
      <c r="B649" t="s">
        <v>54</v>
      </c>
      <c r="C649" t="s">
        <v>122</v>
      </c>
      <c r="D649" t="s">
        <v>16</v>
      </c>
      <c r="E649" s="9" t="str">
        <f t="shared" si="24"/>
        <v>!!!</v>
      </c>
      <c r="F649" s="10" t="str">
        <f>IF(OR(E649="",E649="!!!"),"",IF(NOT(ISNA(VLOOKUP(E649,E$1:E648,1,FALSE()))),"OLD",IF(AND(E649&lt;&gt;"",E649&lt;&gt;"!!!"),"NEW","")))</f>
        <v/>
      </c>
      <c r="G649" s="11" t="str">
        <f>IF(OR(E649="",E649="!!!"),"",IF(OR(J649=0,AND(J649=1,K649=1),AND(J649=1,I649="SBJ"),AND(J649=1,I649=0)),"?IN_FOCUS",IF(J649&lt;=2,"?ACTIVATED",IF(J649&lt;&gt;"","?FAMILIAR",IF(F649="NEW",IF(ISNA(VLOOKUP(E649,#REF!,1,FALSE())),"?TYPE_IDENTIFIABLE","?REFERENTIAL"),"_")))))</f>
        <v/>
      </c>
      <c r="H649" s="12" t="str">
        <f t="shared" ca="1" si="25"/>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x14ac:dyDescent="0.35">
      <c r="A650" t="s">
        <v>26</v>
      </c>
      <c r="E650" s="9" t="str">
        <f t="shared" si="24"/>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5"/>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x14ac:dyDescent="0.35">
      <c r="A651" t="s">
        <v>250</v>
      </c>
      <c r="B651" t="s">
        <v>24</v>
      </c>
      <c r="C651" t="s">
        <v>21</v>
      </c>
      <c r="D651" t="s">
        <v>16</v>
      </c>
      <c r="E651" s="9" t="str">
        <f t="shared" si="24"/>
        <v>!!!</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5"/>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x14ac:dyDescent="0.35">
      <c r="A652" t="s">
        <v>63</v>
      </c>
      <c r="E652" s="9" t="str">
        <f t="shared" si="24"/>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5"/>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x14ac:dyDescent="0.35">
      <c r="E653" s="9" t="str">
        <f t="shared" si="24"/>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ca="1" si="25"/>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x14ac:dyDescent="0.35">
      <c r="A654" t="s">
        <v>362</v>
      </c>
      <c r="E654" s="9" t="str">
        <f t="shared" si="24"/>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5"/>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x14ac:dyDescent="0.35">
      <c r="A655" t="s">
        <v>279</v>
      </c>
      <c r="B655" t="s">
        <v>14</v>
      </c>
      <c r="C655" t="s">
        <v>33</v>
      </c>
      <c r="D655" t="s">
        <v>16</v>
      </c>
      <c r="E655" s="9" t="str">
        <f t="shared" si="24"/>
        <v>!!!</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5"/>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x14ac:dyDescent="0.35">
      <c r="A656" t="s">
        <v>258</v>
      </c>
      <c r="E656" s="9" t="str">
        <f t="shared" si="24"/>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ca="1" si="25"/>
        <v/>
      </c>
      <c r="I656" s="13" t="str">
        <f>IF(OR(E656="",E656="!!!",F656="NEW"),"",INDEX(B$2:B655,-1+SUMPRODUCT(MAX(ROW(E$2:E655)*(E656=E$2:E655)))))</f>
        <v/>
      </c>
      <c r="J656" s="14" t="str">
        <f ca="1">IF(OR(E656="",E656="!!!",F656="NEW"),"",COUNTBLANK(OFFSET(A$1,,,SUMPRODUCT(MAX(ROW(E$2:E656)*(E656=E$2:E656)))))-COUNTBLANK(OFFSET(A$1,,,SUMPRODUCT(MAX(ROW(E$1:E655)*(E656=E$1:E655))))))</f>
        <v/>
      </c>
      <c r="K656" s="14" t="str">
        <f>IF(OR(E656="",E656="!!!",F656="NEW"),"",INDEX(J$1:J655,SUMPRODUCT(MAX(ROW(E$1:E655)*(E656=E$1:E655)))))</f>
        <v/>
      </c>
      <c r="L656" s="15"/>
    </row>
    <row r="657" spans="1:12" x14ac:dyDescent="0.35">
      <c r="A657" t="s">
        <v>363</v>
      </c>
      <c r="E657" s="9" t="str">
        <f t="shared" si="24"/>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5"/>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x14ac:dyDescent="0.35">
      <c r="A658" t="s">
        <v>364</v>
      </c>
      <c r="E658" s="9" t="str">
        <f t="shared" si="24"/>
        <v/>
      </c>
      <c r="F658" s="10" t="str">
        <f>IF(OR(E658="",E658="!!!"),"",IF(NOT(ISNA(VLOOKUP(E658,E$1:E657,1,FALSE()))),"OLD",IF(AND(E658&lt;&gt;"",E658&lt;&gt;"!!!"),"NEW","")))</f>
        <v/>
      </c>
      <c r="G658" s="11" t="str">
        <f>IF(OR(E658="",E658="!!!"),"",IF(OR(J658=0,AND(J658=1,K658=1),AND(J658=1,I658="SBJ"),AND(J658=1,I658=0)),"?IN_FOCUS",IF(J658&lt;=2,"?ACTIVATED",IF(J658&lt;&gt;"","?FAMILIAR",IF(F658="NEW",IF(ISNA(VLOOKUP(E658,#REF!,1,FALSE())),"?TYPE_IDENTIFIABLE","?REFERENTIAL"),"_")))))</f>
        <v/>
      </c>
      <c r="H658" s="12" t="str">
        <f t="shared" ca="1" si="25"/>
        <v/>
      </c>
      <c r="I658" s="13" t="str">
        <f>IF(OR(E658="",E658="!!!",F658="NEW"),"",INDEX(B$2:B657,-1+SUMPRODUCT(MAX(ROW(E$2:E657)*(E658=E$2:E657)))))</f>
        <v/>
      </c>
      <c r="J658" s="14" t="str">
        <f ca="1">IF(OR(E658="",E658="!!!",F658="NEW"),"",COUNTBLANK(OFFSET(A$1,,,SUMPRODUCT(MAX(ROW(E$2:E658)*(E658=E$2:E658)))))-COUNTBLANK(OFFSET(A$1,,,SUMPRODUCT(MAX(ROW(E$1:E657)*(E658=E$1:E657))))))</f>
        <v/>
      </c>
      <c r="K658" s="14" t="str">
        <f>IF(OR(E658="",E658="!!!",F658="NEW"),"",INDEX(J$1:J657,SUMPRODUCT(MAX(ROW(E$1:E657)*(E658=E$1:E657)))))</f>
        <v/>
      </c>
      <c r="L658" s="15"/>
    </row>
    <row r="659" spans="1:12" x14ac:dyDescent="0.35">
      <c r="A659" t="s">
        <v>58</v>
      </c>
      <c r="E659" s="9" t="str">
        <f t="shared" si="24"/>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5"/>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x14ac:dyDescent="0.35">
      <c r="A660" t="s">
        <v>215</v>
      </c>
      <c r="B660" t="s">
        <v>54</v>
      </c>
      <c r="C660" t="s">
        <v>99</v>
      </c>
      <c r="D660" t="s">
        <v>16</v>
      </c>
      <c r="E660" s="9" t="str">
        <f t="shared" si="24"/>
        <v>!!!</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5"/>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x14ac:dyDescent="0.35">
      <c r="A661" t="s">
        <v>26</v>
      </c>
      <c r="E661" s="9" t="str">
        <f t="shared" si="24"/>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5"/>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x14ac:dyDescent="0.35">
      <c r="A662" t="s">
        <v>258</v>
      </c>
      <c r="E662" s="9" t="str">
        <f t="shared" si="24"/>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5"/>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x14ac:dyDescent="0.35">
      <c r="A663" t="s">
        <v>248</v>
      </c>
      <c r="B663" t="s">
        <v>36</v>
      </c>
      <c r="C663" t="s">
        <v>33</v>
      </c>
      <c r="D663" t="s">
        <v>16</v>
      </c>
      <c r="E663" s="9" t="str">
        <f t="shared" si="24"/>
        <v>!!!</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ca="1" si="25"/>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x14ac:dyDescent="0.35">
      <c r="A664" t="s">
        <v>224</v>
      </c>
      <c r="E664" s="9" t="str">
        <f t="shared" si="24"/>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5"/>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x14ac:dyDescent="0.35">
      <c r="A665" t="s">
        <v>26</v>
      </c>
      <c r="E665" s="9" t="str">
        <f t="shared" si="24"/>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ca="1" si="25"/>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x14ac:dyDescent="0.35">
      <c r="A666" t="s">
        <v>365</v>
      </c>
      <c r="B666" t="s">
        <v>54</v>
      </c>
      <c r="C666" t="s">
        <v>21</v>
      </c>
      <c r="D666" t="s">
        <v>16</v>
      </c>
      <c r="E666" s="9" t="str">
        <f t="shared" si="24"/>
        <v>!!!</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5"/>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x14ac:dyDescent="0.35">
      <c r="A667" t="s">
        <v>251</v>
      </c>
      <c r="E667" s="9" t="str">
        <f t="shared" si="24"/>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5"/>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x14ac:dyDescent="0.35">
      <c r="E668" s="9" t="str">
        <f t="shared" si="24"/>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5"/>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x14ac:dyDescent="0.35">
      <c r="A669" t="s">
        <v>366</v>
      </c>
      <c r="E669" s="9" t="str">
        <f t="shared" si="24"/>
        <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ca="1" si="25"/>
        <v/>
      </c>
      <c r="I669" s="13" t="str">
        <f>IF(OR(E669="",E669="!!!",F669="NEW"),"",INDEX(B$2:B668,-1+SUMPRODUCT(MAX(ROW(E$2:E668)*(E669=E$2:E668)))))</f>
        <v/>
      </c>
      <c r="J669" s="14" t="str">
        <f ca="1">IF(OR(E669="",E669="!!!",F669="NEW"),"",COUNTBLANK(OFFSET(A$1,,,SUMPRODUCT(MAX(ROW(E$2:E669)*(E669=E$2:E669)))))-COUNTBLANK(OFFSET(A$1,,,SUMPRODUCT(MAX(ROW(E$1:E668)*(E669=E$1:E668))))))</f>
        <v/>
      </c>
      <c r="K669" s="14" t="str">
        <f>IF(OR(E669="",E669="!!!",F669="NEW"),"",INDEX(J$1:J668,SUMPRODUCT(MAX(ROW(E$1:E668)*(E669=E$1:E668)))))</f>
        <v/>
      </c>
      <c r="L669" s="15"/>
    </row>
    <row r="670" spans="1:12" x14ac:dyDescent="0.35">
      <c r="A670" t="s">
        <v>367</v>
      </c>
      <c r="E670" s="9" t="str">
        <f t="shared" si="24"/>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5"/>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x14ac:dyDescent="0.35">
      <c r="A671" t="s">
        <v>248</v>
      </c>
      <c r="B671" t="s">
        <v>14</v>
      </c>
      <c r="C671" t="s">
        <v>33</v>
      </c>
      <c r="D671" t="s">
        <v>16</v>
      </c>
      <c r="E671" s="9" t="str">
        <f t="shared" si="24"/>
        <v>!!!</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5"/>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x14ac:dyDescent="0.35">
      <c r="A672" t="s">
        <v>368</v>
      </c>
      <c r="E672" s="9" t="str">
        <f t="shared" si="24"/>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ca="1" si="25"/>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x14ac:dyDescent="0.35">
      <c r="A673" t="s">
        <v>58</v>
      </c>
      <c r="E673" s="9" t="str">
        <f t="shared" si="24"/>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5"/>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x14ac:dyDescent="0.35">
      <c r="A674" t="s">
        <v>369</v>
      </c>
      <c r="B674" t="s">
        <v>32</v>
      </c>
      <c r="C674" t="s">
        <v>99</v>
      </c>
      <c r="D674" t="s">
        <v>16</v>
      </c>
      <c r="E674" s="9" t="str">
        <f t="shared" si="24"/>
        <v>!!!</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5"/>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x14ac:dyDescent="0.35">
      <c r="A675" t="s">
        <v>17</v>
      </c>
      <c r="E675" s="9" t="str">
        <f t="shared" si="24"/>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5"/>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x14ac:dyDescent="0.35">
      <c r="A676" t="s">
        <v>58</v>
      </c>
      <c r="E676" s="9" t="str">
        <f t="shared" si="24"/>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5"/>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x14ac:dyDescent="0.35">
      <c r="A677" t="s">
        <v>370</v>
      </c>
      <c r="B677" t="s">
        <v>24</v>
      </c>
      <c r="C677" t="s">
        <v>99</v>
      </c>
      <c r="D677" t="s">
        <v>16</v>
      </c>
      <c r="E677" s="9" t="str">
        <f t="shared" si="24"/>
        <v>!!!</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5"/>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x14ac:dyDescent="0.35">
      <c r="A678" t="s">
        <v>251</v>
      </c>
      <c r="E678" s="9" t="str">
        <f t="shared" si="24"/>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5"/>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x14ac:dyDescent="0.35">
      <c r="E679" s="9" t="str">
        <f t="shared" si="24"/>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5"/>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x14ac:dyDescent="0.35">
      <c r="A680" t="s">
        <v>244</v>
      </c>
      <c r="E680" s="9" t="str">
        <f t="shared" si="24"/>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5"/>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x14ac:dyDescent="0.35">
      <c r="A681" t="s">
        <v>371</v>
      </c>
      <c r="E681" s="9" t="str">
        <f t="shared" si="24"/>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5"/>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x14ac:dyDescent="0.35">
      <c r="A682" t="s">
        <v>287</v>
      </c>
      <c r="B682" t="s">
        <v>54</v>
      </c>
      <c r="C682" t="s">
        <v>148</v>
      </c>
      <c r="E682" s="9" t="str">
        <f t="shared" si="24"/>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5"/>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x14ac:dyDescent="0.35">
      <c r="A683" t="s">
        <v>275</v>
      </c>
      <c r="E683" s="9" t="str">
        <f t="shared" si="24"/>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5"/>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x14ac:dyDescent="0.35">
      <c r="A684" t="s">
        <v>78</v>
      </c>
      <c r="E684" s="9" t="str">
        <f t="shared" si="24"/>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5"/>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x14ac:dyDescent="0.35">
      <c r="A685" t="s">
        <v>372</v>
      </c>
      <c r="E685" s="9" t="str">
        <f t="shared" si="24"/>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5"/>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x14ac:dyDescent="0.35">
      <c r="A686" t="s">
        <v>373</v>
      </c>
      <c r="B686" t="s">
        <v>14</v>
      </c>
      <c r="C686" t="s">
        <v>122</v>
      </c>
      <c r="D686" t="s">
        <v>16</v>
      </c>
      <c r="E686" s="9" t="str">
        <f t="shared" si="24"/>
        <v>!!!</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5"/>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x14ac:dyDescent="0.35">
      <c r="A687" t="s">
        <v>131</v>
      </c>
      <c r="E687" s="9" t="str">
        <f t="shared" si="24"/>
        <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ca="1" si="25"/>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x14ac:dyDescent="0.35">
      <c r="A688" t="s">
        <v>283</v>
      </c>
      <c r="E688" s="9" t="str">
        <f t="shared" si="24"/>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5"/>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x14ac:dyDescent="0.35">
      <c r="A689" t="s">
        <v>320</v>
      </c>
      <c r="B689" t="s">
        <v>24</v>
      </c>
      <c r="C689" t="s">
        <v>122</v>
      </c>
      <c r="D689" t="s">
        <v>16</v>
      </c>
      <c r="E689" s="9" t="str">
        <f t="shared" si="24"/>
        <v>!!!</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5"/>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x14ac:dyDescent="0.35">
      <c r="A690" t="s">
        <v>251</v>
      </c>
      <c r="E690" s="9" t="str">
        <f t="shared" si="24"/>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5"/>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x14ac:dyDescent="0.35">
      <c r="A691" t="s">
        <v>246</v>
      </c>
      <c r="E691" s="9" t="str">
        <f t="shared" si="24"/>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5"/>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x14ac:dyDescent="0.35">
      <c r="E692" s="9" t="str">
        <f t="shared" si="24"/>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5"/>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x14ac:dyDescent="0.35">
      <c r="A693" t="s">
        <v>244</v>
      </c>
      <c r="E693" s="9" t="str">
        <f t="shared" si="24"/>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5"/>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x14ac:dyDescent="0.35">
      <c r="A694" t="s">
        <v>374</v>
      </c>
      <c r="E694" s="9" t="str">
        <f t="shared" si="24"/>
        <v/>
      </c>
      <c r="F694" s="10" t="str">
        <f>IF(OR(E694="",E694="!!!"),"",IF(NOT(ISNA(VLOOKUP(E694,E$1:E693,1,FALSE()))),"OLD",IF(AND(E694&lt;&gt;"",E694&lt;&gt;"!!!"),"NEW","")))</f>
        <v/>
      </c>
      <c r="G694" s="11" t="str">
        <f>IF(OR(E694="",E694="!!!"),"",IF(OR(J694=0,AND(J694=1,K694=1),AND(J694=1,I694="SBJ"),AND(J694=1,I694=0)),"?IN_FOCUS",IF(J694&lt;=2,"?ACTIVATED",IF(J694&lt;&gt;"","?FAMILIAR",IF(F694="NEW",IF(ISNA(VLOOKUP(E694,#REF!,1,FALSE())),"?TYPE_IDENTIFIABLE","?REFERENTIAL"),"_")))))</f>
        <v/>
      </c>
      <c r="H694" s="12" t="str">
        <f t="shared" ca="1" si="25"/>
        <v/>
      </c>
      <c r="I694" s="13" t="str">
        <f>IF(OR(E694="",E694="!!!",F694="NEW"),"",INDEX(B$2:B693,-1+SUMPRODUCT(MAX(ROW(E$2:E693)*(E694=E$2:E693)))))</f>
        <v/>
      </c>
      <c r="J694" s="14" t="str">
        <f ca="1">IF(OR(E694="",E694="!!!",F694="NEW"),"",COUNTBLANK(OFFSET(A$1,,,SUMPRODUCT(MAX(ROW(E$2:E694)*(E694=E$2:E694)))))-COUNTBLANK(OFFSET(A$1,,,SUMPRODUCT(MAX(ROW(E$1:E693)*(E694=E$1:E693))))))</f>
        <v/>
      </c>
      <c r="K694" s="14" t="str">
        <f>IF(OR(E694="",E694="!!!",F694="NEW"),"",INDEX(J$1:J693,SUMPRODUCT(MAX(ROW(E$1:E693)*(E694=E$1:E693)))))</f>
        <v/>
      </c>
      <c r="L694" s="15"/>
    </row>
    <row r="695" spans="1:12" x14ac:dyDescent="0.35">
      <c r="A695" t="s">
        <v>246</v>
      </c>
      <c r="E695" s="9" t="str">
        <f t="shared" ref="E695:E758" si="26">IF(D695="?OLD","!!!","")</f>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ref="H695:H758" ca="1" si="27">IF(J695&lt;&gt;1,"",IF(I695="SBJ","CB","?"))</f>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x14ac:dyDescent="0.35">
      <c r="A696" t="s">
        <v>110</v>
      </c>
      <c r="B696" t="s">
        <v>14</v>
      </c>
      <c r="C696" t="s">
        <v>33</v>
      </c>
      <c r="D696" t="s">
        <v>16</v>
      </c>
      <c r="E696" s="9" t="str">
        <f t="shared" si="26"/>
        <v>!!!</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ca="1" si="27"/>
        <v/>
      </c>
      <c r="I696" s="13" t="str">
        <f>IF(OR(E696="",E696="!!!",F696="NEW"),"",INDEX(B$2:B695,-1+SUMPRODUCT(MAX(ROW(E$2:E695)*(E696=E$2:E695)))))</f>
        <v/>
      </c>
      <c r="J696" s="14" t="str">
        <f ca="1">IF(OR(E696="",E696="!!!",F696="NEW"),"",COUNTBLANK(OFFSET(A$1,,,SUMPRODUCT(MAX(ROW(E$2:E696)*(E696=E$2:E696)))))-COUNTBLANK(OFFSET(A$1,,,SUMPRODUCT(MAX(ROW(E$1:E695)*(E696=E$1:E695))))))</f>
        <v/>
      </c>
      <c r="K696" s="14" t="str">
        <f>IF(OR(E696="",E696="!!!",F696="NEW"),"",INDEX(J$1:J695,SUMPRODUCT(MAX(ROW(E$1:E695)*(E696=E$1:E695)))))</f>
        <v/>
      </c>
      <c r="L696" s="15"/>
    </row>
    <row r="697" spans="1:12" x14ac:dyDescent="0.35">
      <c r="A697" t="s">
        <v>375</v>
      </c>
      <c r="E697" s="9" t="str">
        <f t="shared" si="26"/>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7"/>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x14ac:dyDescent="0.35">
      <c r="A698" t="s">
        <v>376</v>
      </c>
      <c r="B698" t="s">
        <v>36</v>
      </c>
      <c r="C698" t="s">
        <v>33</v>
      </c>
      <c r="D698" t="s">
        <v>16</v>
      </c>
      <c r="E698" s="9" t="str">
        <f t="shared" si="26"/>
        <v>!!!</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7"/>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x14ac:dyDescent="0.35">
      <c r="A699" t="s">
        <v>275</v>
      </c>
      <c r="E699" s="9" t="str">
        <f t="shared" si="26"/>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7"/>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x14ac:dyDescent="0.35">
      <c r="A700" t="s">
        <v>58</v>
      </c>
      <c r="E700" s="9" t="str">
        <f t="shared" si="26"/>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7"/>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x14ac:dyDescent="0.35">
      <c r="A701" t="s">
        <v>377</v>
      </c>
      <c r="E701" s="9" t="str">
        <f t="shared" si="26"/>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7"/>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x14ac:dyDescent="0.35">
      <c r="A702" t="s">
        <v>373</v>
      </c>
      <c r="B702" t="s">
        <v>54</v>
      </c>
      <c r="C702" t="s">
        <v>99</v>
      </c>
      <c r="D702" t="s">
        <v>16</v>
      </c>
      <c r="E702" s="9" t="str">
        <f t="shared" si="26"/>
        <v>!!!</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7"/>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x14ac:dyDescent="0.35">
      <c r="A703" t="s">
        <v>63</v>
      </c>
      <c r="E703" s="9" t="str">
        <f t="shared" si="26"/>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7"/>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x14ac:dyDescent="0.35">
      <c r="A704" t="s">
        <v>246</v>
      </c>
      <c r="E704" s="9" t="str">
        <f t="shared" si="26"/>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7"/>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x14ac:dyDescent="0.35">
      <c r="E705" s="9" t="str">
        <f t="shared" si="26"/>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7"/>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x14ac:dyDescent="0.35">
      <c r="A706" t="s">
        <v>244</v>
      </c>
      <c r="E706" s="9" t="str">
        <f t="shared" si="26"/>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7"/>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x14ac:dyDescent="0.35">
      <c r="A707" t="s">
        <v>378</v>
      </c>
      <c r="E707" s="9" t="str">
        <f t="shared" si="26"/>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7"/>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x14ac:dyDescent="0.35">
      <c r="A708" t="s">
        <v>246</v>
      </c>
      <c r="E708" s="9" t="str">
        <f t="shared" si="26"/>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ca="1" si="27"/>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x14ac:dyDescent="0.35">
      <c r="A709" t="s">
        <v>379</v>
      </c>
      <c r="E709" s="9" t="str">
        <f t="shared" si="26"/>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7"/>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x14ac:dyDescent="0.35">
      <c r="A710" t="s">
        <v>58</v>
      </c>
      <c r="E710" s="9" t="str">
        <f t="shared" si="26"/>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7"/>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x14ac:dyDescent="0.35">
      <c r="A711" t="s">
        <v>28</v>
      </c>
      <c r="E711" s="9" t="str">
        <f t="shared" si="26"/>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7"/>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x14ac:dyDescent="0.35">
      <c r="A712" t="s">
        <v>380</v>
      </c>
      <c r="B712" t="s">
        <v>54</v>
      </c>
      <c r="C712" t="s">
        <v>381</v>
      </c>
      <c r="D712" t="s">
        <v>16</v>
      </c>
      <c r="E712" s="9" t="str">
        <f t="shared" si="26"/>
        <v>!!!</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7"/>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x14ac:dyDescent="0.35">
      <c r="A713" t="s">
        <v>26</v>
      </c>
      <c r="E713" s="9" t="str">
        <f t="shared" si="26"/>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7"/>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x14ac:dyDescent="0.35">
      <c r="A714" t="s">
        <v>73</v>
      </c>
      <c r="B714" t="s">
        <v>36</v>
      </c>
      <c r="E714" s="9" t="str">
        <f t="shared" si="26"/>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7"/>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x14ac:dyDescent="0.35">
      <c r="A715" t="s">
        <v>382</v>
      </c>
      <c r="E715" s="9" t="str">
        <f t="shared" si="26"/>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7"/>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x14ac:dyDescent="0.35">
      <c r="A716" t="s">
        <v>117</v>
      </c>
      <c r="E716" s="9" t="str">
        <f t="shared" si="26"/>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7"/>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x14ac:dyDescent="0.35">
      <c r="A717" t="s">
        <v>383</v>
      </c>
      <c r="E717" s="9" t="str">
        <f t="shared" si="26"/>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ca="1" si="27"/>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x14ac:dyDescent="0.35">
      <c r="A718" t="s">
        <v>251</v>
      </c>
      <c r="E718" s="9" t="str">
        <f t="shared" si="26"/>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7"/>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x14ac:dyDescent="0.35">
      <c r="A719" t="s">
        <v>246</v>
      </c>
      <c r="E719" s="9" t="str">
        <f t="shared" si="26"/>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7"/>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x14ac:dyDescent="0.35">
      <c r="E720" s="9" t="str">
        <f t="shared" si="26"/>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7"/>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x14ac:dyDescent="0.35">
      <c r="A721" t="s">
        <v>244</v>
      </c>
      <c r="E721" s="9" t="str">
        <f t="shared" si="26"/>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7"/>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x14ac:dyDescent="0.35">
      <c r="A722" t="s">
        <v>384</v>
      </c>
      <c r="E722" s="9" t="str">
        <f t="shared" si="26"/>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ca="1" si="27"/>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x14ac:dyDescent="0.35">
      <c r="A723" t="s">
        <v>246</v>
      </c>
      <c r="E723" s="9" t="str">
        <f t="shared" si="26"/>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7"/>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x14ac:dyDescent="0.35">
      <c r="A724" t="s">
        <v>318</v>
      </c>
      <c r="B724" t="s">
        <v>14</v>
      </c>
      <c r="C724" t="s">
        <v>80</v>
      </c>
      <c r="D724" t="s">
        <v>16</v>
      </c>
      <c r="E724" s="9" t="str">
        <f t="shared" si="26"/>
        <v>!!!</v>
      </c>
      <c r="F724" s="10" t="str">
        <f>IF(OR(E724="",E724="!!!"),"",IF(NOT(ISNA(VLOOKUP(E724,E$1:E723,1,FALSE()))),"OLD",IF(AND(E724&lt;&gt;"",E724&lt;&gt;"!!!"),"NEW","")))</f>
        <v/>
      </c>
      <c r="G724" s="11" t="str">
        <f>IF(OR(E724="",E724="!!!"),"",IF(OR(J724=0,AND(J724=1,K724=1),AND(J724=1,I724="SBJ"),AND(J724=1,I724=0)),"?IN_FOCUS",IF(J724&lt;=2,"?ACTIVATED",IF(J724&lt;&gt;"","?FAMILIAR",IF(F724="NEW",IF(ISNA(VLOOKUP(E724,#REF!,1,FALSE())),"?TYPE_IDENTIFIABLE","?REFERENTIAL"),"_")))))</f>
        <v/>
      </c>
      <c r="H724" s="12" t="str">
        <f t="shared" ca="1" si="27"/>
        <v/>
      </c>
      <c r="I724" s="13" t="str">
        <f>IF(OR(E724="",E724="!!!",F724="NEW"),"",INDEX(B$2:B723,-1+SUMPRODUCT(MAX(ROW(E$2:E723)*(E724=E$2:E723)))))</f>
        <v/>
      </c>
      <c r="J724" s="14" t="str">
        <f ca="1">IF(OR(E724="",E724="!!!",F724="NEW"),"",COUNTBLANK(OFFSET(A$1,,,SUMPRODUCT(MAX(ROW(E$2:E724)*(E724=E$2:E724)))))-COUNTBLANK(OFFSET(A$1,,,SUMPRODUCT(MAX(ROW(E$1:E723)*(E724=E$1:E723))))))</f>
        <v/>
      </c>
      <c r="K724" s="14" t="str">
        <f>IF(OR(E724="",E724="!!!",F724="NEW"),"",INDEX(J$1:J723,SUMPRODUCT(MAX(ROW(E$1:E723)*(E724=E$1:E723)))))</f>
        <v/>
      </c>
      <c r="L724" s="15"/>
    </row>
    <row r="725" spans="1:12" x14ac:dyDescent="0.35">
      <c r="A725" t="s">
        <v>319</v>
      </c>
      <c r="E725" s="9" t="str">
        <f t="shared" si="26"/>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7"/>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x14ac:dyDescent="0.35">
      <c r="A726" t="s">
        <v>385</v>
      </c>
      <c r="E726" s="9" t="str">
        <f t="shared" si="26"/>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7"/>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x14ac:dyDescent="0.35">
      <c r="A727" t="s">
        <v>58</v>
      </c>
      <c r="E727" s="9" t="str">
        <f t="shared" si="26"/>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ca="1" si="27"/>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x14ac:dyDescent="0.35">
      <c r="A728" t="s">
        <v>386</v>
      </c>
      <c r="E728" s="9" t="str">
        <f t="shared" si="26"/>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7"/>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x14ac:dyDescent="0.35">
      <c r="A729" t="s">
        <v>262</v>
      </c>
      <c r="E729" s="9" t="str">
        <f t="shared" si="26"/>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7"/>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x14ac:dyDescent="0.35">
      <c r="A730" t="s">
        <v>387</v>
      </c>
      <c r="B730" t="s">
        <v>54</v>
      </c>
      <c r="C730" t="s">
        <v>99</v>
      </c>
      <c r="D730" t="s">
        <v>16</v>
      </c>
      <c r="E730" s="9" t="str">
        <f t="shared" si="26"/>
        <v>!!!</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7"/>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x14ac:dyDescent="0.35">
      <c r="A731" t="s">
        <v>63</v>
      </c>
      <c r="E731" s="9" t="str">
        <f t="shared" si="26"/>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7"/>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x14ac:dyDescent="0.35">
      <c r="A732" t="s">
        <v>246</v>
      </c>
      <c r="E732" s="9" t="str">
        <f t="shared" si="26"/>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ca="1" si="27"/>
        <v/>
      </c>
      <c r="I732" s="13" t="str">
        <f>IF(OR(E732="",E732="!!!",F732="NEW"),"",INDEX(B$2:B731,-1+SUMPRODUCT(MAX(ROW(E$2:E731)*(E732=E$2:E731)))))</f>
        <v/>
      </c>
      <c r="J732" s="14" t="str">
        <f ca="1">IF(OR(E732="",E732="!!!",F732="NEW"),"",COUNTBLANK(OFFSET(A$1,,,SUMPRODUCT(MAX(ROW(E$2:E732)*(E732=E$2:E732)))))-COUNTBLANK(OFFSET(A$1,,,SUMPRODUCT(MAX(ROW(E$1:E731)*(E732=E$1:E731))))))</f>
        <v/>
      </c>
      <c r="K732" s="14" t="str">
        <f>IF(OR(E732="",E732="!!!",F732="NEW"),"",INDEX(J$1:J731,SUMPRODUCT(MAX(ROW(E$1:E731)*(E732=E$1:E731)))))</f>
        <v/>
      </c>
      <c r="L732" s="15"/>
    </row>
    <row r="733" spans="1:12" x14ac:dyDescent="0.35">
      <c r="E733" s="9" t="str">
        <f t="shared" si="26"/>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7"/>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x14ac:dyDescent="0.35">
      <c r="A734" t="s">
        <v>244</v>
      </c>
      <c r="E734" s="9" t="str">
        <f t="shared" si="26"/>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7"/>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x14ac:dyDescent="0.35">
      <c r="A735" t="s">
        <v>388</v>
      </c>
      <c r="E735" s="9" t="str">
        <f t="shared" si="26"/>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7"/>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x14ac:dyDescent="0.35">
      <c r="A736" t="s">
        <v>246</v>
      </c>
      <c r="E736" s="9" t="str">
        <f t="shared" si="26"/>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ca="1" si="27"/>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x14ac:dyDescent="0.35">
      <c r="A737" t="s">
        <v>97</v>
      </c>
      <c r="E737" s="9" t="str">
        <f t="shared" si="26"/>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7"/>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x14ac:dyDescent="0.35">
      <c r="A738" t="s">
        <v>389</v>
      </c>
      <c r="B738" t="s">
        <v>14</v>
      </c>
      <c r="C738" t="s">
        <v>99</v>
      </c>
      <c r="D738" t="s">
        <v>16</v>
      </c>
      <c r="E738" s="9" t="str">
        <f t="shared" si="26"/>
        <v>!!!</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7"/>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x14ac:dyDescent="0.35">
      <c r="A739" t="s">
        <v>275</v>
      </c>
      <c r="E739" s="9" t="str">
        <f t="shared" si="26"/>
        <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ca="1" si="27"/>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x14ac:dyDescent="0.35">
      <c r="A740" t="s">
        <v>225</v>
      </c>
      <c r="E740" s="9" t="str">
        <f t="shared" si="26"/>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7"/>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x14ac:dyDescent="0.35">
      <c r="A741" t="s">
        <v>63</v>
      </c>
      <c r="E741" s="9" t="str">
        <f t="shared" si="26"/>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7"/>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x14ac:dyDescent="0.35">
      <c r="E742" s="9" t="str">
        <f t="shared" si="26"/>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ca="1" si="27"/>
        <v/>
      </c>
      <c r="I742" s="13" t="str">
        <f>IF(OR(E742="",E742="!!!",F742="NEW"),"",INDEX(B$2:B741,-1+SUMPRODUCT(MAX(ROW(E$2:E741)*(E742=E$2:E741)))))</f>
        <v/>
      </c>
      <c r="J742" s="14" t="str">
        <f ca="1">IF(OR(E742="",E742="!!!",F742="NEW"),"",COUNTBLANK(OFFSET(A$1,,,SUMPRODUCT(MAX(ROW(E$2:E742)*(E742=E$2:E742)))))-COUNTBLANK(OFFSET(A$1,,,SUMPRODUCT(MAX(ROW(E$1:E741)*(E742=E$1:E741))))))</f>
        <v/>
      </c>
      <c r="K742" s="14" t="str">
        <f>IF(OR(E742="",E742="!!!",F742="NEW"),"",INDEX(J$1:J741,SUMPRODUCT(MAX(ROW(E$1:E741)*(E742=E$1:E741)))))</f>
        <v/>
      </c>
      <c r="L742" s="15"/>
    </row>
    <row r="743" spans="1:12" x14ac:dyDescent="0.35">
      <c r="A743" t="s">
        <v>390</v>
      </c>
      <c r="E743" s="9" t="str">
        <f t="shared" si="26"/>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7"/>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x14ac:dyDescent="0.35">
      <c r="A744" t="s">
        <v>279</v>
      </c>
      <c r="B744" t="s">
        <v>14</v>
      </c>
      <c r="C744" t="s">
        <v>33</v>
      </c>
      <c r="D744" t="s">
        <v>16</v>
      </c>
      <c r="E744" s="9" t="str">
        <f t="shared" si="26"/>
        <v>!!!</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7"/>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x14ac:dyDescent="0.35">
      <c r="A745" t="s">
        <v>391</v>
      </c>
      <c r="E745" s="9" t="str">
        <f t="shared" si="26"/>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ca="1" si="27"/>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x14ac:dyDescent="0.35">
      <c r="A746" t="s">
        <v>58</v>
      </c>
      <c r="E746" s="9" t="str">
        <f t="shared" si="26"/>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7"/>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x14ac:dyDescent="0.35">
      <c r="A747" t="s">
        <v>392</v>
      </c>
      <c r="B747" t="s">
        <v>32</v>
      </c>
      <c r="C747" t="s">
        <v>99</v>
      </c>
      <c r="D747" t="s">
        <v>16</v>
      </c>
      <c r="E747" s="9" t="str">
        <f t="shared" si="26"/>
        <v>!!!</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7"/>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x14ac:dyDescent="0.35">
      <c r="A748" t="s">
        <v>17</v>
      </c>
      <c r="E748" s="9" t="str">
        <f t="shared" si="26"/>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7"/>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x14ac:dyDescent="0.35">
      <c r="A749" t="s">
        <v>58</v>
      </c>
      <c r="E749" s="9" t="str">
        <f t="shared" si="26"/>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7"/>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x14ac:dyDescent="0.35">
      <c r="A750" t="s">
        <v>393</v>
      </c>
      <c r="E750" s="9" t="str">
        <f t="shared" si="26"/>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7"/>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x14ac:dyDescent="0.35">
      <c r="A751" t="s">
        <v>394</v>
      </c>
      <c r="E751" s="9" t="str">
        <f t="shared" si="26"/>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7"/>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x14ac:dyDescent="0.35">
      <c r="A752" t="s">
        <v>63</v>
      </c>
      <c r="E752" s="9" t="str">
        <f t="shared" si="26"/>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7"/>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x14ac:dyDescent="0.35">
      <c r="E753" s="9" t="str">
        <f t="shared" si="26"/>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7"/>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x14ac:dyDescent="0.35">
      <c r="A754" t="s">
        <v>244</v>
      </c>
      <c r="E754" s="9" t="str">
        <f t="shared" si="26"/>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7"/>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x14ac:dyDescent="0.35">
      <c r="A755" t="s">
        <v>395</v>
      </c>
      <c r="E755" s="9" t="str">
        <f t="shared" si="26"/>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7"/>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x14ac:dyDescent="0.35">
      <c r="A756" t="s">
        <v>396</v>
      </c>
      <c r="E756" s="9" t="str">
        <f t="shared" si="26"/>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7"/>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x14ac:dyDescent="0.35">
      <c r="A757" t="s">
        <v>397</v>
      </c>
      <c r="E757" s="9" t="str">
        <f t="shared" si="26"/>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ca="1" si="27"/>
        <v/>
      </c>
      <c r="I757" s="13" t="str">
        <f>IF(OR(E757="",E757="!!!",F757="NEW"),"",INDEX(B$2:B756,-1+SUMPRODUCT(MAX(ROW(E$2:E756)*(E757=E$2:E756)))))</f>
        <v/>
      </c>
      <c r="J757" s="14" t="str">
        <f ca="1">IF(OR(E757="",E757="!!!",F757="NEW"),"",COUNTBLANK(OFFSET(A$1,,,SUMPRODUCT(MAX(ROW(E$2:E757)*(E757=E$2:E757)))))-COUNTBLANK(OFFSET(A$1,,,SUMPRODUCT(MAX(ROW(E$1:E756)*(E757=E$1:E756))))))</f>
        <v/>
      </c>
      <c r="K757" s="14" t="str">
        <f>IF(OR(E757="",E757="!!!",F757="NEW"),"",INDEX(J$1:J756,SUMPRODUCT(MAX(ROW(E$1:E756)*(E757=E$1:E756)))))</f>
        <v/>
      </c>
      <c r="L757" s="15"/>
    </row>
    <row r="758" spans="1:12" x14ac:dyDescent="0.35">
      <c r="A758" t="s">
        <v>398</v>
      </c>
      <c r="E758" s="9" t="str">
        <f t="shared" si="26"/>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7"/>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x14ac:dyDescent="0.35">
      <c r="A759" t="s">
        <v>76</v>
      </c>
      <c r="E759" s="9" t="str">
        <f t="shared" ref="E759:E822" si="28">IF(D759="?OLD","!!!","")</f>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ref="H759:H822" ca="1" si="29">IF(J759&lt;&gt;1,"",IF(I759="SBJ","CB","?"))</f>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x14ac:dyDescent="0.35">
      <c r="A760" t="s">
        <v>314</v>
      </c>
      <c r="E760" s="9" t="str">
        <f t="shared" si="28"/>
        <v/>
      </c>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ca="1" si="29"/>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row>
    <row r="761" spans="1:12" x14ac:dyDescent="0.35">
      <c r="A761" t="s">
        <v>147</v>
      </c>
      <c r="B761" t="s">
        <v>95</v>
      </c>
      <c r="C761" t="s">
        <v>148</v>
      </c>
      <c r="E761" s="9" t="str">
        <f t="shared" si="28"/>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9"/>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x14ac:dyDescent="0.35">
      <c r="A762" t="s">
        <v>376</v>
      </c>
      <c r="B762" t="s">
        <v>41</v>
      </c>
      <c r="C762" t="s">
        <v>33</v>
      </c>
      <c r="D762" t="s">
        <v>16</v>
      </c>
      <c r="E762" s="9" t="str">
        <f t="shared" si="28"/>
        <v>!!!</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9"/>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x14ac:dyDescent="0.35">
      <c r="A763" t="s">
        <v>275</v>
      </c>
      <c r="E763" s="9" t="str">
        <f t="shared" si="28"/>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9"/>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x14ac:dyDescent="0.35">
      <c r="A764" t="s">
        <v>399</v>
      </c>
      <c r="E764" s="9" t="str">
        <f t="shared" si="28"/>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9"/>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x14ac:dyDescent="0.35">
      <c r="A765" t="s">
        <v>400</v>
      </c>
      <c r="E765" s="9" t="str">
        <f t="shared" si="28"/>
        <v/>
      </c>
      <c r="F765" s="10" t="str">
        <f>IF(OR(E765="",E765="!!!"),"",IF(NOT(ISNA(VLOOKUP(E765,E$1:E764,1,FALSE()))),"OLD",IF(AND(E765&lt;&gt;"",E765&lt;&gt;"!!!"),"NEW","")))</f>
        <v/>
      </c>
      <c r="G765" s="11" t="str">
        <f>IF(OR(E765="",E765="!!!"),"",IF(OR(J765=0,AND(J765=1,K765=1),AND(J765=1,I765="SBJ"),AND(J765=1,I765=0)),"?IN_FOCUS",IF(J765&lt;=2,"?ACTIVATED",IF(J765&lt;&gt;"","?FAMILIAR",IF(F765="NEW",IF(ISNA(VLOOKUP(E765,#REF!,1,FALSE())),"?TYPE_IDENTIFIABLE","?REFERENTIAL"),"_")))))</f>
        <v/>
      </c>
      <c r="H765" s="12" t="str">
        <f t="shared" ca="1" si="29"/>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x14ac:dyDescent="0.35">
      <c r="A766" t="s">
        <v>103</v>
      </c>
      <c r="E766" s="9" t="str">
        <f t="shared" si="28"/>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9"/>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x14ac:dyDescent="0.35">
      <c r="A767" t="s">
        <v>401</v>
      </c>
      <c r="B767" t="s">
        <v>48</v>
      </c>
      <c r="C767" t="s">
        <v>108</v>
      </c>
      <c r="E767" s="9" t="str">
        <f t="shared" si="28"/>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9"/>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x14ac:dyDescent="0.35">
      <c r="A768" t="s">
        <v>22</v>
      </c>
      <c r="E768" s="9" t="str">
        <f t="shared" si="28"/>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ca="1" si="29"/>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x14ac:dyDescent="0.35">
      <c r="A769" t="s">
        <v>402</v>
      </c>
      <c r="B769" t="s">
        <v>56</v>
      </c>
      <c r="C769" t="s">
        <v>15</v>
      </c>
      <c r="D769" t="s">
        <v>16</v>
      </c>
      <c r="E769" s="9" t="str">
        <f t="shared" si="28"/>
        <v>!!!</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9"/>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x14ac:dyDescent="0.35">
      <c r="A770" t="s">
        <v>343</v>
      </c>
      <c r="E770" s="9" t="str">
        <f t="shared" si="28"/>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9"/>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x14ac:dyDescent="0.35">
      <c r="A771" t="s">
        <v>403</v>
      </c>
      <c r="E771" s="9" t="str">
        <f t="shared" si="28"/>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9"/>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x14ac:dyDescent="0.35">
      <c r="A772" t="s">
        <v>404</v>
      </c>
      <c r="E772" s="9" t="str">
        <f t="shared" si="28"/>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ca="1" si="29"/>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x14ac:dyDescent="0.35">
      <c r="A773" t="s">
        <v>405</v>
      </c>
      <c r="B773" t="s">
        <v>52</v>
      </c>
      <c r="C773" t="s">
        <v>33</v>
      </c>
      <c r="D773" t="s">
        <v>16</v>
      </c>
      <c r="E773" s="9" t="str">
        <f t="shared" si="28"/>
        <v>!!!</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9"/>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x14ac:dyDescent="0.35">
      <c r="A774" t="s">
        <v>391</v>
      </c>
      <c r="E774" s="9" t="str">
        <f t="shared" si="28"/>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9"/>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x14ac:dyDescent="0.35">
      <c r="A775" t="s">
        <v>39</v>
      </c>
      <c r="E775" s="9" t="str">
        <f t="shared" si="28"/>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ca="1" si="29"/>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x14ac:dyDescent="0.35">
      <c r="A776" t="s">
        <v>376</v>
      </c>
      <c r="B776" t="s">
        <v>151</v>
      </c>
      <c r="C776" t="s">
        <v>33</v>
      </c>
      <c r="D776" t="s">
        <v>16</v>
      </c>
      <c r="E776" s="9" t="str">
        <f t="shared" si="28"/>
        <v>!!!</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9"/>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x14ac:dyDescent="0.35">
      <c r="A777" t="s">
        <v>275</v>
      </c>
      <c r="E777" s="9" t="str">
        <f t="shared" si="28"/>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9"/>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x14ac:dyDescent="0.35">
      <c r="A778" t="s">
        <v>406</v>
      </c>
      <c r="E778" s="9" t="str">
        <f t="shared" si="28"/>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9"/>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x14ac:dyDescent="0.35">
      <c r="A779" t="s">
        <v>272</v>
      </c>
      <c r="E779" s="9" t="str">
        <f t="shared" si="28"/>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9"/>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x14ac:dyDescent="0.35">
      <c r="A780" t="s">
        <v>246</v>
      </c>
      <c r="E780" s="9" t="str">
        <f t="shared" si="28"/>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9"/>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x14ac:dyDescent="0.35">
      <c r="E781" s="9" t="str">
        <f t="shared" si="28"/>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ca="1" si="29"/>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x14ac:dyDescent="0.35">
      <c r="A782" t="s">
        <v>407</v>
      </c>
      <c r="E782" s="9" t="str">
        <f t="shared" si="28"/>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9"/>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x14ac:dyDescent="0.35">
      <c r="A783" t="s">
        <v>110</v>
      </c>
      <c r="B783" t="s">
        <v>14</v>
      </c>
      <c r="C783" t="s">
        <v>33</v>
      </c>
      <c r="D783" t="s">
        <v>16</v>
      </c>
      <c r="E783" s="9" t="str">
        <f t="shared" si="28"/>
        <v>!!!</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9"/>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x14ac:dyDescent="0.35">
      <c r="A784" t="s">
        <v>408</v>
      </c>
      <c r="E784" s="9" t="str">
        <f t="shared" si="28"/>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9"/>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x14ac:dyDescent="0.35">
      <c r="A785" t="s">
        <v>228</v>
      </c>
      <c r="E785" s="9" t="str">
        <f t="shared" si="28"/>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9"/>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x14ac:dyDescent="0.35">
      <c r="A786" t="s">
        <v>58</v>
      </c>
      <c r="E786" s="9" t="str">
        <f t="shared" si="28"/>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9"/>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x14ac:dyDescent="0.35">
      <c r="A787" t="s">
        <v>409</v>
      </c>
      <c r="B787" t="s">
        <v>32</v>
      </c>
      <c r="C787" t="s">
        <v>99</v>
      </c>
      <c r="D787" t="s">
        <v>16</v>
      </c>
      <c r="E787" s="9" t="str">
        <f t="shared" si="28"/>
        <v>!!!</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9"/>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x14ac:dyDescent="0.35">
      <c r="A788" t="s">
        <v>76</v>
      </c>
      <c r="E788" s="9" t="str">
        <f t="shared" si="28"/>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9"/>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x14ac:dyDescent="0.35">
      <c r="A789" t="s">
        <v>410</v>
      </c>
      <c r="E789" s="9" t="str">
        <f t="shared" si="28"/>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9"/>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x14ac:dyDescent="0.35">
      <c r="A790" t="s">
        <v>411</v>
      </c>
      <c r="E790" s="9" t="str">
        <f t="shared" si="28"/>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9"/>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x14ac:dyDescent="0.35">
      <c r="A791" t="s">
        <v>58</v>
      </c>
      <c r="E791" s="9" t="str">
        <f t="shared" si="28"/>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9"/>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x14ac:dyDescent="0.35">
      <c r="A792" t="s">
        <v>412</v>
      </c>
      <c r="E792" s="9" t="str">
        <f t="shared" si="28"/>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9"/>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x14ac:dyDescent="0.35">
      <c r="A793" t="s">
        <v>413</v>
      </c>
      <c r="B793" t="s">
        <v>24</v>
      </c>
      <c r="C793" t="s">
        <v>99</v>
      </c>
      <c r="D793" t="s">
        <v>16</v>
      </c>
      <c r="E793" s="9" t="str">
        <f t="shared" si="28"/>
        <v>!!!</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9"/>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x14ac:dyDescent="0.35">
      <c r="A794" t="s">
        <v>73</v>
      </c>
      <c r="B794" t="s">
        <v>143</v>
      </c>
      <c r="E794" s="9" t="str">
        <f t="shared" si="28"/>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ca="1" si="29"/>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x14ac:dyDescent="0.35">
      <c r="A795" t="s">
        <v>414</v>
      </c>
      <c r="E795" s="9" t="str">
        <f t="shared" si="28"/>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9"/>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x14ac:dyDescent="0.35">
      <c r="A796" t="s">
        <v>58</v>
      </c>
      <c r="E796" s="9" t="str">
        <f t="shared" si="28"/>
        <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ca="1" si="29"/>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x14ac:dyDescent="0.35">
      <c r="A797" t="s">
        <v>415</v>
      </c>
      <c r="E797" s="9" t="str">
        <f t="shared" si="28"/>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9"/>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x14ac:dyDescent="0.35">
      <c r="A798" t="s">
        <v>416</v>
      </c>
      <c r="B798" t="s">
        <v>52</v>
      </c>
      <c r="C798" t="s">
        <v>99</v>
      </c>
      <c r="D798" t="s">
        <v>16</v>
      </c>
      <c r="E798" s="9" t="str">
        <f t="shared" si="28"/>
        <v>!!!</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9"/>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x14ac:dyDescent="0.35">
      <c r="A799" t="s">
        <v>63</v>
      </c>
      <c r="E799" s="9" t="str">
        <f t="shared" si="28"/>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9"/>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x14ac:dyDescent="0.35">
      <c r="E800" s="9" t="str">
        <f t="shared" si="28"/>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9"/>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x14ac:dyDescent="0.35">
      <c r="A801" t="s">
        <v>417</v>
      </c>
      <c r="E801" s="9" t="str">
        <f t="shared" si="28"/>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9"/>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x14ac:dyDescent="0.35">
      <c r="A802" t="s">
        <v>418</v>
      </c>
      <c r="E802" s="9" t="str">
        <f t="shared" si="28"/>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9"/>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x14ac:dyDescent="0.35">
      <c r="A803" t="s">
        <v>123</v>
      </c>
      <c r="E803" s="9" t="str">
        <f t="shared" si="28"/>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9"/>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x14ac:dyDescent="0.35">
      <c r="A804" t="s">
        <v>31</v>
      </c>
      <c r="B804" t="s">
        <v>36</v>
      </c>
      <c r="C804" t="s">
        <v>33</v>
      </c>
      <c r="D804" t="s">
        <v>16</v>
      </c>
      <c r="E804" s="9" t="str">
        <f t="shared" si="28"/>
        <v>!!!</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9"/>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x14ac:dyDescent="0.35">
      <c r="A805" t="s">
        <v>419</v>
      </c>
      <c r="E805" s="9" t="str">
        <f t="shared" si="28"/>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9"/>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x14ac:dyDescent="0.35">
      <c r="A806" t="s">
        <v>420</v>
      </c>
      <c r="B806" t="s">
        <v>54</v>
      </c>
      <c r="C806" t="s">
        <v>108</v>
      </c>
      <c r="E806" s="9" t="str">
        <f t="shared" si="28"/>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9"/>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x14ac:dyDescent="0.35">
      <c r="A807" t="s">
        <v>110</v>
      </c>
      <c r="B807" t="s">
        <v>41</v>
      </c>
      <c r="C807" t="s">
        <v>33</v>
      </c>
      <c r="D807" t="s">
        <v>16</v>
      </c>
      <c r="E807" s="9" t="str">
        <f t="shared" si="28"/>
        <v>!!!</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9"/>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x14ac:dyDescent="0.35">
      <c r="A808" t="s">
        <v>421</v>
      </c>
      <c r="E808" s="9" t="str">
        <f t="shared" si="28"/>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ca="1" si="29"/>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x14ac:dyDescent="0.35">
      <c r="A809" t="s">
        <v>34</v>
      </c>
      <c r="E809" s="9" t="str">
        <f t="shared" si="28"/>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9"/>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x14ac:dyDescent="0.35">
      <c r="A810" t="s">
        <v>422</v>
      </c>
      <c r="E810" s="9" t="str">
        <f t="shared" si="28"/>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9"/>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x14ac:dyDescent="0.35">
      <c r="A811" t="s">
        <v>423</v>
      </c>
      <c r="B811" t="s">
        <v>95</v>
      </c>
      <c r="C811" t="s">
        <v>37</v>
      </c>
      <c r="E811" s="9" t="str">
        <f t="shared" si="28"/>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9"/>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x14ac:dyDescent="0.35">
      <c r="A812" t="s">
        <v>110</v>
      </c>
      <c r="B812" t="s">
        <v>308</v>
      </c>
      <c r="C812" t="s">
        <v>33</v>
      </c>
      <c r="D812" t="s">
        <v>16</v>
      </c>
      <c r="E812" s="9" t="str">
        <f t="shared" si="28"/>
        <v>!!!</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9"/>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x14ac:dyDescent="0.35">
      <c r="A813" t="s">
        <v>144</v>
      </c>
      <c r="E813" s="9" t="str">
        <f t="shared" si="28"/>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9"/>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x14ac:dyDescent="0.35">
      <c r="A814" t="s">
        <v>424</v>
      </c>
      <c r="E814" s="9" t="str">
        <f t="shared" si="28"/>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9"/>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x14ac:dyDescent="0.35">
      <c r="A815" t="s">
        <v>425</v>
      </c>
      <c r="E815" s="9" t="str">
        <f t="shared" si="28"/>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9"/>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x14ac:dyDescent="0.35">
      <c r="A816" t="s">
        <v>426</v>
      </c>
      <c r="E816" s="9" t="str">
        <f t="shared" si="28"/>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9"/>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x14ac:dyDescent="0.35">
      <c r="A817" t="s">
        <v>58</v>
      </c>
      <c r="E817" s="9" t="str">
        <f t="shared" si="28"/>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9"/>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x14ac:dyDescent="0.35">
      <c r="A818" t="s">
        <v>427</v>
      </c>
      <c r="E818" s="9" t="str">
        <f t="shared" si="28"/>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9"/>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x14ac:dyDescent="0.35">
      <c r="A819" t="s">
        <v>428</v>
      </c>
      <c r="B819" t="s">
        <v>48</v>
      </c>
      <c r="C819" t="s">
        <v>99</v>
      </c>
      <c r="D819" t="s">
        <v>16</v>
      </c>
      <c r="E819" s="9" t="str">
        <f t="shared" si="28"/>
        <v>!!!</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9"/>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x14ac:dyDescent="0.35">
      <c r="A820" t="s">
        <v>63</v>
      </c>
      <c r="E820" s="9" t="str">
        <f t="shared" si="28"/>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9"/>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x14ac:dyDescent="0.35">
      <c r="E821" s="9" t="str">
        <f t="shared" si="28"/>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9"/>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x14ac:dyDescent="0.35">
      <c r="A822" t="s">
        <v>429</v>
      </c>
      <c r="E822" s="9" t="str">
        <f t="shared" si="28"/>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9"/>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x14ac:dyDescent="0.35">
      <c r="A823" t="s">
        <v>430</v>
      </c>
      <c r="E823" s="9" t="str">
        <f t="shared" ref="E823:E886" si="30">IF(D823="?OLD","!!!","")</f>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ref="H823:H886" ca="1" si="31">IF(J823&lt;&gt;1,"",IF(I823="SBJ","CB","?"))</f>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x14ac:dyDescent="0.35">
      <c r="A824" t="s">
        <v>83</v>
      </c>
      <c r="E824" s="9" t="str">
        <f t="shared" si="30"/>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31"/>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x14ac:dyDescent="0.35">
      <c r="A825" t="s">
        <v>145</v>
      </c>
      <c r="E825" s="9" t="str">
        <f t="shared" si="30"/>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31"/>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x14ac:dyDescent="0.35">
      <c r="A826" t="s">
        <v>336</v>
      </c>
      <c r="E826" s="9" t="str">
        <f t="shared" si="30"/>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31"/>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x14ac:dyDescent="0.35">
      <c r="A827" t="s">
        <v>431</v>
      </c>
      <c r="B827" t="s">
        <v>14</v>
      </c>
      <c r="C827" t="s">
        <v>339</v>
      </c>
      <c r="E827" s="9" t="str">
        <f t="shared" si="30"/>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31"/>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x14ac:dyDescent="0.35">
      <c r="A828" t="s">
        <v>123</v>
      </c>
      <c r="E828" s="9" t="str">
        <f t="shared" si="30"/>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31"/>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x14ac:dyDescent="0.35">
      <c r="A829" t="s">
        <v>58</v>
      </c>
      <c r="E829" s="9" t="str">
        <f t="shared" si="30"/>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31"/>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x14ac:dyDescent="0.35">
      <c r="A830" t="s">
        <v>387</v>
      </c>
      <c r="B830" t="s">
        <v>24</v>
      </c>
      <c r="C830" t="s">
        <v>99</v>
      </c>
      <c r="D830" t="s">
        <v>16</v>
      </c>
      <c r="E830" s="9" t="str">
        <f t="shared" si="30"/>
        <v>!!!</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ca="1" si="31"/>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x14ac:dyDescent="0.35">
      <c r="A831" t="s">
        <v>26</v>
      </c>
      <c r="E831" s="9" t="str">
        <f t="shared" si="30"/>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31"/>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x14ac:dyDescent="0.35">
      <c r="A832" t="s">
        <v>432</v>
      </c>
      <c r="B832" t="s">
        <v>24</v>
      </c>
      <c r="C832" t="s">
        <v>21</v>
      </c>
      <c r="D832" t="s">
        <v>16</v>
      </c>
      <c r="E832" s="9" t="str">
        <f t="shared" si="30"/>
        <v>!!!</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31"/>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x14ac:dyDescent="0.35">
      <c r="A833" t="s">
        <v>433</v>
      </c>
      <c r="E833" s="9" t="str">
        <f t="shared" si="30"/>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31"/>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x14ac:dyDescent="0.35">
      <c r="A834" t="s">
        <v>76</v>
      </c>
      <c r="E834" s="9" t="str">
        <f t="shared" si="30"/>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31"/>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x14ac:dyDescent="0.35">
      <c r="A835" t="s">
        <v>434</v>
      </c>
      <c r="B835" t="s">
        <v>24</v>
      </c>
      <c r="C835" t="s">
        <v>21</v>
      </c>
      <c r="D835" t="s">
        <v>16</v>
      </c>
      <c r="E835" s="9" t="str">
        <f t="shared" si="30"/>
        <v>!!!</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31"/>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x14ac:dyDescent="0.35">
      <c r="A836" t="s">
        <v>63</v>
      </c>
      <c r="E836" s="9" t="str">
        <f t="shared" si="30"/>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ca="1" si="31"/>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x14ac:dyDescent="0.35">
      <c r="E837" s="9" t="str">
        <f t="shared" si="30"/>
        <v/>
      </c>
      <c r="F837" s="10" t="str">
        <f>IF(OR(E837="",E837="!!!"),"",IF(NOT(ISNA(VLOOKUP(E837,E$1:E836,1,FALSE()))),"OLD",IF(AND(E837&lt;&gt;"",E837&lt;&gt;"!!!"),"NEW","")))</f>
        <v/>
      </c>
      <c r="G837" s="11" t="str">
        <f>IF(OR(E837="",E837="!!!"),"",IF(OR(J837=0,AND(J837=1,K837=1),AND(J837=1,I837="SBJ"),AND(J837=1,I837=0)),"?IN_FOCUS",IF(J837&lt;=2,"?ACTIVATED",IF(J837&lt;&gt;"","?FAMILIAR",IF(F837="NEW",IF(ISNA(VLOOKUP(E837,#REF!,1,FALSE())),"?TYPE_IDENTIFIABLE","?REFERENTIAL"),"_")))))</f>
        <v/>
      </c>
      <c r="H837" s="12" t="str">
        <f t="shared" ca="1" si="31"/>
        <v/>
      </c>
      <c r="I837" s="13" t="str">
        <f>IF(OR(E837="",E837="!!!",F837="NEW"),"",INDEX(B$2:B836,-1+SUMPRODUCT(MAX(ROW(E$2:E836)*(E837=E$2:E836)))))</f>
        <v/>
      </c>
      <c r="J837" s="14" t="str">
        <f ca="1">IF(OR(E837="",E837="!!!",F837="NEW"),"",COUNTBLANK(OFFSET(A$1,,,SUMPRODUCT(MAX(ROW(E$2:E837)*(E837=E$2:E837)))))-COUNTBLANK(OFFSET(A$1,,,SUMPRODUCT(MAX(ROW(E$1:E836)*(E837=E$1:E836))))))</f>
        <v/>
      </c>
      <c r="K837" s="14" t="str">
        <f>IF(OR(E837="",E837="!!!",F837="NEW"),"",INDEX(J$1:J836,SUMPRODUCT(MAX(ROW(E$1:E836)*(E837=E$1:E836)))))</f>
        <v/>
      </c>
      <c r="L837" s="15"/>
    </row>
    <row r="838" spans="1:12" x14ac:dyDescent="0.35">
      <c r="A838" t="s">
        <v>435</v>
      </c>
      <c r="E838" s="9" t="str">
        <f t="shared" si="30"/>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31"/>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x14ac:dyDescent="0.35">
      <c r="A839" t="s">
        <v>436</v>
      </c>
      <c r="B839" t="s">
        <v>14</v>
      </c>
      <c r="C839" t="s">
        <v>33</v>
      </c>
      <c r="D839" t="s">
        <v>16</v>
      </c>
      <c r="E839" s="9" t="str">
        <f t="shared" si="30"/>
        <v>!!!</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31"/>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x14ac:dyDescent="0.35">
      <c r="A840" t="s">
        <v>437</v>
      </c>
      <c r="E840" s="9" t="str">
        <f t="shared" si="30"/>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31"/>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x14ac:dyDescent="0.35">
      <c r="A841" t="s">
        <v>159</v>
      </c>
      <c r="E841" s="9" t="str">
        <f t="shared" si="30"/>
        <v/>
      </c>
      <c r="F841" s="10" t="str">
        <f>IF(OR(E841="",E841="!!!"),"",IF(NOT(ISNA(VLOOKUP(E841,E$1:E840,1,FALSE()))),"OLD",IF(AND(E841&lt;&gt;"",E841&lt;&gt;"!!!"),"NEW","")))</f>
        <v/>
      </c>
      <c r="G841" s="11" t="str">
        <f>IF(OR(E841="",E841="!!!"),"",IF(OR(J841=0,AND(J841=1,K841=1),AND(J841=1,I841="SBJ"),AND(J841=1,I841=0)),"?IN_FOCUS",IF(J841&lt;=2,"?ACTIVATED",IF(J841&lt;&gt;"","?FAMILIAR",IF(F841="NEW",IF(ISNA(VLOOKUP(E841,#REF!,1,FALSE())),"?TYPE_IDENTIFIABLE","?REFERENTIAL"),"_")))))</f>
        <v/>
      </c>
      <c r="H841" s="12" t="str">
        <f t="shared" ca="1" si="31"/>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x14ac:dyDescent="0.35">
      <c r="A842" t="s">
        <v>60</v>
      </c>
      <c r="B842" t="s">
        <v>20</v>
      </c>
      <c r="C842" t="s">
        <v>49</v>
      </c>
      <c r="D842" t="s">
        <v>16</v>
      </c>
      <c r="E842" s="9" t="str">
        <f t="shared" si="30"/>
        <v>!!!</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31"/>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x14ac:dyDescent="0.35">
      <c r="A843" t="s">
        <v>438</v>
      </c>
      <c r="B843" t="s">
        <v>24</v>
      </c>
      <c r="C843" t="s">
        <v>15</v>
      </c>
      <c r="D843" t="s">
        <v>16</v>
      </c>
      <c r="E843" s="9" t="str">
        <f t="shared" si="30"/>
        <v>!!!</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31"/>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x14ac:dyDescent="0.35">
      <c r="A844" t="s">
        <v>439</v>
      </c>
      <c r="E844" s="9" t="str">
        <f t="shared" si="30"/>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31"/>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x14ac:dyDescent="0.35">
      <c r="A845" t="s">
        <v>176</v>
      </c>
      <c r="B845" t="s">
        <v>54</v>
      </c>
      <c r="C845" t="s">
        <v>33</v>
      </c>
      <c r="D845" t="s">
        <v>16</v>
      </c>
      <c r="E845" s="9" t="str">
        <f t="shared" si="30"/>
        <v>!!!</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31"/>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x14ac:dyDescent="0.35">
      <c r="A846" t="s">
        <v>169</v>
      </c>
      <c r="E846" s="9" t="str">
        <f t="shared" si="30"/>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31"/>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x14ac:dyDescent="0.35">
      <c r="A847" t="s">
        <v>170</v>
      </c>
      <c r="E847" s="9" t="str">
        <f t="shared" si="30"/>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31"/>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x14ac:dyDescent="0.35">
      <c r="A848" t="s">
        <v>171</v>
      </c>
      <c r="B848" t="s">
        <v>54</v>
      </c>
      <c r="C848" t="s">
        <v>172</v>
      </c>
      <c r="E848" s="9" t="str">
        <f t="shared" si="30"/>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31"/>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x14ac:dyDescent="0.35">
      <c r="A849" t="s">
        <v>17</v>
      </c>
      <c r="E849" s="9" t="str">
        <f t="shared" si="30"/>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31"/>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x14ac:dyDescent="0.35">
      <c r="A850" t="s">
        <v>58</v>
      </c>
      <c r="E850" s="9" t="str">
        <f t="shared" si="30"/>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31"/>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x14ac:dyDescent="0.35">
      <c r="A851" t="s">
        <v>301</v>
      </c>
      <c r="E851" s="9" t="str">
        <f t="shared" si="30"/>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31"/>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x14ac:dyDescent="0.35">
      <c r="A852" t="s">
        <v>440</v>
      </c>
      <c r="B852" t="s">
        <v>24</v>
      </c>
      <c r="C852" t="s">
        <v>99</v>
      </c>
      <c r="D852" t="s">
        <v>16</v>
      </c>
      <c r="E852" s="9" t="str">
        <f t="shared" si="30"/>
        <v>!!!</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31"/>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x14ac:dyDescent="0.35">
      <c r="A853" t="s">
        <v>63</v>
      </c>
      <c r="E853" s="9" t="str">
        <f t="shared" si="30"/>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31"/>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x14ac:dyDescent="0.35">
      <c r="E854" s="9" t="str">
        <f t="shared" si="30"/>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ca="1" si="31"/>
        <v/>
      </c>
      <c r="I854" s="13" t="str">
        <f>IF(OR(E854="",E854="!!!",F854="NEW"),"",INDEX(B$2:B853,-1+SUMPRODUCT(MAX(ROW(E$2:E853)*(E854=E$2:E853)))))</f>
        <v/>
      </c>
      <c r="J854" s="14" t="str">
        <f ca="1">IF(OR(E854="",E854="!!!",F854="NEW"),"",COUNTBLANK(OFFSET(A$1,,,SUMPRODUCT(MAX(ROW(E$2:E854)*(E854=E$2:E854)))))-COUNTBLANK(OFFSET(A$1,,,SUMPRODUCT(MAX(ROW(E$1:E853)*(E854=E$1:E853))))))</f>
        <v/>
      </c>
      <c r="K854" s="14" t="str">
        <f>IF(OR(E854="",E854="!!!",F854="NEW"),"",INDEX(J$1:J853,SUMPRODUCT(MAX(ROW(E$1:E853)*(E854=E$1:E853)))))</f>
        <v/>
      </c>
      <c r="L854" s="15"/>
    </row>
    <row r="855" spans="1:12" x14ac:dyDescent="0.35">
      <c r="A855" t="s">
        <v>441</v>
      </c>
      <c r="E855" s="9" t="str">
        <f t="shared" si="30"/>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31"/>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x14ac:dyDescent="0.35">
      <c r="A856" t="s">
        <v>442</v>
      </c>
      <c r="B856" t="s">
        <v>14</v>
      </c>
      <c r="C856" t="s">
        <v>15</v>
      </c>
      <c r="D856" t="s">
        <v>16</v>
      </c>
      <c r="E856" s="9" t="str">
        <f t="shared" si="30"/>
        <v>!!!</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31"/>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x14ac:dyDescent="0.35">
      <c r="A857" t="s">
        <v>17</v>
      </c>
      <c r="E857" s="9" t="str">
        <f t="shared" si="30"/>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31"/>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x14ac:dyDescent="0.35">
      <c r="A858" t="s">
        <v>405</v>
      </c>
      <c r="B858" t="s">
        <v>24</v>
      </c>
      <c r="C858" t="s">
        <v>33</v>
      </c>
      <c r="D858" t="s">
        <v>16</v>
      </c>
      <c r="E858" s="9" t="str">
        <f t="shared" si="30"/>
        <v>!!!</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31"/>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x14ac:dyDescent="0.35">
      <c r="A859" t="s">
        <v>83</v>
      </c>
      <c r="E859" s="9" t="str">
        <f t="shared" si="30"/>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31"/>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x14ac:dyDescent="0.35">
      <c r="A860" t="s">
        <v>443</v>
      </c>
      <c r="E860" s="9" t="str">
        <f t="shared" si="30"/>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31"/>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row r="861" spans="1:12" x14ac:dyDescent="0.35">
      <c r="A861" t="s">
        <v>444</v>
      </c>
      <c r="B861" t="s">
        <v>32</v>
      </c>
      <c r="C861" t="s">
        <v>108</v>
      </c>
      <c r="E861" s="9" t="str">
        <f t="shared" si="30"/>
        <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ca="1" si="31"/>
        <v/>
      </c>
      <c r="I861" s="13" t="str">
        <f>IF(OR(E861="",E861="!!!",F861="NEW"),"",INDEX(B$2:B860,-1+SUMPRODUCT(MAX(ROW(E$2:E860)*(E861=E$2:E860)))))</f>
        <v/>
      </c>
      <c r="J861" s="14" t="str">
        <f ca="1">IF(OR(E861="",E861="!!!",F861="NEW"),"",COUNTBLANK(OFFSET(A$1,,,SUMPRODUCT(MAX(ROW(E$2:E861)*(E861=E$2:E861)))))-COUNTBLANK(OFFSET(A$1,,,SUMPRODUCT(MAX(ROW(E$1:E860)*(E861=E$1:E860))))))</f>
        <v/>
      </c>
      <c r="K861" s="14" t="str">
        <f>IF(OR(E861="",E861="!!!",F861="NEW"),"",INDEX(J$1:J860,SUMPRODUCT(MAX(ROW(E$1:E860)*(E861=E$1:E860)))))</f>
        <v/>
      </c>
      <c r="L861" s="15"/>
    </row>
    <row r="862" spans="1:12" x14ac:dyDescent="0.35">
      <c r="A862" t="s">
        <v>26</v>
      </c>
      <c r="E862" s="9" t="str">
        <f t="shared" si="30"/>
        <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ca="1" si="31"/>
        <v/>
      </c>
      <c r="I862" s="13" t="str">
        <f>IF(OR(E862="",E862="!!!",F862="NEW"),"",INDEX(B$2:B861,-1+SUMPRODUCT(MAX(ROW(E$2:E861)*(E862=E$2:E861)))))</f>
        <v/>
      </c>
      <c r="J862" s="14" t="str">
        <f ca="1">IF(OR(E862="",E862="!!!",F862="NEW"),"",COUNTBLANK(OFFSET(A$1,,,SUMPRODUCT(MAX(ROW(E$2:E862)*(E862=E$2:E862)))))-COUNTBLANK(OFFSET(A$1,,,SUMPRODUCT(MAX(ROW(E$1:E861)*(E862=E$1:E861))))))</f>
        <v/>
      </c>
      <c r="K862" s="14" t="str">
        <f>IF(OR(E862="",E862="!!!",F862="NEW"),"",INDEX(J$1:J861,SUMPRODUCT(MAX(ROW(E$1:E861)*(E862=E$1:E861)))))</f>
        <v/>
      </c>
      <c r="L862" s="15"/>
    </row>
    <row r="863" spans="1:12" x14ac:dyDescent="0.35">
      <c r="A863" t="s">
        <v>76</v>
      </c>
      <c r="E863" s="9" t="str">
        <f t="shared" si="30"/>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ca="1" si="31"/>
        <v/>
      </c>
      <c r="I863" s="13" t="str">
        <f>IF(OR(E863="",E863="!!!",F863="NEW"),"",INDEX(B$2:B862,-1+SUMPRODUCT(MAX(ROW(E$2:E862)*(E863=E$2:E862)))))</f>
        <v/>
      </c>
      <c r="J863" s="14" t="str">
        <f ca="1">IF(OR(E863="",E863="!!!",F863="NEW"),"",COUNTBLANK(OFFSET(A$1,,,SUMPRODUCT(MAX(ROW(E$2:E863)*(E863=E$2:E863)))))-COUNTBLANK(OFFSET(A$1,,,SUMPRODUCT(MAX(ROW(E$1:E862)*(E863=E$1:E862))))))</f>
        <v/>
      </c>
      <c r="K863" s="14" t="str">
        <f>IF(OR(E863="",E863="!!!",F863="NEW"),"",INDEX(J$1:J862,SUMPRODUCT(MAX(ROW(E$1:E862)*(E863=E$1:E862)))))</f>
        <v/>
      </c>
      <c r="L863" s="15"/>
    </row>
    <row r="864" spans="1:12" x14ac:dyDescent="0.35">
      <c r="A864" t="s">
        <v>445</v>
      </c>
      <c r="B864" t="s">
        <v>36</v>
      </c>
      <c r="C864" t="s">
        <v>108</v>
      </c>
      <c r="E864" s="9" t="str">
        <f t="shared" si="30"/>
        <v/>
      </c>
      <c r="F864" s="10" t="str">
        <f>IF(OR(E864="",E864="!!!"),"",IF(NOT(ISNA(VLOOKUP(E864,E$1:E863,1,FALSE()))),"OLD",IF(AND(E864&lt;&gt;"",E864&lt;&gt;"!!!"),"NEW","")))</f>
        <v/>
      </c>
      <c r="G864" s="11" t="str">
        <f>IF(OR(E864="",E864="!!!"),"",IF(OR(J864=0,AND(J864=1,K864=1),AND(J864=1,I864="SBJ"),AND(J864=1,I864=0)),"?IN_FOCUS",IF(J864&lt;=2,"?ACTIVATED",IF(J864&lt;&gt;"","?FAMILIAR",IF(F864="NEW",IF(ISNA(VLOOKUP(E864,#REF!,1,FALSE())),"?TYPE_IDENTIFIABLE","?REFERENTIAL"),"_")))))</f>
        <v/>
      </c>
      <c r="H864" s="12" t="str">
        <f t="shared" ca="1" si="31"/>
        <v/>
      </c>
      <c r="I864" s="13" t="str">
        <f>IF(OR(E864="",E864="!!!",F864="NEW"),"",INDEX(B$2:B863,-1+SUMPRODUCT(MAX(ROW(E$2:E863)*(E864=E$2:E863)))))</f>
        <v/>
      </c>
      <c r="J864" s="14" t="str">
        <f ca="1">IF(OR(E864="",E864="!!!",F864="NEW"),"",COUNTBLANK(OFFSET(A$1,,,SUMPRODUCT(MAX(ROW(E$2:E864)*(E864=E$2:E864)))))-COUNTBLANK(OFFSET(A$1,,,SUMPRODUCT(MAX(ROW(E$1:E863)*(E864=E$1:E863))))))</f>
        <v/>
      </c>
      <c r="K864" s="14" t="str">
        <f>IF(OR(E864="",E864="!!!",F864="NEW"),"",INDEX(J$1:J863,SUMPRODUCT(MAX(ROW(E$1:E863)*(E864=E$1:E863)))))</f>
        <v/>
      </c>
      <c r="L864" s="15"/>
    </row>
    <row r="865" spans="1:12" x14ac:dyDescent="0.35">
      <c r="A865" t="s">
        <v>76</v>
      </c>
      <c r="E865" s="9" t="str">
        <f t="shared" si="30"/>
        <v/>
      </c>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ca="1" si="31"/>
        <v/>
      </c>
      <c r="I865" s="13" t="str">
        <f>IF(OR(E865="",E865="!!!",F865="NEW"),"",INDEX(B$2:B864,-1+SUMPRODUCT(MAX(ROW(E$2:E864)*(E865=E$2:E864)))))</f>
        <v/>
      </c>
      <c r="J865" s="14" t="str">
        <f ca="1">IF(OR(E865="",E865="!!!",F865="NEW"),"",COUNTBLANK(OFFSET(A$1,,,SUMPRODUCT(MAX(ROW(E$2:E865)*(E865=E$2:E865)))))-COUNTBLANK(OFFSET(A$1,,,SUMPRODUCT(MAX(ROW(E$1:E864)*(E865=E$1:E864))))))</f>
        <v/>
      </c>
      <c r="K865" s="14" t="str">
        <f>IF(OR(E865="",E865="!!!",F865="NEW"),"",INDEX(J$1:J864,SUMPRODUCT(MAX(ROW(E$1:E864)*(E865=E$1:E864)))))</f>
        <v/>
      </c>
      <c r="L865" s="15"/>
    </row>
    <row r="866" spans="1:12" x14ac:dyDescent="0.35">
      <c r="A866" t="s">
        <v>446</v>
      </c>
      <c r="B866" t="s">
        <v>20</v>
      </c>
      <c r="C866" t="s">
        <v>108</v>
      </c>
      <c r="E866" s="9" t="str">
        <f t="shared" si="30"/>
        <v/>
      </c>
      <c r="F866" s="10" t="str">
        <f>IF(OR(E866="",E866="!!!"),"",IF(NOT(ISNA(VLOOKUP(E866,E$1:E865,1,FALSE()))),"OLD",IF(AND(E866&lt;&gt;"",E866&lt;&gt;"!!!"),"NEW","")))</f>
        <v/>
      </c>
      <c r="G866" s="11" t="str">
        <f>IF(OR(E866="",E866="!!!"),"",IF(OR(J866=0,AND(J866=1,K866=1),AND(J866=1,I866="SBJ"),AND(J866=1,I866=0)),"?IN_FOCUS",IF(J866&lt;=2,"?ACTIVATED",IF(J866&lt;&gt;"","?FAMILIAR",IF(F866="NEW",IF(ISNA(VLOOKUP(E866,#REF!,1,FALSE())),"?TYPE_IDENTIFIABLE","?REFERENTIAL"),"_")))))</f>
        <v/>
      </c>
      <c r="H866" s="12" t="str">
        <f t="shared" ca="1" si="31"/>
        <v/>
      </c>
      <c r="I866" s="13" t="str">
        <f>IF(OR(E866="",E866="!!!",F866="NEW"),"",INDEX(B$2:B865,-1+SUMPRODUCT(MAX(ROW(E$2:E865)*(E866=E$2:E865)))))</f>
        <v/>
      </c>
      <c r="J866" s="14" t="str">
        <f ca="1">IF(OR(E866="",E866="!!!",F866="NEW"),"",COUNTBLANK(OFFSET(A$1,,,SUMPRODUCT(MAX(ROW(E$2:E866)*(E866=E$2:E866)))))-COUNTBLANK(OFFSET(A$1,,,SUMPRODUCT(MAX(ROW(E$1:E865)*(E866=E$1:E865))))))</f>
        <v/>
      </c>
      <c r="K866" s="14" t="str">
        <f>IF(OR(E866="",E866="!!!",F866="NEW"),"",INDEX(J$1:J865,SUMPRODUCT(MAX(ROW(E$1:E865)*(E866=E$1:E865)))))</f>
        <v/>
      </c>
      <c r="L866" s="15"/>
    </row>
    <row r="867" spans="1:12" x14ac:dyDescent="0.35">
      <c r="A867" t="s">
        <v>83</v>
      </c>
      <c r="E867" s="9" t="str">
        <f t="shared" si="30"/>
        <v/>
      </c>
      <c r="F867" s="10" t="str">
        <f>IF(OR(E867="",E867="!!!"),"",IF(NOT(ISNA(VLOOKUP(E867,E$1:E866,1,FALSE()))),"OLD",IF(AND(E867&lt;&gt;"",E867&lt;&gt;"!!!"),"NEW","")))</f>
        <v/>
      </c>
      <c r="G867" s="11" t="str">
        <f>IF(OR(E867="",E867="!!!"),"",IF(OR(J867=0,AND(J867=1,K867=1),AND(J867=1,I867="SBJ"),AND(J867=1,I867=0)),"?IN_FOCUS",IF(J867&lt;=2,"?ACTIVATED",IF(J867&lt;&gt;"","?FAMILIAR",IF(F867="NEW",IF(ISNA(VLOOKUP(E867,#REF!,1,FALSE())),"?TYPE_IDENTIFIABLE","?REFERENTIAL"),"_")))))</f>
        <v/>
      </c>
      <c r="H867" s="12" t="str">
        <f t="shared" ca="1" si="31"/>
        <v/>
      </c>
      <c r="I867" s="13" t="str">
        <f>IF(OR(E867="",E867="!!!",F867="NEW"),"",INDEX(B$2:B866,-1+SUMPRODUCT(MAX(ROW(E$2:E866)*(E867=E$2:E866)))))</f>
        <v/>
      </c>
      <c r="J867" s="14" t="str">
        <f ca="1">IF(OR(E867="",E867="!!!",F867="NEW"),"",COUNTBLANK(OFFSET(A$1,,,SUMPRODUCT(MAX(ROW(E$2:E867)*(E867=E$2:E867)))))-COUNTBLANK(OFFSET(A$1,,,SUMPRODUCT(MAX(ROW(E$1:E866)*(E867=E$1:E866))))))</f>
        <v/>
      </c>
      <c r="K867" s="14" t="str">
        <f>IF(OR(E867="",E867="!!!",F867="NEW"),"",INDEX(J$1:J866,SUMPRODUCT(MAX(ROW(E$1:E866)*(E867=E$1:E866)))))</f>
        <v/>
      </c>
      <c r="L867" s="15"/>
    </row>
    <row r="868" spans="1:12" x14ac:dyDescent="0.35">
      <c r="A868" t="s">
        <v>123</v>
      </c>
      <c r="E868" s="9" t="str">
        <f t="shared" si="30"/>
        <v/>
      </c>
      <c r="F868" s="10" t="str">
        <f>IF(OR(E868="",E868="!!!"),"",IF(NOT(ISNA(VLOOKUP(E868,E$1:E867,1,FALSE()))),"OLD",IF(AND(E868&lt;&gt;"",E868&lt;&gt;"!!!"),"NEW","")))</f>
        <v/>
      </c>
      <c r="G868" s="11" t="str">
        <f>IF(OR(E868="",E868="!!!"),"",IF(OR(J868=0,AND(J868=1,K868=1),AND(J868=1,I868="SBJ"),AND(J868=1,I868=0)),"?IN_FOCUS",IF(J868&lt;=2,"?ACTIVATED",IF(J868&lt;&gt;"","?FAMILIAR",IF(F868="NEW",IF(ISNA(VLOOKUP(E868,#REF!,1,FALSE())),"?TYPE_IDENTIFIABLE","?REFERENTIAL"),"_")))))</f>
        <v/>
      </c>
      <c r="H868" s="12" t="str">
        <f t="shared" ca="1" si="31"/>
        <v/>
      </c>
      <c r="I868" s="13" t="str">
        <f>IF(OR(E868="",E868="!!!",F868="NEW"),"",INDEX(B$2:B867,-1+SUMPRODUCT(MAX(ROW(E$2:E867)*(E868=E$2:E867)))))</f>
        <v/>
      </c>
      <c r="J868" s="14" t="str">
        <f ca="1">IF(OR(E868="",E868="!!!",F868="NEW"),"",COUNTBLANK(OFFSET(A$1,,,SUMPRODUCT(MAX(ROW(E$2:E868)*(E868=E$2:E868)))))-COUNTBLANK(OFFSET(A$1,,,SUMPRODUCT(MAX(ROW(E$1:E867)*(E868=E$1:E867))))))</f>
        <v/>
      </c>
      <c r="K868" s="14" t="str">
        <f>IF(OR(E868="",E868="!!!",F868="NEW"),"",INDEX(J$1:J867,SUMPRODUCT(MAX(ROW(E$1:E867)*(E868=E$1:E867)))))</f>
        <v/>
      </c>
      <c r="L868" s="15"/>
    </row>
    <row r="869" spans="1:12" x14ac:dyDescent="0.35">
      <c r="A869" t="s">
        <v>128</v>
      </c>
      <c r="B869" t="s">
        <v>54</v>
      </c>
      <c r="C869" t="s">
        <v>15</v>
      </c>
      <c r="D869" t="s">
        <v>16</v>
      </c>
      <c r="E869" s="9" t="str">
        <f t="shared" si="30"/>
        <v>!!!</v>
      </c>
      <c r="F869" s="10" t="str">
        <f>IF(OR(E869="",E869="!!!"),"",IF(NOT(ISNA(VLOOKUP(E869,E$1:E868,1,FALSE()))),"OLD",IF(AND(E869&lt;&gt;"",E869&lt;&gt;"!!!"),"NEW","")))</f>
        <v/>
      </c>
      <c r="G869" s="11" t="str">
        <f>IF(OR(E869="",E869="!!!"),"",IF(OR(J869=0,AND(J869=1,K869=1),AND(J869=1,I869="SBJ"),AND(J869=1,I869=0)),"?IN_FOCUS",IF(J869&lt;=2,"?ACTIVATED",IF(J869&lt;&gt;"","?FAMILIAR",IF(F869="NEW",IF(ISNA(VLOOKUP(E869,#REF!,1,FALSE())),"?TYPE_IDENTIFIABLE","?REFERENTIAL"),"_")))))</f>
        <v/>
      </c>
      <c r="H869" s="12" t="str">
        <f t="shared" ca="1" si="31"/>
        <v/>
      </c>
      <c r="I869" s="13" t="str">
        <f>IF(OR(E869="",E869="!!!",F869="NEW"),"",INDEX(B$2:B868,-1+SUMPRODUCT(MAX(ROW(E$2:E868)*(E869=E$2:E868)))))</f>
        <v/>
      </c>
      <c r="J869" s="14" t="str">
        <f ca="1">IF(OR(E869="",E869="!!!",F869="NEW"),"",COUNTBLANK(OFFSET(A$1,,,SUMPRODUCT(MAX(ROW(E$2:E869)*(E869=E$2:E869)))))-COUNTBLANK(OFFSET(A$1,,,SUMPRODUCT(MAX(ROW(E$1:E868)*(E869=E$1:E868))))))</f>
        <v/>
      </c>
      <c r="K869" s="14" t="str">
        <f>IF(OR(E869="",E869="!!!",F869="NEW"),"",INDEX(J$1:J868,SUMPRODUCT(MAX(ROW(E$1:E868)*(E869=E$1:E868)))))</f>
        <v/>
      </c>
      <c r="L869" s="15"/>
    </row>
    <row r="870" spans="1:12" x14ac:dyDescent="0.35">
      <c r="A870" t="s">
        <v>17</v>
      </c>
      <c r="E870" s="9" t="str">
        <f t="shared" si="30"/>
        <v/>
      </c>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ca="1" si="31"/>
        <v/>
      </c>
      <c r="I870" s="13" t="str">
        <f>IF(OR(E870="",E870="!!!",F870="NEW"),"",INDEX(B$2:B869,-1+SUMPRODUCT(MAX(ROW(E$2:E869)*(E870=E$2:E869)))))</f>
        <v/>
      </c>
      <c r="J870" s="14" t="str">
        <f ca="1">IF(OR(E870="",E870="!!!",F870="NEW"),"",COUNTBLANK(OFFSET(A$1,,,SUMPRODUCT(MAX(ROW(E$2:E870)*(E870=E$2:E870)))))-COUNTBLANK(OFFSET(A$1,,,SUMPRODUCT(MAX(ROW(E$1:E869)*(E870=E$1:E869))))))</f>
        <v/>
      </c>
      <c r="K870" s="14" t="str">
        <f>IF(OR(E870="",E870="!!!",F870="NEW"),"",INDEX(J$1:J869,SUMPRODUCT(MAX(ROW(E$1:E869)*(E870=E$1:E869)))))</f>
        <v/>
      </c>
      <c r="L870" s="15"/>
    </row>
    <row r="871" spans="1:12" x14ac:dyDescent="0.35">
      <c r="A871" t="s">
        <v>405</v>
      </c>
      <c r="B871" t="s">
        <v>24</v>
      </c>
      <c r="C871" t="s">
        <v>33</v>
      </c>
      <c r="D871" t="s">
        <v>16</v>
      </c>
      <c r="E871" s="9" t="str">
        <f t="shared" si="30"/>
        <v>!!!</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ca="1" si="31"/>
        <v/>
      </c>
      <c r="I871" s="13" t="str">
        <f>IF(OR(E871="",E871="!!!",F871="NEW"),"",INDEX(B$2:B870,-1+SUMPRODUCT(MAX(ROW(E$2:E870)*(E871=E$2:E870)))))</f>
        <v/>
      </c>
      <c r="J871" s="14" t="str">
        <f ca="1">IF(OR(E871="",E871="!!!",F871="NEW"),"",COUNTBLANK(OFFSET(A$1,,,SUMPRODUCT(MAX(ROW(E$2:E871)*(E871=E$2:E871)))))-COUNTBLANK(OFFSET(A$1,,,SUMPRODUCT(MAX(ROW(E$1:E870)*(E871=E$1:E870))))))</f>
        <v/>
      </c>
      <c r="K871" s="14" t="str">
        <f>IF(OR(E871="",E871="!!!",F871="NEW"),"",INDEX(J$1:J870,SUMPRODUCT(MAX(ROW(E$1:E870)*(E871=E$1:E870)))))</f>
        <v/>
      </c>
      <c r="L871" s="15"/>
    </row>
    <row r="872" spans="1:12" x14ac:dyDescent="0.35">
      <c r="A872" t="s">
        <v>63</v>
      </c>
      <c r="E872" s="9" t="str">
        <f t="shared" si="30"/>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ca="1" si="31"/>
        <v/>
      </c>
      <c r="I872" s="13" t="str">
        <f>IF(OR(E872="",E872="!!!",F872="NEW"),"",INDEX(B$2:B871,-1+SUMPRODUCT(MAX(ROW(E$2:E871)*(E872=E$2:E871)))))</f>
        <v/>
      </c>
      <c r="J872" s="14" t="str">
        <f ca="1">IF(OR(E872="",E872="!!!",F872="NEW"),"",COUNTBLANK(OFFSET(A$1,,,SUMPRODUCT(MAX(ROW(E$2:E872)*(E872=E$2:E872)))))-COUNTBLANK(OFFSET(A$1,,,SUMPRODUCT(MAX(ROW(E$1:E871)*(E872=E$1:E871))))))</f>
        <v/>
      </c>
      <c r="K872" s="14" t="str">
        <f>IF(OR(E872="",E872="!!!",F872="NEW"),"",INDEX(J$1:J871,SUMPRODUCT(MAX(ROW(E$1:E871)*(E872=E$1:E871)))))</f>
        <v/>
      </c>
      <c r="L872" s="15"/>
    </row>
    <row r="873" spans="1:12" x14ac:dyDescent="0.35">
      <c r="E873" s="9" t="str">
        <f t="shared" si="30"/>
        <v/>
      </c>
      <c r="F873" s="10" t="str">
        <f>IF(OR(E873="",E873="!!!"),"",IF(NOT(ISNA(VLOOKUP(E873,E$1:E872,1,FALSE()))),"OLD",IF(AND(E873&lt;&gt;"",E873&lt;&gt;"!!!"),"NEW","")))</f>
        <v/>
      </c>
      <c r="G873" s="11" t="str">
        <f>IF(OR(E873="",E873="!!!"),"",IF(OR(J873=0,AND(J873=1,K873=1),AND(J873=1,I873="SBJ"),AND(J873=1,I873=0)),"?IN_FOCUS",IF(J873&lt;=2,"?ACTIVATED",IF(J873&lt;&gt;"","?FAMILIAR",IF(F873="NEW",IF(ISNA(VLOOKUP(E873,#REF!,1,FALSE())),"?TYPE_IDENTIFIABLE","?REFERENTIAL"),"_")))))</f>
        <v/>
      </c>
      <c r="H873" s="12" t="str">
        <f t="shared" ca="1" si="31"/>
        <v/>
      </c>
      <c r="I873" s="13" t="str">
        <f>IF(OR(E873="",E873="!!!",F873="NEW"),"",INDEX(B$2:B872,-1+SUMPRODUCT(MAX(ROW(E$2:E872)*(E873=E$2:E872)))))</f>
        <v/>
      </c>
      <c r="J873" s="14" t="str">
        <f ca="1">IF(OR(E873="",E873="!!!",F873="NEW"),"",COUNTBLANK(OFFSET(A$1,,,SUMPRODUCT(MAX(ROW(E$2:E873)*(E873=E$2:E873)))))-COUNTBLANK(OFFSET(A$1,,,SUMPRODUCT(MAX(ROW(E$1:E872)*(E873=E$1:E872))))))</f>
        <v/>
      </c>
      <c r="K873" s="14" t="str">
        <f>IF(OR(E873="",E873="!!!",F873="NEW"),"",INDEX(J$1:J872,SUMPRODUCT(MAX(ROW(E$1:E872)*(E873=E$1:E872)))))</f>
        <v/>
      </c>
      <c r="L873" s="15"/>
    </row>
    <row r="874" spans="1:12" x14ac:dyDescent="0.35">
      <c r="A874" t="s">
        <v>447</v>
      </c>
      <c r="E874" s="9" t="str">
        <f t="shared" si="30"/>
        <v/>
      </c>
      <c r="F874" s="10" t="str">
        <f>IF(OR(E874="",E874="!!!"),"",IF(NOT(ISNA(VLOOKUP(E874,E$1:E873,1,FALSE()))),"OLD",IF(AND(E874&lt;&gt;"",E874&lt;&gt;"!!!"),"NEW","")))</f>
        <v/>
      </c>
      <c r="G874" s="11" t="str">
        <f>IF(OR(E874="",E874="!!!"),"",IF(OR(J874=0,AND(J874=1,K874=1),AND(J874=1,I874="SBJ"),AND(J874=1,I874=0)),"?IN_FOCUS",IF(J874&lt;=2,"?ACTIVATED",IF(J874&lt;&gt;"","?FAMILIAR",IF(F874="NEW",IF(ISNA(VLOOKUP(E874,#REF!,1,FALSE())),"?TYPE_IDENTIFIABLE","?REFERENTIAL"),"_")))))</f>
        <v/>
      </c>
      <c r="H874" s="12" t="str">
        <f t="shared" ca="1" si="31"/>
        <v/>
      </c>
      <c r="I874" s="13" t="str">
        <f>IF(OR(E874="",E874="!!!",F874="NEW"),"",INDEX(B$2:B873,-1+SUMPRODUCT(MAX(ROW(E$2:E873)*(E874=E$2:E873)))))</f>
        <v/>
      </c>
      <c r="J874" s="14" t="str">
        <f ca="1">IF(OR(E874="",E874="!!!",F874="NEW"),"",COUNTBLANK(OFFSET(A$1,,,SUMPRODUCT(MAX(ROW(E$2:E874)*(E874=E$2:E874)))))-COUNTBLANK(OFFSET(A$1,,,SUMPRODUCT(MAX(ROW(E$1:E873)*(E874=E$1:E873))))))</f>
        <v/>
      </c>
      <c r="K874" s="14" t="str">
        <f>IF(OR(E874="",E874="!!!",F874="NEW"),"",INDEX(J$1:J873,SUMPRODUCT(MAX(ROW(E$1:E873)*(E874=E$1:E873)))))</f>
        <v/>
      </c>
      <c r="L874" s="15"/>
    </row>
    <row r="875" spans="1:12" x14ac:dyDescent="0.35">
      <c r="A875" t="s">
        <v>434</v>
      </c>
      <c r="B875" t="s">
        <v>14</v>
      </c>
      <c r="C875" t="s">
        <v>21</v>
      </c>
      <c r="D875" t="s">
        <v>16</v>
      </c>
      <c r="E875" s="9" t="str">
        <f t="shared" si="30"/>
        <v>!!!</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ca="1" si="31"/>
        <v/>
      </c>
      <c r="I875" s="13" t="str">
        <f>IF(OR(E875="",E875="!!!",F875="NEW"),"",INDEX(B$2:B874,-1+SUMPRODUCT(MAX(ROW(E$2:E874)*(E875=E$2:E874)))))</f>
        <v/>
      </c>
      <c r="J875" s="14" t="str">
        <f ca="1">IF(OR(E875="",E875="!!!",F875="NEW"),"",COUNTBLANK(OFFSET(A$1,,,SUMPRODUCT(MAX(ROW(E$2:E875)*(E875=E$2:E875)))))-COUNTBLANK(OFFSET(A$1,,,SUMPRODUCT(MAX(ROW(E$1:E874)*(E875=E$1:E874))))))</f>
        <v/>
      </c>
      <c r="K875" s="14" t="str">
        <f>IF(OR(E875="",E875="!!!",F875="NEW"),"",INDEX(J$1:J874,SUMPRODUCT(MAX(ROW(E$1:E874)*(E875=E$1:E874)))))</f>
        <v/>
      </c>
      <c r="L875" s="15"/>
    </row>
    <row r="876" spans="1:12" x14ac:dyDescent="0.35">
      <c r="A876" t="s">
        <v>42</v>
      </c>
      <c r="E876" s="9" t="str">
        <f t="shared" si="30"/>
        <v/>
      </c>
      <c r="F876" s="10" t="str">
        <f>IF(OR(E876="",E876="!!!"),"",IF(NOT(ISNA(VLOOKUP(E876,E$1:E875,1,FALSE()))),"OLD",IF(AND(E876&lt;&gt;"",E876&lt;&gt;"!!!"),"NEW","")))</f>
        <v/>
      </c>
      <c r="G876" s="11" t="str">
        <f>IF(OR(E876="",E876="!!!"),"",IF(OR(J876=0,AND(J876=1,K876=1),AND(J876=1,I876="SBJ"),AND(J876=1,I876=0)),"?IN_FOCUS",IF(J876&lt;=2,"?ACTIVATED",IF(J876&lt;&gt;"","?FAMILIAR",IF(F876="NEW",IF(ISNA(VLOOKUP(E876,#REF!,1,FALSE())),"?TYPE_IDENTIFIABLE","?REFERENTIAL"),"_")))))</f>
        <v/>
      </c>
      <c r="H876" s="12" t="str">
        <f t="shared" ca="1" si="31"/>
        <v/>
      </c>
      <c r="I876" s="13" t="str">
        <f>IF(OR(E876="",E876="!!!",F876="NEW"),"",INDEX(B$2:B875,-1+SUMPRODUCT(MAX(ROW(E$2:E875)*(E876=E$2:E875)))))</f>
        <v/>
      </c>
      <c r="J876" s="14" t="str">
        <f ca="1">IF(OR(E876="",E876="!!!",F876="NEW"),"",COUNTBLANK(OFFSET(A$1,,,SUMPRODUCT(MAX(ROW(E$2:E876)*(E876=E$2:E876)))))-COUNTBLANK(OFFSET(A$1,,,SUMPRODUCT(MAX(ROW(E$1:E875)*(E876=E$1:E875))))))</f>
        <v/>
      </c>
      <c r="K876" s="14" t="str">
        <f>IF(OR(E876="",E876="!!!",F876="NEW"),"",INDEX(J$1:J875,SUMPRODUCT(MAX(ROW(E$1:E875)*(E876=E$1:E875)))))</f>
        <v/>
      </c>
      <c r="L876" s="15"/>
    </row>
    <row r="877" spans="1:12" x14ac:dyDescent="0.35">
      <c r="A877" t="s">
        <v>448</v>
      </c>
      <c r="E877" s="9" t="str">
        <f t="shared" si="30"/>
        <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ca="1" si="31"/>
        <v/>
      </c>
      <c r="I877" s="13" t="str">
        <f>IF(OR(E877="",E877="!!!",F877="NEW"),"",INDEX(B$2:B876,-1+SUMPRODUCT(MAX(ROW(E$2:E876)*(E877=E$2:E876)))))</f>
        <v/>
      </c>
      <c r="J877" s="14" t="str">
        <f ca="1">IF(OR(E877="",E877="!!!",F877="NEW"),"",COUNTBLANK(OFFSET(A$1,,,SUMPRODUCT(MAX(ROW(E$2:E877)*(E877=E$2:E877)))))-COUNTBLANK(OFFSET(A$1,,,SUMPRODUCT(MAX(ROW(E$1:E876)*(E877=E$1:E876))))))</f>
        <v/>
      </c>
      <c r="K877" s="14" t="str">
        <f>IF(OR(E877="",E877="!!!",F877="NEW"),"",INDEX(J$1:J876,SUMPRODUCT(MAX(ROW(E$1:E876)*(E877=E$1:E876)))))</f>
        <v/>
      </c>
      <c r="L877" s="15"/>
    </row>
    <row r="878" spans="1:12" x14ac:dyDescent="0.35">
      <c r="A878" t="s">
        <v>159</v>
      </c>
      <c r="E878" s="9" t="str">
        <f t="shared" si="30"/>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ca="1" si="31"/>
        <v/>
      </c>
      <c r="I878" s="13" t="str">
        <f>IF(OR(E878="",E878="!!!",F878="NEW"),"",INDEX(B$2:B877,-1+SUMPRODUCT(MAX(ROW(E$2:E877)*(E878=E$2:E877)))))</f>
        <v/>
      </c>
      <c r="J878" s="14" t="str">
        <f ca="1">IF(OR(E878="",E878="!!!",F878="NEW"),"",COUNTBLANK(OFFSET(A$1,,,SUMPRODUCT(MAX(ROW(E$2:E878)*(E878=E$2:E878)))))-COUNTBLANK(OFFSET(A$1,,,SUMPRODUCT(MAX(ROW(E$1:E877)*(E878=E$1:E877))))))</f>
        <v/>
      </c>
      <c r="K878" s="14" t="str">
        <f>IF(OR(E878="",E878="!!!",F878="NEW"),"",INDEX(J$1:J877,SUMPRODUCT(MAX(ROW(E$1:E877)*(E878=E$1:E877)))))</f>
        <v/>
      </c>
      <c r="L878" s="15"/>
    </row>
    <row r="879" spans="1:12" x14ac:dyDescent="0.35">
      <c r="A879" t="s">
        <v>449</v>
      </c>
      <c r="B879" t="s">
        <v>54</v>
      </c>
      <c r="C879" t="s">
        <v>108</v>
      </c>
      <c r="E879" s="9" t="str">
        <f t="shared" si="30"/>
        <v/>
      </c>
      <c r="F879" s="10" t="str">
        <f>IF(OR(E879="",E879="!!!"),"",IF(NOT(ISNA(VLOOKUP(E879,E$1:E878,1,FALSE()))),"OLD",IF(AND(E879&lt;&gt;"",E879&lt;&gt;"!!!"),"NEW","")))</f>
        <v/>
      </c>
      <c r="G879" s="11" t="str">
        <f>IF(OR(E879="",E879="!!!"),"",IF(OR(J879=0,AND(J879=1,K879=1),AND(J879=1,I879="SBJ"),AND(J879=1,I879=0)),"?IN_FOCUS",IF(J879&lt;=2,"?ACTIVATED",IF(J879&lt;&gt;"","?FAMILIAR",IF(F879="NEW",IF(ISNA(VLOOKUP(E879,#REF!,1,FALSE())),"?TYPE_IDENTIFIABLE","?REFERENTIAL"),"_")))))</f>
        <v/>
      </c>
      <c r="H879" s="12" t="str">
        <f t="shared" ca="1" si="31"/>
        <v/>
      </c>
      <c r="I879" s="13" t="str">
        <f>IF(OR(E879="",E879="!!!",F879="NEW"),"",INDEX(B$2:B878,-1+SUMPRODUCT(MAX(ROW(E$2:E878)*(E879=E$2:E878)))))</f>
        <v/>
      </c>
      <c r="J879" s="14" t="str">
        <f ca="1">IF(OR(E879="",E879="!!!",F879="NEW"),"",COUNTBLANK(OFFSET(A$1,,,SUMPRODUCT(MAX(ROW(E$2:E879)*(E879=E$2:E879)))))-COUNTBLANK(OFFSET(A$1,,,SUMPRODUCT(MAX(ROW(E$1:E878)*(E879=E$1:E878))))))</f>
        <v/>
      </c>
      <c r="K879" s="14" t="str">
        <f>IF(OR(E879="",E879="!!!",F879="NEW"),"",INDEX(J$1:J878,SUMPRODUCT(MAX(ROW(E$1:E878)*(E879=E$1:E878)))))</f>
        <v/>
      </c>
      <c r="L879" s="15"/>
    </row>
    <row r="880" spans="1:12" x14ac:dyDescent="0.35">
      <c r="A880" t="s">
        <v>26</v>
      </c>
      <c r="E880" s="9" t="str">
        <f t="shared" si="30"/>
        <v/>
      </c>
      <c r="F880" s="10" t="str">
        <f>IF(OR(E880="",E880="!!!"),"",IF(NOT(ISNA(VLOOKUP(E880,E$1:E879,1,FALSE()))),"OLD",IF(AND(E880&lt;&gt;"",E880&lt;&gt;"!!!"),"NEW","")))</f>
        <v/>
      </c>
      <c r="G880" s="11" t="str">
        <f>IF(OR(E880="",E880="!!!"),"",IF(OR(J880=0,AND(J880=1,K880=1),AND(J880=1,I880="SBJ"),AND(J880=1,I880=0)),"?IN_FOCUS",IF(J880&lt;=2,"?ACTIVATED",IF(J880&lt;&gt;"","?FAMILIAR",IF(F880="NEW",IF(ISNA(VLOOKUP(E880,#REF!,1,FALSE())),"?TYPE_IDENTIFIABLE","?REFERENTIAL"),"_")))))</f>
        <v/>
      </c>
      <c r="H880" s="12" t="str">
        <f t="shared" ca="1" si="31"/>
        <v/>
      </c>
      <c r="I880" s="13" t="str">
        <f>IF(OR(E880="",E880="!!!",F880="NEW"),"",INDEX(B$2:B879,-1+SUMPRODUCT(MAX(ROW(E$2:E879)*(E880=E$2:E879)))))</f>
        <v/>
      </c>
      <c r="J880" s="14" t="str">
        <f ca="1">IF(OR(E880="",E880="!!!",F880="NEW"),"",COUNTBLANK(OFFSET(A$1,,,SUMPRODUCT(MAX(ROW(E$2:E880)*(E880=E$2:E880)))))-COUNTBLANK(OFFSET(A$1,,,SUMPRODUCT(MAX(ROW(E$1:E879)*(E880=E$1:E879))))))</f>
        <v/>
      </c>
      <c r="K880" s="14" t="str">
        <f>IF(OR(E880="",E880="!!!",F880="NEW"),"",INDEX(J$1:J879,SUMPRODUCT(MAX(ROW(E$1:E879)*(E880=E$1:E879)))))</f>
        <v/>
      </c>
      <c r="L880" s="15"/>
    </row>
    <row r="881" spans="1:12" x14ac:dyDescent="0.35">
      <c r="A881" t="s">
        <v>115</v>
      </c>
      <c r="E881" s="9" t="str">
        <f t="shared" si="30"/>
        <v/>
      </c>
      <c r="F881" s="10" t="str">
        <f>IF(OR(E881="",E881="!!!"),"",IF(NOT(ISNA(VLOOKUP(E881,E$1:E880,1,FALSE()))),"OLD",IF(AND(E881&lt;&gt;"",E881&lt;&gt;"!!!"),"NEW","")))</f>
        <v/>
      </c>
      <c r="G881" s="11" t="str">
        <f>IF(OR(E881="",E881="!!!"),"",IF(OR(J881=0,AND(J881=1,K881=1),AND(J881=1,I881="SBJ"),AND(J881=1,I881=0)),"?IN_FOCUS",IF(J881&lt;=2,"?ACTIVATED",IF(J881&lt;&gt;"","?FAMILIAR",IF(F881="NEW",IF(ISNA(VLOOKUP(E881,#REF!,1,FALSE())),"?TYPE_IDENTIFIABLE","?REFERENTIAL"),"_")))))</f>
        <v/>
      </c>
      <c r="H881" s="12" t="str">
        <f t="shared" ca="1" si="31"/>
        <v/>
      </c>
      <c r="I881" s="13" t="str">
        <f>IF(OR(E881="",E881="!!!",F881="NEW"),"",INDEX(B$2:B880,-1+SUMPRODUCT(MAX(ROW(E$2:E880)*(E881=E$2:E880)))))</f>
        <v/>
      </c>
      <c r="J881" s="14" t="str">
        <f ca="1">IF(OR(E881="",E881="!!!",F881="NEW"),"",COUNTBLANK(OFFSET(A$1,,,SUMPRODUCT(MAX(ROW(E$2:E881)*(E881=E$2:E881)))))-COUNTBLANK(OFFSET(A$1,,,SUMPRODUCT(MAX(ROW(E$1:E880)*(E881=E$1:E880))))))</f>
        <v/>
      </c>
      <c r="K881" s="14" t="str">
        <f>IF(OR(E881="",E881="!!!",F881="NEW"),"",INDEX(J$1:J880,SUMPRODUCT(MAX(ROW(E$1:E880)*(E881=E$1:E880)))))</f>
        <v/>
      </c>
      <c r="L881" s="15"/>
    </row>
    <row r="882" spans="1:12" x14ac:dyDescent="0.35">
      <c r="A882" t="s">
        <v>58</v>
      </c>
      <c r="E882" s="9" t="str">
        <f t="shared" si="30"/>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ca="1" si="31"/>
        <v/>
      </c>
      <c r="I882" s="13" t="str">
        <f>IF(OR(E882="",E882="!!!",F882="NEW"),"",INDEX(B$2:B881,-1+SUMPRODUCT(MAX(ROW(E$2:E881)*(E882=E$2:E881)))))</f>
        <v/>
      </c>
      <c r="J882" s="14" t="str">
        <f ca="1">IF(OR(E882="",E882="!!!",F882="NEW"),"",COUNTBLANK(OFFSET(A$1,,,SUMPRODUCT(MAX(ROW(E$2:E882)*(E882=E$2:E882)))))-COUNTBLANK(OFFSET(A$1,,,SUMPRODUCT(MAX(ROW(E$1:E881)*(E882=E$1:E881))))))</f>
        <v/>
      </c>
      <c r="K882" s="14" t="str">
        <f>IF(OR(E882="",E882="!!!",F882="NEW"),"",INDEX(J$1:J881,SUMPRODUCT(MAX(ROW(E$1:E881)*(E882=E$1:E881)))))</f>
        <v/>
      </c>
      <c r="L882" s="15"/>
    </row>
    <row r="883" spans="1:12" x14ac:dyDescent="0.35">
      <c r="A883" t="s">
        <v>450</v>
      </c>
      <c r="B883" t="s">
        <v>36</v>
      </c>
      <c r="C883" t="s">
        <v>99</v>
      </c>
      <c r="D883" t="s">
        <v>16</v>
      </c>
      <c r="E883" s="9" t="str">
        <f t="shared" si="30"/>
        <v>!!!</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ca="1" si="31"/>
        <v/>
      </c>
      <c r="I883" s="13" t="str">
        <f>IF(OR(E883="",E883="!!!",F883="NEW"),"",INDEX(B$2:B882,-1+SUMPRODUCT(MAX(ROW(E$2:E882)*(E883=E$2:E882)))))</f>
        <v/>
      </c>
      <c r="J883" s="14" t="str">
        <f ca="1">IF(OR(E883="",E883="!!!",F883="NEW"),"",COUNTBLANK(OFFSET(A$1,,,SUMPRODUCT(MAX(ROW(E$2:E883)*(E883=E$2:E883)))))-COUNTBLANK(OFFSET(A$1,,,SUMPRODUCT(MAX(ROW(E$1:E882)*(E883=E$1:E882))))))</f>
        <v/>
      </c>
      <c r="K883" s="14" t="str">
        <f>IF(OR(E883="",E883="!!!",F883="NEW"),"",INDEX(J$1:J882,SUMPRODUCT(MAX(ROW(E$1:E882)*(E883=E$1:E882)))))</f>
        <v/>
      </c>
      <c r="L883" s="15"/>
    </row>
    <row r="884" spans="1:12" x14ac:dyDescent="0.35">
      <c r="A884" t="s">
        <v>451</v>
      </c>
      <c r="E884" s="9" t="str">
        <f t="shared" si="30"/>
        <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ca="1" si="31"/>
        <v/>
      </c>
      <c r="I884" s="13" t="str">
        <f>IF(OR(E884="",E884="!!!",F884="NEW"),"",INDEX(B$2:B883,-1+SUMPRODUCT(MAX(ROW(E$2:E883)*(E884=E$2:E883)))))</f>
        <v/>
      </c>
      <c r="J884" s="14" t="str">
        <f ca="1">IF(OR(E884="",E884="!!!",F884="NEW"),"",COUNTBLANK(OFFSET(A$1,,,SUMPRODUCT(MAX(ROW(E$2:E884)*(E884=E$2:E884)))))-COUNTBLANK(OFFSET(A$1,,,SUMPRODUCT(MAX(ROW(E$1:E883)*(E884=E$1:E883))))))</f>
        <v/>
      </c>
      <c r="K884" s="14" t="str">
        <f>IF(OR(E884="",E884="!!!",F884="NEW"),"",INDEX(J$1:J883,SUMPRODUCT(MAX(ROW(E$1:E883)*(E884=E$1:E883)))))</f>
        <v/>
      </c>
      <c r="L884" s="15"/>
    </row>
    <row r="885" spans="1:12" x14ac:dyDescent="0.35">
      <c r="A885" t="s">
        <v>452</v>
      </c>
      <c r="B885" t="s">
        <v>91</v>
      </c>
      <c r="C885" t="s">
        <v>108</v>
      </c>
      <c r="E885" s="9" t="str">
        <f t="shared" si="30"/>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ca="1" si="31"/>
        <v/>
      </c>
      <c r="I885" s="13" t="str">
        <f>IF(OR(E885="",E885="!!!",F885="NEW"),"",INDEX(B$2:B884,-1+SUMPRODUCT(MAX(ROW(E$2:E884)*(E885=E$2:E884)))))</f>
        <v/>
      </c>
      <c r="J885" s="14" t="str">
        <f ca="1">IF(OR(E885="",E885="!!!",F885="NEW"),"",COUNTBLANK(OFFSET(A$1,,,SUMPRODUCT(MAX(ROW(E$2:E885)*(E885=E$2:E885)))))-COUNTBLANK(OFFSET(A$1,,,SUMPRODUCT(MAX(ROW(E$1:E884)*(E885=E$1:E884))))))</f>
        <v/>
      </c>
      <c r="K885" s="14" t="str">
        <f>IF(OR(E885="",E885="!!!",F885="NEW"),"",INDEX(J$1:J884,SUMPRODUCT(MAX(ROW(E$1:E884)*(E885=E$1:E884)))))</f>
        <v/>
      </c>
      <c r="L885" s="15"/>
    </row>
    <row r="886" spans="1:12" x14ac:dyDescent="0.35">
      <c r="A886" t="s">
        <v>76</v>
      </c>
      <c r="E886" s="9" t="str">
        <f t="shared" si="30"/>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ca="1" si="31"/>
        <v/>
      </c>
      <c r="I886" s="13" t="str">
        <f>IF(OR(E886="",E886="!!!",F886="NEW"),"",INDEX(B$2:B885,-1+SUMPRODUCT(MAX(ROW(E$2:E885)*(E886=E$2:E885)))))</f>
        <v/>
      </c>
      <c r="J886" s="14" t="str">
        <f ca="1">IF(OR(E886="",E886="!!!",F886="NEW"),"",COUNTBLANK(OFFSET(A$1,,,SUMPRODUCT(MAX(ROW(E$2:E886)*(E886=E$2:E886)))))-COUNTBLANK(OFFSET(A$1,,,SUMPRODUCT(MAX(ROW(E$1:E885)*(E886=E$1:E885))))))</f>
        <v/>
      </c>
      <c r="K886" s="14" t="str">
        <f>IF(OR(E886="",E886="!!!",F886="NEW"),"",INDEX(J$1:J885,SUMPRODUCT(MAX(ROW(E$1:E885)*(E886=E$1:E885)))))</f>
        <v/>
      </c>
      <c r="L886" s="15"/>
    </row>
    <row r="887" spans="1:12" x14ac:dyDescent="0.35">
      <c r="A887" t="s">
        <v>453</v>
      </c>
      <c r="B887" t="s">
        <v>20</v>
      </c>
      <c r="C887" t="s">
        <v>108</v>
      </c>
      <c r="E887" s="9" t="str">
        <f t="shared" ref="E887:E950" si="32">IF(D887="?OLD","!!!","")</f>
        <v/>
      </c>
      <c r="F887" s="10" t="str">
        <f>IF(OR(E887="",E887="!!!"),"",IF(NOT(ISNA(VLOOKUP(E887,E$1:E886,1,FALSE()))),"OLD",IF(AND(E887&lt;&gt;"",E887&lt;&gt;"!!!"),"NEW","")))</f>
        <v/>
      </c>
      <c r="G887" s="11" t="str">
        <f>IF(OR(E887="",E887="!!!"),"",IF(OR(J887=0,AND(J887=1,K887=1),AND(J887=1,I887="SBJ"),AND(J887=1,I887=0)),"?IN_FOCUS",IF(J887&lt;=2,"?ACTIVATED",IF(J887&lt;&gt;"","?FAMILIAR",IF(F887="NEW",IF(ISNA(VLOOKUP(E887,#REF!,1,FALSE())),"?TYPE_IDENTIFIABLE","?REFERENTIAL"),"_")))))</f>
        <v/>
      </c>
      <c r="H887" s="12" t="str">
        <f t="shared" ref="H887:H950" ca="1" si="33">IF(J887&lt;&gt;1,"",IF(I887="SBJ","CB","?"))</f>
        <v/>
      </c>
      <c r="I887" s="13" t="str">
        <f>IF(OR(E887="",E887="!!!",F887="NEW"),"",INDEX(B$2:B886,-1+SUMPRODUCT(MAX(ROW(E$2:E886)*(E887=E$2:E886)))))</f>
        <v/>
      </c>
      <c r="J887" s="14" t="str">
        <f ca="1">IF(OR(E887="",E887="!!!",F887="NEW"),"",COUNTBLANK(OFFSET(A$1,,,SUMPRODUCT(MAX(ROW(E$2:E887)*(E887=E$2:E887)))))-COUNTBLANK(OFFSET(A$1,,,SUMPRODUCT(MAX(ROW(E$1:E886)*(E887=E$1:E886))))))</f>
        <v/>
      </c>
      <c r="K887" s="14" t="str">
        <f>IF(OR(E887="",E887="!!!",F887="NEW"),"",INDEX(J$1:J886,SUMPRODUCT(MAX(ROW(E$1:E886)*(E887=E$1:E886)))))</f>
        <v/>
      </c>
      <c r="L887" s="15"/>
    </row>
    <row r="888" spans="1:12" x14ac:dyDescent="0.35">
      <c r="A888" t="s">
        <v>63</v>
      </c>
      <c r="E888" s="9" t="str">
        <f t="shared" si="32"/>
        <v/>
      </c>
      <c r="F888" s="10" t="str">
        <f>IF(OR(E888="",E888="!!!"),"",IF(NOT(ISNA(VLOOKUP(E888,E$1:E887,1,FALSE()))),"OLD",IF(AND(E888&lt;&gt;"",E888&lt;&gt;"!!!"),"NEW","")))</f>
        <v/>
      </c>
      <c r="G888" s="11" t="str">
        <f>IF(OR(E888="",E888="!!!"),"",IF(OR(J888=0,AND(J888=1,K888=1),AND(J888=1,I888="SBJ"),AND(J888=1,I888=0)),"?IN_FOCUS",IF(J888&lt;=2,"?ACTIVATED",IF(J888&lt;&gt;"","?FAMILIAR",IF(F888="NEW",IF(ISNA(VLOOKUP(E888,#REF!,1,FALSE())),"?TYPE_IDENTIFIABLE","?REFERENTIAL"),"_")))))</f>
        <v/>
      </c>
      <c r="H888" s="12" t="str">
        <f t="shared" ca="1" si="33"/>
        <v/>
      </c>
      <c r="I888" s="13" t="str">
        <f>IF(OR(E888="",E888="!!!",F888="NEW"),"",INDEX(B$2:B887,-1+SUMPRODUCT(MAX(ROW(E$2:E887)*(E888=E$2:E887)))))</f>
        <v/>
      </c>
      <c r="J888" s="14" t="str">
        <f ca="1">IF(OR(E888="",E888="!!!",F888="NEW"),"",COUNTBLANK(OFFSET(A$1,,,SUMPRODUCT(MAX(ROW(E$2:E888)*(E888=E$2:E888)))))-COUNTBLANK(OFFSET(A$1,,,SUMPRODUCT(MAX(ROW(E$1:E887)*(E888=E$1:E887))))))</f>
        <v/>
      </c>
      <c r="K888" s="14" t="str">
        <f>IF(OR(E888="",E888="!!!",F888="NEW"),"",INDEX(J$1:J887,SUMPRODUCT(MAX(ROW(E$1:E887)*(E888=E$1:E887)))))</f>
        <v/>
      </c>
      <c r="L888" s="15"/>
    </row>
    <row r="889" spans="1:12" x14ac:dyDescent="0.35">
      <c r="E889" s="9" t="str">
        <f t="shared" si="32"/>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ca="1" si="33"/>
        <v/>
      </c>
      <c r="I889" s="13" t="str">
        <f>IF(OR(E889="",E889="!!!",F889="NEW"),"",INDEX(B$2:B888,-1+SUMPRODUCT(MAX(ROW(E$2:E888)*(E889=E$2:E888)))))</f>
        <v/>
      </c>
      <c r="J889" s="14" t="str">
        <f ca="1">IF(OR(E889="",E889="!!!",F889="NEW"),"",COUNTBLANK(OFFSET(A$1,,,SUMPRODUCT(MAX(ROW(E$2:E889)*(E889=E$2:E889)))))-COUNTBLANK(OFFSET(A$1,,,SUMPRODUCT(MAX(ROW(E$1:E888)*(E889=E$1:E888))))))</f>
        <v/>
      </c>
      <c r="K889" s="14" t="str">
        <f>IF(OR(E889="",E889="!!!",F889="NEW"),"",INDEX(J$1:J888,SUMPRODUCT(MAX(ROW(E$1:E888)*(E889=E$1:E888)))))</f>
        <v/>
      </c>
      <c r="L889" s="15"/>
    </row>
    <row r="890" spans="1:12" x14ac:dyDescent="0.35">
      <c r="A890" t="s">
        <v>454</v>
      </c>
      <c r="E890" s="9" t="str">
        <f t="shared" si="32"/>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ca="1" si="33"/>
        <v/>
      </c>
      <c r="I890" s="13" t="str">
        <f>IF(OR(E890="",E890="!!!",F890="NEW"),"",INDEX(B$2:B889,-1+SUMPRODUCT(MAX(ROW(E$2:E889)*(E890=E$2:E889)))))</f>
        <v/>
      </c>
      <c r="J890" s="14" t="str">
        <f ca="1">IF(OR(E890="",E890="!!!",F890="NEW"),"",COUNTBLANK(OFFSET(A$1,,,SUMPRODUCT(MAX(ROW(E$2:E890)*(E890=E$2:E890)))))-COUNTBLANK(OFFSET(A$1,,,SUMPRODUCT(MAX(ROW(E$1:E889)*(E890=E$1:E889))))))</f>
        <v/>
      </c>
      <c r="K890" s="14" t="str">
        <f>IF(OR(E890="",E890="!!!",F890="NEW"),"",INDEX(J$1:J889,SUMPRODUCT(MAX(ROW(E$1:E889)*(E890=E$1:E889)))))</f>
        <v/>
      </c>
      <c r="L890" s="15"/>
    </row>
    <row r="891" spans="1:12" x14ac:dyDescent="0.35">
      <c r="A891" t="s">
        <v>455</v>
      </c>
      <c r="E891" s="9" t="str">
        <f t="shared" si="32"/>
        <v/>
      </c>
      <c r="F891" s="10" t="str">
        <f>IF(OR(E891="",E891="!!!"),"",IF(NOT(ISNA(VLOOKUP(E891,E$1:E890,1,FALSE()))),"OLD",IF(AND(E891&lt;&gt;"",E891&lt;&gt;"!!!"),"NEW","")))</f>
        <v/>
      </c>
      <c r="G891" s="11" t="str">
        <f>IF(OR(E891="",E891="!!!"),"",IF(OR(J891=0,AND(J891=1,K891=1),AND(J891=1,I891="SBJ"),AND(J891=1,I891=0)),"?IN_FOCUS",IF(J891&lt;=2,"?ACTIVATED",IF(J891&lt;&gt;"","?FAMILIAR",IF(F891="NEW",IF(ISNA(VLOOKUP(E891,#REF!,1,FALSE())),"?TYPE_IDENTIFIABLE","?REFERENTIAL"),"_")))))</f>
        <v/>
      </c>
      <c r="H891" s="12" t="str">
        <f t="shared" ca="1" si="33"/>
        <v/>
      </c>
      <c r="I891" s="13" t="str">
        <f>IF(OR(E891="",E891="!!!",F891="NEW"),"",INDEX(B$2:B890,-1+SUMPRODUCT(MAX(ROW(E$2:E890)*(E891=E$2:E890)))))</f>
        <v/>
      </c>
      <c r="J891" s="14" t="str">
        <f ca="1">IF(OR(E891="",E891="!!!",F891="NEW"),"",COUNTBLANK(OFFSET(A$1,,,SUMPRODUCT(MAX(ROW(E$2:E891)*(E891=E$2:E891)))))-COUNTBLANK(OFFSET(A$1,,,SUMPRODUCT(MAX(ROW(E$1:E890)*(E891=E$1:E890))))))</f>
        <v/>
      </c>
      <c r="K891" s="14" t="str">
        <f>IF(OR(E891="",E891="!!!",F891="NEW"),"",INDEX(J$1:J890,SUMPRODUCT(MAX(ROW(E$1:E890)*(E891=E$1:E890)))))</f>
        <v/>
      </c>
      <c r="L891" s="15"/>
    </row>
    <row r="892" spans="1:12" x14ac:dyDescent="0.35">
      <c r="A892" t="s">
        <v>58</v>
      </c>
      <c r="E892" s="9" t="str">
        <f t="shared" si="32"/>
        <v/>
      </c>
      <c r="F892" s="10" t="str">
        <f>IF(OR(E892="",E892="!!!"),"",IF(NOT(ISNA(VLOOKUP(E892,E$1:E891,1,FALSE()))),"OLD",IF(AND(E892&lt;&gt;"",E892&lt;&gt;"!!!"),"NEW","")))</f>
        <v/>
      </c>
      <c r="G892" s="11" t="str">
        <f>IF(OR(E892="",E892="!!!"),"",IF(OR(J892=0,AND(J892=1,K892=1),AND(J892=1,I892="SBJ"),AND(J892=1,I892=0)),"?IN_FOCUS",IF(J892&lt;=2,"?ACTIVATED",IF(J892&lt;&gt;"","?FAMILIAR",IF(F892="NEW",IF(ISNA(VLOOKUP(E892,#REF!,1,FALSE())),"?TYPE_IDENTIFIABLE","?REFERENTIAL"),"_")))))</f>
        <v/>
      </c>
      <c r="H892" s="12" t="str">
        <f t="shared" ca="1" si="33"/>
        <v/>
      </c>
      <c r="I892" s="13" t="str">
        <f>IF(OR(E892="",E892="!!!",F892="NEW"),"",INDEX(B$2:B891,-1+SUMPRODUCT(MAX(ROW(E$2:E891)*(E892=E$2:E891)))))</f>
        <v/>
      </c>
      <c r="J892" s="14" t="str">
        <f ca="1">IF(OR(E892="",E892="!!!",F892="NEW"),"",COUNTBLANK(OFFSET(A$1,,,SUMPRODUCT(MAX(ROW(E$2:E892)*(E892=E$2:E892)))))-COUNTBLANK(OFFSET(A$1,,,SUMPRODUCT(MAX(ROW(E$1:E891)*(E892=E$1:E891))))))</f>
        <v/>
      </c>
      <c r="K892" s="14" t="str">
        <f>IF(OR(E892="",E892="!!!",F892="NEW"),"",INDEX(J$1:J891,SUMPRODUCT(MAX(ROW(E$1:E891)*(E892=E$1:E891)))))</f>
        <v/>
      </c>
      <c r="L892" s="15"/>
    </row>
    <row r="893" spans="1:12" x14ac:dyDescent="0.35">
      <c r="A893" t="s">
        <v>456</v>
      </c>
      <c r="B893" t="s">
        <v>14</v>
      </c>
      <c r="C893" t="s">
        <v>15</v>
      </c>
      <c r="D893" t="s">
        <v>16</v>
      </c>
      <c r="E893" s="9" t="str">
        <f t="shared" si="32"/>
        <v>!!!</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ca="1" si="33"/>
        <v/>
      </c>
      <c r="I893" s="13" t="str">
        <f>IF(OR(E893="",E893="!!!",F893="NEW"),"",INDEX(B$2:B892,-1+SUMPRODUCT(MAX(ROW(E$2:E892)*(E893=E$2:E892)))))</f>
        <v/>
      </c>
      <c r="J893" s="14" t="str">
        <f ca="1">IF(OR(E893="",E893="!!!",F893="NEW"),"",COUNTBLANK(OFFSET(A$1,,,SUMPRODUCT(MAX(ROW(E$2:E893)*(E893=E$2:E893)))))-COUNTBLANK(OFFSET(A$1,,,SUMPRODUCT(MAX(ROW(E$1:E892)*(E893=E$1:E892))))))</f>
        <v/>
      </c>
      <c r="K893" s="14" t="str">
        <f>IF(OR(E893="",E893="!!!",F893="NEW"),"",INDEX(J$1:J892,SUMPRODUCT(MAX(ROW(E$1:E892)*(E893=E$1:E892)))))</f>
        <v/>
      </c>
      <c r="L893" s="15"/>
    </row>
    <row r="894" spans="1:12" x14ac:dyDescent="0.35">
      <c r="A894" t="s">
        <v>17</v>
      </c>
      <c r="E894" s="9" t="str">
        <f t="shared" si="32"/>
        <v/>
      </c>
      <c r="F894" s="10" t="str">
        <f>IF(OR(E894="",E894="!!!"),"",IF(NOT(ISNA(VLOOKUP(E894,E$1:E893,1,FALSE()))),"OLD",IF(AND(E894&lt;&gt;"",E894&lt;&gt;"!!!"),"NEW","")))</f>
        <v/>
      </c>
      <c r="G894" s="11" t="str">
        <f>IF(OR(E894="",E894="!!!"),"",IF(OR(J894=0,AND(J894=1,K894=1),AND(J894=1,I894="SBJ"),AND(J894=1,I894=0)),"?IN_FOCUS",IF(J894&lt;=2,"?ACTIVATED",IF(J894&lt;&gt;"","?FAMILIAR",IF(F894="NEW",IF(ISNA(VLOOKUP(E894,#REF!,1,FALSE())),"?TYPE_IDENTIFIABLE","?REFERENTIAL"),"_")))))</f>
        <v/>
      </c>
      <c r="H894" s="12" t="str">
        <f t="shared" ca="1" si="33"/>
        <v/>
      </c>
      <c r="I894" s="13" t="str">
        <f>IF(OR(E894="",E894="!!!",F894="NEW"),"",INDEX(B$2:B893,-1+SUMPRODUCT(MAX(ROW(E$2:E893)*(E894=E$2:E893)))))</f>
        <v/>
      </c>
      <c r="J894" s="14" t="str">
        <f ca="1">IF(OR(E894="",E894="!!!",F894="NEW"),"",COUNTBLANK(OFFSET(A$1,,,SUMPRODUCT(MAX(ROW(E$2:E894)*(E894=E$2:E894)))))-COUNTBLANK(OFFSET(A$1,,,SUMPRODUCT(MAX(ROW(E$1:E893)*(E894=E$1:E893))))))</f>
        <v/>
      </c>
      <c r="K894" s="14" t="str">
        <f>IF(OR(E894="",E894="!!!",F894="NEW"),"",INDEX(J$1:J893,SUMPRODUCT(MAX(ROW(E$1:E893)*(E894=E$1:E893)))))</f>
        <v/>
      </c>
      <c r="L894" s="15"/>
    </row>
    <row r="895" spans="1:12" x14ac:dyDescent="0.35">
      <c r="A895" t="s">
        <v>39</v>
      </c>
      <c r="E895" s="9" t="str">
        <f t="shared" si="32"/>
        <v/>
      </c>
      <c r="F895" s="10" t="str">
        <f>IF(OR(E895="",E895="!!!"),"",IF(NOT(ISNA(VLOOKUP(E895,E$1:E894,1,FALSE()))),"OLD",IF(AND(E895&lt;&gt;"",E895&lt;&gt;"!!!"),"NEW","")))</f>
        <v/>
      </c>
      <c r="G895" s="11" t="str">
        <f>IF(OR(E895="",E895="!!!"),"",IF(OR(J895=0,AND(J895=1,K895=1),AND(J895=1,I895="SBJ"),AND(J895=1,I895=0)),"?IN_FOCUS",IF(J895&lt;=2,"?ACTIVATED",IF(J895&lt;&gt;"","?FAMILIAR",IF(F895="NEW",IF(ISNA(VLOOKUP(E895,#REF!,1,FALSE())),"?TYPE_IDENTIFIABLE","?REFERENTIAL"),"_")))))</f>
        <v/>
      </c>
      <c r="H895" s="12" t="str">
        <f t="shared" ca="1" si="33"/>
        <v/>
      </c>
      <c r="I895" s="13" t="str">
        <f>IF(OR(E895="",E895="!!!",F895="NEW"),"",INDEX(B$2:B894,-1+SUMPRODUCT(MAX(ROW(E$2:E894)*(E895=E$2:E894)))))</f>
        <v/>
      </c>
      <c r="J895" s="14" t="str">
        <f ca="1">IF(OR(E895="",E895="!!!",F895="NEW"),"",COUNTBLANK(OFFSET(A$1,,,SUMPRODUCT(MAX(ROW(E$2:E895)*(E895=E$2:E895)))))-COUNTBLANK(OFFSET(A$1,,,SUMPRODUCT(MAX(ROW(E$1:E894)*(E895=E$1:E894))))))</f>
        <v/>
      </c>
      <c r="K895" s="14" t="str">
        <f>IF(OR(E895="",E895="!!!",F895="NEW"),"",INDEX(J$1:J894,SUMPRODUCT(MAX(ROW(E$1:E894)*(E895=E$1:E894)))))</f>
        <v/>
      </c>
      <c r="L895" s="15"/>
    </row>
    <row r="896" spans="1:12" x14ac:dyDescent="0.35">
      <c r="A896" t="s">
        <v>457</v>
      </c>
      <c r="E896" s="9" t="str">
        <f t="shared" si="32"/>
        <v/>
      </c>
      <c r="F896" s="10" t="str">
        <f>IF(OR(E896="",E896="!!!"),"",IF(NOT(ISNA(VLOOKUP(E896,E$1:E895,1,FALSE()))),"OLD",IF(AND(E896&lt;&gt;"",E896&lt;&gt;"!!!"),"NEW","")))</f>
        <v/>
      </c>
      <c r="G896" s="11" t="str">
        <f>IF(OR(E896="",E896="!!!"),"",IF(OR(J896=0,AND(J896=1,K896=1),AND(J896=1,I896="SBJ"),AND(J896=1,I896=0)),"?IN_FOCUS",IF(J896&lt;=2,"?ACTIVATED",IF(J896&lt;&gt;"","?FAMILIAR",IF(F896="NEW",IF(ISNA(VLOOKUP(E896,#REF!,1,FALSE())),"?TYPE_IDENTIFIABLE","?REFERENTIAL"),"_")))))</f>
        <v/>
      </c>
      <c r="H896" s="12" t="str">
        <f t="shared" ca="1" si="33"/>
        <v/>
      </c>
      <c r="I896" s="13" t="str">
        <f>IF(OR(E896="",E896="!!!",F896="NEW"),"",INDEX(B$2:B895,-1+SUMPRODUCT(MAX(ROW(E$2:E895)*(E896=E$2:E895)))))</f>
        <v/>
      </c>
      <c r="J896" s="14" t="str">
        <f ca="1">IF(OR(E896="",E896="!!!",F896="NEW"),"",COUNTBLANK(OFFSET(A$1,,,SUMPRODUCT(MAX(ROW(E$2:E896)*(E896=E$2:E896)))))-COUNTBLANK(OFFSET(A$1,,,SUMPRODUCT(MAX(ROW(E$1:E895)*(E896=E$1:E895))))))</f>
        <v/>
      </c>
      <c r="K896" s="14" t="str">
        <f>IF(OR(E896="",E896="!!!",F896="NEW"),"",INDEX(J$1:J895,SUMPRODUCT(MAX(ROW(E$1:E895)*(E896=E$1:E895)))))</f>
        <v/>
      </c>
      <c r="L896" s="15"/>
    </row>
    <row r="897" spans="1:12" x14ac:dyDescent="0.35">
      <c r="A897" t="s">
        <v>241</v>
      </c>
      <c r="B897" t="s">
        <v>24</v>
      </c>
      <c r="C897" t="s">
        <v>122</v>
      </c>
      <c r="D897" t="s">
        <v>16</v>
      </c>
      <c r="E897" s="9" t="str">
        <f t="shared" si="32"/>
        <v>!!!</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ca="1" si="33"/>
        <v/>
      </c>
      <c r="I897" s="13" t="str">
        <f>IF(OR(E897="",E897="!!!",F897="NEW"),"",INDEX(B$2:B896,-1+SUMPRODUCT(MAX(ROW(E$2:E896)*(E897=E$2:E896)))))</f>
        <v/>
      </c>
      <c r="J897" s="14" t="str">
        <f ca="1">IF(OR(E897="",E897="!!!",F897="NEW"),"",COUNTBLANK(OFFSET(A$1,,,SUMPRODUCT(MAX(ROW(E$2:E897)*(E897=E$2:E897)))))-COUNTBLANK(OFFSET(A$1,,,SUMPRODUCT(MAX(ROW(E$1:E896)*(E897=E$1:E896))))))</f>
        <v/>
      </c>
      <c r="K897" s="14" t="str">
        <f>IF(OR(E897="",E897="!!!",F897="NEW"),"",INDEX(J$1:J896,SUMPRODUCT(MAX(ROW(E$1:E896)*(E897=E$1:E896)))))</f>
        <v/>
      </c>
      <c r="L897" s="15"/>
    </row>
    <row r="898" spans="1:12" x14ac:dyDescent="0.35">
      <c r="A898" t="s">
        <v>458</v>
      </c>
      <c r="E898" s="9" t="str">
        <f t="shared" si="32"/>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ca="1" si="33"/>
        <v/>
      </c>
      <c r="I898" s="13" t="str">
        <f>IF(OR(E898="",E898="!!!",F898="NEW"),"",INDEX(B$2:B897,-1+SUMPRODUCT(MAX(ROW(E$2:E897)*(E898=E$2:E897)))))</f>
        <v/>
      </c>
      <c r="J898" s="14" t="str">
        <f ca="1">IF(OR(E898="",E898="!!!",F898="NEW"),"",COUNTBLANK(OFFSET(A$1,,,SUMPRODUCT(MAX(ROW(E$2:E898)*(E898=E$2:E898)))))-COUNTBLANK(OFFSET(A$1,,,SUMPRODUCT(MAX(ROW(E$1:E897)*(E898=E$1:E897))))))</f>
        <v/>
      </c>
      <c r="K898" s="14" t="str">
        <f>IF(OR(E898="",E898="!!!",F898="NEW"),"",INDEX(J$1:J897,SUMPRODUCT(MAX(ROW(E$1:E897)*(E898=E$1:E897)))))</f>
        <v/>
      </c>
      <c r="L898" s="15"/>
    </row>
    <row r="899" spans="1:12" x14ac:dyDescent="0.35">
      <c r="A899" t="s">
        <v>58</v>
      </c>
      <c r="E899" s="9" t="str">
        <f t="shared" si="32"/>
        <v/>
      </c>
      <c r="F899" s="10" t="str">
        <f>IF(OR(E899="",E899="!!!"),"",IF(NOT(ISNA(VLOOKUP(E899,E$1:E898,1,FALSE()))),"OLD",IF(AND(E899&lt;&gt;"",E899&lt;&gt;"!!!"),"NEW","")))</f>
        <v/>
      </c>
      <c r="G899" s="11" t="str">
        <f>IF(OR(E899="",E899="!!!"),"",IF(OR(J899=0,AND(J899=1,K899=1),AND(J899=1,I899="SBJ"),AND(J899=1,I899=0)),"?IN_FOCUS",IF(J899&lt;=2,"?ACTIVATED",IF(J899&lt;&gt;"","?FAMILIAR",IF(F899="NEW",IF(ISNA(VLOOKUP(E899,#REF!,1,FALSE())),"?TYPE_IDENTIFIABLE","?REFERENTIAL"),"_")))))</f>
        <v/>
      </c>
      <c r="H899" s="12" t="str">
        <f t="shared" ca="1" si="33"/>
        <v/>
      </c>
      <c r="I899" s="13" t="str">
        <f>IF(OR(E899="",E899="!!!",F899="NEW"),"",INDEX(B$2:B898,-1+SUMPRODUCT(MAX(ROW(E$2:E898)*(E899=E$2:E898)))))</f>
        <v/>
      </c>
      <c r="J899" s="14" t="str">
        <f ca="1">IF(OR(E899="",E899="!!!",F899="NEW"),"",COUNTBLANK(OFFSET(A$1,,,SUMPRODUCT(MAX(ROW(E$2:E899)*(E899=E$2:E899)))))-COUNTBLANK(OFFSET(A$1,,,SUMPRODUCT(MAX(ROW(E$1:E898)*(E899=E$1:E898))))))</f>
        <v/>
      </c>
      <c r="K899" s="14" t="str">
        <f>IF(OR(E899="",E899="!!!",F899="NEW"),"",INDEX(J$1:J898,SUMPRODUCT(MAX(ROW(E$1:E898)*(E899=E$1:E898)))))</f>
        <v/>
      </c>
      <c r="L899" s="15"/>
    </row>
    <row r="900" spans="1:12" x14ac:dyDescent="0.35">
      <c r="A900" t="s">
        <v>459</v>
      </c>
      <c r="E900" s="9" t="str">
        <f t="shared" si="32"/>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ca="1" si="33"/>
        <v/>
      </c>
      <c r="I900" s="13" t="str">
        <f>IF(OR(E900="",E900="!!!",F900="NEW"),"",INDEX(B$2:B899,-1+SUMPRODUCT(MAX(ROW(E$2:E899)*(E900=E$2:E899)))))</f>
        <v/>
      </c>
      <c r="J900" s="14" t="str">
        <f ca="1">IF(OR(E900="",E900="!!!",F900="NEW"),"",COUNTBLANK(OFFSET(A$1,,,SUMPRODUCT(MAX(ROW(E$2:E900)*(E900=E$2:E900)))))-COUNTBLANK(OFFSET(A$1,,,SUMPRODUCT(MAX(ROW(E$1:E899)*(E900=E$1:E899))))))</f>
        <v/>
      </c>
      <c r="K900" s="14" t="str">
        <f>IF(OR(E900="",E900="!!!",F900="NEW"),"",INDEX(J$1:J899,SUMPRODUCT(MAX(ROW(E$1:E899)*(E900=E$1:E899)))))</f>
        <v/>
      </c>
      <c r="L900" s="15"/>
    </row>
    <row r="901" spans="1:12" x14ac:dyDescent="0.35">
      <c r="A901" t="s">
        <v>262</v>
      </c>
      <c r="E901" s="9" t="str">
        <f t="shared" si="32"/>
        <v/>
      </c>
      <c r="F901" s="10" t="str">
        <f>IF(OR(E901="",E901="!!!"),"",IF(NOT(ISNA(VLOOKUP(E901,E$1:E900,1,FALSE()))),"OLD",IF(AND(E901&lt;&gt;"",E901&lt;&gt;"!!!"),"NEW","")))</f>
        <v/>
      </c>
      <c r="G901" s="11" t="str">
        <f>IF(OR(E901="",E901="!!!"),"",IF(OR(J901=0,AND(J901=1,K901=1),AND(J901=1,I901="SBJ"),AND(J901=1,I901=0)),"?IN_FOCUS",IF(J901&lt;=2,"?ACTIVATED",IF(J901&lt;&gt;"","?FAMILIAR",IF(F901="NEW",IF(ISNA(VLOOKUP(E901,#REF!,1,FALSE())),"?TYPE_IDENTIFIABLE","?REFERENTIAL"),"_")))))</f>
        <v/>
      </c>
      <c r="H901" s="12" t="str">
        <f t="shared" ca="1" si="33"/>
        <v/>
      </c>
      <c r="I901" s="13" t="str">
        <f>IF(OR(E901="",E901="!!!",F901="NEW"),"",INDEX(B$2:B900,-1+SUMPRODUCT(MAX(ROW(E$2:E900)*(E901=E$2:E900)))))</f>
        <v/>
      </c>
      <c r="J901" s="14" t="str">
        <f ca="1">IF(OR(E901="",E901="!!!",F901="NEW"),"",COUNTBLANK(OFFSET(A$1,,,SUMPRODUCT(MAX(ROW(E$2:E901)*(E901=E$2:E901)))))-COUNTBLANK(OFFSET(A$1,,,SUMPRODUCT(MAX(ROW(E$1:E900)*(E901=E$1:E900))))))</f>
        <v/>
      </c>
      <c r="K901" s="14" t="str">
        <f>IF(OR(E901="",E901="!!!",F901="NEW"),"",INDEX(J$1:J900,SUMPRODUCT(MAX(ROW(E$1:E900)*(E901=E$1:E900)))))</f>
        <v/>
      </c>
      <c r="L901" s="15"/>
    </row>
    <row r="902" spans="1:12" x14ac:dyDescent="0.35">
      <c r="A902" t="s">
        <v>460</v>
      </c>
      <c r="E902" s="9" t="str">
        <f t="shared" si="32"/>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ca="1" si="33"/>
        <v/>
      </c>
      <c r="I902" s="13" t="str">
        <f>IF(OR(E902="",E902="!!!",F902="NEW"),"",INDEX(B$2:B901,-1+SUMPRODUCT(MAX(ROW(E$2:E901)*(E902=E$2:E901)))))</f>
        <v/>
      </c>
      <c r="J902" s="14" t="str">
        <f ca="1">IF(OR(E902="",E902="!!!",F902="NEW"),"",COUNTBLANK(OFFSET(A$1,,,SUMPRODUCT(MAX(ROW(E$2:E902)*(E902=E$2:E902)))))-COUNTBLANK(OFFSET(A$1,,,SUMPRODUCT(MAX(ROW(E$1:E901)*(E902=E$1:E901))))))</f>
        <v/>
      </c>
      <c r="K902" s="14" t="str">
        <f>IF(OR(E902="",E902="!!!",F902="NEW"),"",INDEX(J$1:J901,SUMPRODUCT(MAX(ROW(E$1:E901)*(E902=E$1:E901)))))</f>
        <v/>
      </c>
      <c r="L902" s="15"/>
    </row>
    <row r="903" spans="1:12" x14ac:dyDescent="0.35">
      <c r="A903" t="s">
        <v>178</v>
      </c>
      <c r="B903" t="s">
        <v>24</v>
      </c>
      <c r="C903" t="s">
        <v>99</v>
      </c>
      <c r="D903" t="s">
        <v>16</v>
      </c>
      <c r="E903" s="9" t="str">
        <f t="shared" si="32"/>
        <v>!!!</v>
      </c>
      <c r="F903" s="10" t="str">
        <f>IF(OR(E903="",E903="!!!"),"",IF(NOT(ISNA(VLOOKUP(E903,E$1:E902,1,FALSE()))),"OLD",IF(AND(E903&lt;&gt;"",E903&lt;&gt;"!!!"),"NEW","")))</f>
        <v/>
      </c>
      <c r="G903" s="11" t="str">
        <f>IF(OR(E903="",E903="!!!"),"",IF(OR(J903=0,AND(J903=1,K903=1),AND(J903=1,I903="SBJ"),AND(J903=1,I903=0)),"?IN_FOCUS",IF(J903&lt;=2,"?ACTIVATED",IF(J903&lt;&gt;"","?FAMILIAR",IF(F903="NEW",IF(ISNA(VLOOKUP(E903,#REF!,1,FALSE())),"?TYPE_IDENTIFIABLE","?REFERENTIAL"),"_")))))</f>
        <v/>
      </c>
      <c r="H903" s="12" t="str">
        <f t="shared" ca="1" si="33"/>
        <v/>
      </c>
      <c r="I903" s="13" t="str">
        <f>IF(OR(E903="",E903="!!!",F903="NEW"),"",INDEX(B$2:B902,-1+SUMPRODUCT(MAX(ROW(E$2:E902)*(E903=E$2:E902)))))</f>
        <v/>
      </c>
      <c r="J903" s="14" t="str">
        <f ca="1">IF(OR(E903="",E903="!!!",F903="NEW"),"",COUNTBLANK(OFFSET(A$1,,,SUMPRODUCT(MAX(ROW(E$2:E903)*(E903=E$2:E903)))))-COUNTBLANK(OFFSET(A$1,,,SUMPRODUCT(MAX(ROW(E$1:E902)*(E903=E$1:E902))))))</f>
        <v/>
      </c>
      <c r="K903" s="14" t="str">
        <f>IF(OR(E903="",E903="!!!",F903="NEW"),"",INDEX(J$1:J902,SUMPRODUCT(MAX(ROW(E$1:E902)*(E903=E$1:E902)))))</f>
        <v/>
      </c>
      <c r="L903" s="15"/>
    </row>
    <row r="904" spans="1:12" x14ac:dyDescent="0.35">
      <c r="A904" t="s">
        <v>42</v>
      </c>
      <c r="E904" s="9" t="str">
        <f t="shared" si="32"/>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ca="1" si="33"/>
        <v/>
      </c>
      <c r="I904" s="13" t="str">
        <f>IF(OR(E904="",E904="!!!",F904="NEW"),"",INDEX(B$2:B903,-1+SUMPRODUCT(MAX(ROW(E$2:E903)*(E904=E$2:E903)))))</f>
        <v/>
      </c>
      <c r="J904" s="14" t="str">
        <f ca="1">IF(OR(E904="",E904="!!!",F904="NEW"),"",COUNTBLANK(OFFSET(A$1,,,SUMPRODUCT(MAX(ROW(E$2:E904)*(E904=E$2:E904)))))-COUNTBLANK(OFFSET(A$1,,,SUMPRODUCT(MAX(ROW(E$1:E903)*(E904=E$1:E903))))))</f>
        <v/>
      </c>
      <c r="K904" s="14" t="str">
        <f>IF(OR(E904="",E904="!!!",F904="NEW"),"",INDEX(J$1:J903,SUMPRODUCT(MAX(ROW(E$1:E903)*(E904=E$1:E903)))))</f>
        <v/>
      </c>
      <c r="L904" s="15"/>
    </row>
    <row r="905" spans="1:12" x14ac:dyDescent="0.35">
      <c r="A905" t="s">
        <v>461</v>
      </c>
      <c r="E905" s="9" t="str">
        <f t="shared" si="32"/>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ca="1" si="33"/>
        <v/>
      </c>
      <c r="I905" s="13" t="str">
        <f>IF(OR(E905="",E905="!!!",F905="NEW"),"",INDEX(B$2:B904,-1+SUMPRODUCT(MAX(ROW(E$2:E904)*(E905=E$2:E904)))))</f>
        <v/>
      </c>
      <c r="J905" s="14" t="str">
        <f ca="1">IF(OR(E905="",E905="!!!",F905="NEW"),"",COUNTBLANK(OFFSET(A$1,,,SUMPRODUCT(MAX(ROW(E$2:E905)*(E905=E$2:E905)))))-COUNTBLANK(OFFSET(A$1,,,SUMPRODUCT(MAX(ROW(E$1:E904)*(E905=E$1:E904))))))</f>
        <v/>
      </c>
      <c r="K905" s="14" t="str">
        <f>IF(OR(E905="",E905="!!!",F905="NEW"),"",INDEX(J$1:J904,SUMPRODUCT(MAX(ROW(E$1:E904)*(E905=E$1:E904)))))</f>
        <v/>
      </c>
      <c r="L905" s="15"/>
    </row>
    <row r="906" spans="1:12" x14ac:dyDescent="0.35">
      <c r="A906" t="s">
        <v>462</v>
      </c>
      <c r="E906" s="9" t="str">
        <f t="shared" si="32"/>
        <v/>
      </c>
      <c r="F906" s="10" t="str">
        <f>IF(OR(E906="",E906="!!!"),"",IF(NOT(ISNA(VLOOKUP(E906,E$1:E905,1,FALSE()))),"OLD",IF(AND(E906&lt;&gt;"",E906&lt;&gt;"!!!"),"NEW","")))</f>
        <v/>
      </c>
      <c r="G906" s="11" t="str">
        <f>IF(OR(E906="",E906="!!!"),"",IF(OR(J906=0,AND(J906=1,K906=1),AND(J906=1,I906="SBJ"),AND(J906=1,I906=0)),"?IN_FOCUS",IF(J906&lt;=2,"?ACTIVATED",IF(J906&lt;&gt;"","?FAMILIAR",IF(F906="NEW",IF(ISNA(VLOOKUP(E906,#REF!,1,FALSE())),"?TYPE_IDENTIFIABLE","?REFERENTIAL"),"_")))))</f>
        <v/>
      </c>
      <c r="H906" s="12" t="str">
        <f t="shared" ca="1" si="33"/>
        <v/>
      </c>
      <c r="I906" s="13" t="str">
        <f>IF(OR(E906="",E906="!!!",F906="NEW"),"",INDEX(B$2:B905,-1+SUMPRODUCT(MAX(ROW(E$2:E905)*(E906=E$2:E905)))))</f>
        <v/>
      </c>
      <c r="J906" s="14" t="str">
        <f ca="1">IF(OR(E906="",E906="!!!",F906="NEW"),"",COUNTBLANK(OFFSET(A$1,,,SUMPRODUCT(MAX(ROW(E$2:E906)*(E906=E$2:E906)))))-COUNTBLANK(OFFSET(A$1,,,SUMPRODUCT(MAX(ROW(E$1:E905)*(E906=E$1:E905))))))</f>
        <v/>
      </c>
      <c r="K906" s="14" t="str">
        <f>IF(OR(E906="",E906="!!!",F906="NEW"),"",INDEX(J$1:J905,SUMPRODUCT(MAX(ROW(E$1:E905)*(E906=E$1:E905)))))</f>
        <v/>
      </c>
      <c r="L906" s="15"/>
    </row>
    <row r="907" spans="1:12" x14ac:dyDescent="0.35">
      <c r="A907" t="s">
        <v>164</v>
      </c>
      <c r="E907" s="9" t="str">
        <f t="shared" si="32"/>
        <v/>
      </c>
      <c r="F907" s="10" t="str">
        <f>IF(OR(E907="",E907="!!!"),"",IF(NOT(ISNA(VLOOKUP(E907,E$1:E906,1,FALSE()))),"OLD",IF(AND(E907&lt;&gt;"",E907&lt;&gt;"!!!"),"NEW","")))</f>
        <v/>
      </c>
      <c r="G907" s="11" t="str">
        <f>IF(OR(E907="",E907="!!!"),"",IF(OR(J907=0,AND(J907=1,K907=1),AND(J907=1,I907="SBJ"),AND(J907=1,I907=0)),"?IN_FOCUS",IF(J907&lt;=2,"?ACTIVATED",IF(J907&lt;&gt;"","?FAMILIAR",IF(F907="NEW",IF(ISNA(VLOOKUP(E907,#REF!,1,FALSE())),"?TYPE_IDENTIFIABLE","?REFERENTIAL"),"_")))))</f>
        <v/>
      </c>
      <c r="H907" s="12" t="str">
        <f t="shared" ca="1" si="33"/>
        <v/>
      </c>
      <c r="I907" s="13" t="str">
        <f>IF(OR(E907="",E907="!!!",F907="NEW"),"",INDEX(B$2:B906,-1+SUMPRODUCT(MAX(ROW(E$2:E906)*(E907=E$2:E906)))))</f>
        <v/>
      </c>
      <c r="J907" s="14" t="str">
        <f ca="1">IF(OR(E907="",E907="!!!",F907="NEW"),"",COUNTBLANK(OFFSET(A$1,,,SUMPRODUCT(MAX(ROW(E$2:E907)*(E907=E$2:E907)))))-COUNTBLANK(OFFSET(A$1,,,SUMPRODUCT(MAX(ROW(E$1:E906)*(E907=E$1:E906))))))</f>
        <v/>
      </c>
      <c r="K907" s="14" t="str">
        <f>IF(OR(E907="",E907="!!!",F907="NEW"),"",INDEX(J$1:J906,SUMPRODUCT(MAX(ROW(E$1:E906)*(E907=E$1:E906)))))</f>
        <v/>
      </c>
      <c r="L907" s="15"/>
    </row>
    <row r="908" spans="1:12" x14ac:dyDescent="0.35">
      <c r="A908" t="s">
        <v>47</v>
      </c>
      <c r="B908" t="s">
        <v>24</v>
      </c>
      <c r="C908" t="s">
        <v>49</v>
      </c>
      <c r="D908" t="s">
        <v>16</v>
      </c>
      <c r="E908" s="9" t="str">
        <f t="shared" si="32"/>
        <v>!!!</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ca="1" si="33"/>
        <v/>
      </c>
      <c r="I908" s="13" t="str">
        <f>IF(OR(E908="",E908="!!!",F908="NEW"),"",INDEX(B$2:B907,-1+SUMPRODUCT(MAX(ROW(E$2:E907)*(E908=E$2:E907)))))</f>
        <v/>
      </c>
      <c r="J908" s="14" t="str">
        <f ca="1">IF(OR(E908="",E908="!!!",F908="NEW"),"",COUNTBLANK(OFFSET(A$1,,,SUMPRODUCT(MAX(ROW(E$2:E908)*(E908=E$2:E908)))))-COUNTBLANK(OFFSET(A$1,,,SUMPRODUCT(MAX(ROW(E$1:E907)*(E908=E$1:E907))))))</f>
        <v/>
      </c>
      <c r="K908" s="14" t="str">
        <f>IF(OR(E908="",E908="!!!",F908="NEW"),"",INDEX(J$1:J907,SUMPRODUCT(MAX(ROW(E$1:E907)*(E908=E$1:E907)))))</f>
        <v/>
      </c>
      <c r="L908" s="15"/>
    </row>
    <row r="909" spans="1:12" x14ac:dyDescent="0.35">
      <c r="A909" t="s">
        <v>463</v>
      </c>
      <c r="B909" t="s">
        <v>54</v>
      </c>
      <c r="C909" t="s">
        <v>15</v>
      </c>
      <c r="D909" t="s">
        <v>16</v>
      </c>
      <c r="E909" s="9" t="str">
        <f t="shared" si="32"/>
        <v>!!!</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ca="1" si="33"/>
        <v/>
      </c>
      <c r="I909" s="13" t="str">
        <f>IF(OR(E909="",E909="!!!",F909="NEW"),"",INDEX(B$2:B908,-1+SUMPRODUCT(MAX(ROW(E$2:E908)*(E909=E$2:E908)))))</f>
        <v/>
      </c>
      <c r="J909" s="14" t="str">
        <f ca="1">IF(OR(E909="",E909="!!!",F909="NEW"),"",COUNTBLANK(OFFSET(A$1,,,SUMPRODUCT(MAX(ROW(E$2:E909)*(E909=E$2:E909)))))-COUNTBLANK(OFFSET(A$1,,,SUMPRODUCT(MAX(ROW(E$1:E908)*(E909=E$1:E908))))))</f>
        <v/>
      </c>
      <c r="K909" s="14" t="str">
        <f>IF(OR(E909="",E909="!!!",F909="NEW"),"",INDEX(J$1:J908,SUMPRODUCT(MAX(ROW(E$1:E908)*(E909=E$1:E908)))))</f>
        <v/>
      </c>
      <c r="L909" s="15"/>
    </row>
    <row r="910" spans="1:12" x14ac:dyDescent="0.35">
      <c r="A910" t="s">
        <v>63</v>
      </c>
      <c r="E910" s="9" t="str">
        <f t="shared" si="32"/>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ca="1" si="33"/>
        <v/>
      </c>
      <c r="I910" s="13" t="str">
        <f>IF(OR(E910="",E910="!!!",F910="NEW"),"",INDEX(B$2:B909,-1+SUMPRODUCT(MAX(ROW(E$2:E909)*(E910=E$2:E909)))))</f>
        <v/>
      </c>
      <c r="J910" s="14" t="str">
        <f ca="1">IF(OR(E910="",E910="!!!",F910="NEW"),"",COUNTBLANK(OFFSET(A$1,,,SUMPRODUCT(MAX(ROW(E$2:E910)*(E910=E$2:E910)))))-COUNTBLANK(OFFSET(A$1,,,SUMPRODUCT(MAX(ROW(E$1:E909)*(E910=E$1:E909))))))</f>
        <v/>
      </c>
      <c r="K910" s="14" t="str">
        <f>IF(OR(E910="",E910="!!!",F910="NEW"),"",INDEX(J$1:J909,SUMPRODUCT(MAX(ROW(E$1:E909)*(E910=E$1:E909)))))</f>
        <v/>
      </c>
      <c r="L910" s="15"/>
    </row>
    <row r="911" spans="1:12" x14ac:dyDescent="0.35">
      <c r="E911" s="9" t="str">
        <f t="shared" si="32"/>
        <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ca="1" si="33"/>
        <v/>
      </c>
      <c r="I911" s="13" t="str">
        <f>IF(OR(E911="",E911="!!!",F911="NEW"),"",INDEX(B$2:B910,-1+SUMPRODUCT(MAX(ROW(E$2:E910)*(E911=E$2:E910)))))</f>
        <v/>
      </c>
      <c r="J911" s="14" t="str">
        <f ca="1">IF(OR(E911="",E911="!!!",F911="NEW"),"",COUNTBLANK(OFFSET(A$1,,,SUMPRODUCT(MAX(ROW(E$2:E911)*(E911=E$2:E911)))))-COUNTBLANK(OFFSET(A$1,,,SUMPRODUCT(MAX(ROW(E$1:E910)*(E911=E$1:E910))))))</f>
        <v/>
      </c>
      <c r="K911" s="14" t="str">
        <f>IF(OR(E911="",E911="!!!",F911="NEW"),"",INDEX(J$1:J910,SUMPRODUCT(MAX(ROW(E$1:E910)*(E911=E$1:E910)))))</f>
        <v/>
      </c>
      <c r="L911" s="15"/>
    </row>
    <row r="912" spans="1:12" x14ac:dyDescent="0.35">
      <c r="A912" t="s">
        <v>464</v>
      </c>
      <c r="E912" s="9" t="str">
        <f t="shared" si="32"/>
        <v/>
      </c>
      <c r="F912" s="10" t="str">
        <f>IF(OR(E912="",E912="!!!"),"",IF(NOT(ISNA(VLOOKUP(E912,E$1:E911,1,FALSE()))),"OLD",IF(AND(E912&lt;&gt;"",E912&lt;&gt;"!!!"),"NEW","")))</f>
        <v/>
      </c>
      <c r="G912" s="11" t="str">
        <f>IF(OR(E912="",E912="!!!"),"",IF(OR(J912=0,AND(J912=1,K912=1),AND(J912=1,I912="SBJ"),AND(J912=1,I912=0)),"?IN_FOCUS",IF(J912&lt;=2,"?ACTIVATED",IF(J912&lt;&gt;"","?FAMILIAR",IF(F912="NEW",IF(ISNA(VLOOKUP(E912,#REF!,1,FALSE())),"?TYPE_IDENTIFIABLE","?REFERENTIAL"),"_")))))</f>
        <v/>
      </c>
      <c r="H912" s="12" t="str">
        <f t="shared" ca="1" si="33"/>
        <v/>
      </c>
      <c r="I912" s="13" t="str">
        <f>IF(OR(E912="",E912="!!!",F912="NEW"),"",INDEX(B$2:B911,-1+SUMPRODUCT(MAX(ROW(E$2:E911)*(E912=E$2:E911)))))</f>
        <v/>
      </c>
      <c r="J912" s="14" t="str">
        <f ca="1">IF(OR(E912="",E912="!!!",F912="NEW"),"",COUNTBLANK(OFFSET(A$1,,,SUMPRODUCT(MAX(ROW(E$2:E912)*(E912=E$2:E912)))))-COUNTBLANK(OFFSET(A$1,,,SUMPRODUCT(MAX(ROW(E$1:E911)*(E912=E$1:E911))))))</f>
        <v/>
      </c>
      <c r="K912" s="14" t="str">
        <f>IF(OR(E912="",E912="!!!",F912="NEW"),"",INDEX(J$1:J911,SUMPRODUCT(MAX(ROW(E$1:E911)*(E912=E$1:E911)))))</f>
        <v/>
      </c>
      <c r="L912" s="15"/>
    </row>
    <row r="913" spans="1:12" x14ac:dyDescent="0.35">
      <c r="A913" t="s">
        <v>257</v>
      </c>
      <c r="E913" s="9" t="str">
        <f t="shared" si="32"/>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ca="1" si="33"/>
        <v/>
      </c>
      <c r="I913" s="13" t="str">
        <f>IF(OR(E913="",E913="!!!",F913="NEW"),"",INDEX(B$2:B912,-1+SUMPRODUCT(MAX(ROW(E$2:E912)*(E913=E$2:E912)))))</f>
        <v/>
      </c>
      <c r="J913" s="14" t="str">
        <f ca="1">IF(OR(E913="",E913="!!!",F913="NEW"),"",COUNTBLANK(OFFSET(A$1,,,SUMPRODUCT(MAX(ROW(E$2:E913)*(E913=E$2:E913)))))-COUNTBLANK(OFFSET(A$1,,,SUMPRODUCT(MAX(ROW(E$1:E912)*(E913=E$1:E912))))))</f>
        <v/>
      </c>
      <c r="K913" s="14" t="str">
        <f>IF(OR(E913="",E913="!!!",F913="NEW"),"",INDEX(J$1:J912,SUMPRODUCT(MAX(ROW(E$1:E912)*(E913=E$1:E912)))))</f>
        <v/>
      </c>
      <c r="L913" s="15"/>
    </row>
    <row r="914" spans="1:12" x14ac:dyDescent="0.35">
      <c r="A914" t="s">
        <v>110</v>
      </c>
      <c r="B914" t="s">
        <v>14</v>
      </c>
      <c r="C914" t="s">
        <v>33</v>
      </c>
      <c r="D914" t="s">
        <v>16</v>
      </c>
      <c r="E914" s="9" t="str">
        <f t="shared" si="32"/>
        <v>!!!</v>
      </c>
      <c r="F914" s="10" t="str">
        <f>IF(OR(E914="",E914="!!!"),"",IF(NOT(ISNA(VLOOKUP(E914,E$1:E913,1,FALSE()))),"OLD",IF(AND(E914&lt;&gt;"",E914&lt;&gt;"!!!"),"NEW","")))</f>
        <v/>
      </c>
      <c r="G914" s="11" t="str">
        <f>IF(OR(E914="",E914="!!!"),"",IF(OR(J914=0,AND(J914=1,K914=1),AND(J914=1,I914="SBJ"),AND(J914=1,I914=0)),"?IN_FOCUS",IF(J914&lt;=2,"?ACTIVATED",IF(J914&lt;&gt;"","?FAMILIAR",IF(F914="NEW",IF(ISNA(VLOOKUP(E914,#REF!,1,FALSE())),"?TYPE_IDENTIFIABLE","?REFERENTIAL"),"_")))))</f>
        <v/>
      </c>
      <c r="H914" s="12" t="str">
        <f t="shared" ca="1" si="33"/>
        <v/>
      </c>
      <c r="I914" s="13" t="str">
        <f>IF(OR(E914="",E914="!!!",F914="NEW"),"",INDEX(B$2:B913,-1+SUMPRODUCT(MAX(ROW(E$2:E913)*(E914=E$2:E913)))))</f>
        <v/>
      </c>
      <c r="J914" s="14" t="str">
        <f ca="1">IF(OR(E914="",E914="!!!",F914="NEW"),"",COUNTBLANK(OFFSET(A$1,,,SUMPRODUCT(MAX(ROW(E$2:E914)*(E914=E$2:E914)))))-COUNTBLANK(OFFSET(A$1,,,SUMPRODUCT(MAX(ROW(E$1:E913)*(E914=E$1:E913))))))</f>
        <v/>
      </c>
      <c r="K914" s="14" t="str">
        <f>IF(OR(E914="",E914="!!!",F914="NEW"),"",INDEX(J$1:J913,SUMPRODUCT(MAX(ROW(E$1:E913)*(E914=E$1:E913)))))</f>
        <v/>
      </c>
      <c r="L914" s="15"/>
    </row>
    <row r="915" spans="1:12" x14ac:dyDescent="0.35">
      <c r="A915" t="s">
        <v>406</v>
      </c>
      <c r="E915" s="9" t="str">
        <f t="shared" si="32"/>
        <v/>
      </c>
      <c r="F915" s="10" t="str">
        <f>IF(OR(E915="",E915="!!!"),"",IF(NOT(ISNA(VLOOKUP(E915,E$1:E914,1,FALSE()))),"OLD",IF(AND(E915&lt;&gt;"",E915&lt;&gt;"!!!"),"NEW","")))</f>
        <v/>
      </c>
      <c r="G915" s="11" t="str">
        <f>IF(OR(E915="",E915="!!!"),"",IF(OR(J915=0,AND(J915=1,K915=1),AND(J915=1,I915="SBJ"),AND(J915=1,I915=0)),"?IN_FOCUS",IF(J915&lt;=2,"?ACTIVATED",IF(J915&lt;&gt;"","?FAMILIAR",IF(F915="NEW",IF(ISNA(VLOOKUP(E915,#REF!,1,FALSE())),"?TYPE_IDENTIFIABLE","?REFERENTIAL"),"_")))))</f>
        <v/>
      </c>
      <c r="H915" s="12" t="str">
        <f t="shared" ca="1" si="33"/>
        <v/>
      </c>
      <c r="I915" s="13" t="str">
        <f>IF(OR(E915="",E915="!!!",F915="NEW"),"",INDEX(B$2:B914,-1+SUMPRODUCT(MAX(ROW(E$2:E914)*(E915=E$2:E914)))))</f>
        <v/>
      </c>
      <c r="J915" s="14" t="str">
        <f ca="1">IF(OR(E915="",E915="!!!",F915="NEW"),"",COUNTBLANK(OFFSET(A$1,,,SUMPRODUCT(MAX(ROW(E$2:E915)*(E915=E$2:E915)))))-COUNTBLANK(OFFSET(A$1,,,SUMPRODUCT(MAX(ROW(E$1:E914)*(E915=E$1:E914))))))</f>
        <v/>
      </c>
      <c r="K915" s="14" t="str">
        <f>IF(OR(E915="",E915="!!!",F915="NEW"),"",INDEX(J$1:J914,SUMPRODUCT(MAX(ROW(E$1:E914)*(E915=E$1:E914)))))</f>
        <v/>
      </c>
      <c r="L915" s="15"/>
    </row>
    <row r="916" spans="1:12" x14ac:dyDescent="0.35">
      <c r="A916" t="s">
        <v>405</v>
      </c>
      <c r="B916" t="s">
        <v>32</v>
      </c>
      <c r="C916" t="s">
        <v>33</v>
      </c>
      <c r="D916" t="s">
        <v>16</v>
      </c>
      <c r="E916" s="9" t="str">
        <f t="shared" si="32"/>
        <v>!!!</v>
      </c>
      <c r="F916" s="10" t="str">
        <f>IF(OR(E916="",E916="!!!"),"",IF(NOT(ISNA(VLOOKUP(E916,E$1:E915,1,FALSE()))),"OLD",IF(AND(E916&lt;&gt;"",E916&lt;&gt;"!!!"),"NEW","")))</f>
        <v/>
      </c>
      <c r="G916" s="11" t="str">
        <f>IF(OR(E916="",E916="!!!"),"",IF(OR(J916=0,AND(J916=1,K916=1),AND(J916=1,I916="SBJ"),AND(J916=1,I916=0)),"?IN_FOCUS",IF(J916&lt;=2,"?ACTIVATED",IF(J916&lt;&gt;"","?FAMILIAR",IF(F916="NEW",IF(ISNA(VLOOKUP(E916,#REF!,1,FALSE())),"?TYPE_IDENTIFIABLE","?REFERENTIAL"),"_")))))</f>
        <v/>
      </c>
      <c r="H916" s="12" t="str">
        <f t="shared" ca="1" si="33"/>
        <v/>
      </c>
      <c r="I916" s="13" t="str">
        <f>IF(OR(E916="",E916="!!!",F916="NEW"),"",INDEX(B$2:B915,-1+SUMPRODUCT(MAX(ROW(E$2:E915)*(E916=E$2:E915)))))</f>
        <v/>
      </c>
      <c r="J916" s="14" t="str">
        <f ca="1">IF(OR(E916="",E916="!!!",F916="NEW"),"",COUNTBLANK(OFFSET(A$1,,,SUMPRODUCT(MAX(ROW(E$2:E916)*(E916=E$2:E916)))))-COUNTBLANK(OFFSET(A$1,,,SUMPRODUCT(MAX(ROW(E$1:E915)*(E916=E$1:E915))))))</f>
        <v/>
      </c>
      <c r="K916" s="14" t="str">
        <f>IF(OR(E916="",E916="!!!",F916="NEW"),"",INDEX(J$1:J915,SUMPRODUCT(MAX(ROW(E$1:E915)*(E916=E$1:E915)))))</f>
        <v/>
      </c>
      <c r="L916" s="15"/>
    </row>
    <row r="917" spans="1:12" x14ac:dyDescent="0.35">
      <c r="A917" t="s">
        <v>434</v>
      </c>
      <c r="B917" t="s">
        <v>36</v>
      </c>
      <c r="C917" t="s">
        <v>21</v>
      </c>
      <c r="D917" t="s">
        <v>16</v>
      </c>
      <c r="E917" s="9" t="str">
        <f t="shared" si="32"/>
        <v>!!!</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ca="1" si="33"/>
        <v/>
      </c>
      <c r="I917" s="13" t="str">
        <f>IF(OR(E917="",E917="!!!",F917="NEW"),"",INDEX(B$2:B916,-1+SUMPRODUCT(MAX(ROW(E$2:E916)*(E917=E$2:E916)))))</f>
        <v/>
      </c>
      <c r="J917" s="14" t="str">
        <f ca="1">IF(OR(E917="",E917="!!!",F917="NEW"),"",COUNTBLANK(OFFSET(A$1,,,SUMPRODUCT(MAX(ROW(E$2:E917)*(E917=E$2:E917)))))-COUNTBLANK(OFFSET(A$1,,,SUMPRODUCT(MAX(ROW(E$1:E916)*(E917=E$1:E916))))))</f>
        <v/>
      </c>
      <c r="K917" s="14" t="str">
        <f>IF(OR(E917="",E917="!!!",F917="NEW"),"",INDEX(J$1:J916,SUMPRODUCT(MAX(ROW(E$1:E916)*(E917=E$1:E916)))))</f>
        <v/>
      </c>
      <c r="L917" s="15"/>
    </row>
    <row r="918" spans="1:12" x14ac:dyDescent="0.35">
      <c r="A918" t="s">
        <v>465</v>
      </c>
      <c r="E918" s="9" t="str">
        <f t="shared" si="32"/>
        <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ca="1" si="33"/>
        <v/>
      </c>
      <c r="I918" s="13" t="str">
        <f>IF(OR(E918="",E918="!!!",F918="NEW"),"",INDEX(B$2:B917,-1+SUMPRODUCT(MAX(ROW(E$2:E917)*(E918=E$2:E917)))))</f>
        <v/>
      </c>
      <c r="J918" s="14" t="str">
        <f ca="1">IF(OR(E918="",E918="!!!",F918="NEW"),"",COUNTBLANK(OFFSET(A$1,,,SUMPRODUCT(MAX(ROW(E$2:E918)*(E918=E$2:E918)))))-COUNTBLANK(OFFSET(A$1,,,SUMPRODUCT(MAX(ROW(E$1:E917)*(E918=E$1:E917))))))</f>
        <v/>
      </c>
      <c r="K918" s="14" t="str">
        <f>IF(OR(E918="",E918="!!!",F918="NEW"),"",INDEX(J$1:J917,SUMPRODUCT(MAX(ROW(E$1:E917)*(E918=E$1:E917)))))</f>
        <v/>
      </c>
      <c r="L918" s="15"/>
    </row>
    <row r="919" spans="1:12" x14ac:dyDescent="0.35">
      <c r="A919" t="s">
        <v>76</v>
      </c>
      <c r="E919" s="9" t="str">
        <f t="shared" si="32"/>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ca="1" si="33"/>
        <v/>
      </c>
      <c r="I919" s="13" t="str">
        <f>IF(OR(E919="",E919="!!!",F919="NEW"),"",INDEX(B$2:B918,-1+SUMPRODUCT(MAX(ROW(E$2:E918)*(E919=E$2:E918)))))</f>
        <v/>
      </c>
      <c r="J919" s="14" t="str">
        <f ca="1">IF(OR(E919="",E919="!!!",F919="NEW"),"",COUNTBLANK(OFFSET(A$1,,,SUMPRODUCT(MAX(ROW(E$2:E919)*(E919=E$2:E919)))))-COUNTBLANK(OFFSET(A$1,,,SUMPRODUCT(MAX(ROW(E$1:E918)*(E919=E$1:E918))))))</f>
        <v/>
      </c>
      <c r="K919" s="14" t="str">
        <f>IF(OR(E919="",E919="!!!",F919="NEW"),"",INDEX(J$1:J918,SUMPRODUCT(MAX(ROW(E$1:E918)*(E919=E$1:E918)))))</f>
        <v/>
      </c>
      <c r="L919" s="15"/>
    </row>
    <row r="920" spans="1:12" x14ac:dyDescent="0.35">
      <c r="A920" t="s">
        <v>466</v>
      </c>
      <c r="E920" s="9" t="str">
        <f t="shared" si="32"/>
        <v/>
      </c>
      <c r="F920" s="10" t="str">
        <f>IF(OR(E920="",E920="!!!"),"",IF(NOT(ISNA(VLOOKUP(E920,E$1:E919,1,FALSE()))),"OLD",IF(AND(E920&lt;&gt;"",E920&lt;&gt;"!!!"),"NEW","")))</f>
        <v/>
      </c>
      <c r="G920" s="11" t="str">
        <f>IF(OR(E920="",E920="!!!"),"",IF(OR(J920=0,AND(J920=1,K920=1),AND(J920=1,I920="SBJ"),AND(J920=1,I920=0)),"?IN_FOCUS",IF(J920&lt;=2,"?ACTIVATED",IF(J920&lt;&gt;"","?FAMILIAR",IF(F920="NEW",IF(ISNA(VLOOKUP(E920,#REF!,1,FALSE())),"?TYPE_IDENTIFIABLE","?REFERENTIAL"),"_")))))</f>
        <v/>
      </c>
      <c r="H920" s="12" t="str">
        <f t="shared" ca="1" si="33"/>
        <v/>
      </c>
      <c r="I920" s="13" t="str">
        <f>IF(OR(E920="",E920="!!!",F920="NEW"),"",INDEX(B$2:B919,-1+SUMPRODUCT(MAX(ROW(E$2:E919)*(E920=E$2:E919)))))</f>
        <v/>
      </c>
      <c r="J920" s="14" t="str">
        <f ca="1">IF(OR(E920="",E920="!!!",F920="NEW"),"",COUNTBLANK(OFFSET(A$1,,,SUMPRODUCT(MAX(ROW(E$2:E920)*(E920=E$2:E920)))))-COUNTBLANK(OFFSET(A$1,,,SUMPRODUCT(MAX(ROW(E$1:E919)*(E920=E$1:E919))))))</f>
        <v/>
      </c>
      <c r="K920" s="14" t="str">
        <f>IF(OR(E920="",E920="!!!",F920="NEW"),"",INDEX(J$1:J919,SUMPRODUCT(MAX(ROW(E$1:E919)*(E920=E$1:E919)))))</f>
        <v/>
      </c>
      <c r="L920" s="15"/>
    </row>
    <row r="921" spans="1:12" x14ac:dyDescent="0.35">
      <c r="A921" t="s">
        <v>58</v>
      </c>
      <c r="E921" s="9" t="str">
        <f t="shared" si="32"/>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ca="1" si="33"/>
        <v/>
      </c>
      <c r="I921" s="13" t="str">
        <f>IF(OR(E921="",E921="!!!",F921="NEW"),"",INDEX(B$2:B920,-1+SUMPRODUCT(MAX(ROW(E$2:E920)*(E921=E$2:E920)))))</f>
        <v/>
      </c>
      <c r="J921" s="14" t="str">
        <f ca="1">IF(OR(E921="",E921="!!!",F921="NEW"),"",COUNTBLANK(OFFSET(A$1,,,SUMPRODUCT(MAX(ROW(E$2:E921)*(E921=E$2:E921)))))-COUNTBLANK(OFFSET(A$1,,,SUMPRODUCT(MAX(ROW(E$1:E920)*(E921=E$1:E920))))))</f>
        <v/>
      </c>
      <c r="K921" s="14" t="str">
        <f>IF(OR(E921="",E921="!!!",F921="NEW"),"",INDEX(J$1:J920,SUMPRODUCT(MAX(ROW(E$1:E920)*(E921=E$1:E920)))))</f>
        <v/>
      </c>
      <c r="L921" s="15"/>
    </row>
    <row r="922" spans="1:12" x14ac:dyDescent="0.35">
      <c r="A922" t="s">
        <v>387</v>
      </c>
      <c r="B922" t="s">
        <v>91</v>
      </c>
      <c r="C922" t="s">
        <v>99</v>
      </c>
      <c r="D922" t="s">
        <v>16</v>
      </c>
      <c r="E922" s="9" t="str">
        <f t="shared" si="32"/>
        <v>!!!</v>
      </c>
      <c r="F922" s="10" t="str">
        <f>IF(OR(E922="",E922="!!!"),"",IF(NOT(ISNA(VLOOKUP(E922,E$1:E921,1,FALSE()))),"OLD",IF(AND(E922&lt;&gt;"",E922&lt;&gt;"!!!"),"NEW","")))</f>
        <v/>
      </c>
      <c r="G922" s="11" t="str">
        <f>IF(OR(E922="",E922="!!!"),"",IF(OR(J922=0,AND(J922=1,K922=1),AND(J922=1,I922="SBJ"),AND(J922=1,I922=0)),"?IN_FOCUS",IF(J922&lt;=2,"?ACTIVATED",IF(J922&lt;&gt;"","?FAMILIAR",IF(F922="NEW",IF(ISNA(VLOOKUP(E922,#REF!,1,FALSE())),"?TYPE_IDENTIFIABLE","?REFERENTIAL"),"_")))))</f>
        <v/>
      </c>
      <c r="H922" s="12" t="str">
        <f t="shared" ca="1" si="33"/>
        <v/>
      </c>
      <c r="I922" s="13" t="str">
        <f>IF(OR(E922="",E922="!!!",F922="NEW"),"",INDEX(B$2:B921,-1+SUMPRODUCT(MAX(ROW(E$2:E921)*(E922=E$2:E921)))))</f>
        <v/>
      </c>
      <c r="J922" s="14" t="str">
        <f ca="1">IF(OR(E922="",E922="!!!",F922="NEW"),"",COUNTBLANK(OFFSET(A$1,,,SUMPRODUCT(MAX(ROW(E$2:E922)*(E922=E$2:E922)))))-COUNTBLANK(OFFSET(A$1,,,SUMPRODUCT(MAX(ROW(E$1:E921)*(E922=E$1:E921))))))</f>
        <v/>
      </c>
      <c r="K922" s="14" t="str">
        <f>IF(OR(E922="",E922="!!!",F922="NEW"),"",INDEX(J$1:J921,SUMPRODUCT(MAX(ROW(E$1:E921)*(E922=E$1:E921)))))</f>
        <v/>
      </c>
      <c r="L922" s="15"/>
    </row>
    <row r="923" spans="1:12" x14ac:dyDescent="0.35">
      <c r="A923" t="s">
        <v>26</v>
      </c>
      <c r="E923" s="9" t="str">
        <f t="shared" si="32"/>
        <v/>
      </c>
      <c r="F923" s="10" t="str">
        <f>IF(OR(E923="",E923="!!!"),"",IF(NOT(ISNA(VLOOKUP(E923,E$1:E922,1,FALSE()))),"OLD",IF(AND(E923&lt;&gt;"",E923&lt;&gt;"!!!"),"NEW","")))</f>
        <v/>
      </c>
      <c r="G923" s="11" t="str">
        <f>IF(OR(E923="",E923="!!!"),"",IF(OR(J923=0,AND(J923=1,K923=1),AND(J923=1,I923="SBJ"),AND(J923=1,I923=0)),"?IN_FOCUS",IF(J923&lt;=2,"?ACTIVATED",IF(J923&lt;&gt;"","?FAMILIAR",IF(F923="NEW",IF(ISNA(VLOOKUP(E923,#REF!,1,FALSE())),"?TYPE_IDENTIFIABLE","?REFERENTIAL"),"_")))))</f>
        <v/>
      </c>
      <c r="H923" s="12" t="str">
        <f t="shared" ca="1" si="33"/>
        <v/>
      </c>
      <c r="I923" s="13" t="str">
        <f>IF(OR(E923="",E923="!!!",F923="NEW"),"",INDEX(B$2:B922,-1+SUMPRODUCT(MAX(ROW(E$2:E922)*(E923=E$2:E922)))))</f>
        <v/>
      </c>
      <c r="J923" s="14" t="str">
        <f ca="1">IF(OR(E923="",E923="!!!",F923="NEW"),"",COUNTBLANK(OFFSET(A$1,,,SUMPRODUCT(MAX(ROW(E$2:E923)*(E923=E$2:E923)))))-COUNTBLANK(OFFSET(A$1,,,SUMPRODUCT(MAX(ROW(E$1:E922)*(E923=E$1:E922))))))</f>
        <v/>
      </c>
      <c r="K923" s="14" t="str">
        <f>IF(OR(E923="",E923="!!!",F923="NEW"),"",INDEX(J$1:J922,SUMPRODUCT(MAX(ROW(E$1:E922)*(E923=E$1:E922)))))</f>
        <v/>
      </c>
      <c r="L923" s="15"/>
    </row>
    <row r="924" spans="1:12" x14ac:dyDescent="0.35">
      <c r="A924" t="s">
        <v>239</v>
      </c>
      <c r="E924" s="9" t="str">
        <f t="shared" si="32"/>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ca="1" si="33"/>
        <v/>
      </c>
      <c r="I924" s="13" t="str">
        <f>IF(OR(E924="",E924="!!!",F924="NEW"),"",INDEX(B$2:B923,-1+SUMPRODUCT(MAX(ROW(E$2:E923)*(E924=E$2:E923)))))</f>
        <v/>
      </c>
      <c r="J924" s="14" t="str">
        <f ca="1">IF(OR(E924="",E924="!!!",F924="NEW"),"",COUNTBLANK(OFFSET(A$1,,,SUMPRODUCT(MAX(ROW(E$2:E924)*(E924=E$2:E924)))))-COUNTBLANK(OFFSET(A$1,,,SUMPRODUCT(MAX(ROW(E$1:E923)*(E924=E$1:E923))))))</f>
        <v/>
      </c>
      <c r="K924" s="14" t="str">
        <f>IF(OR(E924="",E924="!!!",F924="NEW"),"",INDEX(J$1:J923,SUMPRODUCT(MAX(ROW(E$1:E923)*(E924=E$1:E923)))))</f>
        <v/>
      </c>
      <c r="L924" s="15"/>
    </row>
    <row r="925" spans="1:12" x14ac:dyDescent="0.35">
      <c r="A925" t="s">
        <v>432</v>
      </c>
      <c r="B925" t="s">
        <v>36</v>
      </c>
      <c r="C925" t="s">
        <v>21</v>
      </c>
      <c r="D925" t="s">
        <v>16</v>
      </c>
      <c r="E925" s="9" t="str">
        <f t="shared" si="32"/>
        <v>!!!</v>
      </c>
      <c r="F925" s="10" t="str">
        <f>IF(OR(E925="",E925="!!!"),"",IF(NOT(ISNA(VLOOKUP(E925,E$1:E924,1,FALSE()))),"OLD",IF(AND(E925&lt;&gt;"",E925&lt;&gt;"!!!"),"NEW","")))</f>
        <v/>
      </c>
      <c r="G925" s="11" t="str">
        <f>IF(OR(E925="",E925="!!!"),"",IF(OR(J925=0,AND(J925=1,K925=1),AND(J925=1,I925="SBJ"),AND(J925=1,I925=0)),"?IN_FOCUS",IF(J925&lt;=2,"?ACTIVATED",IF(J925&lt;&gt;"","?FAMILIAR",IF(F925="NEW",IF(ISNA(VLOOKUP(E925,#REF!,1,FALSE())),"?TYPE_IDENTIFIABLE","?REFERENTIAL"),"_")))))</f>
        <v/>
      </c>
      <c r="H925" s="12" t="str">
        <f t="shared" ca="1" si="33"/>
        <v/>
      </c>
      <c r="I925" s="13" t="str">
        <f>IF(OR(E925="",E925="!!!",F925="NEW"),"",INDEX(B$2:B924,-1+SUMPRODUCT(MAX(ROW(E$2:E924)*(E925=E$2:E924)))))</f>
        <v/>
      </c>
      <c r="J925" s="14" t="str">
        <f ca="1">IF(OR(E925="",E925="!!!",F925="NEW"),"",COUNTBLANK(OFFSET(A$1,,,SUMPRODUCT(MAX(ROW(E$2:E925)*(E925=E$2:E925)))))-COUNTBLANK(OFFSET(A$1,,,SUMPRODUCT(MAX(ROW(E$1:E924)*(E925=E$1:E924))))))</f>
        <v/>
      </c>
      <c r="K925" s="14" t="str">
        <f>IF(OR(E925="",E925="!!!",F925="NEW"),"",INDEX(J$1:J924,SUMPRODUCT(MAX(ROW(E$1:E924)*(E925=E$1:E924)))))</f>
        <v/>
      </c>
      <c r="L925" s="15"/>
    </row>
    <row r="926" spans="1:12" x14ac:dyDescent="0.35">
      <c r="A926" t="s">
        <v>433</v>
      </c>
      <c r="E926" s="9" t="str">
        <f t="shared" si="32"/>
        <v/>
      </c>
      <c r="F926" s="10" t="str">
        <f>IF(OR(E926="",E926="!!!"),"",IF(NOT(ISNA(VLOOKUP(E926,E$1:E925,1,FALSE()))),"OLD",IF(AND(E926&lt;&gt;"",E926&lt;&gt;"!!!"),"NEW","")))</f>
        <v/>
      </c>
      <c r="G926" s="11" t="str">
        <f>IF(OR(E926="",E926="!!!"),"",IF(OR(J926=0,AND(J926=1,K926=1),AND(J926=1,I926="SBJ"),AND(J926=1,I926=0)),"?IN_FOCUS",IF(J926&lt;=2,"?ACTIVATED",IF(J926&lt;&gt;"","?FAMILIAR",IF(F926="NEW",IF(ISNA(VLOOKUP(E926,#REF!,1,FALSE())),"?TYPE_IDENTIFIABLE","?REFERENTIAL"),"_")))))</f>
        <v/>
      </c>
      <c r="H926" s="12" t="str">
        <f t="shared" ca="1" si="33"/>
        <v/>
      </c>
      <c r="I926" s="13" t="str">
        <f>IF(OR(E926="",E926="!!!",F926="NEW"),"",INDEX(B$2:B925,-1+SUMPRODUCT(MAX(ROW(E$2:E925)*(E926=E$2:E925)))))</f>
        <v/>
      </c>
      <c r="J926" s="14" t="str">
        <f ca="1">IF(OR(E926="",E926="!!!",F926="NEW"),"",COUNTBLANK(OFFSET(A$1,,,SUMPRODUCT(MAX(ROW(E$2:E926)*(E926=E$2:E926)))))-COUNTBLANK(OFFSET(A$1,,,SUMPRODUCT(MAX(ROW(E$1:E925)*(E926=E$1:E925))))))</f>
        <v/>
      </c>
      <c r="K926" s="14" t="str">
        <f>IF(OR(E926="",E926="!!!",F926="NEW"),"",INDEX(J$1:J925,SUMPRODUCT(MAX(ROW(E$1:E925)*(E926=E$1:E925)))))</f>
        <v/>
      </c>
      <c r="L926" s="15"/>
    </row>
    <row r="927" spans="1:12" x14ac:dyDescent="0.35">
      <c r="A927" t="s">
        <v>467</v>
      </c>
      <c r="E927" s="9" t="str">
        <f t="shared" si="32"/>
        <v/>
      </c>
      <c r="F927" s="10" t="str">
        <f>IF(OR(E927="",E927="!!!"),"",IF(NOT(ISNA(VLOOKUP(E927,E$1:E926,1,FALSE()))),"OLD",IF(AND(E927&lt;&gt;"",E927&lt;&gt;"!!!"),"NEW","")))</f>
        <v/>
      </c>
      <c r="G927" s="11" t="str">
        <f>IF(OR(E927="",E927="!!!"),"",IF(OR(J927=0,AND(J927=1,K927=1),AND(J927=1,I927="SBJ"),AND(J927=1,I927=0)),"?IN_FOCUS",IF(J927&lt;=2,"?ACTIVATED",IF(J927&lt;&gt;"","?FAMILIAR",IF(F927="NEW",IF(ISNA(VLOOKUP(E927,#REF!,1,FALSE())),"?TYPE_IDENTIFIABLE","?REFERENTIAL"),"_")))))</f>
        <v/>
      </c>
      <c r="H927" s="12" t="str">
        <f t="shared" ca="1" si="33"/>
        <v/>
      </c>
      <c r="I927" s="13" t="str">
        <f>IF(OR(E927="",E927="!!!",F927="NEW"),"",INDEX(B$2:B926,-1+SUMPRODUCT(MAX(ROW(E$2:E926)*(E927=E$2:E926)))))</f>
        <v/>
      </c>
      <c r="J927" s="14" t="str">
        <f ca="1">IF(OR(E927="",E927="!!!",F927="NEW"),"",COUNTBLANK(OFFSET(A$1,,,SUMPRODUCT(MAX(ROW(E$2:E927)*(E927=E$2:E927)))))-COUNTBLANK(OFFSET(A$1,,,SUMPRODUCT(MAX(ROW(E$1:E926)*(E927=E$1:E926))))))</f>
        <v/>
      </c>
      <c r="K927" s="14" t="str">
        <f>IF(OR(E927="",E927="!!!",F927="NEW"),"",INDEX(J$1:J926,SUMPRODUCT(MAX(ROW(E$1:E926)*(E927=E$1:E926)))))</f>
        <v/>
      </c>
      <c r="L927" s="15"/>
    </row>
    <row r="928" spans="1:12" x14ac:dyDescent="0.35">
      <c r="A928" t="s">
        <v>47</v>
      </c>
      <c r="B928" t="s">
        <v>20</v>
      </c>
      <c r="C928" t="s">
        <v>49</v>
      </c>
      <c r="D928" t="s">
        <v>16</v>
      </c>
      <c r="E928" s="9" t="str">
        <f t="shared" si="32"/>
        <v>!!!</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ca="1" si="33"/>
        <v/>
      </c>
      <c r="I928" s="13" t="str">
        <f>IF(OR(E928="",E928="!!!",F928="NEW"),"",INDEX(B$2:B927,-1+SUMPRODUCT(MAX(ROW(E$2:E927)*(E928=E$2:E927)))))</f>
        <v/>
      </c>
      <c r="J928" s="14" t="str">
        <f ca="1">IF(OR(E928="",E928="!!!",F928="NEW"),"",COUNTBLANK(OFFSET(A$1,,,SUMPRODUCT(MAX(ROW(E$2:E928)*(E928=E$2:E928)))))-COUNTBLANK(OFFSET(A$1,,,SUMPRODUCT(MAX(ROW(E$1:E927)*(E928=E$1:E927))))))</f>
        <v/>
      </c>
      <c r="K928" s="14" t="str">
        <f>IF(OR(E928="",E928="!!!",F928="NEW"),"",INDEX(J$1:J927,SUMPRODUCT(MAX(ROW(E$1:E927)*(E928=E$1:E927)))))</f>
        <v/>
      </c>
      <c r="L928" s="15"/>
    </row>
    <row r="929" spans="1:12" x14ac:dyDescent="0.35">
      <c r="A929" t="s">
        <v>468</v>
      </c>
      <c r="B929" t="s">
        <v>91</v>
      </c>
      <c r="C929" t="s">
        <v>15</v>
      </c>
      <c r="D929" t="s">
        <v>16</v>
      </c>
      <c r="E929" s="9" t="str">
        <f t="shared" si="32"/>
        <v>!!!</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ca="1" si="33"/>
        <v/>
      </c>
      <c r="I929" s="13" t="str">
        <f>IF(OR(E929="",E929="!!!",F929="NEW"),"",INDEX(B$2:B928,-1+SUMPRODUCT(MAX(ROW(E$2:E928)*(E929=E$2:E928)))))</f>
        <v/>
      </c>
      <c r="J929" s="14" t="str">
        <f ca="1">IF(OR(E929="",E929="!!!",F929="NEW"),"",COUNTBLANK(OFFSET(A$1,,,SUMPRODUCT(MAX(ROW(E$2:E929)*(E929=E$2:E929)))))-COUNTBLANK(OFFSET(A$1,,,SUMPRODUCT(MAX(ROW(E$1:E928)*(E929=E$1:E928))))))</f>
        <v/>
      </c>
      <c r="K929" s="14" t="str">
        <f>IF(OR(E929="",E929="!!!",F929="NEW"),"",INDEX(J$1:J928,SUMPRODUCT(MAX(ROW(E$1:E928)*(E929=E$1:E928)))))</f>
        <v/>
      </c>
      <c r="L929" s="15"/>
    </row>
    <row r="930" spans="1:12" x14ac:dyDescent="0.35">
      <c r="A930" t="s">
        <v>180</v>
      </c>
      <c r="E930" s="9" t="str">
        <f t="shared" si="32"/>
        <v/>
      </c>
      <c r="F930" s="10" t="str">
        <f>IF(OR(E930="",E930="!!!"),"",IF(NOT(ISNA(VLOOKUP(E930,E$1:E929,1,FALSE()))),"OLD",IF(AND(E930&lt;&gt;"",E930&lt;&gt;"!!!"),"NEW","")))</f>
        <v/>
      </c>
      <c r="G930" s="11" t="str">
        <f>IF(OR(E930="",E930="!!!"),"",IF(OR(J930=0,AND(J930=1,K930=1),AND(J930=1,I930="SBJ"),AND(J930=1,I930=0)),"?IN_FOCUS",IF(J930&lt;=2,"?ACTIVATED",IF(J930&lt;&gt;"","?FAMILIAR",IF(F930="NEW",IF(ISNA(VLOOKUP(E930,#REF!,1,FALSE())),"?TYPE_IDENTIFIABLE","?REFERENTIAL"),"_")))))</f>
        <v/>
      </c>
      <c r="H930" s="12" t="str">
        <f t="shared" ca="1" si="33"/>
        <v/>
      </c>
      <c r="I930" s="13" t="str">
        <f>IF(OR(E930="",E930="!!!",F930="NEW"),"",INDEX(B$2:B929,-1+SUMPRODUCT(MAX(ROW(E$2:E929)*(E930=E$2:E929)))))</f>
        <v/>
      </c>
      <c r="J930" s="14" t="str">
        <f ca="1">IF(OR(E930="",E930="!!!",F930="NEW"),"",COUNTBLANK(OFFSET(A$1,,,SUMPRODUCT(MAX(ROW(E$2:E930)*(E930=E$2:E930)))))-COUNTBLANK(OFFSET(A$1,,,SUMPRODUCT(MAX(ROW(E$1:E929)*(E930=E$1:E929))))))</f>
        <v/>
      </c>
      <c r="K930" s="14" t="str">
        <f>IF(OR(E930="",E930="!!!",F930="NEW"),"",INDEX(J$1:J929,SUMPRODUCT(MAX(ROW(E$1:E929)*(E930=E$1:E929)))))</f>
        <v/>
      </c>
      <c r="L930" s="15"/>
    </row>
    <row r="931" spans="1:12" x14ac:dyDescent="0.35">
      <c r="A931" t="s">
        <v>76</v>
      </c>
      <c r="E931" s="9" t="str">
        <f t="shared" si="32"/>
        <v/>
      </c>
      <c r="F931" s="10" t="str">
        <f>IF(OR(E931="",E931="!!!"),"",IF(NOT(ISNA(VLOOKUP(E931,E$1:E930,1,FALSE()))),"OLD",IF(AND(E931&lt;&gt;"",E931&lt;&gt;"!!!"),"NEW","")))</f>
        <v/>
      </c>
      <c r="G931" s="11" t="str">
        <f>IF(OR(E931="",E931="!!!"),"",IF(OR(J931=0,AND(J931=1,K931=1),AND(J931=1,I931="SBJ"),AND(J931=1,I931=0)),"?IN_FOCUS",IF(J931&lt;=2,"?ACTIVATED",IF(J931&lt;&gt;"","?FAMILIAR",IF(F931="NEW",IF(ISNA(VLOOKUP(E931,#REF!,1,FALSE())),"?TYPE_IDENTIFIABLE","?REFERENTIAL"),"_")))))</f>
        <v/>
      </c>
      <c r="H931" s="12" t="str">
        <f t="shared" ca="1" si="33"/>
        <v/>
      </c>
      <c r="I931" s="13" t="str">
        <f>IF(OR(E931="",E931="!!!",F931="NEW"),"",INDEX(B$2:B930,-1+SUMPRODUCT(MAX(ROW(E$2:E930)*(E931=E$2:E930)))))</f>
        <v/>
      </c>
      <c r="J931" s="14" t="str">
        <f ca="1">IF(OR(E931="",E931="!!!",F931="NEW"),"",COUNTBLANK(OFFSET(A$1,,,SUMPRODUCT(MAX(ROW(E$2:E931)*(E931=E$2:E931)))))-COUNTBLANK(OFFSET(A$1,,,SUMPRODUCT(MAX(ROW(E$1:E930)*(E931=E$1:E930))))))</f>
        <v/>
      </c>
      <c r="K931" s="14" t="str">
        <f>IF(OR(E931="",E931="!!!",F931="NEW"),"",INDEX(J$1:J930,SUMPRODUCT(MAX(ROW(E$1:E930)*(E931=E$1:E930)))))</f>
        <v/>
      </c>
      <c r="L931" s="15"/>
    </row>
    <row r="932" spans="1:12" x14ac:dyDescent="0.35">
      <c r="A932" t="s">
        <v>469</v>
      </c>
      <c r="E932" s="9" t="str">
        <f t="shared" si="32"/>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ca="1" si="33"/>
        <v/>
      </c>
      <c r="I932" s="13" t="str">
        <f>IF(OR(E932="",E932="!!!",F932="NEW"),"",INDEX(B$2:B931,-1+SUMPRODUCT(MAX(ROW(E$2:E931)*(E932=E$2:E931)))))</f>
        <v/>
      </c>
      <c r="J932" s="14" t="str">
        <f ca="1">IF(OR(E932="",E932="!!!",F932="NEW"),"",COUNTBLANK(OFFSET(A$1,,,SUMPRODUCT(MAX(ROW(E$2:E932)*(E932=E$2:E932)))))-COUNTBLANK(OFFSET(A$1,,,SUMPRODUCT(MAX(ROW(E$1:E931)*(E932=E$1:E931))))))</f>
        <v/>
      </c>
      <c r="K932" s="14" t="str">
        <f>IF(OR(E932="",E932="!!!",F932="NEW"),"",INDEX(J$1:J931,SUMPRODUCT(MAX(ROW(E$1:E931)*(E932=E$1:E931)))))</f>
        <v/>
      </c>
      <c r="L932" s="15"/>
    </row>
    <row r="933" spans="1:12" x14ac:dyDescent="0.35">
      <c r="A933" t="s">
        <v>177</v>
      </c>
      <c r="E933" s="9" t="str">
        <f t="shared" si="32"/>
        <v/>
      </c>
      <c r="F933" s="10" t="str">
        <f>IF(OR(E933="",E933="!!!"),"",IF(NOT(ISNA(VLOOKUP(E933,E$1:E932,1,FALSE()))),"OLD",IF(AND(E933&lt;&gt;"",E933&lt;&gt;"!!!"),"NEW","")))</f>
        <v/>
      </c>
      <c r="G933" s="11" t="str">
        <f>IF(OR(E933="",E933="!!!"),"",IF(OR(J933=0,AND(J933=1,K933=1),AND(J933=1,I933="SBJ"),AND(J933=1,I933=0)),"?IN_FOCUS",IF(J933&lt;=2,"?ACTIVATED",IF(J933&lt;&gt;"","?FAMILIAR",IF(F933="NEW",IF(ISNA(VLOOKUP(E933,#REF!,1,FALSE())),"?TYPE_IDENTIFIABLE","?REFERENTIAL"),"_")))))</f>
        <v/>
      </c>
      <c r="H933" s="12" t="str">
        <f t="shared" ca="1" si="33"/>
        <v/>
      </c>
      <c r="I933" s="13" t="str">
        <f>IF(OR(E933="",E933="!!!",F933="NEW"),"",INDEX(B$2:B932,-1+SUMPRODUCT(MAX(ROW(E$2:E932)*(E933=E$2:E932)))))</f>
        <v/>
      </c>
      <c r="J933" s="14" t="str">
        <f ca="1">IF(OR(E933="",E933="!!!",F933="NEW"),"",COUNTBLANK(OFFSET(A$1,,,SUMPRODUCT(MAX(ROW(E$2:E933)*(E933=E$2:E933)))))-COUNTBLANK(OFFSET(A$1,,,SUMPRODUCT(MAX(ROW(E$1:E932)*(E933=E$1:E932))))))</f>
        <v/>
      </c>
      <c r="K933" s="14" t="str">
        <f>IF(OR(E933="",E933="!!!",F933="NEW"),"",INDEX(J$1:J932,SUMPRODUCT(MAX(ROW(E$1:E932)*(E933=E$1:E932)))))</f>
        <v/>
      </c>
      <c r="L933" s="15"/>
    </row>
    <row r="934" spans="1:12" x14ac:dyDescent="0.35">
      <c r="A934" t="s">
        <v>123</v>
      </c>
      <c r="E934" s="9" t="str">
        <f t="shared" si="32"/>
        <v/>
      </c>
      <c r="F934" s="10" t="str">
        <f>IF(OR(E934="",E934="!!!"),"",IF(NOT(ISNA(VLOOKUP(E934,E$1:E933,1,FALSE()))),"OLD",IF(AND(E934&lt;&gt;"",E934&lt;&gt;"!!!"),"NEW","")))</f>
        <v/>
      </c>
      <c r="G934" s="11" t="str">
        <f>IF(OR(E934="",E934="!!!"),"",IF(OR(J934=0,AND(J934=1,K934=1),AND(J934=1,I934="SBJ"),AND(J934=1,I934=0)),"?IN_FOCUS",IF(J934&lt;=2,"?ACTIVATED",IF(J934&lt;&gt;"","?FAMILIAR",IF(F934="NEW",IF(ISNA(VLOOKUP(E934,#REF!,1,FALSE())),"?TYPE_IDENTIFIABLE","?REFERENTIAL"),"_")))))</f>
        <v/>
      </c>
      <c r="H934" s="12" t="str">
        <f t="shared" ca="1" si="33"/>
        <v/>
      </c>
      <c r="I934" s="13" t="str">
        <f>IF(OR(E934="",E934="!!!",F934="NEW"),"",INDEX(B$2:B933,-1+SUMPRODUCT(MAX(ROW(E$2:E933)*(E934=E$2:E933)))))</f>
        <v/>
      </c>
      <c r="J934" s="14" t="str">
        <f ca="1">IF(OR(E934="",E934="!!!",F934="NEW"),"",COUNTBLANK(OFFSET(A$1,,,SUMPRODUCT(MAX(ROW(E$2:E934)*(E934=E$2:E934)))))-COUNTBLANK(OFFSET(A$1,,,SUMPRODUCT(MAX(ROW(E$1:E933)*(E934=E$1:E933))))))</f>
        <v/>
      </c>
      <c r="K934" s="14" t="str">
        <f>IF(OR(E934="",E934="!!!",F934="NEW"),"",INDEX(J$1:J933,SUMPRODUCT(MAX(ROW(E$1:E933)*(E934=E$1:E933)))))</f>
        <v/>
      </c>
      <c r="L934" s="15"/>
    </row>
    <row r="935" spans="1:12" x14ac:dyDescent="0.35">
      <c r="A935" t="s">
        <v>47</v>
      </c>
      <c r="B935" t="s">
        <v>56</v>
      </c>
      <c r="C935" t="s">
        <v>49</v>
      </c>
      <c r="D935" t="s">
        <v>16</v>
      </c>
      <c r="E935" s="9" t="str">
        <f t="shared" si="32"/>
        <v>!!!</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ca="1" si="33"/>
        <v/>
      </c>
      <c r="I935" s="13" t="str">
        <f>IF(OR(E935="",E935="!!!",F935="NEW"),"",INDEX(B$2:B934,-1+SUMPRODUCT(MAX(ROW(E$2:E934)*(E935=E$2:E934)))))</f>
        <v/>
      </c>
      <c r="J935" s="14" t="str">
        <f ca="1">IF(OR(E935="",E935="!!!",F935="NEW"),"",COUNTBLANK(OFFSET(A$1,,,SUMPRODUCT(MAX(ROW(E$2:E935)*(E935=E$2:E935)))))-COUNTBLANK(OFFSET(A$1,,,SUMPRODUCT(MAX(ROW(E$1:E934)*(E935=E$1:E934))))))</f>
        <v/>
      </c>
      <c r="K935" s="14" t="str">
        <f>IF(OR(E935="",E935="!!!",F935="NEW"),"",INDEX(J$1:J934,SUMPRODUCT(MAX(ROW(E$1:E934)*(E935=E$1:E934)))))</f>
        <v/>
      </c>
      <c r="L935" s="15"/>
    </row>
    <row r="936" spans="1:12" x14ac:dyDescent="0.35">
      <c r="A936" t="s">
        <v>470</v>
      </c>
      <c r="B936" t="s">
        <v>20</v>
      </c>
      <c r="C936" t="s">
        <v>15</v>
      </c>
      <c r="D936" t="s">
        <v>16</v>
      </c>
      <c r="E936" s="9" t="str">
        <f t="shared" si="32"/>
        <v>!!!</v>
      </c>
      <c r="F936" s="10" t="str">
        <f>IF(OR(E936="",E936="!!!"),"",IF(NOT(ISNA(VLOOKUP(E936,E$1:E935,1,FALSE()))),"OLD",IF(AND(E936&lt;&gt;"",E936&lt;&gt;"!!!"),"NEW","")))</f>
        <v/>
      </c>
      <c r="G936" s="11" t="str">
        <f>IF(OR(E936="",E936="!!!"),"",IF(OR(J936=0,AND(J936=1,K936=1),AND(J936=1,I936="SBJ"),AND(J936=1,I936=0)),"?IN_FOCUS",IF(J936&lt;=2,"?ACTIVATED",IF(J936&lt;&gt;"","?FAMILIAR",IF(F936="NEW",IF(ISNA(VLOOKUP(E936,#REF!,1,FALSE())),"?TYPE_IDENTIFIABLE","?REFERENTIAL"),"_")))))</f>
        <v/>
      </c>
      <c r="H936" s="12" t="str">
        <f t="shared" ca="1" si="33"/>
        <v/>
      </c>
      <c r="I936" s="13" t="str">
        <f>IF(OR(E936="",E936="!!!",F936="NEW"),"",INDEX(B$2:B935,-1+SUMPRODUCT(MAX(ROW(E$2:E935)*(E936=E$2:E935)))))</f>
        <v/>
      </c>
      <c r="J936" s="14" t="str">
        <f ca="1">IF(OR(E936="",E936="!!!",F936="NEW"),"",COUNTBLANK(OFFSET(A$1,,,SUMPRODUCT(MAX(ROW(E$2:E936)*(E936=E$2:E936)))))-COUNTBLANK(OFFSET(A$1,,,SUMPRODUCT(MAX(ROW(E$1:E935)*(E936=E$1:E935))))))</f>
        <v/>
      </c>
      <c r="K936" s="14" t="str">
        <f>IF(OR(E936="",E936="!!!",F936="NEW"),"",INDEX(J$1:J935,SUMPRODUCT(MAX(ROW(E$1:E935)*(E936=E$1:E935)))))</f>
        <v/>
      </c>
      <c r="L936" s="15"/>
    </row>
    <row r="937" spans="1:12" x14ac:dyDescent="0.35">
      <c r="A937" t="s">
        <v>26</v>
      </c>
      <c r="E937" s="9" t="str">
        <f t="shared" si="32"/>
        <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ca="1" si="33"/>
        <v/>
      </c>
      <c r="I937" s="13" t="str">
        <f>IF(OR(E937="",E937="!!!",F937="NEW"),"",INDEX(B$2:B936,-1+SUMPRODUCT(MAX(ROW(E$2:E936)*(E937=E$2:E936)))))</f>
        <v/>
      </c>
      <c r="J937" s="14" t="str">
        <f ca="1">IF(OR(E937="",E937="!!!",F937="NEW"),"",COUNTBLANK(OFFSET(A$1,,,SUMPRODUCT(MAX(ROW(E$2:E937)*(E937=E$2:E937)))))-COUNTBLANK(OFFSET(A$1,,,SUMPRODUCT(MAX(ROW(E$1:E936)*(E937=E$1:E936))))))</f>
        <v/>
      </c>
      <c r="K937" s="14" t="str">
        <f>IF(OR(E937="",E937="!!!",F937="NEW"),"",INDEX(J$1:J936,SUMPRODUCT(MAX(ROW(E$1:E936)*(E937=E$1:E936)))))</f>
        <v/>
      </c>
      <c r="L937" s="15"/>
    </row>
    <row r="938" spans="1:12" x14ac:dyDescent="0.35">
      <c r="A938" t="s">
        <v>471</v>
      </c>
      <c r="E938" s="9" t="str">
        <f t="shared" si="32"/>
        <v/>
      </c>
      <c r="F938" s="10" t="str">
        <f>IF(OR(E938="",E938="!!!"),"",IF(NOT(ISNA(VLOOKUP(E938,E$1:E937,1,FALSE()))),"OLD",IF(AND(E938&lt;&gt;"",E938&lt;&gt;"!!!"),"NEW","")))</f>
        <v/>
      </c>
      <c r="G938" s="11" t="str">
        <f>IF(OR(E938="",E938="!!!"),"",IF(OR(J938=0,AND(J938=1,K938=1),AND(J938=1,I938="SBJ"),AND(J938=1,I938=0)),"?IN_FOCUS",IF(J938&lt;=2,"?ACTIVATED",IF(J938&lt;&gt;"","?FAMILIAR",IF(F938="NEW",IF(ISNA(VLOOKUP(E938,#REF!,1,FALSE())),"?TYPE_IDENTIFIABLE","?REFERENTIAL"),"_")))))</f>
        <v/>
      </c>
      <c r="H938" s="12" t="str">
        <f t="shared" ca="1" si="33"/>
        <v/>
      </c>
      <c r="I938" s="13" t="str">
        <f>IF(OR(E938="",E938="!!!",F938="NEW"),"",INDEX(B$2:B937,-1+SUMPRODUCT(MAX(ROW(E$2:E937)*(E938=E$2:E937)))))</f>
        <v/>
      </c>
      <c r="J938" s="14" t="str">
        <f ca="1">IF(OR(E938="",E938="!!!",F938="NEW"),"",COUNTBLANK(OFFSET(A$1,,,SUMPRODUCT(MAX(ROW(E$2:E938)*(E938=E$2:E938)))))-COUNTBLANK(OFFSET(A$1,,,SUMPRODUCT(MAX(ROW(E$1:E937)*(E938=E$1:E937))))))</f>
        <v/>
      </c>
      <c r="K938" s="14" t="str">
        <f>IF(OR(E938="",E938="!!!",F938="NEW"),"",INDEX(J$1:J937,SUMPRODUCT(MAX(ROW(E$1:E937)*(E938=E$1:E937)))))</f>
        <v/>
      </c>
      <c r="L938" s="15"/>
    </row>
    <row r="939" spans="1:12" x14ac:dyDescent="0.35">
      <c r="A939" t="s">
        <v>131</v>
      </c>
      <c r="E939" s="9" t="str">
        <f t="shared" si="32"/>
        <v/>
      </c>
      <c r="F939" s="10" t="str">
        <f>IF(OR(E939="",E939="!!!"),"",IF(NOT(ISNA(VLOOKUP(E939,E$1:E938,1,FALSE()))),"OLD",IF(AND(E939&lt;&gt;"",E939&lt;&gt;"!!!"),"NEW","")))</f>
        <v/>
      </c>
      <c r="G939" s="11" t="str">
        <f>IF(OR(E939="",E939="!!!"),"",IF(OR(J939=0,AND(J939=1,K939=1),AND(J939=1,I939="SBJ"),AND(J939=1,I939=0)),"?IN_FOCUS",IF(J939&lt;=2,"?ACTIVATED",IF(J939&lt;&gt;"","?FAMILIAR",IF(F939="NEW",IF(ISNA(VLOOKUP(E939,#REF!,1,FALSE())),"?TYPE_IDENTIFIABLE","?REFERENTIAL"),"_")))))</f>
        <v/>
      </c>
      <c r="H939" s="12" t="str">
        <f t="shared" ca="1" si="33"/>
        <v/>
      </c>
      <c r="I939" s="13" t="str">
        <f>IF(OR(E939="",E939="!!!",F939="NEW"),"",INDEX(B$2:B938,-1+SUMPRODUCT(MAX(ROW(E$2:E938)*(E939=E$2:E938)))))</f>
        <v/>
      </c>
      <c r="J939" s="14" t="str">
        <f ca="1">IF(OR(E939="",E939="!!!",F939="NEW"),"",COUNTBLANK(OFFSET(A$1,,,SUMPRODUCT(MAX(ROW(E$2:E939)*(E939=E$2:E939)))))-COUNTBLANK(OFFSET(A$1,,,SUMPRODUCT(MAX(ROW(E$1:E938)*(E939=E$1:E938))))))</f>
        <v/>
      </c>
      <c r="K939" s="14" t="str">
        <f>IF(OR(E939="",E939="!!!",F939="NEW"),"",INDEX(J$1:J938,SUMPRODUCT(MAX(ROW(E$1:E938)*(E939=E$1:E938)))))</f>
        <v/>
      </c>
      <c r="L939" s="15"/>
    </row>
    <row r="940" spans="1:12" x14ac:dyDescent="0.35">
      <c r="A940" t="s">
        <v>47</v>
      </c>
      <c r="B940" t="s">
        <v>56</v>
      </c>
      <c r="C940" t="s">
        <v>49</v>
      </c>
      <c r="D940" t="s">
        <v>16</v>
      </c>
      <c r="E940" s="9" t="str">
        <f t="shared" si="32"/>
        <v>!!!</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ca="1" si="33"/>
        <v/>
      </c>
      <c r="I940" s="13" t="str">
        <f>IF(OR(E940="",E940="!!!",F940="NEW"),"",INDEX(B$2:B939,-1+SUMPRODUCT(MAX(ROW(E$2:E939)*(E940=E$2:E939)))))</f>
        <v/>
      </c>
      <c r="J940" s="14" t="str">
        <f ca="1">IF(OR(E940="",E940="!!!",F940="NEW"),"",COUNTBLANK(OFFSET(A$1,,,SUMPRODUCT(MAX(ROW(E$2:E940)*(E940=E$2:E940)))))-COUNTBLANK(OFFSET(A$1,,,SUMPRODUCT(MAX(ROW(E$1:E939)*(E940=E$1:E939))))))</f>
        <v/>
      </c>
      <c r="K940" s="14" t="str">
        <f>IF(OR(E940="",E940="!!!",F940="NEW"),"",INDEX(J$1:J939,SUMPRODUCT(MAX(ROW(E$1:E939)*(E940=E$1:E939)))))</f>
        <v/>
      </c>
      <c r="L940" s="15"/>
    </row>
    <row r="941" spans="1:12" x14ac:dyDescent="0.35">
      <c r="A941" t="s">
        <v>472</v>
      </c>
      <c r="B941" t="s">
        <v>20</v>
      </c>
      <c r="C941" t="s">
        <v>15</v>
      </c>
      <c r="D941" t="s">
        <v>16</v>
      </c>
      <c r="E941" s="9" t="str">
        <f t="shared" si="32"/>
        <v>!!!</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ca="1" si="33"/>
        <v/>
      </c>
      <c r="I941" s="13" t="str">
        <f>IF(OR(E941="",E941="!!!",F941="NEW"),"",INDEX(B$2:B940,-1+SUMPRODUCT(MAX(ROW(E$2:E940)*(E941=E$2:E940)))))</f>
        <v/>
      </c>
      <c r="J941" s="14" t="str">
        <f ca="1">IF(OR(E941="",E941="!!!",F941="NEW"),"",COUNTBLANK(OFFSET(A$1,,,SUMPRODUCT(MAX(ROW(E$2:E941)*(E941=E$2:E941)))))-COUNTBLANK(OFFSET(A$1,,,SUMPRODUCT(MAX(ROW(E$1:E940)*(E941=E$1:E940))))))</f>
        <v/>
      </c>
      <c r="K941" s="14" t="str">
        <f>IF(OR(E941="",E941="!!!",F941="NEW"),"",INDEX(J$1:J940,SUMPRODUCT(MAX(ROW(E$1:E940)*(E941=E$1:E940)))))</f>
        <v/>
      </c>
      <c r="L941" s="15"/>
    </row>
    <row r="942" spans="1:12" x14ac:dyDescent="0.35">
      <c r="A942" t="s">
        <v>63</v>
      </c>
      <c r="E942" s="9" t="str">
        <f t="shared" si="32"/>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ca="1" si="33"/>
        <v/>
      </c>
      <c r="I942" s="13" t="str">
        <f>IF(OR(E942="",E942="!!!",F942="NEW"),"",INDEX(B$2:B941,-1+SUMPRODUCT(MAX(ROW(E$2:E941)*(E942=E$2:E941)))))</f>
        <v/>
      </c>
      <c r="J942" s="14" t="str">
        <f ca="1">IF(OR(E942="",E942="!!!",F942="NEW"),"",COUNTBLANK(OFFSET(A$1,,,SUMPRODUCT(MAX(ROW(E$2:E942)*(E942=E$2:E942)))))-COUNTBLANK(OFFSET(A$1,,,SUMPRODUCT(MAX(ROW(E$1:E941)*(E942=E$1:E941))))))</f>
        <v/>
      </c>
      <c r="K942" s="14" t="str">
        <f>IF(OR(E942="",E942="!!!",F942="NEW"),"",INDEX(J$1:J941,SUMPRODUCT(MAX(ROW(E$1:E941)*(E942=E$1:E941)))))</f>
        <v/>
      </c>
      <c r="L942" s="15"/>
    </row>
    <row r="943" spans="1:12" x14ac:dyDescent="0.35">
      <c r="E943" s="9" t="str">
        <f t="shared" si="32"/>
        <v/>
      </c>
      <c r="F943" s="10" t="str">
        <f>IF(OR(E943="",E943="!!!"),"",IF(NOT(ISNA(VLOOKUP(E943,E$1:E942,1,FALSE()))),"OLD",IF(AND(E943&lt;&gt;"",E943&lt;&gt;"!!!"),"NEW","")))</f>
        <v/>
      </c>
      <c r="G943" s="11" t="str">
        <f>IF(OR(E943="",E943="!!!"),"",IF(OR(J943=0,AND(J943=1,K943=1),AND(J943=1,I943="SBJ"),AND(J943=1,I943=0)),"?IN_FOCUS",IF(J943&lt;=2,"?ACTIVATED",IF(J943&lt;&gt;"","?FAMILIAR",IF(F943="NEW",IF(ISNA(VLOOKUP(E943,#REF!,1,FALSE())),"?TYPE_IDENTIFIABLE","?REFERENTIAL"),"_")))))</f>
        <v/>
      </c>
      <c r="H943" s="12" t="str">
        <f t="shared" ca="1" si="33"/>
        <v/>
      </c>
      <c r="I943" s="13" t="str">
        <f>IF(OR(E943="",E943="!!!",F943="NEW"),"",INDEX(B$2:B942,-1+SUMPRODUCT(MAX(ROW(E$2:E942)*(E943=E$2:E942)))))</f>
        <v/>
      </c>
      <c r="J943" s="14" t="str">
        <f ca="1">IF(OR(E943="",E943="!!!",F943="NEW"),"",COUNTBLANK(OFFSET(A$1,,,SUMPRODUCT(MAX(ROW(E$2:E943)*(E943=E$2:E943)))))-COUNTBLANK(OFFSET(A$1,,,SUMPRODUCT(MAX(ROW(E$1:E942)*(E943=E$1:E942))))))</f>
        <v/>
      </c>
      <c r="K943" s="14" t="str">
        <f>IF(OR(E943="",E943="!!!",F943="NEW"),"",INDEX(J$1:J942,SUMPRODUCT(MAX(ROW(E$1:E942)*(E943=E$1:E942)))))</f>
        <v/>
      </c>
      <c r="L943" s="15"/>
    </row>
    <row r="944" spans="1:12" x14ac:dyDescent="0.35">
      <c r="A944" t="s">
        <v>473</v>
      </c>
      <c r="E944" s="9" t="str">
        <f t="shared" si="32"/>
        <v/>
      </c>
      <c r="F944" s="10" t="str">
        <f>IF(OR(E944="",E944="!!!"),"",IF(NOT(ISNA(VLOOKUP(E944,E$1:E943,1,FALSE()))),"OLD",IF(AND(E944&lt;&gt;"",E944&lt;&gt;"!!!"),"NEW","")))</f>
        <v/>
      </c>
      <c r="G944" s="11" t="str">
        <f>IF(OR(E944="",E944="!!!"),"",IF(OR(J944=0,AND(J944=1,K944=1),AND(J944=1,I944="SBJ"),AND(J944=1,I944=0)),"?IN_FOCUS",IF(J944&lt;=2,"?ACTIVATED",IF(J944&lt;&gt;"","?FAMILIAR",IF(F944="NEW",IF(ISNA(VLOOKUP(E944,#REF!,1,FALSE())),"?TYPE_IDENTIFIABLE","?REFERENTIAL"),"_")))))</f>
        <v/>
      </c>
      <c r="H944" s="12" t="str">
        <f t="shared" ca="1" si="33"/>
        <v/>
      </c>
      <c r="I944" s="13" t="str">
        <f>IF(OR(E944="",E944="!!!",F944="NEW"),"",INDEX(B$2:B943,-1+SUMPRODUCT(MAX(ROW(E$2:E943)*(E944=E$2:E943)))))</f>
        <v/>
      </c>
      <c r="J944" s="14" t="str">
        <f ca="1">IF(OR(E944="",E944="!!!",F944="NEW"),"",COUNTBLANK(OFFSET(A$1,,,SUMPRODUCT(MAX(ROW(E$2:E944)*(E944=E$2:E944)))))-COUNTBLANK(OFFSET(A$1,,,SUMPRODUCT(MAX(ROW(E$1:E943)*(E944=E$1:E943))))))</f>
        <v/>
      </c>
      <c r="K944" s="14" t="str">
        <f>IF(OR(E944="",E944="!!!",F944="NEW"),"",INDEX(J$1:J943,SUMPRODUCT(MAX(ROW(E$1:E943)*(E944=E$1:E943)))))</f>
        <v/>
      </c>
      <c r="L944" s="15"/>
    </row>
    <row r="945" spans="1:12" x14ac:dyDescent="0.35">
      <c r="A945" t="s">
        <v>110</v>
      </c>
      <c r="B945" t="s">
        <v>14</v>
      </c>
      <c r="C945" t="s">
        <v>33</v>
      </c>
      <c r="D945" t="s">
        <v>16</v>
      </c>
      <c r="E945" s="9" t="str">
        <f t="shared" si="32"/>
        <v>!!!</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ca="1" si="33"/>
        <v/>
      </c>
      <c r="I945" s="13" t="str">
        <f>IF(OR(E945="",E945="!!!",F945="NEW"),"",INDEX(B$2:B944,-1+SUMPRODUCT(MAX(ROW(E$2:E944)*(E945=E$2:E944)))))</f>
        <v/>
      </c>
      <c r="J945" s="14" t="str">
        <f ca="1">IF(OR(E945="",E945="!!!",F945="NEW"),"",COUNTBLANK(OFFSET(A$1,,,SUMPRODUCT(MAX(ROW(E$2:E945)*(E945=E$2:E945)))))-COUNTBLANK(OFFSET(A$1,,,SUMPRODUCT(MAX(ROW(E$1:E944)*(E945=E$1:E944))))))</f>
        <v/>
      </c>
      <c r="K945" s="14" t="str">
        <f>IF(OR(E945="",E945="!!!",F945="NEW"),"",INDEX(J$1:J944,SUMPRODUCT(MAX(ROW(E$1:E944)*(E945=E$1:E944)))))</f>
        <v/>
      </c>
      <c r="L945" s="15"/>
    </row>
    <row r="946" spans="1:12" x14ac:dyDescent="0.35">
      <c r="A946" t="s">
        <v>474</v>
      </c>
      <c r="E946" s="9" t="str">
        <f t="shared" si="32"/>
        <v/>
      </c>
      <c r="F946" s="10" t="str">
        <f>IF(OR(E946="",E946="!!!"),"",IF(NOT(ISNA(VLOOKUP(E946,E$1:E945,1,FALSE()))),"OLD",IF(AND(E946&lt;&gt;"",E946&lt;&gt;"!!!"),"NEW","")))</f>
        <v/>
      </c>
      <c r="G946" s="11" t="str">
        <f>IF(OR(E946="",E946="!!!"),"",IF(OR(J946=0,AND(J946=1,K946=1),AND(J946=1,I946="SBJ"),AND(J946=1,I946=0)),"?IN_FOCUS",IF(J946&lt;=2,"?ACTIVATED",IF(J946&lt;&gt;"","?FAMILIAR",IF(F946="NEW",IF(ISNA(VLOOKUP(E946,#REF!,1,FALSE())),"?TYPE_IDENTIFIABLE","?REFERENTIAL"),"_")))))</f>
        <v/>
      </c>
      <c r="H946" s="12" t="str">
        <f t="shared" ca="1" si="33"/>
        <v/>
      </c>
      <c r="I946" s="13" t="str">
        <f>IF(OR(E946="",E946="!!!",F946="NEW"),"",INDEX(B$2:B945,-1+SUMPRODUCT(MAX(ROW(E$2:E945)*(E946=E$2:E945)))))</f>
        <v/>
      </c>
      <c r="J946" s="14" t="str">
        <f ca="1">IF(OR(E946="",E946="!!!",F946="NEW"),"",COUNTBLANK(OFFSET(A$1,,,SUMPRODUCT(MAX(ROW(E$2:E946)*(E946=E$2:E946)))))-COUNTBLANK(OFFSET(A$1,,,SUMPRODUCT(MAX(ROW(E$1:E945)*(E946=E$1:E945))))))</f>
        <v/>
      </c>
      <c r="K946" s="14" t="str">
        <f>IF(OR(E946="",E946="!!!",F946="NEW"),"",INDEX(J$1:J945,SUMPRODUCT(MAX(ROW(E$1:E945)*(E946=E$1:E945)))))</f>
        <v/>
      </c>
      <c r="L946" s="15"/>
    </row>
    <row r="947" spans="1:12" x14ac:dyDescent="0.35">
      <c r="A947" t="s">
        <v>58</v>
      </c>
      <c r="E947" s="9" t="str">
        <f t="shared" si="32"/>
        <v/>
      </c>
      <c r="F947" s="10" t="str">
        <f>IF(OR(E947="",E947="!!!"),"",IF(NOT(ISNA(VLOOKUP(E947,E$1:E946,1,FALSE()))),"OLD",IF(AND(E947&lt;&gt;"",E947&lt;&gt;"!!!"),"NEW","")))</f>
        <v/>
      </c>
      <c r="G947" s="11" t="str">
        <f>IF(OR(E947="",E947="!!!"),"",IF(OR(J947=0,AND(J947=1,K947=1),AND(J947=1,I947="SBJ"),AND(J947=1,I947=0)),"?IN_FOCUS",IF(J947&lt;=2,"?ACTIVATED",IF(J947&lt;&gt;"","?FAMILIAR",IF(F947="NEW",IF(ISNA(VLOOKUP(E947,#REF!,1,FALSE())),"?TYPE_IDENTIFIABLE","?REFERENTIAL"),"_")))))</f>
        <v/>
      </c>
      <c r="H947" s="12" t="str">
        <f t="shared" ca="1" si="33"/>
        <v/>
      </c>
      <c r="I947" s="13" t="str">
        <f>IF(OR(E947="",E947="!!!",F947="NEW"),"",INDEX(B$2:B946,-1+SUMPRODUCT(MAX(ROW(E$2:E946)*(E947=E$2:E946)))))</f>
        <v/>
      </c>
      <c r="J947" s="14" t="str">
        <f ca="1">IF(OR(E947="",E947="!!!",F947="NEW"),"",COUNTBLANK(OFFSET(A$1,,,SUMPRODUCT(MAX(ROW(E$2:E947)*(E947=E$2:E947)))))-COUNTBLANK(OFFSET(A$1,,,SUMPRODUCT(MAX(ROW(E$1:E946)*(E947=E$1:E946))))))</f>
        <v/>
      </c>
      <c r="K947" s="14" t="str">
        <f>IF(OR(E947="",E947="!!!",F947="NEW"),"",INDEX(J$1:J946,SUMPRODUCT(MAX(ROW(E$1:E946)*(E947=E$1:E946)))))</f>
        <v/>
      </c>
      <c r="L947" s="15"/>
    </row>
    <row r="948" spans="1:12" x14ac:dyDescent="0.35">
      <c r="A948" t="s">
        <v>475</v>
      </c>
      <c r="B948" t="s">
        <v>32</v>
      </c>
      <c r="C948" t="s">
        <v>99</v>
      </c>
      <c r="D948" t="s">
        <v>16</v>
      </c>
      <c r="E948" s="9" t="str">
        <f t="shared" si="32"/>
        <v>!!!</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ca="1" si="33"/>
        <v/>
      </c>
      <c r="I948" s="13" t="str">
        <f>IF(OR(E948="",E948="!!!",F948="NEW"),"",INDEX(B$2:B947,-1+SUMPRODUCT(MAX(ROW(E$2:E947)*(E948=E$2:E947)))))</f>
        <v/>
      </c>
      <c r="J948" s="14" t="str">
        <f ca="1">IF(OR(E948="",E948="!!!",F948="NEW"),"",COUNTBLANK(OFFSET(A$1,,,SUMPRODUCT(MAX(ROW(E$2:E948)*(E948=E$2:E948)))))-COUNTBLANK(OFFSET(A$1,,,SUMPRODUCT(MAX(ROW(E$1:E947)*(E948=E$1:E947))))))</f>
        <v/>
      </c>
      <c r="K948" s="14" t="str">
        <f>IF(OR(E948="",E948="!!!",F948="NEW"),"",INDEX(J$1:J947,SUMPRODUCT(MAX(ROW(E$1:E947)*(E948=E$1:E947)))))</f>
        <v/>
      </c>
      <c r="L948" s="15"/>
    </row>
    <row r="949" spans="1:12" x14ac:dyDescent="0.35">
      <c r="A949" t="s">
        <v>17</v>
      </c>
      <c r="E949" s="9" t="str">
        <f t="shared" si="32"/>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ca="1" si="33"/>
        <v/>
      </c>
      <c r="I949" s="13" t="str">
        <f>IF(OR(E949="",E949="!!!",F949="NEW"),"",INDEX(B$2:B948,-1+SUMPRODUCT(MAX(ROW(E$2:E948)*(E949=E$2:E948)))))</f>
        <v/>
      </c>
      <c r="J949" s="14" t="str">
        <f ca="1">IF(OR(E949="",E949="!!!",F949="NEW"),"",COUNTBLANK(OFFSET(A$1,,,SUMPRODUCT(MAX(ROW(E$2:E949)*(E949=E$2:E949)))))-COUNTBLANK(OFFSET(A$1,,,SUMPRODUCT(MAX(ROW(E$1:E948)*(E949=E$1:E948))))))</f>
        <v/>
      </c>
      <c r="K949" s="14" t="str">
        <f>IF(OR(E949="",E949="!!!",F949="NEW"),"",INDEX(J$1:J948,SUMPRODUCT(MAX(ROW(E$1:E948)*(E949=E$1:E948)))))</f>
        <v/>
      </c>
      <c r="L949" s="15"/>
    </row>
    <row r="950" spans="1:12" x14ac:dyDescent="0.35">
      <c r="A950" t="s">
        <v>34</v>
      </c>
      <c r="E950" s="9" t="str">
        <f t="shared" si="32"/>
        <v/>
      </c>
      <c r="F950" s="10" t="str">
        <f>IF(OR(E950="",E950="!!!"),"",IF(NOT(ISNA(VLOOKUP(E950,E$1:E949,1,FALSE()))),"OLD",IF(AND(E950&lt;&gt;"",E950&lt;&gt;"!!!"),"NEW","")))</f>
        <v/>
      </c>
      <c r="G950" s="11" t="str">
        <f>IF(OR(E950="",E950="!!!"),"",IF(OR(J950=0,AND(J950=1,K950=1),AND(J950=1,I950="SBJ"),AND(J950=1,I950=0)),"?IN_FOCUS",IF(J950&lt;=2,"?ACTIVATED",IF(J950&lt;&gt;"","?FAMILIAR",IF(F950="NEW",IF(ISNA(VLOOKUP(E950,#REF!,1,FALSE())),"?TYPE_IDENTIFIABLE","?REFERENTIAL"),"_")))))</f>
        <v/>
      </c>
      <c r="H950" s="12" t="str">
        <f t="shared" ca="1" si="33"/>
        <v/>
      </c>
      <c r="I950" s="13" t="str">
        <f>IF(OR(E950="",E950="!!!",F950="NEW"),"",INDEX(B$2:B949,-1+SUMPRODUCT(MAX(ROW(E$2:E949)*(E950=E$2:E949)))))</f>
        <v/>
      </c>
      <c r="J950" s="14" t="str">
        <f ca="1">IF(OR(E950="",E950="!!!",F950="NEW"),"",COUNTBLANK(OFFSET(A$1,,,SUMPRODUCT(MAX(ROW(E$2:E950)*(E950=E$2:E950)))))-COUNTBLANK(OFFSET(A$1,,,SUMPRODUCT(MAX(ROW(E$1:E949)*(E950=E$1:E949))))))</f>
        <v/>
      </c>
      <c r="K950" s="14" t="str">
        <f>IF(OR(E950="",E950="!!!",F950="NEW"),"",INDEX(J$1:J949,SUMPRODUCT(MAX(ROW(E$1:E949)*(E950=E$1:E949)))))</f>
        <v/>
      </c>
      <c r="L950" s="15"/>
    </row>
    <row r="951" spans="1:12" x14ac:dyDescent="0.35">
      <c r="A951" t="s">
        <v>226</v>
      </c>
      <c r="B951" t="s">
        <v>24</v>
      </c>
      <c r="C951" t="s">
        <v>37</v>
      </c>
      <c r="E951" s="9" t="str">
        <f t="shared" ref="E951:E1005" si="34">IF(D951="?OLD","!!!","")</f>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ref="H951:H1005" ca="1" si="35">IF(J951&lt;&gt;1,"",IF(I951="SBJ","CB","?"))</f>
        <v/>
      </c>
      <c r="I951" s="13" t="str">
        <f>IF(OR(E951="",E951="!!!",F951="NEW"),"",INDEX(B$2:B950,-1+SUMPRODUCT(MAX(ROW(E$2:E950)*(E951=E$2:E950)))))</f>
        <v/>
      </c>
      <c r="J951" s="14" t="str">
        <f ca="1">IF(OR(E951="",E951="!!!",F951="NEW"),"",COUNTBLANK(OFFSET(A$1,,,SUMPRODUCT(MAX(ROW(E$2:E951)*(E951=E$2:E951)))))-COUNTBLANK(OFFSET(A$1,,,SUMPRODUCT(MAX(ROW(E$1:E950)*(E951=E$1:E950))))))</f>
        <v/>
      </c>
      <c r="K951" s="14" t="str">
        <f>IF(OR(E951="",E951="!!!",F951="NEW"),"",INDEX(J$1:J950,SUMPRODUCT(MAX(ROW(E$1:E950)*(E951=E$1:E950)))))</f>
        <v/>
      </c>
      <c r="L951" s="15"/>
    </row>
    <row r="952" spans="1:12" x14ac:dyDescent="0.35">
      <c r="A952" t="s">
        <v>76</v>
      </c>
      <c r="E952" s="9" t="str">
        <f t="shared" si="34"/>
        <v/>
      </c>
      <c r="F952" s="10" t="str">
        <f>IF(OR(E952="",E952="!!!"),"",IF(NOT(ISNA(VLOOKUP(E952,E$1:E951,1,FALSE()))),"OLD",IF(AND(E952&lt;&gt;"",E952&lt;&gt;"!!!"),"NEW","")))</f>
        <v/>
      </c>
      <c r="G952" s="11" t="str">
        <f>IF(OR(E952="",E952="!!!"),"",IF(OR(J952=0,AND(J952=1,K952=1),AND(J952=1,I952="SBJ"),AND(J952=1,I952=0)),"?IN_FOCUS",IF(J952&lt;=2,"?ACTIVATED",IF(J952&lt;&gt;"","?FAMILIAR",IF(F952="NEW",IF(ISNA(VLOOKUP(E952,#REF!,1,FALSE())),"?TYPE_IDENTIFIABLE","?REFERENTIAL"),"_")))))</f>
        <v/>
      </c>
      <c r="H952" s="12" t="str">
        <f t="shared" ca="1" si="35"/>
        <v/>
      </c>
      <c r="I952" s="13" t="str">
        <f>IF(OR(E952="",E952="!!!",F952="NEW"),"",INDEX(B$2:B951,-1+SUMPRODUCT(MAX(ROW(E$2:E951)*(E952=E$2:E951)))))</f>
        <v/>
      </c>
      <c r="J952" s="14" t="str">
        <f ca="1">IF(OR(E952="",E952="!!!",F952="NEW"),"",COUNTBLANK(OFFSET(A$1,,,SUMPRODUCT(MAX(ROW(E$2:E952)*(E952=E$2:E952)))))-COUNTBLANK(OFFSET(A$1,,,SUMPRODUCT(MAX(ROW(E$1:E951)*(E952=E$1:E951))))))</f>
        <v/>
      </c>
      <c r="K952" s="14" t="str">
        <f>IF(OR(E952="",E952="!!!",F952="NEW"),"",INDEX(J$1:J951,SUMPRODUCT(MAX(ROW(E$1:E951)*(E952=E$1:E951)))))</f>
        <v/>
      </c>
      <c r="L952" s="15"/>
    </row>
    <row r="953" spans="1:12" x14ac:dyDescent="0.35">
      <c r="A953" t="s">
        <v>58</v>
      </c>
      <c r="E953" s="9" t="str">
        <f t="shared" si="34"/>
        <v/>
      </c>
      <c r="F953" s="10" t="str">
        <f>IF(OR(E953="",E953="!!!"),"",IF(NOT(ISNA(VLOOKUP(E953,E$1:E952,1,FALSE()))),"OLD",IF(AND(E953&lt;&gt;"",E953&lt;&gt;"!!!"),"NEW","")))</f>
        <v/>
      </c>
      <c r="G953" s="11" t="str">
        <f>IF(OR(E953="",E953="!!!"),"",IF(OR(J953=0,AND(J953=1,K953=1),AND(J953=1,I953="SBJ"),AND(J953=1,I953=0)),"?IN_FOCUS",IF(J953&lt;=2,"?ACTIVATED",IF(J953&lt;&gt;"","?FAMILIAR",IF(F953="NEW",IF(ISNA(VLOOKUP(E953,#REF!,1,FALSE())),"?TYPE_IDENTIFIABLE","?REFERENTIAL"),"_")))))</f>
        <v/>
      </c>
      <c r="H953" s="12" t="str">
        <f t="shared" ca="1" si="35"/>
        <v/>
      </c>
      <c r="I953" s="13" t="str">
        <f>IF(OR(E953="",E953="!!!",F953="NEW"),"",INDEX(B$2:B952,-1+SUMPRODUCT(MAX(ROW(E$2:E952)*(E953=E$2:E952)))))</f>
        <v/>
      </c>
      <c r="J953" s="14" t="str">
        <f ca="1">IF(OR(E953="",E953="!!!",F953="NEW"),"",COUNTBLANK(OFFSET(A$1,,,SUMPRODUCT(MAX(ROW(E$2:E953)*(E953=E$2:E953)))))-COUNTBLANK(OFFSET(A$1,,,SUMPRODUCT(MAX(ROW(E$1:E952)*(E953=E$1:E952))))))</f>
        <v/>
      </c>
      <c r="K953" s="14" t="str">
        <f>IF(OR(E953="",E953="!!!",F953="NEW"),"",INDEX(J$1:J952,SUMPRODUCT(MAX(ROW(E$1:E952)*(E953=E$1:E952)))))</f>
        <v/>
      </c>
      <c r="L953" s="15"/>
    </row>
    <row r="954" spans="1:12" x14ac:dyDescent="0.35">
      <c r="A954" t="s">
        <v>476</v>
      </c>
      <c r="E954" s="9" t="str">
        <f t="shared" si="34"/>
        <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ca="1" si="35"/>
        <v/>
      </c>
      <c r="I954" s="13" t="str">
        <f>IF(OR(E954="",E954="!!!",F954="NEW"),"",INDEX(B$2:B953,-1+SUMPRODUCT(MAX(ROW(E$2:E953)*(E954=E$2:E953)))))</f>
        <v/>
      </c>
      <c r="J954" s="14" t="str">
        <f ca="1">IF(OR(E954="",E954="!!!",F954="NEW"),"",COUNTBLANK(OFFSET(A$1,,,SUMPRODUCT(MAX(ROW(E$2:E954)*(E954=E$2:E954)))))-COUNTBLANK(OFFSET(A$1,,,SUMPRODUCT(MAX(ROW(E$1:E953)*(E954=E$1:E953))))))</f>
        <v/>
      </c>
      <c r="K954" s="14" t="str">
        <f>IF(OR(E954="",E954="!!!",F954="NEW"),"",INDEX(J$1:J953,SUMPRODUCT(MAX(ROW(E$1:E953)*(E954=E$1:E953)))))</f>
        <v/>
      </c>
      <c r="L954" s="15"/>
    </row>
    <row r="955" spans="1:12" x14ac:dyDescent="0.35">
      <c r="A955" t="s">
        <v>477</v>
      </c>
      <c r="B955" t="s">
        <v>24</v>
      </c>
      <c r="C955" t="s">
        <v>99</v>
      </c>
      <c r="D955" t="s">
        <v>16</v>
      </c>
      <c r="E955" s="9" t="str">
        <f t="shared" si="34"/>
        <v>!!!</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ca="1" si="35"/>
        <v/>
      </c>
      <c r="I955" s="13" t="str">
        <f>IF(OR(E955="",E955="!!!",F955="NEW"),"",INDEX(B$2:B954,-1+SUMPRODUCT(MAX(ROW(E$2:E954)*(E955=E$2:E954)))))</f>
        <v/>
      </c>
      <c r="J955" s="14" t="str">
        <f ca="1">IF(OR(E955="",E955="!!!",F955="NEW"),"",COUNTBLANK(OFFSET(A$1,,,SUMPRODUCT(MAX(ROW(E$2:E955)*(E955=E$2:E955)))))-COUNTBLANK(OFFSET(A$1,,,SUMPRODUCT(MAX(ROW(E$1:E954)*(E955=E$1:E954))))))</f>
        <v/>
      </c>
      <c r="K955" s="14" t="str">
        <f>IF(OR(E955="",E955="!!!",F955="NEW"),"",INDEX(J$1:J954,SUMPRODUCT(MAX(ROW(E$1:E954)*(E955=E$1:E954)))))</f>
        <v/>
      </c>
      <c r="L955" s="15"/>
    </row>
    <row r="956" spans="1:12" x14ac:dyDescent="0.35">
      <c r="A956" t="s">
        <v>17</v>
      </c>
      <c r="E956" s="9" t="str">
        <f t="shared" si="34"/>
        <v/>
      </c>
      <c r="F956" s="10" t="str">
        <f>IF(OR(E956="",E956="!!!"),"",IF(NOT(ISNA(VLOOKUP(E956,E$1:E955,1,FALSE()))),"OLD",IF(AND(E956&lt;&gt;"",E956&lt;&gt;"!!!"),"NEW","")))</f>
        <v/>
      </c>
      <c r="G956" s="11" t="str">
        <f>IF(OR(E956="",E956="!!!"),"",IF(OR(J956=0,AND(J956=1,K956=1),AND(J956=1,I956="SBJ"),AND(J956=1,I956=0)),"?IN_FOCUS",IF(J956&lt;=2,"?ACTIVATED",IF(J956&lt;&gt;"","?FAMILIAR",IF(F956="NEW",IF(ISNA(VLOOKUP(E956,#REF!,1,FALSE())),"?TYPE_IDENTIFIABLE","?REFERENTIAL"),"_")))))</f>
        <v/>
      </c>
      <c r="H956" s="12" t="str">
        <f t="shared" ca="1" si="35"/>
        <v/>
      </c>
      <c r="I956" s="13" t="str">
        <f>IF(OR(E956="",E956="!!!",F956="NEW"),"",INDEX(B$2:B955,-1+SUMPRODUCT(MAX(ROW(E$2:E955)*(E956=E$2:E955)))))</f>
        <v/>
      </c>
      <c r="J956" s="14" t="str">
        <f ca="1">IF(OR(E956="",E956="!!!",F956="NEW"),"",COUNTBLANK(OFFSET(A$1,,,SUMPRODUCT(MAX(ROW(E$2:E956)*(E956=E$2:E956)))))-COUNTBLANK(OFFSET(A$1,,,SUMPRODUCT(MAX(ROW(E$1:E955)*(E956=E$1:E955))))))</f>
        <v/>
      </c>
      <c r="K956" s="14" t="str">
        <f>IF(OR(E956="",E956="!!!",F956="NEW"),"",INDEX(J$1:J955,SUMPRODUCT(MAX(ROW(E$1:E955)*(E956=E$1:E955)))))</f>
        <v/>
      </c>
      <c r="L956" s="15"/>
    </row>
    <row r="957" spans="1:12" x14ac:dyDescent="0.35">
      <c r="A957" t="s">
        <v>478</v>
      </c>
      <c r="B957" t="s">
        <v>20</v>
      </c>
      <c r="C957" t="s">
        <v>108</v>
      </c>
      <c r="E957" s="9" t="str">
        <f t="shared" si="34"/>
        <v/>
      </c>
      <c r="F957" s="10" t="str">
        <f>IF(OR(E957="",E957="!!!"),"",IF(NOT(ISNA(VLOOKUP(E957,E$1:E956,1,FALSE()))),"OLD",IF(AND(E957&lt;&gt;"",E957&lt;&gt;"!!!"),"NEW","")))</f>
        <v/>
      </c>
      <c r="G957" s="11" t="str">
        <f>IF(OR(E957="",E957="!!!"),"",IF(OR(J957=0,AND(J957=1,K957=1),AND(J957=1,I957="SBJ"),AND(J957=1,I957=0)),"?IN_FOCUS",IF(J957&lt;=2,"?ACTIVATED",IF(J957&lt;&gt;"","?FAMILIAR",IF(F957="NEW",IF(ISNA(VLOOKUP(E957,#REF!,1,FALSE())),"?TYPE_IDENTIFIABLE","?REFERENTIAL"),"_")))))</f>
        <v/>
      </c>
      <c r="H957" s="12" t="str">
        <f t="shared" ca="1" si="35"/>
        <v/>
      </c>
      <c r="I957" s="13" t="str">
        <f>IF(OR(E957="",E957="!!!",F957="NEW"),"",INDEX(B$2:B956,-1+SUMPRODUCT(MAX(ROW(E$2:E956)*(E957=E$2:E956)))))</f>
        <v/>
      </c>
      <c r="J957" s="14" t="str">
        <f ca="1">IF(OR(E957="",E957="!!!",F957="NEW"),"",COUNTBLANK(OFFSET(A$1,,,SUMPRODUCT(MAX(ROW(E$2:E957)*(E957=E$2:E957)))))-COUNTBLANK(OFFSET(A$1,,,SUMPRODUCT(MAX(ROW(E$1:E956)*(E957=E$1:E956))))))</f>
        <v/>
      </c>
      <c r="K957" s="14" t="str">
        <f>IF(OR(E957="",E957="!!!",F957="NEW"),"",INDEX(J$1:J956,SUMPRODUCT(MAX(ROW(E$1:E956)*(E957=E$1:E956)))))</f>
        <v/>
      </c>
      <c r="L957" s="15"/>
    </row>
    <row r="958" spans="1:12" x14ac:dyDescent="0.35">
      <c r="A958" t="s">
        <v>164</v>
      </c>
      <c r="E958" s="9" t="str">
        <f t="shared" si="34"/>
        <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ca="1" si="35"/>
        <v/>
      </c>
      <c r="I958" s="13" t="str">
        <f>IF(OR(E958="",E958="!!!",F958="NEW"),"",INDEX(B$2:B957,-1+SUMPRODUCT(MAX(ROW(E$2:E957)*(E958=E$2:E957)))))</f>
        <v/>
      </c>
      <c r="J958" s="14" t="str">
        <f ca="1">IF(OR(E958="",E958="!!!",F958="NEW"),"",COUNTBLANK(OFFSET(A$1,,,SUMPRODUCT(MAX(ROW(E$2:E958)*(E958=E$2:E958)))))-COUNTBLANK(OFFSET(A$1,,,SUMPRODUCT(MAX(ROW(E$1:E957)*(E958=E$1:E957))))))</f>
        <v/>
      </c>
      <c r="K958" s="14" t="str">
        <f>IF(OR(E958="",E958="!!!",F958="NEW"),"",INDEX(J$1:J957,SUMPRODUCT(MAX(ROW(E$1:E957)*(E958=E$1:E957)))))</f>
        <v/>
      </c>
      <c r="L958" s="15"/>
    </row>
    <row r="959" spans="1:12" x14ac:dyDescent="0.35">
      <c r="A959" t="s">
        <v>479</v>
      </c>
      <c r="B959" t="s">
        <v>56</v>
      </c>
      <c r="C959" t="s">
        <v>108</v>
      </c>
      <c r="E959" s="9" t="str">
        <f t="shared" si="34"/>
        <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ca="1" si="35"/>
        <v/>
      </c>
      <c r="I959" s="13" t="str">
        <f>IF(OR(E959="",E959="!!!",F959="NEW"),"",INDEX(B$2:B958,-1+SUMPRODUCT(MAX(ROW(E$2:E958)*(E959=E$2:E958)))))</f>
        <v/>
      </c>
      <c r="J959" s="14" t="str">
        <f ca="1">IF(OR(E959="",E959="!!!",F959="NEW"),"",COUNTBLANK(OFFSET(A$1,,,SUMPRODUCT(MAX(ROW(E$2:E959)*(E959=E$2:E959)))))-COUNTBLANK(OFFSET(A$1,,,SUMPRODUCT(MAX(ROW(E$1:E958)*(E959=E$1:E958))))))</f>
        <v/>
      </c>
      <c r="K959" s="14" t="str">
        <f>IF(OR(E959="",E959="!!!",F959="NEW"),"",INDEX(J$1:J958,SUMPRODUCT(MAX(ROW(E$1:E958)*(E959=E$1:E958)))))</f>
        <v/>
      </c>
      <c r="L959" s="15"/>
    </row>
    <row r="960" spans="1:12" x14ac:dyDescent="0.35">
      <c r="A960" t="s">
        <v>63</v>
      </c>
      <c r="E960" s="9" t="str">
        <f t="shared" si="34"/>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ca="1" si="35"/>
        <v/>
      </c>
      <c r="I960" s="13" t="str">
        <f>IF(OR(E960="",E960="!!!",F960="NEW"),"",INDEX(B$2:B959,-1+SUMPRODUCT(MAX(ROW(E$2:E959)*(E960=E$2:E959)))))</f>
        <v/>
      </c>
      <c r="J960" s="14" t="str">
        <f ca="1">IF(OR(E960="",E960="!!!",F960="NEW"),"",COUNTBLANK(OFFSET(A$1,,,SUMPRODUCT(MAX(ROW(E$2:E960)*(E960=E$2:E960)))))-COUNTBLANK(OFFSET(A$1,,,SUMPRODUCT(MAX(ROW(E$1:E959)*(E960=E$1:E959))))))</f>
        <v/>
      </c>
      <c r="K960" s="14" t="str">
        <f>IF(OR(E960="",E960="!!!",F960="NEW"),"",INDEX(J$1:J959,SUMPRODUCT(MAX(ROW(E$1:E959)*(E960=E$1:E959)))))</f>
        <v/>
      </c>
      <c r="L960" s="15"/>
    </row>
    <row r="961" spans="1:12" x14ac:dyDescent="0.35">
      <c r="E961" s="9" t="str">
        <f t="shared" si="34"/>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ca="1" si="35"/>
        <v/>
      </c>
      <c r="I961" s="13" t="str">
        <f>IF(OR(E961="",E961="!!!",F961="NEW"),"",INDEX(B$2:B960,-1+SUMPRODUCT(MAX(ROW(E$2:E960)*(E961=E$2:E960)))))</f>
        <v/>
      </c>
      <c r="J961" s="14" t="str">
        <f ca="1">IF(OR(E961="",E961="!!!",F961="NEW"),"",COUNTBLANK(OFFSET(A$1,,,SUMPRODUCT(MAX(ROW(E$2:E961)*(E961=E$2:E961)))))-COUNTBLANK(OFFSET(A$1,,,SUMPRODUCT(MAX(ROW(E$1:E960)*(E961=E$1:E960))))))</f>
        <v/>
      </c>
      <c r="K961" s="14" t="str">
        <f>IF(OR(E961="",E961="!!!",F961="NEW"),"",INDEX(J$1:J960,SUMPRODUCT(MAX(ROW(E$1:E960)*(E961=E$1:E960)))))</f>
        <v/>
      </c>
      <c r="L961" s="15"/>
    </row>
    <row r="962" spans="1:12" x14ac:dyDescent="0.35">
      <c r="A962" t="s">
        <v>480</v>
      </c>
      <c r="E962" s="9" t="str">
        <f t="shared" si="34"/>
        <v/>
      </c>
      <c r="F962" s="10" t="str">
        <f>IF(OR(E962="",E962="!!!"),"",IF(NOT(ISNA(VLOOKUP(E962,E$1:E961,1,FALSE()))),"OLD",IF(AND(E962&lt;&gt;"",E962&lt;&gt;"!!!"),"NEW","")))</f>
        <v/>
      </c>
      <c r="G962" s="11" t="str">
        <f>IF(OR(E962="",E962="!!!"),"",IF(OR(J962=0,AND(J962=1,K962=1),AND(J962=1,I962="SBJ"),AND(J962=1,I962=0)),"?IN_FOCUS",IF(J962&lt;=2,"?ACTIVATED",IF(J962&lt;&gt;"","?FAMILIAR",IF(F962="NEW",IF(ISNA(VLOOKUP(E962,#REF!,1,FALSE())),"?TYPE_IDENTIFIABLE","?REFERENTIAL"),"_")))))</f>
        <v/>
      </c>
      <c r="H962" s="12" t="str">
        <f t="shared" ca="1" si="35"/>
        <v/>
      </c>
      <c r="I962" s="13" t="str">
        <f>IF(OR(E962="",E962="!!!",F962="NEW"),"",INDEX(B$2:B961,-1+SUMPRODUCT(MAX(ROW(E$2:E961)*(E962=E$2:E961)))))</f>
        <v/>
      </c>
      <c r="J962" s="14" t="str">
        <f ca="1">IF(OR(E962="",E962="!!!",F962="NEW"),"",COUNTBLANK(OFFSET(A$1,,,SUMPRODUCT(MAX(ROW(E$2:E962)*(E962=E$2:E962)))))-COUNTBLANK(OFFSET(A$1,,,SUMPRODUCT(MAX(ROW(E$1:E961)*(E962=E$1:E961))))))</f>
        <v/>
      </c>
      <c r="K962" s="14" t="str">
        <f>IF(OR(E962="",E962="!!!",F962="NEW"),"",INDEX(J$1:J961,SUMPRODUCT(MAX(ROW(E$1:E961)*(E962=E$1:E961)))))</f>
        <v/>
      </c>
      <c r="L962" s="15"/>
    </row>
    <row r="963" spans="1:12" x14ac:dyDescent="0.35">
      <c r="A963" t="s">
        <v>97</v>
      </c>
      <c r="E963" s="9" t="str">
        <f t="shared" si="34"/>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ca="1" si="35"/>
        <v/>
      </c>
      <c r="I963" s="13" t="str">
        <f>IF(OR(E963="",E963="!!!",F963="NEW"),"",INDEX(B$2:B962,-1+SUMPRODUCT(MAX(ROW(E$2:E962)*(E963=E$2:E962)))))</f>
        <v/>
      </c>
      <c r="J963" s="14" t="str">
        <f ca="1">IF(OR(E963="",E963="!!!",F963="NEW"),"",COUNTBLANK(OFFSET(A$1,,,SUMPRODUCT(MAX(ROW(E$2:E963)*(E963=E$2:E963)))))-COUNTBLANK(OFFSET(A$1,,,SUMPRODUCT(MAX(ROW(E$1:E962)*(E963=E$1:E962))))))</f>
        <v/>
      </c>
      <c r="K963" s="14" t="str">
        <f>IF(OR(E963="",E963="!!!",F963="NEW"),"",INDEX(J$1:J962,SUMPRODUCT(MAX(ROW(E$1:E962)*(E963=E$1:E962)))))</f>
        <v/>
      </c>
      <c r="L963" s="15"/>
    </row>
    <row r="964" spans="1:12" x14ac:dyDescent="0.35">
      <c r="A964" t="s">
        <v>481</v>
      </c>
      <c r="B964" t="s">
        <v>14</v>
      </c>
      <c r="C964" t="s">
        <v>99</v>
      </c>
      <c r="D964" t="s">
        <v>16</v>
      </c>
      <c r="E964" s="9" t="str">
        <f t="shared" si="34"/>
        <v>!!!</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ca="1" si="35"/>
        <v/>
      </c>
      <c r="I964" s="13" t="str">
        <f>IF(OR(E964="",E964="!!!",F964="NEW"),"",INDEX(B$2:B963,-1+SUMPRODUCT(MAX(ROW(E$2:E963)*(E964=E$2:E963)))))</f>
        <v/>
      </c>
      <c r="J964" s="14" t="str">
        <f ca="1">IF(OR(E964="",E964="!!!",F964="NEW"),"",COUNTBLANK(OFFSET(A$1,,,SUMPRODUCT(MAX(ROW(E$2:E964)*(E964=E$2:E964)))))-COUNTBLANK(OFFSET(A$1,,,SUMPRODUCT(MAX(ROW(E$1:E963)*(E964=E$1:E963))))))</f>
        <v/>
      </c>
      <c r="K964" s="14" t="str">
        <f>IF(OR(E964="",E964="!!!",F964="NEW"),"",INDEX(J$1:J963,SUMPRODUCT(MAX(ROW(E$1:E963)*(E964=E$1:E963)))))</f>
        <v/>
      </c>
      <c r="L964" s="15"/>
    </row>
    <row r="965" spans="1:12" x14ac:dyDescent="0.35">
      <c r="A965" t="s">
        <v>213</v>
      </c>
      <c r="E965" s="9" t="str">
        <f t="shared" si="34"/>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ca="1" si="35"/>
        <v/>
      </c>
      <c r="I965" s="13" t="str">
        <f>IF(OR(E965="",E965="!!!",F965="NEW"),"",INDEX(B$2:B964,-1+SUMPRODUCT(MAX(ROW(E$2:E964)*(E965=E$2:E964)))))</f>
        <v/>
      </c>
      <c r="J965" s="14" t="str">
        <f ca="1">IF(OR(E965="",E965="!!!",F965="NEW"),"",COUNTBLANK(OFFSET(A$1,,,SUMPRODUCT(MAX(ROW(E$2:E965)*(E965=E$2:E965)))))-COUNTBLANK(OFFSET(A$1,,,SUMPRODUCT(MAX(ROW(E$1:E964)*(E965=E$1:E964))))))</f>
        <v/>
      </c>
      <c r="K965" s="14" t="str">
        <f>IF(OR(E965="",E965="!!!",F965="NEW"),"",INDEX(J$1:J964,SUMPRODUCT(MAX(ROW(E$1:E964)*(E965=E$1:E964)))))</f>
        <v/>
      </c>
      <c r="L965" s="15"/>
    </row>
    <row r="966" spans="1:12" x14ac:dyDescent="0.35">
      <c r="A966" t="s">
        <v>331</v>
      </c>
      <c r="E966" s="9" t="str">
        <f t="shared" si="34"/>
        <v/>
      </c>
      <c r="F966" s="10" t="str">
        <f>IF(OR(E966="",E966="!!!"),"",IF(NOT(ISNA(VLOOKUP(E966,E$1:E965,1,FALSE()))),"OLD",IF(AND(E966&lt;&gt;"",E966&lt;&gt;"!!!"),"NEW","")))</f>
        <v/>
      </c>
      <c r="G966" s="11" t="str">
        <f>IF(OR(E966="",E966="!!!"),"",IF(OR(J966=0,AND(J966=1,K966=1),AND(J966=1,I966="SBJ"),AND(J966=1,I966=0)),"?IN_FOCUS",IF(J966&lt;=2,"?ACTIVATED",IF(J966&lt;&gt;"","?FAMILIAR",IF(F966="NEW",IF(ISNA(VLOOKUP(E966,#REF!,1,FALSE())),"?TYPE_IDENTIFIABLE","?REFERENTIAL"),"_")))))</f>
        <v/>
      </c>
      <c r="H966" s="12" t="str">
        <f t="shared" ca="1" si="35"/>
        <v/>
      </c>
      <c r="I966" s="13" t="str">
        <f>IF(OR(E966="",E966="!!!",F966="NEW"),"",INDEX(B$2:B965,-1+SUMPRODUCT(MAX(ROW(E$2:E965)*(E966=E$2:E965)))))</f>
        <v/>
      </c>
      <c r="J966" s="14" t="str">
        <f ca="1">IF(OR(E966="",E966="!!!",F966="NEW"),"",COUNTBLANK(OFFSET(A$1,,,SUMPRODUCT(MAX(ROW(E$2:E966)*(E966=E$2:E966)))))-COUNTBLANK(OFFSET(A$1,,,SUMPRODUCT(MAX(ROW(E$1:E965)*(E966=E$1:E965))))))</f>
        <v/>
      </c>
      <c r="K966" s="14" t="str">
        <f>IF(OR(E966="",E966="!!!",F966="NEW"),"",INDEX(J$1:J965,SUMPRODUCT(MAX(ROW(E$1:E965)*(E966=E$1:E965)))))</f>
        <v/>
      </c>
      <c r="L966" s="15"/>
    </row>
    <row r="967" spans="1:12" x14ac:dyDescent="0.35">
      <c r="A967" t="s">
        <v>58</v>
      </c>
      <c r="E967" s="9" t="str">
        <f t="shared" si="34"/>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ca="1" si="35"/>
        <v/>
      </c>
      <c r="I967" s="13" t="str">
        <f>IF(OR(E967="",E967="!!!",F967="NEW"),"",INDEX(B$2:B966,-1+SUMPRODUCT(MAX(ROW(E$2:E966)*(E967=E$2:E966)))))</f>
        <v/>
      </c>
      <c r="J967" s="14" t="str">
        <f ca="1">IF(OR(E967="",E967="!!!",F967="NEW"),"",COUNTBLANK(OFFSET(A$1,,,SUMPRODUCT(MAX(ROW(E$2:E967)*(E967=E$2:E967)))))-COUNTBLANK(OFFSET(A$1,,,SUMPRODUCT(MAX(ROW(E$1:E966)*(E967=E$1:E966))))))</f>
        <v/>
      </c>
      <c r="K967" s="14" t="str">
        <f>IF(OR(E967="",E967="!!!",F967="NEW"),"",INDEX(J$1:J966,SUMPRODUCT(MAX(ROW(E$1:E966)*(E967=E$1:E966)))))</f>
        <v/>
      </c>
      <c r="L967" s="15"/>
    </row>
    <row r="968" spans="1:12" x14ac:dyDescent="0.35">
      <c r="A968" t="s">
        <v>409</v>
      </c>
      <c r="B968" t="s">
        <v>54</v>
      </c>
      <c r="C968" t="s">
        <v>99</v>
      </c>
      <c r="D968" t="s">
        <v>16</v>
      </c>
      <c r="E968" s="9" t="str">
        <f t="shared" si="34"/>
        <v>!!!</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ca="1" si="35"/>
        <v/>
      </c>
      <c r="I968" s="13" t="str">
        <f>IF(OR(E968="",E968="!!!",F968="NEW"),"",INDEX(B$2:B967,-1+SUMPRODUCT(MAX(ROW(E$2:E967)*(E968=E$2:E967)))))</f>
        <v/>
      </c>
      <c r="J968" s="14" t="str">
        <f ca="1">IF(OR(E968="",E968="!!!",F968="NEW"),"",COUNTBLANK(OFFSET(A$1,,,SUMPRODUCT(MAX(ROW(E$2:E968)*(E968=E$2:E968)))))-COUNTBLANK(OFFSET(A$1,,,SUMPRODUCT(MAX(ROW(E$1:E967)*(E968=E$1:E967))))))</f>
        <v/>
      </c>
      <c r="K968" s="14" t="str">
        <f>IF(OR(E968="",E968="!!!",F968="NEW"),"",INDEX(J$1:J967,SUMPRODUCT(MAX(ROW(E$1:E967)*(E968=E$1:E967)))))</f>
        <v/>
      </c>
      <c r="L968" s="15"/>
    </row>
    <row r="969" spans="1:12" x14ac:dyDescent="0.35">
      <c r="A969" t="s">
        <v>169</v>
      </c>
      <c r="E969" s="9" t="str">
        <f t="shared" si="34"/>
        <v/>
      </c>
      <c r="F969" s="10" t="str">
        <f>IF(OR(E969="",E969="!!!"),"",IF(NOT(ISNA(VLOOKUP(E969,E$1:E968,1,FALSE()))),"OLD",IF(AND(E969&lt;&gt;"",E969&lt;&gt;"!!!"),"NEW","")))</f>
        <v/>
      </c>
      <c r="G969" s="11" t="str">
        <f>IF(OR(E969="",E969="!!!"),"",IF(OR(J969=0,AND(J969=1,K969=1),AND(J969=1,I969="SBJ"),AND(J969=1,I969=0)),"?IN_FOCUS",IF(J969&lt;=2,"?ACTIVATED",IF(J969&lt;&gt;"","?FAMILIAR",IF(F969="NEW",IF(ISNA(VLOOKUP(E969,#REF!,1,FALSE())),"?TYPE_IDENTIFIABLE","?REFERENTIAL"),"_")))))</f>
        <v/>
      </c>
      <c r="H969" s="12" t="str">
        <f t="shared" ca="1" si="35"/>
        <v/>
      </c>
      <c r="I969" s="13" t="str">
        <f>IF(OR(E969="",E969="!!!",F969="NEW"),"",INDEX(B$2:B968,-1+SUMPRODUCT(MAX(ROW(E$2:E968)*(E969=E$2:E968)))))</f>
        <v/>
      </c>
      <c r="J969" s="14" t="str">
        <f ca="1">IF(OR(E969="",E969="!!!",F969="NEW"),"",COUNTBLANK(OFFSET(A$1,,,SUMPRODUCT(MAX(ROW(E$2:E969)*(E969=E$2:E969)))))-COUNTBLANK(OFFSET(A$1,,,SUMPRODUCT(MAX(ROW(E$1:E968)*(E969=E$1:E968))))))</f>
        <v/>
      </c>
      <c r="K969" s="14" t="str">
        <f>IF(OR(E969="",E969="!!!",F969="NEW"),"",INDEX(J$1:J968,SUMPRODUCT(MAX(ROW(E$1:E968)*(E969=E$1:E968)))))</f>
        <v/>
      </c>
      <c r="L969" s="15"/>
    </row>
    <row r="970" spans="1:12" x14ac:dyDescent="0.35">
      <c r="A970" t="s">
        <v>58</v>
      </c>
      <c r="E970" s="9" t="str">
        <f t="shared" si="34"/>
        <v/>
      </c>
      <c r="F970" s="10" t="str">
        <f>IF(OR(E970="",E970="!!!"),"",IF(NOT(ISNA(VLOOKUP(E970,E$1:E969,1,FALSE()))),"OLD",IF(AND(E970&lt;&gt;"",E970&lt;&gt;"!!!"),"NEW","")))</f>
        <v/>
      </c>
      <c r="G970" s="11" t="str">
        <f>IF(OR(E970="",E970="!!!"),"",IF(OR(J970=0,AND(J970=1,K970=1),AND(J970=1,I970="SBJ"),AND(J970=1,I970=0)),"?IN_FOCUS",IF(J970&lt;=2,"?ACTIVATED",IF(J970&lt;&gt;"","?FAMILIAR",IF(F970="NEW",IF(ISNA(VLOOKUP(E970,#REF!,1,FALSE())),"?TYPE_IDENTIFIABLE","?REFERENTIAL"),"_")))))</f>
        <v/>
      </c>
      <c r="H970" s="12" t="str">
        <f t="shared" ca="1" si="35"/>
        <v/>
      </c>
      <c r="I970" s="13" t="str">
        <f>IF(OR(E970="",E970="!!!",F970="NEW"),"",INDEX(B$2:B969,-1+SUMPRODUCT(MAX(ROW(E$2:E969)*(E970=E$2:E969)))))</f>
        <v/>
      </c>
      <c r="J970" s="14" t="str">
        <f ca="1">IF(OR(E970="",E970="!!!",F970="NEW"),"",COUNTBLANK(OFFSET(A$1,,,SUMPRODUCT(MAX(ROW(E$2:E970)*(E970=E$2:E970)))))-COUNTBLANK(OFFSET(A$1,,,SUMPRODUCT(MAX(ROW(E$1:E969)*(E970=E$1:E969))))))</f>
        <v/>
      </c>
      <c r="K970" s="14" t="str">
        <f>IF(OR(E970="",E970="!!!",F970="NEW"),"",INDEX(J$1:J969,SUMPRODUCT(MAX(ROW(E$1:E969)*(E970=E$1:E969)))))</f>
        <v/>
      </c>
      <c r="L970" s="15"/>
    </row>
    <row r="971" spans="1:12" x14ac:dyDescent="0.35">
      <c r="A971" t="s">
        <v>54</v>
      </c>
      <c r="E971" s="9" t="str">
        <f t="shared" si="34"/>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ca="1" si="35"/>
        <v/>
      </c>
      <c r="I971" s="13" t="str">
        <f>IF(OR(E971="",E971="!!!",F971="NEW"),"",INDEX(B$2:B970,-1+SUMPRODUCT(MAX(ROW(E$2:E970)*(E971=E$2:E970)))))</f>
        <v/>
      </c>
      <c r="J971" s="14" t="str">
        <f ca="1">IF(OR(E971="",E971="!!!",F971="NEW"),"",COUNTBLANK(OFFSET(A$1,,,SUMPRODUCT(MAX(ROW(E$2:E971)*(E971=E$2:E971)))))-COUNTBLANK(OFFSET(A$1,,,SUMPRODUCT(MAX(ROW(E$1:E970)*(E971=E$1:E970))))))</f>
        <v/>
      </c>
      <c r="K971" s="14" t="str">
        <f>IF(OR(E971="",E971="!!!",F971="NEW"),"",INDEX(J$1:J970,SUMPRODUCT(MAX(ROW(E$1:E970)*(E971=E$1:E970)))))</f>
        <v/>
      </c>
      <c r="L971" s="15"/>
    </row>
    <row r="972" spans="1:12" x14ac:dyDescent="0.35">
      <c r="A972" t="s">
        <v>171</v>
      </c>
      <c r="B972" t="s">
        <v>24</v>
      </c>
      <c r="C972" t="s">
        <v>482</v>
      </c>
      <c r="D972" t="s">
        <v>16</v>
      </c>
      <c r="E972" s="9" t="str">
        <f t="shared" si="34"/>
        <v>!!!</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ca="1" si="35"/>
        <v/>
      </c>
      <c r="I972" s="13" t="str">
        <f>IF(OR(E972="",E972="!!!",F972="NEW"),"",INDEX(B$2:B971,-1+SUMPRODUCT(MAX(ROW(E$2:E971)*(E972=E$2:E971)))))</f>
        <v/>
      </c>
      <c r="J972" s="14" t="str">
        <f ca="1">IF(OR(E972="",E972="!!!",F972="NEW"),"",COUNTBLANK(OFFSET(A$1,,,SUMPRODUCT(MAX(ROW(E$2:E972)*(E972=E$2:E972)))))-COUNTBLANK(OFFSET(A$1,,,SUMPRODUCT(MAX(ROW(E$1:E971)*(E972=E$1:E971))))))</f>
        <v/>
      </c>
      <c r="K972" s="14" t="str">
        <f>IF(OR(E972="",E972="!!!",F972="NEW"),"",INDEX(J$1:J971,SUMPRODUCT(MAX(ROW(E$1:E971)*(E972=E$1:E971)))))</f>
        <v/>
      </c>
      <c r="L972" s="15"/>
    </row>
    <row r="973" spans="1:12" x14ac:dyDescent="0.35">
      <c r="A973" t="s">
        <v>17</v>
      </c>
      <c r="E973" s="9" t="str">
        <f t="shared" si="34"/>
        <v/>
      </c>
      <c r="F973" s="10" t="str">
        <f>IF(OR(E973="",E973="!!!"),"",IF(NOT(ISNA(VLOOKUP(E973,E$1:E972,1,FALSE()))),"OLD",IF(AND(E973&lt;&gt;"",E973&lt;&gt;"!!!"),"NEW","")))</f>
        <v/>
      </c>
      <c r="G973" s="11" t="str">
        <f>IF(OR(E973="",E973="!!!"),"",IF(OR(J973=0,AND(J973=1,K973=1),AND(J973=1,I973="SBJ"),AND(J973=1,I973=0)),"?IN_FOCUS",IF(J973&lt;=2,"?ACTIVATED",IF(J973&lt;&gt;"","?FAMILIAR",IF(F973="NEW",IF(ISNA(VLOOKUP(E973,#REF!,1,FALSE())),"?TYPE_IDENTIFIABLE","?REFERENTIAL"),"_")))))</f>
        <v/>
      </c>
      <c r="H973" s="12" t="str">
        <f t="shared" ca="1" si="35"/>
        <v/>
      </c>
      <c r="I973" s="13" t="str">
        <f>IF(OR(E973="",E973="!!!",F973="NEW"),"",INDEX(B$2:B972,-1+SUMPRODUCT(MAX(ROW(E$2:E972)*(E973=E$2:E972)))))</f>
        <v/>
      </c>
      <c r="J973" s="14" t="str">
        <f ca="1">IF(OR(E973="",E973="!!!",F973="NEW"),"",COUNTBLANK(OFFSET(A$1,,,SUMPRODUCT(MAX(ROW(E$2:E973)*(E973=E$2:E973)))))-COUNTBLANK(OFFSET(A$1,,,SUMPRODUCT(MAX(ROW(E$1:E972)*(E973=E$1:E972))))))</f>
        <v/>
      </c>
      <c r="K973" s="14" t="str">
        <f>IF(OR(E973="",E973="!!!",F973="NEW"),"",INDEX(J$1:J972,SUMPRODUCT(MAX(ROW(E$1:E972)*(E973=E$1:E972)))))</f>
        <v/>
      </c>
      <c r="L973" s="15"/>
    </row>
    <row r="974" spans="1:12" x14ac:dyDescent="0.35">
      <c r="A974" t="s">
        <v>58</v>
      </c>
      <c r="E974" s="9" t="str">
        <f t="shared" si="34"/>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ca="1" si="35"/>
        <v/>
      </c>
      <c r="I974" s="13" t="str">
        <f>IF(OR(E974="",E974="!!!",F974="NEW"),"",INDEX(B$2:B973,-1+SUMPRODUCT(MAX(ROW(E$2:E973)*(E974=E$2:E973)))))</f>
        <v/>
      </c>
      <c r="J974" s="14" t="str">
        <f ca="1">IF(OR(E974="",E974="!!!",F974="NEW"),"",COUNTBLANK(OFFSET(A$1,,,SUMPRODUCT(MAX(ROW(E$2:E974)*(E974=E$2:E974)))))-COUNTBLANK(OFFSET(A$1,,,SUMPRODUCT(MAX(ROW(E$1:E973)*(E974=E$1:E973))))))</f>
        <v/>
      </c>
      <c r="K974" s="14" t="str">
        <f>IF(OR(E974="",E974="!!!",F974="NEW"),"",INDEX(J$1:J973,SUMPRODUCT(MAX(ROW(E$1:E973)*(E974=E$1:E973)))))</f>
        <v/>
      </c>
      <c r="L974" s="15"/>
    </row>
    <row r="975" spans="1:12" x14ac:dyDescent="0.35">
      <c r="A975" t="s">
        <v>413</v>
      </c>
      <c r="B975" t="s">
        <v>20</v>
      </c>
      <c r="C975" t="s">
        <v>99</v>
      </c>
      <c r="D975" t="s">
        <v>16</v>
      </c>
      <c r="E975" s="9" t="str">
        <f t="shared" si="34"/>
        <v>!!!</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ca="1" si="35"/>
        <v/>
      </c>
      <c r="I975" s="13" t="str">
        <f>IF(OR(E975="",E975="!!!",F975="NEW"),"",INDEX(B$2:B974,-1+SUMPRODUCT(MAX(ROW(E$2:E974)*(E975=E$2:E974)))))</f>
        <v/>
      </c>
      <c r="J975" s="14" t="str">
        <f ca="1">IF(OR(E975="",E975="!!!",F975="NEW"),"",COUNTBLANK(OFFSET(A$1,,,SUMPRODUCT(MAX(ROW(E$2:E975)*(E975=E$2:E975)))))-COUNTBLANK(OFFSET(A$1,,,SUMPRODUCT(MAX(ROW(E$1:E974)*(E975=E$1:E974))))))</f>
        <v/>
      </c>
      <c r="K975" s="14" t="str">
        <f>IF(OR(E975="",E975="!!!",F975="NEW"),"",INDEX(J$1:J974,SUMPRODUCT(MAX(ROW(E$1:E974)*(E975=E$1:E974)))))</f>
        <v/>
      </c>
      <c r="L975" s="15"/>
    </row>
    <row r="976" spans="1:12" x14ac:dyDescent="0.35">
      <c r="A976" t="s">
        <v>114</v>
      </c>
      <c r="E976" s="9" t="str">
        <f t="shared" si="34"/>
        <v/>
      </c>
      <c r="F976" s="10" t="str">
        <f>IF(OR(E976="",E976="!!!"),"",IF(NOT(ISNA(VLOOKUP(E976,E$1:E975,1,FALSE()))),"OLD",IF(AND(E976&lt;&gt;"",E976&lt;&gt;"!!!"),"NEW","")))</f>
        <v/>
      </c>
      <c r="G976" s="11" t="str">
        <f>IF(OR(E976="",E976="!!!"),"",IF(OR(J976=0,AND(J976=1,K976=1),AND(J976=1,I976="SBJ"),AND(J976=1,I976=0)),"?IN_FOCUS",IF(J976&lt;=2,"?ACTIVATED",IF(J976&lt;&gt;"","?FAMILIAR",IF(F976="NEW",IF(ISNA(VLOOKUP(E976,#REF!,1,FALSE())),"?TYPE_IDENTIFIABLE","?REFERENTIAL"),"_")))))</f>
        <v/>
      </c>
      <c r="H976" s="12" t="str">
        <f t="shared" ca="1" si="35"/>
        <v/>
      </c>
      <c r="I976" s="13" t="str">
        <f>IF(OR(E976="",E976="!!!",F976="NEW"),"",INDEX(B$2:B975,-1+SUMPRODUCT(MAX(ROW(E$2:E975)*(E976=E$2:E975)))))</f>
        <v/>
      </c>
      <c r="J976" s="14" t="str">
        <f ca="1">IF(OR(E976="",E976="!!!",F976="NEW"),"",COUNTBLANK(OFFSET(A$1,,,SUMPRODUCT(MAX(ROW(E$2:E976)*(E976=E$2:E976)))))-COUNTBLANK(OFFSET(A$1,,,SUMPRODUCT(MAX(ROW(E$1:E975)*(E976=E$1:E975))))))</f>
        <v/>
      </c>
      <c r="K976" s="14" t="str">
        <f>IF(OR(E976="",E976="!!!",F976="NEW"),"",INDEX(J$1:J975,SUMPRODUCT(MAX(ROW(E$1:E975)*(E976=E$1:E975)))))</f>
        <v/>
      </c>
      <c r="L976" s="15"/>
    </row>
    <row r="977" spans="1:12" x14ac:dyDescent="0.35">
      <c r="A977" t="s">
        <v>73</v>
      </c>
      <c r="E977" s="9" t="str">
        <f t="shared" si="34"/>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ca="1" si="35"/>
        <v/>
      </c>
      <c r="I977" s="13" t="str">
        <f>IF(OR(E977="",E977="!!!",F977="NEW"),"",INDEX(B$2:B976,-1+SUMPRODUCT(MAX(ROW(E$2:E976)*(E977=E$2:E976)))))</f>
        <v/>
      </c>
      <c r="J977" s="14" t="str">
        <f ca="1">IF(OR(E977="",E977="!!!",F977="NEW"),"",COUNTBLANK(OFFSET(A$1,,,SUMPRODUCT(MAX(ROW(E$2:E977)*(E977=E$2:E977)))))-COUNTBLANK(OFFSET(A$1,,,SUMPRODUCT(MAX(ROW(E$1:E976)*(E977=E$1:E976))))))</f>
        <v/>
      </c>
      <c r="K977" s="14" t="str">
        <f>IF(OR(E977="",E977="!!!",F977="NEW"),"",INDEX(J$1:J976,SUMPRODUCT(MAX(ROW(E$1:E976)*(E977=E$1:E976)))))</f>
        <v/>
      </c>
      <c r="L977" s="15"/>
    </row>
    <row r="978" spans="1:12" x14ac:dyDescent="0.35">
      <c r="A978" t="s">
        <v>110</v>
      </c>
      <c r="B978" t="s">
        <v>36</v>
      </c>
      <c r="C978" t="s">
        <v>33</v>
      </c>
      <c r="D978" t="s">
        <v>16</v>
      </c>
      <c r="E978" s="9" t="str">
        <f t="shared" si="34"/>
        <v>!!!</v>
      </c>
      <c r="F978" s="10" t="str">
        <f>IF(OR(E978="",E978="!!!"),"",IF(NOT(ISNA(VLOOKUP(E978,E$1:E977,1,FALSE()))),"OLD",IF(AND(E978&lt;&gt;"",E978&lt;&gt;"!!!"),"NEW","")))</f>
        <v/>
      </c>
      <c r="G978" s="11" t="str">
        <f>IF(OR(E978="",E978="!!!"),"",IF(OR(J978=0,AND(J978=1,K978=1),AND(J978=1,I978="SBJ"),AND(J978=1,I978=0)),"?IN_FOCUS",IF(J978&lt;=2,"?ACTIVATED",IF(J978&lt;&gt;"","?FAMILIAR",IF(F978="NEW",IF(ISNA(VLOOKUP(E978,#REF!,1,FALSE())),"?TYPE_IDENTIFIABLE","?REFERENTIAL"),"_")))))</f>
        <v/>
      </c>
      <c r="H978" s="12" t="str">
        <f t="shared" ca="1" si="35"/>
        <v/>
      </c>
      <c r="I978" s="13" t="str">
        <f>IF(OR(E978="",E978="!!!",F978="NEW"),"",INDEX(B$2:B977,-1+SUMPRODUCT(MAX(ROW(E$2:E977)*(E978=E$2:E977)))))</f>
        <v/>
      </c>
      <c r="J978" s="14" t="str">
        <f ca="1">IF(OR(E978="",E978="!!!",F978="NEW"),"",COUNTBLANK(OFFSET(A$1,,,SUMPRODUCT(MAX(ROW(E$2:E978)*(E978=E$2:E978)))))-COUNTBLANK(OFFSET(A$1,,,SUMPRODUCT(MAX(ROW(E$1:E977)*(E978=E$1:E977))))))</f>
        <v/>
      </c>
      <c r="K978" s="14" t="str">
        <f>IF(OR(E978="",E978="!!!",F978="NEW"),"",INDEX(J$1:J977,SUMPRODUCT(MAX(ROW(E$1:E977)*(E978=E$1:E977)))))</f>
        <v/>
      </c>
      <c r="L978" s="15"/>
    </row>
    <row r="979" spans="1:12" x14ac:dyDescent="0.35">
      <c r="A979" t="s">
        <v>483</v>
      </c>
      <c r="E979" s="9" t="str">
        <f t="shared" si="34"/>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ca="1" si="35"/>
        <v/>
      </c>
      <c r="I979" s="13" t="str">
        <f>IF(OR(E979="",E979="!!!",F979="NEW"),"",INDEX(B$2:B978,-1+SUMPRODUCT(MAX(ROW(E$2:E978)*(E979=E$2:E978)))))</f>
        <v/>
      </c>
      <c r="J979" s="14" t="str">
        <f ca="1">IF(OR(E979="",E979="!!!",F979="NEW"),"",COUNTBLANK(OFFSET(A$1,,,SUMPRODUCT(MAX(ROW(E$2:E979)*(E979=E$2:E979)))))-COUNTBLANK(OFFSET(A$1,,,SUMPRODUCT(MAX(ROW(E$1:E978)*(E979=E$1:E978))))))</f>
        <v/>
      </c>
      <c r="K979" s="14" t="str">
        <f>IF(OR(E979="",E979="!!!",F979="NEW"),"",INDEX(J$1:J978,SUMPRODUCT(MAX(ROW(E$1:E978)*(E979=E$1:E978)))))</f>
        <v/>
      </c>
      <c r="L979" s="15"/>
    </row>
    <row r="980" spans="1:12" x14ac:dyDescent="0.35">
      <c r="A980" t="s">
        <v>63</v>
      </c>
      <c r="E980" s="9" t="str">
        <f t="shared" si="34"/>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ca="1" si="35"/>
        <v/>
      </c>
      <c r="I980" s="13" t="str">
        <f>IF(OR(E980="",E980="!!!",F980="NEW"),"",INDEX(B$2:B979,-1+SUMPRODUCT(MAX(ROW(E$2:E979)*(E980=E$2:E979)))))</f>
        <v/>
      </c>
      <c r="J980" s="14" t="str">
        <f ca="1">IF(OR(E980="",E980="!!!",F980="NEW"),"",COUNTBLANK(OFFSET(A$1,,,SUMPRODUCT(MAX(ROW(E$2:E980)*(E980=E$2:E980)))))-COUNTBLANK(OFFSET(A$1,,,SUMPRODUCT(MAX(ROW(E$1:E979)*(E980=E$1:E979))))))</f>
        <v/>
      </c>
      <c r="K980" s="14" t="str">
        <f>IF(OR(E980="",E980="!!!",F980="NEW"),"",INDEX(J$1:J979,SUMPRODUCT(MAX(ROW(E$1:E979)*(E980=E$1:E979)))))</f>
        <v/>
      </c>
      <c r="L980" s="15"/>
    </row>
    <row r="981" spans="1:12" x14ac:dyDescent="0.35">
      <c r="E981" s="9" t="str">
        <f t="shared" si="34"/>
        <v/>
      </c>
      <c r="F981" s="10" t="str">
        <f>IF(OR(E981="",E981="!!!"),"",IF(NOT(ISNA(VLOOKUP(E981,E$1:E980,1,FALSE()))),"OLD",IF(AND(E981&lt;&gt;"",E981&lt;&gt;"!!!"),"NEW","")))</f>
        <v/>
      </c>
      <c r="G981" s="11" t="str">
        <f>IF(OR(E981="",E981="!!!"),"",IF(OR(J981=0,AND(J981=1,K981=1),AND(J981=1,I981="SBJ"),AND(J981=1,I981=0)),"?IN_FOCUS",IF(J981&lt;=2,"?ACTIVATED",IF(J981&lt;&gt;"","?FAMILIAR",IF(F981="NEW",IF(ISNA(VLOOKUP(E981,#REF!,1,FALSE())),"?TYPE_IDENTIFIABLE","?REFERENTIAL"),"_")))))</f>
        <v/>
      </c>
      <c r="H981" s="12" t="str">
        <f t="shared" ca="1" si="35"/>
        <v/>
      </c>
      <c r="I981" s="13" t="str">
        <f>IF(OR(E981="",E981="!!!",F981="NEW"),"",INDEX(B$2:B980,-1+SUMPRODUCT(MAX(ROW(E$2:E980)*(E981=E$2:E980)))))</f>
        <v/>
      </c>
      <c r="J981" s="14" t="str">
        <f ca="1">IF(OR(E981="",E981="!!!",F981="NEW"),"",COUNTBLANK(OFFSET(A$1,,,SUMPRODUCT(MAX(ROW(E$2:E981)*(E981=E$2:E981)))))-COUNTBLANK(OFFSET(A$1,,,SUMPRODUCT(MAX(ROW(E$1:E980)*(E981=E$1:E980))))))</f>
        <v/>
      </c>
      <c r="K981" s="14" t="str">
        <f>IF(OR(E981="",E981="!!!",F981="NEW"),"",INDEX(J$1:J980,SUMPRODUCT(MAX(ROW(E$1:E980)*(E981=E$1:E980)))))</f>
        <v/>
      </c>
      <c r="L981" s="15"/>
    </row>
    <row r="982" spans="1:12" x14ac:dyDescent="0.35">
      <c r="A982" t="s">
        <v>484</v>
      </c>
      <c r="E982" s="9" t="str">
        <f t="shared" si="34"/>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ca="1" si="35"/>
        <v/>
      </c>
      <c r="I982" s="13" t="str">
        <f>IF(OR(E982="",E982="!!!",F982="NEW"),"",INDEX(B$2:B981,-1+SUMPRODUCT(MAX(ROW(E$2:E981)*(E982=E$2:E981)))))</f>
        <v/>
      </c>
      <c r="J982" s="14" t="str">
        <f ca="1">IF(OR(E982="",E982="!!!",F982="NEW"),"",COUNTBLANK(OFFSET(A$1,,,SUMPRODUCT(MAX(ROW(E$2:E982)*(E982=E$2:E982)))))-COUNTBLANK(OFFSET(A$1,,,SUMPRODUCT(MAX(ROW(E$1:E981)*(E982=E$1:E981))))))</f>
        <v/>
      </c>
      <c r="K982" s="14" t="str">
        <f>IF(OR(E982="",E982="!!!",F982="NEW"),"",INDEX(J$1:J981,SUMPRODUCT(MAX(ROW(E$1:E981)*(E982=E$1:E981)))))</f>
        <v/>
      </c>
      <c r="L982" s="15"/>
    </row>
    <row r="983" spans="1:12" x14ac:dyDescent="0.35">
      <c r="A983" t="s">
        <v>485</v>
      </c>
      <c r="E983" s="9" t="str">
        <f t="shared" si="34"/>
        <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ca="1" si="35"/>
        <v/>
      </c>
      <c r="I983" s="13" t="str">
        <f>IF(OR(E983="",E983="!!!",F983="NEW"),"",INDEX(B$2:B982,-1+SUMPRODUCT(MAX(ROW(E$2:E982)*(E983=E$2:E982)))))</f>
        <v/>
      </c>
      <c r="J983" s="14" t="str">
        <f ca="1">IF(OR(E983="",E983="!!!",F983="NEW"),"",COUNTBLANK(OFFSET(A$1,,,SUMPRODUCT(MAX(ROW(E$2:E983)*(E983=E$2:E983)))))-COUNTBLANK(OFFSET(A$1,,,SUMPRODUCT(MAX(ROW(E$1:E982)*(E983=E$1:E982))))))</f>
        <v/>
      </c>
      <c r="K983" s="14" t="str">
        <f>IF(OR(E983="",E983="!!!",F983="NEW"),"",INDEX(J$1:J982,SUMPRODUCT(MAX(ROW(E$1:E982)*(E983=E$1:E982)))))</f>
        <v/>
      </c>
      <c r="L983" s="15"/>
    </row>
    <row r="984" spans="1:12" x14ac:dyDescent="0.35">
      <c r="A984" t="s">
        <v>310</v>
      </c>
      <c r="E984" s="9" t="str">
        <f t="shared" si="34"/>
        <v/>
      </c>
      <c r="F984" s="10" t="str">
        <f>IF(OR(E984="",E984="!!!"),"",IF(NOT(ISNA(VLOOKUP(E984,E$1:E983,1,FALSE()))),"OLD",IF(AND(E984&lt;&gt;"",E984&lt;&gt;"!!!"),"NEW","")))</f>
        <v/>
      </c>
      <c r="G984" s="11" t="str">
        <f>IF(OR(E984="",E984="!!!"),"",IF(OR(J984=0,AND(J984=1,K984=1),AND(J984=1,I984="SBJ"),AND(J984=1,I984=0)),"?IN_FOCUS",IF(J984&lt;=2,"?ACTIVATED",IF(J984&lt;&gt;"","?FAMILIAR",IF(F984="NEW",IF(ISNA(VLOOKUP(E984,#REF!,1,FALSE())),"?TYPE_IDENTIFIABLE","?REFERENTIAL"),"_")))))</f>
        <v/>
      </c>
      <c r="H984" s="12" t="str">
        <f t="shared" ca="1" si="35"/>
        <v/>
      </c>
      <c r="I984" s="13" t="str">
        <f>IF(OR(E984="",E984="!!!",F984="NEW"),"",INDEX(B$2:B983,-1+SUMPRODUCT(MAX(ROW(E$2:E983)*(E984=E$2:E983)))))</f>
        <v/>
      </c>
      <c r="J984" s="14" t="str">
        <f ca="1">IF(OR(E984="",E984="!!!",F984="NEW"),"",COUNTBLANK(OFFSET(A$1,,,SUMPRODUCT(MAX(ROW(E$2:E984)*(E984=E$2:E984)))))-COUNTBLANK(OFFSET(A$1,,,SUMPRODUCT(MAX(ROW(E$1:E983)*(E984=E$1:E983))))))</f>
        <v/>
      </c>
      <c r="K984" s="14" t="str">
        <f>IF(OR(E984="",E984="!!!",F984="NEW"),"",INDEX(J$1:J983,SUMPRODUCT(MAX(ROW(E$1:E983)*(E984=E$1:E983)))))</f>
        <v/>
      </c>
      <c r="L984" s="15"/>
    </row>
    <row r="985" spans="1:12" x14ac:dyDescent="0.35">
      <c r="A985" t="s">
        <v>26</v>
      </c>
      <c r="E985" s="9" t="str">
        <f t="shared" si="34"/>
        <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ca="1" si="35"/>
        <v/>
      </c>
      <c r="I985" s="13" t="str">
        <f>IF(OR(E985="",E985="!!!",F985="NEW"),"",INDEX(B$2:B984,-1+SUMPRODUCT(MAX(ROW(E$2:E984)*(E985=E$2:E984)))))</f>
        <v/>
      </c>
      <c r="J985" s="14" t="str">
        <f ca="1">IF(OR(E985="",E985="!!!",F985="NEW"),"",COUNTBLANK(OFFSET(A$1,,,SUMPRODUCT(MAX(ROW(E$2:E985)*(E985=E$2:E985)))))-COUNTBLANK(OFFSET(A$1,,,SUMPRODUCT(MAX(ROW(E$1:E984)*(E985=E$1:E984))))))</f>
        <v/>
      </c>
      <c r="K985" s="14" t="str">
        <f>IF(OR(E985="",E985="!!!",F985="NEW"),"",INDEX(J$1:J984,SUMPRODUCT(MAX(ROW(E$1:E984)*(E985=E$1:E984)))))</f>
        <v/>
      </c>
      <c r="L985" s="15"/>
    </row>
    <row r="986" spans="1:12" x14ac:dyDescent="0.35">
      <c r="A986" t="s">
        <v>110</v>
      </c>
      <c r="B986" t="s">
        <v>14</v>
      </c>
      <c r="C986" t="s">
        <v>33</v>
      </c>
      <c r="D986" t="s">
        <v>16</v>
      </c>
      <c r="E986" s="9" t="str">
        <f t="shared" si="34"/>
        <v>!!!</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ca="1" si="35"/>
        <v/>
      </c>
      <c r="I986" s="13" t="str">
        <f>IF(OR(E986="",E986="!!!",F986="NEW"),"",INDEX(B$2:B985,-1+SUMPRODUCT(MAX(ROW(E$2:E985)*(E986=E$2:E985)))))</f>
        <v/>
      </c>
      <c r="J986" s="14" t="str">
        <f ca="1">IF(OR(E986="",E986="!!!",F986="NEW"),"",COUNTBLANK(OFFSET(A$1,,,SUMPRODUCT(MAX(ROW(E$2:E986)*(E986=E$2:E986)))))-COUNTBLANK(OFFSET(A$1,,,SUMPRODUCT(MAX(ROW(E$1:E985)*(E986=E$1:E985))))))</f>
        <v/>
      </c>
      <c r="K986" s="14" t="str">
        <f>IF(OR(E986="",E986="!!!",F986="NEW"),"",INDEX(J$1:J985,SUMPRODUCT(MAX(ROW(E$1:E985)*(E986=E$1:E985)))))</f>
        <v/>
      </c>
      <c r="L986" s="15"/>
    </row>
    <row r="987" spans="1:12" x14ac:dyDescent="0.35">
      <c r="A987" t="s">
        <v>486</v>
      </c>
      <c r="E987" s="9" t="str">
        <f t="shared" si="34"/>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ca="1" si="35"/>
        <v/>
      </c>
      <c r="I987" s="13" t="str">
        <f>IF(OR(E987="",E987="!!!",F987="NEW"),"",INDEX(B$2:B986,-1+SUMPRODUCT(MAX(ROW(E$2:E986)*(E987=E$2:E986)))))</f>
        <v/>
      </c>
      <c r="J987" s="14" t="str">
        <f ca="1">IF(OR(E987="",E987="!!!",F987="NEW"),"",COUNTBLANK(OFFSET(A$1,,,SUMPRODUCT(MAX(ROW(E$2:E987)*(E987=E$2:E987)))))-COUNTBLANK(OFFSET(A$1,,,SUMPRODUCT(MAX(ROW(E$1:E986)*(E987=E$1:E986))))))</f>
        <v/>
      </c>
      <c r="K987" s="14" t="str">
        <f>IF(OR(E987="",E987="!!!",F987="NEW"),"",INDEX(J$1:J986,SUMPRODUCT(MAX(ROW(E$1:E986)*(E987=E$1:E986)))))</f>
        <v/>
      </c>
      <c r="L987" s="15"/>
    </row>
    <row r="988" spans="1:12" x14ac:dyDescent="0.35">
      <c r="A988" t="s">
        <v>58</v>
      </c>
      <c r="E988" s="9" t="str">
        <f t="shared" si="34"/>
        <v/>
      </c>
      <c r="F988" s="10" t="str">
        <f>IF(OR(E988="",E988="!!!"),"",IF(NOT(ISNA(VLOOKUP(E988,E$1:E987,1,FALSE()))),"OLD",IF(AND(E988&lt;&gt;"",E988&lt;&gt;"!!!"),"NEW","")))</f>
        <v/>
      </c>
      <c r="G988" s="11" t="str">
        <f>IF(OR(E988="",E988="!!!"),"",IF(OR(J988=0,AND(J988=1,K988=1),AND(J988=1,I988="SBJ"),AND(J988=1,I988=0)),"?IN_FOCUS",IF(J988&lt;=2,"?ACTIVATED",IF(J988&lt;&gt;"","?FAMILIAR",IF(F988="NEW",IF(ISNA(VLOOKUP(E988,#REF!,1,FALSE())),"?TYPE_IDENTIFIABLE","?REFERENTIAL"),"_")))))</f>
        <v/>
      </c>
      <c r="H988" s="12" t="str">
        <f t="shared" ca="1" si="35"/>
        <v/>
      </c>
      <c r="I988" s="13" t="str">
        <f>IF(OR(E988="",E988="!!!",F988="NEW"),"",INDEX(B$2:B987,-1+SUMPRODUCT(MAX(ROW(E$2:E987)*(E988=E$2:E987)))))</f>
        <v/>
      </c>
      <c r="J988" s="14" t="str">
        <f ca="1">IF(OR(E988="",E988="!!!",F988="NEW"),"",COUNTBLANK(OFFSET(A$1,,,SUMPRODUCT(MAX(ROW(E$2:E988)*(E988=E$2:E988)))))-COUNTBLANK(OFFSET(A$1,,,SUMPRODUCT(MAX(ROW(E$1:E987)*(E988=E$1:E987))))))</f>
        <v/>
      </c>
      <c r="K988" s="14" t="str">
        <f>IF(OR(E988="",E988="!!!",F988="NEW"),"",INDEX(J$1:J987,SUMPRODUCT(MAX(ROW(E$1:E987)*(E988=E$1:E987)))))</f>
        <v/>
      </c>
      <c r="L988" s="15"/>
    </row>
    <row r="989" spans="1:12" x14ac:dyDescent="0.35">
      <c r="A989" t="s">
        <v>487</v>
      </c>
      <c r="E989" s="9" t="str">
        <f t="shared" si="34"/>
        <v/>
      </c>
      <c r="F989" s="10" t="str">
        <f>IF(OR(E989="",E989="!!!"),"",IF(NOT(ISNA(VLOOKUP(E989,E$1:E988,1,FALSE()))),"OLD",IF(AND(E989&lt;&gt;"",E989&lt;&gt;"!!!"),"NEW","")))</f>
        <v/>
      </c>
      <c r="G989" s="11" t="str">
        <f>IF(OR(E989="",E989="!!!"),"",IF(OR(J989=0,AND(J989=1,K989=1),AND(J989=1,I989="SBJ"),AND(J989=1,I989=0)),"?IN_FOCUS",IF(J989&lt;=2,"?ACTIVATED",IF(J989&lt;&gt;"","?FAMILIAR",IF(F989="NEW",IF(ISNA(VLOOKUP(E989,#REF!,1,FALSE())),"?TYPE_IDENTIFIABLE","?REFERENTIAL"),"_")))))</f>
        <v/>
      </c>
      <c r="H989" s="12" t="str">
        <f t="shared" ca="1" si="35"/>
        <v/>
      </c>
      <c r="I989" s="13" t="str">
        <f>IF(OR(E989="",E989="!!!",F989="NEW"),"",INDEX(B$2:B988,-1+SUMPRODUCT(MAX(ROW(E$2:E988)*(E989=E$2:E988)))))</f>
        <v/>
      </c>
      <c r="J989" s="14" t="str">
        <f ca="1">IF(OR(E989="",E989="!!!",F989="NEW"),"",COUNTBLANK(OFFSET(A$1,,,SUMPRODUCT(MAX(ROW(E$2:E989)*(E989=E$2:E989)))))-COUNTBLANK(OFFSET(A$1,,,SUMPRODUCT(MAX(ROW(E$1:E988)*(E989=E$1:E988))))))</f>
        <v/>
      </c>
      <c r="K989" s="14" t="str">
        <f>IF(OR(E989="",E989="!!!",F989="NEW"),"",INDEX(J$1:J988,SUMPRODUCT(MAX(ROW(E$1:E988)*(E989=E$1:E988)))))</f>
        <v/>
      </c>
      <c r="L989" s="15"/>
    </row>
    <row r="990" spans="1:12" x14ac:dyDescent="0.35">
      <c r="A990" t="s">
        <v>488</v>
      </c>
      <c r="B990" t="s">
        <v>32</v>
      </c>
      <c r="C990" t="s">
        <v>99</v>
      </c>
      <c r="D990" t="s">
        <v>16</v>
      </c>
      <c r="E990" s="9" t="str">
        <f t="shared" si="34"/>
        <v>!!!</v>
      </c>
      <c r="F990" s="10" t="str">
        <f>IF(OR(E990="",E990="!!!"),"",IF(NOT(ISNA(VLOOKUP(E990,E$1:E989,1,FALSE()))),"OLD",IF(AND(E990&lt;&gt;"",E990&lt;&gt;"!!!"),"NEW","")))</f>
        <v/>
      </c>
      <c r="G990" s="11" t="str">
        <f>IF(OR(E990="",E990="!!!"),"",IF(OR(J990=0,AND(J990=1,K990=1),AND(J990=1,I990="SBJ"),AND(J990=1,I990=0)),"?IN_FOCUS",IF(J990&lt;=2,"?ACTIVATED",IF(J990&lt;&gt;"","?FAMILIAR",IF(F990="NEW",IF(ISNA(VLOOKUP(E990,#REF!,1,FALSE())),"?TYPE_IDENTIFIABLE","?REFERENTIAL"),"_")))))</f>
        <v/>
      </c>
      <c r="H990" s="12" t="str">
        <f t="shared" ca="1" si="35"/>
        <v/>
      </c>
      <c r="I990" s="13" t="str">
        <f>IF(OR(E990="",E990="!!!",F990="NEW"),"",INDEX(B$2:B989,-1+SUMPRODUCT(MAX(ROW(E$2:E989)*(E990=E$2:E989)))))</f>
        <v/>
      </c>
      <c r="J990" s="14" t="str">
        <f ca="1">IF(OR(E990="",E990="!!!",F990="NEW"),"",COUNTBLANK(OFFSET(A$1,,,SUMPRODUCT(MAX(ROW(E$2:E990)*(E990=E$2:E990)))))-COUNTBLANK(OFFSET(A$1,,,SUMPRODUCT(MAX(ROW(E$1:E989)*(E990=E$1:E989))))))</f>
        <v/>
      </c>
      <c r="K990" s="14" t="str">
        <f>IF(OR(E990="",E990="!!!",F990="NEW"),"",INDEX(J$1:J989,SUMPRODUCT(MAX(ROW(E$1:E989)*(E990=E$1:E989)))))</f>
        <v/>
      </c>
      <c r="L990" s="15"/>
    </row>
    <row r="991" spans="1:12" x14ac:dyDescent="0.35">
      <c r="A991" t="s">
        <v>131</v>
      </c>
      <c r="E991" s="9" t="str">
        <f t="shared" si="34"/>
        <v/>
      </c>
      <c r="F991" s="10" t="str">
        <f>IF(OR(E991="",E991="!!!"),"",IF(NOT(ISNA(VLOOKUP(E991,E$1:E990,1,FALSE()))),"OLD",IF(AND(E991&lt;&gt;"",E991&lt;&gt;"!!!"),"NEW","")))</f>
        <v/>
      </c>
      <c r="G991" s="11" t="str">
        <f>IF(OR(E991="",E991="!!!"),"",IF(OR(J991=0,AND(J991=1,K991=1),AND(J991=1,I991="SBJ"),AND(J991=1,I991=0)),"?IN_FOCUS",IF(J991&lt;=2,"?ACTIVATED",IF(J991&lt;&gt;"","?FAMILIAR",IF(F991="NEW",IF(ISNA(VLOOKUP(E991,#REF!,1,FALSE())),"?TYPE_IDENTIFIABLE","?REFERENTIAL"),"_")))))</f>
        <v/>
      </c>
      <c r="H991" s="12" t="str">
        <f t="shared" ca="1" si="35"/>
        <v/>
      </c>
      <c r="I991" s="13" t="str">
        <f>IF(OR(E991="",E991="!!!",F991="NEW"),"",INDEX(B$2:B990,-1+SUMPRODUCT(MAX(ROW(E$2:E990)*(E991=E$2:E990)))))</f>
        <v/>
      </c>
      <c r="J991" s="14" t="str">
        <f ca="1">IF(OR(E991="",E991="!!!",F991="NEW"),"",COUNTBLANK(OFFSET(A$1,,,SUMPRODUCT(MAX(ROW(E$2:E991)*(E991=E$2:E991)))))-COUNTBLANK(OFFSET(A$1,,,SUMPRODUCT(MAX(ROW(E$1:E990)*(E991=E$1:E990))))))</f>
        <v/>
      </c>
      <c r="K991" s="14" t="str">
        <f>IF(OR(E991="",E991="!!!",F991="NEW"),"",INDEX(J$1:J990,SUMPRODUCT(MAX(ROW(E$1:E990)*(E991=E$1:E990)))))</f>
        <v/>
      </c>
      <c r="L991" s="15"/>
    </row>
    <row r="992" spans="1:12" x14ac:dyDescent="0.35">
      <c r="A992" t="s">
        <v>58</v>
      </c>
      <c r="E992" s="9" t="str">
        <f t="shared" si="34"/>
        <v/>
      </c>
      <c r="F992" s="10" t="str">
        <f>IF(OR(E992="",E992="!!!"),"",IF(NOT(ISNA(VLOOKUP(E992,E$1:E991,1,FALSE()))),"OLD",IF(AND(E992&lt;&gt;"",E992&lt;&gt;"!!!"),"NEW","")))</f>
        <v/>
      </c>
      <c r="G992" s="11" t="str">
        <f>IF(OR(E992="",E992="!!!"),"",IF(OR(J992=0,AND(J992=1,K992=1),AND(J992=1,I992="SBJ"),AND(J992=1,I992=0)),"?IN_FOCUS",IF(J992&lt;=2,"?ACTIVATED",IF(J992&lt;&gt;"","?FAMILIAR",IF(F992="NEW",IF(ISNA(VLOOKUP(E992,#REF!,1,FALSE())),"?TYPE_IDENTIFIABLE","?REFERENTIAL"),"_")))))</f>
        <v/>
      </c>
      <c r="H992" s="12" t="str">
        <f t="shared" ca="1" si="35"/>
        <v/>
      </c>
      <c r="I992" s="13" t="str">
        <f>IF(OR(E992="",E992="!!!",F992="NEW"),"",INDEX(B$2:B991,-1+SUMPRODUCT(MAX(ROW(E$2:E991)*(E992=E$2:E991)))))</f>
        <v/>
      </c>
      <c r="J992" s="14" t="str">
        <f ca="1">IF(OR(E992="",E992="!!!",F992="NEW"),"",COUNTBLANK(OFFSET(A$1,,,SUMPRODUCT(MAX(ROW(E$2:E992)*(E992=E$2:E992)))))-COUNTBLANK(OFFSET(A$1,,,SUMPRODUCT(MAX(ROW(E$1:E991)*(E992=E$1:E991))))))</f>
        <v/>
      </c>
      <c r="K992" s="14" t="str">
        <f>IF(OR(E992="",E992="!!!",F992="NEW"),"",INDEX(J$1:J991,SUMPRODUCT(MAX(ROW(E$1:E991)*(E992=E$1:E991)))))</f>
        <v/>
      </c>
      <c r="L992" s="15"/>
    </row>
    <row r="993" spans="1:12" x14ac:dyDescent="0.35">
      <c r="A993" t="s">
        <v>226</v>
      </c>
      <c r="B993" t="s">
        <v>54</v>
      </c>
      <c r="C993" t="s">
        <v>99</v>
      </c>
      <c r="D993" t="s">
        <v>16</v>
      </c>
      <c r="E993" s="9" t="str">
        <f t="shared" si="34"/>
        <v>!!!</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ca="1" si="35"/>
        <v/>
      </c>
      <c r="I993" s="13" t="str">
        <f>IF(OR(E993="",E993="!!!",F993="NEW"),"",INDEX(B$2:B992,-1+SUMPRODUCT(MAX(ROW(E$2:E992)*(E993=E$2:E992)))))</f>
        <v/>
      </c>
      <c r="J993" s="14" t="str">
        <f ca="1">IF(OR(E993="",E993="!!!",F993="NEW"),"",COUNTBLANK(OFFSET(A$1,,,SUMPRODUCT(MAX(ROW(E$2:E993)*(E993=E$2:E993)))))-COUNTBLANK(OFFSET(A$1,,,SUMPRODUCT(MAX(ROW(E$1:E992)*(E993=E$1:E992))))))</f>
        <v/>
      </c>
      <c r="K993" s="14" t="str">
        <f>IF(OR(E993="",E993="!!!",F993="NEW"),"",INDEX(J$1:J992,SUMPRODUCT(MAX(ROW(E$1:E992)*(E993=E$1:E992)))))</f>
        <v/>
      </c>
      <c r="L993" s="15"/>
    </row>
    <row r="994" spans="1:12" x14ac:dyDescent="0.35">
      <c r="A994" t="s">
        <v>17</v>
      </c>
      <c r="E994" s="9" t="str">
        <f t="shared" si="34"/>
        <v/>
      </c>
      <c r="F994" s="10" t="str">
        <f>IF(OR(E994="",E994="!!!"),"",IF(NOT(ISNA(VLOOKUP(E994,E$1:E993,1,FALSE()))),"OLD",IF(AND(E994&lt;&gt;"",E994&lt;&gt;"!!!"),"NEW","")))</f>
        <v/>
      </c>
      <c r="G994" s="11" t="str">
        <f>IF(OR(E994="",E994="!!!"),"",IF(OR(J994=0,AND(J994=1,K994=1),AND(J994=1,I994="SBJ"),AND(J994=1,I994=0)),"?IN_FOCUS",IF(J994&lt;=2,"?ACTIVATED",IF(J994&lt;&gt;"","?FAMILIAR",IF(F994="NEW",IF(ISNA(VLOOKUP(E994,#REF!,1,FALSE())),"?TYPE_IDENTIFIABLE","?REFERENTIAL"),"_")))))</f>
        <v/>
      </c>
      <c r="H994" s="12" t="str">
        <f t="shared" ca="1" si="35"/>
        <v/>
      </c>
      <c r="I994" s="13" t="str">
        <f>IF(OR(E994="",E994="!!!",F994="NEW"),"",INDEX(B$2:B993,-1+SUMPRODUCT(MAX(ROW(E$2:E993)*(E994=E$2:E993)))))</f>
        <v/>
      </c>
      <c r="J994" s="14" t="str">
        <f ca="1">IF(OR(E994="",E994="!!!",F994="NEW"),"",COUNTBLANK(OFFSET(A$1,,,SUMPRODUCT(MAX(ROW(E$2:E994)*(E994=E$2:E994)))))-COUNTBLANK(OFFSET(A$1,,,SUMPRODUCT(MAX(ROW(E$1:E993)*(E994=E$1:E993))))))</f>
        <v/>
      </c>
      <c r="K994" s="14" t="str">
        <f>IF(OR(E994="",E994="!!!",F994="NEW"),"",INDEX(J$1:J993,SUMPRODUCT(MAX(ROW(E$1:E993)*(E994=E$1:E993)))))</f>
        <v/>
      </c>
      <c r="L994" s="15"/>
    </row>
    <row r="995" spans="1:12" x14ac:dyDescent="0.35">
      <c r="A995" t="s">
        <v>348</v>
      </c>
      <c r="E995" s="9" t="str">
        <f t="shared" si="34"/>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ca="1" si="35"/>
        <v/>
      </c>
      <c r="I995" s="13" t="str">
        <f>IF(OR(E995="",E995="!!!",F995="NEW"),"",INDEX(B$2:B994,-1+SUMPRODUCT(MAX(ROW(E$2:E994)*(E995=E$2:E994)))))</f>
        <v/>
      </c>
      <c r="J995" s="14" t="str">
        <f ca="1">IF(OR(E995="",E995="!!!",F995="NEW"),"",COUNTBLANK(OFFSET(A$1,,,SUMPRODUCT(MAX(ROW(E$2:E995)*(E995=E$2:E995)))))-COUNTBLANK(OFFSET(A$1,,,SUMPRODUCT(MAX(ROW(E$1:E994)*(E995=E$1:E994))))))</f>
        <v/>
      </c>
      <c r="K995" s="14" t="str">
        <f>IF(OR(E995="",E995="!!!",F995="NEW"),"",INDEX(J$1:J994,SUMPRODUCT(MAX(ROW(E$1:E994)*(E995=E$1:E994)))))</f>
        <v/>
      </c>
      <c r="L995" s="15"/>
    </row>
    <row r="996" spans="1:12" x14ac:dyDescent="0.35">
      <c r="A996" t="s">
        <v>489</v>
      </c>
      <c r="E996" s="9" t="str">
        <f t="shared" si="34"/>
        <v/>
      </c>
      <c r="F996" s="10" t="str">
        <f>IF(OR(E996="",E996="!!!"),"",IF(NOT(ISNA(VLOOKUP(E996,E$1:E995,1,FALSE()))),"OLD",IF(AND(E996&lt;&gt;"",E996&lt;&gt;"!!!"),"NEW","")))</f>
        <v/>
      </c>
      <c r="G996" s="11" t="str">
        <f>IF(OR(E996="",E996="!!!"),"",IF(OR(J996=0,AND(J996=1,K996=1),AND(J996=1,I996="SBJ"),AND(J996=1,I996=0)),"?IN_FOCUS",IF(J996&lt;=2,"?ACTIVATED",IF(J996&lt;&gt;"","?FAMILIAR",IF(F996="NEW",IF(ISNA(VLOOKUP(E996,#REF!,1,FALSE())),"?TYPE_IDENTIFIABLE","?REFERENTIAL"),"_")))))</f>
        <v/>
      </c>
      <c r="H996" s="12" t="str">
        <f t="shared" ca="1" si="35"/>
        <v/>
      </c>
      <c r="I996" s="13" t="str">
        <f>IF(OR(E996="",E996="!!!",F996="NEW"),"",INDEX(B$2:B995,-1+SUMPRODUCT(MAX(ROW(E$2:E995)*(E996=E$2:E995)))))</f>
        <v/>
      </c>
      <c r="J996" s="14" t="str">
        <f ca="1">IF(OR(E996="",E996="!!!",F996="NEW"),"",COUNTBLANK(OFFSET(A$1,,,SUMPRODUCT(MAX(ROW(E$2:E996)*(E996=E$2:E996)))))-COUNTBLANK(OFFSET(A$1,,,SUMPRODUCT(MAX(ROW(E$1:E995)*(E996=E$1:E995))))))</f>
        <v/>
      </c>
      <c r="K996" s="14" t="str">
        <f>IF(OR(E996="",E996="!!!",F996="NEW"),"",INDEX(J$1:J995,SUMPRODUCT(MAX(ROW(E$1:E995)*(E996=E$1:E995)))))</f>
        <v/>
      </c>
      <c r="L996" s="15"/>
    </row>
    <row r="997" spans="1:12" x14ac:dyDescent="0.35">
      <c r="A997" t="s">
        <v>262</v>
      </c>
      <c r="E997" s="9" t="str">
        <f t="shared" si="34"/>
        <v/>
      </c>
      <c r="F997" s="10" t="str">
        <f>IF(OR(E997="",E997="!!!"),"",IF(NOT(ISNA(VLOOKUP(E997,E$1:E996,1,FALSE()))),"OLD",IF(AND(E997&lt;&gt;"",E997&lt;&gt;"!!!"),"NEW","")))</f>
        <v/>
      </c>
      <c r="G997" s="11" t="str">
        <f>IF(OR(E997="",E997="!!!"),"",IF(OR(J997=0,AND(J997=1,K997=1),AND(J997=1,I997="SBJ"),AND(J997=1,I997=0)),"?IN_FOCUS",IF(J997&lt;=2,"?ACTIVATED",IF(J997&lt;&gt;"","?FAMILIAR",IF(F997="NEW",IF(ISNA(VLOOKUP(E997,#REF!,1,FALSE())),"?TYPE_IDENTIFIABLE","?REFERENTIAL"),"_")))))</f>
        <v/>
      </c>
      <c r="H997" s="12" t="str">
        <f t="shared" ca="1" si="35"/>
        <v/>
      </c>
      <c r="I997" s="13" t="str">
        <f>IF(OR(E997="",E997="!!!",F997="NEW"),"",INDEX(B$2:B996,-1+SUMPRODUCT(MAX(ROW(E$2:E996)*(E997=E$2:E996)))))</f>
        <v/>
      </c>
      <c r="J997" s="14" t="str">
        <f ca="1">IF(OR(E997="",E997="!!!",F997="NEW"),"",COUNTBLANK(OFFSET(A$1,,,SUMPRODUCT(MAX(ROW(E$2:E997)*(E997=E$2:E997)))))-COUNTBLANK(OFFSET(A$1,,,SUMPRODUCT(MAX(ROW(E$1:E996)*(E997=E$1:E996))))))</f>
        <v/>
      </c>
      <c r="K997" s="14" t="str">
        <f>IF(OR(E997="",E997="!!!",F997="NEW"),"",INDEX(J$1:J996,SUMPRODUCT(MAX(ROW(E$1:E996)*(E997=E$1:E996)))))</f>
        <v/>
      </c>
      <c r="L997" s="15"/>
    </row>
    <row r="998" spans="1:12" x14ac:dyDescent="0.35">
      <c r="A998" t="s">
        <v>215</v>
      </c>
      <c r="B998" t="s">
        <v>24</v>
      </c>
      <c r="C998" t="s">
        <v>37</v>
      </c>
      <c r="E998" s="9" t="str">
        <f t="shared" si="34"/>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ca="1" si="35"/>
        <v/>
      </c>
      <c r="I998" s="13" t="str">
        <f>IF(OR(E998="",E998="!!!",F998="NEW"),"",INDEX(B$2:B997,-1+SUMPRODUCT(MAX(ROW(E$2:E997)*(E998=E$2:E997)))))</f>
        <v/>
      </c>
      <c r="J998" s="14" t="str">
        <f ca="1">IF(OR(E998="",E998="!!!",F998="NEW"),"",COUNTBLANK(OFFSET(A$1,,,SUMPRODUCT(MAX(ROW(E$2:E998)*(E998=E$2:E998)))))-COUNTBLANK(OFFSET(A$1,,,SUMPRODUCT(MAX(ROW(E$1:E997)*(E998=E$1:E997))))))</f>
        <v/>
      </c>
      <c r="K998" s="14" t="str">
        <f>IF(OR(E998="",E998="!!!",F998="NEW"),"",INDEX(J$1:J997,SUMPRODUCT(MAX(ROW(E$1:E997)*(E998=E$1:E997)))))</f>
        <v/>
      </c>
      <c r="L998" s="15"/>
    </row>
    <row r="999" spans="1:12" x14ac:dyDescent="0.35">
      <c r="A999" t="s">
        <v>123</v>
      </c>
      <c r="E999" s="9" t="str">
        <f t="shared" si="34"/>
        <v/>
      </c>
      <c r="F999" s="10" t="str">
        <f>IF(OR(E999="",E999="!!!"),"",IF(NOT(ISNA(VLOOKUP(E999,E$1:E998,1,FALSE()))),"OLD",IF(AND(E999&lt;&gt;"",E999&lt;&gt;"!!!"),"NEW","")))</f>
        <v/>
      </c>
      <c r="G999" s="11" t="str">
        <f>IF(OR(E999="",E999="!!!"),"",IF(OR(J999=0,AND(J999=1,K999=1),AND(J999=1,I999="SBJ"),AND(J999=1,I999=0)),"?IN_FOCUS",IF(J999&lt;=2,"?ACTIVATED",IF(J999&lt;&gt;"","?FAMILIAR",IF(F999="NEW",IF(ISNA(VLOOKUP(E999,#REF!,1,FALSE())),"?TYPE_IDENTIFIABLE","?REFERENTIAL"),"_")))))</f>
        <v/>
      </c>
      <c r="H999" s="12" t="str">
        <f t="shared" ca="1" si="35"/>
        <v/>
      </c>
      <c r="I999" s="13" t="str">
        <f>IF(OR(E999="",E999="!!!",F999="NEW"),"",INDEX(B$2:B998,-1+SUMPRODUCT(MAX(ROW(E$2:E998)*(E999=E$2:E998)))))</f>
        <v/>
      </c>
      <c r="J999" s="14" t="str">
        <f ca="1">IF(OR(E999="",E999="!!!",F999="NEW"),"",COUNTBLANK(OFFSET(A$1,,,SUMPRODUCT(MAX(ROW(E$2:E999)*(E999=E$2:E999)))))-COUNTBLANK(OFFSET(A$1,,,SUMPRODUCT(MAX(ROW(E$1:E998)*(E999=E$1:E998))))))</f>
        <v/>
      </c>
      <c r="K999" s="14" t="str">
        <f>IF(OR(E999="",E999="!!!",F999="NEW"),"",INDEX(J$1:J998,SUMPRODUCT(MAX(ROW(E$1:E998)*(E999=E$1:E998)))))</f>
        <v/>
      </c>
      <c r="L999" s="15"/>
    </row>
    <row r="1000" spans="1:12" x14ac:dyDescent="0.35">
      <c r="A1000" t="s">
        <v>58</v>
      </c>
      <c r="E1000" s="9" t="str">
        <f t="shared" si="34"/>
        <v/>
      </c>
      <c r="F1000" s="10" t="str">
        <f>IF(OR(E1000="",E1000="!!!"),"",IF(NOT(ISNA(VLOOKUP(E1000,E$1:E999,1,FALSE()))),"OLD",IF(AND(E1000&lt;&gt;"",E1000&lt;&gt;"!!!"),"NEW","")))</f>
        <v/>
      </c>
      <c r="G1000" s="11" t="str">
        <f>IF(OR(E1000="",E1000="!!!"),"",IF(OR(J1000=0,AND(J1000=1,K1000=1),AND(J1000=1,I1000="SBJ"),AND(J1000=1,I1000=0)),"?IN_FOCUS",IF(J1000&lt;=2,"?ACTIVATED",IF(J1000&lt;&gt;"","?FAMILIAR",IF(F1000="NEW",IF(ISNA(VLOOKUP(E1000,#REF!,1,FALSE())),"?TYPE_IDENTIFIABLE","?REFERENTIAL"),"_")))))</f>
        <v/>
      </c>
      <c r="H1000" s="12" t="str">
        <f t="shared" ca="1" si="35"/>
        <v/>
      </c>
      <c r="I1000" s="13" t="str">
        <f>IF(OR(E1000="",E1000="!!!",F1000="NEW"),"",INDEX(B$2:B999,-1+SUMPRODUCT(MAX(ROW(E$2:E999)*(E1000=E$2:E999)))))</f>
        <v/>
      </c>
      <c r="J1000" s="14" t="str">
        <f ca="1">IF(OR(E1000="",E1000="!!!",F1000="NEW"),"",COUNTBLANK(OFFSET(A$1,,,SUMPRODUCT(MAX(ROW(E$2:E1000)*(E1000=E$2:E1000)))))-COUNTBLANK(OFFSET(A$1,,,SUMPRODUCT(MAX(ROW(E$1:E999)*(E1000=E$1:E999))))))</f>
        <v/>
      </c>
      <c r="K1000" s="14" t="str">
        <f>IF(OR(E1000="",E1000="!!!",F1000="NEW"),"",INDEX(J$1:J999,SUMPRODUCT(MAX(ROW(E$1:E999)*(E1000=E$1:E999)))))</f>
        <v/>
      </c>
      <c r="L1000" s="15"/>
    </row>
    <row r="1001" spans="1:12" x14ac:dyDescent="0.35">
      <c r="A1001" t="s">
        <v>490</v>
      </c>
      <c r="B1001" t="s">
        <v>20</v>
      </c>
      <c r="C1001" t="s">
        <v>99</v>
      </c>
      <c r="D1001" t="s">
        <v>16</v>
      </c>
      <c r="E1001" s="9" t="str">
        <f t="shared" si="34"/>
        <v>!!!</v>
      </c>
      <c r="F1001" s="10" t="str">
        <f>IF(OR(E1001="",E1001="!!!"),"",IF(NOT(ISNA(VLOOKUP(E1001,E$1:E1000,1,FALSE()))),"OLD",IF(AND(E1001&lt;&gt;"",E1001&lt;&gt;"!!!"),"NEW","")))</f>
        <v/>
      </c>
      <c r="G1001" s="11" t="str">
        <f>IF(OR(E1001="",E1001="!!!"),"",IF(OR(J1001=0,AND(J1001=1,K1001=1),AND(J1001=1,I1001="SBJ"),AND(J1001=1,I1001=0)),"?IN_FOCUS",IF(J1001&lt;=2,"?ACTIVATED",IF(J1001&lt;&gt;"","?FAMILIAR",IF(F1001="NEW",IF(ISNA(VLOOKUP(E1001,#REF!,1,FALSE())),"?TYPE_IDENTIFIABLE","?REFERENTIAL"),"_")))))</f>
        <v/>
      </c>
      <c r="H1001" s="12" t="str">
        <f t="shared" ca="1" si="35"/>
        <v/>
      </c>
      <c r="I1001" s="13" t="str">
        <f>IF(OR(E1001="",E1001="!!!",F1001="NEW"),"",INDEX(B$2:B1000,-1+SUMPRODUCT(MAX(ROW(E$2:E1000)*(E1001=E$2:E1000)))))</f>
        <v/>
      </c>
      <c r="J1001" s="14" t="str">
        <f ca="1">IF(OR(E1001="",E1001="!!!",F1001="NEW"),"",COUNTBLANK(OFFSET(A$1,,,SUMPRODUCT(MAX(ROW(E$2:E1001)*(E1001=E$2:E1001)))))-COUNTBLANK(OFFSET(A$1,,,SUMPRODUCT(MAX(ROW(E$1:E1000)*(E1001=E$1:E1000))))))</f>
        <v/>
      </c>
      <c r="K1001" s="14" t="str">
        <f>IF(OR(E1001="",E1001="!!!",F1001="NEW"),"",INDEX(J$1:J1000,SUMPRODUCT(MAX(ROW(E$1:E1000)*(E1001=E$1:E1000)))))</f>
        <v/>
      </c>
      <c r="L1001" s="15"/>
    </row>
    <row r="1002" spans="1:12" x14ac:dyDescent="0.35">
      <c r="A1002" t="s">
        <v>17</v>
      </c>
      <c r="E1002" s="9" t="str">
        <f t="shared" si="34"/>
        <v/>
      </c>
      <c r="F1002" s="10" t="str">
        <f>IF(OR(E1002="",E1002="!!!"),"",IF(NOT(ISNA(VLOOKUP(E1002,E$1:E1001,1,FALSE()))),"OLD",IF(AND(E1002&lt;&gt;"",E1002&lt;&gt;"!!!"),"NEW","")))</f>
        <v/>
      </c>
      <c r="G1002" s="11" t="str">
        <f>IF(OR(E1002="",E1002="!!!"),"",IF(OR(J1002=0,AND(J1002=1,K1002=1),AND(J1002=1,I1002="SBJ"),AND(J1002=1,I1002=0)),"?IN_FOCUS",IF(J1002&lt;=2,"?ACTIVATED",IF(J1002&lt;&gt;"","?FAMILIAR",IF(F1002="NEW",IF(ISNA(VLOOKUP(E1002,#REF!,1,FALSE())),"?TYPE_IDENTIFIABLE","?REFERENTIAL"),"_")))))</f>
        <v/>
      </c>
      <c r="H1002" s="12" t="str">
        <f t="shared" ca="1" si="35"/>
        <v/>
      </c>
      <c r="I1002" s="13" t="str">
        <f>IF(OR(E1002="",E1002="!!!",F1002="NEW"),"",INDEX(B$2:B1001,-1+SUMPRODUCT(MAX(ROW(E$2:E1001)*(E1002=E$2:E1001)))))</f>
        <v/>
      </c>
      <c r="J1002" s="14" t="str">
        <f ca="1">IF(OR(E1002="",E1002="!!!",F1002="NEW"),"",COUNTBLANK(OFFSET(A$1,,,SUMPRODUCT(MAX(ROW(E$2:E1002)*(E1002=E$2:E1002)))))-COUNTBLANK(OFFSET(A$1,,,SUMPRODUCT(MAX(ROW(E$1:E1001)*(E1002=E$1:E1001))))))</f>
        <v/>
      </c>
      <c r="K1002" s="14" t="str">
        <f>IF(OR(E1002="",E1002="!!!",F1002="NEW"),"",INDEX(J$1:J1001,SUMPRODUCT(MAX(ROW(E$1:E1001)*(E1002=E$1:E1001)))))</f>
        <v/>
      </c>
      <c r="L1002" s="15"/>
    </row>
    <row r="1003" spans="1:12" x14ac:dyDescent="0.35">
      <c r="A1003" t="s">
        <v>58</v>
      </c>
      <c r="E1003" s="9" t="str">
        <f t="shared" si="34"/>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ca="1" si="35"/>
        <v/>
      </c>
      <c r="I1003" s="13" t="str">
        <f>IF(OR(E1003="",E1003="!!!",F1003="NEW"),"",INDEX(B$2:B1002,-1+SUMPRODUCT(MAX(ROW(E$2:E1002)*(E1003=E$2:E1002)))))</f>
        <v/>
      </c>
      <c r="J1003" s="14" t="str">
        <f ca="1">IF(OR(E1003="",E1003="!!!",F1003="NEW"),"",COUNTBLANK(OFFSET(A$1,,,SUMPRODUCT(MAX(ROW(E$2:E1003)*(E1003=E$2:E1003)))))-COUNTBLANK(OFFSET(A$1,,,SUMPRODUCT(MAX(ROW(E$1:E1002)*(E1003=E$1:E1002))))))</f>
        <v/>
      </c>
      <c r="K1003" s="14" t="str">
        <f>IF(OR(E1003="",E1003="!!!",F1003="NEW"),"",INDEX(J$1:J1002,SUMPRODUCT(MAX(ROW(E$1:E1002)*(E1003=E$1:E1002)))))</f>
        <v/>
      </c>
      <c r="L1003" s="15"/>
    </row>
    <row r="1004" spans="1:12" x14ac:dyDescent="0.35">
      <c r="A1004" t="s">
        <v>416</v>
      </c>
      <c r="B1004" t="s">
        <v>56</v>
      </c>
      <c r="C1004" t="s">
        <v>99</v>
      </c>
      <c r="D1004" t="s">
        <v>16</v>
      </c>
      <c r="E1004" s="9" t="str">
        <f t="shared" si="34"/>
        <v>!!!</v>
      </c>
      <c r="F1004" s="10" t="str">
        <f>IF(OR(E1004="",E1004="!!!"),"",IF(NOT(ISNA(VLOOKUP(E1004,E$1:E1003,1,FALSE()))),"OLD",IF(AND(E1004&lt;&gt;"",E1004&lt;&gt;"!!!"),"NEW","")))</f>
        <v/>
      </c>
      <c r="G1004" s="11" t="str">
        <f>IF(OR(E1004="",E1004="!!!"),"",IF(OR(J1004=0,AND(J1004=1,K1004=1),AND(J1004=1,I1004="SBJ"),AND(J1004=1,I1004=0)),"?IN_FOCUS",IF(J1004&lt;=2,"?ACTIVATED",IF(J1004&lt;&gt;"","?FAMILIAR",IF(F1004="NEW",IF(ISNA(VLOOKUP(E1004,#REF!,1,FALSE())),"?TYPE_IDENTIFIABLE","?REFERENTIAL"),"_")))))</f>
        <v/>
      </c>
      <c r="H1004" s="12" t="str">
        <f t="shared" ca="1" si="35"/>
        <v/>
      </c>
      <c r="I1004" s="13" t="str">
        <f>IF(OR(E1004="",E1004="!!!",F1004="NEW"),"",INDEX(B$2:B1003,-1+SUMPRODUCT(MAX(ROW(E$2:E1003)*(E1004=E$2:E1003)))))</f>
        <v/>
      </c>
      <c r="J1004" s="14" t="str">
        <f ca="1">IF(OR(E1004="",E1004="!!!",F1004="NEW"),"",COUNTBLANK(OFFSET(A$1,,,SUMPRODUCT(MAX(ROW(E$2:E1004)*(E1004=E$2:E1004)))))-COUNTBLANK(OFFSET(A$1,,,SUMPRODUCT(MAX(ROW(E$1:E1003)*(E1004=E$1:E1003))))))</f>
        <v/>
      </c>
      <c r="K1004" s="14" t="str">
        <f>IF(OR(E1004="",E1004="!!!",F1004="NEW"),"",INDEX(J$1:J1003,SUMPRODUCT(MAX(ROW(E$1:E1003)*(E1004=E$1:E1003)))))</f>
        <v/>
      </c>
      <c r="L1004" s="15"/>
    </row>
    <row r="1005" spans="1:12" x14ac:dyDescent="0.35">
      <c r="A1005" t="s">
        <v>63</v>
      </c>
      <c r="E1005" s="9" t="str">
        <f t="shared" si="34"/>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ca="1" si="35"/>
        <v/>
      </c>
      <c r="I1005" s="13" t="str">
        <f>IF(OR(E1005="",E1005="!!!",F1005="NEW"),"",INDEX(B$2:B1004,-1+SUMPRODUCT(MAX(ROW(E$2:E1004)*(E1005=E$2:E1004)))))</f>
        <v/>
      </c>
      <c r="J1005" s="14" t="str">
        <f ca="1">IF(OR(E1005="",E1005="!!!",F1005="NEW"),"",COUNTBLANK(OFFSET(A$1,,,SUMPRODUCT(MAX(ROW(E$2:E1005)*(E1005=E$2:E1005)))))-COUNTBLANK(OFFSET(A$1,,,SUMPRODUCT(MAX(ROW(E$1:E1004)*(E1005=E$1:E1004))))))</f>
        <v/>
      </c>
      <c r="K1005" s="14" t="str">
        <f>IF(OR(E1005="",E1005="!!!",F1005="NEW"),"",INDEX(J$1:J1004,SUMPRODUCT(MAX(ROW(E$1:E1004)*(E1005=E$1:E1004)))))</f>
        <v/>
      </c>
      <c r="L1005" s="15"/>
    </row>
    <row r="1007" spans="1:12" x14ac:dyDescent="0.35">
      <c r="A1007" t="s">
        <v>491</v>
      </c>
    </row>
    <row r="1008" spans="1:12" x14ac:dyDescent="0.35">
      <c r="A1008" t="s">
        <v>291</v>
      </c>
    </row>
    <row r="1009" spans="1:4" x14ac:dyDescent="0.35">
      <c r="A1009" t="s">
        <v>492</v>
      </c>
      <c r="B1009" t="s">
        <v>14</v>
      </c>
      <c r="C1009" t="s">
        <v>37</v>
      </c>
    </row>
    <row r="1010" spans="1:4" x14ac:dyDescent="0.35">
      <c r="A1010" t="s">
        <v>493</v>
      </c>
    </row>
    <row r="1011" spans="1:4" x14ac:dyDescent="0.35">
      <c r="A1011" t="s">
        <v>123</v>
      </c>
    </row>
    <row r="1012" spans="1:4" x14ac:dyDescent="0.35">
      <c r="A1012" t="s">
        <v>34</v>
      </c>
    </row>
    <row r="1013" spans="1:4" x14ac:dyDescent="0.35">
      <c r="A1013" t="s">
        <v>494</v>
      </c>
      <c r="B1013" t="s">
        <v>54</v>
      </c>
      <c r="C1013" t="s">
        <v>37</v>
      </c>
    </row>
    <row r="1014" spans="1:4" x14ac:dyDescent="0.35">
      <c r="A1014" t="s">
        <v>26</v>
      </c>
    </row>
    <row r="1015" spans="1:4" x14ac:dyDescent="0.35">
      <c r="A1015" t="s">
        <v>76</v>
      </c>
    </row>
    <row r="1016" spans="1:4" x14ac:dyDescent="0.35">
      <c r="A1016" t="s">
        <v>105</v>
      </c>
    </row>
    <row r="1017" spans="1:4" x14ac:dyDescent="0.35">
      <c r="A1017" t="s">
        <v>40</v>
      </c>
      <c r="B1017" t="s">
        <v>41</v>
      </c>
      <c r="C1017" t="s">
        <v>33</v>
      </c>
      <c r="D1017" t="s">
        <v>16</v>
      </c>
    </row>
    <row r="1018" spans="1:4" x14ac:dyDescent="0.35">
      <c r="A1018" t="s">
        <v>213</v>
      </c>
    </row>
    <row r="1019" spans="1:4" x14ac:dyDescent="0.35">
      <c r="A1019" t="s">
        <v>123</v>
      </c>
    </row>
    <row r="1020" spans="1:4" x14ac:dyDescent="0.35">
      <c r="A1020" t="s">
        <v>495</v>
      </c>
    </row>
    <row r="1021" spans="1:4" x14ac:dyDescent="0.35">
      <c r="A1021" t="s">
        <v>42</v>
      </c>
    </row>
    <row r="1022" spans="1:4" x14ac:dyDescent="0.35">
      <c r="A1022" t="s">
        <v>34</v>
      </c>
    </row>
    <row r="1023" spans="1:4" x14ac:dyDescent="0.35">
      <c r="A1023" t="s">
        <v>496</v>
      </c>
    </row>
    <row r="1024" spans="1:4" x14ac:dyDescent="0.35">
      <c r="A1024" t="s">
        <v>497</v>
      </c>
    </row>
    <row r="1025" spans="1:4" x14ac:dyDescent="0.35">
      <c r="A1025" t="s">
        <v>498</v>
      </c>
      <c r="B1025" t="s">
        <v>54</v>
      </c>
      <c r="C1025" t="s">
        <v>37</v>
      </c>
    </row>
    <row r="1026" spans="1:4" x14ac:dyDescent="0.35">
      <c r="A1026" t="s">
        <v>69</v>
      </c>
    </row>
    <row r="1027" spans="1:4" x14ac:dyDescent="0.35">
      <c r="A1027" t="s">
        <v>499</v>
      </c>
      <c r="B1027" t="s">
        <v>54</v>
      </c>
      <c r="C1027" t="s">
        <v>108</v>
      </c>
    </row>
    <row r="1028" spans="1:4" x14ac:dyDescent="0.35">
      <c r="A1028" t="s">
        <v>63</v>
      </c>
    </row>
    <row r="1030" spans="1:4" x14ac:dyDescent="0.35">
      <c r="A1030" t="s">
        <v>500</v>
      </c>
    </row>
    <row r="1031" spans="1:4" x14ac:dyDescent="0.35">
      <c r="A1031" t="s">
        <v>501</v>
      </c>
      <c r="B1031" t="s">
        <v>14</v>
      </c>
      <c r="C1031" t="s">
        <v>33</v>
      </c>
      <c r="D1031" t="s">
        <v>16</v>
      </c>
    </row>
    <row r="1032" spans="1:4" x14ac:dyDescent="0.35">
      <c r="A1032" t="s">
        <v>42</v>
      </c>
    </row>
    <row r="1033" spans="1:4" x14ac:dyDescent="0.35">
      <c r="A1033" t="s">
        <v>145</v>
      </c>
    </row>
    <row r="1034" spans="1:4" x14ac:dyDescent="0.35">
      <c r="A1034" t="s">
        <v>34</v>
      </c>
    </row>
    <row r="1035" spans="1:4" x14ac:dyDescent="0.35">
      <c r="A1035" t="s">
        <v>502</v>
      </c>
      <c r="B1035" t="s">
        <v>54</v>
      </c>
      <c r="C1035" t="s">
        <v>37</v>
      </c>
    </row>
    <row r="1036" spans="1:4" x14ac:dyDescent="0.35">
      <c r="A1036" t="s">
        <v>503</v>
      </c>
    </row>
    <row r="1037" spans="1:4" x14ac:dyDescent="0.35">
      <c r="A1037" t="s">
        <v>117</v>
      </c>
    </row>
    <row r="1038" spans="1:4" x14ac:dyDescent="0.35">
      <c r="A1038" t="s">
        <v>364</v>
      </c>
    </row>
    <row r="1039" spans="1:4" x14ac:dyDescent="0.35">
      <c r="A1039" t="s">
        <v>26</v>
      </c>
    </row>
    <row r="1040" spans="1:4" x14ac:dyDescent="0.35">
      <c r="A1040" t="s">
        <v>76</v>
      </c>
    </row>
    <row r="1041" spans="1:4" x14ac:dyDescent="0.35">
      <c r="A1041" t="s">
        <v>504</v>
      </c>
    </row>
    <row r="1042" spans="1:4" x14ac:dyDescent="0.35">
      <c r="A1042" t="s">
        <v>110</v>
      </c>
      <c r="B1042" t="s">
        <v>36</v>
      </c>
      <c r="C1042" t="s">
        <v>33</v>
      </c>
      <c r="D1042" t="s">
        <v>16</v>
      </c>
    </row>
    <row r="1043" spans="1:4" x14ac:dyDescent="0.35">
      <c r="A1043" t="s">
        <v>474</v>
      </c>
    </row>
    <row r="1044" spans="1:4" x14ac:dyDescent="0.35">
      <c r="A1044" t="s">
        <v>58</v>
      </c>
    </row>
    <row r="1045" spans="1:4" x14ac:dyDescent="0.35">
      <c r="A1045" t="s">
        <v>492</v>
      </c>
    </row>
    <row r="1046" spans="1:4" x14ac:dyDescent="0.35">
      <c r="A1046" t="s">
        <v>186</v>
      </c>
      <c r="B1046" t="s">
        <v>91</v>
      </c>
      <c r="C1046" t="s">
        <v>99</v>
      </c>
      <c r="D1046" t="s">
        <v>16</v>
      </c>
    </row>
    <row r="1047" spans="1:4" x14ac:dyDescent="0.35">
      <c r="A1047" t="s">
        <v>179</v>
      </c>
    </row>
    <row r="1048" spans="1:4" x14ac:dyDescent="0.35">
      <c r="A1048" t="s">
        <v>116</v>
      </c>
    </row>
    <row r="1049" spans="1:4" x14ac:dyDescent="0.35">
      <c r="A1049" t="s">
        <v>76</v>
      </c>
    </row>
    <row r="1050" spans="1:4" x14ac:dyDescent="0.35">
      <c r="A1050" t="s">
        <v>40</v>
      </c>
      <c r="B1050" t="s">
        <v>36</v>
      </c>
      <c r="C1050" t="s">
        <v>33</v>
      </c>
      <c r="D1050" t="s">
        <v>16</v>
      </c>
    </row>
    <row r="1051" spans="1:4" x14ac:dyDescent="0.35">
      <c r="A1051" t="s">
        <v>213</v>
      </c>
    </row>
    <row r="1052" spans="1:4" x14ac:dyDescent="0.35">
      <c r="A1052" t="s">
        <v>176</v>
      </c>
      <c r="B1052" t="s">
        <v>91</v>
      </c>
      <c r="C1052" t="s">
        <v>33</v>
      </c>
      <c r="D1052" t="s">
        <v>16</v>
      </c>
    </row>
    <row r="1053" spans="1:4" x14ac:dyDescent="0.35">
      <c r="A1053" t="s">
        <v>76</v>
      </c>
    </row>
    <row r="1054" spans="1:4" x14ac:dyDescent="0.35">
      <c r="A1054" t="s">
        <v>505</v>
      </c>
    </row>
    <row r="1055" spans="1:4" x14ac:dyDescent="0.35">
      <c r="A1055" t="s">
        <v>58</v>
      </c>
    </row>
    <row r="1056" spans="1:4" x14ac:dyDescent="0.35">
      <c r="A1056" t="s">
        <v>215</v>
      </c>
      <c r="B1056" t="s">
        <v>95</v>
      </c>
      <c r="C1056" t="s">
        <v>99</v>
      </c>
      <c r="D1056" t="s">
        <v>16</v>
      </c>
    </row>
    <row r="1057" spans="1:4" x14ac:dyDescent="0.35">
      <c r="A1057" t="s">
        <v>63</v>
      </c>
    </row>
    <row r="1059" spans="1:4" x14ac:dyDescent="0.35">
      <c r="A1059" t="s">
        <v>506</v>
      </c>
    </row>
    <row r="1060" spans="1:4" x14ac:dyDescent="0.35">
      <c r="A1060" t="s">
        <v>110</v>
      </c>
      <c r="B1060" t="s">
        <v>14</v>
      </c>
      <c r="C1060" t="s">
        <v>33</v>
      </c>
      <c r="D1060" t="s">
        <v>16</v>
      </c>
    </row>
    <row r="1061" spans="1:4" x14ac:dyDescent="0.35">
      <c r="A1061" t="s">
        <v>486</v>
      </c>
    </row>
    <row r="1062" spans="1:4" x14ac:dyDescent="0.35">
      <c r="A1062" t="s">
        <v>85</v>
      </c>
      <c r="B1062" t="s">
        <v>32</v>
      </c>
      <c r="C1062" t="s">
        <v>33</v>
      </c>
      <c r="D1062" t="s">
        <v>16</v>
      </c>
    </row>
    <row r="1063" spans="1:4" x14ac:dyDescent="0.35">
      <c r="A1063" t="s">
        <v>507</v>
      </c>
    </row>
    <row r="1064" spans="1:4" x14ac:dyDescent="0.35">
      <c r="A1064" t="s">
        <v>47</v>
      </c>
      <c r="B1064" t="s">
        <v>24</v>
      </c>
      <c r="C1064" t="s">
        <v>49</v>
      </c>
      <c r="D1064" t="s">
        <v>16</v>
      </c>
    </row>
    <row r="1065" spans="1:4" x14ac:dyDescent="0.35">
      <c r="A1065" t="s">
        <v>508</v>
      </c>
      <c r="B1065" t="s">
        <v>54</v>
      </c>
      <c r="C1065" t="s">
        <v>15</v>
      </c>
      <c r="D1065" t="s">
        <v>16</v>
      </c>
    </row>
    <row r="1066" spans="1:4" x14ac:dyDescent="0.35">
      <c r="A1066" t="s">
        <v>26</v>
      </c>
    </row>
    <row r="1067" spans="1:4" x14ac:dyDescent="0.35">
      <c r="A1067" t="s">
        <v>76</v>
      </c>
    </row>
    <row r="1068" spans="1:4" x14ac:dyDescent="0.35">
      <c r="A1068" t="s">
        <v>110</v>
      </c>
      <c r="B1068" t="s">
        <v>36</v>
      </c>
      <c r="C1068" t="s">
        <v>33</v>
      </c>
      <c r="D1068" t="s">
        <v>16</v>
      </c>
    </row>
    <row r="1069" spans="1:4" x14ac:dyDescent="0.35">
      <c r="A1069" t="s">
        <v>509</v>
      </c>
    </row>
    <row r="1070" spans="1:4" x14ac:dyDescent="0.35">
      <c r="A1070" t="s">
        <v>398</v>
      </c>
    </row>
    <row r="1071" spans="1:4" x14ac:dyDescent="0.35">
      <c r="A1071" t="s">
        <v>177</v>
      </c>
    </row>
    <row r="1072" spans="1:4" x14ac:dyDescent="0.35">
      <c r="A1072" t="s">
        <v>45</v>
      </c>
    </row>
    <row r="1073" spans="1:4" x14ac:dyDescent="0.35">
      <c r="A1073" t="s">
        <v>510</v>
      </c>
    </row>
    <row r="1074" spans="1:4" x14ac:dyDescent="0.35">
      <c r="A1074" t="s">
        <v>259</v>
      </c>
      <c r="B1074" t="s">
        <v>48</v>
      </c>
      <c r="C1074" t="s">
        <v>49</v>
      </c>
      <c r="D1074" t="s">
        <v>16</v>
      </c>
    </row>
    <row r="1075" spans="1:4" x14ac:dyDescent="0.35">
      <c r="A1075" t="s">
        <v>511</v>
      </c>
      <c r="B1075" t="s">
        <v>143</v>
      </c>
      <c r="C1075" t="s">
        <v>15</v>
      </c>
      <c r="D1075" t="s">
        <v>16</v>
      </c>
    </row>
    <row r="1076" spans="1:4" x14ac:dyDescent="0.35">
      <c r="A1076" t="s">
        <v>83</v>
      </c>
    </row>
    <row r="1077" spans="1:4" x14ac:dyDescent="0.35">
      <c r="A1077" t="s">
        <v>292</v>
      </c>
    </row>
    <row r="1078" spans="1:4" x14ac:dyDescent="0.35">
      <c r="A1078" t="s">
        <v>45</v>
      </c>
    </row>
    <row r="1079" spans="1:4" x14ac:dyDescent="0.35">
      <c r="A1079" t="s">
        <v>368</v>
      </c>
    </row>
    <row r="1080" spans="1:4" x14ac:dyDescent="0.35">
      <c r="A1080" t="s">
        <v>405</v>
      </c>
      <c r="B1080" t="s">
        <v>79</v>
      </c>
      <c r="C1080" t="s">
        <v>33</v>
      </c>
      <c r="D1080" t="s">
        <v>16</v>
      </c>
    </row>
    <row r="1081" spans="1:4" x14ac:dyDescent="0.35">
      <c r="A1081" t="s">
        <v>147</v>
      </c>
      <c r="B1081" t="s">
        <v>512</v>
      </c>
      <c r="C1081" t="s">
        <v>148</v>
      </c>
    </row>
    <row r="1082" spans="1:4" x14ac:dyDescent="0.35">
      <c r="A1082" t="s">
        <v>110</v>
      </c>
      <c r="B1082" t="s">
        <v>151</v>
      </c>
      <c r="C1082" t="s">
        <v>33</v>
      </c>
      <c r="D1082" t="s">
        <v>16</v>
      </c>
    </row>
    <row r="1083" spans="1:4" x14ac:dyDescent="0.35">
      <c r="A1083" t="s">
        <v>111</v>
      </c>
    </row>
    <row r="1084" spans="1:4" x14ac:dyDescent="0.35">
      <c r="A1084" t="s">
        <v>513</v>
      </c>
    </row>
    <row r="1085" spans="1:4" x14ac:dyDescent="0.35">
      <c r="A1085" t="s">
        <v>63</v>
      </c>
    </row>
    <row r="1087" spans="1:4" x14ac:dyDescent="0.35">
      <c r="A1087" t="s">
        <v>244</v>
      </c>
    </row>
    <row r="1088" spans="1:4" x14ac:dyDescent="0.35">
      <c r="A1088" t="s">
        <v>514</v>
      </c>
    </row>
    <row r="1089" spans="1:4" x14ac:dyDescent="0.35">
      <c r="A1089" t="s">
        <v>246</v>
      </c>
    </row>
    <row r="1090" spans="1:4" x14ac:dyDescent="0.35">
      <c r="A1090" t="s">
        <v>279</v>
      </c>
      <c r="B1090" t="s">
        <v>14</v>
      </c>
      <c r="C1090" t="s">
        <v>33</v>
      </c>
      <c r="D1090" t="s">
        <v>16</v>
      </c>
    </row>
    <row r="1091" spans="1:4" x14ac:dyDescent="0.35">
      <c r="A1091" t="s">
        <v>515</v>
      </c>
    </row>
    <row r="1092" spans="1:4" x14ac:dyDescent="0.35">
      <c r="A1092" t="s">
        <v>26</v>
      </c>
    </row>
    <row r="1093" spans="1:4" x14ac:dyDescent="0.35">
      <c r="A1093" t="s">
        <v>365</v>
      </c>
      <c r="B1093" t="s">
        <v>54</v>
      </c>
      <c r="C1093" t="s">
        <v>21</v>
      </c>
      <c r="D1093" t="s">
        <v>16</v>
      </c>
    </row>
    <row r="1094" spans="1:4" x14ac:dyDescent="0.35">
      <c r="A1094" t="s">
        <v>26</v>
      </c>
    </row>
    <row r="1095" spans="1:4" x14ac:dyDescent="0.35">
      <c r="A1095" t="s">
        <v>39</v>
      </c>
    </row>
    <row r="1096" spans="1:4" x14ac:dyDescent="0.35">
      <c r="A1096" t="s">
        <v>58</v>
      </c>
    </row>
    <row r="1097" spans="1:4" x14ac:dyDescent="0.35">
      <c r="A1097" t="s">
        <v>516</v>
      </c>
      <c r="B1097" t="s">
        <v>41</v>
      </c>
      <c r="C1097" t="s">
        <v>99</v>
      </c>
      <c r="D1097" t="s">
        <v>16</v>
      </c>
    </row>
    <row r="1098" spans="1:4" x14ac:dyDescent="0.35">
      <c r="A1098" t="s">
        <v>319</v>
      </c>
    </row>
    <row r="1099" spans="1:4" x14ac:dyDescent="0.35">
      <c r="A1099" t="s">
        <v>224</v>
      </c>
    </row>
    <row r="1100" spans="1:4" x14ac:dyDescent="0.35">
      <c r="A1100" t="s">
        <v>495</v>
      </c>
      <c r="B1100" t="s">
        <v>24</v>
      </c>
      <c r="C1100" t="s">
        <v>517</v>
      </c>
      <c r="D1100" t="s">
        <v>16</v>
      </c>
    </row>
    <row r="1101" spans="1:4" x14ac:dyDescent="0.35">
      <c r="A1101" t="s">
        <v>251</v>
      </c>
    </row>
    <row r="1102" spans="1:4" x14ac:dyDescent="0.35">
      <c r="A1102" t="s">
        <v>246</v>
      </c>
    </row>
    <row r="1104" spans="1:4" x14ac:dyDescent="0.35">
      <c r="A1104" t="s">
        <v>518</v>
      </c>
    </row>
    <row r="1105" spans="1:4" x14ac:dyDescent="0.35">
      <c r="A1105" t="s">
        <v>19</v>
      </c>
      <c r="B1105" t="s">
        <v>14</v>
      </c>
      <c r="C1105" t="s">
        <v>108</v>
      </c>
    </row>
    <row r="1106" spans="1:4" x14ac:dyDescent="0.35">
      <c r="A1106" t="s">
        <v>519</v>
      </c>
    </row>
    <row r="1107" spans="1:4" x14ac:dyDescent="0.35">
      <c r="A1107" t="s">
        <v>26</v>
      </c>
    </row>
    <row r="1108" spans="1:4" x14ac:dyDescent="0.35">
      <c r="A1108" t="s">
        <v>161</v>
      </c>
    </row>
    <row r="1109" spans="1:4" x14ac:dyDescent="0.35">
      <c r="A1109" t="s">
        <v>110</v>
      </c>
      <c r="B1109" t="s">
        <v>36</v>
      </c>
      <c r="C1109" t="s">
        <v>33</v>
      </c>
      <c r="D1109" t="s">
        <v>16</v>
      </c>
    </row>
    <row r="1110" spans="1:4" x14ac:dyDescent="0.35">
      <c r="A1110" t="s">
        <v>111</v>
      </c>
    </row>
    <row r="1111" spans="1:4" x14ac:dyDescent="0.35">
      <c r="A1111" t="s">
        <v>520</v>
      </c>
    </row>
    <row r="1112" spans="1:4" x14ac:dyDescent="0.35">
      <c r="A1112" t="s">
        <v>259</v>
      </c>
      <c r="B1112" t="s">
        <v>20</v>
      </c>
      <c r="C1112" t="s">
        <v>49</v>
      </c>
      <c r="D1112" t="s">
        <v>16</v>
      </c>
    </row>
    <row r="1113" spans="1:4" x14ac:dyDescent="0.35">
      <c r="A1113" t="s">
        <v>521</v>
      </c>
      <c r="B1113" t="s">
        <v>91</v>
      </c>
      <c r="C1113" t="s">
        <v>15</v>
      </c>
      <c r="D1113" t="s">
        <v>16</v>
      </c>
    </row>
    <row r="1114" spans="1:4" x14ac:dyDescent="0.35">
      <c r="A1114" t="s">
        <v>63</v>
      </c>
    </row>
    <row r="1116" spans="1:4" x14ac:dyDescent="0.35">
      <c r="A1116" t="s">
        <v>244</v>
      </c>
    </row>
    <row r="1117" spans="1:4" x14ac:dyDescent="0.35">
      <c r="A1117" t="s">
        <v>522</v>
      </c>
    </row>
    <row r="1118" spans="1:4" x14ac:dyDescent="0.35">
      <c r="A1118" t="s">
        <v>246</v>
      </c>
    </row>
    <row r="1119" spans="1:4" x14ac:dyDescent="0.35">
      <c r="A1119" t="s">
        <v>523</v>
      </c>
    </row>
    <row r="1120" spans="1:4" x14ac:dyDescent="0.35">
      <c r="A1120" t="s">
        <v>63</v>
      </c>
    </row>
    <row r="1121" spans="1:4" x14ac:dyDescent="0.35">
      <c r="A1121" t="s">
        <v>246</v>
      </c>
    </row>
    <row r="1122" spans="1:4" x14ac:dyDescent="0.35">
      <c r="A1122" t="s">
        <v>246</v>
      </c>
    </row>
    <row r="1123" spans="1:4" x14ac:dyDescent="0.35">
      <c r="A1123" t="s">
        <v>524</v>
      </c>
    </row>
    <row r="1124" spans="1:4" x14ac:dyDescent="0.35">
      <c r="A1124" t="s">
        <v>525</v>
      </c>
    </row>
    <row r="1125" spans="1:4" x14ac:dyDescent="0.35">
      <c r="A1125" t="s">
        <v>526</v>
      </c>
      <c r="B1125" t="s">
        <v>14</v>
      </c>
      <c r="C1125" t="s">
        <v>33</v>
      </c>
      <c r="D1125" t="s">
        <v>16</v>
      </c>
    </row>
    <row r="1126" spans="1:4" x14ac:dyDescent="0.35">
      <c r="A1126" t="s">
        <v>154</v>
      </c>
    </row>
    <row r="1127" spans="1:4" x14ac:dyDescent="0.35">
      <c r="A1127" t="s">
        <v>26</v>
      </c>
    </row>
    <row r="1128" spans="1:4" x14ac:dyDescent="0.35">
      <c r="A1128" t="s">
        <v>504</v>
      </c>
    </row>
    <row r="1129" spans="1:4" x14ac:dyDescent="0.35">
      <c r="A1129" t="s">
        <v>26</v>
      </c>
    </row>
    <row r="1130" spans="1:4" x14ac:dyDescent="0.35">
      <c r="A1130" t="s">
        <v>527</v>
      </c>
    </row>
    <row r="1131" spans="1:4" x14ac:dyDescent="0.35">
      <c r="A1131" t="s">
        <v>495</v>
      </c>
    </row>
    <row r="1132" spans="1:4" x14ac:dyDescent="0.35">
      <c r="A1132" t="s">
        <v>319</v>
      </c>
    </row>
    <row r="1133" spans="1:4" x14ac:dyDescent="0.35">
      <c r="A1133" t="s">
        <v>67</v>
      </c>
    </row>
    <row r="1134" spans="1:4" x14ac:dyDescent="0.35">
      <c r="A1134" t="s">
        <v>528</v>
      </c>
      <c r="B1134" t="s">
        <v>36</v>
      </c>
      <c r="C1134" t="s">
        <v>339</v>
      </c>
    </row>
    <row r="1135" spans="1:4" x14ac:dyDescent="0.35">
      <c r="A1135" t="s">
        <v>123</v>
      </c>
    </row>
    <row r="1136" spans="1:4" x14ac:dyDescent="0.35">
      <c r="A1136" t="s">
        <v>53</v>
      </c>
    </row>
    <row r="1137" spans="1:4" x14ac:dyDescent="0.35">
      <c r="A1137" t="s">
        <v>54</v>
      </c>
    </row>
    <row r="1138" spans="1:4" x14ac:dyDescent="0.35">
      <c r="A1138" t="s">
        <v>387</v>
      </c>
      <c r="B1138" t="s">
        <v>20</v>
      </c>
      <c r="C1138" t="s">
        <v>37</v>
      </c>
    </row>
    <row r="1139" spans="1:4" x14ac:dyDescent="0.35">
      <c r="A1139" t="s">
        <v>529</v>
      </c>
    </row>
    <row r="1140" spans="1:4" x14ac:dyDescent="0.35">
      <c r="A1140" t="s">
        <v>58</v>
      </c>
    </row>
    <row r="1141" spans="1:4" x14ac:dyDescent="0.35">
      <c r="A1141" t="s">
        <v>377</v>
      </c>
      <c r="B1141" t="s">
        <v>56</v>
      </c>
      <c r="C1141" t="s">
        <v>99</v>
      </c>
      <c r="D1141" t="s">
        <v>16</v>
      </c>
    </row>
    <row r="1142" spans="1:4" x14ac:dyDescent="0.35">
      <c r="A1142" t="s">
        <v>251</v>
      </c>
    </row>
    <row r="1143" spans="1:4" x14ac:dyDescent="0.35">
      <c r="A1143" t="s">
        <v>246</v>
      </c>
    </row>
    <row r="1145" spans="1:4" x14ac:dyDescent="0.35">
      <c r="A1145" t="s">
        <v>244</v>
      </c>
    </row>
    <row r="1146" spans="1:4" x14ac:dyDescent="0.35">
      <c r="A1146" t="s">
        <v>530</v>
      </c>
    </row>
    <row r="1147" spans="1:4" x14ac:dyDescent="0.35">
      <c r="A1147" t="s">
        <v>246</v>
      </c>
    </row>
    <row r="1148" spans="1:4" x14ac:dyDescent="0.35">
      <c r="A1148" t="s">
        <v>110</v>
      </c>
      <c r="B1148" t="s">
        <v>14</v>
      </c>
      <c r="C1148" t="s">
        <v>33</v>
      </c>
      <c r="D1148" t="s">
        <v>16</v>
      </c>
    </row>
    <row r="1149" spans="1:4" x14ac:dyDescent="0.35">
      <c r="A1149" t="s">
        <v>525</v>
      </c>
    </row>
    <row r="1150" spans="1:4" x14ac:dyDescent="0.35">
      <c r="A1150" t="s">
        <v>224</v>
      </c>
    </row>
    <row r="1151" spans="1:4" x14ac:dyDescent="0.35">
      <c r="A1151" t="s">
        <v>375</v>
      </c>
    </row>
    <row r="1152" spans="1:4" x14ac:dyDescent="0.35">
      <c r="A1152" t="s">
        <v>510</v>
      </c>
      <c r="B1152" t="s">
        <v>54</v>
      </c>
      <c r="C1152" t="s">
        <v>148</v>
      </c>
    </row>
    <row r="1153" spans="1:4" x14ac:dyDescent="0.35">
      <c r="A1153" t="s">
        <v>526</v>
      </c>
      <c r="B1153" t="s">
        <v>41</v>
      </c>
      <c r="C1153" t="s">
        <v>33</v>
      </c>
      <c r="D1153" t="s">
        <v>16</v>
      </c>
    </row>
    <row r="1154" spans="1:4" x14ac:dyDescent="0.35">
      <c r="A1154" t="s">
        <v>319</v>
      </c>
    </row>
    <row r="1155" spans="1:4" x14ac:dyDescent="0.35">
      <c r="A1155" t="s">
        <v>63</v>
      </c>
    </row>
    <row r="1156" spans="1:4" x14ac:dyDescent="0.35">
      <c r="A1156" t="s">
        <v>246</v>
      </c>
    </row>
    <row r="1158" spans="1:4" x14ac:dyDescent="0.35">
      <c r="A1158" t="s">
        <v>531</v>
      </c>
    </row>
    <row r="1159" spans="1:4" x14ac:dyDescent="0.35">
      <c r="A1159" t="s">
        <v>110</v>
      </c>
      <c r="B1159" t="s">
        <v>14</v>
      </c>
      <c r="C1159" t="s">
        <v>33</v>
      </c>
      <c r="D1159" t="s">
        <v>16</v>
      </c>
    </row>
    <row r="1160" spans="1:4" x14ac:dyDescent="0.35">
      <c r="A1160" t="s">
        <v>258</v>
      </c>
    </row>
    <row r="1161" spans="1:4" x14ac:dyDescent="0.35">
      <c r="A1161" t="s">
        <v>140</v>
      </c>
    </row>
    <row r="1162" spans="1:4" x14ac:dyDescent="0.35">
      <c r="A1162" t="s">
        <v>39</v>
      </c>
    </row>
    <row r="1163" spans="1:4" x14ac:dyDescent="0.35">
      <c r="A1163" t="s">
        <v>310</v>
      </c>
    </row>
    <row r="1164" spans="1:4" x14ac:dyDescent="0.35">
      <c r="A1164" t="s">
        <v>58</v>
      </c>
    </row>
    <row r="1165" spans="1:4" x14ac:dyDescent="0.35">
      <c r="A1165" t="s">
        <v>126</v>
      </c>
    </row>
    <row r="1166" spans="1:4" x14ac:dyDescent="0.35">
      <c r="A1166" t="s">
        <v>311</v>
      </c>
    </row>
    <row r="1167" spans="1:4" x14ac:dyDescent="0.35">
      <c r="A1167" t="s">
        <v>312</v>
      </c>
      <c r="B1167" t="s">
        <v>36</v>
      </c>
      <c r="C1167" t="s">
        <v>21</v>
      </c>
      <c r="D1167" t="s">
        <v>16</v>
      </c>
    </row>
    <row r="1168" spans="1:4" x14ac:dyDescent="0.35">
      <c r="A1168" t="s">
        <v>495</v>
      </c>
    </row>
    <row r="1169" spans="1:4" x14ac:dyDescent="0.35">
      <c r="A1169" t="s">
        <v>532</v>
      </c>
    </row>
    <row r="1170" spans="1:4" x14ac:dyDescent="0.35">
      <c r="A1170" t="s">
        <v>34</v>
      </c>
    </row>
    <row r="1171" spans="1:4" x14ac:dyDescent="0.35">
      <c r="A1171" t="s">
        <v>533</v>
      </c>
      <c r="B1171" t="s">
        <v>91</v>
      </c>
      <c r="C1171" t="s">
        <v>37</v>
      </c>
    </row>
    <row r="1172" spans="1:4" x14ac:dyDescent="0.35">
      <c r="A1172" t="s">
        <v>26</v>
      </c>
    </row>
    <row r="1173" spans="1:4" x14ac:dyDescent="0.35">
      <c r="A1173" t="s">
        <v>534</v>
      </c>
    </row>
    <row r="1174" spans="1:4" x14ac:dyDescent="0.35">
      <c r="A1174" t="s">
        <v>307</v>
      </c>
      <c r="B1174" t="s">
        <v>20</v>
      </c>
      <c r="C1174" t="s">
        <v>108</v>
      </c>
    </row>
    <row r="1175" spans="1:4" x14ac:dyDescent="0.35">
      <c r="A1175" t="s">
        <v>63</v>
      </c>
    </row>
    <row r="1177" spans="1:4" x14ac:dyDescent="0.35">
      <c r="A1177" t="s">
        <v>535</v>
      </c>
    </row>
    <row r="1178" spans="1:4" x14ac:dyDescent="0.35">
      <c r="A1178" t="s">
        <v>208</v>
      </c>
      <c r="B1178" t="s">
        <v>14</v>
      </c>
      <c r="C1178" t="s">
        <v>33</v>
      </c>
      <c r="D1178" t="s">
        <v>16</v>
      </c>
    </row>
    <row r="1179" spans="1:4" x14ac:dyDescent="0.35">
      <c r="A1179" t="s">
        <v>42</v>
      </c>
    </row>
    <row r="1180" spans="1:4" x14ac:dyDescent="0.35">
      <c r="A1180" t="s">
        <v>536</v>
      </c>
    </row>
    <row r="1181" spans="1:4" x14ac:dyDescent="0.35">
      <c r="A1181" t="s">
        <v>537</v>
      </c>
    </row>
    <row r="1182" spans="1:4" x14ac:dyDescent="0.35">
      <c r="A1182" t="s">
        <v>123</v>
      </c>
    </row>
    <row r="1183" spans="1:4" x14ac:dyDescent="0.35">
      <c r="A1183" t="s">
        <v>136</v>
      </c>
      <c r="B1183" t="s">
        <v>24</v>
      </c>
      <c r="C1183" t="s">
        <v>49</v>
      </c>
      <c r="D1183" t="s">
        <v>16</v>
      </c>
    </row>
    <row r="1184" spans="1:4" x14ac:dyDescent="0.35">
      <c r="A1184" t="s">
        <v>538</v>
      </c>
      <c r="B1184" t="s">
        <v>54</v>
      </c>
      <c r="C1184" t="s">
        <v>15</v>
      </c>
      <c r="D1184" t="s">
        <v>16</v>
      </c>
    </row>
    <row r="1185" spans="1:4" x14ac:dyDescent="0.35">
      <c r="A1185" t="s">
        <v>26</v>
      </c>
    </row>
    <row r="1186" spans="1:4" x14ac:dyDescent="0.35">
      <c r="A1186" t="s">
        <v>76</v>
      </c>
    </row>
    <row r="1187" spans="1:4" x14ac:dyDescent="0.35">
      <c r="A1187" t="s">
        <v>539</v>
      </c>
    </row>
    <row r="1188" spans="1:4" x14ac:dyDescent="0.35">
      <c r="A1188" t="s">
        <v>540</v>
      </c>
      <c r="B1188" t="s">
        <v>91</v>
      </c>
    </row>
    <row r="1189" spans="1:4" x14ac:dyDescent="0.35">
      <c r="A1189" t="s">
        <v>225</v>
      </c>
    </row>
    <row r="1190" spans="1:4" x14ac:dyDescent="0.35">
      <c r="A1190" t="s">
        <v>541</v>
      </c>
    </row>
    <row r="1191" spans="1:4" x14ac:dyDescent="0.35">
      <c r="A1191" t="s">
        <v>34</v>
      </c>
    </row>
    <row r="1192" spans="1:4" x14ac:dyDescent="0.35">
      <c r="A1192" t="s">
        <v>413</v>
      </c>
      <c r="B1192" t="s">
        <v>24</v>
      </c>
      <c r="C1192" t="s">
        <v>37</v>
      </c>
    </row>
    <row r="1193" spans="1:4" x14ac:dyDescent="0.35">
      <c r="A1193" t="s">
        <v>169</v>
      </c>
    </row>
    <row r="1194" spans="1:4" x14ac:dyDescent="0.35">
      <c r="A1194" t="s">
        <v>39</v>
      </c>
    </row>
    <row r="1195" spans="1:4" x14ac:dyDescent="0.35">
      <c r="A1195" t="s">
        <v>171</v>
      </c>
      <c r="B1195" t="s">
        <v>20</v>
      </c>
      <c r="C1195" t="s">
        <v>122</v>
      </c>
      <c r="D1195" t="s">
        <v>16</v>
      </c>
    </row>
    <row r="1196" spans="1:4" x14ac:dyDescent="0.35">
      <c r="A1196" t="s">
        <v>17</v>
      </c>
    </row>
    <row r="1197" spans="1:4" x14ac:dyDescent="0.35">
      <c r="A1197" t="s">
        <v>129</v>
      </c>
      <c r="B1197" t="s">
        <v>56</v>
      </c>
      <c r="C1197" t="s">
        <v>33</v>
      </c>
      <c r="D1197" t="s">
        <v>16</v>
      </c>
    </row>
    <row r="1198" spans="1:4" x14ac:dyDescent="0.35">
      <c r="A1198" t="s">
        <v>26</v>
      </c>
    </row>
    <row r="1199" spans="1:4" x14ac:dyDescent="0.35">
      <c r="A1199" t="s">
        <v>412</v>
      </c>
    </row>
    <row r="1200" spans="1:4" x14ac:dyDescent="0.35">
      <c r="A1200" t="s">
        <v>26</v>
      </c>
    </row>
    <row r="1201" spans="1:4" x14ac:dyDescent="0.35">
      <c r="A1201" t="s">
        <v>115</v>
      </c>
    </row>
    <row r="1202" spans="1:4" x14ac:dyDescent="0.35">
      <c r="A1202" t="s">
        <v>542</v>
      </c>
    </row>
    <row r="1203" spans="1:4" x14ac:dyDescent="0.35">
      <c r="A1203" t="s">
        <v>76</v>
      </c>
    </row>
    <row r="1204" spans="1:4" x14ac:dyDescent="0.35">
      <c r="A1204" t="s">
        <v>543</v>
      </c>
    </row>
    <row r="1205" spans="1:4" x14ac:dyDescent="0.35">
      <c r="A1205" t="s">
        <v>544</v>
      </c>
    </row>
    <row r="1206" spans="1:4" x14ac:dyDescent="0.35">
      <c r="A1206" t="s">
        <v>63</v>
      </c>
    </row>
    <row r="1208" spans="1:4" x14ac:dyDescent="0.35">
      <c r="A1208" t="s">
        <v>545</v>
      </c>
    </row>
    <row r="1209" spans="1:4" x14ac:dyDescent="0.35">
      <c r="A1209" t="s">
        <v>97</v>
      </c>
    </row>
    <row r="1210" spans="1:4" x14ac:dyDescent="0.35">
      <c r="A1210" t="s">
        <v>546</v>
      </c>
    </row>
    <row r="1211" spans="1:4" x14ac:dyDescent="0.35">
      <c r="A1211" t="s">
        <v>547</v>
      </c>
      <c r="B1211" t="s">
        <v>54</v>
      </c>
      <c r="C1211" t="s">
        <v>99</v>
      </c>
      <c r="D1211" t="s">
        <v>16</v>
      </c>
    </row>
    <row r="1212" spans="1:4" x14ac:dyDescent="0.35">
      <c r="A1212" t="s">
        <v>169</v>
      </c>
    </row>
    <row r="1213" spans="1:4" x14ac:dyDescent="0.35">
      <c r="A1213" t="s">
        <v>31</v>
      </c>
      <c r="B1213" t="s">
        <v>54</v>
      </c>
      <c r="C1213" t="s">
        <v>33</v>
      </c>
      <c r="D1213" t="s">
        <v>16</v>
      </c>
    </row>
    <row r="1214" spans="1:4" x14ac:dyDescent="0.35">
      <c r="A1214" t="s">
        <v>26</v>
      </c>
    </row>
    <row r="1215" spans="1:4" x14ac:dyDescent="0.35">
      <c r="A1215" t="s">
        <v>76</v>
      </c>
    </row>
    <row r="1216" spans="1:4" x14ac:dyDescent="0.35">
      <c r="A1216" t="s">
        <v>31</v>
      </c>
      <c r="B1216" t="s">
        <v>36</v>
      </c>
      <c r="C1216" t="s">
        <v>33</v>
      </c>
      <c r="D1216" t="s">
        <v>16</v>
      </c>
    </row>
    <row r="1217" spans="1:4" x14ac:dyDescent="0.35">
      <c r="A1217" t="s">
        <v>451</v>
      </c>
    </row>
    <row r="1218" spans="1:4" x14ac:dyDescent="0.35">
      <c r="A1218" t="s">
        <v>541</v>
      </c>
    </row>
    <row r="1219" spans="1:4" x14ac:dyDescent="0.35">
      <c r="A1219" t="s">
        <v>34</v>
      </c>
    </row>
    <row r="1220" spans="1:4" x14ac:dyDescent="0.35">
      <c r="A1220" t="s">
        <v>126</v>
      </c>
    </row>
    <row r="1221" spans="1:4" x14ac:dyDescent="0.35">
      <c r="A1221" t="s">
        <v>548</v>
      </c>
    </row>
    <row r="1222" spans="1:4" x14ac:dyDescent="0.35">
      <c r="A1222" t="s">
        <v>549</v>
      </c>
    </row>
    <row r="1223" spans="1:4" x14ac:dyDescent="0.35">
      <c r="A1223" t="s">
        <v>262</v>
      </c>
    </row>
    <row r="1224" spans="1:4" x14ac:dyDescent="0.35">
      <c r="A1224" t="s">
        <v>550</v>
      </c>
      <c r="B1224" t="s">
        <v>24</v>
      </c>
      <c r="C1224" t="s">
        <v>37</v>
      </c>
    </row>
    <row r="1225" spans="1:4" x14ac:dyDescent="0.35">
      <c r="A1225" t="s">
        <v>26</v>
      </c>
    </row>
    <row r="1226" spans="1:4" x14ac:dyDescent="0.35">
      <c r="A1226" t="s">
        <v>159</v>
      </c>
    </row>
    <row r="1227" spans="1:4" x14ac:dyDescent="0.35">
      <c r="A1227" t="s">
        <v>58</v>
      </c>
    </row>
    <row r="1228" spans="1:4" x14ac:dyDescent="0.35">
      <c r="A1228" t="s">
        <v>551</v>
      </c>
      <c r="B1228" t="s">
        <v>54</v>
      </c>
      <c r="C1228" t="s">
        <v>99</v>
      </c>
      <c r="D1228" t="s">
        <v>16</v>
      </c>
    </row>
    <row r="1229" spans="1:4" x14ac:dyDescent="0.35">
      <c r="A1229" t="s">
        <v>17</v>
      </c>
    </row>
    <row r="1230" spans="1:4" x14ac:dyDescent="0.35">
      <c r="A1230" t="s">
        <v>58</v>
      </c>
    </row>
    <row r="1231" spans="1:4" x14ac:dyDescent="0.35">
      <c r="A1231" t="s">
        <v>552</v>
      </c>
    </row>
    <row r="1232" spans="1:4" x14ac:dyDescent="0.35">
      <c r="A1232" t="s">
        <v>553</v>
      </c>
      <c r="B1232" t="s">
        <v>24</v>
      </c>
      <c r="C1232" t="s">
        <v>99</v>
      </c>
      <c r="D1232" t="s">
        <v>16</v>
      </c>
    </row>
    <row r="1233" spans="1:4" x14ac:dyDescent="0.35">
      <c r="A1233" t="s">
        <v>105</v>
      </c>
    </row>
    <row r="1234" spans="1:4" x14ac:dyDescent="0.35">
      <c r="A1234" t="s">
        <v>346</v>
      </c>
      <c r="B1234" t="s">
        <v>54</v>
      </c>
      <c r="C1234" t="s">
        <v>108</v>
      </c>
    </row>
    <row r="1235" spans="1:4" x14ac:dyDescent="0.35">
      <c r="A1235" t="s">
        <v>554</v>
      </c>
    </row>
    <row r="1236" spans="1:4" x14ac:dyDescent="0.35">
      <c r="A1236" t="s">
        <v>164</v>
      </c>
    </row>
    <row r="1237" spans="1:4" x14ac:dyDescent="0.35">
      <c r="A1237" t="s">
        <v>555</v>
      </c>
      <c r="B1237" t="s">
        <v>56</v>
      </c>
      <c r="C1237" t="s">
        <v>49</v>
      </c>
      <c r="D1237" t="s">
        <v>16</v>
      </c>
    </row>
    <row r="1238" spans="1:4" x14ac:dyDescent="0.35">
      <c r="A1238" t="s">
        <v>556</v>
      </c>
      <c r="B1238" t="s">
        <v>20</v>
      </c>
      <c r="C1238" t="s">
        <v>15</v>
      </c>
      <c r="D1238" t="s">
        <v>16</v>
      </c>
    </row>
    <row r="1239" spans="1:4" x14ac:dyDescent="0.35">
      <c r="A1239" t="s">
        <v>63</v>
      </c>
    </row>
    <row r="1241" spans="1:4" x14ac:dyDescent="0.35">
      <c r="A1241" t="s">
        <v>557</v>
      </c>
    </row>
    <row r="1242" spans="1:4" x14ac:dyDescent="0.35">
      <c r="A1242" t="s">
        <v>19</v>
      </c>
      <c r="B1242" t="s">
        <v>24</v>
      </c>
      <c r="C1242" t="s">
        <v>21</v>
      </c>
      <c r="D1242" t="s">
        <v>16</v>
      </c>
    </row>
    <row r="1243" spans="1:4" x14ac:dyDescent="0.35">
      <c r="A1243" t="s">
        <v>22</v>
      </c>
    </row>
    <row r="1244" spans="1:4" x14ac:dyDescent="0.35">
      <c r="A1244" t="s">
        <v>558</v>
      </c>
      <c r="B1244" t="s">
        <v>14</v>
      </c>
      <c r="C1244" t="s">
        <v>15</v>
      </c>
      <c r="D1244" t="s">
        <v>16</v>
      </c>
    </row>
    <row r="1245" spans="1:4" x14ac:dyDescent="0.35">
      <c r="A1245" t="s">
        <v>42</v>
      </c>
    </row>
    <row r="1246" spans="1:4" x14ac:dyDescent="0.35">
      <c r="A1246" t="s">
        <v>493</v>
      </c>
    </row>
    <row r="1247" spans="1:4" x14ac:dyDescent="0.35">
      <c r="A1247" t="s">
        <v>439</v>
      </c>
    </row>
    <row r="1248" spans="1:4" x14ac:dyDescent="0.35">
      <c r="A1248" t="s">
        <v>31</v>
      </c>
      <c r="B1248" t="s">
        <v>54</v>
      </c>
      <c r="C1248" t="s">
        <v>33</v>
      </c>
      <c r="D1248" t="s">
        <v>16</v>
      </c>
    </row>
    <row r="1249" spans="1:4" x14ac:dyDescent="0.35">
      <c r="A1249" t="s">
        <v>26</v>
      </c>
    </row>
    <row r="1250" spans="1:4" x14ac:dyDescent="0.35">
      <c r="A1250" t="s">
        <v>76</v>
      </c>
    </row>
    <row r="1251" spans="1:4" x14ac:dyDescent="0.35">
      <c r="A1251" t="s">
        <v>40</v>
      </c>
      <c r="B1251" t="s">
        <v>36</v>
      </c>
      <c r="C1251" t="s">
        <v>33</v>
      </c>
      <c r="D1251" t="s">
        <v>16</v>
      </c>
    </row>
    <row r="1252" spans="1:4" x14ac:dyDescent="0.35">
      <c r="A1252" t="s">
        <v>559</v>
      </c>
    </row>
    <row r="1253" spans="1:4" x14ac:dyDescent="0.35">
      <c r="A1253" t="s">
        <v>560</v>
      </c>
    </row>
    <row r="1254" spans="1:4" x14ac:dyDescent="0.35">
      <c r="A1254" t="s">
        <v>105</v>
      </c>
    </row>
    <row r="1255" spans="1:4" x14ac:dyDescent="0.35">
      <c r="A1255" t="s">
        <v>40</v>
      </c>
      <c r="B1255" t="s">
        <v>41</v>
      </c>
      <c r="C1255" t="s">
        <v>33</v>
      </c>
      <c r="D1255" t="s">
        <v>16</v>
      </c>
    </row>
    <row r="1256" spans="1:4" x14ac:dyDescent="0.35">
      <c r="A1256" t="s">
        <v>406</v>
      </c>
    </row>
    <row r="1257" spans="1:4" x14ac:dyDescent="0.35">
      <c r="A1257" t="s">
        <v>555</v>
      </c>
      <c r="B1257" t="s">
        <v>56</v>
      </c>
      <c r="C1257" t="s">
        <v>49</v>
      </c>
      <c r="D1257" t="s">
        <v>16</v>
      </c>
    </row>
    <row r="1258" spans="1:4" x14ac:dyDescent="0.35">
      <c r="A1258" t="s">
        <v>561</v>
      </c>
    </row>
    <row r="1259" spans="1:4" x14ac:dyDescent="0.35">
      <c r="A1259" t="s">
        <v>562</v>
      </c>
      <c r="B1259" t="s">
        <v>95</v>
      </c>
      <c r="C1259" t="s">
        <v>15</v>
      </c>
      <c r="D1259" t="s">
        <v>16</v>
      </c>
    </row>
    <row r="1260" spans="1:4" x14ac:dyDescent="0.35">
      <c r="A1260" t="s">
        <v>63</v>
      </c>
    </row>
    <row r="1262" spans="1:4" x14ac:dyDescent="0.35">
      <c r="A1262" t="s">
        <v>244</v>
      </c>
    </row>
    <row r="1263" spans="1:4" x14ac:dyDescent="0.35">
      <c r="A1263" t="s">
        <v>563</v>
      </c>
    </row>
    <row r="1264" spans="1:4" x14ac:dyDescent="0.35">
      <c r="A1264" t="s">
        <v>246</v>
      </c>
    </row>
    <row r="1265" spans="1:4" x14ac:dyDescent="0.35">
      <c r="A1265" t="s">
        <v>208</v>
      </c>
      <c r="B1265" t="s">
        <v>14</v>
      </c>
      <c r="C1265" t="s">
        <v>33</v>
      </c>
      <c r="D1265" t="s">
        <v>16</v>
      </c>
    </row>
    <row r="1266" spans="1:4" x14ac:dyDescent="0.35">
      <c r="A1266" t="s">
        <v>22</v>
      </c>
    </row>
    <row r="1267" spans="1:4" x14ac:dyDescent="0.35">
      <c r="A1267" t="s">
        <v>564</v>
      </c>
    </row>
    <row r="1268" spans="1:4" x14ac:dyDescent="0.35">
      <c r="A1268" t="s">
        <v>439</v>
      </c>
    </row>
    <row r="1269" spans="1:4" x14ac:dyDescent="0.35">
      <c r="A1269" t="s">
        <v>129</v>
      </c>
      <c r="B1269" t="s">
        <v>54</v>
      </c>
      <c r="C1269" t="s">
        <v>33</v>
      </c>
      <c r="D1269" t="s">
        <v>16</v>
      </c>
    </row>
    <row r="1270" spans="1:4" x14ac:dyDescent="0.35">
      <c r="A1270" t="s">
        <v>26</v>
      </c>
    </row>
    <row r="1271" spans="1:4" x14ac:dyDescent="0.35">
      <c r="A1271" t="s">
        <v>365</v>
      </c>
      <c r="B1271" t="s">
        <v>24</v>
      </c>
      <c r="C1271" t="s">
        <v>21</v>
      </c>
      <c r="D1271" t="s">
        <v>16</v>
      </c>
    </row>
    <row r="1272" spans="1:4" x14ac:dyDescent="0.35">
      <c r="A1272" t="s">
        <v>63</v>
      </c>
    </row>
    <row r="1273" spans="1:4" x14ac:dyDescent="0.35">
      <c r="A1273" t="s">
        <v>246</v>
      </c>
    </row>
    <row r="1275" spans="1:4" x14ac:dyDescent="0.35">
      <c r="A1275" t="s">
        <v>244</v>
      </c>
    </row>
    <row r="1276" spans="1:4" x14ac:dyDescent="0.35">
      <c r="A1276" t="s">
        <v>565</v>
      </c>
    </row>
    <row r="1277" spans="1:4" x14ac:dyDescent="0.35">
      <c r="A1277" t="s">
        <v>246</v>
      </c>
    </row>
    <row r="1278" spans="1:4" x14ac:dyDescent="0.35">
      <c r="A1278" t="s">
        <v>566</v>
      </c>
    </row>
    <row r="1279" spans="1:4" x14ac:dyDescent="0.35">
      <c r="A1279" t="s">
        <v>39</v>
      </c>
      <c r="B1279" t="s">
        <v>14</v>
      </c>
      <c r="C1279" t="s">
        <v>80</v>
      </c>
      <c r="D1279" t="s">
        <v>16</v>
      </c>
    </row>
    <row r="1280" spans="1:4" x14ac:dyDescent="0.35">
      <c r="A1280" t="s">
        <v>567</v>
      </c>
    </row>
    <row r="1281" spans="1:4" x14ac:dyDescent="0.35">
      <c r="A1281" t="s">
        <v>251</v>
      </c>
    </row>
    <row r="1282" spans="1:4" x14ac:dyDescent="0.35">
      <c r="A1282" t="s">
        <v>246</v>
      </c>
    </row>
    <row r="1284" spans="1:4" x14ac:dyDescent="0.35">
      <c r="A1284" t="s">
        <v>244</v>
      </c>
    </row>
    <row r="1285" spans="1:4" x14ac:dyDescent="0.35">
      <c r="A1285" t="s">
        <v>568</v>
      </c>
    </row>
    <row r="1286" spans="1:4" x14ac:dyDescent="0.35">
      <c r="A1286" t="s">
        <v>246</v>
      </c>
    </row>
    <row r="1287" spans="1:4" x14ac:dyDescent="0.35">
      <c r="A1287" t="s">
        <v>569</v>
      </c>
    </row>
    <row r="1288" spans="1:4" x14ac:dyDescent="0.35">
      <c r="A1288" t="s">
        <v>567</v>
      </c>
    </row>
    <row r="1289" spans="1:4" x14ac:dyDescent="0.35">
      <c r="A1289" t="s">
        <v>26</v>
      </c>
    </row>
    <row r="1290" spans="1:4" x14ac:dyDescent="0.35">
      <c r="A1290" t="s">
        <v>27</v>
      </c>
    </row>
    <row r="1291" spans="1:4" x14ac:dyDescent="0.35">
      <c r="A1291" t="s">
        <v>570</v>
      </c>
    </row>
    <row r="1292" spans="1:4" x14ac:dyDescent="0.35">
      <c r="A1292" t="s">
        <v>28</v>
      </c>
    </row>
    <row r="1293" spans="1:4" x14ac:dyDescent="0.35">
      <c r="A1293" t="s">
        <v>571</v>
      </c>
      <c r="B1293" t="s">
        <v>54</v>
      </c>
      <c r="C1293" t="s">
        <v>572</v>
      </c>
      <c r="D1293" t="s">
        <v>16</v>
      </c>
    </row>
    <row r="1294" spans="1:4" x14ac:dyDescent="0.35">
      <c r="A1294" t="s">
        <v>164</v>
      </c>
    </row>
    <row r="1295" spans="1:4" x14ac:dyDescent="0.35">
      <c r="A1295" t="s">
        <v>573</v>
      </c>
      <c r="B1295" t="s">
        <v>54</v>
      </c>
      <c r="C1295" t="s">
        <v>108</v>
      </c>
    </row>
    <row r="1296" spans="1:4" x14ac:dyDescent="0.35">
      <c r="A1296" t="s">
        <v>73</v>
      </c>
      <c r="B1296" t="s">
        <v>36</v>
      </c>
    </row>
    <row r="1297" spans="1:4" x14ac:dyDescent="0.35">
      <c r="A1297" t="s">
        <v>144</v>
      </c>
    </row>
    <row r="1298" spans="1:4" x14ac:dyDescent="0.35">
      <c r="A1298" t="s">
        <v>258</v>
      </c>
    </row>
    <row r="1299" spans="1:4" x14ac:dyDescent="0.35">
      <c r="A1299" t="s">
        <v>574</v>
      </c>
    </row>
    <row r="1300" spans="1:4" x14ac:dyDescent="0.35">
      <c r="A1300" t="s">
        <v>259</v>
      </c>
      <c r="B1300" t="s">
        <v>20</v>
      </c>
      <c r="C1300" t="s">
        <v>49</v>
      </c>
      <c r="D1300" t="s">
        <v>16</v>
      </c>
    </row>
    <row r="1301" spans="1:4" x14ac:dyDescent="0.35">
      <c r="A1301" t="s">
        <v>51</v>
      </c>
      <c r="B1301" t="s">
        <v>91</v>
      </c>
      <c r="C1301" t="s">
        <v>15</v>
      </c>
      <c r="D1301" t="s">
        <v>16</v>
      </c>
    </row>
    <row r="1302" spans="1:4" x14ac:dyDescent="0.35">
      <c r="A1302" t="s">
        <v>63</v>
      </c>
    </row>
    <row r="1304" spans="1:4" x14ac:dyDescent="0.35">
      <c r="A1304" t="s">
        <v>575</v>
      </c>
    </row>
    <row r="1305" spans="1:4" x14ac:dyDescent="0.35">
      <c r="A1305" t="s">
        <v>501</v>
      </c>
      <c r="B1305" t="s">
        <v>14</v>
      </c>
      <c r="C1305" t="s">
        <v>33</v>
      </c>
      <c r="D1305" t="s">
        <v>16</v>
      </c>
    </row>
    <row r="1306" spans="1:4" x14ac:dyDescent="0.35">
      <c r="A1306" t="s">
        <v>576</v>
      </c>
    </row>
    <row r="1307" spans="1:4" x14ac:dyDescent="0.35">
      <c r="A1307" t="s">
        <v>403</v>
      </c>
    </row>
    <row r="1308" spans="1:4" x14ac:dyDescent="0.35">
      <c r="A1308" t="s">
        <v>154</v>
      </c>
    </row>
    <row r="1309" spans="1:4" x14ac:dyDescent="0.35">
      <c r="A1309" t="s">
        <v>101</v>
      </c>
    </row>
    <row r="1310" spans="1:4" x14ac:dyDescent="0.35">
      <c r="A1310" t="s">
        <v>120</v>
      </c>
    </row>
    <row r="1311" spans="1:4" x14ac:dyDescent="0.35">
      <c r="A1311" t="s">
        <v>26</v>
      </c>
    </row>
    <row r="1312" spans="1:4" x14ac:dyDescent="0.35">
      <c r="A1312" t="s">
        <v>289</v>
      </c>
    </row>
    <row r="1313" spans="1:4" x14ac:dyDescent="0.35">
      <c r="A1313" t="s">
        <v>63</v>
      </c>
    </row>
    <row r="1315" spans="1:4" x14ac:dyDescent="0.35">
      <c r="A1315" t="s">
        <v>577</v>
      </c>
    </row>
    <row r="1316" spans="1:4" x14ac:dyDescent="0.35">
      <c r="A1316" t="s">
        <v>208</v>
      </c>
      <c r="B1316" t="s">
        <v>14</v>
      </c>
      <c r="C1316" t="s">
        <v>33</v>
      </c>
      <c r="D1316" t="s">
        <v>16</v>
      </c>
    </row>
    <row r="1317" spans="1:4" x14ac:dyDescent="0.35">
      <c r="A1317" t="s">
        <v>319</v>
      </c>
    </row>
    <row r="1318" spans="1:4" x14ac:dyDescent="0.35">
      <c r="A1318" t="s">
        <v>578</v>
      </c>
    </row>
    <row r="1319" spans="1:4" x14ac:dyDescent="0.35">
      <c r="A1319" t="s">
        <v>579</v>
      </c>
    </row>
    <row r="1320" spans="1:4" x14ac:dyDescent="0.35">
      <c r="A1320" t="s">
        <v>580</v>
      </c>
      <c r="B1320" t="s">
        <v>54</v>
      </c>
      <c r="C1320" t="s">
        <v>339</v>
      </c>
    </row>
    <row r="1321" spans="1:4" x14ac:dyDescent="0.35">
      <c r="A1321" t="s">
        <v>63</v>
      </c>
    </row>
    <row r="1323" spans="1:4" x14ac:dyDescent="0.35">
      <c r="A1323" t="s">
        <v>244</v>
      </c>
    </row>
    <row r="1324" spans="1:4" x14ac:dyDescent="0.35">
      <c r="A1324" t="s">
        <v>581</v>
      </c>
    </row>
    <row r="1325" spans="1:4" x14ac:dyDescent="0.35">
      <c r="A1325" t="s">
        <v>193</v>
      </c>
      <c r="B1325" t="s">
        <v>24</v>
      </c>
      <c r="C1325" t="s">
        <v>49</v>
      </c>
      <c r="D1325" t="s">
        <v>16</v>
      </c>
    </row>
    <row r="1326" spans="1:4" x14ac:dyDescent="0.35">
      <c r="A1326" t="s">
        <v>582</v>
      </c>
      <c r="B1326" t="s">
        <v>14</v>
      </c>
      <c r="C1326" t="s">
        <v>15</v>
      </c>
      <c r="D1326" t="s">
        <v>16</v>
      </c>
    </row>
    <row r="1327" spans="1:4" x14ac:dyDescent="0.35">
      <c r="A1327" t="s">
        <v>76</v>
      </c>
    </row>
    <row r="1328" spans="1:4" x14ac:dyDescent="0.35">
      <c r="A1328" t="s">
        <v>583</v>
      </c>
    </row>
    <row r="1329" spans="1:4" x14ac:dyDescent="0.35">
      <c r="A1329" t="s">
        <v>47</v>
      </c>
      <c r="B1329" t="s">
        <v>56</v>
      </c>
      <c r="C1329" t="s">
        <v>49</v>
      </c>
      <c r="D1329" t="s">
        <v>16</v>
      </c>
    </row>
    <row r="1330" spans="1:4" x14ac:dyDescent="0.35">
      <c r="A1330" t="s">
        <v>584</v>
      </c>
      <c r="B1330" t="s">
        <v>41</v>
      </c>
      <c r="C1330" t="s">
        <v>15</v>
      </c>
      <c r="D1330" t="s">
        <v>16</v>
      </c>
    </row>
    <row r="1331" spans="1:4" x14ac:dyDescent="0.35">
      <c r="A1331" t="s">
        <v>29</v>
      </c>
    </row>
    <row r="1332" spans="1:4" x14ac:dyDescent="0.35">
      <c r="A1332" t="s">
        <v>585</v>
      </c>
    </row>
    <row r="1333" spans="1:4" x14ac:dyDescent="0.35">
      <c r="A1333" t="s">
        <v>164</v>
      </c>
    </row>
    <row r="1334" spans="1:4" x14ac:dyDescent="0.35">
      <c r="A1334" t="s">
        <v>47</v>
      </c>
      <c r="B1334" t="s">
        <v>143</v>
      </c>
      <c r="C1334" t="s">
        <v>33</v>
      </c>
      <c r="D1334" t="s">
        <v>16</v>
      </c>
    </row>
    <row r="1335" spans="1:4" x14ac:dyDescent="0.35">
      <c r="A1335" t="s">
        <v>586</v>
      </c>
    </row>
    <row r="1336" spans="1:4" x14ac:dyDescent="0.35">
      <c r="A1336" t="s">
        <v>489</v>
      </c>
    </row>
    <row r="1337" spans="1:4" x14ac:dyDescent="0.35">
      <c r="A1337" t="s">
        <v>587</v>
      </c>
    </row>
    <row r="1338" spans="1:4" x14ac:dyDescent="0.35">
      <c r="A1338" t="s">
        <v>58</v>
      </c>
    </row>
    <row r="1339" spans="1:4" x14ac:dyDescent="0.35">
      <c r="A1339" t="s">
        <v>307</v>
      </c>
      <c r="B1339" t="s">
        <v>56</v>
      </c>
      <c r="C1339" t="s">
        <v>99</v>
      </c>
      <c r="D1339" t="s">
        <v>16</v>
      </c>
    </row>
    <row r="1340" spans="1:4" x14ac:dyDescent="0.35">
      <c r="A1340" t="s">
        <v>319</v>
      </c>
    </row>
    <row r="1341" spans="1:4" x14ac:dyDescent="0.35">
      <c r="A1341" t="s">
        <v>310</v>
      </c>
    </row>
    <row r="1342" spans="1:4" x14ac:dyDescent="0.35">
      <c r="A1342" t="s">
        <v>58</v>
      </c>
    </row>
    <row r="1343" spans="1:4" x14ac:dyDescent="0.35">
      <c r="A1343" t="s">
        <v>409</v>
      </c>
      <c r="B1343" t="s">
        <v>54</v>
      </c>
      <c r="C1343" t="s">
        <v>99</v>
      </c>
      <c r="D1343" t="s">
        <v>16</v>
      </c>
    </row>
    <row r="1344" spans="1:4" x14ac:dyDescent="0.35">
      <c r="A1344" t="s">
        <v>63</v>
      </c>
    </row>
    <row r="1345" spans="1:4" x14ac:dyDescent="0.35">
      <c r="A1345" t="s">
        <v>246</v>
      </c>
    </row>
    <row r="1347" spans="1:4" x14ac:dyDescent="0.35">
      <c r="A1347" t="s">
        <v>588</v>
      </c>
    </row>
    <row r="1348" spans="1:4" x14ac:dyDescent="0.35">
      <c r="A1348" t="s">
        <v>97</v>
      </c>
    </row>
    <row r="1349" spans="1:4" x14ac:dyDescent="0.35">
      <c r="A1349" t="s">
        <v>589</v>
      </c>
      <c r="B1349" t="s">
        <v>14</v>
      </c>
      <c r="C1349" t="s">
        <v>99</v>
      </c>
      <c r="D1349" t="s">
        <v>16</v>
      </c>
    </row>
    <row r="1350" spans="1:4" x14ac:dyDescent="0.35">
      <c r="A1350" t="s">
        <v>42</v>
      </c>
    </row>
    <row r="1351" spans="1:4" x14ac:dyDescent="0.35">
      <c r="A1351" t="s">
        <v>590</v>
      </c>
    </row>
    <row r="1352" spans="1:4" x14ac:dyDescent="0.35">
      <c r="A1352" t="s">
        <v>76</v>
      </c>
    </row>
    <row r="1353" spans="1:4" x14ac:dyDescent="0.35">
      <c r="A1353" t="s">
        <v>591</v>
      </c>
    </row>
    <row r="1354" spans="1:4" x14ac:dyDescent="0.35">
      <c r="A1354" t="s">
        <v>326</v>
      </c>
    </row>
    <row r="1355" spans="1:4" x14ac:dyDescent="0.35">
      <c r="A1355" t="s">
        <v>129</v>
      </c>
      <c r="B1355" t="s">
        <v>24</v>
      </c>
      <c r="C1355" t="s">
        <v>33</v>
      </c>
      <c r="D1355" t="s">
        <v>16</v>
      </c>
    </row>
    <row r="1356" spans="1:4" x14ac:dyDescent="0.35">
      <c r="A1356" t="s">
        <v>63</v>
      </c>
    </row>
    <row r="1358" spans="1:4" x14ac:dyDescent="0.35">
      <c r="A1358" t="s">
        <v>592</v>
      </c>
    </row>
    <row r="1359" spans="1:4" x14ac:dyDescent="0.35">
      <c r="A1359" t="s">
        <v>97</v>
      </c>
    </row>
    <row r="1360" spans="1:4" x14ac:dyDescent="0.35">
      <c r="A1360" t="s">
        <v>593</v>
      </c>
    </row>
    <row r="1361" spans="1:4" x14ac:dyDescent="0.35">
      <c r="A1361" t="s">
        <v>547</v>
      </c>
      <c r="B1361" t="s">
        <v>54</v>
      </c>
      <c r="C1361" t="s">
        <v>99</v>
      </c>
      <c r="D1361" t="s">
        <v>16</v>
      </c>
    </row>
    <row r="1362" spans="1:4" x14ac:dyDescent="0.35">
      <c r="A1362" t="s">
        <v>162</v>
      </c>
    </row>
    <row r="1363" spans="1:4" x14ac:dyDescent="0.35">
      <c r="A1363" t="s">
        <v>76</v>
      </c>
    </row>
    <row r="1364" spans="1:4" x14ac:dyDescent="0.35">
      <c r="A1364" t="s">
        <v>594</v>
      </c>
    </row>
    <row r="1365" spans="1:4" x14ac:dyDescent="0.35">
      <c r="A1365" t="s">
        <v>26</v>
      </c>
    </row>
    <row r="1366" spans="1:4" x14ac:dyDescent="0.35">
      <c r="A1366" t="s">
        <v>239</v>
      </c>
    </row>
    <row r="1367" spans="1:4" x14ac:dyDescent="0.35">
      <c r="A1367" t="s">
        <v>34</v>
      </c>
    </row>
    <row r="1368" spans="1:4" x14ac:dyDescent="0.35">
      <c r="A1368" t="s">
        <v>595</v>
      </c>
    </row>
    <row r="1369" spans="1:4" x14ac:dyDescent="0.35">
      <c r="A1369" t="s">
        <v>262</v>
      </c>
    </row>
    <row r="1370" spans="1:4" x14ac:dyDescent="0.35">
      <c r="A1370" t="s">
        <v>546</v>
      </c>
      <c r="B1370" t="s">
        <v>36</v>
      </c>
      <c r="C1370" t="s">
        <v>37</v>
      </c>
    </row>
    <row r="1371" spans="1:4" x14ac:dyDescent="0.35">
      <c r="A1371" t="s">
        <v>596</v>
      </c>
    </row>
    <row r="1372" spans="1:4" x14ac:dyDescent="0.35">
      <c r="A1372" t="s">
        <v>58</v>
      </c>
    </row>
    <row r="1373" spans="1:4" x14ac:dyDescent="0.35">
      <c r="A1373" t="s">
        <v>597</v>
      </c>
    </row>
    <row r="1374" spans="1:4" x14ac:dyDescent="0.35">
      <c r="A1374" t="s">
        <v>220</v>
      </c>
      <c r="B1374" t="s">
        <v>91</v>
      </c>
      <c r="C1374" t="s">
        <v>99</v>
      </c>
      <c r="D1374" t="s">
        <v>16</v>
      </c>
    </row>
    <row r="1375" spans="1:4" x14ac:dyDescent="0.35">
      <c r="A1375" t="s">
        <v>123</v>
      </c>
    </row>
    <row r="1376" spans="1:4" x14ac:dyDescent="0.35">
      <c r="A1376" t="s">
        <v>34</v>
      </c>
    </row>
    <row r="1377" spans="1:4" x14ac:dyDescent="0.35">
      <c r="A1377" t="s">
        <v>598</v>
      </c>
    </row>
    <row r="1378" spans="1:4" x14ac:dyDescent="0.35">
      <c r="A1378" t="s">
        <v>26</v>
      </c>
    </row>
    <row r="1379" spans="1:4" x14ac:dyDescent="0.35">
      <c r="A1379" t="s">
        <v>599</v>
      </c>
    </row>
    <row r="1380" spans="1:4" x14ac:dyDescent="0.35">
      <c r="A1380" t="s">
        <v>528</v>
      </c>
      <c r="B1380" t="s">
        <v>24</v>
      </c>
      <c r="C1380" t="s">
        <v>37</v>
      </c>
    </row>
    <row r="1381" spans="1:4" x14ac:dyDescent="0.35">
      <c r="A1381" t="s">
        <v>63</v>
      </c>
    </row>
    <row r="1383" spans="1:4" x14ac:dyDescent="0.35">
      <c r="A1383" t="s">
        <v>600</v>
      </c>
    </row>
    <row r="1384" spans="1:4" x14ac:dyDescent="0.35">
      <c r="A1384" t="s">
        <v>601</v>
      </c>
    </row>
    <row r="1385" spans="1:4" x14ac:dyDescent="0.35">
      <c r="A1385" t="s">
        <v>129</v>
      </c>
      <c r="B1385" t="s">
        <v>36</v>
      </c>
      <c r="C1385" t="s">
        <v>33</v>
      </c>
      <c r="D1385" t="s">
        <v>16</v>
      </c>
    </row>
    <row r="1386" spans="1:4" x14ac:dyDescent="0.35">
      <c r="A1386" t="s">
        <v>309</v>
      </c>
    </row>
    <row r="1387" spans="1:4" x14ac:dyDescent="0.35">
      <c r="A1387" t="s">
        <v>58</v>
      </c>
    </row>
    <row r="1388" spans="1:4" x14ac:dyDescent="0.35">
      <c r="A1388" t="s">
        <v>166</v>
      </c>
    </row>
    <row r="1389" spans="1:4" x14ac:dyDescent="0.35">
      <c r="A1389" t="s">
        <v>602</v>
      </c>
      <c r="B1389" t="s">
        <v>91</v>
      </c>
      <c r="C1389" t="s">
        <v>99</v>
      </c>
      <c r="D1389" t="s">
        <v>16</v>
      </c>
    </row>
    <row r="1390" spans="1:4" x14ac:dyDescent="0.35">
      <c r="A1390" t="s">
        <v>17</v>
      </c>
    </row>
    <row r="1391" spans="1:4" x14ac:dyDescent="0.35">
      <c r="A1391" t="s">
        <v>58</v>
      </c>
    </row>
    <row r="1392" spans="1:4" x14ac:dyDescent="0.35">
      <c r="A1392" t="s">
        <v>215</v>
      </c>
      <c r="B1392" t="s">
        <v>20</v>
      </c>
      <c r="C1392" t="s">
        <v>99</v>
      </c>
      <c r="D1392" t="s">
        <v>16</v>
      </c>
    </row>
    <row r="1393" spans="1:4" x14ac:dyDescent="0.35">
      <c r="A1393" t="s">
        <v>26</v>
      </c>
    </row>
    <row r="1394" spans="1:4" x14ac:dyDescent="0.35">
      <c r="A1394" t="s">
        <v>31</v>
      </c>
      <c r="B1394" t="s">
        <v>14</v>
      </c>
      <c r="C1394" t="s">
        <v>33</v>
      </c>
      <c r="D1394" t="s">
        <v>16</v>
      </c>
    </row>
    <row r="1395" spans="1:4" x14ac:dyDescent="0.35">
      <c r="A1395" t="s">
        <v>419</v>
      </c>
    </row>
    <row r="1396" spans="1:4" x14ac:dyDescent="0.35">
      <c r="A1396" t="s">
        <v>603</v>
      </c>
    </row>
    <row r="1397" spans="1:4" x14ac:dyDescent="0.35">
      <c r="A1397" t="s">
        <v>604</v>
      </c>
      <c r="B1397" t="s">
        <v>54</v>
      </c>
      <c r="C1397" t="s">
        <v>108</v>
      </c>
    </row>
    <row r="1398" spans="1:4" x14ac:dyDescent="0.35">
      <c r="A1398" t="s">
        <v>76</v>
      </c>
    </row>
    <row r="1399" spans="1:4" x14ac:dyDescent="0.35">
      <c r="A1399" t="s">
        <v>605</v>
      </c>
    </row>
    <row r="1400" spans="1:4" x14ac:dyDescent="0.35">
      <c r="A1400" t="s">
        <v>606</v>
      </c>
      <c r="B1400" t="s">
        <v>54</v>
      </c>
      <c r="C1400" t="s">
        <v>108</v>
      </c>
    </row>
    <row r="1401" spans="1:4" x14ac:dyDescent="0.35">
      <c r="A1401" t="s">
        <v>607</v>
      </c>
    </row>
    <row r="1402" spans="1:4" x14ac:dyDescent="0.35">
      <c r="A1402" t="s">
        <v>608</v>
      </c>
    </row>
    <row r="1403" spans="1:4" x14ac:dyDescent="0.35">
      <c r="A1403" t="s">
        <v>609</v>
      </c>
    </row>
    <row r="1404" spans="1:4" x14ac:dyDescent="0.35">
      <c r="A1404" t="s">
        <v>58</v>
      </c>
    </row>
    <row r="1405" spans="1:4" x14ac:dyDescent="0.35">
      <c r="A1405" t="s">
        <v>610</v>
      </c>
      <c r="B1405" t="s">
        <v>48</v>
      </c>
      <c r="C1405" t="s">
        <v>108</v>
      </c>
    </row>
    <row r="1406" spans="1:4" x14ac:dyDescent="0.35">
      <c r="A1406" t="s">
        <v>262</v>
      </c>
    </row>
    <row r="1407" spans="1:4" x14ac:dyDescent="0.35">
      <c r="A1407" t="s">
        <v>611</v>
      </c>
    </row>
    <row r="1408" spans="1:4" x14ac:dyDescent="0.35">
      <c r="A1408" t="s">
        <v>612</v>
      </c>
      <c r="B1408" t="s">
        <v>20</v>
      </c>
      <c r="C1408" t="s">
        <v>99</v>
      </c>
      <c r="D1408" t="s">
        <v>16</v>
      </c>
    </row>
    <row r="1409" spans="1:4" x14ac:dyDescent="0.35">
      <c r="A1409" t="s">
        <v>63</v>
      </c>
    </row>
    <row r="1411" spans="1:4" x14ac:dyDescent="0.35">
      <c r="A1411" t="s">
        <v>613</v>
      </c>
    </row>
    <row r="1412" spans="1:4" x14ac:dyDescent="0.35">
      <c r="A1412" t="s">
        <v>614</v>
      </c>
    </row>
    <row r="1413" spans="1:4" x14ac:dyDescent="0.35">
      <c r="A1413" t="s">
        <v>615</v>
      </c>
      <c r="B1413" t="s">
        <v>54</v>
      </c>
      <c r="C1413" t="s">
        <v>108</v>
      </c>
    </row>
    <row r="1414" spans="1:4" x14ac:dyDescent="0.35">
      <c r="A1414" t="s">
        <v>17</v>
      </c>
    </row>
    <row r="1415" spans="1:4" x14ac:dyDescent="0.35">
      <c r="A1415" t="s">
        <v>616</v>
      </c>
    </row>
    <row r="1416" spans="1:4" x14ac:dyDescent="0.35">
      <c r="A1416" t="s">
        <v>528</v>
      </c>
      <c r="B1416" t="s">
        <v>54</v>
      </c>
      <c r="C1416" t="s">
        <v>108</v>
      </c>
    </row>
    <row r="1417" spans="1:4" x14ac:dyDescent="0.35">
      <c r="A1417" t="s">
        <v>69</v>
      </c>
    </row>
    <row r="1418" spans="1:4" x14ac:dyDescent="0.35">
      <c r="A1418" t="s">
        <v>58</v>
      </c>
    </row>
    <row r="1419" spans="1:4" x14ac:dyDescent="0.35">
      <c r="A1419" t="s">
        <v>617</v>
      </c>
    </row>
    <row r="1420" spans="1:4" x14ac:dyDescent="0.35">
      <c r="A1420" t="s">
        <v>373</v>
      </c>
      <c r="B1420" t="s">
        <v>54</v>
      </c>
      <c r="C1420" t="s">
        <v>99</v>
      </c>
      <c r="D1420" t="s">
        <v>16</v>
      </c>
    </row>
    <row r="1421" spans="1:4" x14ac:dyDescent="0.35">
      <c r="A1421" t="s">
        <v>618</v>
      </c>
    </row>
    <row r="1422" spans="1:4" x14ac:dyDescent="0.35">
      <c r="A1422" t="s">
        <v>458</v>
      </c>
    </row>
    <row r="1423" spans="1:4" x14ac:dyDescent="0.35">
      <c r="A1423" t="s">
        <v>58</v>
      </c>
    </row>
    <row r="1424" spans="1:4" x14ac:dyDescent="0.35">
      <c r="A1424" t="s">
        <v>416</v>
      </c>
      <c r="B1424" t="s">
        <v>20</v>
      </c>
      <c r="C1424" t="s">
        <v>99</v>
      </c>
      <c r="D1424" t="s">
        <v>16</v>
      </c>
    </row>
    <row r="1425" spans="1:4" x14ac:dyDescent="0.35">
      <c r="A1425" t="s">
        <v>76</v>
      </c>
    </row>
    <row r="1426" spans="1:4" x14ac:dyDescent="0.35">
      <c r="A1426" t="s">
        <v>58</v>
      </c>
    </row>
    <row r="1427" spans="1:4" x14ac:dyDescent="0.35">
      <c r="A1427" t="s">
        <v>178</v>
      </c>
      <c r="B1427" t="s">
        <v>54</v>
      </c>
      <c r="C1427" t="s">
        <v>99</v>
      </c>
      <c r="D1427" t="s">
        <v>16</v>
      </c>
    </row>
    <row r="1428" spans="1:4" x14ac:dyDescent="0.35">
      <c r="A1428" t="s">
        <v>63</v>
      </c>
    </row>
    <row r="1430" spans="1:4" x14ac:dyDescent="0.35">
      <c r="A1430" t="s">
        <v>619</v>
      </c>
    </row>
    <row r="1431" spans="1:4" x14ac:dyDescent="0.35">
      <c r="A1431" t="s">
        <v>13</v>
      </c>
      <c r="B1431" t="s">
        <v>14</v>
      </c>
      <c r="C1431" t="s">
        <v>15</v>
      </c>
      <c r="D1431" t="s">
        <v>16</v>
      </c>
    </row>
    <row r="1432" spans="1:4" x14ac:dyDescent="0.35">
      <c r="A1432" t="s">
        <v>17</v>
      </c>
    </row>
    <row r="1433" spans="1:4" x14ac:dyDescent="0.35">
      <c r="A1433" t="s">
        <v>405</v>
      </c>
      <c r="B1433" t="s">
        <v>24</v>
      </c>
      <c r="C1433" t="s">
        <v>33</v>
      </c>
      <c r="D1433" t="s">
        <v>16</v>
      </c>
    </row>
    <row r="1434" spans="1:4" x14ac:dyDescent="0.35">
      <c r="A1434" t="s">
        <v>42</v>
      </c>
    </row>
    <row r="1435" spans="1:4" x14ac:dyDescent="0.35">
      <c r="A1435" t="s">
        <v>620</v>
      </c>
    </row>
    <row r="1436" spans="1:4" x14ac:dyDescent="0.35">
      <c r="A1436" t="s">
        <v>621</v>
      </c>
    </row>
    <row r="1437" spans="1:4" x14ac:dyDescent="0.35">
      <c r="A1437" t="s">
        <v>233</v>
      </c>
    </row>
    <row r="1438" spans="1:4" x14ac:dyDescent="0.35">
      <c r="A1438" t="s">
        <v>63</v>
      </c>
    </row>
    <row r="1440" spans="1:4" x14ac:dyDescent="0.35">
      <c r="A1440" t="s">
        <v>622</v>
      </c>
    </row>
    <row r="1441" spans="1:4" x14ac:dyDescent="0.35">
      <c r="A1441" t="s">
        <v>97</v>
      </c>
    </row>
    <row r="1442" spans="1:4" x14ac:dyDescent="0.35">
      <c r="A1442" t="s">
        <v>623</v>
      </c>
      <c r="B1442" t="s">
        <v>14</v>
      </c>
      <c r="C1442" t="s">
        <v>99</v>
      </c>
      <c r="D1442" t="s">
        <v>16</v>
      </c>
    </row>
    <row r="1443" spans="1:4" x14ac:dyDescent="0.35">
      <c r="A1443" t="s">
        <v>111</v>
      </c>
    </row>
    <row r="1444" spans="1:4" x14ac:dyDescent="0.35">
      <c r="A1444" t="s">
        <v>466</v>
      </c>
    </row>
    <row r="1445" spans="1:4" x14ac:dyDescent="0.35">
      <c r="A1445" t="s">
        <v>58</v>
      </c>
    </row>
    <row r="1446" spans="1:4" x14ac:dyDescent="0.35">
      <c r="A1446" t="s">
        <v>377</v>
      </c>
      <c r="B1446" t="s">
        <v>32</v>
      </c>
      <c r="C1446" t="s">
        <v>99</v>
      </c>
      <c r="D1446" t="s">
        <v>16</v>
      </c>
    </row>
    <row r="1447" spans="1:4" x14ac:dyDescent="0.35">
      <c r="A1447" t="s">
        <v>63</v>
      </c>
    </row>
    <row r="1449" spans="1:4" x14ac:dyDescent="0.35">
      <c r="A1449" t="s">
        <v>624</v>
      </c>
    </row>
    <row r="1450" spans="1:4" x14ac:dyDescent="0.35">
      <c r="A1450" t="s">
        <v>430</v>
      </c>
    </row>
    <row r="1451" spans="1:4" x14ac:dyDescent="0.35">
      <c r="A1451" t="s">
        <v>145</v>
      </c>
    </row>
    <row r="1452" spans="1:4" x14ac:dyDescent="0.35">
      <c r="A1452" t="s">
        <v>625</v>
      </c>
    </row>
    <row r="1453" spans="1:4" x14ac:dyDescent="0.35">
      <c r="A1453" t="s">
        <v>58</v>
      </c>
    </row>
    <row r="1454" spans="1:4" x14ac:dyDescent="0.35">
      <c r="A1454" t="s">
        <v>626</v>
      </c>
      <c r="B1454" t="s">
        <v>32</v>
      </c>
      <c r="C1454" t="s">
        <v>99</v>
      </c>
      <c r="D1454" t="s">
        <v>16</v>
      </c>
    </row>
    <row r="1455" spans="1:4" x14ac:dyDescent="0.35">
      <c r="A1455" t="s">
        <v>123</v>
      </c>
    </row>
    <row r="1456" spans="1:4" x14ac:dyDescent="0.35">
      <c r="A1456" t="s">
        <v>58</v>
      </c>
    </row>
    <row r="1457" spans="1:4" x14ac:dyDescent="0.35">
      <c r="A1457" t="s">
        <v>386</v>
      </c>
    </row>
    <row r="1458" spans="1:4" x14ac:dyDescent="0.35">
      <c r="A1458" t="s">
        <v>262</v>
      </c>
    </row>
    <row r="1459" spans="1:4" x14ac:dyDescent="0.35">
      <c r="A1459" t="s">
        <v>387</v>
      </c>
      <c r="B1459" t="s">
        <v>54</v>
      </c>
      <c r="C1459" t="s">
        <v>99</v>
      </c>
      <c r="D1459" t="s">
        <v>16</v>
      </c>
    </row>
    <row r="1460" spans="1:4" x14ac:dyDescent="0.35">
      <c r="A1460" t="s">
        <v>510</v>
      </c>
    </row>
    <row r="1461" spans="1:4" x14ac:dyDescent="0.35">
      <c r="A1461" t="s">
        <v>58</v>
      </c>
    </row>
    <row r="1462" spans="1:4" x14ac:dyDescent="0.35">
      <c r="A1462" t="s">
        <v>336</v>
      </c>
    </row>
    <row r="1463" spans="1:4" x14ac:dyDescent="0.35">
      <c r="A1463" t="s">
        <v>431</v>
      </c>
      <c r="B1463" t="s">
        <v>41</v>
      </c>
      <c r="C1463" t="s">
        <v>381</v>
      </c>
      <c r="D1463" t="s">
        <v>16</v>
      </c>
    </row>
    <row r="1464" spans="1:4" x14ac:dyDescent="0.35">
      <c r="A1464" t="s">
        <v>26</v>
      </c>
    </row>
    <row r="1465" spans="1:4" x14ac:dyDescent="0.35">
      <c r="A1465" t="s">
        <v>58</v>
      </c>
    </row>
    <row r="1466" spans="1:4" x14ac:dyDescent="0.35">
      <c r="A1466" t="s">
        <v>627</v>
      </c>
    </row>
    <row r="1467" spans="1:4" x14ac:dyDescent="0.35">
      <c r="A1467" t="s">
        <v>628</v>
      </c>
      <c r="B1467" t="s">
        <v>56</v>
      </c>
      <c r="C1467" t="s">
        <v>99</v>
      </c>
      <c r="D1467" t="s">
        <v>16</v>
      </c>
    </row>
    <row r="1468" spans="1:4" x14ac:dyDescent="0.35">
      <c r="A1468" t="s">
        <v>76</v>
      </c>
    </row>
    <row r="1469" spans="1:4" x14ac:dyDescent="0.35">
      <c r="A1469" t="s">
        <v>58</v>
      </c>
    </row>
    <row r="1470" spans="1:4" x14ac:dyDescent="0.35">
      <c r="A1470" t="s">
        <v>629</v>
      </c>
    </row>
    <row r="1471" spans="1:4" x14ac:dyDescent="0.35">
      <c r="A1471" t="s">
        <v>508</v>
      </c>
      <c r="B1471" t="s">
        <v>48</v>
      </c>
      <c r="C1471" t="s">
        <v>99</v>
      </c>
      <c r="D1471" t="s">
        <v>16</v>
      </c>
    </row>
    <row r="1472" spans="1:4" x14ac:dyDescent="0.35">
      <c r="A1472" t="s">
        <v>26</v>
      </c>
    </row>
    <row r="1473" spans="1:4" x14ac:dyDescent="0.35">
      <c r="A1473" t="s">
        <v>630</v>
      </c>
    </row>
    <row r="1474" spans="1:4" x14ac:dyDescent="0.35">
      <c r="A1474" t="s">
        <v>631</v>
      </c>
    </row>
    <row r="1475" spans="1:4" x14ac:dyDescent="0.35">
      <c r="A1475" t="s">
        <v>310</v>
      </c>
    </row>
    <row r="1476" spans="1:4" x14ac:dyDescent="0.35">
      <c r="A1476" t="s">
        <v>60</v>
      </c>
      <c r="B1476" t="s">
        <v>56</v>
      </c>
      <c r="C1476" t="s">
        <v>49</v>
      </c>
      <c r="D1476" t="s">
        <v>16</v>
      </c>
    </row>
    <row r="1477" spans="1:4" x14ac:dyDescent="0.35">
      <c r="A1477" t="s">
        <v>444</v>
      </c>
      <c r="B1477" t="s">
        <v>20</v>
      </c>
      <c r="C1477" t="s">
        <v>15</v>
      </c>
      <c r="D1477" t="s">
        <v>16</v>
      </c>
    </row>
    <row r="1478" spans="1:4" x14ac:dyDescent="0.35">
      <c r="A1478" t="s">
        <v>63</v>
      </c>
    </row>
    <row r="1480" spans="1:4" x14ac:dyDescent="0.35">
      <c r="A1480" t="s">
        <v>632</v>
      </c>
    </row>
    <row r="1481" spans="1:4" x14ac:dyDescent="0.35">
      <c r="A1481" t="s">
        <v>182</v>
      </c>
    </row>
    <row r="1482" spans="1:4" x14ac:dyDescent="0.35">
      <c r="A1482" t="s">
        <v>502</v>
      </c>
      <c r="B1482" t="s">
        <v>54</v>
      </c>
      <c r="C1482" t="s">
        <v>172</v>
      </c>
    </row>
    <row r="1483" spans="1:4" x14ac:dyDescent="0.35">
      <c r="A1483" t="s">
        <v>39</v>
      </c>
    </row>
    <row r="1484" spans="1:4" x14ac:dyDescent="0.35">
      <c r="A1484" t="s">
        <v>534</v>
      </c>
    </row>
    <row r="1485" spans="1:4" x14ac:dyDescent="0.35">
      <c r="A1485" t="s">
        <v>633</v>
      </c>
    </row>
    <row r="1486" spans="1:4" x14ac:dyDescent="0.35">
      <c r="A1486" t="s">
        <v>634</v>
      </c>
      <c r="B1486" t="s">
        <v>36</v>
      </c>
      <c r="C1486" t="s">
        <v>108</v>
      </c>
    </row>
    <row r="1487" spans="1:4" x14ac:dyDescent="0.35">
      <c r="A1487" t="s">
        <v>73</v>
      </c>
      <c r="B1487" t="s">
        <v>143</v>
      </c>
    </row>
    <row r="1488" spans="1:4" x14ac:dyDescent="0.35">
      <c r="A1488" t="s">
        <v>635</v>
      </c>
    </row>
    <row r="1489" spans="1:4" x14ac:dyDescent="0.35">
      <c r="A1489" t="s">
        <v>28</v>
      </c>
    </row>
    <row r="1490" spans="1:4" x14ac:dyDescent="0.35">
      <c r="A1490" t="s">
        <v>595</v>
      </c>
      <c r="B1490" t="s">
        <v>52</v>
      </c>
      <c r="C1490" t="s">
        <v>339</v>
      </c>
    </row>
    <row r="1491" spans="1:4" x14ac:dyDescent="0.35">
      <c r="A1491" t="s">
        <v>17</v>
      </c>
    </row>
    <row r="1492" spans="1:4" x14ac:dyDescent="0.35">
      <c r="A1492" t="s">
        <v>58</v>
      </c>
    </row>
    <row r="1493" spans="1:4" x14ac:dyDescent="0.35">
      <c r="A1493" t="s">
        <v>178</v>
      </c>
      <c r="B1493" t="s">
        <v>48</v>
      </c>
      <c r="C1493" t="s">
        <v>99</v>
      </c>
      <c r="D1493" t="s">
        <v>16</v>
      </c>
    </row>
    <row r="1494" spans="1:4" x14ac:dyDescent="0.35">
      <c r="A1494" t="s">
        <v>42</v>
      </c>
    </row>
    <row r="1495" spans="1:4" x14ac:dyDescent="0.35">
      <c r="A1495" t="s">
        <v>536</v>
      </c>
    </row>
    <row r="1496" spans="1:4" x14ac:dyDescent="0.35">
      <c r="A1496" t="s">
        <v>636</v>
      </c>
    </row>
    <row r="1497" spans="1:4" x14ac:dyDescent="0.35">
      <c r="A1497" t="s">
        <v>76</v>
      </c>
    </row>
    <row r="1498" spans="1:4" x14ac:dyDescent="0.35">
      <c r="A1498" t="s">
        <v>636</v>
      </c>
    </row>
    <row r="1499" spans="1:4" x14ac:dyDescent="0.35">
      <c r="A1499" t="s">
        <v>45</v>
      </c>
    </row>
    <row r="1500" spans="1:4" x14ac:dyDescent="0.35">
      <c r="A1500" t="s">
        <v>58</v>
      </c>
    </row>
    <row r="1501" spans="1:4" x14ac:dyDescent="0.35">
      <c r="A1501" t="s">
        <v>215</v>
      </c>
      <c r="B1501" t="s">
        <v>24</v>
      </c>
      <c r="C1501" t="s">
        <v>99</v>
      </c>
      <c r="D1501" t="s">
        <v>16</v>
      </c>
    </row>
    <row r="1502" spans="1:4" x14ac:dyDescent="0.35">
      <c r="A1502" t="s">
        <v>63</v>
      </c>
    </row>
    <row r="1504" spans="1:4" x14ac:dyDescent="0.35">
      <c r="A1504" t="s">
        <v>637</v>
      </c>
    </row>
    <row r="1505" spans="1:4" x14ac:dyDescent="0.35">
      <c r="A1505" t="s">
        <v>638</v>
      </c>
    </row>
    <row r="1506" spans="1:4" x14ac:dyDescent="0.35">
      <c r="A1506" t="s">
        <v>58</v>
      </c>
    </row>
    <row r="1507" spans="1:4" x14ac:dyDescent="0.35">
      <c r="A1507" t="s">
        <v>639</v>
      </c>
    </row>
    <row r="1508" spans="1:4" x14ac:dyDescent="0.35">
      <c r="A1508" t="s">
        <v>640</v>
      </c>
    </row>
    <row r="1509" spans="1:4" x14ac:dyDescent="0.35">
      <c r="A1509" t="s">
        <v>641</v>
      </c>
      <c r="B1509" t="s">
        <v>14</v>
      </c>
      <c r="C1509" t="s">
        <v>15</v>
      </c>
      <c r="D1509" t="s">
        <v>16</v>
      </c>
    </row>
    <row r="1510" spans="1:4" x14ac:dyDescent="0.35">
      <c r="A1510" t="s">
        <v>17</v>
      </c>
    </row>
    <row r="1511" spans="1:4" x14ac:dyDescent="0.35">
      <c r="A1511" t="s">
        <v>31</v>
      </c>
      <c r="B1511" t="s">
        <v>24</v>
      </c>
      <c r="C1511" t="s">
        <v>33</v>
      </c>
      <c r="D1511" t="s">
        <v>16</v>
      </c>
    </row>
    <row r="1512" spans="1:4" x14ac:dyDescent="0.35">
      <c r="A1512" t="s">
        <v>83</v>
      </c>
    </row>
    <row r="1513" spans="1:4" x14ac:dyDescent="0.35">
      <c r="A1513" t="s">
        <v>642</v>
      </c>
    </row>
    <row r="1514" spans="1:4" x14ac:dyDescent="0.35">
      <c r="A1514" t="s">
        <v>458</v>
      </c>
    </row>
    <row r="1515" spans="1:4" x14ac:dyDescent="0.35">
      <c r="A1515" t="s">
        <v>58</v>
      </c>
    </row>
    <row r="1516" spans="1:4" x14ac:dyDescent="0.35">
      <c r="A1516" t="s">
        <v>616</v>
      </c>
    </row>
    <row r="1517" spans="1:4" x14ac:dyDescent="0.35">
      <c r="A1517" t="s">
        <v>643</v>
      </c>
      <c r="B1517" t="s">
        <v>54</v>
      </c>
      <c r="C1517" t="s">
        <v>99</v>
      </c>
      <c r="D1517" t="s">
        <v>16</v>
      </c>
    </row>
    <row r="1518" spans="1:4" x14ac:dyDescent="0.35">
      <c r="A1518" t="s">
        <v>17</v>
      </c>
    </row>
    <row r="1519" spans="1:4" x14ac:dyDescent="0.35">
      <c r="A1519" t="s">
        <v>58</v>
      </c>
    </row>
    <row r="1520" spans="1:4" x14ac:dyDescent="0.35">
      <c r="A1520" t="s">
        <v>644</v>
      </c>
    </row>
    <row r="1521" spans="1:4" x14ac:dyDescent="0.35">
      <c r="A1521" t="s">
        <v>428</v>
      </c>
      <c r="B1521" t="s">
        <v>24</v>
      </c>
      <c r="C1521" t="s">
        <v>99</v>
      </c>
      <c r="D1521" t="s">
        <v>16</v>
      </c>
    </row>
    <row r="1522" spans="1:4" x14ac:dyDescent="0.35">
      <c r="A1522" t="s">
        <v>63</v>
      </c>
    </row>
    <row r="1524" spans="1:4" x14ac:dyDescent="0.35">
      <c r="A1524" t="s">
        <v>645</v>
      </c>
    </row>
    <row r="1525" spans="1:4" x14ac:dyDescent="0.35">
      <c r="A1525" t="s">
        <v>97</v>
      </c>
    </row>
    <row r="1526" spans="1:4" x14ac:dyDescent="0.35">
      <c r="A1526" t="s">
        <v>646</v>
      </c>
    </row>
    <row r="1527" spans="1:4" x14ac:dyDescent="0.35">
      <c r="A1527" t="s">
        <v>413</v>
      </c>
      <c r="B1527" t="s">
        <v>14</v>
      </c>
      <c r="C1527" t="s">
        <v>99</v>
      </c>
      <c r="D1527" t="s">
        <v>16</v>
      </c>
    </row>
    <row r="1528" spans="1:4" x14ac:dyDescent="0.35">
      <c r="A1528" t="s">
        <v>17</v>
      </c>
    </row>
    <row r="1529" spans="1:4" x14ac:dyDescent="0.35">
      <c r="A1529" t="s">
        <v>58</v>
      </c>
    </row>
    <row r="1530" spans="1:4" x14ac:dyDescent="0.35">
      <c r="A1530" t="s">
        <v>416</v>
      </c>
      <c r="B1530" t="s">
        <v>24</v>
      </c>
      <c r="C1530" t="s">
        <v>99</v>
      </c>
      <c r="D1530" t="s">
        <v>16</v>
      </c>
    </row>
    <row r="1531" spans="1:4" x14ac:dyDescent="0.35">
      <c r="A1531" t="s">
        <v>42</v>
      </c>
    </row>
    <row r="1532" spans="1:4" x14ac:dyDescent="0.35">
      <c r="A1532" t="s">
        <v>578</v>
      </c>
    </row>
    <row r="1533" spans="1:4" x14ac:dyDescent="0.35">
      <c r="A1533" t="s">
        <v>647</v>
      </c>
    </row>
    <row r="1534" spans="1:4" x14ac:dyDescent="0.35">
      <c r="A1534" t="s">
        <v>26</v>
      </c>
    </row>
    <row r="1535" spans="1:4" x14ac:dyDescent="0.35">
      <c r="A1535" t="s">
        <v>76</v>
      </c>
    </row>
    <row r="1536" spans="1:4" x14ac:dyDescent="0.35">
      <c r="A1536" t="s">
        <v>58</v>
      </c>
    </row>
    <row r="1537" spans="1:4" x14ac:dyDescent="0.35">
      <c r="A1537" t="s">
        <v>648</v>
      </c>
      <c r="B1537" t="s">
        <v>36</v>
      </c>
      <c r="C1537" t="s">
        <v>99</v>
      </c>
      <c r="D1537" t="s">
        <v>16</v>
      </c>
    </row>
    <row r="1538" spans="1:4" x14ac:dyDescent="0.35">
      <c r="A1538" t="s">
        <v>83</v>
      </c>
    </row>
    <row r="1539" spans="1:4" x14ac:dyDescent="0.35">
      <c r="A1539" t="s">
        <v>649</v>
      </c>
    </row>
    <row r="1540" spans="1:4" x14ac:dyDescent="0.35">
      <c r="A1540" t="s">
        <v>489</v>
      </c>
    </row>
    <row r="1541" spans="1:4" x14ac:dyDescent="0.35">
      <c r="A1541" t="s">
        <v>17</v>
      </c>
    </row>
    <row r="1542" spans="1:4" x14ac:dyDescent="0.35">
      <c r="A1542" t="s">
        <v>34</v>
      </c>
    </row>
    <row r="1543" spans="1:4" x14ac:dyDescent="0.35">
      <c r="A1543" t="s">
        <v>650</v>
      </c>
      <c r="B1543" t="s">
        <v>24</v>
      </c>
      <c r="C1543" t="s">
        <v>37</v>
      </c>
    </row>
    <row r="1544" spans="1:4" x14ac:dyDescent="0.35">
      <c r="A1544" t="s">
        <v>17</v>
      </c>
    </row>
    <row r="1545" spans="1:4" x14ac:dyDescent="0.35">
      <c r="A1545" t="s">
        <v>534</v>
      </c>
    </row>
    <row r="1546" spans="1:4" x14ac:dyDescent="0.35">
      <c r="A1546" t="s">
        <v>651</v>
      </c>
      <c r="B1546" t="s">
        <v>20</v>
      </c>
      <c r="C1546" t="s">
        <v>108</v>
      </c>
    </row>
    <row r="1547" spans="1:4" x14ac:dyDescent="0.35">
      <c r="A1547" t="s">
        <v>63</v>
      </c>
    </row>
    <row r="1549" spans="1:4" x14ac:dyDescent="0.35">
      <c r="A1549" t="s">
        <v>652</v>
      </c>
    </row>
    <row r="1550" spans="1:4" x14ac:dyDescent="0.35">
      <c r="A1550" t="s">
        <v>257</v>
      </c>
    </row>
    <row r="1551" spans="1:4" x14ac:dyDescent="0.35">
      <c r="A1551" t="s">
        <v>133</v>
      </c>
      <c r="B1551" t="s">
        <v>36</v>
      </c>
      <c r="C1551" t="s">
        <v>33</v>
      </c>
      <c r="D1551" t="s">
        <v>16</v>
      </c>
    </row>
    <row r="1552" spans="1:4" x14ac:dyDescent="0.35">
      <c r="A1552" t="s">
        <v>406</v>
      </c>
    </row>
    <row r="1553" spans="1:4" x14ac:dyDescent="0.35">
      <c r="A1553" t="s">
        <v>31</v>
      </c>
      <c r="B1553" t="s">
        <v>91</v>
      </c>
      <c r="C1553" t="s">
        <v>33</v>
      </c>
      <c r="D1553" t="s">
        <v>16</v>
      </c>
    </row>
    <row r="1554" spans="1:4" x14ac:dyDescent="0.35">
      <c r="A1554" t="s">
        <v>58</v>
      </c>
    </row>
    <row r="1555" spans="1:4" x14ac:dyDescent="0.35">
      <c r="A1555" t="s">
        <v>307</v>
      </c>
    </row>
    <row r="1556" spans="1:4" x14ac:dyDescent="0.35">
      <c r="A1556" t="s">
        <v>262</v>
      </c>
    </row>
    <row r="1557" spans="1:4" x14ac:dyDescent="0.35">
      <c r="A1557" t="s">
        <v>653</v>
      </c>
      <c r="B1557" t="s">
        <v>14</v>
      </c>
      <c r="C1557" t="s">
        <v>99</v>
      </c>
      <c r="D1557" t="s">
        <v>16</v>
      </c>
    </row>
    <row r="1558" spans="1:4" x14ac:dyDescent="0.35">
      <c r="A1558" t="s">
        <v>66</v>
      </c>
    </row>
    <row r="1559" spans="1:4" x14ac:dyDescent="0.35">
      <c r="A1559" t="s">
        <v>654</v>
      </c>
    </row>
    <row r="1560" spans="1:4" x14ac:dyDescent="0.35">
      <c r="A1560" t="s">
        <v>301</v>
      </c>
    </row>
    <row r="1561" spans="1:4" x14ac:dyDescent="0.35">
      <c r="A1561" t="s">
        <v>655</v>
      </c>
    </row>
    <row r="1562" spans="1:4" x14ac:dyDescent="0.35">
      <c r="A1562" t="s">
        <v>656</v>
      </c>
      <c r="B1562" t="s">
        <v>24</v>
      </c>
      <c r="C1562" t="s">
        <v>381</v>
      </c>
      <c r="D1562" t="s">
        <v>16</v>
      </c>
    </row>
    <row r="1563" spans="1:4" x14ac:dyDescent="0.35">
      <c r="A1563" t="s">
        <v>17</v>
      </c>
    </row>
    <row r="1564" spans="1:4" x14ac:dyDescent="0.35">
      <c r="A1564" t="s">
        <v>58</v>
      </c>
    </row>
    <row r="1565" spans="1:4" x14ac:dyDescent="0.35">
      <c r="A1565" t="s">
        <v>215</v>
      </c>
      <c r="B1565" t="s">
        <v>20</v>
      </c>
      <c r="C1565" t="s">
        <v>99</v>
      </c>
      <c r="D1565" t="s">
        <v>16</v>
      </c>
    </row>
    <row r="1566" spans="1:4" x14ac:dyDescent="0.35">
      <c r="A1566" t="s">
        <v>76</v>
      </c>
    </row>
    <row r="1567" spans="1:4" x14ac:dyDescent="0.35">
      <c r="A1567" t="s">
        <v>657</v>
      </c>
    </row>
    <row r="1568" spans="1:4" x14ac:dyDescent="0.35">
      <c r="A1568" t="s">
        <v>537</v>
      </c>
    </row>
    <row r="1569" spans="1:4" x14ac:dyDescent="0.35">
      <c r="A1569" t="s">
        <v>360</v>
      </c>
    </row>
    <row r="1570" spans="1:4" x14ac:dyDescent="0.35">
      <c r="A1570" t="s">
        <v>28</v>
      </c>
    </row>
    <row r="1571" spans="1:4" x14ac:dyDescent="0.35">
      <c r="A1571" t="s">
        <v>533</v>
      </c>
    </row>
    <row r="1572" spans="1:4" x14ac:dyDescent="0.35">
      <c r="A1572" t="s">
        <v>658</v>
      </c>
      <c r="B1572" t="s">
        <v>20</v>
      </c>
      <c r="C1572" t="s">
        <v>339</v>
      </c>
    </row>
    <row r="1573" spans="1:4" x14ac:dyDescent="0.35">
      <c r="A1573" t="s">
        <v>26</v>
      </c>
    </row>
    <row r="1574" spans="1:4" x14ac:dyDescent="0.35">
      <c r="A1574" t="s">
        <v>169</v>
      </c>
    </row>
    <row r="1575" spans="1:4" x14ac:dyDescent="0.35">
      <c r="A1575" t="s">
        <v>73</v>
      </c>
    </row>
    <row r="1576" spans="1:4" x14ac:dyDescent="0.35">
      <c r="A1576" t="s">
        <v>58</v>
      </c>
    </row>
    <row r="1577" spans="1:4" x14ac:dyDescent="0.35">
      <c r="A1577" t="s">
        <v>659</v>
      </c>
    </row>
    <row r="1578" spans="1:4" x14ac:dyDescent="0.35">
      <c r="A1578" t="s">
        <v>660</v>
      </c>
      <c r="B1578" t="s">
        <v>308</v>
      </c>
      <c r="C1578" t="s">
        <v>99</v>
      </c>
      <c r="D1578" t="s">
        <v>16</v>
      </c>
    </row>
    <row r="1579" spans="1:4" x14ac:dyDescent="0.35">
      <c r="A1579" t="s">
        <v>76</v>
      </c>
    </row>
    <row r="1580" spans="1:4" x14ac:dyDescent="0.35">
      <c r="A1580" t="s">
        <v>58</v>
      </c>
    </row>
    <row r="1581" spans="1:4" x14ac:dyDescent="0.35">
      <c r="A1581" t="s">
        <v>604</v>
      </c>
      <c r="B1581" t="s">
        <v>61</v>
      </c>
      <c r="C1581" t="s">
        <v>99</v>
      </c>
      <c r="D1581" t="s">
        <v>16</v>
      </c>
    </row>
    <row r="1582" spans="1:4" x14ac:dyDescent="0.35">
      <c r="A1582" t="s">
        <v>661</v>
      </c>
    </row>
    <row r="1583" spans="1:4" x14ac:dyDescent="0.35">
      <c r="A1583" t="s">
        <v>541</v>
      </c>
    </row>
    <row r="1584" spans="1:4" x14ac:dyDescent="0.35">
      <c r="A1584" t="s">
        <v>34</v>
      </c>
    </row>
    <row r="1585" spans="1:4" x14ac:dyDescent="0.35">
      <c r="A1585" t="s">
        <v>662</v>
      </c>
    </row>
    <row r="1586" spans="1:4" x14ac:dyDescent="0.35">
      <c r="A1586" t="s">
        <v>663</v>
      </c>
      <c r="B1586" t="s">
        <v>48</v>
      </c>
      <c r="C1586" t="s">
        <v>37</v>
      </c>
    </row>
    <row r="1587" spans="1:4" x14ac:dyDescent="0.35">
      <c r="A1587" t="s">
        <v>164</v>
      </c>
    </row>
    <row r="1588" spans="1:4" x14ac:dyDescent="0.35">
      <c r="A1588" t="s">
        <v>34</v>
      </c>
    </row>
    <row r="1589" spans="1:4" x14ac:dyDescent="0.35">
      <c r="A1589" t="s">
        <v>664</v>
      </c>
    </row>
    <row r="1590" spans="1:4" x14ac:dyDescent="0.35">
      <c r="A1590" t="s">
        <v>665</v>
      </c>
      <c r="B1590" t="s">
        <v>48</v>
      </c>
      <c r="C1590" t="s">
        <v>37</v>
      </c>
    </row>
    <row r="1591" spans="1:4" x14ac:dyDescent="0.35">
      <c r="A1591" t="s">
        <v>63</v>
      </c>
    </row>
    <row r="1593" spans="1:4" x14ac:dyDescent="0.35">
      <c r="A1593" t="s">
        <v>666</v>
      </c>
    </row>
    <row r="1594" spans="1:4" x14ac:dyDescent="0.35">
      <c r="A1594" t="s">
        <v>19</v>
      </c>
    </row>
    <row r="1595" spans="1:4" x14ac:dyDescent="0.35">
      <c r="A1595" t="s">
        <v>667</v>
      </c>
    </row>
    <row r="1596" spans="1:4" x14ac:dyDescent="0.35">
      <c r="A1596" t="s">
        <v>47</v>
      </c>
      <c r="B1596" t="s">
        <v>24</v>
      </c>
      <c r="C1596" t="s">
        <v>49</v>
      </c>
      <c r="D1596" t="s">
        <v>16</v>
      </c>
    </row>
    <row r="1597" spans="1:4" x14ac:dyDescent="0.35">
      <c r="A1597" t="s">
        <v>668</v>
      </c>
      <c r="B1597" t="s">
        <v>32</v>
      </c>
      <c r="C1597" t="s">
        <v>15</v>
      </c>
      <c r="D1597" t="s">
        <v>16</v>
      </c>
    </row>
    <row r="1598" spans="1:4" x14ac:dyDescent="0.35">
      <c r="A1598" t="s">
        <v>669</v>
      </c>
    </row>
    <row r="1599" spans="1:4" x14ac:dyDescent="0.35">
      <c r="A1599" t="s">
        <v>164</v>
      </c>
    </row>
    <row r="1600" spans="1:4" x14ac:dyDescent="0.35">
      <c r="A1600" t="s">
        <v>58</v>
      </c>
    </row>
    <row r="1601" spans="1:4" x14ac:dyDescent="0.35">
      <c r="A1601" t="s">
        <v>670</v>
      </c>
      <c r="B1601" t="s">
        <v>54</v>
      </c>
      <c r="C1601" t="s">
        <v>99</v>
      </c>
      <c r="D1601" t="s">
        <v>16</v>
      </c>
    </row>
    <row r="1602" spans="1:4" x14ac:dyDescent="0.35">
      <c r="A1602" t="s">
        <v>123</v>
      </c>
    </row>
    <row r="1603" spans="1:4" x14ac:dyDescent="0.35">
      <c r="A1603" t="s">
        <v>128</v>
      </c>
      <c r="B1603" t="s">
        <v>24</v>
      </c>
      <c r="C1603" t="s">
        <v>15</v>
      </c>
      <c r="D1603" t="s">
        <v>16</v>
      </c>
    </row>
    <row r="1604" spans="1:4" x14ac:dyDescent="0.35">
      <c r="A1604" t="s">
        <v>17</v>
      </c>
    </row>
    <row r="1605" spans="1:4" x14ac:dyDescent="0.35">
      <c r="A1605" t="s">
        <v>129</v>
      </c>
      <c r="B1605" t="s">
        <v>20</v>
      </c>
      <c r="C1605" t="s">
        <v>33</v>
      </c>
      <c r="D1605" t="s">
        <v>16</v>
      </c>
    </row>
    <row r="1606" spans="1:4" x14ac:dyDescent="0.35">
      <c r="A1606" t="s">
        <v>76</v>
      </c>
    </row>
    <row r="1607" spans="1:4" x14ac:dyDescent="0.35">
      <c r="A1607" t="s">
        <v>671</v>
      </c>
    </row>
    <row r="1608" spans="1:4" x14ac:dyDescent="0.35">
      <c r="A1608" t="s">
        <v>47</v>
      </c>
      <c r="B1608" t="s">
        <v>20</v>
      </c>
      <c r="C1608" t="s">
        <v>49</v>
      </c>
      <c r="D1608" t="s">
        <v>16</v>
      </c>
    </row>
    <row r="1609" spans="1:4" x14ac:dyDescent="0.35">
      <c r="A1609" t="s">
        <v>672</v>
      </c>
      <c r="B1609" t="s">
        <v>91</v>
      </c>
      <c r="C1609" t="s">
        <v>15</v>
      </c>
      <c r="D1609" t="s">
        <v>16</v>
      </c>
    </row>
    <row r="1610" spans="1:4" x14ac:dyDescent="0.35">
      <c r="A1610" t="s">
        <v>123</v>
      </c>
    </row>
    <row r="1611" spans="1:4" x14ac:dyDescent="0.35">
      <c r="A1611" t="s">
        <v>47</v>
      </c>
      <c r="B1611" t="s">
        <v>20</v>
      </c>
      <c r="C1611" t="s">
        <v>49</v>
      </c>
      <c r="D1611" t="s">
        <v>16</v>
      </c>
    </row>
    <row r="1612" spans="1:4" x14ac:dyDescent="0.35">
      <c r="A1612" t="s">
        <v>673</v>
      </c>
      <c r="B1612" t="s">
        <v>24</v>
      </c>
      <c r="C1612" t="s">
        <v>15</v>
      </c>
      <c r="D1612" t="s">
        <v>16</v>
      </c>
    </row>
    <row r="1613" spans="1:4" x14ac:dyDescent="0.35">
      <c r="A1613" t="s">
        <v>63</v>
      </c>
    </row>
    <row r="1615" spans="1:4" x14ac:dyDescent="0.35">
      <c r="A1615" t="s">
        <v>244</v>
      </c>
    </row>
    <row r="1616" spans="1:4" x14ac:dyDescent="0.35">
      <c r="A1616" t="s">
        <v>674</v>
      </c>
    </row>
    <row r="1617" spans="1:4" x14ac:dyDescent="0.35">
      <c r="A1617" t="s">
        <v>246</v>
      </c>
    </row>
    <row r="1618" spans="1:4" x14ac:dyDescent="0.35">
      <c r="A1618" t="s">
        <v>675</v>
      </c>
    </row>
    <row r="1619" spans="1:4" x14ac:dyDescent="0.35">
      <c r="A1619" t="s">
        <v>40</v>
      </c>
      <c r="B1619" t="s">
        <v>36</v>
      </c>
      <c r="C1619" t="s">
        <v>33</v>
      </c>
      <c r="D1619" t="s">
        <v>16</v>
      </c>
    </row>
    <row r="1620" spans="1:4" x14ac:dyDescent="0.35">
      <c r="A1620" t="s">
        <v>319</v>
      </c>
    </row>
    <row r="1621" spans="1:4" x14ac:dyDescent="0.35">
      <c r="A1621" t="s">
        <v>403</v>
      </c>
    </row>
    <row r="1622" spans="1:4" x14ac:dyDescent="0.35">
      <c r="A1622" t="s">
        <v>489</v>
      </c>
    </row>
    <row r="1623" spans="1:4" x14ac:dyDescent="0.35">
      <c r="A1623" t="s">
        <v>123</v>
      </c>
    </row>
    <row r="1624" spans="1:4" x14ac:dyDescent="0.35">
      <c r="A1624" t="s">
        <v>34</v>
      </c>
    </row>
    <row r="1625" spans="1:4" x14ac:dyDescent="0.35">
      <c r="A1625" t="s">
        <v>676</v>
      </c>
      <c r="B1625" t="s">
        <v>54</v>
      </c>
      <c r="C1625" t="s">
        <v>37</v>
      </c>
    </row>
    <row r="1626" spans="1:4" x14ac:dyDescent="0.35">
      <c r="A1626" t="s">
        <v>17</v>
      </c>
    </row>
    <row r="1627" spans="1:4" x14ac:dyDescent="0.35">
      <c r="A1627" t="s">
        <v>348</v>
      </c>
    </row>
    <row r="1628" spans="1:4" x14ac:dyDescent="0.35">
      <c r="A1628" t="s">
        <v>677</v>
      </c>
      <c r="B1628" t="s">
        <v>24</v>
      </c>
      <c r="C1628" t="s">
        <v>37</v>
      </c>
    </row>
    <row r="1629" spans="1:4" x14ac:dyDescent="0.35">
      <c r="A1629" t="s">
        <v>58</v>
      </c>
    </row>
    <row r="1630" spans="1:4" x14ac:dyDescent="0.35">
      <c r="A1630" t="s">
        <v>409</v>
      </c>
      <c r="B1630" t="s">
        <v>14</v>
      </c>
      <c r="C1630" t="s">
        <v>99</v>
      </c>
      <c r="D1630" t="s">
        <v>16</v>
      </c>
    </row>
    <row r="1631" spans="1:4" x14ac:dyDescent="0.35">
      <c r="A1631" t="s">
        <v>342</v>
      </c>
    </row>
    <row r="1632" spans="1:4" x14ac:dyDescent="0.35">
      <c r="A1632" t="s">
        <v>154</v>
      </c>
    </row>
    <row r="1633" spans="1:4" x14ac:dyDescent="0.35">
      <c r="A1633" t="s">
        <v>635</v>
      </c>
    </row>
    <row r="1634" spans="1:4" x14ac:dyDescent="0.35">
      <c r="A1634" t="s">
        <v>63</v>
      </c>
    </row>
    <row r="1636" spans="1:4" x14ac:dyDescent="0.35">
      <c r="A1636" t="s">
        <v>244</v>
      </c>
    </row>
    <row r="1637" spans="1:4" x14ac:dyDescent="0.35">
      <c r="A1637" t="s">
        <v>678</v>
      </c>
    </row>
    <row r="1638" spans="1:4" x14ac:dyDescent="0.35">
      <c r="A1638" t="s">
        <v>679</v>
      </c>
    </row>
    <row r="1639" spans="1:4" x14ac:dyDescent="0.35">
      <c r="A1639" t="s">
        <v>595</v>
      </c>
    </row>
    <row r="1640" spans="1:4" x14ac:dyDescent="0.35">
      <c r="A1640" t="s">
        <v>348</v>
      </c>
    </row>
    <row r="1641" spans="1:4" x14ac:dyDescent="0.35">
      <c r="A1641" t="s">
        <v>677</v>
      </c>
      <c r="B1641" t="s">
        <v>54</v>
      </c>
      <c r="C1641" t="s">
        <v>37</v>
      </c>
    </row>
    <row r="1642" spans="1:4" x14ac:dyDescent="0.35">
      <c r="A1642" t="s">
        <v>133</v>
      </c>
      <c r="B1642" t="s">
        <v>14</v>
      </c>
      <c r="C1642" t="s">
        <v>33</v>
      </c>
      <c r="D1642" t="s">
        <v>16</v>
      </c>
    </row>
    <row r="1643" spans="1:4" x14ac:dyDescent="0.35">
      <c r="A1643" t="s">
        <v>680</v>
      </c>
    </row>
    <row r="1644" spans="1:4" x14ac:dyDescent="0.35">
      <c r="A1644" t="s">
        <v>403</v>
      </c>
    </row>
    <row r="1645" spans="1:4" x14ac:dyDescent="0.35">
      <c r="A1645" t="s">
        <v>154</v>
      </c>
    </row>
    <row r="1646" spans="1:4" x14ac:dyDescent="0.35">
      <c r="A1646" t="s">
        <v>681</v>
      </c>
    </row>
    <row r="1647" spans="1:4" x14ac:dyDescent="0.35">
      <c r="A1647" t="s">
        <v>45</v>
      </c>
    </row>
    <row r="1648" spans="1:4" x14ac:dyDescent="0.35">
      <c r="A1648" t="s">
        <v>314</v>
      </c>
    </row>
    <row r="1649" spans="1:4" x14ac:dyDescent="0.35">
      <c r="A1649" t="s">
        <v>136</v>
      </c>
      <c r="B1649" t="s">
        <v>20</v>
      </c>
      <c r="C1649" t="s">
        <v>49</v>
      </c>
      <c r="D1649" t="s">
        <v>16</v>
      </c>
    </row>
    <row r="1650" spans="1:4" x14ac:dyDescent="0.35">
      <c r="A1650" t="s">
        <v>682</v>
      </c>
      <c r="B1650" t="s">
        <v>91</v>
      </c>
      <c r="C1650" t="s">
        <v>15</v>
      </c>
      <c r="D1650" t="s">
        <v>16</v>
      </c>
    </row>
    <row r="1651" spans="1:4" x14ac:dyDescent="0.35">
      <c r="A1651" t="s">
        <v>123</v>
      </c>
    </row>
    <row r="1652" spans="1:4" x14ac:dyDescent="0.35">
      <c r="A1652" t="s">
        <v>128</v>
      </c>
      <c r="B1652" t="s">
        <v>24</v>
      </c>
      <c r="C1652" t="s">
        <v>15</v>
      </c>
      <c r="D1652" t="s">
        <v>16</v>
      </c>
    </row>
    <row r="1653" spans="1:4" x14ac:dyDescent="0.35">
      <c r="A1653" t="s">
        <v>17</v>
      </c>
    </row>
    <row r="1654" spans="1:4" x14ac:dyDescent="0.35">
      <c r="A1654" t="s">
        <v>129</v>
      </c>
      <c r="B1654" t="s">
        <v>20</v>
      </c>
      <c r="C1654" t="s">
        <v>33</v>
      </c>
      <c r="D1654" t="s">
        <v>16</v>
      </c>
    </row>
    <row r="1655" spans="1:4" x14ac:dyDescent="0.35">
      <c r="A1655" t="s">
        <v>63</v>
      </c>
    </row>
    <row r="1656" spans="1:4" x14ac:dyDescent="0.35">
      <c r="A1656" t="s">
        <v>246</v>
      </c>
    </row>
    <row r="1658" spans="1:4" x14ac:dyDescent="0.35">
      <c r="A1658" t="s">
        <v>244</v>
      </c>
    </row>
    <row r="1659" spans="1:4" x14ac:dyDescent="0.35">
      <c r="A1659" t="s">
        <v>683</v>
      </c>
    </row>
    <row r="1660" spans="1:4" x14ac:dyDescent="0.35">
      <c r="A1660" t="s">
        <v>246</v>
      </c>
    </row>
    <row r="1661" spans="1:4" x14ac:dyDescent="0.35">
      <c r="A1661" t="s">
        <v>684</v>
      </c>
    </row>
    <row r="1662" spans="1:4" x14ac:dyDescent="0.35">
      <c r="A1662" t="s">
        <v>133</v>
      </c>
      <c r="B1662" t="s">
        <v>14</v>
      </c>
      <c r="C1662" t="s">
        <v>33</v>
      </c>
      <c r="D1662" t="s">
        <v>16</v>
      </c>
    </row>
    <row r="1663" spans="1:4" x14ac:dyDescent="0.35">
      <c r="A1663" t="s">
        <v>685</v>
      </c>
    </row>
    <row r="1664" spans="1:4" x14ac:dyDescent="0.35">
      <c r="A1664" t="s">
        <v>646</v>
      </c>
    </row>
    <row r="1665" spans="1:4" x14ac:dyDescent="0.35">
      <c r="A1665" t="s">
        <v>177</v>
      </c>
    </row>
    <row r="1666" spans="1:4" x14ac:dyDescent="0.35">
      <c r="A1666" t="s">
        <v>164</v>
      </c>
    </row>
    <row r="1667" spans="1:4" x14ac:dyDescent="0.35">
      <c r="A1667" t="s">
        <v>686</v>
      </c>
    </row>
    <row r="1668" spans="1:4" x14ac:dyDescent="0.35">
      <c r="A1668" t="s">
        <v>687</v>
      </c>
      <c r="B1668" t="s">
        <v>54</v>
      </c>
      <c r="C1668" t="s">
        <v>108</v>
      </c>
    </row>
    <row r="1669" spans="1:4" x14ac:dyDescent="0.35">
      <c r="A1669" t="s">
        <v>251</v>
      </c>
    </row>
    <row r="1670" spans="1:4" x14ac:dyDescent="0.35">
      <c r="A1670" t="s">
        <v>246</v>
      </c>
    </row>
    <row r="1672" spans="1:4" x14ac:dyDescent="0.35">
      <c r="A1672" t="s">
        <v>244</v>
      </c>
    </row>
    <row r="1673" spans="1:4" x14ac:dyDescent="0.35">
      <c r="A1673" t="s">
        <v>688</v>
      </c>
    </row>
    <row r="1674" spans="1:4" x14ac:dyDescent="0.35">
      <c r="A1674" t="s">
        <v>246</v>
      </c>
    </row>
    <row r="1675" spans="1:4" x14ac:dyDescent="0.35">
      <c r="A1675" t="s">
        <v>355</v>
      </c>
    </row>
    <row r="1676" spans="1:4" x14ac:dyDescent="0.35">
      <c r="A1676" t="s">
        <v>26</v>
      </c>
    </row>
    <row r="1677" spans="1:4" x14ac:dyDescent="0.35">
      <c r="A1677" t="s">
        <v>110</v>
      </c>
      <c r="B1677" t="s">
        <v>14</v>
      </c>
      <c r="C1677" t="s">
        <v>33</v>
      </c>
      <c r="D1677" t="s">
        <v>16</v>
      </c>
    </row>
    <row r="1678" spans="1:4" x14ac:dyDescent="0.35">
      <c r="A1678" t="s">
        <v>375</v>
      </c>
    </row>
    <row r="1679" spans="1:4" x14ac:dyDescent="0.35">
      <c r="A1679" t="s">
        <v>31</v>
      </c>
      <c r="B1679" t="s">
        <v>36</v>
      </c>
      <c r="C1679" t="s">
        <v>33</v>
      </c>
      <c r="D1679" t="s">
        <v>16</v>
      </c>
    </row>
    <row r="1680" spans="1:4" x14ac:dyDescent="0.35">
      <c r="A1680" t="s">
        <v>153</v>
      </c>
    </row>
    <row r="1681" spans="1:4" x14ac:dyDescent="0.35">
      <c r="A1681" t="s">
        <v>154</v>
      </c>
    </row>
    <row r="1682" spans="1:4" x14ac:dyDescent="0.35">
      <c r="A1682" t="s">
        <v>105</v>
      </c>
    </row>
    <row r="1683" spans="1:4" x14ac:dyDescent="0.35">
      <c r="A1683" t="s">
        <v>543</v>
      </c>
    </row>
    <row r="1684" spans="1:4" x14ac:dyDescent="0.35">
      <c r="A1684" t="s">
        <v>63</v>
      </c>
    </row>
    <row r="1685" spans="1:4" x14ac:dyDescent="0.35">
      <c r="A1685" t="s">
        <v>246</v>
      </c>
    </row>
    <row r="1687" spans="1:4" x14ac:dyDescent="0.35">
      <c r="A1687" t="s">
        <v>689</v>
      </c>
    </row>
    <row r="1688" spans="1:4" x14ac:dyDescent="0.35">
      <c r="A1688" t="s">
        <v>690</v>
      </c>
    </row>
    <row r="1689" spans="1:4" x14ac:dyDescent="0.35">
      <c r="A1689" t="s">
        <v>105</v>
      </c>
    </row>
    <row r="1690" spans="1:4" x14ac:dyDescent="0.35">
      <c r="A1690" t="s">
        <v>58</v>
      </c>
    </row>
    <row r="1691" spans="1:4" x14ac:dyDescent="0.35">
      <c r="A1691" t="s">
        <v>307</v>
      </c>
    </row>
    <row r="1692" spans="1:4" x14ac:dyDescent="0.35">
      <c r="A1692" t="s">
        <v>262</v>
      </c>
    </row>
    <row r="1693" spans="1:4" x14ac:dyDescent="0.35">
      <c r="A1693" t="s">
        <v>658</v>
      </c>
      <c r="B1693" t="s">
        <v>24</v>
      </c>
      <c r="C1693" t="s">
        <v>99</v>
      </c>
      <c r="D1693" t="s">
        <v>16</v>
      </c>
    </row>
    <row r="1694" spans="1:4" x14ac:dyDescent="0.35">
      <c r="A1694" t="s">
        <v>691</v>
      </c>
    </row>
    <row r="1695" spans="1:4" x14ac:dyDescent="0.35">
      <c r="A1695" t="s">
        <v>692</v>
      </c>
    </row>
    <row r="1696" spans="1:4" x14ac:dyDescent="0.35">
      <c r="A1696" t="s">
        <v>133</v>
      </c>
      <c r="B1696" t="s">
        <v>36</v>
      </c>
      <c r="C1696" t="s">
        <v>33</v>
      </c>
      <c r="D1696" t="s">
        <v>16</v>
      </c>
    </row>
    <row r="1697" spans="1:4" x14ac:dyDescent="0.35">
      <c r="A1697" t="s">
        <v>693</v>
      </c>
    </row>
    <row r="1698" spans="1:4" x14ac:dyDescent="0.35">
      <c r="A1698" t="s">
        <v>177</v>
      </c>
    </row>
    <row r="1699" spans="1:4" x14ac:dyDescent="0.35">
      <c r="A1699" t="s">
        <v>587</v>
      </c>
    </row>
    <row r="1700" spans="1:4" x14ac:dyDescent="0.35">
      <c r="A1700" t="s">
        <v>31</v>
      </c>
      <c r="B1700" t="s">
        <v>20</v>
      </c>
      <c r="C1700" t="s">
        <v>33</v>
      </c>
      <c r="D1700" t="s">
        <v>16</v>
      </c>
    </row>
    <row r="1701" spans="1:4" x14ac:dyDescent="0.35">
      <c r="A1701" t="s">
        <v>57</v>
      </c>
    </row>
    <row r="1702" spans="1:4" x14ac:dyDescent="0.35">
      <c r="A1702" t="s">
        <v>133</v>
      </c>
      <c r="B1702" t="s">
        <v>41</v>
      </c>
      <c r="C1702" t="s">
        <v>33</v>
      </c>
      <c r="D1702" t="s">
        <v>16</v>
      </c>
    </row>
    <row r="1703" spans="1:4" x14ac:dyDescent="0.35">
      <c r="A1703" t="s">
        <v>83</v>
      </c>
    </row>
    <row r="1704" spans="1:4" x14ac:dyDescent="0.35">
      <c r="A1704" t="s">
        <v>595</v>
      </c>
    </row>
    <row r="1705" spans="1:4" x14ac:dyDescent="0.35">
      <c r="A1705" t="s">
        <v>34</v>
      </c>
    </row>
    <row r="1706" spans="1:4" x14ac:dyDescent="0.35">
      <c r="A1706" t="s">
        <v>694</v>
      </c>
      <c r="B1706" t="s">
        <v>24</v>
      </c>
      <c r="C1706" t="s">
        <v>37</v>
      </c>
    </row>
    <row r="1707" spans="1:4" x14ac:dyDescent="0.35">
      <c r="A1707" t="s">
        <v>69</v>
      </c>
    </row>
    <row r="1708" spans="1:4" x14ac:dyDescent="0.35">
      <c r="A1708" t="s">
        <v>58</v>
      </c>
    </row>
    <row r="1709" spans="1:4" x14ac:dyDescent="0.35">
      <c r="A1709" t="s">
        <v>215</v>
      </c>
      <c r="B1709" t="s">
        <v>20</v>
      </c>
      <c r="C1709" t="s">
        <v>99</v>
      </c>
      <c r="D1709" t="s">
        <v>16</v>
      </c>
    </row>
    <row r="1710" spans="1:4" x14ac:dyDescent="0.35">
      <c r="A1710" t="s">
        <v>26</v>
      </c>
    </row>
    <row r="1711" spans="1:4" x14ac:dyDescent="0.35">
      <c r="A1711" t="s">
        <v>76</v>
      </c>
    </row>
    <row r="1712" spans="1:4" x14ac:dyDescent="0.35">
      <c r="A1712" t="s">
        <v>630</v>
      </c>
    </row>
    <row r="1713" spans="1:4" x14ac:dyDescent="0.35">
      <c r="A1713" t="s">
        <v>39</v>
      </c>
    </row>
    <row r="1714" spans="1:4" x14ac:dyDescent="0.35">
      <c r="A1714" t="s">
        <v>533</v>
      </c>
    </row>
    <row r="1715" spans="1:4" x14ac:dyDescent="0.35">
      <c r="A1715" t="s">
        <v>534</v>
      </c>
    </row>
    <row r="1716" spans="1:4" x14ac:dyDescent="0.35">
      <c r="A1716" t="s">
        <v>665</v>
      </c>
      <c r="B1716" t="s">
        <v>24</v>
      </c>
      <c r="C1716" t="s">
        <v>122</v>
      </c>
      <c r="D1716" t="s">
        <v>16</v>
      </c>
    </row>
    <row r="1717" spans="1:4" x14ac:dyDescent="0.35">
      <c r="A1717" t="s">
        <v>26</v>
      </c>
    </row>
    <row r="1718" spans="1:4" x14ac:dyDescent="0.35">
      <c r="A1718" t="s">
        <v>159</v>
      </c>
    </row>
    <row r="1719" spans="1:4" x14ac:dyDescent="0.35">
      <c r="A1719" t="s">
        <v>58</v>
      </c>
    </row>
    <row r="1720" spans="1:4" x14ac:dyDescent="0.35">
      <c r="A1720" t="s">
        <v>546</v>
      </c>
      <c r="B1720" t="s">
        <v>41</v>
      </c>
      <c r="C1720" t="s">
        <v>99</v>
      </c>
      <c r="D1720" t="s">
        <v>16</v>
      </c>
    </row>
    <row r="1721" spans="1:4" x14ac:dyDescent="0.35">
      <c r="A1721" t="s">
        <v>695</v>
      </c>
    </row>
    <row r="1722" spans="1:4" x14ac:dyDescent="0.35">
      <c r="A1722" t="s">
        <v>555</v>
      </c>
      <c r="B1722" t="s">
        <v>56</v>
      </c>
      <c r="C1722" t="s">
        <v>49</v>
      </c>
      <c r="D1722" t="s">
        <v>16</v>
      </c>
    </row>
    <row r="1723" spans="1:4" x14ac:dyDescent="0.35">
      <c r="A1723" t="s">
        <v>659</v>
      </c>
    </row>
    <row r="1724" spans="1:4" x14ac:dyDescent="0.35">
      <c r="A1724" t="s">
        <v>696</v>
      </c>
      <c r="B1724" t="s">
        <v>95</v>
      </c>
      <c r="C1724" t="s">
        <v>15</v>
      </c>
      <c r="D1724" t="s">
        <v>16</v>
      </c>
    </row>
    <row r="1725" spans="1:4" x14ac:dyDescent="0.35">
      <c r="A1725" t="s">
        <v>26</v>
      </c>
    </row>
    <row r="1726" spans="1:4" x14ac:dyDescent="0.35">
      <c r="A1726" t="s">
        <v>697</v>
      </c>
    </row>
    <row r="1727" spans="1:4" x14ac:dyDescent="0.35">
      <c r="A1727" t="s">
        <v>537</v>
      </c>
    </row>
    <row r="1728" spans="1:4" x14ac:dyDescent="0.35">
      <c r="A1728" t="s">
        <v>76</v>
      </c>
    </row>
    <row r="1729" spans="1:4" x14ac:dyDescent="0.35">
      <c r="A1729" t="s">
        <v>698</v>
      </c>
    </row>
    <row r="1730" spans="1:4" x14ac:dyDescent="0.35">
      <c r="A1730" t="s">
        <v>169</v>
      </c>
    </row>
    <row r="1731" spans="1:4" x14ac:dyDescent="0.35">
      <c r="A1731" t="s">
        <v>63</v>
      </c>
    </row>
    <row r="1733" spans="1:4" x14ac:dyDescent="0.35">
      <c r="A1733" t="s">
        <v>244</v>
      </c>
    </row>
    <row r="1734" spans="1:4" x14ac:dyDescent="0.35">
      <c r="A1734" t="s">
        <v>699</v>
      </c>
    </row>
    <row r="1735" spans="1:4" x14ac:dyDescent="0.35">
      <c r="A1735" t="s">
        <v>246</v>
      </c>
    </row>
    <row r="1736" spans="1:4" x14ac:dyDescent="0.35">
      <c r="A1736" t="s">
        <v>222</v>
      </c>
      <c r="B1736" t="s">
        <v>36</v>
      </c>
      <c r="C1736" t="s">
        <v>33</v>
      </c>
      <c r="D1736" t="s">
        <v>16</v>
      </c>
    </row>
    <row r="1737" spans="1:4" x14ac:dyDescent="0.35">
      <c r="A1737" t="s">
        <v>275</v>
      </c>
    </row>
    <row r="1738" spans="1:4" x14ac:dyDescent="0.35">
      <c r="A1738" t="s">
        <v>700</v>
      </c>
    </row>
    <row r="1739" spans="1:4" x14ac:dyDescent="0.35">
      <c r="A1739" t="s">
        <v>701</v>
      </c>
    </row>
    <row r="1740" spans="1:4" x14ac:dyDescent="0.35">
      <c r="A1740" t="s">
        <v>702</v>
      </c>
    </row>
    <row r="1741" spans="1:4" x14ac:dyDescent="0.35">
      <c r="A1741" t="s">
        <v>26</v>
      </c>
    </row>
    <row r="1742" spans="1:4" x14ac:dyDescent="0.35">
      <c r="A1742" t="s">
        <v>246</v>
      </c>
    </row>
    <row r="1743" spans="1:4" x14ac:dyDescent="0.35">
      <c r="A1743" t="s">
        <v>140</v>
      </c>
    </row>
    <row r="1744" spans="1:4" x14ac:dyDescent="0.35">
      <c r="A1744" t="s">
        <v>19</v>
      </c>
      <c r="B1744" t="s">
        <v>14</v>
      </c>
      <c r="C1744" t="s">
        <v>21</v>
      </c>
      <c r="D1744" t="s">
        <v>16</v>
      </c>
    </row>
    <row r="1745" spans="1:4" x14ac:dyDescent="0.35">
      <c r="A1745" t="s">
        <v>63</v>
      </c>
    </row>
    <row r="1747" spans="1:4" x14ac:dyDescent="0.35">
      <c r="A1747" t="s">
        <v>244</v>
      </c>
    </row>
    <row r="1748" spans="1:4" x14ac:dyDescent="0.35">
      <c r="A1748" t="s">
        <v>703</v>
      </c>
    </row>
    <row r="1749" spans="1:4" x14ac:dyDescent="0.35">
      <c r="A1749" t="s">
        <v>246</v>
      </c>
    </row>
    <row r="1750" spans="1:4" x14ac:dyDescent="0.35">
      <c r="A1750" t="s">
        <v>222</v>
      </c>
      <c r="B1750" t="s">
        <v>14</v>
      </c>
      <c r="C1750" t="s">
        <v>33</v>
      </c>
      <c r="D1750" t="s">
        <v>16</v>
      </c>
    </row>
    <row r="1751" spans="1:4" x14ac:dyDescent="0.35">
      <c r="A1751" t="s">
        <v>704</v>
      </c>
    </row>
    <row r="1752" spans="1:4" x14ac:dyDescent="0.35">
      <c r="A1752" t="s">
        <v>224</v>
      </c>
    </row>
    <row r="1753" spans="1:4" x14ac:dyDescent="0.35">
      <c r="A1753" t="s">
        <v>93</v>
      </c>
    </row>
    <row r="1754" spans="1:4" x14ac:dyDescent="0.35">
      <c r="A1754" t="s">
        <v>58</v>
      </c>
    </row>
    <row r="1755" spans="1:4" x14ac:dyDescent="0.35">
      <c r="A1755" t="s">
        <v>705</v>
      </c>
      <c r="B1755" t="s">
        <v>91</v>
      </c>
      <c r="C1755" t="s">
        <v>99</v>
      </c>
      <c r="D1755" t="s">
        <v>16</v>
      </c>
    </row>
    <row r="1756" spans="1:4" x14ac:dyDescent="0.35">
      <c r="A1756" t="s">
        <v>17</v>
      </c>
    </row>
    <row r="1757" spans="1:4" x14ac:dyDescent="0.35">
      <c r="A1757" t="s">
        <v>47</v>
      </c>
      <c r="B1757" t="s">
        <v>143</v>
      </c>
      <c r="C1757" t="s">
        <v>33</v>
      </c>
      <c r="D1757" t="s">
        <v>16</v>
      </c>
    </row>
    <row r="1758" spans="1:4" x14ac:dyDescent="0.35">
      <c r="A1758" t="s">
        <v>706</v>
      </c>
    </row>
    <row r="1759" spans="1:4" x14ac:dyDescent="0.35">
      <c r="A1759" t="s">
        <v>707</v>
      </c>
    </row>
    <row r="1760" spans="1:4" x14ac:dyDescent="0.35">
      <c r="A1760" t="s">
        <v>587</v>
      </c>
    </row>
    <row r="1761" spans="1:4" x14ac:dyDescent="0.35">
      <c r="A1761" t="s">
        <v>40</v>
      </c>
      <c r="B1761" t="s">
        <v>308</v>
      </c>
      <c r="C1761" t="s">
        <v>33</v>
      </c>
      <c r="D1761" t="s">
        <v>16</v>
      </c>
    </row>
    <row r="1762" spans="1:4" x14ac:dyDescent="0.35">
      <c r="A1762" t="s">
        <v>525</v>
      </c>
    </row>
    <row r="1763" spans="1:4" x14ac:dyDescent="0.35">
      <c r="A1763" t="s">
        <v>708</v>
      </c>
    </row>
    <row r="1764" spans="1:4" x14ac:dyDescent="0.35">
      <c r="A1764" t="s">
        <v>129</v>
      </c>
      <c r="B1764" t="s">
        <v>79</v>
      </c>
      <c r="C1764" t="s">
        <v>33</v>
      </c>
      <c r="D1764" t="s">
        <v>16</v>
      </c>
    </row>
    <row r="1765" spans="1:4" x14ac:dyDescent="0.35">
      <c r="A1765" t="s">
        <v>63</v>
      </c>
    </row>
    <row r="1767" spans="1:4" x14ac:dyDescent="0.35">
      <c r="A1767" t="s">
        <v>244</v>
      </c>
    </row>
    <row r="1768" spans="1:4" x14ac:dyDescent="0.35">
      <c r="A1768" t="s">
        <v>709</v>
      </c>
    </row>
    <row r="1769" spans="1:4" x14ac:dyDescent="0.35">
      <c r="A1769" t="s">
        <v>710</v>
      </c>
    </row>
    <row r="1770" spans="1:4" x14ac:dyDescent="0.35">
      <c r="A1770" t="s">
        <v>711</v>
      </c>
    </row>
    <row r="1771" spans="1:4" x14ac:dyDescent="0.35">
      <c r="A1771" t="s">
        <v>712</v>
      </c>
      <c r="B1771" t="s">
        <v>54</v>
      </c>
      <c r="C1771" t="s">
        <v>37</v>
      </c>
    </row>
    <row r="1772" spans="1:4" x14ac:dyDescent="0.35">
      <c r="A1772" t="s">
        <v>133</v>
      </c>
      <c r="B1772" t="s">
        <v>14</v>
      </c>
      <c r="C1772" t="s">
        <v>33</v>
      </c>
      <c r="D1772" t="s">
        <v>16</v>
      </c>
    </row>
    <row r="1773" spans="1:4" x14ac:dyDescent="0.35">
      <c r="A1773" t="s">
        <v>323</v>
      </c>
    </row>
    <row r="1774" spans="1:4" x14ac:dyDescent="0.35">
      <c r="A1774" t="s">
        <v>713</v>
      </c>
    </row>
    <row r="1775" spans="1:4" x14ac:dyDescent="0.35">
      <c r="A1775" t="s">
        <v>136</v>
      </c>
      <c r="B1775" t="s">
        <v>24</v>
      </c>
      <c r="C1775" t="s">
        <v>49</v>
      </c>
      <c r="D1775" t="s">
        <v>16</v>
      </c>
    </row>
    <row r="1776" spans="1:4" x14ac:dyDescent="0.35">
      <c r="A1776" t="s">
        <v>687</v>
      </c>
      <c r="B1776" t="s">
        <v>32</v>
      </c>
      <c r="C1776" t="s">
        <v>15</v>
      </c>
      <c r="D1776" t="s">
        <v>16</v>
      </c>
    </row>
    <row r="1777" spans="1:4" x14ac:dyDescent="0.35">
      <c r="A1777" t="s">
        <v>510</v>
      </c>
    </row>
    <row r="1778" spans="1:4" x14ac:dyDescent="0.35">
      <c r="A1778" t="s">
        <v>133</v>
      </c>
      <c r="B1778" t="s">
        <v>36</v>
      </c>
      <c r="C1778" t="s">
        <v>33</v>
      </c>
      <c r="D1778" t="s">
        <v>16</v>
      </c>
    </row>
    <row r="1779" spans="1:4" x14ac:dyDescent="0.35">
      <c r="A1779" t="s">
        <v>275</v>
      </c>
    </row>
    <row r="1780" spans="1:4" x14ac:dyDescent="0.35">
      <c r="A1780" t="s">
        <v>63</v>
      </c>
    </row>
    <row r="1781" spans="1:4" x14ac:dyDescent="0.35">
      <c r="A1781" t="s">
        <v>246</v>
      </c>
    </row>
    <row r="1783" spans="1:4" x14ac:dyDescent="0.35">
      <c r="A1783" t="s">
        <v>714</v>
      </c>
    </row>
    <row r="1784" spans="1:4" x14ac:dyDescent="0.35">
      <c r="A1784" t="s">
        <v>501</v>
      </c>
      <c r="B1784" t="s">
        <v>14</v>
      </c>
      <c r="C1784" t="s">
        <v>33</v>
      </c>
      <c r="D1784" t="s">
        <v>16</v>
      </c>
    </row>
    <row r="1785" spans="1:4" x14ac:dyDescent="0.35">
      <c r="A1785" t="s">
        <v>715</v>
      </c>
    </row>
    <row r="1786" spans="1:4" x14ac:dyDescent="0.35">
      <c r="A1786" t="s">
        <v>169</v>
      </c>
    </row>
    <row r="1787" spans="1:4" x14ac:dyDescent="0.35">
      <c r="A1787" t="s">
        <v>47</v>
      </c>
      <c r="B1787" t="s">
        <v>24</v>
      </c>
      <c r="C1787" t="s">
        <v>49</v>
      </c>
      <c r="D1787" t="s">
        <v>16</v>
      </c>
    </row>
    <row r="1788" spans="1:4" x14ac:dyDescent="0.35">
      <c r="A1788" t="s">
        <v>716</v>
      </c>
      <c r="B1788" t="s">
        <v>54</v>
      </c>
      <c r="C1788" t="s">
        <v>15</v>
      </c>
      <c r="D1788" t="s">
        <v>16</v>
      </c>
    </row>
    <row r="1789" spans="1:4" x14ac:dyDescent="0.35">
      <c r="A1789" t="s">
        <v>76</v>
      </c>
    </row>
    <row r="1790" spans="1:4" x14ac:dyDescent="0.35">
      <c r="A1790" t="s">
        <v>717</v>
      </c>
    </row>
    <row r="1791" spans="1:4" x14ac:dyDescent="0.35">
      <c r="A1791" t="s">
        <v>47</v>
      </c>
      <c r="B1791" t="s">
        <v>20</v>
      </c>
      <c r="C1791" t="s">
        <v>49</v>
      </c>
      <c r="D1791" t="s">
        <v>16</v>
      </c>
    </row>
    <row r="1792" spans="1:4" x14ac:dyDescent="0.35">
      <c r="A1792" t="s">
        <v>718</v>
      </c>
      <c r="B1792" t="s">
        <v>91</v>
      </c>
      <c r="C1792" t="s">
        <v>15</v>
      </c>
      <c r="D1792" t="s">
        <v>16</v>
      </c>
    </row>
    <row r="1793" spans="1:4" x14ac:dyDescent="0.35">
      <c r="A1793" t="s">
        <v>45</v>
      </c>
    </row>
    <row r="1794" spans="1:4" x14ac:dyDescent="0.35">
      <c r="A1794" t="s">
        <v>58</v>
      </c>
    </row>
    <row r="1795" spans="1:4" x14ac:dyDescent="0.35">
      <c r="A1795" t="s">
        <v>687</v>
      </c>
      <c r="B1795" t="s">
        <v>20</v>
      </c>
      <c r="C1795" t="s">
        <v>99</v>
      </c>
      <c r="D1795" t="s">
        <v>16</v>
      </c>
    </row>
    <row r="1796" spans="1:4" x14ac:dyDescent="0.35">
      <c r="A1796" t="s">
        <v>63</v>
      </c>
    </row>
    <row r="1798" spans="1:4" x14ac:dyDescent="0.35">
      <c r="A1798" t="s">
        <v>244</v>
      </c>
    </row>
    <row r="1799" spans="1:4" x14ac:dyDescent="0.35">
      <c r="A1799" t="s">
        <v>719</v>
      </c>
    </row>
    <row r="1800" spans="1:4" x14ac:dyDescent="0.35">
      <c r="A1800" t="s">
        <v>246</v>
      </c>
    </row>
    <row r="1801" spans="1:4" x14ac:dyDescent="0.35">
      <c r="A1801" t="s">
        <v>720</v>
      </c>
      <c r="B1801" t="s">
        <v>54</v>
      </c>
      <c r="C1801" t="s">
        <v>108</v>
      </c>
    </row>
    <row r="1802" spans="1:4" x14ac:dyDescent="0.35">
      <c r="A1802" t="s">
        <v>721</v>
      </c>
      <c r="B1802" t="s">
        <v>54</v>
      </c>
      <c r="C1802" t="s">
        <v>21</v>
      </c>
      <c r="D1802" t="s">
        <v>16</v>
      </c>
    </row>
    <row r="1803" spans="1:4" x14ac:dyDescent="0.35">
      <c r="A1803" t="s">
        <v>26</v>
      </c>
    </row>
    <row r="1804" spans="1:4" x14ac:dyDescent="0.35">
      <c r="A1804" t="s">
        <v>110</v>
      </c>
      <c r="B1804" t="s">
        <v>36</v>
      </c>
      <c r="C1804" t="s">
        <v>33</v>
      </c>
      <c r="D1804" t="s">
        <v>16</v>
      </c>
    </row>
    <row r="1805" spans="1:4" x14ac:dyDescent="0.35">
      <c r="A1805" t="s">
        <v>375</v>
      </c>
    </row>
    <row r="1806" spans="1:4" x14ac:dyDescent="0.35">
      <c r="A1806" t="s">
        <v>39</v>
      </c>
    </row>
    <row r="1807" spans="1:4" x14ac:dyDescent="0.35">
      <c r="A1807" t="s">
        <v>110</v>
      </c>
      <c r="B1807" t="s">
        <v>41</v>
      </c>
      <c r="C1807" t="s">
        <v>33</v>
      </c>
      <c r="D1807" t="s">
        <v>16</v>
      </c>
    </row>
    <row r="1808" spans="1:4" x14ac:dyDescent="0.35">
      <c r="A1808" t="s">
        <v>722</v>
      </c>
    </row>
    <row r="1809" spans="1:4" x14ac:dyDescent="0.35">
      <c r="A1809" t="s">
        <v>85</v>
      </c>
      <c r="B1809" t="s">
        <v>95</v>
      </c>
      <c r="C1809" t="s">
        <v>33</v>
      </c>
      <c r="D1809" t="s">
        <v>16</v>
      </c>
    </row>
    <row r="1810" spans="1:4" x14ac:dyDescent="0.35">
      <c r="A1810" t="s">
        <v>586</v>
      </c>
    </row>
    <row r="1811" spans="1:4" x14ac:dyDescent="0.35">
      <c r="A1811" t="s">
        <v>63</v>
      </c>
    </row>
    <row r="1812" spans="1:4" x14ac:dyDescent="0.35">
      <c r="A1812" t="s">
        <v>246</v>
      </c>
    </row>
    <row r="1814" spans="1:4" x14ac:dyDescent="0.35">
      <c r="A1814" t="s">
        <v>723</v>
      </c>
    </row>
    <row r="1815" spans="1:4" x14ac:dyDescent="0.35">
      <c r="A1815" t="s">
        <v>291</v>
      </c>
    </row>
    <row r="1816" spans="1:4" x14ac:dyDescent="0.35">
      <c r="A1816" t="s">
        <v>477</v>
      </c>
      <c r="B1816" t="s">
        <v>14</v>
      </c>
      <c r="C1816" t="s">
        <v>37</v>
      </c>
    </row>
    <row r="1817" spans="1:4" x14ac:dyDescent="0.35">
      <c r="A1817" t="s">
        <v>17</v>
      </c>
    </row>
    <row r="1818" spans="1:4" x14ac:dyDescent="0.35">
      <c r="A1818" t="s">
        <v>724</v>
      </c>
    </row>
    <row r="1819" spans="1:4" x14ac:dyDescent="0.35">
      <c r="A1819" t="s">
        <v>481</v>
      </c>
      <c r="B1819" t="s">
        <v>24</v>
      </c>
      <c r="C1819" t="s">
        <v>108</v>
      </c>
    </row>
    <row r="1820" spans="1:4" x14ac:dyDescent="0.35">
      <c r="A1820" t="s">
        <v>725</v>
      </c>
    </row>
    <row r="1821" spans="1:4" x14ac:dyDescent="0.35">
      <c r="A1821" t="s">
        <v>58</v>
      </c>
    </row>
    <row r="1822" spans="1:4" x14ac:dyDescent="0.35">
      <c r="A1822" t="s">
        <v>726</v>
      </c>
      <c r="B1822" t="s">
        <v>32</v>
      </c>
      <c r="C1822" t="s">
        <v>99</v>
      </c>
      <c r="D1822" t="s">
        <v>16</v>
      </c>
    </row>
    <row r="1823" spans="1:4" x14ac:dyDescent="0.35">
      <c r="A1823" t="s">
        <v>17</v>
      </c>
    </row>
    <row r="1824" spans="1:4" x14ac:dyDescent="0.35">
      <c r="A1824" t="s">
        <v>58</v>
      </c>
    </row>
    <row r="1825" spans="1:4" x14ac:dyDescent="0.35">
      <c r="A1825" t="s">
        <v>178</v>
      </c>
      <c r="B1825" t="s">
        <v>24</v>
      </c>
      <c r="C1825" t="s">
        <v>99</v>
      </c>
      <c r="D1825" t="s">
        <v>16</v>
      </c>
    </row>
    <row r="1826" spans="1:4" x14ac:dyDescent="0.35">
      <c r="A1826" t="s">
        <v>63</v>
      </c>
    </row>
    <row r="1828" spans="1:4" x14ac:dyDescent="0.35">
      <c r="A1828" t="s">
        <v>727</v>
      </c>
    </row>
    <row r="1829" spans="1:4" x14ac:dyDescent="0.35">
      <c r="A1829" t="s">
        <v>728</v>
      </c>
    </row>
    <row r="1830" spans="1:4" x14ac:dyDescent="0.35">
      <c r="A1830" t="s">
        <v>729</v>
      </c>
    </row>
    <row r="1831" spans="1:4" x14ac:dyDescent="0.35">
      <c r="A1831" t="s">
        <v>58</v>
      </c>
    </row>
    <row r="1832" spans="1:4" x14ac:dyDescent="0.35">
      <c r="A1832" t="s">
        <v>730</v>
      </c>
      <c r="B1832" t="s">
        <v>24</v>
      </c>
      <c r="C1832" t="s">
        <v>99</v>
      </c>
      <c r="D1832" t="s">
        <v>16</v>
      </c>
    </row>
    <row r="1833" spans="1:4" x14ac:dyDescent="0.35">
      <c r="A1833" t="s">
        <v>133</v>
      </c>
      <c r="B1833" t="s">
        <v>14</v>
      </c>
      <c r="C1833" t="s">
        <v>33</v>
      </c>
      <c r="D1833" t="s">
        <v>16</v>
      </c>
    </row>
    <row r="1834" spans="1:4" x14ac:dyDescent="0.35">
      <c r="A1834" t="s">
        <v>731</v>
      </c>
    </row>
    <row r="1835" spans="1:4" x14ac:dyDescent="0.35">
      <c r="A1835" t="s">
        <v>732</v>
      </c>
    </row>
    <row r="1836" spans="1:4" x14ac:dyDescent="0.35">
      <c r="A1836" t="s">
        <v>131</v>
      </c>
    </row>
    <row r="1837" spans="1:4" x14ac:dyDescent="0.35">
      <c r="A1837" t="s">
        <v>58</v>
      </c>
    </row>
    <row r="1838" spans="1:4" x14ac:dyDescent="0.35">
      <c r="A1838" t="s">
        <v>610</v>
      </c>
      <c r="B1838" t="s">
        <v>20</v>
      </c>
      <c r="C1838" t="s">
        <v>108</v>
      </c>
    </row>
    <row r="1839" spans="1:4" x14ac:dyDescent="0.35">
      <c r="A1839" t="s">
        <v>262</v>
      </c>
    </row>
    <row r="1840" spans="1:4" x14ac:dyDescent="0.35">
      <c r="A1840" t="s">
        <v>733</v>
      </c>
    </row>
    <row r="1841" spans="1:4" x14ac:dyDescent="0.35">
      <c r="A1841" t="s">
        <v>658</v>
      </c>
      <c r="B1841" t="s">
        <v>54</v>
      </c>
      <c r="C1841" t="s">
        <v>99</v>
      </c>
      <c r="D1841" t="s">
        <v>16</v>
      </c>
    </row>
    <row r="1842" spans="1:4" x14ac:dyDescent="0.35">
      <c r="A1842" t="s">
        <v>123</v>
      </c>
    </row>
    <row r="1843" spans="1:4" x14ac:dyDescent="0.35">
      <c r="A1843" t="s">
        <v>128</v>
      </c>
      <c r="B1843" t="s">
        <v>54</v>
      </c>
      <c r="C1843" t="s">
        <v>15</v>
      </c>
      <c r="D1843" t="s">
        <v>16</v>
      </c>
    </row>
    <row r="1844" spans="1:4" x14ac:dyDescent="0.35">
      <c r="A1844" t="s">
        <v>17</v>
      </c>
    </row>
    <row r="1845" spans="1:4" x14ac:dyDescent="0.35">
      <c r="A1845" t="s">
        <v>129</v>
      </c>
      <c r="B1845" t="s">
        <v>24</v>
      </c>
      <c r="C1845" t="s">
        <v>33</v>
      </c>
      <c r="D1845" t="s">
        <v>16</v>
      </c>
    </row>
    <row r="1846" spans="1:4" x14ac:dyDescent="0.35">
      <c r="A1846" t="s">
        <v>63</v>
      </c>
    </row>
    <row r="1848" spans="1:4" x14ac:dyDescent="0.35">
      <c r="A1848" t="s">
        <v>734</v>
      </c>
    </row>
    <row r="1849" spans="1:4" x14ac:dyDescent="0.35">
      <c r="A1849" t="s">
        <v>97</v>
      </c>
    </row>
    <row r="1850" spans="1:4" x14ac:dyDescent="0.35">
      <c r="A1850" t="s">
        <v>481</v>
      </c>
      <c r="B1850" t="s">
        <v>14</v>
      </c>
      <c r="C1850" t="s">
        <v>99</v>
      </c>
      <c r="D1850" t="s">
        <v>16</v>
      </c>
    </row>
    <row r="1851" spans="1:4" x14ac:dyDescent="0.35">
      <c r="A1851" t="s">
        <v>735</v>
      </c>
    </row>
    <row r="1852" spans="1:4" x14ac:dyDescent="0.35">
      <c r="A1852" t="s">
        <v>736</v>
      </c>
      <c r="B1852" t="s">
        <v>32</v>
      </c>
      <c r="C1852" t="s">
        <v>108</v>
      </c>
    </row>
    <row r="1853" spans="1:4" x14ac:dyDescent="0.35">
      <c r="A1853" t="s">
        <v>26</v>
      </c>
    </row>
    <row r="1854" spans="1:4" x14ac:dyDescent="0.35">
      <c r="A1854" t="s">
        <v>76</v>
      </c>
    </row>
    <row r="1855" spans="1:4" x14ac:dyDescent="0.35">
      <c r="A1855" t="s">
        <v>426</v>
      </c>
    </row>
    <row r="1856" spans="1:4" x14ac:dyDescent="0.35">
      <c r="A1856" t="s">
        <v>58</v>
      </c>
    </row>
    <row r="1857" spans="1:4" x14ac:dyDescent="0.35">
      <c r="A1857" t="s">
        <v>307</v>
      </c>
      <c r="B1857" t="s">
        <v>54</v>
      </c>
      <c r="C1857" t="s">
        <v>99</v>
      </c>
      <c r="D1857" t="s">
        <v>16</v>
      </c>
    </row>
    <row r="1858" spans="1:4" x14ac:dyDescent="0.35">
      <c r="A1858" t="s">
        <v>26</v>
      </c>
    </row>
    <row r="1859" spans="1:4" x14ac:dyDescent="0.35">
      <c r="A1859" t="s">
        <v>105</v>
      </c>
    </row>
    <row r="1860" spans="1:4" x14ac:dyDescent="0.35">
      <c r="A1860" t="s">
        <v>426</v>
      </c>
    </row>
    <row r="1861" spans="1:4" x14ac:dyDescent="0.35">
      <c r="A1861" t="s">
        <v>34</v>
      </c>
    </row>
    <row r="1862" spans="1:4" x14ac:dyDescent="0.35">
      <c r="A1862" t="s">
        <v>737</v>
      </c>
      <c r="B1862" t="s">
        <v>24</v>
      </c>
      <c r="C1862" t="s">
        <v>37</v>
      </c>
    </row>
    <row r="1863" spans="1:4" x14ac:dyDescent="0.35">
      <c r="A1863" t="s">
        <v>26</v>
      </c>
    </row>
    <row r="1864" spans="1:4" x14ac:dyDescent="0.35">
      <c r="A1864" t="s">
        <v>495</v>
      </c>
    </row>
    <row r="1865" spans="1:4" x14ac:dyDescent="0.35">
      <c r="A1865" t="s">
        <v>738</v>
      </c>
    </row>
    <row r="1866" spans="1:4" x14ac:dyDescent="0.35">
      <c r="A1866" t="s">
        <v>58</v>
      </c>
    </row>
    <row r="1867" spans="1:4" x14ac:dyDescent="0.35">
      <c r="A1867" t="s">
        <v>739</v>
      </c>
      <c r="B1867" t="s">
        <v>91</v>
      </c>
      <c r="C1867" t="s">
        <v>99</v>
      </c>
      <c r="D1867" t="s">
        <v>16</v>
      </c>
    </row>
    <row r="1868" spans="1:4" x14ac:dyDescent="0.35">
      <c r="A1868" t="s">
        <v>740</v>
      </c>
      <c r="B1868" t="s">
        <v>52</v>
      </c>
    </row>
    <row r="1869" spans="1:4" x14ac:dyDescent="0.35">
      <c r="A1869" t="s">
        <v>133</v>
      </c>
      <c r="B1869" t="s">
        <v>143</v>
      </c>
      <c r="C1869" t="s">
        <v>33</v>
      </c>
      <c r="D1869" t="s">
        <v>16</v>
      </c>
    </row>
    <row r="1870" spans="1:4" x14ac:dyDescent="0.35">
      <c r="A1870" t="s">
        <v>83</v>
      </c>
    </row>
    <row r="1871" spans="1:4" x14ac:dyDescent="0.35">
      <c r="A1871" t="s">
        <v>741</v>
      </c>
    </row>
    <row r="1872" spans="1:4" x14ac:dyDescent="0.35">
      <c r="A1872" t="s">
        <v>63</v>
      </c>
    </row>
    <row r="1874" spans="1:4" x14ac:dyDescent="0.35">
      <c r="A1874" t="s">
        <v>742</v>
      </c>
    </row>
    <row r="1875" spans="1:4" x14ac:dyDescent="0.35">
      <c r="A1875" t="s">
        <v>501</v>
      </c>
      <c r="B1875" t="s">
        <v>14</v>
      </c>
      <c r="C1875" t="s">
        <v>33</v>
      </c>
      <c r="D1875" t="s">
        <v>16</v>
      </c>
    </row>
    <row r="1876" spans="1:4" x14ac:dyDescent="0.35">
      <c r="A1876" t="s">
        <v>451</v>
      </c>
    </row>
    <row r="1877" spans="1:4" x14ac:dyDescent="0.35">
      <c r="A1877" t="s">
        <v>301</v>
      </c>
    </row>
    <row r="1878" spans="1:4" x14ac:dyDescent="0.35">
      <c r="A1878" t="s">
        <v>85</v>
      </c>
      <c r="B1878" t="s">
        <v>32</v>
      </c>
      <c r="C1878" t="s">
        <v>33</v>
      </c>
      <c r="D1878" t="s">
        <v>16</v>
      </c>
    </row>
    <row r="1879" spans="1:4" x14ac:dyDescent="0.35">
      <c r="A1879" t="s">
        <v>123</v>
      </c>
    </row>
    <row r="1880" spans="1:4" x14ac:dyDescent="0.35">
      <c r="A1880" t="s">
        <v>77</v>
      </c>
      <c r="B1880" t="s">
        <v>54</v>
      </c>
      <c r="C1880" t="s">
        <v>108</v>
      </c>
    </row>
    <row r="1881" spans="1:4" x14ac:dyDescent="0.35">
      <c r="A1881" t="s">
        <v>105</v>
      </c>
    </row>
    <row r="1882" spans="1:4" x14ac:dyDescent="0.35">
      <c r="A1882" t="s">
        <v>40</v>
      </c>
      <c r="B1882" t="s">
        <v>36</v>
      </c>
      <c r="C1882" t="s">
        <v>33</v>
      </c>
      <c r="D1882" t="s">
        <v>16</v>
      </c>
    </row>
    <row r="1883" spans="1:4" x14ac:dyDescent="0.35">
      <c r="A1883" t="s">
        <v>743</v>
      </c>
    </row>
    <row r="1884" spans="1:4" x14ac:dyDescent="0.35">
      <c r="A1884" t="s">
        <v>360</v>
      </c>
    </row>
    <row r="1885" spans="1:4" x14ac:dyDescent="0.35">
      <c r="A1885" t="s">
        <v>58</v>
      </c>
    </row>
    <row r="1886" spans="1:4" x14ac:dyDescent="0.35">
      <c r="A1886" t="s">
        <v>590</v>
      </c>
    </row>
    <row r="1887" spans="1:4" x14ac:dyDescent="0.35">
      <c r="A1887" t="s">
        <v>26</v>
      </c>
    </row>
    <row r="1888" spans="1:4" x14ac:dyDescent="0.35">
      <c r="A1888" t="s">
        <v>744</v>
      </c>
    </row>
    <row r="1889" spans="1:4" x14ac:dyDescent="0.35">
      <c r="A1889" t="s">
        <v>589</v>
      </c>
      <c r="B1889" t="s">
        <v>24</v>
      </c>
      <c r="C1889" t="s">
        <v>99</v>
      </c>
      <c r="D1889" t="s">
        <v>16</v>
      </c>
    </row>
    <row r="1890" spans="1:4" x14ac:dyDescent="0.35">
      <c r="A1890" t="s">
        <v>63</v>
      </c>
    </row>
    <row r="1892" spans="1:4" x14ac:dyDescent="0.35">
      <c r="A1892" t="s">
        <v>745</v>
      </c>
    </row>
    <row r="1893" spans="1:4" x14ac:dyDescent="0.35">
      <c r="A1893" t="s">
        <v>746</v>
      </c>
    </row>
    <row r="1894" spans="1:4" x14ac:dyDescent="0.35">
      <c r="A1894" t="s">
        <v>40</v>
      </c>
      <c r="B1894" t="s">
        <v>14</v>
      </c>
      <c r="C1894" t="s">
        <v>33</v>
      </c>
      <c r="D1894" t="s">
        <v>16</v>
      </c>
    </row>
    <row r="1895" spans="1:4" x14ac:dyDescent="0.35">
      <c r="A1895" t="s">
        <v>66</v>
      </c>
    </row>
    <row r="1896" spans="1:4" x14ac:dyDescent="0.35">
      <c r="A1896" t="s">
        <v>747</v>
      </c>
    </row>
    <row r="1897" spans="1:4" x14ac:dyDescent="0.35">
      <c r="A1897" t="s">
        <v>331</v>
      </c>
    </row>
    <row r="1898" spans="1:4" x14ac:dyDescent="0.35">
      <c r="A1898" t="s">
        <v>58</v>
      </c>
    </row>
    <row r="1899" spans="1:4" x14ac:dyDescent="0.35">
      <c r="A1899" t="s">
        <v>409</v>
      </c>
      <c r="B1899" t="s">
        <v>54</v>
      </c>
      <c r="C1899" t="s">
        <v>99</v>
      </c>
      <c r="D1899" t="s">
        <v>16</v>
      </c>
    </row>
    <row r="1900" spans="1:4" x14ac:dyDescent="0.35">
      <c r="A1900" t="s">
        <v>26</v>
      </c>
    </row>
    <row r="1901" spans="1:4" x14ac:dyDescent="0.35">
      <c r="A1901" t="s">
        <v>213</v>
      </c>
    </row>
    <row r="1902" spans="1:4" x14ac:dyDescent="0.35">
      <c r="A1902" t="s">
        <v>282</v>
      </c>
    </row>
    <row r="1903" spans="1:4" x14ac:dyDescent="0.35">
      <c r="A1903" t="s">
        <v>45</v>
      </c>
    </row>
    <row r="1904" spans="1:4" x14ac:dyDescent="0.35">
      <c r="A1904" t="s">
        <v>510</v>
      </c>
      <c r="B1904" t="s">
        <v>20</v>
      </c>
      <c r="C1904" t="s">
        <v>148</v>
      </c>
    </row>
    <row r="1905" spans="1:4" x14ac:dyDescent="0.35">
      <c r="A1905" t="s">
        <v>133</v>
      </c>
      <c r="B1905" t="s">
        <v>308</v>
      </c>
      <c r="C1905" t="s">
        <v>33</v>
      </c>
      <c r="D1905" t="s">
        <v>16</v>
      </c>
    </row>
    <row r="1906" spans="1:4" x14ac:dyDescent="0.35">
      <c r="A1906" t="s">
        <v>309</v>
      </c>
    </row>
    <row r="1907" spans="1:4" x14ac:dyDescent="0.35">
      <c r="A1907" t="s">
        <v>26</v>
      </c>
    </row>
    <row r="1908" spans="1:4" x14ac:dyDescent="0.35">
      <c r="A1908" t="s">
        <v>76</v>
      </c>
    </row>
    <row r="1909" spans="1:4" x14ac:dyDescent="0.35">
      <c r="A1909" t="s">
        <v>748</v>
      </c>
    </row>
    <row r="1910" spans="1:4" x14ac:dyDescent="0.35">
      <c r="A1910" t="s">
        <v>169</v>
      </c>
    </row>
    <row r="1911" spans="1:4" x14ac:dyDescent="0.35">
      <c r="A1911" t="s">
        <v>225</v>
      </c>
    </row>
    <row r="1912" spans="1:4" x14ac:dyDescent="0.35">
      <c r="A1912" t="s">
        <v>58</v>
      </c>
    </row>
    <row r="1913" spans="1:4" x14ac:dyDescent="0.35">
      <c r="A1913" t="s">
        <v>120</v>
      </c>
    </row>
    <row r="1914" spans="1:4" x14ac:dyDescent="0.35">
      <c r="A1914" t="s">
        <v>749</v>
      </c>
      <c r="B1914" t="s">
        <v>91</v>
      </c>
      <c r="C1914" t="s">
        <v>99</v>
      </c>
      <c r="D1914" t="s">
        <v>16</v>
      </c>
    </row>
    <row r="1915" spans="1:4" x14ac:dyDescent="0.35">
      <c r="A1915" t="s">
        <v>411</v>
      </c>
    </row>
    <row r="1916" spans="1:4" x14ac:dyDescent="0.35">
      <c r="A1916" t="s">
        <v>129</v>
      </c>
      <c r="B1916" t="s">
        <v>20</v>
      </c>
      <c r="C1916" t="s">
        <v>33</v>
      </c>
      <c r="D1916" t="s">
        <v>16</v>
      </c>
    </row>
    <row r="1917" spans="1:4" x14ac:dyDescent="0.35">
      <c r="A1917" t="s">
        <v>63</v>
      </c>
    </row>
    <row r="1919" spans="1:4" x14ac:dyDescent="0.35">
      <c r="A1919" t="s">
        <v>750</v>
      </c>
    </row>
    <row r="1920" spans="1:4" x14ac:dyDescent="0.35">
      <c r="A1920" t="s">
        <v>257</v>
      </c>
    </row>
    <row r="1921" spans="1:4" x14ac:dyDescent="0.35">
      <c r="A1921" t="s">
        <v>40</v>
      </c>
      <c r="B1921" t="s">
        <v>36</v>
      </c>
      <c r="C1921" t="s">
        <v>33</v>
      </c>
      <c r="D1921" t="s">
        <v>16</v>
      </c>
    </row>
    <row r="1922" spans="1:4" x14ac:dyDescent="0.35">
      <c r="A1922" t="s">
        <v>751</v>
      </c>
    </row>
    <row r="1923" spans="1:4" x14ac:dyDescent="0.35">
      <c r="A1923" t="s">
        <v>40</v>
      </c>
      <c r="B1923" t="s">
        <v>14</v>
      </c>
      <c r="C1923" t="s">
        <v>33</v>
      </c>
      <c r="D1923" t="s">
        <v>16</v>
      </c>
    </row>
    <row r="1924" spans="1:4" x14ac:dyDescent="0.35">
      <c r="A1924" t="s">
        <v>752</v>
      </c>
    </row>
    <row r="1925" spans="1:4" x14ac:dyDescent="0.35">
      <c r="A1925" t="s">
        <v>753</v>
      </c>
    </row>
    <row r="1926" spans="1:4" x14ac:dyDescent="0.35">
      <c r="A1926" t="s">
        <v>310</v>
      </c>
    </row>
    <row r="1927" spans="1:4" x14ac:dyDescent="0.35">
      <c r="A1927" t="s">
        <v>170</v>
      </c>
    </row>
    <row r="1928" spans="1:4" x14ac:dyDescent="0.35">
      <c r="A1928" t="s">
        <v>754</v>
      </c>
      <c r="B1928" t="s">
        <v>54</v>
      </c>
      <c r="C1928" t="s">
        <v>172</v>
      </c>
    </row>
    <row r="1929" spans="1:4" x14ac:dyDescent="0.35">
      <c r="A1929" t="s">
        <v>26</v>
      </c>
    </row>
    <row r="1930" spans="1:4" x14ac:dyDescent="0.35">
      <c r="A1930" t="s">
        <v>541</v>
      </c>
    </row>
    <row r="1931" spans="1:4" x14ac:dyDescent="0.35">
      <c r="A1931" t="s">
        <v>34</v>
      </c>
    </row>
    <row r="1932" spans="1:4" x14ac:dyDescent="0.35">
      <c r="A1932" t="s">
        <v>739</v>
      </c>
      <c r="B1932" t="s">
        <v>24</v>
      </c>
      <c r="C1932" t="s">
        <v>37</v>
      </c>
    </row>
    <row r="1933" spans="1:4" x14ac:dyDescent="0.35">
      <c r="A1933" t="s">
        <v>81</v>
      </c>
      <c r="B1933" t="s">
        <v>143</v>
      </c>
    </row>
    <row r="1934" spans="1:4" x14ac:dyDescent="0.35">
      <c r="A1934" t="s">
        <v>319</v>
      </c>
    </row>
    <row r="1935" spans="1:4" x14ac:dyDescent="0.35">
      <c r="A1935" t="s">
        <v>459</v>
      </c>
    </row>
    <row r="1936" spans="1:4" x14ac:dyDescent="0.35">
      <c r="A1936" t="s">
        <v>131</v>
      </c>
    </row>
    <row r="1937" spans="1:4" x14ac:dyDescent="0.35">
      <c r="A1937" t="s">
        <v>755</v>
      </c>
      <c r="B1937" t="s">
        <v>56</v>
      </c>
      <c r="C1937" t="s">
        <v>108</v>
      </c>
    </row>
    <row r="1938" spans="1:4" x14ac:dyDescent="0.35">
      <c r="A1938" t="s">
        <v>63</v>
      </c>
    </row>
    <row r="1940" spans="1:4" x14ac:dyDescent="0.35">
      <c r="A1940" t="s">
        <v>244</v>
      </c>
    </row>
    <row r="1941" spans="1:4" x14ac:dyDescent="0.35">
      <c r="A1941" t="s">
        <v>756</v>
      </c>
    </row>
    <row r="1942" spans="1:4" x14ac:dyDescent="0.35">
      <c r="A1942" t="s">
        <v>246</v>
      </c>
    </row>
    <row r="1943" spans="1:4" x14ac:dyDescent="0.35">
      <c r="A1943" t="s">
        <v>757</v>
      </c>
    </row>
    <row r="1944" spans="1:4" x14ac:dyDescent="0.35">
      <c r="A1944" t="s">
        <v>272</v>
      </c>
    </row>
    <row r="1945" spans="1:4" x14ac:dyDescent="0.35">
      <c r="A1945" t="s">
        <v>246</v>
      </c>
    </row>
    <row r="1946" spans="1:4" x14ac:dyDescent="0.35">
      <c r="A1946" t="s">
        <v>758</v>
      </c>
    </row>
    <row r="1947" spans="1:4" x14ac:dyDescent="0.35">
      <c r="A1947" t="s">
        <v>19</v>
      </c>
      <c r="B1947" t="s">
        <v>32</v>
      </c>
      <c r="C1947" t="s">
        <v>21</v>
      </c>
      <c r="D1947" t="s">
        <v>16</v>
      </c>
    </row>
    <row r="1948" spans="1:4" x14ac:dyDescent="0.35">
      <c r="A1948" t="s">
        <v>26</v>
      </c>
    </row>
    <row r="1949" spans="1:4" x14ac:dyDescent="0.35">
      <c r="A1949" t="s">
        <v>76</v>
      </c>
    </row>
    <row r="1950" spans="1:4" x14ac:dyDescent="0.35">
      <c r="A1950" t="s">
        <v>110</v>
      </c>
      <c r="B1950" t="s">
        <v>36</v>
      </c>
      <c r="C1950" t="s">
        <v>33</v>
      </c>
      <c r="D1950" t="s">
        <v>16</v>
      </c>
    </row>
    <row r="1951" spans="1:4" x14ac:dyDescent="0.35">
      <c r="A1951" t="s">
        <v>474</v>
      </c>
    </row>
    <row r="1952" spans="1:4" x14ac:dyDescent="0.35">
      <c r="A1952" t="s">
        <v>58</v>
      </c>
    </row>
    <row r="1953" spans="1:4" x14ac:dyDescent="0.35">
      <c r="A1953" t="s">
        <v>759</v>
      </c>
    </row>
    <row r="1954" spans="1:4" x14ac:dyDescent="0.35">
      <c r="A1954" t="s">
        <v>760</v>
      </c>
      <c r="B1954" t="s">
        <v>91</v>
      </c>
      <c r="C1954" t="s">
        <v>99</v>
      </c>
      <c r="D1954" t="s">
        <v>16</v>
      </c>
    </row>
    <row r="1955" spans="1:4" x14ac:dyDescent="0.35">
      <c r="A1955" t="s">
        <v>17</v>
      </c>
    </row>
    <row r="1956" spans="1:4" x14ac:dyDescent="0.35">
      <c r="A1956" t="s">
        <v>34</v>
      </c>
    </row>
    <row r="1957" spans="1:4" x14ac:dyDescent="0.35">
      <c r="A1957" t="s">
        <v>761</v>
      </c>
    </row>
    <row r="1958" spans="1:4" x14ac:dyDescent="0.35">
      <c r="A1958" t="s">
        <v>762</v>
      </c>
      <c r="B1958" t="s">
        <v>20</v>
      </c>
      <c r="C1958" t="s">
        <v>37</v>
      </c>
    </row>
    <row r="1959" spans="1:4" x14ac:dyDescent="0.35">
      <c r="A1959" t="s">
        <v>63</v>
      </c>
    </row>
    <row r="1961" spans="1:4" x14ac:dyDescent="0.35">
      <c r="A1961" t="s">
        <v>244</v>
      </c>
    </row>
    <row r="1962" spans="1:4" x14ac:dyDescent="0.35">
      <c r="A1962" t="s">
        <v>763</v>
      </c>
    </row>
    <row r="1963" spans="1:4" x14ac:dyDescent="0.35">
      <c r="A1963" t="s">
        <v>246</v>
      </c>
    </row>
    <row r="1964" spans="1:4" x14ac:dyDescent="0.35">
      <c r="A1964" t="s">
        <v>764</v>
      </c>
    </row>
    <row r="1965" spans="1:4" x14ac:dyDescent="0.35">
      <c r="A1965" t="s">
        <v>489</v>
      </c>
    </row>
    <row r="1966" spans="1:4" x14ac:dyDescent="0.35">
      <c r="A1966" t="s">
        <v>272</v>
      </c>
    </row>
    <row r="1968" spans="1:4" x14ac:dyDescent="0.35">
      <c r="A1968" t="s">
        <v>244</v>
      </c>
    </row>
    <row r="1969" spans="1:4" x14ac:dyDescent="0.35">
      <c r="A1969" t="s">
        <v>765</v>
      </c>
    </row>
    <row r="1970" spans="1:4" x14ac:dyDescent="0.35">
      <c r="A1970" t="s">
        <v>208</v>
      </c>
      <c r="B1970" t="s">
        <v>14</v>
      </c>
      <c r="C1970" t="s">
        <v>33</v>
      </c>
      <c r="D1970" t="s">
        <v>16</v>
      </c>
    </row>
    <row r="1971" spans="1:4" x14ac:dyDescent="0.35">
      <c r="A1971" t="s">
        <v>22</v>
      </c>
    </row>
    <row r="1972" spans="1:4" x14ac:dyDescent="0.35">
      <c r="A1972" t="s">
        <v>586</v>
      </c>
    </row>
    <row r="1973" spans="1:4" x14ac:dyDescent="0.35">
      <c r="A1973" t="s">
        <v>272</v>
      </c>
    </row>
    <row r="1974" spans="1:4" x14ac:dyDescent="0.35">
      <c r="A1974" t="s">
        <v>246</v>
      </c>
    </row>
    <row r="1976" spans="1:4" x14ac:dyDescent="0.35">
      <c r="A1976" t="s">
        <v>766</v>
      </c>
    </row>
    <row r="1977" spans="1:4" x14ac:dyDescent="0.35">
      <c r="A1977" t="s">
        <v>430</v>
      </c>
    </row>
    <row r="1978" spans="1:4" x14ac:dyDescent="0.35">
      <c r="A1978" t="s">
        <v>42</v>
      </c>
    </row>
    <row r="1979" spans="1:4" x14ac:dyDescent="0.35">
      <c r="A1979" t="s">
        <v>34</v>
      </c>
    </row>
    <row r="1980" spans="1:4" x14ac:dyDescent="0.35">
      <c r="A1980" t="s">
        <v>640</v>
      </c>
    </row>
    <row r="1981" spans="1:4" x14ac:dyDescent="0.35">
      <c r="A1981" t="s">
        <v>26</v>
      </c>
    </row>
    <row r="1982" spans="1:4" x14ac:dyDescent="0.35">
      <c r="A1982" t="s">
        <v>476</v>
      </c>
    </row>
    <row r="1983" spans="1:4" x14ac:dyDescent="0.35">
      <c r="A1983" t="s">
        <v>26</v>
      </c>
    </row>
    <row r="1984" spans="1:4" x14ac:dyDescent="0.35">
      <c r="A1984" t="s">
        <v>767</v>
      </c>
    </row>
    <row r="1985" spans="1:4" x14ac:dyDescent="0.35">
      <c r="A1985" t="s">
        <v>768</v>
      </c>
      <c r="B1985" t="s">
        <v>14</v>
      </c>
      <c r="C1985" t="s">
        <v>37</v>
      </c>
    </row>
    <row r="1986" spans="1:4" x14ac:dyDescent="0.35">
      <c r="A1986" t="s">
        <v>69</v>
      </c>
    </row>
    <row r="1987" spans="1:4" x14ac:dyDescent="0.35">
      <c r="A1987" t="s">
        <v>769</v>
      </c>
    </row>
    <row r="1988" spans="1:4" x14ac:dyDescent="0.35">
      <c r="A1988" t="s">
        <v>123</v>
      </c>
    </row>
    <row r="1989" spans="1:4" x14ac:dyDescent="0.35">
      <c r="A1989" t="s">
        <v>58</v>
      </c>
    </row>
    <row r="1990" spans="1:4" x14ac:dyDescent="0.35">
      <c r="A1990" t="s">
        <v>770</v>
      </c>
      <c r="B1990" t="s">
        <v>24</v>
      </c>
      <c r="C1990" t="s">
        <v>99</v>
      </c>
      <c r="D1990" t="s">
        <v>16</v>
      </c>
    </row>
    <row r="1991" spans="1:4" x14ac:dyDescent="0.35">
      <c r="A1991" t="s">
        <v>17</v>
      </c>
    </row>
    <row r="1992" spans="1:4" x14ac:dyDescent="0.35">
      <c r="A1992" t="s">
        <v>39</v>
      </c>
    </row>
    <row r="1993" spans="1:4" x14ac:dyDescent="0.35">
      <c r="A1993" t="s">
        <v>654</v>
      </c>
    </row>
    <row r="1994" spans="1:4" x14ac:dyDescent="0.35">
      <c r="A1994" t="s">
        <v>658</v>
      </c>
      <c r="B1994" t="s">
        <v>20</v>
      </c>
      <c r="C1994" t="s">
        <v>108</v>
      </c>
    </row>
    <row r="1995" spans="1:4" x14ac:dyDescent="0.35">
      <c r="A1995" t="s">
        <v>63</v>
      </c>
    </row>
    <row r="1997" spans="1:4" x14ac:dyDescent="0.35">
      <c r="A1997" t="s">
        <v>771</v>
      </c>
    </row>
    <row r="1998" spans="1:4" x14ac:dyDescent="0.35">
      <c r="A1998" t="s">
        <v>97</v>
      </c>
    </row>
    <row r="1999" spans="1:4" x14ac:dyDescent="0.35">
      <c r="A1999" t="s">
        <v>772</v>
      </c>
      <c r="B1999" t="s">
        <v>14</v>
      </c>
      <c r="C1999" t="s">
        <v>99</v>
      </c>
      <c r="D1999" t="s">
        <v>16</v>
      </c>
    </row>
    <row r="2000" spans="1:4" x14ac:dyDescent="0.35">
      <c r="A2000" t="s">
        <v>42</v>
      </c>
    </row>
    <row r="2001" spans="1:4" x14ac:dyDescent="0.35">
      <c r="A2001" t="s">
        <v>499</v>
      </c>
    </row>
    <row r="2002" spans="1:4" x14ac:dyDescent="0.35">
      <c r="A2002" t="s">
        <v>773</v>
      </c>
    </row>
    <row r="2003" spans="1:4" x14ac:dyDescent="0.35">
      <c r="A2003" t="s">
        <v>338</v>
      </c>
      <c r="B2003" t="s">
        <v>54</v>
      </c>
      <c r="C2003" t="s">
        <v>339</v>
      </c>
    </row>
    <row r="2004" spans="1:4" x14ac:dyDescent="0.35">
      <c r="A2004" t="s">
        <v>17</v>
      </c>
    </row>
    <row r="2005" spans="1:4" x14ac:dyDescent="0.35">
      <c r="A2005" t="s">
        <v>510</v>
      </c>
      <c r="B2005" t="s">
        <v>54</v>
      </c>
      <c r="C2005" t="s">
        <v>148</v>
      </c>
    </row>
    <row r="2006" spans="1:4" x14ac:dyDescent="0.35">
      <c r="A2006" t="s">
        <v>133</v>
      </c>
      <c r="B2006" t="s">
        <v>41</v>
      </c>
      <c r="C2006" t="s">
        <v>33</v>
      </c>
      <c r="D2006" t="s">
        <v>16</v>
      </c>
    </row>
    <row r="2007" spans="1:4" x14ac:dyDescent="0.35">
      <c r="A2007" t="s">
        <v>309</v>
      </c>
    </row>
    <row r="2008" spans="1:4" x14ac:dyDescent="0.35">
      <c r="A2008" t="s">
        <v>26</v>
      </c>
    </row>
    <row r="2009" spans="1:4" x14ac:dyDescent="0.35">
      <c r="A2009" t="s">
        <v>76</v>
      </c>
    </row>
    <row r="2010" spans="1:4" x14ac:dyDescent="0.35">
      <c r="A2010" t="s">
        <v>133</v>
      </c>
      <c r="B2010" t="s">
        <v>36</v>
      </c>
      <c r="C2010" t="s">
        <v>33</v>
      </c>
      <c r="D2010" t="s">
        <v>16</v>
      </c>
    </row>
    <row r="2011" spans="1:4" x14ac:dyDescent="0.35">
      <c r="A2011" t="s">
        <v>774</v>
      </c>
    </row>
    <row r="2012" spans="1:4" x14ac:dyDescent="0.35">
      <c r="A2012" t="s">
        <v>131</v>
      </c>
    </row>
    <row r="2013" spans="1:4" x14ac:dyDescent="0.35">
      <c r="A2013" t="s">
        <v>31</v>
      </c>
      <c r="B2013" t="s">
        <v>24</v>
      </c>
      <c r="C2013" t="s">
        <v>33</v>
      </c>
      <c r="D2013" t="s">
        <v>16</v>
      </c>
    </row>
    <row r="2014" spans="1:4" x14ac:dyDescent="0.35">
      <c r="A2014" t="s">
        <v>26</v>
      </c>
    </row>
    <row r="2015" spans="1:4" x14ac:dyDescent="0.35">
      <c r="A2015" t="s">
        <v>711</v>
      </c>
    </row>
    <row r="2016" spans="1:4" x14ac:dyDescent="0.35">
      <c r="A2016" t="s">
        <v>775</v>
      </c>
    </row>
    <row r="2017" spans="1:4" x14ac:dyDescent="0.35">
      <c r="A2017" t="s">
        <v>26</v>
      </c>
    </row>
    <row r="2018" spans="1:4" x14ac:dyDescent="0.35">
      <c r="A2018" t="s">
        <v>599</v>
      </c>
    </row>
    <row r="2019" spans="1:4" x14ac:dyDescent="0.35">
      <c r="A2019" t="s">
        <v>147</v>
      </c>
      <c r="B2019" t="s">
        <v>56</v>
      </c>
      <c r="C2019" t="s">
        <v>148</v>
      </c>
    </row>
    <row r="2020" spans="1:4" x14ac:dyDescent="0.35">
      <c r="A2020" t="s">
        <v>776</v>
      </c>
      <c r="B2020" t="s">
        <v>41</v>
      </c>
      <c r="C2020" t="s">
        <v>172</v>
      </c>
    </row>
    <row r="2021" spans="1:4" x14ac:dyDescent="0.35">
      <c r="A2021" t="s">
        <v>42</v>
      </c>
    </row>
    <row r="2022" spans="1:4" x14ac:dyDescent="0.35">
      <c r="A2022" t="s">
        <v>134</v>
      </c>
    </row>
    <row r="2023" spans="1:4" x14ac:dyDescent="0.35">
      <c r="A2023" t="s">
        <v>45</v>
      </c>
    </row>
    <row r="2024" spans="1:4" x14ac:dyDescent="0.35">
      <c r="A2024" t="s">
        <v>777</v>
      </c>
    </row>
    <row r="2025" spans="1:4" x14ac:dyDescent="0.35">
      <c r="A2025" t="s">
        <v>69</v>
      </c>
    </row>
    <row r="2026" spans="1:4" x14ac:dyDescent="0.35">
      <c r="A2026" t="s">
        <v>58</v>
      </c>
    </row>
    <row r="2027" spans="1:4" x14ac:dyDescent="0.35">
      <c r="A2027" t="s">
        <v>770</v>
      </c>
      <c r="B2027" t="s">
        <v>56</v>
      </c>
      <c r="C2027" t="s">
        <v>15</v>
      </c>
      <c r="D2027" t="s">
        <v>16</v>
      </c>
    </row>
    <row r="2028" spans="1:4" x14ac:dyDescent="0.35">
      <c r="A2028" t="s">
        <v>17</v>
      </c>
    </row>
    <row r="2029" spans="1:4" x14ac:dyDescent="0.35">
      <c r="A2029" t="s">
        <v>31</v>
      </c>
      <c r="B2029" t="s">
        <v>48</v>
      </c>
      <c r="C2029" t="s">
        <v>33</v>
      </c>
      <c r="D2029" t="s">
        <v>16</v>
      </c>
    </row>
    <row r="2030" spans="1:4" x14ac:dyDescent="0.35">
      <c r="A2030" t="s">
        <v>63</v>
      </c>
    </row>
    <row r="2032" spans="1:4" x14ac:dyDescent="0.35">
      <c r="A2032" t="s">
        <v>778</v>
      </c>
    </row>
    <row r="2033" spans="1:4" x14ac:dyDescent="0.35">
      <c r="A2033" t="s">
        <v>110</v>
      </c>
      <c r="B2033" t="s">
        <v>14</v>
      </c>
      <c r="C2033" t="s">
        <v>33</v>
      </c>
      <c r="D2033" t="s">
        <v>16</v>
      </c>
    </row>
    <row r="2034" spans="1:4" x14ac:dyDescent="0.35">
      <c r="A2034" t="s">
        <v>42</v>
      </c>
    </row>
    <row r="2035" spans="1:4" x14ac:dyDescent="0.35">
      <c r="A2035" t="s">
        <v>131</v>
      </c>
    </row>
    <row r="2036" spans="1:4" x14ac:dyDescent="0.35">
      <c r="A2036" t="s">
        <v>19</v>
      </c>
      <c r="B2036" t="s">
        <v>54</v>
      </c>
      <c r="C2036" t="s">
        <v>21</v>
      </c>
      <c r="D2036" t="s">
        <v>16</v>
      </c>
    </row>
    <row r="2037" spans="1:4" x14ac:dyDescent="0.35">
      <c r="A2037" t="s">
        <v>22</v>
      </c>
    </row>
    <row r="2038" spans="1:4" x14ac:dyDescent="0.35">
      <c r="A2038" t="s">
        <v>779</v>
      </c>
      <c r="B2038" t="s">
        <v>54</v>
      </c>
      <c r="C2038" t="s">
        <v>15</v>
      </c>
      <c r="D2038" t="s">
        <v>16</v>
      </c>
    </row>
    <row r="2039" spans="1:4" x14ac:dyDescent="0.35">
      <c r="A2039" t="s">
        <v>26</v>
      </c>
    </row>
    <row r="2040" spans="1:4" x14ac:dyDescent="0.35">
      <c r="A2040" t="s">
        <v>76</v>
      </c>
    </row>
    <row r="2041" spans="1:4" x14ac:dyDescent="0.35">
      <c r="A2041" t="s">
        <v>110</v>
      </c>
      <c r="B2041" t="s">
        <v>36</v>
      </c>
      <c r="C2041" t="s">
        <v>33</v>
      </c>
      <c r="D2041" t="s">
        <v>16</v>
      </c>
    </row>
    <row r="2042" spans="1:4" x14ac:dyDescent="0.35">
      <c r="A2042" t="s">
        <v>752</v>
      </c>
    </row>
    <row r="2043" spans="1:4" x14ac:dyDescent="0.35">
      <c r="A2043" t="s">
        <v>103</v>
      </c>
    </row>
    <row r="2044" spans="1:4" x14ac:dyDescent="0.35">
      <c r="A2044" t="s">
        <v>348</v>
      </c>
    </row>
    <row r="2045" spans="1:4" x14ac:dyDescent="0.35">
      <c r="A2045" t="s">
        <v>59</v>
      </c>
      <c r="B2045" t="s">
        <v>24</v>
      </c>
      <c r="C2045" t="s">
        <v>37</v>
      </c>
    </row>
    <row r="2046" spans="1:4" x14ac:dyDescent="0.35">
      <c r="A2046" t="s">
        <v>131</v>
      </c>
    </row>
    <row r="2047" spans="1:4" x14ac:dyDescent="0.35">
      <c r="A2047" t="s">
        <v>47</v>
      </c>
      <c r="B2047" t="s">
        <v>56</v>
      </c>
      <c r="C2047" t="s">
        <v>49</v>
      </c>
      <c r="D2047" t="s">
        <v>16</v>
      </c>
    </row>
    <row r="2048" spans="1:4" x14ac:dyDescent="0.35">
      <c r="A2048" t="s">
        <v>558</v>
      </c>
      <c r="B2048" t="s">
        <v>20</v>
      </c>
      <c r="C2048" t="s">
        <v>15</v>
      </c>
      <c r="D2048" t="s">
        <v>16</v>
      </c>
    </row>
    <row r="2049" spans="1:4" x14ac:dyDescent="0.35">
      <c r="A2049" t="s">
        <v>63</v>
      </c>
    </row>
    <row r="2051" spans="1:4" x14ac:dyDescent="0.35">
      <c r="A2051" t="s">
        <v>780</v>
      </c>
    </row>
    <row r="2052" spans="1:4" x14ac:dyDescent="0.35">
      <c r="A2052" t="s">
        <v>208</v>
      </c>
      <c r="B2052" t="s">
        <v>14</v>
      </c>
      <c r="C2052" t="s">
        <v>33</v>
      </c>
      <c r="D2052" t="s">
        <v>16</v>
      </c>
    </row>
    <row r="2053" spans="1:4" x14ac:dyDescent="0.35">
      <c r="A2053" t="s">
        <v>42</v>
      </c>
    </row>
    <row r="2054" spans="1:4" x14ac:dyDescent="0.35">
      <c r="A2054" t="s">
        <v>452</v>
      </c>
    </row>
    <row r="2055" spans="1:4" x14ac:dyDescent="0.35">
      <c r="A2055" t="s">
        <v>76</v>
      </c>
    </row>
    <row r="2056" spans="1:4" x14ac:dyDescent="0.35">
      <c r="A2056" t="s">
        <v>781</v>
      </c>
    </row>
    <row r="2057" spans="1:4" x14ac:dyDescent="0.35">
      <c r="A2057" t="s">
        <v>26</v>
      </c>
    </row>
    <row r="2058" spans="1:4" x14ac:dyDescent="0.35">
      <c r="A2058" t="s">
        <v>47</v>
      </c>
      <c r="B2058" t="s">
        <v>24</v>
      </c>
      <c r="C2058" t="s">
        <v>49</v>
      </c>
      <c r="D2058" t="s">
        <v>16</v>
      </c>
    </row>
    <row r="2059" spans="1:4" x14ac:dyDescent="0.35">
      <c r="A2059" t="s">
        <v>782</v>
      </c>
      <c r="B2059" t="s">
        <v>54</v>
      </c>
      <c r="C2059" t="s">
        <v>15</v>
      </c>
      <c r="D2059" t="s">
        <v>16</v>
      </c>
    </row>
    <row r="2060" spans="1:4" x14ac:dyDescent="0.35">
      <c r="A2060" t="s">
        <v>783</v>
      </c>
    </row>
    <row r="2061" spans="1:4" x14ac:dyDescent="0.35">
      <c r="A2061" t="s">
        <v>383</v>
      </c>
    </row>
    <row r="2062" spans="1:4" x14ac:dyDescent="0.35">
      <c r="A2062" t="s">
        <v>123</v>
      </c>
    </row>
    <row r="2063" spans="1:4" x14ac:dyDescent="0.35">
      <c r="A2063" t="s">
        <v>58</v>
      </c>
    </row>
    <row r="2064" spans="1:4" x14ac:dyDescent="0.35">
      <c r="A2064" t="s">
        <v>784</v>
      </c>
      <c r="B2064" t="s">
        <v>20</v>
      </c>
      <c r="C2064" t="s">
        <v>99</v>
      </c>
      <c r="D2064" t="s">
        <v>16</v>
      </c>
    </row>
    <row r="2065" spans="1:4" x14ac:dyDescent="0.35">
      <c r="A2065" t="s">
        <v>63</v>
      </c>
    </row>
    <row r="2067" spans="1:4" x14ac:dyDescent="0.35">
      <c r="A2067" t="s">
        <v>785</v>
      </c>
    </row>
    <row r="2068" spans="1:4" x14ac:dyDescent="0.35">
      <c r="A2068" t="s">
        <v>786</v>
      </c>
    </row>
    <row r="2069" spans="1:4" x14ac:dyDescent="0.35">
      <c r="A2069" t="s">
        <v>620</v>
      </c>
    </row>
    <row r="2070" spans="1:4" x14ac:dyDescent="0.35">
      <c r="A2070" t="s">
        <v>376</v>
      </c>
      <c r="B2070" t="s">
        <v>14</v>
      </c>
      <c r="C2070" t="s">
        <v>33</v>
      </c>
      <c r="D2070" t="s">
        <v>16</v>
      </c>
    </row>
    <row r="2071" spans="1:4" x14ac:dyDescent="0.35">
      <c r="A2071" t="s">
        <v>240</v>
      </c>
    </row>
    <row r="2072" spans="1:4" x14ac:dyDescent="0.35">
      <c r="A2072" t="s">
        <v>397</v>
      </c>
    </row>
    <row r="2073" spans="1:4" x14ac:dyDescent="0.35">
      <c r="A2073" t="s">
        <v>123</v>
      </c>
    </row>
    <row r="2074" spans="1:4" x14ac:dyDescent="0.35">
      <c r="A2074" t="s">
        <v>34</v>
      </c>
    </row>
    <row r="2075" spans="1:4" x14ac:dyDescent="0.35">
      <c r="A2075" t="s">
        <v>787</v>
      </c>
      <c r="B2075" t="s">
        <v>54</v>
      </c>
      <c r="C2075" t="s">
        <v>37</v>
      </c>
    </row>
    <row r="2076" spans="1:4" x14ac:dyDescent="0.35">
      <c r="A2076" t="s">
        <v>26</v>
      </c>
    </row>
    <row r="2077" spans="1:4" x14ac:dyDescent="0.35">
      <c r="A2077" t="s">
        <v>788</v>
      </c>
    </row>
    <row r="2078" spans="1:4" x14ac:dyDescent="0.35">
      <c r="A2078" t="s">
        <v>789</v>
      </c>
      <c r="B2078" t="s">
        <v>91</v>
      </c>
      <c r="C2078" t="s">
        <v>108</v>
      </c>
    </row>
    <row r="2079" spans="1:4" x14ac:dyDescent="0.35">
      <c r="A2079" t="s">
        <v>26</v>
      </c>
    </row>
    <row r="2080" spans="1:4" x14ac:dyDescent="0.35">
      <c r="A2080" t="s">
        <v>76</v>
      </c>
    </row>
    <row r="2081" spans="1:4" x14ac:dyDescent="0.35">
      <c r="A2081" t="s">
        <v>47</v>
      </c>
      <c r="B2081" t="s">
        <v>24</v>
      </c>
      <c r="C2081" t="s">
        <v>49</v>
      </c>
      <c r="D2081" t="s">
        <v>16</v>
      </c>
    </row>
    <row r="2082" spans="1:4" x14ac:dyDescent="0.35">
      <c r="A2082" t="s">
        <v>790</v>
      </c>
      <c r="B2082" t="s">
        <v>54</v>
      </c>
      <c r="C2082" t="s">
        <v>15</v>
      </c>
      <c r="D2082" t="s">
        <v>16</v>
      </c>
    </row>
    <row r="2083" spans="1:4" x14ac:dyDescent="0.35">
      <c r="A2083" t="s">
        <v>791</v>
      </c>
    </row>
    <row r="2084" spans="1:4" x14ac:dyDescent="0.35">
      <c r="A2084" t="s">
        <v>123</v>
      </c>
    </row>
    <row r="2085" spans="1:4" x14ac:dyDescent="0.35">
      <c r="A2085" t="s">
        <v>792</v>
      </c>
      <c r="B2085" t="s">
        <v>20</v>
      </c>
      <c r="C2085" t="s">
        <v>108</v>
      </c>
    </row>
    <row r="2086" spans="1:4" x14ac:dyDescent="0.35">
      <c r="A2086" t="s">
        <v>63</v>
      </c>
    </row>
    <row r="2088" spans="1:4" x14ac:dyDescent="0.35">
      <c r="A2088" t="s">
        <v>793</v>
      </c>
    </row>
    <row r="2089" spans="1:4" x14ac:dyDescent="0.35">
      <c r="A2089" t="s">
        <v>710</v>
      </c>
    </row>
    <row r="2090" spans="1:4" x14ac:dyDescent="0.35">
      <c r="A2090" t="s">
        <v>58</v>
      </c>
    </row>
    <row r="2091" spans="1:4" x14ac:dyDescent="0.35">
      <c r="A2091" t="s">
        <v>794</v>
      </c>
    </row>
    <row r="2092" spans="1:4" x14ac:dyDescent="0.35">
      <c r="A2092" t="s">
        <v>59</v>
      </c>
    </row>
    <row r="2093" spans="1:4" x14ac:dyDescent="0.35">
      <c r="A2093" t="s">
        <v>250</v>
      </c>
      <c r="B2093" t="s">
        <v>54</v>
      </c>
      <c r="C2093" t="s">
        <v>21</v>
      </c>
      <c r="D2093" t="s">
        <v>16</v>
      </c>
    </row>
    <row r="2094" spans="1:4" x14ac:dyDescent="0.35">
      <c r="A2094" t="s">
        <v>795</v>
      </c>
    </row>
    <row r="2095" spans="1:4" x14ac:dyDescent="0.35">
      <c r="A2095" t="s">
        <v>34</v>
      </c>
    </row>
    <row r="2096" spans="1:4" x14ac:dyDescent="0.35">
      <c r="A2096" t="s">
        <v>796</v>
      </c>
      <c r="B2096" t="s">
        <v>32</v>
      </c>
      <c r="C2096" t="s">
        <v>37</v>
      </c>
    </row>
    <row r="2097" spans="1:4" x14ac:dyDescent="0.35">
      <c r="A2097" t="s">
        <v>17</v>
      </c>
    </row>
    <row r="2098" spans="1:4" x14ac:dyDescent="0.35">
      <c r="A2098" t="s">
        <v>797</v>
      </c>
      <c r="B2098" t="s">
        <v>24</v>
      </c>
      <c r="C2098" t="s">
        <v>108</v>
      </c>
    </row>
    <row r="2099" spans="1:4" x14ac:dyDescent="0.35">
      <c r="A2099" t="s">
        <v>76</v>
      </c>
    </row>
    <row r="2100" spans="1:4" x14ac:dyDescent="0.35">
      <c r="A2100" t="s">
        <v>798</v>
      </c>
    </row>
    <row r="2101" spans="1:4" x14ac:dyDescent="0.35">
      <c r="A2101" t="s">
        <v>799</v>
      </c>
    </row>
    <row r="2102" spans="1:4" x14ac:dyDescent="0.35">
      <c r="A2102" t="s">
        <v>558</v>
      </c>
      <c r="B2102" t="s">
        <v>91</v>
      </c>
      <c r="C2102" t="s">
        <v>15</v>
      </c>
      <c r="D2102" t="s">
        <v>16</v>
      </c>
    </row>
    <row r="2103" spans="1:4" x14ac:dyDescent="0.35">
      <c r="A2103" t="s">
        <v>800</v>
      </c>
    </row>
    <row r="2104" spans="1:4" x14ac:dyDescent="0.35">
      <c r="A2104" t="s">
        <v>164</v>
      </c>
    </row>
    <row r="2105" spans="1:4" x14ac:dyDescent="0.35">
      <c r="A2105" t="s">
        <v>58</v>
      </c>
    </row>
    <row r="2106" spans="1:4" x14ac:dyDescent="0.35">
      <c r="A2106" t="s">
        <v>687</v>
      </c>
      <c r="B2106" t="s">
        <v>24</v>
      </c>
      <c r="C2106" t="s">
        <v>99</v>
      </c>
      <c r="D2106" t="s">
        <v>16</v>
      </c>
    </row>
    <row r="2107" spans="1:4" x14ac:dyDescent="0.35">
      <c r="A2107" t="s">
        <v>63</v>
      </c>
    </row>
    <row r="2109" spans="1:4" x14ac:dyDescent="0.35">
      <c r="A2109" t="s">
        <v>801</v>
      </c>
    </row>
    <row r="2110" spans="1:4" x14ac:dyDescent="0.35">
      <c r="A2110" t="s">
        <v>110</v>
      </c>
      <c r="B2110" t="s">
        <v>14</v>
      </c>
      <c r="C2110" t="s">
        <v>33</v>
      </c>
      <c r="D2110" t="s">
        <v>16</v>
      </c>
    </row>
    <row r="2111" spans="1:4" x14ac:dyDescent="0.35">
      <c r="A2111" t="s">
        <v>802</v>
      </c>
    </row>
    <row r="2112" spans="1:4" x14ac:dyDescent="0.35">
      <c r="A2112" t="s">
        <v>45</v>
      </c>
    </row>
    <row r="2113" spans="1:4" x14ac:dyDescent="0.35">
      <c r="A2113" t="s">
        <v>259</v>
      </c>
      <c r="B2113" t="s">
        <v>24</v>
      </c>
      <c r="C2113" t="s">
        <v>49</v>
      </c>
      <c r="D2113" t="s">
        <v>16</v>
      </c>
    </row>
    <row r="2114" spans="1:4" x14ac:dyDescent="0.35">
      <c r="A2114" t="s">
        <v>672</v>
      </c>
      <c r="B2114" t="s">
        <v>54</v>
      </c>
      <c r="C2114" t="s">
        <v>15</v>
      </c>
      <c r="D2114" t="s">
        <v>16</v>
      </c>
    </row>
    <row r="2115" spans="1:4" x14ac:dyDescent="0.35">
      <c r="A2115" t="s">
        <v>26</v>
      </c>
    </row>
    <row r="2116" spans="1:4" x14ac:dyDescent="0.35">
      <c r="A2116" t="s">
        <v>259</v>
      </c>
      <c r="B2116" t="s">
        <v>24</v>
      </c>
      <c r="C2116" t="s">
        <v>49</v>
      </c>
      <c r="D2116" t="s">
        <v>16</v>
      </c>
    </row>
    <row r="2117" spans="1:4" x14ac:dyDescent="0.35">
      <c r="A2117" t="s">
        <v>803</v>
      </c>
    </row>
    <row r="2118" spans="1:4" x14ac:dyDescent="0.35">
      <c r="A2118" t="s">
        <v>668</v>
      </c>
      <c r="B2118" t="s">
        <v>32</v>
      </c>
      <c r="C2118" t="s">
        <v>15</v>
      </c>
      <c r="D2118" t="s">
        <v>16</v>
      </c>
    </row>
    <row r="2119" spans="1:4" x14ac:dyDescent="0.35">
      <c r="A2119" t="s">
        <v>804</v>
      </c>
    </row>
    <row r="2120" spans="1:4" x14ac:dyDescent="0.35">
      <c r="A2120" t="s">
        <v>259</v>
      </c>
      <c r="B2120" t="s">
        <v>56</v>
      </c>
      <c r="C2120" t="s">
        <v>49</v>
      </c>
      <c r="D2120" t="s">
        <v>16</v>
      </c>
    </row>
    <row r="2121" spans="1:4" x14ac:dyDescent="0.35">
      <c r="A2121" t="s">
        <v>762</v>
      </c>
      <c r="B2121" t="s">
        <v>95</v>
      </c>
      <c r="C2121" t="s">
        <v>15</v>
      </c>
      <c r="D2121" t="s">
        <v>16</v>
      </c>
    </row>
    <row r="2122" spans="1:4" x14ac:dyDescent="0.35">
      <c r="A2122" t="s">
        <v>26</v>
      </c>
    </row>
    <row r="2123" spans="1:4" x14ac:dyDescent="0.35">
      <c r="A2123" t="s">
        <v>259</v>
      </c>
      <c r="B2123" t="s">
        <v>56</v>
      </c>
      <c r="C2123" t="s">
        <v>49</v>
      </c>
      <c r="D2123" t="s">
        <v>16</v>
      </c>
    </row>
    <row r="2124" spans="1:4" x14ac:dyDescent="0.35">
      <c r="A2124" t="s">
        <v>463</v>
      </c>
      <c r="B2124" t="s">
        <v>95</v>
      </c>
      <c r="C2124" t="s">
        <v>15</v>
      </c>
      <c r="D2124" t="s">
        <v>16</v>
      </c>
    </row>
    <row r="2125" spans="1:4" x14ac:dyDescent="0.35">
      <c r="A2125" t="s">
        <v>805</v>
      </c>
    </row>
    <row r="2126" spans="1:4" x14ac:dyDescent="0.35">
      <c r="A2126" t="s">
        <v>196</v>
      </c>
    </row>
    <row r="2127" spans="1:4" x14ac:dyDescent="0.35">
      <c r="A2127" t="s">
        <v>58</v>
      </c>
    </row>
    <row r="2128" spans="1:4" x14ac:dyDescent="0.35">
      <c r="A2128" t="s">
        <v>806</v>
      </c>
    </row>
    <row r="2129" spans="1:4" x14ac:dyDescent="0.35">
      <c r="A2129" t="s">
        <v>807</v>
      </c>
      <c r="B2129" t="s">
        <v>48</v>
      </c>
      <c r="C2129" t="s">
        <v>99</v>
      </c>
      <c r="D2129" t="s">
        <v>16</v>
      </c>
    </row>
    <row r="2130" spans="1:4" x14ac:dyDescent="0.35">
      <c r="A2130" t="s">
        <v>73</v>
      </c>
      <c r="B2130" t="s">
        <v>82</v>
      </c>
    </row>
    <row r="2131" spans="1:4" x14ac:dyDescent="0.35">
      <c r="A2131" t="s">
        <v>111</v>
      </c>
    </row>
    <row r="2132" spans="1:4" x14ac:dyDescent="0.35">
      <c r="A2132" t="s">
        <v>808</v>
      </c>
    </row>
    <row r="2133" spans="1:4" x14ac:dyDescent="0.35">
      <c r="A2133" t="s">
        <v>489</v>
      </c>
    </row>
    <row r="2134" spans="1:4" x14ac:dyDescent="0.35">
      <c r="A2134" t="s">
        <v>164</v>
      </c>
    </row>
    <row r="2135" spans="1:4" x14ac:dyDescent="0.35">
      <c r="A2135" t="s">
        <v>129</v>
      </c>
      <c r="B2135" t="s">
        <v>149</v>
      </c>
      <c r="C2135" t="s">
        <v>33</v>
      </c>
      <c r="D2135" t="s">
        <v>16</v>
      </c>
    </row>
    <row r="2136" spans="1:4" x14ac:dyDescent="0.35">
      <c r="A2136" t="s">
        <v>69</v>
      </c>
    </row>
    <row r="2137" spans="1:4" x14ac:dyDescent="0.35">
      <c r="A2137" t="s">
        <v>58</v>
      </c>
    </row>
    <row r="2138" spans="1:4" x14ac:dyDescent="0.35">
      <c r="A2138" t="s">
        <v>809</v>
      </c>
      <c r="B2138" t="s">
        <v>149</v>
      </c>
      <c r="C2138" t="s">
        <v>99</v>
      </c>
      <c r="D2138" t="s">
        <v>16</v>
      </c>
    </row>
    <row r="2139" spans="1:4" x14ac:dyDescent="0.35">
      <c r="A2139" t="s">
        <v>17</v>
      </c>
    </row>
    <row r="2140" spans="1:4" x14ac:dyDescent="0.35">
      <c r="A2140" t="s">
        <v>58</v>
      </c>
    </row>
    <row r="2141" spans="1:4" x14ac:dyDescent="0.35">
      <c r="A2141" t="s">
        <v>307</v>
      </c>
      <c r="B2141" t="s">
        <v>810</v>
      </c>
      <c r="C2141" t="s">
        <v>99</v>
      </c>
      <c r="D2141" t="s">
        <v>16</v>
      </c>
    </row>
    <row r="2142" spans="1:4" x14ac:dyDescent="0.35">
      <c r="A2142" t="s">
        <v>63</v>
      </c>
    </row>
    <row r="2144" spans="1:4" x14ac:dyDescent="0.35">
      <c r="A2144" t="s">
        <v>811</v>
      </c>
    </row>
    <row r="2145" spans="1:4" x14ac:dyDescent="0.35">
      <c r="A2145" t="s">
        <v>291</v>
      </c>
    </row>
    <row r="2146" spans="1:4" x14ac:dyDescent="0.35">
      <c r="A2146" t="s">
        <v>812</v>
      </c>
      <c r="B2146" t="s">
        <v>14</v>
      </c>
      <c r="C2146" t="s">
        <v>37</v>
      </c>
    </row>
    <row r="2147" spans="1:4" x14ac:dyDescent="0.35">
      <c r="A2147" t="s">
        <v>31</v>
      </c>
      <c r="B2147" t="s">
        <v>41</v>
      </c>
      <c r="C2147" t="s">
        <v>33</v>
      </c>
      <c r="D2147" t="s">
        <v>16</v>
      </c>
    </row>
    <row r="2148" spans="1:4" x14ac:dyDescent="0.35">
      <c r="A2148" t="s">
        <v>42</v>
      </c>
    </row>
    <row r="2149" spans="1:4" x14ac:dyDescent="0.35">
      <c r="A2149" t="s">
        <v>26</v>
      </c>
    </row>
    <row r="2150" spans="1:4" x14ac:dyDescent="0.35">
      <c r="A2150" t="s">
        <v>348</v>
      </c>
    </row>
    <row r="2151" spans="1:4" x14ac:dyDescent="0.35">
      <c r="A2151" t="s">
        <v>813</v>
      </c>
    </row>
    <row r="2152" spans="1:4" x14ac:dyDescent="0.35">
      <c r="A2152" t="s">
        <v>814</v>
      </c>
      <c r="B2152" t="s">
        <v>56</v>
      </c>
      <c r="C2152" t="s">
        <v>108</v>
      </c>
    </row>
    <row r="2153" spans="1:4" x14ac:dyDescent="0.35">
      <c r="A2153" t="s">
        <v>262</v>
      </c>
    </row>
    <row r="2154" spans="1:4" x14ac:dyDescent="0.35">
      <c r="A2154" t="s">
        <v>815</v>
      </c>
    </row>
    <row r="2155" spans="1:4" x14ac:dyDescent="0.35">
      <c r="A2155" t="s">
        <v>812</v>
      </c>
      <c r="B2155" t="s">
        <v>24</v>
      </c>
      <c r="C2155" t="s">
        <v>37</v>
      </c>
    </row>
    <row r="2156" spans="1:4" x14ac:dyDescent="0.35">
      <c r="A2156" t="s">
        <v>26</v>
      </c>
    </row>
    <row r="2157" spans="1:4" x14ac:dyDescent="0.35">
      <c r="A2157" t="s">
        <v>115</v>
      </c>
    </row>
    <row r="2158" spans="1:4" x14ac:dyDescent="0.35">
      <c r="A2158" t="s">
        <v>224</v>
      </c>
    </row>
    <row r="2159" spans="1:4" x14ac:dyDescent="0.35">
      <c r="A2159" t="s">
        <v>816</v>
      </c>
    </row>
    <row r="2160" spans="1:4" x14ac:dyDescent="0.35">
      <c r="A2160" t="s">
        <v>34</v>
      </c>
    </row>
    <row r="2161" spans="1:4" x14ac:dyDescent="0.35">
      <c r="A2161" t="s">
        <v>812</v>
      </c>
      <c r="B2161" t="s">
        <v>24</v>
      </c>
      <c r="C2161" t="s">
        <v>80</v>
      </c>
    </row>
    <row r="2162" spans="1:4" x14ac:dyDescent="0.35">
      <c r="A2162" t="s">
        <v>105</v>
      </c>
    </row>
    <row r="2163" spans="1:4" x14ac:dyDescent="0.35">
      <c r="A2163" t="s">
        <v>817</v>
      </c>
    </row>
    <row r="2164" spans="1:4" x14ac:dyDescent="0.35">
      <c r="A2164" t="s">
        <v>782</v>
      </c>
      <c r="B2164" t="s">
        <v>20</v>
      </c>
      <c r="C2164" t="s">
        <v>108</v>
      </c>
    </row>
    <row r="2165" spans="1:4" x14ac:dyDescent="0.35">
      <c r="A2165" t="s">
        <v>258</v>
      </c>
    </row>
    <row r="2166" spans="1:4" x14ac:dyDescent="0.35">
      <c r="A2166" t="s">
        <v>818</v>
      </c>
    </row>
    <row r="2167" spans="1:4" x14ac:dyDescent="0.35">
      <c r="A2167" t="s">
        <v>513</v>
      </c>
    </row>
    <row r="2168" spans="1:4" x14ac:dyDescent="0.35">
      <c r="A2168" t="s">
        <v>63</v>
      </c>
    </row>
    <row r="2170" spans="1:4" x14ac:dyDescent="0.35">
      <c r="A2170" t="s">
        <v>819</v>
      </c>
    </row>
    <row r="2171" spans="1:4" x14ac:dyDescent="0.35">
      <c r="A2171" t="s">
        <v>820</v>
      </c>
    </row>
    <row r="2172" spans="1:4" x14ac:dyDescent="0.35">
      <c r="A2172" t="s">
        <v>821</v>
      </c>
      <c r="B2172" t="s">
        <v>32</v>
      </c>
      <c r="C2172" t="s">
        <v>108</v>
      </c>
    </row>
    <row r="2173" spans="1:4" x14ac:dyDescent="0.35">
      <c r="A2173" t="s">
        <v>69</v>
      </c>
    </row>
    <row r="2174" spans="1:4" x14ac:dyDescent="0.35">
      <c r="A2174" t="s">
        <v>555</v>
      </c>
      <c r="B2174" t="s">
        <v>24</v>
      </c>
      <c r="C2174" t="s">
        <v>49</v>
      </c>
      <c r="D2174" t="s">
        <v>16</v>
      </c>
    </row>
    <row r="2175" spans="1:4" x14ac:dyDescent="0.35">
      <c r="A2175" t="s">
        <v>822</v>
      </c>
    </row>
    <row r="2176" spans="1:4" x14ac:dyDescent="0.35">
      <c r="A2176" t="s">
        <v>823</v>
      </c>
      <c r="B2176" t="s">
        <v>54</v>
      </c>
      <c r="C2176" t="s">
        <v>15</v>
      </c>
      <c r="D2176" t="s">
        <v>16</v>
      </c>
    </row>
    <row r="2177" spans="1:4" x14ac:dyDescent="0.35">
      <c r="A2177" t="s">
        <v>26</v>
      </c>
    </row>
    <row r="2178" spans="1:4" x14ac:dyDescent="0.35">
      <c r="A2178" t="s">
        <v>31</v>
      </c>
      <c r="B2178" t="s">
        <v>36</v>
      </c>
      <c r="C2178" t="s">
        <v>33</v>
      </c>
      <c r="D2178" t="s">
        <v>16</v>
      </c>
    </row>
    <row r="2179" spans="1:4" x14ac:dyDescent="0.35">
      <c r="A2179" t="s">
        <v>419</v>
      </c>
    </row>
    <row r="2180" spans="1:4" x14ac:dyDescent="0.35">
      <c r="A2180" t="s">
        <v>782</v>
      </c>
      <c r="B2180" t="s">
        <v>36</v>
      </c>
      <c r="C2180" t="s">
        <v>108</v>
      </c>
    </row>
    <row r="2181" spans="1:4" x14ac:dyDescent="0.35">
      <c r="A2181" t="s">
        <v>824</v>
      </c>
    </row>
    <row r="2182" spans="1:4" x14ac:dyDescent="0.35">
      <c r="A2182" t="s">
        <v>159</v>
      </c>
    </row>
    <row r="2183" spans="1:4" x14ac:dyDescent="0.35">
      <c r="A2183" t="s">
        <v>34</v>
      </c>
    </row>
    <row r="2184" spans="1:4" x14ac:dyDescent="0.35">
      <c r="A2184" t="s">
        <v>825</v>
      </c>
    </row>
    <row r="2185" spans="1:4" x14ac:dyDescent="0.35">
      <c r="A2185" t="s">
        <v>826</v>
      </c>
      <c r="B2185" t="s">
        <v>24</v>
      </c>
      <c r="C2185" t="s">
        <v>37</v>
      </c>
    </row>
    <row r="2186" spans="1:4" x14ac:dyDescent="0.35">
      <c r="A2186" t="s">
        <v>26</v>
      </c>
    </row>
    <row r="2187" spans="1:4" x14ac:dyDescent="0.35">
      <c r="A2187" t="s">
        <v>555</v>
      </c>
      <c r="B2187" t="s">
        <v>20</v>
      </c>
      <c r="C2187" t="s">
        <v>49</v>
      </c>
      <c r="D2187" t="s">
        <v>16</v>
      </c>
    </row>
    <row r="2188" spans="1:4" x14ac:dyDescent="0.35">
      <c r="A2188" t="s">
        <v>827</v>
      </c>
      <c r="B2188" t="s">
        <v>36</v>
      </c>
      <c r="C2188" t="s">
        <v>15</v>
      </c>
      <c r="D2188" t="s">
        <v>16</v>
      </c>
    </row>
    <row r="2189" spans="1:4" x14ac:dyDescent="0.35">
      <c r="A2189" t="s">
        <v>76</v>
      </c>
    </row>
    <row r="2190" spans="1:4" x14ac:dyDescent="0.35">
      <c r="A2190" t="s">
        <v>828</v>
      </c>
      <c r="B2190" t="s">
        <v>20</v>
      </c>
      <c r="C2190" t="s">
        <v>108</v>
      </c>
    </row>
    <row r="2191" spans="1:4" x14ac:dyDescent="0.35">
      <c r="A2191" t="s">
        <v>76</v>
      </c>
    </row>
    <row r="2192" spans="1:4" x14ac:dyDescent="0.35">
      <c r="A2192" t="s">
        <v>829</v>
      </c>
      <c r="B2192" t="s">
        <v>20</v>
      </c>
      <c r="C2192" t="s">
        <v>108</v>
      </c>
    </row>
    <row r="2193" spans="1:4" x14ac:dyDescent="0.35">
      <c r="A2193" t="s">
        <v>83</v>
      </c>
    </row>
    <row r="2194" spans="1:4" x14ac:dyDescent="0.35">
      <c r="A2194" t="s">
        <v>608</v>
      </c>
    </row>
    <row r="2195" spans="1:4" x14ac:dyDescent="0.35">
      <c r="A2195" t="s">
        <v>123</v>
      </c>
    </row>
    <row r="2196" spans="1:4" x14ac:dyDescent="0.35">
      <c r="A2196" t="s">
        <v>830</v>
      </c>
    </row>
    <row r="2197" spans="1:4" x14ac:dyDescent="0.35">
      <c r="A2197" t="s">
        <v>831</v>
      </c>
      <c r="B2197" t="s">
        <v>24</v>
      </c>
      <c r="C2197" t="s">
        <v>108</v>
      </c>
    </row>
    <row r="2198" spans="1:4" x14ac:dyDescent="0.35">
      <c r="A2198" t="s">
        <v>63</v>
      </c>
    </row>
    <row r="2200" spans="1:4" x14ac:dyDescent="0.35">
      <c r="A2200" t="s">
        <v>832</v>
      </c>
    </row>
    <row r="2201" spans="1:4" x14ac:dyDescent="0.35">
      <c r="A2201" t="s">
        <v>833</v>
      </c>
    </row>
    <row r="2202" spans="1:4" x14ac:dyDescent="0.35">
      <c r="A2202" t="s">
        <v>123</v>
      </c>
    </row>
    <row r="2203" spans="1:4" x14ac:dyDescent="0.35">
      <c r="A2203" t="s">
        <v>58</v>
      </c>
    </row>
    <row r="2204" spans="1:4" x14ac:dyDescent="0.35">
      <c r="A2204" t="s">
        <v>834</v>
      </c>
    </row>
    <row r="2205" spans="1:4" x14ac:dyDescent="0.35">
      <c r="A2205" t="s">
        <v>835</v>
      </c>
      <c r="B2205" t="s">
        <v>14</v>
      </c>
      <c r="C2205" t="s">
        <v>99</v>
      </c>
      <c r="D2205" t="s">
        <v>16</v>
      </c>
    </row>
    <row r="2206" spans="1:4" x14ac:dyDescent="0.35">
      <c r="A2206" t="s">
        <v>17</v>
      </c>
    </row>
    <row r="2207" spans="1:4" x14ac:dyDescent="0.35">
      <c r="A2207" t="s">
        <v>34</v>
      </c>
    </row>
    <row r="2208" spans="1:4" x14ac:dyDescent="0.35">
      <c r="A2208" t="s">
        <v>836</v>
      </c>
    </row>
    <row r="2209" spans="1:4" x14ac:dyDescent="0.35">
      <c r="A2209" t="s">
        <v>837</v>
      </c>
      <c r="B2209" t="s">
        <v>24</v>
      </c>
      <c r="C2209" t="s">
        <v>37</v>
      </c>
    </row>
    <row r="2210" spans="1:4" x14ac:dyDescent="0.35">
      <c r="A2210" t="s">
        <v>144</v>
      </c>
    </row>
    <row r="2211" spans="1:4" x14ac:dyDescent="0.35">
      <c r="A2211" t="s">
        <v>838</v>
      </c>
      <c r="B2211" t="s">
        <v>14</v>
      </c>
      <c r="C2211" t="s">
        <v>142</v>
      </c>
      <c r="D2211" t="s">
        <v>16</v>
      </c>
    </row>
    <row r="2212" spans="1:4" x14ac:dyDescent="0.35">
      <c r="A2212" t="s">
        <v>116</v>
      </c>
    </row>
    <row r="2213" spans="1:4" x14ac:dyDescent="0.35">
      <c r="A2213" t="s">
        <v>839</v>
      </c>
      <c r="B2213" t="s">
        <v>91</v>
      </c>
      <c r="C2213" t="s">
        <v>108</v>
      </c>
    </row>
    <row r="2214" spans="1:4" x14ac:dyDescent="0.35">
      <c r="A2214" t="s">
        <v>26</v>
      </c>
    </row>
    <row r="2215" spans="1:4" x14ac:dyDescent="0.35">
      <c r="A2215" t="s">
        <v>116</v>
      </c>
    </row>
    <row r="2216" spans="1:4" x14ac:dyDescent="0.35">
      <c r="A2216" t="s">
        <v>840</v>
      </c>
    </row>
    <row r="2217" spans="1:4" x14ac:dyDescent="0.35">
      <c r="A2217" t="s">
        <v>26</v>
      </c>
    </row>
    <row r="2218" spans="1:4" x14ac:dyDescent="0.35">
      <c r="A2218" t="s">
        <v>116</v>
      </c>
    </row>
    <row r="2219" spans="1:4" x14ac:dyDescent="0.35">
      <c r="A2219" t="s">
        <v>841</v>
      </c>
    </row>
    <row r="2220" spans="1:4" x14ac:dyDescent="0.35">
      <c r="A2220" t="s">
        <v>154</v>
      </c>
    </row>
    <row r="2221" spans="1:4" x14ac:dyDescent="0.35">
      <c r="A2221" t="s">
        <v>842</v>
      </c>
    </row>
    <row r="2222" spans="1:4" x14ac:dyDescent="0.35">
      <c r="A2222" t="s">
        <v>118</v>
      </c>
    </row>
    <row r="2223" spans="1:4" x14ac:dyDescent="0.35">
      <c r="A2223" t="s">
        <v>39</v>
      </c>
    </row>
    <row r="2224" spans="1:4" x14ac:dyDescent="0.35">
      <c r="A2224" t="s">
        <v>166</v>
      </c>
    </row>
    <row r="2225" spans="1:4" x14ac:dyDescent="0.35">
      <c r="A2225" t="s">
        <v>843</v>
      </c>
      <c r="B2225" t="s">
        <v>54</v>
      </c>
      <c r="C2225" t="s">
        <v>122</v>
      </c>
      <c r="D2225" t="s">
        <v>16</v>
      </c>
    </row>
    <row r="2226" spans="1:4" x14ac:dyDescent="0.35">
      <c r="A2226" t="s">
        <v>76</v>
      </c>
    </row>
    <row r="2227" spans="1:4" x14ac:dyDescent="0.35">
      <c r="A2227" t="s">
        <v>839</v>
      </c>
    </row>
    <row r="2228" spans="1:4" x14ac:dyDescent="0.35">
      <c r="A2228" t="s">
        <v>558</v>
      </c>
      <c r="B2228" t="s">
        <v>24</v>
      </c>
      <c r="C2228" t="s">
        <v>108</v>
      </c>
    </row>
    <row r="2229" spans="1:4" x14ac:dyDescent="0.35">
      <c r="A2229" t="s">
        <v>73</v>
      </c>
      <c r="B2229" t="s">
        <v>143</v>
      </c>
    </row>
    <row r="2230" spans="1:4" x14ac:dyDescent="0.35">
      <c r="A2230" t="s">
        <v>725</v>
      </c>
    </row>
    <row r="2231" spans="1:4" x14ac:dyDescent="0.35">
      <c r="A2231" t="s">
        <v>164</v>
      </c>
    </row>
    <row r="2232" spans="1:4" x14ac:dyDescent="0.35">
      <c r="A2232" t="s">
        <v>129</v>
      </c>
      <c r="B2232" t="s">
        <v>56</v>
      </c>
      <c r="C2232" t="s">
        <v>33</v>
      </c>
      <c r="D2232" t="s">
        <v>16</v>
      </c>
    </row>
    <row r="2233" spans="1:4" x14ac:dyDescent="0.35">
      <c r="A2233" t="s">
        <v>489</v>
      </c>
    </row>
    <row r="2234" spans="1:4" x14ac:dyDescent="0.35">
      <c r="A2234" t="s">
        <v>17</v>
      </c>
    </row>
    <row r="2235" spans="1:4" x14ac:dyDescent="0.35">
      <c r="A2235" t="s">
        <v>58</v>
      </c>
    </row>
    <row r="2236" spans="1:4" x14ac:dyDescent="0.35">
      <c r="A2236" t="s">
        <v>413</v>
      </c>
      <c r="B2236" t="s">
        <v>56</v>
      </c>
      <c r="C2236" t="s">
        <v>99</v>
      </c>
      <c r="D2236" t="s">
        <v>16</v>
      </c>
    </row>
    <row r="2237" spans="1:4" x14ac:dyDescent="0.35">
      <c r="A2237" t="s">
        <v>17</v>
      </c>
    </row>
    <row r="2238" spans="1:4" x14ac:dyDescent="0.35">
      <c r="A2238" t="s">
        <v>307</v>
      </c>
      <c r="B2238" t="s">
        <v>48</v>
      </c>
      <c r="C2238" t="s">
        <v>108</v>
      </c>
    </row>
    <row r="2239" spans="1:4" x14ac:dyDescent="0.35">
      <c r="A2239" t="s">
        <v>63</v>
      </c>
    </row>
    <row r="2241" spans="1:4" x14ac:dyDescent="0.35">
      <c r="A2241" t="s">
        <v>844</v>
      </c>
    </row>
    <row r="2242" spans="1:4" x14ac:dyDescent="0.35">
      <c r="A2242" t="s">
        <v>845</v>
      </c>
    </row>
    <row r="2243" spans="1:4" x14ac:dyDescent="0.35">
      <c r="A2243" t="s">
        <v>120</v>
      </c>
    </row>
    <row r="2244" spans="1:4" x14ac:dyDescent="0.35">
      <c r="A2244" t="s">
        <v>846</v>
      </c>
      <c r="B2244" t="s">
        <v>54</v>
      </c>
      <c r="C2244" t="s">
        <v>108</v>
      </c>
    </row>
    <row r="2245" spans="1:4" x14ac:dyDescent="0.35">
      <c r="A2245" t="s">
        <v>58</v>
      </c>
    </row>
    <row r="2246" spans="1:4" x14ac:dyDescent="0.35">
      <c r="A2246" t="s">
        <v>305</v>
      </c>
    </row>
    <row r="2247" spans="1:4" x14ac:dyDescent="0.35">
      <c r="A2247" t="s">
        <v>815</v>
      </c>
    </row>
    <row r="2248" spans="1:4" x14ac:dyDescent="0.35">
      <c r="A2248" t="s">
        <v>847</v>
      </c>
      <c r="B2248" t="s">
        <v>14</v>
      </c>
      <c r="C2248" t="s">
        <v>99</v>
      </c>
      <c r="D2248" t="s">
        <v>16</v>
      </c>
    </row>
    <row r="2249" spans="1:4" x14ac:dyDescent="0.35">
      <c r="A2249" t="s">
        <v>42</v>
      </c>
    </row>
    <row r="2250" spans="1:4" x14ac:dyDescent="0.35">
      <c r="A2250" t="s">
        <v>848</v>
      </c>
    </row>
    <row r="2251" spans="1:4" x14ac:dyDescent="0.35">
      <c r="A2251" t="s">
        <v>228</v>
      </c>
    </row>
    <row r="2252" spans="1:4" x14ac:dyDescent="0.35">
      <c r="A2252" t="s">
        <v>58</v>
      </c>
    </row>
    <row r="2253" spans="1:4" x14ac:dyDescent="0.35">
      <c r="A2253" t="s">
        <v>332</v>
      </c>
      <c r="B2253" t="s">
        <v>32</v>
      </c>
      <c r="C2253" t="s">
        <v>99</v>
      </c>
      <c r="D2253" t="s">
        <v>16</v>
      </c>
    </row>
    <row r="2254" spans="1:4" x14ac:dyDescent="0.35">
      <c r="A2254" t="s">
        <v>26</v>
      </c>
    </row>
    <row r="2255" spans="1:4" x14ac:dyDescent="0.35">
      <c r="A2255" t="s">
        <v>849</v>
      </c>
    </row>
    <row r="2256" spans="1:4" x14ac:dyDescent="0.35">
      <c r="A2256" t="s">
        <v>607</v>
      </c>
    </row>
    <row r="2257" spans="1:4" x14ac:dyDescent="0.35">
      <c r="A2257" t="s">
        <v>164</v>
      </c>
    </row>
    <row r="2258" spans="1:4" x14ac:dyDescent="0.35">
      <c r="A2258" t="s">
        <v>58</v>
      </c>
    </row>
    <row r="2259" spans="1:4" x14ac:dyDescent="0.35">
      <c r="A2259" t="s">
        <v>850</v>
      </c>
      <c r="B2259" t="s">
        <v>24</v>
      </c>
      <c r="C2259" t="s">
        <v>15</v>
      </c>
      <c r="D2259" t="s">
        <v>16</v>
      </c>
    </row>
    <row r="2260" spans="1:4" x14ac:dyDescent="0.35">
      <c r="A2260" t="s">
        <v>17</v>
      </c>
    </row>
    <row r="2261" spans="1:4" x14ac:dyDescent="0.35">
      <c r="A2261" t="s">
        <v>136</v>
      </c>
      <c r="B2261" t="s">
        <v>56</v>
      </c>
      <c r="C2261" t="s">
        <v>49</v>
      </c>
      <c r="D2261" t="s">
        <v>16</v>
      </c>
    </row>
    <row r="2262" spans="1:4" x14ac:dyDescent="0.35">
      <c r="A2262" t="s">
        <v>274</v>
      </c>
      <c r="B2262" t="s">
        <v>20</v>
      </c>
      <c r="C2262" t="s">
        <v>15</v>
      </c>
      <c r="D2262" t="s">
        <v>16</v>
      </c>
    </row>
    <row r="2263" spans="1:4" x14ac:dyDescent="0.35">
      <c r="A2263" t="s">
        <v>63</v>
      </c>
    </row>
    <row r="2265" spans="1:4" x14ac:dyDescent="0.35">
      <c r="A2265" t="s">
        <v>851</v>
      </c>
    </row>
    <row r="2266" spans="1:4" x14ac:dyDescent="0.35">
      <c r="A2266" t="s">
        <v>690</v>
      </c>
    </row>
    <row r="2267" spans="1:4" x14ac:dyDescent="0.35">
      <c r="A2267" t="s">
        <v>805</v>
      </c>
    </row>
    <row r="2268" spans="1:4" x14ac:dyDescent="0.35">
      <c r="A2268" t="s">
        <v>83</v>
      </c>
    </row>
    <row r="2269" spans="1:4" x14ac:dyDescent="0.35">
      <c r="A2269" t="s">
        <v>133</v>
      </c>
      <c r="B2269" t="s">
        <v>14</v>
      </c>
      <c r="C2269" t="s">
        <v>33</v>
      </c>
      <c r="D2269" t="s">
        <v>16</v>
      </c>
    </row>
    <row r="2270" spans="1:4" x14ac:dyDescent="0.35">
      <c r="A2270" t="s">
        <v>196</v>
      </c>
    </row>
    <row r="2271" spans="1:4" x14ac:dyDescent="0.35">
      <c r="A2271" t="s">
        <v>58</v>
      </c>
    </row>
    <row r="2272" spans="1:4" x14ac:dyDescent="0.35">
      <c r="A2272" t="s">
        <v>852</v>
      </c>
      <c r="B2272" t="s">
        <v>24</v>
      </c>
      <c r="C2272" t="s">
        <v>99</v>
      </c>
      <c r="D2272" t="s">
        <v>16</v>
      </c>
    </row>
    <row r="2273" spans="1:4" x14ac:dyDescent="0.35">
      <c r="A2273" t="s">
        <v>39</v>
      </c>
      <c r="B2273" t="s">
        <v>52</v>
      </c>
    </row>
    <row r="2274" spans="1:4" x14ac:dyDescent="0.35">
      <c r="A2274" t="s">
        <v>133</v>
      </c>
      <c r="B2274" t="s">
        <v>143</v>
      </c>
      <c r="C2274" t="s">
        <v>33</v>
      </c>
      <c r="D2274" t="s">
        <v>16</v>
      </c>
    </row>
    <row r="2275" spans="1:4" x14ac:dyDescent="0.35">
      <c r="A2275" t="s">
        <v>853</v>
      </c>
    </row>
    <row r="2276" spans="1:4" x14ac:dyDescent="0.35">
      <c r="A2276" t="s">
        <v>85</v>
      </c>
      <c r="B2276" t="s">
        <v>52</v>
      </c>
      <c r="C2276" t="s">
        <v>33</v>
      </c>
      <c r="D2276" t="s">
        <v>16</v>
      </c>
    </row>
    <row r="2277" spans="1:4" x14ac:dyDescent="0.35">
      <c r="A2277" t="s">
        <v>45</v>
      </c>
    </row>
    <row r="2278" spans="1:4" x14ac:dyDescent="0.35">
      <c r="A2278" t="s">
        <v>854</v>
      </c>
    </row>
    <row r="2279" spans="1:4" x14ac:dyDescent="0.35">
      <c r="A2279" t="s">
        <v>587</v>
      </c>
    </row>
    <row r="2280" spans="1:4" x14ac:dyDescent="0.35">
      <c r="A2280" t="s">
        <v>133</v>
      </c>
      <c r="B2280" t="s">
        <v>151</v>
      </c>
      <c r="C2280" t="s">
        <v>33</v>
      </c>
      <c r="D2280" t="s">
        <v>16</v>
      </c>
    </row>
    <row r="2281" spans="1:4" x14ac:dyDescent="0.35">
      <c r="A2281" t="s">
        <v>111</v>
      </c>
    </row>
    <row r="2282" spans="1:4" x14ac:dyDescent="0.35">
      <c r="A2282" t="s">
        <v>855</v>
      </c>
    </row>
    <row r="2283" spans="1:4" x14ac:dyDescent="0.35">
      <c r="A2283" t="s">
        <v>136</v>
      </c>
      <c r="B2283" t="s">
        <v>149</v>
      </c>
      <c r="C2283" t="s">
        <v>49</v>
      </c>
      <c r="D2283" t="s">
        <v>16</v>
      </c>
    </row>
    <row r="2284" spans="1:4" x14ac:dyDescent="0.35">
      <c r="A2284" t="s">
        <v>856</v>
      </c>
      <c r="B2284" t="s">
        <v>512</v>
      </c>
      <c r="C2284" t="s">
        <v>15</v>
      </c>
      <c r="D2284" t="s">
        <v>16</v>
      </c>
    </row>
    <row r="2285" spans="1:4" x14ac:dyDescent="0.35">
      <c r="A2285" t="s">
        <v>63</v>
      </c>
    </row>
    <row r="2287" spans="1:4" x14ac:dyDescent="0.35">
      <c r="A2287" t="s">
        <v>857</v>
      </c>
    </row>
    <row r="2288" spans="1:4" x14ac:dyDescent="0.35">
      <c r="A2288" t="s">
        <v>746</v>
      </c>
    </row>
    <row r="2289" spans="1:4" x14ac:dyDescent="0.35">
      <c r="A2289" t="s">
        <v>19</v>
      </c>
      <c r="B2289" t="s">
        <v>14</v>
      </c>
      <c r="C2289" t="s">
        <v>21</v>
      </c>
      <c r="D2289" t="s">
        <v>16</v>
      </c>
    </row>
    <row r="2290" spans="1:4" x14ac:dyDescent="0.35">
      <c r="A2290" t="s">
        <v>76</v>
      </c>
    </row>
    <row r="2291" spans="1:4" x14ac:dyDescent="0.35">
      <c r="A2291" t="s">
        <v>110</v>
      </c>
      <c r="B2291" t="s">
        <v>24</v>
      </c>
      <c r="C2291" t="s">
        <v>33</v>
      </c>
      <c r="D2291" t="s">
        <v>16</v>
      </c>
    </row>
    <row r="2292" spans="1:4" x14ac:dyDescent="0.35">
      <c r="A2292" t="s">
        <v>655</v>
      </c>
    </row>
    <row r="2293" spans="1:4" x14ac:dyDescent="0.35">
      <c r="A2293" t="s">
        <v>858</v>
      </c>
    </row>
    <row r="2294" spans="1:4" x14ac:dyDescent="0.35">
      <c r="A2294" t="s">
        <v>859</v>
      </c>
    </row>
    <row r="2295" spans="1:4" x14ac:dyDescent="0.35">
      <c r="A2295" t="s">
        <v>26</v>
      </c>
    </row>
    <row r="2296" spans="1:4" x14ac:dyDescent="0.35">
      <c r="A2296" t="s">
        <v>76</v>
      </c>
    </row>
    <row r="2297" spans="1:4" x14ac:dyDescent="0.35">
      <c r="A2297" t="s">
        <v>58</v>
      </c>
    </row>
    <row r="2298" spans="1:4" x14ac:dyDescent="0.35">
      <c r="A2298" t="s">
        <v>847</v>
      </c>
      <c r="B2298" t="s">
        <v>36</v>
      </c>
      <c r="C2298" t="s">
        <v>99</v>
      </c>
      <c r="D2298" t="s">
        <v>16</v>
      </c>
    </row>
    <row r="2299" spans="1:4" x14ac:dyDescent="0.35">
      <c r="A2299" t="s">
        <v>795</v>
      </c>
    </row>
    <row r="2300" spans="1:4" x14ac:dyDescent="0.35">
      <c r="A2300" t="s">
        <v>34</v>
      </c>
    </row>
    <row r="2301" spans="1:4" x14ac:dyDescent="0.35">
      <c r="A2301" t="s">
        <v>860</v>
      </c>
    </row>
    <row r="2302" spans="1:4" x14ac:dyDescent="0.35">
      <c r="A2302" t="s">
        <v>861</v>
      </c>
      <c r="B2302" t="s">
        <v>91</v>
      </c>
      <c r="C2302" t="s">
        <v>37</v>
      </c>
    </row>
    <row r="2303" spans="1:4" x14ac:dyDescent="0.35">
      <c r="A2303" t="s">
        <v>26</v>
      </c>
    </row>
    <row r="2304" spans="1:4" x14ac:dyDescent="0.35">
      <c r="A2304" t="s">
        <v>73</v>
      </c>
      <c r="B2304" t="s">
        <v>143</v>
      </c>
    </row>
    <row r="2305" spans="1:4" x14ac:dyDescent="0.35">
      <c r="A2305" t="s">
        <v>862</v>
      </c>
    </row>
    <row r="2306" spans="1:4" x14ac:dyDescent="0.35">
      <c r="A2306" t="s">
        <v>39</v>
      </c>
    </row>
    <row r="2307" spans="1:4" x14ac:dyDescent="0.35">
      <c r="A2307" t="s">
        <v>28</v>
      </c>
      <c r="B2307" t="s">
        <v>52</v>
      </c>
      <c r="C2307" t="s">
        <v>122</v>
      </c>
      <c r="D2307" t="s">
        <v>16</v>
      </c>
    </row>
    <row r="2308" spans="1:4" x14ac:dyDescent="0.35">
      <c r="A2308" t="s">
        <v>131</v>
      </c>
    </row>
    <row r="2309" spans="1:4" x14ac:dyDescent="0.35">
      <c r="A2309" t="s">
        <v>863</v>
      </c>
    </row>
    <row r="2310" spans="1:4" x14ac:dyDescent="0.35">
      <c r="A2310" t="s">
        <v>111</v>
      </c>
    </row>
    <row r="2311" spans="1:4" x14ac:dyDescent="0.35">
      <c r="A2311" t="s">
        <v>864</v>
      </c>
    </row>
    <row r="2312" spans="1:4" x14ac:dyDescent="0.35">
      <c r="A2312" t="s">
        <v>85</v>
      </c>
      <c r="B2312" t="s">
        <v>79</v>
      </c>
      <c r="C2312" t="s">
        <v>33</v>
      </c>
      <c r="D2312" t="s">
        <v>16</v>
      </c>
    </row>
    <row r="2313" spans="1:4" x14ac:dyDescent="0.35">
      <c r="A2313" t="s">
        <v>63</v>
      </c>
    </row>
    <row r="2315" spans="1:4" x14ac:dyDescent="0.35">
      <c r="A2315" t="s">
        <v>865</v>
      </c>
    </row>
    <row r="2316" spans="1:4" x14ac:dyDescent="0.35">
      <c r="A2316" t="s">
        <v>501</v>
      </c>
      <c r="B2316" t="s">
        <v>14</v>
      </c>
      <c r="C2316" t="s">
        <v>33</v>
      </c>
      <c r="D2316" t="s">
        <v>16</v>
      </c>
    </row>
    <row r="2317" spans="1:4" x14ac:dyDescent="0.35">
      <c r="A2317" t="s">
        <v>223</v>
      </c>
    </row>
    <row r="2318" spans="1:4" x14ac:dyDescent="0.35">
      <c r="A2318" t="s">
        <v>224</v>
      </c>
    </row>
    <row r="2319" spans="1:4" x14ac:dyDescent="0.35">
      <c r="A2319" t="s">
        <v>488</v>
      </c>
    </row>
    <row r="2320" spans="1:4" x14ac:dyDescent="0.35">
      <c r="A2320" t="s">
        <v>26</v>
      </c>
    </row>
    <row r="2321" spans="1:1" x14ac:dyDescent="0.35">
      <c r="A2321" t="s">
        <v>100</v>
      </c>
    </row>
    <row r="2322" spans="1:1" x14ac:dyDescent="0.35">
      <c r="A2322" t="s">
        <v>26</v>
      </c>
    </row>
    <row r="2323" spans="1:1" x14ac:dyDescent="0.35">
      <c r="A2323" t="s">
        <v>115</v>
      </c>
    </row>
    <row r="2324" spans="1:1" x14ac:dyDescent="0.35">
      <c r="A2324" t="s">
        <v>866</v>
      </c>
    </row>
    <row r="2325" spans="1:1" x14ac:dyDescent="0.35">
      <c r="A2325" t="s">
        <v>692</v>
      </c>
    </row>
    <row r="2326" spans="1:1" x14ac:dyDescent="0.35">
      <c r="A2326" t="s">
        <v>63</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 B</cp:lastModifiedBy>
  <cp:revision>29</cp:revision>
  <dcterms:modified xsi:type="dcterms:W3CDTF">2023-12-05T15:29:59Z</dcterms:modified>
  <dc:language>en-US</dc:language>
</cp:coreProperties>
</file>