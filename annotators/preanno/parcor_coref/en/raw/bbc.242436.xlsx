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<sst xmlns="http://schemas.openxmlformats.org/spreadsheetml/2006/main" count="1379" uniqueCount="476">
  <si>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</si>
  <si>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</si>
  <si>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</si>
  <si>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</si>
  <si>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</si>
  <si>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</si>
  <si>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</si>
  <si>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</si>
  <si>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</si>
  <si>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</si>
  <si>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</si>
  <si>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</si>
  <si>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</si>
  <si>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sack</t>
  </si>
  <si>
    <t>Russia 's Putin sacks chief of staff Sergei Ivanov Russian President Vladimir Putin has unexpectedly dismissed his chief of staff Sergei Ivanov.</t>
  </si>
  <si>
    <t>file://conllu/en/bbc.242436.conllu#s1_0</t>
  </si>
  <si>
    <t>2</t>
  </si>
  <si>
    <t>be (be part)</t>
  </si>
  <si>
    <t>Mr Ivanov has been part of Mr Putin 's trusted inner circle for many years .</t>
  </si>
  <si>
    <t>file://conllu/en/bbc.242436.conllu#s2_0</t>
  </si>
  <si>
    <t>3</t>
  </si>
  <si>
    <t>9</t>
  </si>
  <si>
    <t>make</t>
  </si>
  <si>
    <t>The 63 -year old has now been made a special representative for environmental and transport issues .</t>
  </si>
  <si>
    <t>file://conllu/en/bbc.242436.conllu#s3_0</t>
  </si>
  <si>
    <t>6</t>
  </si>
  <si>
    <t>but?</t>
  </si>
  <si>
    <t>say</t>
  </si>
  <si>
    <t>A statement from the Kremlin said that Mr Putin had &amp;quot; decreed to relieve Ivanov of his duties as head of the Russian presidential administration , &amp;quot; but gave no reason .</t>
  </si>
  <si>
    <t>file://conllu/en/bbc.242436.conllu#s4_0</t>
  </si>
  <si>
    <t>5</t>
  </si>
  <si>
    <t>13</t>
  </si>
  <si>
    <t>as?</t>
  </si>
  <si>
    <t>appoint</t>
  </si>
  <si>
    <t>Mr Ivanov 's deputy since 2012 , Anton Vaino , has been appointed as his successor .</t>
  </si>
  <si>
    <t>file://conllu/en/bbc.242436.conllu#s5_0</t>
  </si>
  <si>
    <t>be (be diplomat)</t>
  </si>
  <si>
    <t>Mr Vaino , 44 , is a former diplomat .</t>
  </si>
  <si>
    <t>file://conllu/en/bbc.242436.conllu#s6_0</t>
  </si>
  <si>
    <t>7</t>
  </si>
  <si>
    <t>bear</t>
  </si>
  <si>
    <t>Born in the Estonian capital Tallinn in 1972 , he graduated from the prestigious Moscow State Institute of International Relations ( MGIMO ) and served in the Tokyo embassy .</t>
  </si>
  <si>
    <t>file://conllu/en/bbc.242436.conllu#s7_0</t>
  </si>
  <si>
    <t>8</t>
  </si>
  <si>
    <t>later?</t>
  </si>
  <si>
    <t>Later he managed presidential protocol and government staff , the Kremlin website says ( in Russian ) .</t>
  </si>
  <si>
    <t>file://conllu/en/bbc.242436.conllu#s8_0</t>
  </si>
  <si>
    <t>tell</t>
  </si>
  <si>
    <t>On being appointed , he told Mr Putin : &amp;quot; Thank you for your trust . &amp;quot;</t>
  </si>
  <si>
    <t>file://conllu/en/bbc.242436.conllu#s9_0</t>
  </si>
  <si>
    <t>10</t>
  </si>
  <si>
    <t>think</t>
  </si>
  <si>
    <t>I think the administration 's most important task is to support your activity as head of state in terms of drafting laws and control over how your instructions are implemented .</t>
  </si>
  <si>
    <t>file://conllu/en/bbc.242436.conllu#s10_0</t>
  </si>
  <si>
    <t>11</t>
  </si>
  <si>
    <t>14</t>
  </si>
  <si>
    <t>and?</t>
  </si>
  <si>
    <t>ask (ask tell)</t>
  </si>
  <si>
    <t>Mr Putin told a Russian TV station on Friday that Mr Ivanov had asked to leave the post , and recommended that Mr Vaino should replace him .</t>
  </si>
  <si>
    <t>file://conllu/en/bbc.242436.conllu#s11_0</t>
  </si>
  <si>
    <t>12</t>
  </si>
  <si>
    <t>convince</t>
  </si>
  <si>
    <t>Do the smiles convince ?</t>
  </si>
  <si>
    <t>file://conllu/en/bbc.242436.conllu#s12_0</t>
  </si>
  <si>
    <t>be (be move)</t>
  </si>
  <si>
    <t>This is a move that has mystified Moscow .</t>
  </si>
  <si>
    <t>file://conllu/en/bbc.242436.conllu#s13_0</t>
  </si>
  <si>
    <t>be (be one)</t>
  </si>
  <si>
    <t>Sergei Ivanov has long been one of Vladimir Putin 's closest allies and , like him , served in the Soviet security service , the KGB .</t>
  </si>
  <si>
    <t>file://conllu/en/bbc.242436.conllu#s14_0</t>
  </si>
  <si>
    <t>15</t>
  </si>
  <si>
    <t>As chief of staff he was one of the most powerful men in the country .</t>
  </si>
  <si>
    <t>file://conllu/en/bbc.242436.conllu#s15_0</t>
  </si>
  <si>
    <t>16</t>
  </si>
  <si>
    <t>claim</t>
  </si>
  <si>
    <t>In a meeting with President Putin shown on state television both men claimed that the chief of staff was stepping down at his own request .</t>
  </si>
  <si>
    <t>file://conllu/en/bbc.242436.conllu#s16_0</t>
  </si>
  <si>
    <t>17</t>
  </si>
  <si>
    <t>before?</t>
  </si>
  <si>
    <t>be (be convinced)</t>
  </si>
  <si>
    <t>But despite the smiles for the cameras , few here are convinced especially now , just before parliamentary elections .</t>
  </si>
  <si>
    <t>file://conllu/en/bbc.242436.conllu#s17_0</t>
  </si>
  <si>
    <t>18</t>
  </si>
  <si>
    <t>so?</t>
  </si>
  <si>
    <t>be (be fall)</t>
  </si>
  <si>
    <t>So is this the fall out from some kind of power struggle ?</t>
  </si>
  <si>
    <t>file://conllu/en/bbc.242436.conllu#s18_0</t>
  </si>
  <si>
    <t>19</t>
  </si>
  <si>
    <t>yet?</t>
  </si>
  <si>
    <t>know</t>
  </si>
  <si>
    <t>No -one knows yet .</t>
  </si>
  <si>
    <t>file://conllu/en/bbc.242436.conllu#s19_0</t>
  </si>
  <si>
    <t>20</t>
  </si>
  <si>
    <t>claim (claim want)</t>
  </si>
  <si>
    <t>But the official claim that a man once touted as a potential president , suddenly wanted to run Russia 's environmental policy has been met with great scepticism .</t>
  </si>
  <si>
    <t>file://conllu/en/bbc.242436.conllu#s20_0</t>
  </si>
  <si>
    <t>21</t>
  </si>
  <si>
    <t>quote</t>
  </si>
  <si>
    <t>In remarks to Mr Putin , quoted on the Kremlin website , Mr Ivanov said &amp;quot; it 's true that in early 2012 I asked you , in a conversation , to entrust me with this very complicated post , even you could say troublesome post , for four years .</t>
  </si>
  <si>
    <t>file://conllu/en/bbc.242436.conllu#s21_0</t>
  </si>
  <si>
    <t>22</t>
  </si>
  <si>
    <t>turn</t>
  </si>
  <si>
    <t>Well , it turns out that I 've been presidential chief of staff for four years and eight months .</t>
  </si>
  <si>
    <t>file://conllu/en/bbc.242436.conllu#s22_0</t>
  </si>
  <si>
    <t>23</t>
  </si>
  <si>
    <t>take</t>
  </si>
  <si>
    <t>Mr Ivanov took up the post in December 2011 .</t>
  </si>
  <si>
    <t>file://conllu/en/bbc.242436.conllu#s23_0</t>
  </si>
  <si>
    <t>24</t>
  </si>
  <si>
    <t>previously?</t>
  </si>
  <si>
    <t>serve</t>
  </si>
  <si>
    <t>He served previously as a deputy prime minister and defence minister .</t>
  </si>
  <si>
    <t>file://conllu/en/bbc.242436.conllu#s24_0</t>
  </si>
  <si>
    <t>25</t>
  </si>
  <si>
    <t>be (be member)</t>
  </si>
  <si>
    <t>He is a member of the Russian Security Council and a former member of the KGB state security service , like Mr Putin .</t>
  </si>
  <si>
    <t>file://conllu/en/bbc.242436.conllu#s25_0</t>
  </si>
  <si>
    <t>26</t>
  </si>
  <si>
    <t>28</t>
  </si>
  <si>
    <t>when?</t>
  </si>
  <si>
    <t>In the late 1990s , when Mr Putin was head of the Federal Security Service ( FSB ) , which replaced the KGB , Mr Ivanov was appointed as his deputy .</t>
  </si>
  <si>
    <t>file://conllu/en/bbc.242436.conllu#s26_0</t>
  </si>
  <si>
    <t>27</t>
  </si>
  <si>
    <t>name</t>
  </si>
  <si>
    <t>When Mr Putin came to power , he named Mr Ivanov as one of the five people he trusted most .</t>
  </si>
  <si>
    <t>file://conllu/en/bbc.242436.conllu#s27_0</t>
  </si>
  <si>
    <t>once?</t>
  </si>
  <si>
    <t>It was once thought that Mr Ivanov might become president of Russia after Mr Putin 's second term , as a third term for Mr Putin would have been unconstitutional .</t>
  </si>
  <si>
    <t>file://conllu/en/bbc.242436.conllu#s28_0</t>
  </si>
  <si>
    <t>29</t>
  </si>
  <si>
    <t>But that post was taken by another close Putin ally , Dmitry Medvedev.</t>
  </si>
  <si>
    <t>file://conllu/en/bbc.242436.conllu#s29_0</t>
  </si>
  <si>
    <t>30</t>
  </si>
  <si>
    <t>become</t>
  </si>
  <si>
    <t>Mr Putin became prime minister , before returning to the presidency just three and a half years later .</t>
  </si>
  <si>
    <t>file://conllu/en/bbc.242436.conllu#s30_0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</si>
  <si>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</si>
  <si>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</si>
  <si>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</si>
  <si>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</si>
  <si>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</si>
  <si>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</si>
  <si>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</si>
  <si>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</si>
  <si>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</si>
  <si>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</si>
  <si>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</si>
  <si>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Russia's Putin sacks chief of staff Sergei Ivanov Russian President Vladimir Putin has unexpectedly dismissed his chief of staff Sergei Ivanov.</t>
  </si>
  <si>
    <t>Russia</t>
  </si>
  <si>
    <t>other_2</t>
  </si>
  <si>
    <t>ne</t>
  </si>
  <si>
    <t>?OLD</t>
  </si>
  <si>
    <t>'s</t>
  </si>
  <si>
    <t>Putin</t>
  </si>
  <si>
    <t>SBJ</t>
  </si>
  <si>
    <t>sacks</t>
  </si>
  <si>
    <t>chief</t>
  </si>
  <si>
    <t>OBJ</t>
  </si>
  <si>
    <t>indef-np.bare</t>
  </si>
  <si>
    <t>of</t>
  </si>
  <si>
    <t>staff</t>
  </si>
  <si>
    <t>Sergei</t>
  </si>
  <si>
    <t>Ivanov</t>
  </si>
  <si>
    <t>Russian</t>
  </si>
  <si>
    <t>President</t>
  </si>
  <si>
    <t>Vladimir</t>
  </si>
  <si>
    <t>has</t>
  </si>
  <si>
    <t>unexpectedly</t>
  </si>
  <si>
    <t>dismissed</t>
  </si>
  <si>
    <t>his</t>
  </si>
  <si>
    <t>other_3</t>
  </si>
  <si>
    <t>pron.ppos</t>
  </si>
  <si>
    <t>OBJ_2</t>
  </si>
  <si>
    <t>def-np.poss</t>
  </si>
  <si>
    <t>Ivanov.</t>
  </si>
  <si>
    <t># text = Mr Ivanov has been part of Mr Putin's trusted inner circle for many years.</t>
  </si>
  <si>
    <t>Mr</t>
  </si>
  <si>
    <t>been</t>
  </si>
  <si>
    <t>part</t>
  </si>
  <si>
    <t>other</t>
  </si>
  <si>
    <t>trusted</t>
  </si>
  <si>
    <t>inner</t>
  </si>
  <si>
    <t>circle</t>
  </si>
  <si>
    <t>for</t>
  </si>
  <si>
    <t>many</t>
  </si>
  <si>
    <t>years</t>
  </si>
  <si>
    <t>indef-np.quant</t>
  </si>
  <si>
    <t>.</t>
  </si>
  <si>
    <t># text = The 63-year-old has now been made a special representative for environmental and transport issues.</t>
  </si>
  <si>
    <t>The</t>
  </si>
  <si>
    <t>63</t>
  </si>
  <si>
    <t>-year</t>
  </si>
  <si>
    <t>def-np.quant</t>
  </si>
  <si>
    <t>old</t>
  </si>
  <si>
    <t>now</t>
  </si>
  <si>
    <t>made</t>
  </si>
  <si>
    <t>a</t>
  </si>
  <si>
    <t>special</t>
  </si>
  <si>
    <t>representative</t>
  </si>
  <si>
    <t>indef-np.a</t>
  </si>
  <si>
    <t>environmental</t>
  </si>
  <si>
    <t>and</t>
  </si>
  <si>
    <t>transport</t>
  </si>
  <si>
    <t>issues</t>
  </si>
  <si>
    <t>--</t>
  </si>
  <si>
    <t># text = A statement from the Kremlin said that Mr Putin had \"decreed to relieve Ivanov of his duties as head of the Russian presidential administration,\" but gave no reason.</t>
  </si>
  <si>
    <t>A</t>
  </si>
  <si>
    <t>statement</t>
  </si>
  <si>
    <t>from</t>
  </si>
  <si>
    <t>the</t>
  </si>
  <si>
    <t>Kremlin</t>
  </si>
  <si>
    <t>said</t>
  </si>
  <si>
    <t>that</t>
  </si>
  <si>
    <t>SBJ_2</t>
  </si>
  <si>
    <t>had</t>
  </si>
  <si>
    <t>&amp;quot;</t>
  </si>
  <si>
    <t>decreed</t>
  </si>
  <si>
    <t>to</t>
  </si>
  <si>
    <t>relieve</t>
  </si>
  <si>
    <t>OBJ_3</t>
  </si>
  <si>
    <t>other_5</t>
  </si>
  <si>
    <t>duties</t>
  </si>
  <si>
    <t>other_4</t>
  </si>
  <si>
    <t>as</t>
  </si>
  <si>
    <t>head</t>
  </si>
  <si>
    <t>presidential</t>
  </si>
  <si>
    <t>administration</t>
  </si>
  <si>
    <t>def-np.the</t>
  </si>
  <si>
    <t>,</t>
  </si>
  <si>
    <t>but</t>
  </si>
  <si>
    <t>gave</t>
  </si>
  <si>
    <t>no</t>
  </si>
  <si>
    <t>reason</t>
  </si>
  <si>
    <t># text = Mr Ivanov's deputy since 2012, Anton Vaino, has been appointed as his successor.</t>
  </si>
  <si>
    <t>deputy</t>
  </si>
  <si>
    <t>since</t>
  </si>
  <si>
    <t>2012</t>
  </si>
  <si>
    <t>Anton</t>
  </si>
  <si>
    <t>Vaino</t>
  </si>
  <si>
    <t>appointed</t>
  </si>
  <si>
    <t>successor</t>
  </si>
  <si>
    <t># text = Mr Vaino, 44, is a former diplomat.</t>
  </si>
  <si>
    <t>44</t>
  </si>
  <si>
    <t>is</t>
  </si>
  <si>
    <t>former</t>
  </si>
  <si>
    <t>diplomat</t>
  </si>
  <si>
    <t># text = Born in the Estonian capital Tallinn in 1972, he graduated from the prestigious Moscow State Institute of International Relations (MGIMO) and served in the Tokyo embassy.</t>
  </si>
  <si>
    <t>Born</t>
  </si>
  <si>
    <t>in</t>
  </si>
  <si>
    <t>Estonian</t>
  </si>
  <si>
    <t>capital</t>
  </si>
  <si>
    <t>Tallinn</t>
  </si>
  <si>
    <t>1972</t>
  </si>
  <si>
    <t>he</t>
  </si>
  <si>
    <t>pron.pper</t>
  </si>
  <si>
    <t>graduated</t>
  </si>
  <si>
    <t>prestigious</t>
  </si>
  <si>
    <t>Moscow</t>
  </si>
  <si>
    <t>State</t>
  </si>
  <si>
    <t>Institute</t>
  </si>
  <si>
    <t>International</t>
  </si>
  <si>
    <t>Relations</t>
  </si>
  <si>
    <t>(</t>
  </si>
  <si>
    <t>MGIMO</t>
  </si>
  <si>
    <t>)</t>
  </si>
  <si>
    <t>served</t>
  </si>
  <si>
    <t>Tokyo</t>
  </si>
  <si>
    <t>embassy</t>
  </si>
  <si>
    <t># text = Later he managed presidential protocol and government staff, the Kremlin website says (in Russian).</t>
  </si>
  <si>
    <t>Later</t>
  </si>
  <si>
    <t>managed</t>
  </si>
  <si>
    <t>protocol</t>
  </si>
  <si>
    <t>government</t>
  </si>
  <si>
    <t>website</t>
  </si>
  <si>
    <t>says</t>
  </si>
  <si>
    <t># text = On being appointed, he told Mr Putin: \"Thank you for your trust.\"</t>
  </si>
  <si>
    <t>On</t>
  </si>
  <si>
    <t>being</t>
  </si>
  <si>
    <t>told</t>
  </si>
  <si>
    <t>:</t>
  </si>
  <si>
    <t>Thank</t>
  </si>
  <si>
    <t>you</t>
  </si>
  <si>
    <t>your</t>
  </si>
  <si>
    <t>trust</t>
  </si>
  <si>
    <t># text = I think the administration's most important task is to support your activity as head of state in terms of drafting laws and control over how your instructions are implemented.</t>
  </si>
  <si>
    <t>I</t>
  </si>
  <si>
    <t>most</t>
  </si>
  <si>
    <t>important</t>
  </si>
  <si>
    <t>task</t>
  </si>
  <si>
    <t>support</t>
  </si>
  <si>
    <t>activity</t>
  </si>
  <si>
    <t>state</t>
  </si>
  <si>
    <t>terms</t>
  </si>
  <si>
    <t>drafting</t>
  </si>
  <si>
    <t>laws</t>
  </si>
  <si>
    <t>OBJ_5</t>
  </si>
  <si>
    <t>control</t>
  </si>
  <si>
    <t>other_6</t>
  </si>
  <si>
    <t>over</t>
  </si>
  <si>
    <t>how</t>
  </si>
  <si>
    <t>other_7</t>
  </si>
  <si>
    <t>instructions</t>
  </si>
  <si>
    <t>SBJ_6</t>
  </si>
  <si>
    <t>are</t>
  </si>
  <si>
    <t>implemented</t>
  </si>
  <si>
    <t># text = Mr Putin told a Russian TV station on Friday that Mr Ivanov had asked to leave the post, and recommended that Mr Vaino should replace him.</t>
  </si>
  <si>
    <t>TV</t>
  </si>
  <si>
    <t>station</t>
  </si>
  <si>
    <t>on</t>
  </si>
  <si>
    <t>Friday</t>
  </si>
  <si>
    <t>asked</t>
  </si>
  <si>
    <t>leave</t>
  </si>
  <si>
    <t>post</t>
  </si>
  <si>
    <t>recommended</t>
  </si>
  <si>
    <t>SBJ_3</t>
  </si>
  <si>
    <t>should</t>
  </si>
  <si>
    <t>replace</t>
  </si>
  <si>
    <t>him</t>
  </si>
  <si>
    <t># text = Do the smiles convince?</t>
  </si>
  <si>
    <t>Do</t>
  </si>
  <si>
    <t>smiles</t>
  </si>
  <si>
    <t>?</t>
  </si>
  <si>
    <t># text = This is a move that has mystified Moscow.</t>
  </si>
  <si>
    <t>This</t>
  </si>
  <si>
    <t>pron.pds</t>
  </si>
  <si>
    <t>move</t>
  </si>
  <si>
    <t>mystified</t>
  </si>
  <si>
    <t># text = Sergei Ivanov has long been one of Vladimir Putin's closest allies and, like him, served in the Soviet security service, the KGB.</t>
  </si>
  <si>
    <t>long</t>
  </si>
  <si>
    <t>one</t>
  </si>
  <si>
    <t>closest</t>
  </si>
  <si>
    <t>allies</t>
  </si>
  <si>
    <t>like</t>
  </si>
  <si>
    <t>Soviet</t>
  </si>
  <si>
    <t>security</t>
  </si>
  <si>
    <t>service</t>
  </si>
  <si>
    <t>KGB</t>
  </si>
  <si>
    <t># text = As chief of staff he was one of the most powerful men in the country.</t>
  </si>
  <si>
    <t>As</t>
  </si>
  <si>
    <t>was</t>
  </si>
  <si>
    <t>powerful</t>
  </si>
  <si>
    <t>men</t>
  </si>
  <si>
    <t>country</t>
  </si>
  <si>
    <t># text = In a meeting with President Putin shown on state television both men claimed that the chief of staff was stepping down at his own request.</t>
  </si>
  <si>
    <t>In</t>
  </si>
  <si>
    <t>meeting</t>
  </si>
  <si>
    <t>with</t>
  </si>
  <si>
    <t>shown</t>
  </si>
  <si>
    <t>television</t>
  </si>
  <si>
    <t>both</t>
  </si>
  <si>
    <t>claimed</t>
  </si>
  <si>
    <t>stepping</t>
  </si>
  <si>
    <t>down</t>
  </si>
  <si>
    <t>at</t>
  </si>
  <si>
    <t>own</t>
  </si>
  <si>
    <t>request</t>
  </si>
  <si>
    <t># text = But despite the smiles for the cameras, few here are convinced - especially now, just before parliamentary elections.</t>
  </si>
  <si>
    <t>But</t>
  </si>
  <si>
    <t>despite</t>
  </si>
  <si>
    <t>cameras</t>
  </si>
  <si>
    <t>few</t>
  </si>
  <si>
    <t>here</t>
  </si>
  <si>
    <t>convinced</t>
  </si>
  <si>
    <t>especially</t>
  </si>
  <si>
    <t>just</t>
  </si>
  <si>
    <t>before</t>
  </si>
  <si>
    <t>parliamentary</t>
  </si>
  <si>
    <t>elections</t>
  </si>
  <si>
    <t># text = So is this the fall-out from some kind of power struggle?</t>
  </si>
  <si>
    <t>So</t>
  </si>
  <si>
    <t>this</t>
  </si>
  <si>
    <t>fall</t>
  </si>
  <si>
    <t>out</t>
  </si>
  <si>
    <t>some</t>
  </si>
  <si>
    <t>kind</t>
  </si>
  <si>
    <t>power</t>
  </si>
  <si>
    <t>struggle</t>
  </si>
  <si>
    <t># text = No-one knows yet.</t>
  </si>
  <si>
    <t>No</t>
  </si>
  <si>
    <t>-one</t>
  </si>
  <si>
    <t>knows</t>
  </si>
  <si>
    <t>yet</t>
  </si>
  <si>
    <t># text = But the official claim - that a man once touted as a potential president, suddenly wanted to run Russia's environmental policy - has been met with great scepticism.</t>
  </si>
  <si>
    <t>official</t>
  </si>
  <si>
    <t>man</t>
  </si>
  <si>
    <t>once</t>
  </si>
  <si>
    <t>touted</t>
  </si>
  <si>
    <t>potential</t>
  </si>
  <si>
    <t>president</t>
  </si>
  <si>
    <t>suddenly</t>
  </si>
  <si>
    <t>wanted</t>
  </si>
  <si>
    <t>run</t>
  </si>
  <si>
    <t>policy</t>
  </si>
  <si>
    <t>met</t>
  </si>
  <si>
    <t>great</t>
  </si>
  <si>
    <t>scepticism</t>
  </si>
  <si>
    <t># text = In remarks to Mr Putin, quoted on the Kremlin website, Mr Ivanov said "it's true that in early 2012 I asked you, in a conversation, to entrust me with this very complicated post, even - you could say - troublesome post, for four years.</t>
  </si>
  <si>
    <t>remarks</t>
  </si>
  <si>
    <t>quoted</t>
  </si>
  <si>
    <t>it</t>
  </si>
  <si>
    <t>true</t>
  </si>
  <si>
    <t>early</t>
  </si>
  <si>
    <t>SBJ_4</t>
  </si>
  <si>
    <t>OBJ_4</t>
  </si>
  <si>
    <t>conversation</t>
  </si>
  <si>
    <t>entrust</t>
  </si>
  <si>
    <t>me</t>
  </si>
  <si>
    <t>very</t>
  </si>
  <si>
    <t>complicated</t>
  </si>
  <si>
    <t>def-np.dem</t>
  </si>
  <si>
    <t>even</t>
  </si>
  <si>
    <t>could</t>
  </si>
  <si>
    <t>troublesome</t>
  </si>
  <si>
    <t>four</t>
  </si>
  <si>
    <t># text = Well, it turns out that I've been presidential chief of staff for four years and eight months.</t>
  </si>
  <si>
    <t>Well</t>
  </si>
  <si>
    <t>turns</t>
  </si>
  <si>
    <t>'ve</t>
  </si>
  <si>
    <t>eight</t>
  </si>
  <si>
    <t>months</t>
  </si>
  <si>
    <t># text = Mr Ivanov took up the post in December 2011.</t>
  </si>
  <si>
    <t>took</t>
  </si>
  <si>
    <t>up</t>
  </si>
  <si>
    <t>December</t>
  </si>
  <si>
    <t>2011</t>
  </si>
  <si>
    <t># text = He served previously as a deputy prime minister and defence minister.</t>
  </si>
  <si>
    <t>He</t>
  </si>
  <si>
    <t>previously</t>
  </si>
  <si>
    <t>prime</t>
  </si>
  <si>
    <t>minister</t>
  </si>
  <si>
    <t>defence</t>
  </si>
  <si>
    <t># text = He is a member of the Russian Security Council and a former member of the KGB state security service, like Mr Putin.</t>
  </si>
  <si>
    <t>member</t>
  </si>
  <si>
    <t>Security</t>
  </si>
  <si>
    <t>Council</t>
  </si>
  <si>
    <t># text = In the late 1990s, when Mr Putin was head of the Federal Security Service (FSB), which replaced the KGB, Mr Ivanov was appointed as his deputy.</t>
  </si>
  <si>
    <t>late</t>
  </si>
  <si>
    <t>1990s</t>
  </si>
  <si>
    <t>when</t>
  </si>
  <si>
    <t>Federal</t>
  </si>
  <si>
    <t>Service</t>
  </si>
  <si>
    <t>FSB</t>
  </si>
  <si>
    <t>which</t>
  </si>
  <si>
    <t>replaced</t>
  </si>
  <si>
    <t># text = When Mr Putin came to power, he named Mr Ivanov as one of the five people he trusted most.</t>
  </si>
  <si>
    <t>When</t>
  </si>
  <si>
    <t>came</t>
  </si>
  <si>
    <t>named</t>
  </si>
  <si>
    <t>five</t>
  </si>
  <si>
    <t>people</t>
  </si>
  <si>
    <t># text = It was once thought that Mr Ivanov might become president of Russia after Mr Putin's second term, as a third term for Mr Putin would have been unconstitutional.</t>
  </si>
  <si>
    <t>It</t>
  </si>
  <si>
    <t>thought</t>
  </si>
  <si>
    <t>might</t>
  </si>
  <si>
    <t>after</t>
  </si>
  <si>
    <t>second</t>
  </si>
  <si>
    <t>term</t>
  </si>
  <si>
    <t>third</t>
  </si>
  <si>
    <t>would</t>
  </si>
  <si>
    <t>have</t>
  </si>
  <si>
    <t>unconstitutional</t>
  </si>
  <si>
    <t># text = But that post was taken by another close Putin ally, Dmitry Medvedev.</t>
  </si>
  <si>
    <t>taken</t>
  </si>
  <si>
    <t>by</t>
  </si>
  <si>
    <t>another</t>
  </si>
  <si>
    <t>close</t>
  </si>
  <si>
    <t>ally</t>
  </si>
  <si>
    <t>Dmitry</t>
  </si>
  <si>
    <t>Medvedev.</t>
  </si>
  <si>
    <t># text = Mr Putin became prime minister, before returning to the presidency just three-and-a-half years later.</t>
  </si>
  <si>
    <t>became</t>
  </si>
  <si>
    <t>returning</t>
  </si>
  <si>
    <t>presidency</t>
  </si>
  <si>
    <t>three</t>
  </si>
  <si>
    <t>half</t>
  </si>
  <si>
    <t>later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</si>
</sst>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>
        <f>IF(A2=1,"_",IF(C2="_","???",C2))</f>
        <v/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11</v>
      </c>
      <c r="C3" s="6" t="s">
        <v>12</v>
      </c>
      <c r="D3" s="7" t="s">
        <v>17</v>
      </c>
      <c r="E3" s="8" t="s">
        <v>18</v>
      </c>
      <c r="F3" s="6" t="s">
        <v>19</v>
      </c>
      <c r="G3" s="9">
        <f>IF(A3=1,"_",IF(C3="_","???",C3))</f>
        <v/>
      </c>
      <c r="H3" s="10" t="s">
        <v>12</v>
      </c>
      <c r="I3" s="11" t="s">
        <v>12</v>
      </c>
      <c r="J3" s="12"/>
    </row>
    <row r="4" spans="1:10" ht="60" customHeight="1">
      <c r="A4" s="6" t="s">
        <v>20</v>
      </c>
      <c r="B4" s="6" t="s">
        <v>21</v>
      </c>
      <c r="C4" s="6" t="s">
        <v>12</v>
      </c>
      <c r="D4" s="7" t="s">
        <v>22</v>
      </c>
      <c r="E4" s="8" t="s">
        <v>23</v>
      </c>
      <c r="F4" s="6" t="s">
        <v>24</v>
      </c>
      <c r="G4" s="9">
        <f>IF(A4=1,"_",IF(C4="_","???",C4))</f>
        <v/>
      </c>
      <c r="H4" s="10" t="s">
        <v>12</v>
      </c>
      <c r="I4" s="11" t="s">
        <v>12</v>
      </c>
      <c r="J4" s="12"/>
    </row>
    <row r="5" spans="1:10" ht="60" customHeight="1">
      <c r="A5" s="6" t="s">
        <v>11</v>
      </c>
      <c r="B5" s="6" t="s">
        <v>25</v>
      </c>
      <c r="C5" s="6" t="s">
        <v>26</v>
      </c>
      <c r="D5" s="7" t="s">
        <v>27</v>
      </c>
      <c r="E5" s="8" t="s">
        <v>28</v>
      </c>
      <c r="F5" s="6" t="s">
        <v>29</v>
      </c>
      <c r="G5" s="9">
        <f>IF(A5=1,"_",IF(C5="_","???",C5))</f>
        <v/>
      </c>
      <c r="H5" s="10" t="s">
        <v>12</v>
      </c>
      <c r="I5" s="11" t="s">
        <v>12</v>
      </c>
      <c r="J5" s="12"/>
    </row>
    <row r="6" spans="1:10" ht="60" customHeight="1">
      <c r="A6" s="6" t="s">
        <v>30</v>
      </c>
      <c r="B6" s="6" t="s">
        <v>31</v>
      </c>
      <c r="C6" s="6" t="s">
        <v>32</v>
      </c>
      <c r="D6" s="7" t="s">
        <v>33</v>
      </c>
      <c r="E6" s="8" t="s">
        <v>34</v>
      </c>
      <c r="F6" s="6" t="s">
        <v>35</v>
      </c>
      <c r="G6" s="9">
        <f>IF(A6=1,"_",IF(C6="_","???",C6))</f>
        <v/>
      </c>
      <c r="H6" s="10" t="s">
        <v>12</v>
      </c>
      <c r="I6" s="11" t="s">
        <v>12</v>
      </c>
      <c r="J6" s="12"/>
    </row>
    <row r="7" spans="1:10" ht="60" customHeight="1">
      <c r="A7" s="6" t="s">
        <v>25</v>
      </c>
      <c r="B7" s="6" t="s">
        <v>25</v>
      </c>
      <c r="C7" s="6" t="s">
        <v>12</v>
      </c>
      <c r="D7" s="7" t="s">
        <v>36</v>
      </c>
      <c r="E7" s="8" t="s">
        <v>37</v>
      </c>
      <c r="F7" s="6" t="s">
        <v>38</v>
      </c>
      <c r="G7" s="9">
        <f>IF(A7=1,"_",IF(C7="_","???",C7))</f>
        <v/>
      </c>
      <c r="H7" s="10" t="s">
        <v>12</v>
      </c>
      <c r="I7" s="11" t="s">
        <v>12</v>
      </c>
      <c r="J7" s="12"/>
    </row>
    <row r="8" spans="1:10" ht="60" customHeight="1">
      <c r="A8" s="6" t="s">
        <v>39</v>
      </c>
      <c r="B8" s="6" t="s">
        <v>10</v>
      </c>
      <c r="C8" s="6" t="s">
        <v>12</v>
      </c>
      <c r="D8" s="7" t="s">
        <v>40</v>
      </c>
      <c r="E8" s="8" t="s">
        <v>41</v>
      </c>
      <c r="F8" s="6" t="s">
        <v>42</v>
      </c>
      <c r="G8" s="9">
        <f>IF(A8=1,"_",IF(C8="_","???",C8))</f>
        <v/>
      </c>
      <c r="H8" s="10" t="s">
        <v>12</v>
      </c>
      <c r="I8" s="11" t="s">
        <v>12</v>
      </c>
      <c r="J8" s="12"/>
    </row>
    <row r="9" spans="1:10" ht="60" customHeight="1">
      <c r="A9" s="6" t="s">
        <v>43</v>
      </c>
      <c r="B9" s="6" t="s">
        <v>31</v>
      </c>
      <c r="C9" s="6" t="s">
        <v>44</v>
      </c>
      <c r="D9" s="7" t="s">
        <v>27</v>
      </c>
      <c r="E9" s="8" t="s">
        <v>45</v>
      </c>
      <c r="F9" s="6" t="s">
        <v>46</v>
      </c>
      <c r="G9" s="9">
        <f>IF(A9=1,"_",IF(C9="_","???",C9))</f>
        <v/>
      </c>
      <c r="H9" s="10" t="s">
        <v>12</v>
      </c>
      <c r="I9" s="11" t="s">
        <v>12</v>
      </c>
      <c r="J9" s="12"/>
    </row>
    <row r="10" spans="1:10" ht="60" customHeight="1">
      <c r="A10" s="6" t="s">
        <v>21</v>
      </c>
      <c r="B10" s="6" t="s">
        <v>25</v>
      </c>
      <c r="C10" s="6" t="s">
        <v>12</v>
      </c>
      <c r="D10" s="7" t="s">
        <v>47</v>
      </c>
      <c r="E10" s="8" t="s">
        <v>48</v>
      </c>
      <c r="F10" s="6" t="s">
        <v>49</v>
      </c>
      <c r="G10" s="9">
        <f>IF(A10=1,"_",IF(C10="_","???",C10))</f>
        <v/>
      </c>
      <c r="H10" s="10" t="s">
        <v>12</v>
      </c>
      <c r="I10" s="11" t="s">
        <v>12</v>
      </c>
      <c r="J10" s="12"/>
    </row>
    <row r="11" spans="1:10" ht="60" customHeight="1">
      <c r="A11" s="6" t="s">
        <v>50</v>
      </c>
      <c r="B11" s="6" t="s">
        <v>16</v>
      </c>
      <c r="C11" s="6" t="s">
        <v>12</v>
      </c>
      <c r="D11" s="7" t="s">
        <v>51</v>
      </c>
      <c r="E11" s="8" t="s">
        <v>52</v>
      </c>
      <c r="F11" s="6" t="s">
        <v>53</v>
      </c>
      <c r="G11" s="9">
        <f>IF(A11=1,"_",IF(C11="_","???",C11))</f>
        <v/>
      </c>
      <c r="H11" s="10" t="s">
        <v>12</v>
      </c>
      <c r="I11" s="11" t="s">
        <v>12</v>
      </c>
      <c r="J11" s="12"/>
    </row>
    <row r="12" spans="1:10" ht="60" customHeight="1">
      <c r="A12" s="6" t="s">
        <v>54</v>
      </c>
      <c r="B12" s="6" t="s">
        <v>55</v>
      </c>
      <c r="C12" s="6" t="s">
        <v>56</v>
      </c>
      <c r="D12" s="7" t="s">
        <v>57</v>
      </c>
      <c r="E12" s="8" t="s">
        <v>58</v>
      </c>
      <c r="F12" s="6" t="s">
        <v>59</v>
      </c>
      <c r="G12" s="9">
        <f>IF(A12=1,"_",IF(C12="_","???",C12))</f>
        <v/>
      </c>
      <c r="H12" s="10" t="s">
        <v>12</v>
      </c>
      <c r="I12" s="11" t="s">
        <v>12</v>
      </c>
      <c r="J12" s="12"/>
    </row>
    <row r="13" spans="1:10" ht="60" customHeight="1">
      <c r="A13" s="6" t="s">
        <v>60</v>
      </c>
      <c r="B13" s="6" t="s">
        <v>11</v>
      </c>
      <c r="C13" s="6" t="s">
        <v>12</v>
      </c>
      <c r="D13" s="7" t="s">
        <v>61</v>
      </c>
      <c r="E13" s="8" t="s">
        <v>62</v>
      </c>
      <c r="F13" s="6" t="s">
        <v>63</v>
      </c>
      <c r="G13" s="9">
        <f>IF(A13=1,"_",IF(C13="_","???",C13))</f>
        <v/>
      </c>
      <c r="H13" s="10" t="s">
        <v>12</v>
      </c>
      <c r="I13" s="11" t="s">
        <v>12</v>
      </c>
      <c r="J13" s="12"/>
    </row>
    <row r="14" spans="1:10" ht="60" customHeight="1">
      <c r="A14" s="6" t="s">
        <v>31</v>
      </c>
      <c r="B14" s="6" t="s">
        <v>16</v>
      </c>
      <c r="C14" s="6" t="s">
        <v>12</v>
      </c>
      <c r="D14" s="7" t="s">
        <v>64</v>
      </c>
      <c r="E14" s="8" t="s">
        <v>65</v>
      </c>
      <c r="F14" s="6" t="s">
        <v>66</v>
      </c>
      <c r="G14" s="9">
        <f>IF(A14=1,"_",IF(C14="_","???",C14))</f>
        <v/>
      </c>
      <c r="H14" s="10" t="s">
        <v>12</v>
      </c>
      <c r="I14" s="11" t="s">
        <v>12</v>
      </c>
      <c r="J14" s="12"/>
    </row>
    <row r="15" spans="1:10" ht="60" customHeight="1">
      <c r="A15" s="6" t="s">
        <v>55</v>
      </c>
      <c r="B15" s="6" t="s">
        <v>30</v>
      </c>
      <c r="C15" s="6" t="s">
        <v>56</v>
      </c>
      <c r="D15" s="7" t="s">
        <v>67</v>
      </c>
      <c r="E15" s="8" t="s">
        <v>68</v>
      </c>
      <c r="F15" s="6" t="s">
        <v>69</v>
      </c>
      <c r="G15" s="9">
        <f>IF(A15=1,"_",IF(C15="_","???",C15))</f>
        <v/>
      </c>
      <c r="H15" s="10" t="s">
        <v>12</v>
      </c>
      <c r="I15" s="11" t="s">
        <v>12</v>
      </c>
      <c r="J15" s="12"/>
    </row>
    <row r="16" spans="1:10" ht="60" customHeight="1">
      <c r="A16" s="6" t="s">
        <v>70</v>
      </c>
      <c r="B16" s="6" t="s">
        <v>25</v>
      </c>
      <c r="C16" s="6" t="s">
        <v>32</v>
      </c>
      <c r="D16" s="7" t="s">
        <v>67</v>
      </c>
      <c r="E16" s="8" t="s">
        <v>71</v>
      </c>
      <c r="F16" s="6" t="s">
        <v>72</v>
      </c>
      <c r="G16" s="9">
        <f>IF(A16=1,"_",IF(C16="_","???",C16))</f>
        <v/>
      </c>
      <c r="H16" s="10" t="s">
        <v>12</v>
      </c>
      <c r="I16" s="11" t="s">
        <v>12</v>
      </c>
      <c r="J16" s="12"/>
    </row>
    <row r="17" spans="1:10" ht="60" customHeight="1">
      <c r="A17" s="6" t="s">
        <v>73</v>
      </c>
      <c r="B17" s="6" t="s">
        <v>31</v>
      </c>
      <c r="C17" s="6" t="s">
        <v>12</v>
      </c>
      <c r="D17" s="7" t="s">
        <v>74</v>
      </c>
      <c r="E17" s="8" t="s">
        <v>75</v>
      </c>
      <c r="F17" s="6" t="s">
        <v>76</v>
      </c>
      <c r="G17" s="9">
        <f>IF(A17=1,"_",IF(C17="_","???",C17))</f>
        <v/>
      </c>
      <c r="H17" s="10" t="s">
        <v>12</v>
      </c>
      <c r="I17" s="11" t="s">
        <v>12</v>
      </c>
      <c r="J17" s="12"/>
    </row>
    <row r="18" spans="1:10" ht="60" customHeight="1">
      <c r="A18" s="6" t="s">
        <v>77</v>
      </c>
      <c r="B18" s="6" t="s">
        <v>54</v>
      </c>
      <c r="C18" s="6" t="s">
        <v>78</v>
      </c>
      <c r="D18" s="7" t="s">
        <v>79</v>
      </c>
      <c r="E18" s="8" t="s">
        <v>80</v>
      </c>
      <c r="F18" s="6" t="s">
        <v>81</v>
      </c>
      <c r="G18" s="9">
        <f>IF(A18=1,"_",IF(C18="_","???",C18))</f>
        <v/>
      </c>
      <c r="H18" s="10" t="s">
        <v>12</v>
      </c>
      <c r="I18" s="11" t="s">
        <v>12</v>
      </c>
      <c r="J18" s="12"/>
    </row>
    <row r="19" spans="1:10" ht="60" customHeight="1">
      <c r="A19" s="6" t="s">
        <v>82</v>
      </c>
      <c r="B19" s="6" t="s">
        <v>16</v>
      </c>
      <c r="C19" s="6" t="s">
        <v>83</v>
      </c>
      <c r="D19" s="7" t="s">
        <v>84</v>
      </c>
      <c r="E19" s="8" t="s">
        <v>85</v>
      </c>
      <c r="F19" s="6" t="s">
        <v>86</v>
      </c>
      <c r="G19" s="9">
        <f>IF(A19=1,"_",IF(C19="_","???",C19))</f>
        <v/>
      </c>
      <c r="H19" s="10" t="s">
        <v>12</v>
      </c>
      <c r="I19" s="11" t="s">
        <v>12</v>
      </c>
      <c r="J19" s="12"/>
    </row>
    <row r="20" spans="1:10" ht="60" customHeight="1">
      <c r="A20" s="6" t="s">
        <v>87</v>
      </c>
      <c r="B20" s="6" t="s">
        <v>20</v>
      </c>
      <c r="C20" s="6" t="s">
        <v>88</v>
      </c>
      <c r="D20" s="7" t="s">
        <v>89</v>
      </c>
      <c r="E20" s="8" t="s">
        <v>90</v>
      </c>
      <c r="F20" s="6" t="s">
        <v>91</v>
      </c>
      <c r="G20" s="9">
        <f>IF(A20=1,"_",IF(C20="_","???",C20))</f>
        <v/>
      </c>
      <c r="H20" s="10" t="s">
        <v>12</v>
      </c>
      <c r="I20" s="11" t="s">
        <v>12</v>
      </c>
      <c r="J20" s="12"/>
    </row>
    <row r="21" spans="1:10" ht="60" customHeight="1">
      <c r="A21" s="6" t="s">
        <v>92</v>
      </c>
      <c r="B21" s="6" t="s">
        <v>11</v>
      </c>
      <c r="C21" s="6" t="s">
        <v>26</v>
      </c>
      <c r="D21" s="7" t="s">
        <v>93</v>
      </c>
      <c r="E21" s="8" t="s">
        <v>94</v>
      </c>
      <c r="F21" s="6" t="s">
        <v>95</v>
      </c>
      <c r="G21" s="9">
        <f>IF(A21=1,"_",IF(C21="_","???",C21))</f>
        <v/>
      </c>
      <c r="H21" s="10" t="s">
        <v>12</v>
      </c>
      <c r="I21" s="11" t="s">
        <v>12</v>
      </c>
      <c r="J21" s="12"/>
    </row>
    <row r="22" spans="1:10" ht="60" customHeight="1">
      <c r="A22" s="6" t="s">
        <v>96</v>
      </c>
      <c r="B22" s="6" t="s">
        <v>39</v>
      </c>
      <c r="C22" s="6" t="s">
        <v>12</v>
      </c>
      <c r="D22" s="7" t="s">
        <v>97</v>
      </c>
      <c r="E22" s="8" t="s">
        <v>98</v>
      </c>
      <c r="F22" s="6" t="s">
        <v>99</v>
      </c>
      <c r="G22" s="9">
        <f>IF(A22=1,"_",IF(C22="_","???",C22))</f>
        <v/>
      </c>
      <c r="H22" s="10" t="s">
        <v>12</v>
      </c>
      <c r="I22" s="11" t="s">
        <v>12</v>
      </c>
      <c r="J22" s="12"/>
    </row>
    <row r="23" spans="1:10" ht="60" customHeight="1">
      <c r="A23" s="6" t="s">
        <v>100</v>
      </c>
      <c r="B23" s="6" t="s">
        <v>11</v>
      </c>
      <c r="C23" s="6" t="s">
        <v>12</v>
      </c>
      <c r="D23" s="7" t="s">
        <v>101</v>
      </c>
      <c r="E23" s="8" t="s">
        <v>102</v>
      </c>
      <c r="F23" s="6" t="s">
        <v>103</v>
      </c>
      <c r="G23" s="9">
        <f>IF(A23=1,"_",IF(C23="_","???",C23))</f>
        <v/>
      </c>
      <c r="H23" s="10" t="s">
        <v>12</v>
      </c>
      <c r="I23" s="11" t="s">
        <v>12</v>
      </c>
      <c r="J23" s="12"/>
    </row>
    <row r="24" spans="1:10" ht="60" customHeight="1">
      <c r="A24" s="6" t="s">
        <v>104</v>
      </c>
      <c r="B24" s="6" t="s">
        <v>20</v>
      </c>
      <c r="C24" s="6" t="s">
        <v>12</v>
      </c>
      <c r="D24" s="7" t="s">
        <v>105</v>
      </c>
      <c r="E24" s="8" t="s">
        <v>106</v>
      </c>
      <c r="F24" s="6" t="s">
        <v>107</v>
      </c>
      <c r="G24" s="9">
        <f>IF(A24=1,"_",IF(C24="_","???",C24))</f>
        <v/>
      </c>
      <c r="H24" s="10" t="s">
        <v>12</v>
      </c>
      <c r="I24" s="11" t="s">
        <v>12</v>
      </c>
      <c r="J24" s="12"/>
    </row>
    <row r="25" spans="1:10" ht="60" customHeight="1">
      <c r="A25" s="6" t="s">
        <v>108</v>
      </c>
      <c r="B25" s="6" t="s">
        <v>16</v>
      </c>
      <c r="C25" s="6" t="s">
        <v>109</v>
      </c>
      <c r="D25" s="7" t="s">
        <v>110</v>
      </c>
      <c r="E25" s="8" t="s">
        <v>111</v>
      </c>
      <c r="F25" s="6" t="s">
        <v>112</v>
      </c>
      <c r="G25" s="9">
        <f>IF(A25=1,"_",IF(C25="_","???",C25))</f>
        <v/>
      </c>
      <c r="H25" s="10" t="s">
        <v>12</v>
      </c>
      <c r="I25" s="11" t="s">
        <v>12</v>
      </c>
      <c r="J25" s="12"/>
    </row>
    <row r="26" spans="1:10" ht="60" customHeight="1">
      <c r="A26" s="6" t="s">
        <v>113</v>
      </c>
      <c r="B26" s="6" t="s">
        <v>16</v>
      </c>
      <c r="C26" s="6" t="s">
        <v>56</v>
      </c>
      <c r="D26" s="7" t="s">
        <v>114</v>
      </c>
      <c r="E26" s="8" t="s">
        <v>115</v>
      </c>
      <c r="F26" s="6" t="s">
        <v>116</v>
      </c>
      <c r="G26" s="9">
        <f>IF(A26=1,"_",IF(C26="_","???",C26))</f>
        <v/>
      </c>
      <c r="H26" s="10" t="s">
        <v>12</v>
      </c>
      <c r="I26" s="11" t="s">
        <v>12</v>
      </c>
      <c r="J26" s="12"/>
    </row>
    <row r="27" spans="1:10" ht="60" customHeight="1">
      <c r="A27" s="6" t="s">
        <v>117</v>
      </c>
      <c r="B27" s="6" t="s">
        <v>118</v>
      </c>
      <c r="C27" s="6" t="s">
        <v>119</v>
      </c>
      <c r="D27" s="7" t="s">
        <v>33</v>
      </c>
      <c r="E27" s="8" t="s">
        <v>120</v>
      </c>
      <c r="F27" s="6" t="s">
        <v>121</v>
      </c>
      <c r="G27" s="9">
        <f>IF(A27=1,"_",IF(C27="_","???",C27))</f>
        <v/>
      </c>
      <c r="H27" s="10" t="s">
        <v>12</v>
      </c>
      <c r="I27" s="11" t="s">
        <v>12</v>
      </c>
      <c r="J27" s="12"/>
    </row>
    <row r="28" spans="1:10" ht="60" customHeight="1">
      <c r="A28" s="6" t="s">
        <v>122</v>
      </c>
      <c r="B28" s="6" t="s">
        <v>21</v>
      </c>
      <c r="C28" s="6" t="s">
        <v>119</v>
      </c>
      <c r="D28" s="7" t="s">
        <v>123</v>
      </c>
      <c r="E28" s="8" t="s">
        <v>124</v>
      </c>
      <c r="F28" s="6" t="s">
        <v>125</v>
      </c>
      <c r="G28" s="9">
        <f>IF(A28=1,"_",IF(C28="_","???",C28))</f>
        <v/>
      </c>
      <c r="H28" s="10" t="s">
        <v>12</v>
      </c>
      <c r="I28" s="11" t="s">
        <v>12</v>
      </c>
      <c r="J28" s="12"/>
    </row>
    <row r="29" spans="1:10" ht="60" customHeight="1">
      <c r="A29" s="6" t="s">
        <v>118</v>
      </c>
      <c r="B29" s="6" t="s">
        <v>11</v>
      </c>
      <c r="C29" s="6" t="s">
        <v>126</v>
      </c>
      <c r="D29" s="7" t="s">
        <v>51</v>
      </c>
      <c r="E29" s="8" t="s">
        <v>127</v>
      </c>
      <c r="F29" s="6" t="s">
        <v>128</v>
      </c>
      <c r="G29" s="9">
        <f>IF(A29=1,"_",IF(C29="_","???",C29))</f>
        <v/>
      </c>
      <c r="H29" s="10" t="s">
        <v>12</v>
      </c>
      <c r="I29" s="11" t="s">
        <v>12</v>
      </c>
      <c r="J29" s="12"/>
    </row>
    <row r="30" spans="1:10" ht="60" customHeight="1">
      <c r="A30" s="6" t="s">
        <v>129</v>
      </c>
      <c r="B30" s="6" t="s">
        <v>30</v>
      </c>
      <c r="C30" s="6" t="s">
        <v>26</v>
      </c>
      <c r="D30" s="7" t="s">
        <v>105</v>
      </c>
      <c r="E30" s="8" t="s">
        <v>130</v>
      </c>
      <c r="F30" s="6" t="s">
        <v>131</v>
      </c>
      <c r="G30" s="9">
        <f>IF(A30=1,"_",IF(C30="_","???",C30))</f>
        <v/>
      </c>
      <c r="H30" s="10" t="s">
        <v>12</v>
      </c>
      <c r="I30" s="11" t="s">
        <v>12</v>
      </c>
      <c r="J30" s="12"/>
    </row>
    <row r="31" spans="1:10" ht="60" customHeight="1">
      <c r="A31" s="6" t="s">
        <v>132</v>
      </c>
      <c r="B31" s="6" t="s">
        <v>20</v>
      </c>
      <c r="C31" s="6" t="s">
        <v>44</v>
      </c>
      <c r="D31" s="7" t="s">
        <v>133</v>
      </c>
      <c r="E31" s="8" t="s">
        <v>134</v>
      </c>
      <c r="F31" s="6" t="s">
        <v>135</v>
      </c>
      <c r="G31" s="9">
        <f>IF(A31=1,"_",IF(C31="_","???",C31))</f>
        <v/>
      </c>
      <c r="H31" s="10" t="s">
        <v>12</v>
      </c>
      <c r="I31" s="11" t="s">
        <v>12</v>
      </c>
      <c r="J31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9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136</v>
      </c>
      <c r="B1" s="13" t="s">
        <v>137</v>
      </c>
      <c r="C1" s="13" t="s">
        <v>138</v>
      </c>
      <c r="D1" s="13" t="s">
        <v>139</v>
      </c>
      <c r="E1" s="14" t="s">
        <v>140</v>
      </c>
      <c r="F1" s="15" t="s">
        <v>141</v>
      </c>
      <c r="G1" s="16" t="s">
        <v>142</v>
      </c>
      <c r="H1" s="17" t="s">
        <v>143</v>
      </c>
      <c r="I1" s="18" t="s">
        <v>144</v>
      </c>
      <c r="J1" s="18" t="s">
        <v>145</v>
      </c>
      <c r="K1" s="18" t="s">
        <v>146</v>
      </c>
      <c r="L1" s="19" t="s">
        <v>9</v>
      </c>
    </row>
    <row r="2" spans="1:12">
      <c r="A2" s="20" t="s">
        <v>147</v>
      </c>
    </row>
    <row r="3" spans="1:12">
      <c r="A3" s="20" t="s">
        <v>148</v>
      </c>
      <c r="B3" s="21" t="s">
        <v>149</v>
      </c>
      <c r="C3" s="21" t="s">
        <v>150</v>
      </c>
      <c r="D3" s="21" t="s">
        <v>151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152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153</v>
      </c>
      <c r="B5" s="21" t="s">
        <v>154</v>
      </c>
      <c r="C5" s="21" t="s">
        <v>150</v>
      </c>
      <c r="D5" s="21" t="s">
        <v>151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155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156</v>
      </c>
      <c r="B7" s="21" t="s">
        <v>157</v>
      </c>
      <c r="C7" s="21" t="s">
        <v>158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159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160</v>
      </c>
      <c r="B9" s="21" t="s">
        <v>149</v>
      </c>
      <c r="C9" s="21" t="s">
        <v>158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161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162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163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164</v>
      </c>
      <c r="B13" s="21" t="s">
        <v>149</v>
      </c>
      <c r="C13" s="21" t="s">
        <v>150</v>
      </c>
      <c r="D13" s="21" t="s">
        <v>151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165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153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166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167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168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169</v>
      </c>
      <c r="B19" s="21" t="s">
        <v>170</v>
      </c>
      <c r="C19" s="21" t="s">
        <v>171</v>
      </c>
      <c r="D19" s="21" t="s">
        <v>151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156</v>
      </c>
      <c r="B20" s="21" t="s">
        <v>172</v>
      </c>
      <c r="C20" s="21" t="s">
        <v>173</v>
      </c>
      <c r="D20" s="21" t="s">
        <v>151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159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160</v>
      </c>
      <c r="B22" s="21" t="s">
        <v>170</v>
      </c>
      <c r="C22" s="21" t="s">
        <v>158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161</v>
      </c>
      <c r="B23" s="21" t="s">
        <v>170</v>
      </c>
      <c r="C23" s="21" t="s">
        <v>150</v>
      </c>
      <c r="D23" s="21" t="s">
        <v>151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174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/>
    </row>
    <row r="26" spans="1:12">
      <c r="A26" s="20" t="s">
        <v>175</v>
      </c>
    </row>
    <row r="27" spans="1:12">
      <c r="A27" s="20" t="s">
        <v>176</v>
      </c>
      <c r="B27" s="21" t="s">
        <v>154</v>
      </c>
      <c r="C27" s="21" t="s">
        <v>150</v>
      </c>
      <c r="D27" s="21" t="s">
        <v>151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162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166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177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178</v>
      </c>
      <c r="B31" s="21" t="s">
        <v>179</v>
      </c>
      <c r="C31" s="21" t="s">
        <v>173</v>
      </c>
      <c r="D31" s="21" t="s">
        <v>151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 t="s">
        <v>159</v>
      </c>
      <c r="E32" s="22">
        <f>IF(D32="?OLD","!!!","")</f>
        <v/>
      </c>
      <c r="F32" s="23" t="str">
        <f>IF(OR(E32="",E32="!!!"),"",IF(NOT(ISNA(VLOOKUP(E32,E$1:E31,1,FALSE()))),"OLD",IF(AND(E32&lt;&gt;"",E32&lt;&gt;"!!!"),"NEW","")))</f>
        <v> </v>
      </c>
      <c r="G32" s="24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5" t="str">
        <f>IF(J32&lt;&gt;1,"",IF(I32="SBJ","CB","?"))</f>
        <v> </v>
      </c>
      <c r="I32" s="26" t="str">
        <f>IF(OR(E32="",E32="!!!",F32="NEW"),"",INDEX(B31:B$2,-1+SUMPRODUCT(MAX(ROW(E31:E$2)*(E32=E31:E$2)))))</f>
        <v> </v>
      </c>
      <c r="J32" s="26" t="str">
        <f>IF(OR(E32="",E32="!!!",F32="NEW"),"",COUNTBLANK(OFFSET(A$1,,,SUMPRODUCT(MAX(ROW(E$2:E32)*(E32=E$2:E32)))))-COUNTBLANK(OFFSET(A$1,,,SUMPRODUCT(MAX(ROW(E$1:E31)*(E2=E$1:E31))))))</f>
        <v> </v>
      </c>
      <c r="K32" s="26" t="str">
        <f>IF(OR(E32="",E32="!!!",F32="NEW"),"",INDEX(J$1:J31,SUMPRODUCT(MAX(ROW(E$1:E31)*(E32=E$1:E31)))))</f>
        <v> </v>
      </c>
      <c r="L32" s="27"/>
    </row>
    <row r="33" spans="1:12">
      <c r="A33" s="20" t="s">
        <v>176</v>
      </c>
      <c r="B33" s="21" t="s">
        <v>149</v>
      </c>
      <c r="C33" s="21" t="s">
        <v>150</v>
      </c>
      <c r="D33" s="21" t="s">
        <v>151</v>
      </c>
      <c r="E33" s="22">
        <f>IF(D33="?OLD","!!!","")</f>
        <v/>
      </c>
      <c r="F33" s="23" t="str">
        <f>IF(OR(E33="",E33="!!!"),"",IF(NOT(ISNA(VLOOKUP(E33,E$1:E32,1,FALSE()))),"OLD",IF(AND(E33&lt;&gt;"",E33&lt;&gt;"!!!"),"NEW","")))</f>
        <v> </v>
      </c>
      <c r="G33" s="24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5" t="str">
        <f>IF(J33&lt;&gt;1,"",IF(I33="SBJ","CB","?"))</f>
        <v> </v>
      </c>
      <c r="I33" s="26" t="str">
        <f>IF(OR(E33="",E33="!!!",F33="NEW"),"",INDEX(B32:B$2,-1+SUMPRODUCT(MAX(ROW(E32:E$2)*(E33=E32:E$2)))))</f>
        <v> </v>
      </c>
      <c r="J33" s="26" t="str">
        <f>IF(OR(E33="",E33="!!!",F33="NEW"),"",COUNTBLANK(OFFSET(A$1,,,SUMPRODUCT(MAX(ROW(E$2:E33)*(E33=E$2:E33)))))-COUNTBLANK(OFFSET(A$1,,,SUMPRODUCT(MAX(ROW(E$1:E32)*(E2=E$1:E32))))))</f>
        <v> </v>
      </c>
      <c r="K33" s="26" t="str">
        <f>IF(OR(E33="",E33="!!!",F33="NEW"),"",INDEX(J$1:J32,SUMPRODUCT(MAX(ROW(E$1:E32)*(E33=E$1:E32)))))</f>
        <v> </v>
      </c>
      <c r="L33" s="27"/>
    </row>
    <row r="34" spans="1:12">
      <c r="A34" s="20" t="s">
        <v>153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152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180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181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182</v>
      </c>
      <c r="B38" s="21" t="s">
        <v>179</v>
      </c>
      <c r="C38" s="21" t="s">
        <v>173</v>
      </c>
      <c r="D38" s="21" t="s">
        <v>151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183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184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 t="s">
        <v>185</v>
      </c>
      <c r="B41" s="21" t="s">
        <v>149</v>
      </c>
      <c r="C41" s="21" t="s">
        <v>186</v>
      </c>
      <c r="E41" s="22">
        <f>IF(D41="?OLD","!!!","")</f>
        <v/>
      </c>
      <c r="F41" s="23" t="str">
        <f>IF(OR(E41="",E41="!!!"),"",IF(NOT(ISNA(VLOOKUP(E41,E$1:E40,1,FALSE()))),"OLD",IF(AND(E41&lt;&gt;"",E41&lt;&gt;"!!!"),"NEW","")))</f>
        <v> </v>
      </c>
      <c r="G41" s="24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5" t="str">
        <f>IF(J41&lt;&gt;1,"",IF(I41="SBJ","CB","?"))</f>
        <v> </v>
      </c>
      <c r="I41" s="26" t="str">
        <f>IF(OR(E41="",E41="!!!",F41="NEW"),"",INDEX(B40:B$2,-1+SUMPRODUCT(MAX(ROW(E40:E$2)*(E41=E40:E$2)))))</f>
        <v> </v>
      </c>
      <c r="J41" s="26" t="str">
        <f>IF(OR(E41="",E41="!!!",F41="NEW"),"",COUNTBLANK(OFFSET(A$1,,,SUMPRODUCT(MAX(ROW(E$2:E41)*(E41=E$2:E41)))))-COUNTBLANK(OFFSET(A$1,,,SUMPRODUCT(MAX(ROW(E$1:E40)*(E2=E$1:E40))))))</f>
        <v> </v>
      </c>
      <c r="K41" s="26" t="str">
        <f>IF(OR(E41="",E41="!!!",F41="NEW"),"",INDEX(J$1:J40,SUMPRODUCT(MAX(ROW(E$1:E40)*(E41=E$1:E40)))))</f>
        <v> </v>
      </c>
      <c r="L41" s="27"/>
    </row>
    <row r="42" spans="1:12">
      <c r="A42" s="20" t="s">
        <v>187</v>
      </c>
      <c r="E42" s="22">
        <f>IF(D42="?OLD","!!!","")</f>
        <v/>
      </c>
      <c r="F42" s="23" t="str">
        <f>IF(OR(E42="",E42="!!!"),"",IF(NOT(ISNA(VLOOKUP(E42,E$1:E41,1,FALSE()))),"OLD",IF(AND(E42&lt;&gt;"",E42&lt;&gt;"!!!"),"NEW","")))</f>
        <v> </v>
      </c>
      <c r="G42" s="24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5" t="str">
        <f>IF(J42&lt;&gt;1,"",IF(I42="SBJ","CB","?"))</f>
        <v> </v>
      </c>
      <c r="I42" s="26" t="str">
        <f>IF(OR(E42="",E42="!!!",F42="NEW"),"",INDEX(B41:B$2,-1+SUMPRODUCT(MAX(ROW(E41:E$2)*(E42=E41:E$2)))))</f>
        <v> </v>
      </c>
      <c r="J42" s="26" t="str">
        <f>IF(OR(E42="",E42="!!!",F42="NEW"),"",COUNTBLANK(OFFSET(A$1,,,SUMPRODUCT(MAX(ROW(E$2:E42)*(E42=E$2:E42)))))-COUNTBLANK(OFFSET(A$1,,,SUMPRODUCT(MAX(ROW(E$1:E41)*(E2=E$1:E41))))))</f>
        <v> </v>
      </c>
      <c r="K42" s="26" t="str">
        <f>IF(OR(E42="",E42="!!!",F42="NEW"),"",INDEX(J$1:J41,SUMPRODUCT(MAX(ROW(E$1:E41)*(E42=E$1:E41)))))</f>
        <v> </v>
      </c>
      <c r="L42" s="27"/>
    </row>
    <row r="43" spans="1:12">
      <c r="A43" s="20"/>
    </row>
    <row r="44" spans="1:12">
      <c r="A44" s="20" t="s">
        <v>188</v>
      </c>
    </row>
    <row r="45" spans="1:12">
      <c r="A45" s="20" t="s">
        <v>189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190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191</v>
      </c>
      <c r="B47" s="21" t="s">
        <v>154</v>
      </c>
      <c r="C47" s="21" t="s">
        <v>192</v>
      </c>
      <c r="D47" s="21" t="s">
        <v>151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12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193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166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194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177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195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196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197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198</v>
      </c>
      <c r="B56" s="21" t="s">
        <v>157</v>
      </c>
      <c r="C56" s="21" t="s">
        <v>199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183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200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201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202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203</v>
      </c>
      <c r="B61" s="21" t="s">
        <v>149</v>
      </c>
      <c r="C61" s="21" t="s">
        <v>158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187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/>
    </row>
    <row r="64" spans="1:12">
      <c r="A64" s="20" t="s">
        <v>204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205</v>
      </c>
    </row>
    <row r="66" spans="1:12">
      <c r="A66" s="20" t="s">
        <v>206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207</v>
      </c>
      <c r="B67" s="21" t="s">
        <v>154</v>
      </c>
      <c r="C67" s="21" t="s">
        <v>199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 t="s">
        <v>208</v>
      </c>
      <c r="E68" s="22">
        <f>IF(D68="?OLD","!!!","")</f>
        <v/>
      </c>
      <c r="F68" s="23" t="str">
        <f>IF(OR(E68="",E68="!!!"),"",IF(NOT(ISNA(VLOOKUP(E68,E$1:E67,1,FALSE()))),"OLD",IF(AND(E68&lt;&gt;"",E68&lt;&gt;"!!!"),"NEW","")))</f>
        <v> </v>
      </c>
      <c r="G68" s="24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5" t="str">
        <f>IF(J68&lt;&gt;1,"",IF(I68="SBJ","CB","?"))</f>
        <v> </v>
      </c>
      <c r="I68" s="26" t="str">
        <f>IF(OR(E68="",E68="!!!",F68="NEW"),"",INDEX(B67:B$2,-1+SUMPRODUCT(MAX(ROW(E67:E$2)*(E68=E67:E$2)))))</f>
        <v> </v>
      </c>
      <c r="J68" s="26" t="str">
        <f>IF(OR(E68="",E68="!!!",F68="NEW"),"",COUNTBLANK(OFFSET(A$1,,,SUMPRODUCT(MAX(ROW(E$2:E68)*(E68=E$2:E68)))))-COUNTBLANK(OFFSET(A$1,,,SUMPRODUCT(MAX(ROW(E$1:E67)*(E2=E$1:E67))))))</f>
        <v> </v>
      </c>
      <c r="K68" s="26" t="str">
        <f>IF(OR(E68="",E68="!!!",F68="NEW"),"",INDEX(J$1:J67,SUMPRODUCT(MAX(ROW(E$1:E67)*(E68=E$1:E67)))))</f>
        <v> </v>
      </c>
      <c r="L68" s="27"/>
    </row>
    <row r="69" spans="1:12">
      <c r="A69" s="20" t="s">
        <v>209</v>
      </c>
      <c r="E69" s="22">
        <f>IF(D69="?OLD","!!!","")</f>
        <v/>
      </c>
      <c r="F69" s="23" t="str">
        <f>IF(OR(E69="",E69="!!!"),"",IF(NOT(ISNA(VLOOKUP(E69,E$1:E68,1,FALSE()))),"OLD",IF(AND(E69&lt;&gt;"",E69&lt;&gt;"!!!"),"NEW","")))</f>
        <v> </v>
      </c>
      <c r="G69" s="24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5" t="str">
        <f>IF(J69&lt;&gt;1,"",IF(I69="SBJ","CB","?"))</f>
        <v> </v>
      </c>
      <c r="I69" s="26" t="str">
        <f>IF(OR(E69="",E69="!!!",F69="NEW"),"",INDEX(B68:B$2,-1+SUMPRODUCT(MAX(ROW(E68:E$2)*(E69=E68:E$2)))))</f>
        <v> </v>
      </c>
      <c r="J69" s="26" t="str">
        <f>IF(OR(E69="",E69="!!!",F69="NEW"),"",COUNTBLANK(OFFSET(A$1,,,SUMPRODUCT(MAX(ROW(E$2:E69)*(E69=E$2:E69)))))-COUNTBLANK(OFFSET(A$1,,,SUMPRODUCT(MAX(ROW(E$1:E68)*(E2=E$1:E68))))))</f>
        <v> </v>
      </c>
      <c r="K69" s="26" t="str">
        <f>IF(OR(E69="",E69="!!!",F69="NEW"),"",INDEX(J$1:J68,SUMPRODUCT(MAX(ROW(E$1:E68)*(E69=E$1:E68)))))</f>
        <v> </v>
      </c>
      <c r="L69" s="27"/>
    </row>
    <row r="70" spans="1:12">
      <c r="A70" s="20" t="s">
        <v>210</v>
      </c>
      <c r="B70" s="21" t="s">
        <v>149</v>
      </c>
      <c r="C70" s="21" t="s">
        <v>150</v>
      </c>
      <c r="D70" s="21" t="s">
        <v>151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211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212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176</v>
      </c>
      <c r="B73" s="21" t="s">
        <v>213</v>
      </c>
      <c r="C73" s="21" t="s">
        <v>150</v>
      </c>
      <c r="D73" s="21" t="s">
        <v>151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153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214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215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216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217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218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162</v>
      </c>
      <c r="B80" s="21" t="s">
        <v>219</v>
      </c>
      <c r="C80" s="21" t="s">
        <v>150</v>
      </c>
      <c r="D80" s="21" t="s">
        <v>151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159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169</v>
      </c>
      <c r="B82" s="21" t="s">
        <v>220</v>
      </c>
      <c r="C82" s="21" t="s">
        <v>171</v>
      </c>
      <c r="D82" s="21" t="s">
        <v>151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221</v>
      </c>
      <c r="B83" s="21" t="s">
        <v>222</v>
      </c>
      <c r="C83" s="21" t="s">
        <v>173</v>
      </c>
      <c r="D83" s="21" t="s">
        <v>151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223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224</v>
      </c>
      <c r="B85" s="21" t="s">
        <v>170</v>
      </c>
      <c r="C85" s="21" t="s">
        <v>158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 t="s">
        <v>159</v>
      </c>
      <c r="E86" s="22">
        <f>IF(D86="?OLD","!!!","")</f>
        <v/>
      </c>
      <c r="F86" s="23" t="str">
        <f>IF(OR(E86="",E86="!!!"),"",IF(NOT(ISNA(VLOOKUP(E86,E$1:E85,1,FALSE()))),"OLD",IF(AND(E86&lt;&gt;"",E86&lt;&gt;"!!!"),"NEW","")))</f>
        <v> </v>
      </c>
      <c r="G86" s="24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5" t="str">
        <f>IF(J86&lt;&gt;1,"",IF(I86="SBJ","CB","?"))</f>
        <v> </v>
      </c>
      <c r="I86" s="26" t="str">
        <f>IF(OR(E86="",E86="!!!",F86="NEW"),"",INDEX(B85:B$2,-1+SUMPRODUCT(MAX(ROW(E85:E$2)*(E86=E85:E$2)))))</f>
        <v> </v>
      </c>
      <c r="J86" s="26" t="str">
        <f>IF(OR(E86="",E86="!!!",F86="NEW"),"",COUNTBLANK(OFFSET(A$1,,,SUMPRODUCT(MAX(ROW(E$2:E86)*(E86=E$2:E86)))))-COUNTBLANK(OFFSET(A$1,,,SUMPRODUCT(MAX(ROW(E$1:E85)*(E2=E$1:E85))))))</f>
        <v> </v>
      </c>
      <c r="K86" s="26" t="str">
        <f>IF(OR(E86="",E86="!!!",F86="NEW"),"",INDEX(J$1:J85,SUMPRODUCT(MAX(ROW(E$1:E85)*(E86=E$1:E85)))))</f>
        <v> </v>
      </c>
      <c r="L86" s="27"/>
    </row>
    <row r="87" spans="1:12">
      <c r="A87" s="20" t="s">
        <v>209</v>
      </c>
      <c r="E87" s="22">
        <f>IF(D87="?OLD","!!!","")</f>
        <v/>
      </c>
      <c r="F87" s="23" t="str">
        <f>IF(OR(E87="",E87="!!!"),"",IF(NOT(ISNA(VLOOKUP(E87,E$1:E86,1,FALSE()))),"OLD",IF(AND(E87&lt;&gt;"",E87&lt;&gt;"!!!"),"NEW","")))</f>
        <v> </v>
      </c>
      <c r="G87" s="24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5" t="str">
        <f>IF(J87&lt;&gt;1,"",IF(I87="SBJ","CB","?"))</f>
        <v> </v>
      </c>
      <c r="I87" s="26" t="str">
        <f>IF(OR(E87="",E87="!!!",F87="NEW"),"",INDEX(B86:B$2,-1+SUMPRODUCT(MAX(ROW(E86:E$2)*(E87=E86:E$2)))))</f>
        <v> </v>
      </c>
      <c r="J87" s="26" t="str">
        <f>IF(OR(E87="",E87="!!!",F87="NEW"),"",COUNTBLANK(OFFSET(A$1,,,SUMPRODUCT(MAX(ROW(E$2:E87)*(E87=E$2:E87)))))-COUNTBLANK(OFFSET(A$1,,,SUMPRODUCT(MAX(ROW(E$1:E86)*(E2=E$1:E86))))))</f>
        <v> </v>
      </c>
      <c r="K87" s="26" t="str">
        <f>IF(OR(E87="",E87="!!!",F87="NEW"),"",INDEX(J$1:J86,SUMPRODUCT(MAX(ROW(E$1:E86)*(E87=E$1:E86)))))</f>
        <v> </v>
      </c>
      <c r="L87" s="27"/>
    </row>
    <row r="88" spans="1:12">
      <c r="A88" s="20" t="s">
        <v>163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225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226</v>
      </c>
      <c r="B90" s="21" t="s">
        <v>222</v>
      </c>
      <c r="C90" s="21" t="s">
        <v>227</v>
      </c>
      <c r="D90" s="21" t="s">
        <v>151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228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215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229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230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231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232</v>
      </c>
      <c r="B96" s="21" t="s">
        <v>172</v>
      </c>
      <c r="C96" s="21" t="s">
        <v>186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187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/>
    </row>
    <row r="99" spans="1:12">
      <c r="A99" s="20" t="s">
        <v>233</v>
      </c>
    </row>
    <row r="100" spans="1:12">
      <c r="A100" s="20" t="s">
        <v>176</v>
      </c>
      <c r="B100" s="21" t="s">
        <v>149</v>
      </c>
      <c r="C100" s="21" t="s">
        <v>150</v>
      </c>
      <c r="D100" s="21" t="s">
        <v>151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162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152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234</v>
      </c>
      <c r="B103" s="21" t="s">
        <v>154</v>
      </c>
      <c r="C103" s="21" t="s">
        <v>173</v>
      </c>
      <c r="D103" s="21" t="s">
        <v>151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235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236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 t="s">
        <v>228</v>
      </c>
      <c r="E106" s="22">
        <f>IF(D106="?OLD","!!!","")</f>
        <v/>
      </c>
      <c r="F106" s="23" t="str">
        <f>IF(OR(E106="",E106="!!!"),"",IF(NOT(ISNA(VLOOKUP(E106,E$1:E105,1,FALSE()))),"OLD",IF(AND(E106&lt;&gt;"",E106&lt;&gt;"!!!"),"NEW","")))</f>
        <v> </v>
      </c>
      <c r="G106" s="24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5" t="str">
        <f>IF(J106&lt;&gt;1,"",IF(I106="SBJ","CB","?"))</f>
        <v> </v>
      </c>
      <c r="I106" s="26" t="str">
        <f>IF(OR(E106="",E106="!!!",F106="NEW"),"",INDEX(B105:B$2,-1+SUMPRODUCT(MAX(ROW(E105:E$2)*(E106=E105:E$2)))))</f>
        <v> </v>
      </c>
      <c r="J106" s="26" t="str">
        <f>IF(OR(E106="",E106="!!!",F106="NEW"),"",COUNTBLANK(OFFSET(A$1,,,SUMPRODUCT(MAX(ROW(E$2:E106)*(E106=E$2:E106)))))-COUNTBLANK(OFFSET(A$1,,,SUMPRODUCT(MAX(ROW(E$1:E105)*(E2=E$1:E105))))))</f>
        <v> </v>
      </c>
      <c r="K106" s="26" t="str">
        <f>IF(OR(E106="",E106="!!!",F106="NEW"),"",INDEX(J$1:J105,SUMPRODUCT(MAX(ROW(E$1:E105)*(E106=E$1:E105)))))</f>
        <v> </v>
      </c>
      <c r="L106" s="27"/>
    </row>
    <row r="107" spans="1:12">
      <c r="A107" s="20" t="s">
        <v>237</v>
      </c>
      <c r="B107" s="21" t="s">
        <v>149</v>
      </c>
      <c r="C107" s="21" t="s">
        <v>150</v>
      </c>
      <c r="D107" s="21" t="s">
        <v>151</v>
      </c>
      <c r="E107" s="22">
        <f>IF(D107="?OLD","!!!","")</f>
        <v/>
      </c>
      <c r="F107" s="23" t="str">
        <f>IF(OR(E107="",E107="!!!"),"",IF(NOT(ISNA(VLOOKUP(E107,E$1:E106,1,FALSE()))),"OLD",IF(AND(E107&lt;&gt;"",E107&lt;&gt;"!!!"),"NEW","")))</f>
        <v> </v>
      </c>
      <c r="G107" s="24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5" t="str">
        <f>IF(J107&lt;&gt;1,"",IF(I107="SBJ","CB","?"))</f>
        <v> </v>
      </c>
      <c r="I107" s="26" t="str">
        <f>IF(OR(E107="",E107="!!!",F107="NEW"),"",INDEX(B106:B$2,-1+SUMPRODUCT(MAX(ROW(E106:E$2)*(E107=E106:E$2)))))</f>
        <v> </v>
      </c>
      <c r="J107" s="26" t="str">
        <f>IF(OR(E107="",E107="!!!",F107="NEW"),"",COUNTBLANK(OFFSET(A$1,,,SUMPRODUCT(MAX(ROW(E$2:E107)*(E107=E$2:E107)))))-COUNTBLANK(OFFSET(A$1,,,SUMPRODUCT(MAX(ROW(E$1:E106)*(E2=E$1:E106))))))</f>
        <v> </v>
      </c>
      <c r="K107" s="26" t="str">
        <f>IF(OR(E107="",E107="!!!",F107="NEW"),"",INDEX(J$1:J106,SUMPRODUCT(MAX(ROW(E$1:E106)*(E107=E$1:E106)))))</f>
        <v> </v>
      </c>
      <c r="L107" s="27"/>
    </row>
    <row r="108" spans="1:12">
      <c r="A108" s="20" t="s">
        <v>238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228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166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177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239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223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169</v>
      </c>
      <c r="B114" s="21" t="s">
        <v>149</v>
      </c>
      <c r="C114" s="21" t="s">
        <v>171</v>
      </c>
      <c r="D114" s="21" t="s">
        <v>151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240</v>
      </c>
      <c r="B115" s="21" t="s">
        <v>179</v>
      </c>
      <c r="C115" s="21" t="s">
        <v>173</v>
      </c>
      <c r="D115" s="21" t="s">
        <v>151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187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/>
    </row>
    <row r="118" spans="1:12">
      <c r="A118" s="20" t="s">
        <v>241</v>
      </c>
    </row>
    <row r="119" spans="1:12">
      <c r="A119" s="20" t="s">
        <v>176</v>
      </c>
      <c r="B119" s="21" t="s">
        <v>154</v>
      </c>
      <c r="C119" s="21" t="s">
        <v>150</v>
      </c>
      <c r="D119" s="21" t="s">
        <v>151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238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228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242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228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243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196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 t="s">
        <v>244</v>
      </c>
      <c r="E126" s="22">
        <f>IF(D126="?OLD","!!!","")</f>
        <v/>
      </c>
      <c r="F126" s="23" t="str">
        <f>IF(OR(E126="",E126="!!!"),"",IF(NOT(ISNA(VLOOKUP(E126,E$1:E125,1,FALSE()))),"OLD",IF(AND(E126&lt;&gt;"",E126&lt;&gt;"!!!"),"NEW","")))</f>
        <v> </v>
      </c>
      <c r="G126" s="24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> </v>
      </c>
      <c r="H126" s="25" t="str">
        <f>IF(J126&lt;&gt;1,"",IF(I126="SBJ","CB","?"))</f>
        <v> </v>
      </c>
      <c r="I126" s="26" t="str">
        <f>IF(OR(E126="",E126="!!!",F126="NEW"),"",INDEX(B125:B$2,-1+SUMPRODUCT(MAX(ROW(E125:E$2)*(E126=E125:E$2)))))</f>
        <v> </v>
      </c>
      <c r="J126" s="26" t="str">
        <f>IF(OR(E126="",E126="!!!",F126="NEW"),"",COUNTBLANK(OFFSET(A$1,,,SUMPRODUCT(MAX(ROW(E$2:E126)*(E126=E$2:E126)))))-COUNTBLANK(OFFSET(A$1,,,SUMPRODUCT(MAX(ROW(E$1:E125)*(E2=E$1:E125))))))</f>
        <v> </v>
      </c>
      <c r="K126" s="26" t="str">
        <f>IF(OR(E126="",E126="!!!",F126="NEW"),"",INDEX(J$1:J125,SUMPRODUCT(MAX(ROW(E$1:E125)*(E126=E$1:E125)))))</f>
        <v> </v>
      </c>
      <c r="L126" s="27"/>
    </row>
    <row r="127" spans="1:12">
      <c r="A127" s="20" t="s">
        <v>245</v>
      </c>
      <c r="B127" s="21" t="s">
        <v>179</v>
      </c>
      <c r="C127" s="21" t="s">
        <v>199</v>
      </c>
      <c r="E127" s="22">
        <f>IF(D127="?OLD","!!!","")</f>
        <v/>
      </c>
      <c r="F127" s="23" t="str">
        <f>IF(OR(E127="",E127="!!!"),"",IF(NOT(ISNA(VLOOKUP(E127,E$1:E126,1,FALSE()))),"OLD",IF(AND(E127&lt;&gt;"",E127&lt;&gt;"!!!"),"NEW","")))</f>
        <v> </v>
      </c>
      <c r="G127" s="24" t="str">
        <f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 </v>
      </c>
      <c r="H127" s="25" t="str">
        <f>IF(J127&lt;&gt;1,"",IF(I127="SBJ","CB","?"))</f>
        <v> </v>
      </c>
      <c r="I127" s="26" t="str">
        <f>IF(OR(E127="",E127="!!!",F127="NEW"),"",INDEX(B126:B$2,-1+SUMPRODUCT(MAX(ROW(E126:E$2)*(E127=E126:E$2)))))</f>
        <v> </v>
      </c>
      <c r="J127" s="26" t="str">
        <f>IF(OR(E127="",E127="!!!",F127="NEW"),"",COUNTBLANK(OFFSET(A$1,,,SUMPRODUCT(MAX(ROW(E$2:E127)*(E127=E$2:E127)))))-COUNTBLANK(OFFSET(A$1,,,SUMPRODUCT(MAX(ROW(E$1:E126)*(E2=E$1:E126))))))</f>
        <v> </v>
      </c>
      <c r="K127" s="26" t="str">
        <f>IF(OR(E127="",E127="!!!",F127="NEW"),"",INDEX(J$1:J126,SUMPRODUCT(MAX(ROW(E$1:E126)*(E127=E$1:E126)))))</f>
        <v> </v>
      </c>
      <c r="L127" s="27"/>
    </row>
    <row r="128" spans="1:12">
      <c r="A128" s="20" t="s">
        <v>187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/>
    </row>
    <row r="130" spans="1:12">
      <c r="A130" s="20" t="s">
        <v>246</v>
      </c>
    </row>
    <row r="131" spans="1:12">
      <c r="A131" s="20" t="s">
        <v>247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248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209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249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250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251</v>
      </c>
      <c r="B136" s="21" t="s">
        <v>179</v>
      </c>
      <c r="C136" s="21" t="s">
        <v>150</v>
      </c>
      <c r="D136" s="21" t="s">
        <v>151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248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252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228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253</v>
      </c>
      <c r="B140" s="21" t="s">
        <v>213</v>
      </c>
      <c r="C140" s="21" t="s">
        <v>254</v>
      </c>
      <c r="D140" s="21" t="s">
        <v>151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255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208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209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 t="s">
        <v>256</v>
      </c>
      <c r="E144" s="22">
        <f>IF(D144="?OLD","!!!","")</f>
        <v/>
      </c>
      <c r="F144" s="23" t="str">
        <f>IF(OR(E144="",E144="!!!"),"",IF(NOT(ISNA(VLOOKUP(E144,E$1:E143,1,FALSE()))),"OLD",IF(AND(E144&lt;&gt;"",E144&lt;&gt;"!!!"),"NEW","")))</f>
        <v> </v>
      </c>
      <c r="G144" s="24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5" t="str">
        <f>IF(J144&lt;&gt;1,"",IF(I144="SBJ","CB","?"))</f>
        <v> </v>
      </c>
      <c r="I144" s="26" t="str">
        <f>IF(OR(E144="",E144="!!!",F144="NEW"),"",INDEX(B143:B$2,-1+SUMPRODUCT(MAX(ROW(E143:E$2)*(E144=E143:E$2)))))</f>
        <v> </v>
      </c>
      <c r="J144" s="26" t="str">
        <f>IF(OR(E144="",E144="!!!",F144="NEW"),"",COUNTBLANK(OFFSET(A$1,,,SUMPRODUCT(MAX(ROW(E$2:E144)*(E144=E$2:E144)))))-COUNTBLANK(OFFSET(A$1,,,SUMPRODUCT(MAX(ROW(E$1:E143)*(E2=E$1:E143))))))</f>
        <v> </v>
      </c>
      <c r="K144" s="26" t="str">
        <f>IF(OR(E144="",E144="!!!",F144="NEW"),"",INDEX(J$1:J143,SUMPRODUCT(MAX(ROW(E$1:E143)*(E144=E$1:E143)))))</f>
        <v> </v>
      </c>
      <c r="L144" s="27"/>
    </row>
    <row r="145" spans="1:12">
      <c r="A145" s="20" t="s">
        <v>257</v>
      </c>
      <c r="E145" s="22">
        <f>IF(D145="?OLD","!!!","")</f>
        <v/>
      </c>
      <c r="F145" s="23" t="str">
        <f>IF(OR(E145="",E145="!!!"),"",IF(NOT(ISNA(VLOOKUP(E145,E$1:E144,1,FALSE()))),"OLD",IF(AND(E145&lt;&gt;"",E145&lt;&gt;"!!!"),"NEW","")))</f>
        <v> </v>
      </c>
      <c r="G145" s="24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5" t="str">
        <f>IF(J145&lt;&gt;1,"",IF(I145="SBJ","CB","?"))</f>
        <v> </v>
      </c>
      <c r="I145" s="26" t="str">
        <f>IF(OR(E145="",E145="!!!",F145="NEW"),"",INDEX(B144:B$2,-1+SUMPRODUCT(MAX(ROW(E144:E$2)*(E145=E144:E$2)))))</f>
        <v> </v>
      </c>
      <c r="J145" s="26" t="str">
        <f>IF(OR(E145="",E145="!!!",F145="NEW"),"",COUNTBLANK(OFFSET(A$1,,,SUMPRODUCT(MAX(ROW(E$2:E145)*(E145=E$2:E145)))))-COUNTBLANK(OFFSET(A$1,,,SUMPRODUCT(MAX(ROW(E$1:E144)*(E2=E$1:E144))))))</f>
        <v> </v>
      </c>
      <c r="K145" s="26" t="str">
        <f>IF(OR(E145="",E145="!!!",F145="NEW"),"",INDEX(J$1:J144,SUMPRODUCT(MAX(ROW(E$1:E144)*(E145=E$1:E144)))))</f>
        <v> </v>
      </c>
      <c r="L145" s="27"/>
    </row>
    <row r="146" spans="1:12">
      <c r="A146" s="20" t="s">
        <v>258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259</v>
      </c>
      <c r="B147" s="21" t="s">
        <v>149</v>
      </c>
      <c r="C147" s="21" t="s">
        <v>150</v>
      </c>
      <c r="D147" s="21" t="s">
        <v>151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159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260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261</v>
      </c>
      <c r="B150" s="21" t="s">
        <v>170</v>
      </c>
      <c r="C150" s="21" t="s">
        <v>158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262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263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264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201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265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248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209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266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267</v>
      </c>
      <c r="B159" s="21" t="s">
        <v>170</v>
      </c>
      <c r="C159" s="21" t="s">
        <v>227</v>
      </c>
      <c r="D159" s="21" t="s">
        <v>151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187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/>
    </row>
    <row r="162" spans="1:12">
      <c r="A162" s="20" t="s">
        <v>268</v>
      </c>
    </row>
    <row r="163" spans="1:12">
      <c r="A163" s="20" t="s">
        <v>269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253</v>
      </c>
      <c r="B164" s="21" t="s">
        <v>213</v>
      </c>
      <c r="C164" s="21" t="s">
        <v>254</v>
      </c>
      <c r="D164" s="21" t="s">
        <v>151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270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225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271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201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272</v>
      </c>
      <c r="B169" s="21" t="s">
        <v>222</v>
      </c>
      <c r="C169" s="21" t="s">
        <v>158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160</v>
      </c>
      <c r="B170" s="21" t="s">
        <v>172</v>
      </c>
      <c r="C170" s="21" t="s">
        <v>158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228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209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210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273</v>
      </c>
      <c r="B174" s="21" t="s">
        <v>154</v>
      </c>
      <c r="C174" s="21" t="s">
        <v>227</v>
      </c>
      <c r="D174" s="21" t="s">
        <v>151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274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262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248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163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264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187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/>
    </row>
    <row r="182" spans="1:12">
      <c r="A182" s="20" t="s">
        <v>204</v>
      </c>
      <c r="E182" s="22">
        <f>IF(D182="?OLD","!!!","")</f>
        <v/>
      </c>
      <c r="F182" s="23" t="str">
        <f>IF(OR(E182="",E182="!!!"),"",IF(NOT(ISNA(VLOOKUP(E182,E$1:E181,1,FALSE()))),"OLD",IF(AND(E182&lt;&gt;"",E182&lt;&gt;"!!!"),"NEW","")))</f>
        <v> </v>
      </c>
      <c r="G182" s="24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5" t="str">
        <f>IF(J182&lt;&gt;1,"",IF(I182="SBJ","CB","?"))</f>
        <v> </v>
      </c>
      <c r="I182" s="26" t="str">
        <f>IF(OR(E182="",E182="!!!",F182="NEW"),"",INDEX(B181:B$2,-1+SUMPRODUCT(MAX(ROW(E181:E$2)*(E182=E181:E$2)))))</f>
        <v> </v>
      </c>
      <c r="J182" s="26" t="str">
        <f>IF(OR(E182="",E182="!!!",F182="NEW"),"",COUNTBLANK(OFFSET(A$1,,,SUMPRODUCT(MAX(ROW(E$2:E182)*(E182=E$2:E182)))))-COUNTBLANK(OFFSET(A$1,,,SUMPRODUCT(MAX(ROW(E$1:E181)*(E2=E$1:E181))))))</f>
        <v> </v>
      </c>
      <c r="K182" s="26" t="str">
        <f>IF(OR(E182="",E182="!!!",F182="NEW"),"",INDEX(J$1:J181,SUMPRODUCT(MAX(ROW(E$1:E181)*(E182=E$1:E181)))))</f>
        <v> </v>
      </c>
      <c r="L182" s="27"/>
    </row>
    <row r="183" spans="1:12">
      <c r="A183" s="20" t="s">
        <v>275</v>
      </c>
    </row>
    <row r="184" spans="1:12">
      <c r="A184" s="20" t="s">
        <v>276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277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239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228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253</v>
      </c>
      <c r="B188" s="21" t="s">
        <v>154</v>
      </c>
      <c r="C188" s="21" t="s">
        <v>254</v>
      </c>
      <c r="D188" s="21" t="s">
        <v>151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278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176</v>
      </c>
      <c r="B190" s="21" t="s">
        <v>157</v>
      </c>
      <c r="C190" s="21" t="s">
        <v>150</v>
      </c>
      <c r="D190" s="21" t="s">
        <v>151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153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279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215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280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 t="s">
        <v>281</v>
      </c>
      <c r="B195" s="21" t="s">
        <v>172</v>
      </c>
      <c r="C195" s="21" t="s">
        <v>254</v>
      </c>
      <c r="D195" s="21" t="s">
        <v>151</v>
      </c>
      <c r="E195" s="22">
        <f>IF(D195="?OLD","!!!","")</f>
        <v/>
      </c>
      <c r="F195" s="23" t="str">
        <f>IF(OR(E195="",E195="!!!"),"",IF(NOT(ISNA(VLOOKUP(E195,E$1:E194,1,FALSE()))),"OLD",IF(AND(E195&lt;&gt;"",E195&lt;&gt;"!!!"),"NEW","")))</f>
        <v> </v>
      </c>
      <c r="G195" s="24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5" t="str">
        <f>IF(J195&lt;&gt;1,"",IF(I195="SBJ","CB","?"))</f>
        <v> </v>
      </c>
      <c r="I195" s="26" t="str">
        <f>IF(OR(E195="",E195="!!!",F195="NEW"),"",INDEX(B194:B$2,-1+SUMPRODUCT(MAX(ROW(E194:E$2)*(E195=E194:E$2)))))</f>
        <v> </v>
      </c>
      <c r="J195" s="26" t="str">
        <f>IF(OR(E195="",E195="!!!",F195="NEW"),"",COUNTBLANK(OFFSET(A$1,,,SUMPRODUCT(MAX(ROW(E$2:E195)*(E195=E$2:E195)))))-COUNTBLANK(OFFSET(A$1,,,SUMPRODUCT(MAX(ROW(E$1:E194)*(E2=E$1:E194))))))</f>
        <v> </v>
      </c>
      <c r="K195" s="26" t="str">
        <f>IF(OR(E195="",E195="!!!",F195="NEW"),"",INDEX(J$1:J194,SUMPRODUCT(MAX(ROW(E$1:E194)*(E195=E$1:E194)))))</f>
        <v> </v>
      </c>
      <c r="L195" s="27"/>
    </row>
    <row r="196" spans="1:12">
      <c r="A196" s="20" t="s">
        <v>183</v>
      </c>
      <c r="E196" s="22">
        <f>IF(D196="?OLD","!!!","")</f>
        <v/>
      </c>
      <c r="F196" s="23" t="str">
        <f>IF(OR(E196="",E196="!!!"),"",IF(NOT(ISNA(VLOOKUP(E196,E$1:E195,1,FALSE()))),"OLD",IF(AND(E196&lt;&gt;"",E196&lt;&gt;"!!!"),"NEW","")))</f>
        <v> </v>
      </c>
      <c r="G196" s="24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5" t="str">
        <f>IF(J196&lt;&gt;1,"",IF(I196="SBJ","CB","?"))</f>
        <v> </v>
      </c>
      <c r="I196" s="26" t="str">
        <f>IF(OR(E196="",E196="!!!",F196="NEW"),"",INDEX(B195:B$2,-1+SUMPRODUCT(MAX(ROW(E195:E$2)*(E196=E195:E$2)))))</f>
        <v> </v>
      </c>
      <c r="J196" s="26" t="str">
        <f>IF(OR(E196="",E196="!!!",F196="NEW"),"",COUNTBLANK(OFFSET(A$1,,,SUMPRODUCT(MAX(ROW(E$2:E196)*(E196=E$2:E196)))))-COUNTBLANK(OFFSET(A$1,,,SUMPRODUCT(MAX(ROW(E$1:E195)*(E2=E$1:E195))))))</f>
        <v> </v>
      </c>
      <c r="K196" s="26" t="str">
        <f>IF(OR(E196="",E196="!!!",F196="NEW"),"",INDEX(J$1:J195,SUMPRODUCT(MAX(ROW(E$1:E195)*(E196=E$1:E195)))))</f>
        <v> </v>
      </c>
      <c r="L196" s="27"/>
    </row>
    <row r="197" spans="1:12">
      <c r="A197" s="20" t="s">
        <v>282</v>
      </c>
      <c r="B197" s="21" t="s">
        <v>170</v>
      </c>
      <c r="C197" s="21" t="s">
        <v>171</v>
      </c>
      <c r="D197" s="21" t="s">
        <v>151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283</v>
      </c>
      <c r="B198" s="21" t="s">
        <v>149</v>
      </c>
      <c r="C198" s="21" t="s">
        <v>173</v>
      </c>
      <c r="D198" s="21" t="s">
        <v>151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187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215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/>
    </row>
    <row r="202" spans="1:12">
      <c r="A202" s="20" t="s">
        <v>284</v>
      </c>
    </row>
    <row r="203" spans="1:12">
      <c r="A203" s="20" t="s">
        <v>285</v>
      </c>
      <c r="B203" s="21" t="s">
        <v>154</v>
      </c>
      <c r="C203" s="21" t="s">
        <v>254</v>
      </c>
      <c r="D203" s="21" t="s">
        <v>151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51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209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226</v>
      </c>
      <c r="B206" s="21" t="s">
        <v>170</v>
      </c>
      <c r="C206" s="21" t="s">
        <v>227</v>
      </c>
      <c r="D206" s="21" t="s">
        <v>151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 t="s">
        <v>152</v>
      </c>
      <c r="E207" s="22">
        <f>IF(D207="?OLD","!!!","")</f>
        <v/>
      </c>
      <c r="F207" s="23" t="str">
        <f>IF(OR(E207="",E207="!!!"),"",IF(NOT(ISNA(VLOOKUP(E207,E$1:E206,1,FALSE()))),"OLD",IF(AND(E207&lt;&gt;"",E207&lt;&gt;"!!!"),"NEW","")))</f>
        <v> </v>
      </c>
      <c r="G207" s="24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5" t="str">
        <f>IF(J207&lt;&gt;1,"",IF(I207="SBJ","CB","?"))</f>
        <v> </v>
      </c>
      <c r="I207" s="26" t="str">
        <f>IF(OR(E207="",E207="!!!",F207="NEW"),"",INDEX(B206:B$2,-1+SUMPRODUCT(MAX(ROW(E206:E$2)*(E207=E206:E$2)))))</f>
        <v> </v>
      </c>
      <c r="J207" s="26" t="str">
        <f>IF(OR(E207="",E207="!!!",F207="NEW"),"",COUNTBLANK(OFFSET(A$1,,,SUMPRODUCT(MAX(ROW(E$2:E207)*(E207=E$2:E207)))))-COUNTBLANK(OFFSET(A$1,,,SUMPRODUCT(MAX(ROW(E$1:E206)*(E2=E$1:E206))))))</f>
        <v> </v>
      </c>
      <c r="K207" s="26" t="str">
        <f>IF(OR(E207="",E207="!!!",F207="NEW"),"",INDEX(J$1:J206,SUMPRODUCT(MAX(ROW(E$1:E206)*(E207=E$1:E206)))))</f>
        <v> </v>
      </c>
      <c r="L207" s="27"/>
    </row>
    <row r="208" spans="1:12">
      <c r="A208" s="20" t="s">
        <v>286</v>
      </c>
      <c r="E208" s="22">
        <f>IF(D208="?OLD","!!!","")</f>
        <v/>
      </c>
      <c r="F208" s="23" t="str">
        <f>IF(OR(E208="",E208="!!!"),"",IF(NOT(ISNA(VLOOKUP(E208,E$1:E207,1,FALSE()))),"OLD",IF(AND(E208&lt;&gt;"",E208&lt;&gt;"!!!"),"NEW","")))</f>
        <v> </v>
      </c>
      <c r="G208" s="24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> </v>
      </c>
      <c r="H208" s="25" t="str">
        <f>IF(J208&lt;&gt;1,"",IF(I208="SBJ","CB","?"))</f>
        <v> </v>
      </c>
      <c r="I208" s="26" t="str">
        <f>IF(OR(E208="",E208="!!!",F208="NEW"),"",INDEX(B207:B$2,-1+SUMPRODUCT(MAX(ROW(E207:E$2)*(E208=E207:E$2)))))</f>
        <v> </v>
      </c>
      <c r="J208" s="26" t="str">
        <f>IF(OR(E208="",E208="!!!",F208="NEW"),"",COUNTBLANK(OFFSET(A$1,,,SUMPRODUCT(MAX(ROW(E$2:E208)*(E208=E$2:E208)))))-COUNTBLANK(OFFSET(A$1,,,SUMPRODUCT(MAX(ROW(E$1:E207)*(E2=E$1:E207))))))</f>
        <v> </v>
      </c>
      <c r="K208" s="26" t="str">
        <f>IF(OR(E208="",E208="!!!",F208="NEW"),"",INDEX(J$1:J207,SUMPRODUCT(MAX(ROW(E$1:E207)*(E208=E$1:E207)))))</f>
        <v> </v>
      </c>
      <c r="L208" s="27"/>
    </row>
    <row r="209" spans="1:12">
      <c r="A209" s="20" t="s">
        <v>287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288</v>
      </c>
      <c r="B210" s="21" t="s">
        <v>213</v>
      </c>
      <c r="C210" s="21" t="s">
        <v>173</v>
      </c>
      <c r="D210" s="21" t="s">
        <v>151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243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217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289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282</v>
      </c>
      <c r="B214" s="21" t="s">
        <v>222</v>
      </c>
      <c r="C214" s="21" t="s">
        <v>171</v>
      </c>
      <c r="D214" s="21" t="s">
        <v>151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290</v>
      </c>
      <c r="B215" s="21" t="s">
        <v>219</v>
      </c>
      <c r="C215" s="21" t="s">
        <v>173</v>
      </c>
      <c r="D215" s="21" t="s">
        <v>151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223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224</v>
      </c>
      <c r="B217" s="21" t="s">
        <v>170</v>
      </c>
      <c r="C217" s="21" t="s">
        <v>158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159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291</v>
      </c>
      <c r="B219" s="21" t="s">
        <v>222</v>
      </c>
      <c r="C219" s="21" t="s">
        <v>158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 t="s">
        <v>248</v>
      </c>
      <c r="E220" s="22">
        <f>IF(D220="?OLD","!!!","")</f>
        <v/>
      </c>
      <c r="F220" s="23" t="str">
        <f>IF(OR(E220="",E220="!!!"),"",IF(NOT(ISNA(VLOOKUP(E220,E$1:E219,1,FALSE()))),"OLD",IF(AND(E220&lt;&gt;"",E220&lt;&gt;"!!!"),"NEW","")))</f>
        <v> </v>
      </c>
      <c r="G220" s="24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5" t="str">
        <f>IF(J220&lt;&gt;1,"",IF(I220="SBJ","CB","?"))</f>
        <v> </v>
      </c>
      <c r="I220" s="26" t="str">
        <f>IF(OR(E220="",E220="!!!",F220="NEW"),"",INDEX(B219:B$2,-1+SUMPRODUCT(MAX(ROW(E219:E$2)*(E220=E219:E$2)))))</f>
        <v> </v>
      </c>
      <c r="J220" s="26" t="str">
        <f>IF(OR(E220="",E220="!!!",F220="NEW"),"",COUNTBLANK(OFFSET(A$1,,,SUMPRODUCT(MAX(ROW(E$2:E220)*(E220=E$2:E220)))))-COUNTBLANK(OFFSET(A$1,,,SUMPRODUCT(MAX(ROW(E$1:E219)*(E2=E$1:E219))))))</f>
        <v> </v>
      </c>
      <c r="K220" s="26" t="str">
        <f>IF(OR(E220="",E220="!!!",F220="NEW"),"",INDEX(J$1:J219,SUMPRODUCT(MAX(ROW(E$1:E219)*(E220=E$1:E219)))))</f>
        <v> </v>
      </c>
      <c r="L220" s="27"/>
    </row>
    <row r="221" spans="1:12">
      <c r="A221" s="20" t="s">
        <v>292</v>
      </c>
      <c r="B221" s="21" t="s">
        <v>170</v>
      </c>
      <c r="C221" s="21" t="s">
        <v>158</v>
      </c>
      <c r="E221" s="22">
        <f>IF(D221="?OLD","!!!","")</f>
        <v/>
      </c>
      <c r="F221" s="23" t="str">
        <f>IF(OR(E221="",E221="!!!"),"",IF(NOT(ISNA(VLOOKUP(E221,E$1:E220,1,FALSE()))),"OLD",IF(AND(E221&lt;&gt;"",E221&lt;&gt;"!!!"),"NEW","")))</f>
        <v> </v>
      </c>
      <c r="G221" s="24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5" t="str">
        <f>IF(J221&lt;&gt;1,"",IF(I221="SBJ","CB","?"))</f>
        <v> </v>
      </c>
      <c r="I221" s="26" t="str">
        <f>IF(OR(E221="",E221="!!!",F221="NEW"),"",INDEX(B220:B$2,-1+SUMPRODUCT(MAX(ROW(E220:E$2)*(E221=E220:E$2)))))</f>
        <v> </v>
      </c>
      <c r="J221" s="26" t="str">
        <f>IF(OR(E221="",E221="!!!",F221="NEW"),"",COUNTBLANK(OFFSET(A$1,,,SUMPRODUCT(MAX(ROW(E$2:E221)*(E221=E$2:E221)))))-COUNTBLANK(OFFSET(A$1,,,SUMPRODUCT(MAX(ROW(E$1:E220)*(E2=E$1:E220))))))</f>
        <v> </v>
      </c>
      <c r="K221" s="26" t="str">
        <f>IF(OR(E221="",E221="!!!",F221="NEW"),"",INDEX(J$1:J220,SUMPRODUCT(MAX(ROW(E$1:E220)*(E221=E$1:E220)))))</f>
        <v> </v>
      </c>
      <c r="L221" s="27"/>
    </row>
    <row r="222" spans="1:12">
      <c r="A222" s="20" t="s">
        <v>159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293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294</v>
      </c>
      <c r="B224" s="21" t="s">
        <v>295</v>
      </c>
      <c r="C224" s="21" t="s">
        <v>158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201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296</v>
      </c>
      <c r="B226" s="21" t="s">
        <v>297</v>
      </c>
      <c r="C226" s="21" t="s">
        <v>158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298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299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282</v>
      </c>
      <c r="B229" s="21" t="s">
        <v>300</v>
      </c>
      <c r="C229" s="21" t="s">
        <v>171</v>
      </c>
      <c r="D229" s="21" t="s">
        <v>151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301</v>
      </c>
      <c r="B230" s="21" t="s">
        <v>302</v>
      </c>
      <c r="C230" s="21" t="s">
        <v>173</v>
      </c>
      <c r="D230" s="21" t="s">
        <v>151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303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304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187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/>
    </row>
    <row r="235" spans="1:12">
      <c r="A235" s="20" t="s">
        <v>305</v>
      </c>
    </row>
    <row r="236" spans="1:12">
      <c r="A236" s="20" t="s">
        <v>176</v>
      </c>
      <c r="B236" s="21" t="s">
        <v>154</v>
      </c>
      <c r="C236" s="21" t="s">
        <v>150</v>
      </c>
      <c r="D236" s="21" t="s">
        <v>151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153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278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 t="s">
        <v>196</v>
      </c>
      <c r="E239" s="22">
        <f>IF(D239="?OLD","!!!","")</f>
        <v/>
      </c>
      <c r="F239" s="23" t="str">
        <f>IF(OR(E239="",E239="!!!"),"",IF(NOT(ISNA(VLOOKUP(E239,E$1:E238,1,FALSE()))),"OLD",IF(AND(E239&lt;&gt;"",E239&lt;&gt;"!!!"),"NEW","")))</f>
        <v> </v>
      </c>
      <c r="G239" s="24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5" t="str">
        <f>IF(J239&lt;&gt;1,"",IF(I239="SBJ","CB","?"))</f>
        <v> </v>
      </c>
      <c r="I239" s="26" t="str">
        <f>IF(OR(E239="",E239="!!!",F239="NEW"),"",INDEX(B238:B$2,-1+SUMPRODUCT(MAX(ROW(E238:E$2)*(E239=E238:E$2)))))</f>
        <v> </v>
      </c>
      <c r="J239" s="26" t="str">
        <f>IF(OR(E239="",E239="!!!",F239="NEW"),"",COUNTBLANK(OFFSET(A$1,,,SUMPRODUCT(MAX(ROW(E$2:E239)*(E239=E$2:E239)))))-COUNTBLANK(OFFSET(A$1,,,SUMPRODUCT(MAX(ROW(E$1:E238)*(E2=E$1:E238))))))</f>
        <v> </v>
      </c>
      <c r="K239" s="26" t="str">
        <f>IF(OR(E239="",E239="!!!",F239="NEW"),"",INDEX(J$1:J238,SUMPRODUCT(MAX(ROW(E$1:E238)*(E239=E$1:E238)))))</f>
        <v> </v>
      </c>
      <c r="L239" s="27"/>
    </row>
    <row r="240" spans="1:12">
      <c r="A240" s="20" t="s">
        <v>163</v>
      </c>
      <c r="E240" s="22">
        <f>IF(D240="?OLD","!!!","")</f>
        <v/>
      </c>
      <c r="F240" s="23" t="str">
        <f>IF(OR(E240="",E240="!!!"),"",IF(NOT(ISNA(VLOOKUP(E240,E$1:E239,1,FALSE()))),"OLD",IF(AND(E240&lt;&gt;"",E240&lt;&gt;"!!!"),"NEW","")))</f>
        <v> </v>
      </c>
      <c r="G240" s="24" t="str">
        <f>IF(OR(E240="",E240="!!!"),"",IF(OR(J240=0,AND(J240=1,K240=1),AND(J240=1,I240="SBJ"),AND(J240=1,I240=0)),"?IN_FOCUS",IF(J240&lt;=2,"?ACTIVATED",IF(J240&lt;&gt;"","?FAMILIAR",IF(F240="NEW",IF(ISNA(VLOOKUP(E240,#REF!,1,FALSE())),"?TYPE_IDENTIFIABLE","?REFERENTIAL"),"_")))))</f>
        <v> </v>
      </c>
      <c r="H240" s="25" t="str">
        <f>IF(J240&lt;&gt;1,"",IF(I240="SBJ","CB","?"))</f>
        <v> </v>
      </c>
      <c r="I240" s="26" t="str">
        <f>IF(OR(E240="",E240="!!!",F240="NEW"),"",INDEX(B239:B$2,-1+SUMPRODUCT(MAX(ROW(E239:E$2)*(E240=E239:E$2)))))</f>
        <v> </v>
      </c>
      <c r="J240" s="26" t="str">
        <f>IF(OR(E240="",E240="!!!",F240="NEW"),"",COUNTBLANK(OFFSET(A$1,,,SUMPRODUCT(MAX(ROW(E$2:E240)*(E240=E$2:E240)))))-COUNTBLANK(OFFSET(A$1,,,SUMPRODUCT(MAX(ROW(E$1:E239)*(E2=E$1:E239))))))</f>
        <v> </v>
      </c>
      <c r="K240" s="26" t="str">
        <f>IF(OR(E240="",E240="!!!",F240="NEW"),"",INDEX(J$1:J239,SUMPRODUCT(MAX(ROW(E$1:E239)*(E240=E$1:E239)))))</f>
        <v> </v>
      </c>
      <c r="L240" s="27"/>
    </row>
    <row r="241" spans="1:12">
      <c r="A241" s="20" t="s">
        <v>306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307</v>
      </c>
      <c r="B242" s="21" t="s">
        <v>157</v>
      </c>
      <c r="C242" s="21" t="s">
        <v>199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308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309</v>
      </c>
      <c r="B244" s="21" t="s">
        <v>179</v>
      </c>
      <c r="C244" s="21" t="s">
        <v>150</v>
      </c>
      <c r="D244" s="21" t="s">
        <v>151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212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176</v>
      </c>
      <c r="B246" s="21" t="s">
        <v>213</v>
      </c>
      <c r="C246" s="21" t="s">
        <v>150</v>
      </c>
      <c r="D246" s="21" t="s">
        <v>151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162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214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310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 t="s">
        <v>217</v>
      </c>
      <c r="E250" s="22">
        <f>IF(D250="?OLD","!!!","")</f>
        <v/>
      </c>
      <c r="F250" s="23" t="str">
        <f>IF(OR(E250="",E250="!!!"),"",IF(NOT(ISNA(VLOOKUP(E250,E$1:E249,1,FALSE()))),"OLD",IF(AND(E250&lt;&gt;"",E250&lt;&gt;"!!!"),"NEW","")))</f>
        <v> </v>
      </c>
      <c r="G250" s="24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5" t="str">
        <f>IF(J250&lt;&gt;1,"",IF(I250="SBJ","CB","?"))</f>
        <v> </v>
      </c>
      <c r="I250" s="26" t="str">
        <f>IF(OR(E250="",E250="!!!",F250="NEW"),"",INDEX(B249:B$2,-1+SUMPRODUCT(MAX(ROW(E249:E$2)*(E250=E249:E$2)))))</f>
        <v> </v>
      </c>
      <c r="J250" s="26" t="str">
        <f>IF(OR(E250="",E250="!!!",F250="NEW"),"",COUNTBLANK(OFFSET(A$1,,,SUMPRODUCT(MAX(ROW(E$2:E250)*(E250=E$2:E250)))))-COUNTBLANK(OFFSET(A$1,,,SUMPRODUCT(MAX(ROW(E$1:E249)*(E2=E$1:E249))))))</f>
        <v> </v>
      </c>
      <c r="K250" s="26" t="str">
        <f>IF(OR(E250="",E250="!!!",F250="NEW"),"",INDEX(J$1:J249,SUMPRODUCT(MAX(ROW(E$1:E249)*(E250=E$1:E249)))))</f>
        <v> </v>
      </c>
      <c r="L250" s="27"/>
    </row>
    <row r="251" spans="1:12">
      <c r="A251" s="20" t="s">
        <v>311</v>
      </c>
      <c r="E251" s="22">
        <f>IF(D251="?OLD","!!!","")</f>
        <v/>
      </c>
      <c r="F251" s="23" t="str">
        <f>IF(OR(E251="",E251="!!!"),"",IF(NOT(ISNA(VLOOKUP(E251,E$1:E250,1,FALSE()))),"OLD",IF(AND(E251&lt;&gt;"",E251&lt;&gt;"!!!"),"NEW","")))</f>
        <v> </v>
      </c>
      <c r="G251" s="24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5" t="str">
        <f>IF(J251&lt;&gt;1,"",IF(I251="SBJ","CB","?"))</f>
        <v> </v>
      </c>
      <c r="I251" s="26" t="str">
        <f>IF(OR(E251="",E251="!!!",F251="NEW"),"",INDEX(B250:B$2,-1+SUMPRODUCT(MAX(ROW(E250:E$2)*(E251=E250:E$2)))))</f>
        <v> </v>
      </c>
      <c r="J251" s="26" t="str">
        <f>IF(OR(E251="",E251="!!!",F251="NEW"),"",COUNTBLANK(OFFSET(A$1,,,SUMPRODUCT(MAX(ROW(E$2:E251)*(E251=E$2:E251)))))-COUNTBLANK(OFFSET(A$1,,,SUMPRODUCT(MAX(ROW(E$1:E250)*(E2=E$1:E250))))))</f>
        <v> </v>
      </c>
      <c r="K251" s="26" t="str">
        <f>IF(OR(E251="",E251="!!!",F251="NEW"),"",INDEX(J$1:J250,SUMPRODUCT(MAX(ROW(E$1:E250)*(E251=E$1:E250)))))</f>
        <v> </v>
      </c>
      <c r="L251" s="27"/>
    </row>
    <row r="252" spans="1:12">
      <c r="A252" s="20" t="s">
        <v>209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312</v>
      </c>
      <c r="B253" s="21" t="s">
        <v>219</v>
      </c>
      <c r="C253" s="21" t="s">
        <v>227</v>
      </c>
      <c r="D253" s="21" t="s">
        <v>151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228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201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313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212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176</v>
      </c>
      <c r="B258" s="21" t="s">
        <v>314</v>
      </c>
      <c r="C258" s="21" t="s">
        <v>150</v>
      </c>
      <c r="D258" s="21" t="s">
        <v>151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238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315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316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317</v>
      </c>
      <c r="B262" s="21" t="s">
        <v>219</v>
      </c>
      <c r="C262" s="21" t="s">
        <v>254</v>
      </c>
      <c r="D262" s="21" t="s">
        <v>151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187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/>
    </row>
    <row r="265" spans="1:12">
      <c r="A265" s="20" t="s">
        <v>318</v>
      </c>
    </row>
    <row r="266" spans="1:12">
      <c r="A266" s="20" t="s">
        <v>319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209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320</v>
      </c>
      <c r="B268" s="21" t="s">
        <v>154</v>
      </c>
      <c r="C268" s="21" t="s">
        <v>227</v>
      </c>
      <c r="D268" s="21" t="s">
        <v>151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 t="s">
        <v>61</v>
      </c>
      <c r="E269" s="22">
        <f>IF(D269="?OLD","!!!","")</f>
        <v/>
      </c>
      <c r="F269" s="23" t="str">
        <f>IF(OR(E269="",E269="!!!"),"",IF(NOT(ISNA(VLOOKUP(E269,E$1:E268,1,FALSE()))),"OLD",IF(AND(E269&lt;&gt;"",E269&lt;&gt;"!!!"),"NEW","")))</f>
        <v> </v>
      </c>
      <c r="G269" s="24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5" t="str">
        <f>IF(J269&lt;&gt;1,"",IF(I269="SBJ","CB","?"))</f>
        <v> </v>
      </c>
      <c r="I269" s="26" t="str">
        <f>IF(OR(E269="",E269="!!!",F269="NEW"),"",INDEX(B268:B$2,-1+SUMPRODUCT(MAX(ROW(E268:E$2)*(E269=E268:E$2)))))</f>
        <v> </v>
      </c>
      <c r="J269" s="26" t="str">
        <f>IF(OR(E269="",E269="!!!",F269="NEW"),"",COUNTBLANK(OFFSET(A$1,,,SUMPRODUCT(MAX(ROW(E$2:E269)*(E269=E$2:E269)))))-COUNTBLANK(OFFSET(A$1,,,SUMPRODUCT(MAX(ROW(E$1:E268)*(E2=E$1:E268))))))</f>
        <v> </v>
      </c>
      <c r="K269" s="26" t="str">
        <f>IF(OR(E269="",E269="!!!",F269="NEW"),"",INDEX(J$1:J268,SUMPRODUCT(MAX(ROW(E$1:E268)*(E269=E$1:E268)))))</f>
        <v> </v>
      </c>
      <c r="L269" s="27"/>
    </row>
    <row r="270" spans="1:12">
      <c r="A270" s="20" t="s">
        <v>321</v>
      </c>
      <c r="E270" s="22">
        <f>IF(D270="?OLD","!!!","")</f>
        <v/>
      </c>
      <c r="F270" s="23" t="str">
        <f>IF(OR(E270="",E270="!!!"),"",IF(NOT(ISNA(VLOOKUP(E270,E$1:E269,1,FALSE()))),"OLD",IF(AND(E270&lt;&gt;"",E270&lt;&gt;"!!!"),"NEW","")))</f>
        <v> </v>
      </c>
      <c r="G270" s="24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5" t="str">
        <f>IF(J270&lt;&gt;1,"",IF(I270="SBJ","CB","?"))</f>
        <v> </v>
      </c>
      <c r="I270" s="26" t="str">
        <f>IF(OR(E270="",E270="!!!",F270="NEW"),"",INDEX(B269:B$2,-1+SUMPRODUCT(MAX(ROW(E269:E$2)*(E270=E269:E$2)))))</f>
        <v> </v>
      </c>
      <c r="J270" s="26" t="str">
        <f>IF(OR(E270="",E270="!!!",F270="NEW"),"",COUNTBLANK(OFFSET(A$1,,,SUMPRODUCT(MAX(ROW(E$2:E270)*(E270=E$2:E270)))))-COUNTBLANK(OFFSET(A$1,,,SUMPRODUCT(MAX(ROW(E$1:E269)*(E2=E$1:E269))))))</f>
        <v> </v>
      </c>
      <c r="K270" s="26" t="str">
        <f>IF(OR(E270="",E270="!!!",F270="NEW"),"",INDEX(J$1:J269,SUMPRODUCT(MAX(ROW(E$1:E269)*(E270=E$1:E269)))))</f>
        <v> </v>
      </c>
      <c r="L270" s="27"/>
    </row>
    <row r="271" spans="1:12">
      <c r="A271" s="20"/>
    </row>
    <row r="272" spans="1:12">
      <c r="A272" s="20" t="s">
        <v>322</v>
      </c>
    </row>
    <row r="273" spans="1:12">
      <c r="A273" s="20" t="s">
        <v>323</v>
      </c>
      <c r="B273" s="21" t="s">
        <v>154</v>
      </c>
      <c r="C273" s="21" t="s">
        <v>324</v>
      </c>
      <c r="D273" s="21" t="s">
        <v>151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243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196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325</v>
      </c>
      <c r="B276" s="21" t="s">
        <v>179</v>
      </c>
      <c r="C276" s="21" t="s">
        <v>199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212</v>
      </c>
      <c r="B277" s="21" t="s">
        <v>213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166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326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257</v>
      </c>
      <c r="B280" s="21" t="s">
        <v>172</v>
      </c>
      <c r="C280" s="21" t="s">
        <v>150</v>
      </c>
      <c r="D280" s="21" t="s">
        <v>151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187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/>
    </row>
    <row r="283" spans="1:12">
      <c r="A283" s="20" t="s">
        <v>327</v>
      </c>
    </row>
    <row r="284" spans="1:12">
      <c r="A284" s="20" t="s">
        <v>161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162</v>
      </c>
      <c r="B285" s="21" t="s">
        <v>154</v>
      </c>
      <c r="C285" s="21" t="s">
        <v>150</v>
      </c>
      <c r="D285" s="21" t="s">
        <v>151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166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328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177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329</v>
      </c>
      <c r="B289" s="21" t="s">
        <v>179</v>
      </c>
      <c r="C289" s="21" t="s">
        <v>173</v>
      </c>
      <c r="D289" s="21" t="s">
        <v>151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159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165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153</v>
      </c>
      <c r="B292" s="21" t="s">
        <v>149</v>
      </c>
      <c r="C292" s="21" t="s">
        <v>150</v>
      </c>
      <c r="D292" s="21" t="s">
        <v>151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152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330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331</v>
      </c>
      <c r="B295" s="21" t="s">
        <v>179</v>
      </c>
      <c r="C295" s="21" t="s">
        <v>173</v>
      </c>
      <c r="D295" s="21" t="s">
        <v>151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201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228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332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317</v>
      </c>
      <c r="B299" s="21" t="s">
        <v>149</v>
      </c>
      <c r="C299" s="21" t="s">
        <v>254</v>
      </c>
      <c r="D299" s="21" t="s">
        <v>151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228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265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248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209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333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334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335</v>
      </c>
      <c r="B306" s="21" t="s">
        <v>149</v>
      </c>
      <c r="C306" s="21" t="s">
        <v>227</v>
      </c>
      <c r="D306" s="21" t="s">
        <v>151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228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209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336</v>
      </c>
      <c r="B309" s="21" t="s">
        <v>172</v>
      </c>
      <c r="C309" s="21" t="s">
        <v>227</v>
      </c>
      <c r="D309" s="21" t="s">
        <v>151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187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/>
    </row>
    <row r="312" spans="1:12">
      <c r="A312" s="20" t="s">
        <v>337</v>
      </c>
    </row>
    <row r="313" spans="1:12">
      <c r="A313" s="20" t="s">
        <v>338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156</v>
      </c>
      <c r="B314" s="21" t="s">
        <v>179</v>
      </c>
      <c r="C314" s="21" t="s">
        <v>158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159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160</v>
      </c>
      <c r="B316" s="21" t="s">
        <v>149</v>
      </c>
      <c r="C316" s="21" t="s">
        <v>158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253</v>
      </c>
      <c r="B317" s="21" t="s">
        <v>154</v>
      </c>
      <c r="C317" s="21" t="s">
        <v>254</v>
      </c>
      <c r="D317" s="21" t="s">
        <v>151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 t="s">
        <v>339</v>
      </c>
      <c r="E318" s="22">
        <f>IF(D318="?OLD","!!!","")</f>
        <v/>
      </c>
      <c r="F318" s="23" t="str">
        <f>IF(OR(E318="",E318="!!!"),"",IF(NOT(ISNA(VLOOKUP(E318,E$1:E317,1,FALSE()))),"OLD",IF(AND(E318&lt;&gt;"",E318&lt;&gt;"!!!"),"NEW","")))</f>
        <v> </v>
      </c>
      <c r="G318" s="24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5" t="str">
        <f>IF(J318&lt;&gt;1,"",IF(I318="SBJ","CB","?"))</f>
        <v> </v>
      </c>
      <c r="I318" s="26" t="str">
        <f>IF(OR(E318="",E318="!!!",F318="NEW"),"",INDEX(B317:B$2,-1+SUMPRODUCT(MAX(ROW(E317:E$2)*(E318=E317:E$2)))))</f>
        <v> </v>
      </c>
      <c r="J318" s="26" t="str">
        <f>IF(OR(E318="",E318="!!!",F318="NEW"),"",COUNTBLANK(OFFSET(A$1,,,SUMPRODUCT(MAX(ROW(E$2:E318)*(E318=E$2:E318)))))-COUNTBLANK(OFFSET(A$1,,,SUMPRODUCT(MAX(ROW(E$1:E317)*(E2=E$1:E317))))))</f>
        <v> </v>
      </c>
      <c r="K318" s="26" t="str">
        <f>IF(OR(E318="",E318="!!!",F318="NEW"),"",INDEX(J$1:J317,SUMPRODUCT(MAX(ROW(E$1:E317)*(E318=E$1:E317)))))</f>
        <v> </v>
      </c>
      <c r="L318" s="27"/>
    </row>
    <row r="319" spans="1:12">
      <c r="A319" s="20" t="s">
        <v>329</v>
      </c>
      <c r="E319" s="22">
        <f>IF(D319="?OLD","!!!","")</f>
        <v/>
      </c>
      <c r="F319" s="23" t="str">
        <f>IF(OR(E319="",E319="!!!"),"",IF(NOT(ISNA(VLOOKUP(E319,E$1:E318,1,FALSE()))),"OLD",IF(AND(E319&lt;&gt;"",E319&lt;&gt;"!!!"),"NEW","")))</f>
        <v> </v>
      </c>
      <c r="G319" s="24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5" t="str">
        <f>IF(J319&lt;&gt;1,"",IF(I319="SBJ","CB","?"))</f>
        <v> </v>
      </c>
      <c r="I319" s="26" t="str">
        <f>IF(OR(E319="",E319="!!!",F319="NEW"),"",INDEX(B318:B$2,-1+SUMPRODUCT(MAX(ROW(E318:E$2)*(E319=E318:E$2)))))</f>
        <v> </v>
      </c>
      <c r="J319" s="26" t="str">
        <f>IF(OR(E319="",E319="!!!",F319="NEW"),"",COUNTBLANK(OFFSET(A$1,,,SUMPRODUCT(MAX(ROW(E$2:E319)*(E319=E$2:E319)))))-COUNTBLANK(OFFSET(A$1,,,SUMPRODUCT(MAX(ROW(E$1:E318)*(E2=E$1:E318))))))</f>
        <v> </v>
      </c>
      <c r="K319" s="26" t="str">
        <f>IF(OR(E319="",E319="!!!",F319="NEW"),"",INDEX(J$1:J318,SUMPRODUCT(MAX(ROW(E$1:E318)*(E319=E$1:E318)))))</f>
        <v> </v>
      </c>
      <c r="L319" s="27"/>
    </row>
    <row r="320" spans="1:12">
      <c r="A320" s="20" t="s">
        <v>159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209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286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340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341</v>
      </c>
      <c r="B324" s="21" t="s">
        <v>179</v>
      </c>
      <c r="C324" s="21" t="s">
        <v>227</v>
      </c>
      <c r="D324" s="21" t="s">
        <v>151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248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209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342</v>
      </c>
      <c r="B327" s="21" t="s">
        <v>149</v>
      </c>
      <c r="C327" s="21" t="s">
        <v>227</v>
      </c>
      <c r="D327" s="21" t="s">
        <v>151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187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/>
    </row>
    <row r="330" spans="1:12">
      <c r="A330" s="20" t="s">
        <v>343</v>
      </c>
    </row>
    <row r="331" spans="1:12">
      <c r="A331" s="20" t="s">
        <v>344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196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345</v>
      </c>
      <c r="B333" s="21" t="s">
        <v>179</v>
      </c>
      <c r="C333" s="21" t="s">
        <v>199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346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164</v>
      </c>
      <c r="B335" s="21" t="s">
        <v>149</v>
      </c>
      <c r="C335" s="21" t="s">
        <v>150</v>
      </c>
      <c r="D335" s="21" t="s">
        <v>151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153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347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308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291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348</v>
      </c>
      <c r="B340" s="21" t="s">
        <v>170</v>
      </c>
      <c r="C340" s="21" t="s">
        <v>158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349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341</v>
      </c>
      <c r="B342" s="21" t="s">
        <v>154</v>
      </c>
      <c r="C342" s="21" t="s">
        <v>192</v>
      </c>
      <c r="D342" s="21" t="s">
        <v>151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350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212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209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156</v>
      </c>
      <c r="B346" s="21" t="s">
        <v>213</v>
      </c>
      <c r="C346" s="21" t="s">
        <v>227</v>
      </c>
      <c r="D346" s="21" t="s">
        <v>151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159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160</v>
      </c>
      <c r="B348" s="21" t="s">
        <v>170</v>
      </c>
      <c r="C348" s="21" t="s">
        <v>158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339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351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352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353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169</v>
      </c>
      <c r="B353" s="21" t="s">
        <v>170</v>
      </c>
      <c r="C353" s="21" t="s">
        <v>171</v>
      </c>
      <c r="D353" s="21" t="s">
        <v>151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354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355</v>
      </c>
      <c r="B355" s="21" t="s">
        <v>149</v>
      </c>
      <c r="C355" s="21" t="s">
        <v>173</v>
      </c>
      <c r="D355" s="21" t="s">
        <v>151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 t="s">
        <v>187</v>
      </c>
      <c r="E356" s="22">
        <f>IF(D356="?OLD","!!!","")</f>
        <v/>
      </c>
      <c r="F356" s="23" t="str">
        <f>IF(OR(E356="",E356="!!!"),"",IF(NOT(ISNA(VLOOKUP(E356,E$1:E355,1,FALSE()))),"OLD",IF(AND(E356&lt;&gt;"",E356&lt;&gt;"!!!"),"NEW","")))</f>
        <v> </v>
      </c>
      <c r="G356" s="24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> </v>
      </c>
      <c r="H356" s="25" t="str">
        <f>IF(J356&lt;&gt;1,"",IF(I356="SBJ","CB","?"))</f>
        <v> </v>
      </c>
      <c r="I356" s="26" t="str">
        <f>IF(OR(E356="",E356="!!!",F356="NEW"),"",INDEX(B355:B$2,-1+SUMPRODUCT(MAX(ROW(E355:E$2)*(E356=E355:E$2)))))</f>
        <v> </v>
      </c>
      <c r="J356" s="26" t="str">
        <f>IF(OR(E356="",E356="!!!",F356="NEW"),"",COUNTBLANK(OFFSET(A$1,,,SUMPRODUCT(MAX(ROW(E$2:E356)*(E356=E$2:E356)))))-COUNTBLANK(OFFSET(A$1,,,SUMPRODUCT(MAX(ROW(E$1:E355)*(E2=E$1:E355))))))</f>
        <v> </v>
      </c>
      <c r="K356" s="26" t="str">
        <f>IF(OR(E356="",E356="!!!",F356="NEW"),"",INDEX(J$1:J355,SUMPRODUCT(MAX(ROW(E$1:E355)*(E356=E$1:E355)))))</f>
        <v> </v>
      </c>
      <c r="L356" s="27"/>
    </row>
    <row r="357" spans="1:12">
      <c r="A357" s="20"/>
    </row>
    <row r="358" spans="1:12">
      <c r="A358" s="20" t="s">
        <v>356</v>
      </c>
    </row>
    <row r="359" spans="1:12">
      <c r="A359" s="20" t="s">
        <v>357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358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209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320</v>
      </c>
      <c r="B362" s="21" t="s">
        <v>179</v>
      </c>
      <c r="C362" s="21" t="s">
        <v>227</v>
      </c>
      <c r="D362" s="21" t="s">
        <v>151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183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209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359</v>
      </c>
      <c r="B365" s="21" t="s">
        <v>149</v>
      </c>
      <c r="C365" s="21" t="s">
        <v>227</v>
      </c>
      <c r="D365" s="21" t="s">
        <v>151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228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360</v>
      </c>
      <c r="B367" s="21" t="s">
        <v>154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361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303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362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12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363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194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228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364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365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366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367</v>
      </c>
      <c r="B378" s="21" t="s">
        <v>179</v>
      </c>
      <c r="C378" s="21" t="s">
        <v>158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187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/>
    </row>
    <row r="381" spans="1:12">
      <c r="A381" s="20" t="s">
        <v>368</v>
      </c>
    </row>
    <row r="382" spans="1:12">
      <c r="A382" s="20" t="s">
        <v>369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243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 t="s">
        <v>370</v>
      </c>
      <c r="B384" s="21" t="s">
        <v>154</v>
      </c>
      <c r="C384" s="21" t="s">
        <v>324</v>
      </c>
      <c r="D384" s="21" t="s">
        <v>151</v>
      </c>
      <c r="E384" s="22">
        <f>IF(D384="?OLD","!!!","")</f>
        <v/>
      </c>
      <c r="F384" s="23" t="str">
        <f>IF(OR(E384="",E384="!!!"),"",IF(NOT(ISNA(VLOOKUP(E384,E$1:E383,1,FALSE()))),"OLD",IF(AND(E384&lt;&gt;"",E384&lt;&gt;"!!!"),"NEW","")))</f>
        <v> </v>
      </c>
      <c r="G384" s="24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5" t="str">
        <f>IF(J384&lt;&gt;1,"",IF(I384="SBJ","CB","?"))</f>
        <v> </v>
      </c>
      <c r="I384" s="26" t="str">
        <f>IF(OR(E384="",E384="!!!",F384="NEW"),"",INDEX(B383:B$2,-1+SUMPRODUCT(MAX(ROW(E383:E$2)*(E384=E383:E$2)))))</f>
        <v> </v>
      </c>
      <c r="J384" s="26" t="str">
        <f>IF(OR(E384="",E384="!!!",F384="NEW"),"",COUNTBLANK(OFFSET(A$1,,,SUMPRODUCT(MAX(ROW(E$2:E384)*(E384=E$2:E384)))))-COUNTBLANK(OFFSET(A$1,,,SUMPRODUCT(MAX(ROW(E$1:E383)*(E2=E$1:E383))))))</f>
        <v> </v>
      </c>
      <c r="K384" s="26" t="str">
        <f>IF(OR(E384="",E384="!!!",F384="NEW"),"",INDEX(J$1:J383,SUMPRODUCT(MAX(ROW(E$1:E383)*(E384=E$1:E383)))))</f>
        <v> </v>
      </c>
      <c r="L384" s="27"/>
    </row>
    <row r="385" spans="1:12">
      <c r="A385" s="20" t="s">
        <v>209</v>
      </c>
      <c r="E385" s="22">
        <f>IF(D385="?OLD","!!!","")</f>
        <v/>
      </c>
      <c r="F385" s="23" t="str">
        <f>IF(OR(E385="",E385="!!!"),"",IF(NOT(ISNA(VLOOKUP(E385,E$1:E384,1,FALSE()))),"OLD",IF(AND(E385&lt;&gt;"",E385&lt;&gt;"!!!"),"NEW","")))</f>
        <v> </v>
      </c>
      <c r="G385" s="24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5" t="str">
        <f>IF(J385&lt;&gt;1,"",IF(I385="SBJ","CB","?"))</f>
        <v> </v>
      </c>
      <c r="I385" s="26" t="str">
        <f>IF(OR(E385="",E385="!!!",F385="NEW"),"",INDEX(B384:B$2,-1+SUMPRODUCT(MAX(ROW(E384:E$2)*(E385=E384:E$2)))))</f>
        <v> </v>
      </c>
      <c r="J385" s="26" t="str">
        <f>IF(OR(E385="",E385="!!!",F385="NEW"),"",COUNTBLANK(OFFSET(A$1,,,SUMPRODUCT(MAX(ROW(E$2:E385)*(E385=E$2:E385)))))-COUNTBLANK(OFFSET(A$1,,,SUMPRODUCT(MAX(ROW(E$1:E384)*(E2=E$1:E384))))))</f>
        <v> </v>
      </c>
      <c r="K385" s="26" t="str">
        <f>IF(OR(E385="",E385="!!!",F385="NEW"),"",INDEX(J$1:J384,SUMPRODUCT(MAX(ROW(E$1:E384)*(E385=E$1:E384)))))</f>
        <v> </v>
      </c>
      <c r="L385" s="27"/>
    </row>
    <row r="386" spans="1:12">
      <c r="A386" s="20" t="s">
        <v>371</v>
      </c>
      <c r="B386" s="21" t="s">
        <v>179</v>
      </c>
      <c r="C386" s="21" t="s">
        <v>227</v>
      </c>
      <c r="D386" s="21" t="s">
        <v>151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12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372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208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373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374</v>
      </c>
      <c r="B391" s="21" t="s">
        <v>179</v>
      </c>
      <c r="C391" s="21" t="s">
        <v>186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159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375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376</v>
      </c>
      <c r="B394" s="21" t="s">
        <v>149</v>
      </c>
      <c r="C394" s="21" t="s">
        <v>158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321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/>
    </row>
    <row r="397" spans="1:12">
      <c r="A397" s="20" t="s">
        <v>377</v>
      </c>
    </row>
    <row r="398" spans="1:12">
      <c r="A398" s="20" t="s">
        <v>378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379</v>
      </c>
      <c r="B399" s="21" t="s">
        <v>154</v>
      </c>
      <c r="C399" s="21" t="s">
        <v>186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380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381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187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/>
    </row>
    <row r="404" spans="1:12">
      <c r="A404" s="20" t="s">
        <v>382</v>
      </c>
    </row>
    <row r="405" spans="1:12">
      <c r="A405" s="20" t="s">
        <v>357</v>
      </c>
      <c r="E405" s="22">
        <f>IF(D405="?OLD","!!!","")</f>
        <v/>
      </c>
      <c r="F405" s="23" t="str">
        <f>IF(OR(E405="",E405="!!!"),"",IF(NOT(ISNA(VLOOKUP(E405,E$1:E404,1,FALSE()))),"OLD",IF(AND(E405&lt;&gt;"",E405&lt;&gt;"!!!"),"NEW","")))</f>
        <v> </v>
      </c>
      <c r="G405" s="24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> </v>
      </c>
      <c r="H405" s="25" t="str">
        <f>IF(J405&lt;&gt;1,"",IF(I405="SBJ","CB","?"))</f>
        <v> </v>
      </c>
      <c r="I405" s="26" t="str">
        <f>IF(OR(E405="",E405="!!!",F405="NEW"),"",INDEX(B404:B$2,-1+SUMPRODUCT(MAX(ROW(E404:E$2)*(E405=E404:E$2)))))</f>
        <v> </v>
      </c>
      <c r="J405" s="26" t="str">
        <f>IF(OR(E405="",E405="!!!",F405="NEW"),"",COUNTBLANK(OFFSET(A$1,,,SUMPRODUCT(MAX(ROW(E$2:E405)*(E405=E$2:E405)))))-COUNTBLANK(OFFSET(A$1,,,SUMPRODUCT(MAX(ROW(E$1:E404)*(E2=E$1:E404))))))</f>
        <v> </v>
      </c>
      <c r="K405" s="26" t="str">
        <f>IF(OR(E405="",E405="!!!",F405="NEW"),"",INDEX(J$1:J404,SUMPRODUCT(MAX(ROW(E$1:E404)*(E405=E$1:E404)))))</f>
        <v> </v>
      </c>
      <c r="L405" s="27"/>
    </row>
    <row r="406" spans="1:12">
      <c r="A406" s="20" t="s">
        <v>209</v>
      </c>
      <c r="E406" s="22">
        <f>IF(D406="?OLD","!!!","")</f>
        <v/>
      </c>
      <c r="F406" s="23" t="str">
        <f>IF(OR(E406="",E406="!!!"),"",IF(NOT(ISNA(VLOOKUP(E406,E$1:E405,1,FALSE()))),"OLD",IF(AND(E406&lt;&gt;"",E406&lt;&gt;"!!!"),"NEW","")))</f>
        <v> </v>
      </c>
      <c r="G406" s="24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> </v>
      </c>
      <c r="H406" s="25" t="str">
        <f>IF(J406&lt;&gt;1,"",IF(I406="SBJ","CB","?"))</f>
        <v> </v>
      </c>
      <c r="I406" s="26" t="str">
        <f>IF(OR(E406="",E406="!!!",F406="NEW"),"",INDEX(B405:B$2,-1+SUMPRODUCT(MAX(ROW(E405:E$2)*(E406=E405:E$2)))))</f>
        <v> </v>
      </c>
      <c r="J406" s="26" t="str">
        <f>IF(OR(E406="",E406="!!!",F406="NEW"),"",COUNTBLANK(OFFSET(A$1,,,SUMPRODUCT(MAX(ROW(E$2:E406)*(E406=E$2:E406)))))-COUNTBLANK(OFFSET(A$1,,,SUMPRODUCT(MAX(ROW(E$1:E405)*(E2=E$1:E405))))))</f>
        <v> </v>
      </c>
      <c r="K406" s="26" t="str">
        <f>IF(OR(E406="",E406="!!!",F406="NEW"),"",INDEX(J$1:J405,SUMPRODUCT(MAX(ROW(E$1:E405)*(E406=E$1:E405)))))</f>
        <v> </v>
      </c>
      <c r="L406" s="27"/>
    </row>
    <row r="407" spans="1:12">
      <c r="A407" s="20" t="s">
        <v>383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74</v>
      </c>
      <c r="B408" s="21" t="s">
        <v>154</v>
      </c>
      <c r="C408" s="21" t="s">
        <v>227</v>
      </c>
      <c r="D408" s="21" t="s">
        <v>151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12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212</v>
      </c>
      <c r="B410" s="21" t="s">
        <v>314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196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384</v>
      </c>
      <c r="B412" s="21" t="s">
        <v>314</v>
      </c>
      <c r="C412" s="21" t="s">
        <v>199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385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386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223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196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387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388</v>
      </c>
      <c r="B418" s="21" t="s">
        <v>170</v>
      </c>
      <c r="C418" s="21" t="s">
        <v>199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228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389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390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217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391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148</v>
      </c>
      <c r="B424" s="21" t="s">
        <v>170</v>
      </c>
      <c r="C424" s="21" t="s">
        <v>150</v>
      </c>
      <c r="D424" s="21" t="s">
        <v>151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152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200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392</v>
      </c>
      <c r="B427" s="21" t="s">
        <v>172</v>
      </c>
      <c r="C427" s="21" t="s">
        <v>173</v>
      </c>
      <c r="D427" s="21" t="s">
        <v>151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12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166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177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393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346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394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395</v>
      </c>
      <c r="B434" s="21" t="s">
        <v>149</v>
      </c>
      <c r="C434" s="21" t="s">
        <v>158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187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/>
    </row>
    <row r="437" spans="1:12">
      <c r="A437" s="20" t="s">
        <v>204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396</v>
      </c>
    </row>
    <row r="439" spans="1:12">
      <c r="A439" s="20" t="s">
        <v>344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397</v>
      </c>
      <c r="B440" s="21" t="s">
        <v>179</v>
      </c>
      <c r="C440" s="21" t="s">
        <v>158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217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176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153</v>
      </c>
      <c r="B443" s="21" t="s">
        <v>149</v>
      </c>
      <c r="C443" s="21" t="s">
        <v>150</v>
      </c>
      <c r="D443" s="21" t="s">
        <v>151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228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398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308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209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210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273</v>
      </c>
      <c r="B449" s="21" t="s">
        <v>179</v>
      </c>
      <c r="C449" s="21" t="s">
        <v>227</v>
      </c>
      <c r="D449" s="21" t="s">
        <v>151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228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176</v>
      </c>
      <c r="B451" s="21" t="s">
        <v>149</v>
      </c>
      <c r="C451" s="21" t="s">
        <v>150</v>
      </c>
      <c r="D451" s="21" t="s">
        <v>151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162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211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 t="s">
        <v>215</v>
      </c>
      <c r="E454" s="22">
        <f>IF(D454="?OLD","!!!","")</f>
        <v/>
      </c>
      <c r="F454" s="23" t="str">
        <f>IF(OR(E454="",E454="!!!"),"",IF(NOT(ISNA(VLOOKUP(E454,E$1:E453,1,FALSE()))),"OLD",IF(AND(E454&lt;&gt;"",E454&lt;&gt;"!!!"),"NEW","")))</f>
        <v> </v>
      </c>
      <c r="G454" s="24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5" t="str">
        <f>IF(J454&lt;&gt;1,"",IF(I454="SBJ","CB","?"))</f>
        <v> </v>
      </c>
      <c r="I454" s="26" t="str">
        <f>IF(OR(E454="",E454="!!!",F454="NEW"),"",INDEX(B453:B$2,-1+SUMPRODUCT(MAX(ROW(E453:E$2)*(E454=E453:E$2)))))</f>
        <v> </v>
      </c>
      <c r="J454" s="26" t="str">
        <f>IF(OR(E454="",E454="!!!",F454="NEW"),"",COUNTBLANK(OFFSET(A$1,,,SUMPRODUCT(MAX(ROW(E$2:E454)*(E454=E$2:E454)))))-COUNTBLANK(OFFSET(A$1,,,SUMPRODUCT(MAX(ROW(E$1:E453)*(E2=E$1:E453))))))</f>
        <v> </v>
      </c>
      <c r="K454" s="26" t="str">
        <f>IF(OR(E454="",E454="!!!",F454="NEW"),"",INDEX(J$1:J453,SUMPRODUCT(MAX(ROW(E$1:E453)*(E454=E$1:E453)))))</f>
        <v> </v>
      </c>
      <c r="L454" s="27"/>
    </row>
    <row r="455" spans="1:12">
      <c r="A455" s="20" t="s">
        <v>399</v>
      </c>
      <c r="B455" s="21" t="s">
        <v>314</v>
      </c>
      <c r="C455" s="21" t="s">
        <v>254</v>
      </c>
      <c r="D455" s="21" t="s">
        <v>151</v>
      </c>
      <c r="E455" s="22">
        <f>IF(D455="?OLD","!!!","")</f>
        <v/>
      </c>
      <c r="F455" s="23" t="str">
        <f>IF(OR(E455="",E455="!!!"),"",IF(NOT(ISNA(VLOOKUP(E455,E$1:E454,1,FALSE()))),"OLD",IF(AND(E455&lt;&gt;"",E455&lt;&gt;"!!!"),"NEW","")))</f>
        <v> </v>
      </c>
      <c r="G455" s="24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5" t="str">
        <f>IF(J455&lt;&gt;1,"",IF(I455="SBJ","CB","?"))</f>
        <v> </v>
      </c>
      <c r="I455" s="26" t="str">
        <f>IF(OR(E455="",E455="!!!",F455="NEW"),"",INDEX(B454:B$2,-1+SUMPRODUCT(MAX(ROW(E454:E$2)*(E455=E454:E$2)))))</f>
        <v> </v>
      </c>
      <c r="J455" s="26" t="str">
        <f>IF(OR(E455="",E455="!!!",F455="NEW"),"",COUNTBLANK(OFFSET(A$1,,,SUMPRODUCT(MAX(ROW(E$2:E455)*(E455=E$2:E455)))))-COUNTBLANK(OFFSET(A$1,,,SUMPRODUCT(MAX(ROW(E$1:E454)*(E2=E$1:E454))))))</f>
        <v> </v>
      </c>
      <c r="K455" s="26" t="str">
        <f>IF(OR(E455="",E455="!!!",F455="NEW"),"",INDEX(J$1:J454,SUMPRODUCT(MAX(ROW(E$1:E454)*(E455=E$1:E454)))))</f>
        <v> </v>
      </c>
      <c r="L455" s="27"/>
    </row>
    <row r="456" spans="1:12">
      <c r="A456" s="20" t="s">
        <v>152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400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212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248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401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236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285</v>
      </c>
      <c r="B462" s="21" t="s">
        <v>402</v>
      </c>
      <c r="C462" s="21" t="s">
        <v>254</v>
      </c>
      <c r="D462" s="21" t="s">
        <v>151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310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281</v>
      </c>
      <c r="B464" s="21" t="s">
        <v>403</v>
      </c>
      <c r="C464" s="21" t="s">
        <v>254</v>
      </c>
      <c r="D464" s="21" t="s">
        <v>151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228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248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196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404</v>
      </c>
      <c r="B468" s="21" t="s">
        <v>222</v>
      </c>
      <c r="C468" s="21" t="s">
        <v>199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228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217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405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406</v>
      </c>
      <c r="B472" s="21" t="s">
        <v>295</v>
      </c>
      <c r="C472" s="21" t="s">
        <v>254</v>
      </c>
      <c r="D472" s="21" t="s">
        <v>151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346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370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407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408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312</v>
      </c>
      <c r="B477" s="21" t="s">
        <v>220</v>
      </c>
      <c r="C477" s="21" t="s">
        <v>409</v>
      </c>
      <c r="D477" s="21" t="s">
        <v>151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228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410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12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281</v>
      </c>
      <c r="B481" s="21" t="s">
        <v>314</v>
      </c>
      <c r="C481" s="21" t="s">
        <v>254</v>
      </c>
      <c r="D481" s="21" t="s">
        <v>151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 t="s">
        <v>411</v>
      </c>
      <c r="E482" s="22">
        <f>IF(D482="?OLD","!!!","")</f>
        <v/>
      </c>
      <c r="F482" s="23" t="str">
        <f>IF(OR(E482="",E482="!!!"),"",IF(NOT(ISNA(VLOOKUP(E482,E$1:E481,1,FALSE()))),"OLD",IF(AND(E482&lt;&gt;"",E482&lt;&gt;"!!!"),"NEW","")))</f>
        <v> </v>
      </c>
      <c r="G482" s="24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5" t="str">
        <f>IF(J482&lt;&gt;1,"",IF(I482="SBJ","CB","?"))</f>
        <v> </v>
      </c>
      <c r="I482" s="26" t="str">
        <f>IF(OR(E482="",E482="!!!",F482="NEW"),"",INDEX(B481:B$2,-1+SUMPRODUCT(MAX(ROW(E481:E$2)*(E482=E481:E$2)))))</f>
        <v> </v>
      </c>
      <c r="J482" s="26" t="str">
        <f>IF(OR(E482="",E482="!!!",F482="NEW"),"",COUNTBLANK(OFFSET(A$1,,,SUMPRODUCT(MAX(ROW(E$2:E482)*(E482=E$2:E482)))))-COUNTBLANK(OFFSET(A$1,,,SUMPRODUCT(MAX(ROW(E$1:E481)*(E2=E$1:E481))))))</f>
        <v> </v>
      </c>
      <c r="K482" s="26" t="str">
        <f>IF(OR(E482="",E482="!!!",F482="NEW"),"",INDEX(J$1:J481,SUMPRODUCT(MAX(ROW(E$1:E481)*(E482=E$1:E481)))))</f>
        <v> </v>
      </c>
      <c r="L482" s="27"/>
    </row>
    <row r="483" spans="1:12">
      <c r="A483" s="20" t="s">
        <v>27</v>
      </c>
      <c r="E483" s="22">
        <f>IF(D483="?OLD","!!!","")</f>
        <v/>
      </c>
      <c r="F483" s="23" t="str">
        <f>IF(OR(E483="",E483="!!!"),"",IF(NOT(ISNA(VLOOKUP(E483,E$1:E482,1,FALSE()))),"OLD",IF(AND(E483&lt;&gt;"",E483&lt;&gt;"!!!"),"NEW","")))</f>
        <v> </v>
      </c>
      <c r="G483" s="24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5" t="str">
        <f>IF(J483&lt;&gt;1,"",IF(I483="SBJ","CB","?"))</f>
        <v> </v>
      </c>
      <c r="I483" s="26" t="str">
        <f>IF(OR(E483="",E483="!!!",F483="NEW"),"",INDEX(B482:B$2,-1+SUMPRODUCT(MAX(ROW(E482:E$2)*(E483=E482:E$2)))))</f>
        <v> </v>
      </c>
      <c r="J483" s="26" t="str">
        <f>IF(OR(E483="",E483="!!!",F483="NEW"),"",COUNTBLANK(OFFSET(A$1,,,SUMPRODUCT(MAX(ROW(E$2:E483)*(E483=E$2:E483)))))-COUNTBLANK(OFFSET(A$1,,,SUMPRODUCT(MAX(ROW(E$1:E482)*(E2=E$1:E482))))))</f>
        <v> </v>
      </c>
      <c r="K483" s="26" t="str">
        <f>IF(OR(E483="",E483="!!!",F483="NEW"),"",INDEX(J$1:J482,SUMPRODUCT(MAX(ROW(E$1:E482)*(E483=E$1:E482)))))</f>
        <v> </v>
      </c>
      <c r="L483" s="27"/>
    </row>
    <row r="484" spans="1:12">
      <c r="A484" s="20" t="s">
        <v>12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412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312</v>
      </c>
      <c r="B486" s="21" t="s">
        <v>222</v>
      </c>
      <c r="C486" s="21" t="s">
        <v>158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228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183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413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185</v>
      </c>
      <c r="B490" s="21" t="s">
        <v>170</v>
      </c>
      <c r="C490" s="21" t="s">
        <v>186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187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/>
    </row>
    <row r="493" spans="1:12">
      <c r="A493" s="20" t="s">
        <v>414</v>
      </c>
    </row>
    <row r="494" spans="1:12">
      <c r="A494" s="20" t="s">
        <v>415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228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399</v>
      </c>
      <c r="B496" s="21" t="s">
        <v>154</v>
      </c>
      <c r="C496" s="21" t="s">
        <v>254</v>
      </c>
      <c r="D496" s="21" t="s">
        <v>151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416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372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 t="s">
        <v>212</v>
      </c>
      <c r="E499" s="22">
        <f>IF(D499="?OLD","!!!","")</f>
        <v/>
      </c>
      <c r="F499" s="23" t="str">
        <f>IF(OR(E499="",E499="!!!"),"",IF(NOT(ISNA(VLOOKUP(E499,E$1:E498,1,FALSE()))),"OLD",IF(AND(E499&lt;&gt;"",E499&lt;&gt;"!!!"),"NEW","")))</f>
        <v> </v>
      </c>
      <c r="G499" s="24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5" t="str">
        <f>IF(J499&lt;&gt;1,"",IF(I499="SBJ","CB","?"))</f>
        <v> </v>
      </c>
      <c r="I499" s="26" t="str">
        <f>IF(OR(E499="",E499="!!!",F499="NEW"),"",INDEX(B498:B$2,-1+SUMPRODUCT(MAX(ROW(E498:E$2)*(E499=E498:E$2)))))</f>
        <v> </v>
      </c>
      <c r="J499" s="26" t="str">
        <f>IF(OR(E499="",E499="!!!",F499="NEW"),"",COUNTBLANK(OFFSET(A$1,,,SUMPRODUCT(MAX(ROW(E$2:E499)*(E499=E$2:E499)))))-COUNTBLANK(OFFSET(A$1,,,SUMPRODUCT(MAX(ROW(E$1:E498)*(E2=E$1:E498))))))</f>
        <v> </v>
      </c>
      <c r="K499" s="26" t="str">
        <f>IF(OR(E499="",E499="!!!",F499="NEW"),"",INDEX(J$1:J498,SUMPRODUCT(MAX(ROW(E$1:E498)*(E499=E$1:E498)))))</f>
        <v> </v>
      </c>
      <c r="L499" s="27"/>
    </row>
    <row r="500" spans="1:12">
      <c r="A500" s="20" t="s">
        <v>285</v>
      </c>
      <c r="B500" s="21" t="s">
        <v>213</v>
      </c>
      <c r="C500" s="21" t="s">
        <v>254</v>
      </c>
      <c r="D500" s="21" t="s">
        <v>151</v>
      </c>
      <c r="E500" s="22">
        <f>IF(D500="?OLD","!!!","")</f>
        <v/>
      </c>
      <c r="F500" s="23" t="str">
        <f>IF(OR(E500="",E500="!!!"),"",IF(NOT(ISNA(VLOOKUP(E500,E$1:E499,1,FALSE()))),"OLD",IF(AND(E500&lt;&gt;"",E500&lt;&gt;"!!!"),"NEW","")))</f>
        <v> </v>
      </c>
      <c r="G500" s="24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5" t="str">
        <f>IF(J500&lt;&gt;1,"",IF(I500="SBJ","CB","?"))</f>
        <v> </v>
      </c>
      <c r="I500" s="26" t="str">
        <f>IF(OR(E500="",E500="!!!",F500="NEW"),"",INDEX(B499:B$2,-1+SUMPRODUCT(MAX(ROW(E499:E$2)*(E500=E499:E$2)))))</f>
        <v> </v>
      </c>
      <c r="J500" s="26" t="str">
        <f>IF(OR(E500="",E500="!!!",F500="NEW"),"",COUNTBLANK(OFFSET(A$1,,,SUMPRODUCT(MAX(ROW(E$2:E500)*(E500=E$2:E500)))))-COUNTBLANK(OFFSET(A$1,,,SUMPRODUCT(MAX(ROW(E$1:E499)*(E2=E$1:E499))))))</f>
        <v> </v>
      </c>
      <c r="K500" s="26" t="str">
        <f>IF(OR(E500="",E500="!!!",F500="NEW"),"",INDEX(J$1:J499,SUMPRODUCT(MAX(ROW(E$1:E499)*(E500=E$1:E499)))))</f>
        <v> </v>
      </c>
      <c r="L500" s="27"/>
    </row>
    <row r="501" spans="1:12">
      <c r="A501" s="20" t="s">
        <v>417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177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225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156</v>
      </c>
      <c r="B504" s="21" t="s">
        <v>179</v>
      </c>
      <c r="C504" s="21" t="s">
        <v>158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159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160</v>
      </c>
      <c r="B506" s="21" t="s">
        <v>149</v>
      </c>
      <c r="C506" s="21" t="s">
        <v>158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183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413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185</v>
      </c>
      <c r="B509" s="21" t="s">
        <v>149</v>
      </c>
      <c r="C509" s="21" t="s">
        <v>186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201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418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419</v>
      </c>
      <c r="B512" s="21" t="s">
        <v>170</v>
      </c>
      <c r="C512" s="21" t="s">
        <v>186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187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/>
    </row>
    <row r="515" spans="1:12">
      <c r="A515" s="20" t="s">
        <v>420</v>
      </c>
    </row>
    <row r="516" spans="1:12">
      <c r="A516" s="20" t="s">
        <v>176</v>
      </c>
      <c r="B516" s="21" t="s">
        <v>154</v>
      </c>
      <c r="C516" s="21" t="s">
        <v>150</v>
      </c>
      <c r="D516" s="21" t="s">
        <v>151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162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421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422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209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312</v>
      </c>
      <c r="B521" s="21" t="s">
        <v>157</v>
      </c>
      <c r="C521" s="21" t="s">
        <v>227</v>
      </c>
      <c r="D521" s="21" t="s">
        <v>151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248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423</v>
      </c>
      <c r="B523" s="21" t="s">
        <v>179</v>
      </c>
      <c r="C523" s="21" t="s">
        <v>150</v>
      </c>
      <c r="D523" s="21" t="s">
        <v>151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424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187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/>
    </row>
    <row r="527" spans="1:12">
      <c r="A527" s="20" t="s">
        <v>425</v>
      </c>
    </row>
    <row r="528" spans="1:12">
      <c r="A528" s="20" t="s">
        <v>426</v>
      </c>
      <c r="B528" s="21" t="s">
        <v>154</v>
      </c>
      <c r="C528" s="21" t="s">
        <v>254</v>
      </c>
      <c r="D528" s="21" t="s">
        <v>151</v>
      </c>
      <c r="E528" s="22">
        <f>IF(D528="?OLD","!!!","")</f>
        <v/>
      </c>
      <c r="F528" s="23" t="str">
        <f>IF(OR(E528="",E528="!!!"),"",IF(NOT(ISNA(VLOOKUP(E528,E$1:E527,1,FALSE()))),"OLD",IF(AND(E528&lt;&gt;"",E528&lt;&gt;"!!!"),"NEW","")))</f>
        <v> </v>
      </c>
      <c r="G528" s="24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> </v>
      </c>
      <c r="H528" s="25" t="str">
        <f>IF(J528&lt;&gt;1,"",IF(I528="SBJ","CB","?"))</f>
        <v> </v>
      </c>
      <c r="I528" s="26" t="str">
        <f>IF(OR(E528="",E528="!!!",F528="NEW"),"",INDEX(B527:B$2,-1+SUMPRODUCT(MAX(ROW(E527:E$2)*(E528=E527:E$2)))))</f>
        <v> </v>
      </c>
      <c r="J528" s="26" t="str">
        <f>IF(OR(E528="",E528="!!!",F528="NEW"),"",COUNTBLANK(OFFSET(A$1,,,SUMPRODUCT(MAX(ROW(E$2:E528)*(E528=E$2:E528)))))-COUNTBLANK(OFFSET(A$1,,,SUMPRODUCT(MAX(ROW(E$1:E527)*(E2=E$1:E527))))))</f>
        <v> </v>
      </c>
      <c r="K528" s="26" t="str">
        <f>IF(OR(E528="",E528="!!!",F528="NEW"),"",INDEX(J$1:J527,SUMPRODUCT(MAX(ROW(E$1:E527)*(E528=E$1:E527)))))</f>
        <v> </v>
      </c>
      <c r="L528" s="27"/>
    </row>
    <row r="529" spans="1:12">
      <c r="A529" s="20" t="s">
        <v>265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427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223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196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234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428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429</v>
      </c>
      <c r="B535" s="21" t="s">
        <v>179</v>
      </c>
      <c r="C535" s="21" t="s">
        <v>199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201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430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429</v>
      </c>
      <c r="B538" s="21" t="s">
        <v>149</v>
      </c>
      <c r="C538" s="21" t="s">
        <v>158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187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/>
    </row>
    <row r="541" spans="1:12">
      <c r="A541" s="20" t="s">
        <v>431</v>
      </c>
    </row>
    <row r="542" spans="1:12">
      <c r="A542" s="20" t="s">
        <v>426</v>
      </c>
      <c r="B542" s="21" t="s">
        <v>154</v>
      </c>
      <c r="C542" s="21" t="s">
        <v>254</v>
      </c>
      <c r="D542" s="21" t="s">
        <v>151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243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196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432</v>
      </c>
      <c r="B545" s="21" t="s">
        <v>179</v>
      </c>
      <c r="C545" s="21" t="s">
        <v>173</v>
      </c>
      <c r="D545" s="21" t="s">
        <v>151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159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 t="s">
        <v>209</v>
      </c>
      <c r="E547" s="22">
        <f>IF(D547="?OLD","!!!","")</f>
        <v/>
      </c>
      <c r="F547" s="23" t="str">
        <f>IF(OR(E547="",E547="!!!"),"",IF(NOT(ISNA(VLOOKUP(E547,E$1:E546,1,FALSE()))),"OLD",IF(AND(E547&lt;&gt;"",E547&lt;&gt;"!!!"),"NEW","")))</f>
        <v> </v>
      </c>
      <c r="G547" s="24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5" t="str">
        <f>IF(J547&lt;&gt;1,"",IF(I547="SBJ","CB","?"))</f>
        <v> </v>
      </c>
      <c r="I547" s="26" t="str">
        <f>IF(OR(E547="",E547="!!!",F547="NEW"),"",INDEX(B546:B$2,-1+SUMPRODUCT(MAX(ROW(E546:E$2)*(E547=E546:E$2)))))</f>
        <v> </v>
      </c>
      <c r="J547" s="26" t="str">
        <f>IF(OR(E547="",E547="!!!",F547="NEW"),"",COUNTBLANK(OFFSET(A$1,,,SUMPRODUCT(MAX(ROW(E$2:E547)*(E547=E$2:E547)))))-COUNTBLANK(OFFSET(A$1,,,SUMPRODUCT(MAX(ROW(E$1:E546)*(E2=E$1:E546))))))</f>
        <v> </v>
      </c>
      <c r="K547" s="26" t="str">
        <f>IF(OR(E547="",E547="!!!",F547="NEW"),"",INDEX(J$1:J546,SUMPRODUCT(MAX(ROW(E$1:E546)*(E547=E$1:E546)))))</f>
        <v> </v>
      </c>
      <c r="L547" s="27"/>
    </row>
    <row r="548" spans="1:12">
      <c r="A548" s="20" t="s">
        <v>163</v>
      </c>
      <c r="E548" s="22">
        <f>IF(D548="?OLD","!!!","")</f>
        <v/>
      </c>
      <c r="F548" s="23" t="str">
        <f>IF(OR(E548="",E548="!!!"),"",IF(NOT(ISNA(VLOOKUP(E548,E$1:E547,1,FALSE()))),"OLD",IF(AND(E548&lt;&gt;"",E548&lt;&gt;"!!!"),"NEW","")))</f>
        <v> </v>
      </c>
      <c r="G548" s="24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5" t="str">
        <f>IF(J548&lt;&gt;1,"",IF(I548="SBJ","CB","?"))</f>
        <v> </v>
      </c>
      <c r="I548" s="26" t="str">
        <f>IF(OR(E548="",E548="!!!",F548="NEW"),"",INDEX(B547:B$2,-1+SUMPRODUCT(MAX(ROW(E547:E$2)*(E548=E547:E$2)))))</f>
        <v> </v>
      </c>
      <c r="J548" s="26" t="str">
        <f>IF(OR(E548="",E548="!!!",F548="NEW"),"",COUNTBLANK(OFFSET(A$1,,,SUMPRODUCT(MAX(ROW(E$2:E548)*(E548=E$2:E548)))))-COUNTBLANK(OFFSET(A$1,,,SUMPRODUCT(MAX(ROW(E$1:E547)*(E2=E$1:E547))))))</f>
        <v> </v>
      </c>
      <c r="K548" s="26" t="str">
        <f>IF(OR(E548="",E548="!!!",F548="NEW"),"",INDEX(J$1:J547,SUMPRODUCT(MAX(ROW(E$1:E547)*(E548=E$1:E547)))))</f>
        <v> </v>
      </c>
      <c r="L548" s="27"/>
    </row>
    <row r="549" spans="1:12">
      <c r="A549" s="20" t="s">
        <v>433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434</v>
      </c>
      <c r="B550" s="21" t="s">
        <v>179</v>
      </c>
      <c r="C550" s="21" t="s">
        <v>150</v>
      </c>
      <c r="D550" s="21" t="s">
        <v>151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201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196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244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432</v>
      </c>
      <c r="B554" s="21" t="s">
        <v>179</v>
      </c>
      <c r="C554" s="21" t="s">
        <v>199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159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209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336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291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334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335</v>
      </c>
      <c r="B560" s="21" t="s">
        <v>149</v>
      </c>
      <c r="C560" s="21" t="s">
        <v>227</v>
      </c>
      <c r="D560" s="21" t="s">
        <v>151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228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332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176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153</v>
      </c>
      <c r="B564" s="21" t="s">
        <v>179</v>
      </c>
      <c r="C564" s="21" t="s">
        <v>150</v>
      </c>
      <c r="D564" s="21" t="s">
        <v>151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187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/>
    </row>
    <row r="567" spans="1:12">
      <c r="A567" s="20" t="s">
        <v>435</v>
      </c>
    </row>
    <row r="568" spans="1:12">
      <c r="A568" s="20" t="s">
        <v>344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209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436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437</v>
      </c>
      <c r="B571" s="21" t="s">
        <v>179</v>
      </c>
      <c r="C571" s="21" t="s">
        <v>227</v>
      </c>
      <c r="D571" s="21" t="s">
        <v>151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228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438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176</v>
      </c>
      <c r="B574" s="21" t="s">
        <v>213</v>
      </c>
      <c r="C574" s="21" t="s">
        <v>150</v>
      </c>
      <c r="D574" s="21" t="s">
        <v>151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153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339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 t="s">
        <v>224</v>
      </c>
      <c r="B577" s="21" t="s">
        <v>154</v>
      </c>
      <c r="C577" s="21" t="s">
        <v>173</v>
      </c>
      <c r="D577" s="21" t="s">
        <v>151</v>
      </c>
      <c r="E577" s="22">
        <f>IF(D577="?OLD","!!!","")</f>
        <v/>
      </c>
      <c r="F577" s="23" t="str">
        <f>IF(OR(E577="",E577="!!!"),"",IF(NOT(ISNA(VLOOKUP(E577,E$1:E576,1,FALSE()))),"OLD",IF(AND(E577&lt;&gt;"",E577&lt;&gt;"!!!"),"NEW","")))</f>
        <v> </v>
      </c>
      <c r="G577" s="24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5" t="str">
        <f>IF(J577&lt;&gt;1,"",IF(I577="SBJ","CB","?"))</f>
        <v> </v>
      </c>
      <c r="I577" s="26" t="str">
        <f>IF(OR(E577="",E577="!!!",F577="NEW"),"",INDEX(B576:B$2,-1+SUMPRODUCT(MAX(ROW(E576:E$2)*(E577=E576:E$2)))))</f>
        <v> </v>
      </c>
      <c r="J577" s="26" t="str">
        <f>IF(OR(E577="",E577="!!!",F577="NEW"),"",COUNTBLANK(OFFSET(A$1,,,SUMPRODUCT(MAX(ROW(E$2:E577)*(E577=E$2:E577)))))-COUNTBLANK(OFFSET(A$1,,,SUMPRODUCT(MAX(ROW(E$1:E576)*(E2=E$1:E576))))))</f>
        <v> </v>
      </c>
      <c r="K577" s="26" t="str">
        <f>IF(OR(E577="",E577="!!!",F577="NEW"),"",INDEX(J$1:J576,SUMPRODUCT(MAX(ROW(E$1:E576)*(E577=E$1:E576)))))</f>
        <v> </v>
      </c>
      <c r="L577" s="27"/>
    </row>
    <row r="578" spans="1:12">
      <c r="A578" s="20" t="s">
        <v>159</v>
      </c>
      <c r="E578" s="22">
        <f>IF(D578="?OLD","!!!","")</f>
        <v/>
      </c>
      <c r="F578" s="23" t="str">
        <f>IF(OR(E578="",E578="!!!"),"",IF(NOT(ISNA(VLOOKUP(E578,E$1:E577,1,FALSE()))),"OLD",IF(AND(E578&lt;&gt;"",E578&lt;&gt;"!!!"),"NEW","")))</f>
        <v> </v>
      </c>
      <c r="G578" s="24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5" t="str">
        <f>IF(J578&lt;&gt;1,"",IF(I578="SBJ","CB","?"))</f>
        <v> </v>
      </c>
      <c r="I578" s="26" t="str">
        <f>IF(OR(E578="",E578="!!!",F578="NEW"),"",INDEX(B577:B$2,-1+SUMPRODUCT(MAX(ROW(E577:E$2)*(E578=E577:E$2)))))</f>
        <v> </v>
      </c>
      <c r="J578" s="26" t="str">
        <f>IF(OR(E578="",E578="!!!",F578="NEW"),"",COUNTBLANK(OFFSET(A$1,,,SUMPRODUCT(MAX(ROW(E$2:E578)*(E578=E$2:E578)))))-COUNTBLANK(OFFSET(A$1,,,SUMPRODUCT(MAX(ROW(E$1:E577)*(E2=E$1:E577))))))</f>
        <v> </v>
      </c>
      <c r="K578" s="26" t="str">
        <f>IF(OR(E578="",E578="!!!",F578="NEW"),"",INDEX(J$1:J577,SUMPRODUCT(MAX(ROW(E$1:E577)*(E578=E$1:E577)))))</f>
        <v> </v>
      </c>
      <c r="L578" s="27"/>
    </row>
    <row r="579" spans="1:12">
      <c r="A579" s="20" t="s">
        <v>209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439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433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440</v>
      </c>
      <c r="B582" s="21" t="s">
        <v>149</v>
      </c>
      <c r="C582" s="21" t="s">
        <v>150</v>
      </c>
      <c r="D582" s="21" t="s">
        <v>151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262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441</v>
      </c>
      <c r="B584" s="21" t="s">
        <v>170</v>
      </c>
      <c r="C584" s="21" t="s">
        <v>150</v>
      </c>
      <c r="D584" s="21" t="s">
        <v>151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264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228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442</v>
      </c>
      <c r="B587" s="21" t="s">
        <v>314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443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209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336</v>
      </c>
      <c r="B590" s="21" t="s">
        <v>219</v>
      </c>
      <c r="C590" s="21" t="s">
        <v>150</v>
      </c>
      <c r="D590" s="21" t="s">
        <v>151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228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176</v>
      </c>
      <c r="B592" s="21" t="s">
        <v>222</v>
      </c>
      <c r="C592" s="21" t="s">
        <v>150</v>
      </c>
      <c r="D592" s="21" t="s">
        <v>151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 t="s">
        <v>162</v>
      </c>
      <c r="E593" s="22">
        <f>IF(D593="?OLD","!!!","")</f>
        <v/>
      </c>
      <c r="F593" s="23" t="str">
        <f>IF(OR(E593="",E593="!!!"),"",IF(NOT(ISNA(VLOOKUP(E593,E$1:E592,1,FALSE()))),"OLD",IF(AND(E593&lt;&gt;"",E593&lt;&gt;"!!!"),"NEW","")))</f>
        <v> </v>
      </c>
      <c r="G593" s="24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5" t="str">
        <f>IF(J593&lt;&gt;1,"",IF(I593="SBJ","CB","?"))</f>
        <v> </v>
      </c>
      <c r="I593" s="26" t="str">
        <f>IF(OR(E593="",E593="!!!",F593="NEW"),"",INDEX(B592:B$2,-1+SUMPRODUCT(MAX(ROW(E592:E$2)*(E593=E592:E$2)))))</f>
        <v> </v>
      </c>
      <c r="J593" s="26" t="str">
        <f>IF(OR(E593="",E593="!!!",F593="NEW"),"",COUNTBLANK(OFFSET(A$1,,,SUMPRODUCT(MAX(ROW(E$2:E593)*(E593=E$2:E593)))))-COUNTBLANK(OFFSET(A$1,,,SUMPRODUCT(MAX(ROW(E$1:E592)*(E2=E$1:E592))))))</f>
        <v> </v>
      </c>
      <c r="K593" s="26" t="str">
        <f>IF(OR(E593="",E593="!!!",F593="NEW"),"",INDEX(J$1:J592,SUMPRODUCT(MAX(ROW(E$1:E592)*(E593=E$1:E592)))))</f>
        <v> </v>
      </c>
      <c r="L593" s="27"/>
    </row>
    <row r="594" spans="1:12">
      <c r="A594" s="20" t="s">
        <v>339</v>
      </c>
      <c r="E594" s="22">
        <f>IF(D594="?OLD","!!!","")</f>
        <v/>
      </c>
      <c r="F594" s="23" t="str">
        <f>IF(OR(E594="",E594="!!!"),"",IF(NOT(ISNA(VLOOKUP(E594,E$1:E593,1,FALSE()))),"OLD",IF(AND(E594&lt;&gt;"",E594&lt;&gt;"!!!"),"NEW","")))</f>
        <v> </v>
      </c>
      <c r="G594" s="24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5" t="str">
        <f>IF(J594&lt;&gt;1,"",IF(I594="SBJ","CB","?"))</f>
        <v> </v>
      </c>
      <c r="I594" s="26" t="str">
        <f>IF(OR(E594="",E594="!!!",F594="NEW"),"",INDEX(B593:B$2,-1+SUMPRODUCT(MAX(ROW(E593:E$2)*(E594=E593:E$2)))))</f>
        <v> </v>
      </c>
      <c r="J594" s="26" t="str">
        <f>IF(OR(E594="",E594="!!!",F594="NEW"),"",COUNTBLANK(OFFSET(A$1,,,SUMPRODUCT(MAX(ROW(E$2:E594)*(E594=E$2:E594)))))-COUNTBLANK(OFFSET(A$1,,,SUMPRODUCT(MAX(ROW(E$1:E593)*(E2=E$1:E593))))))</f>
        <v> </v>
      </c>
      <c r="K594" s="26" t="str">
        <f>IF(OR(E594="",E594="!!!",F594="NEW"),"",INDEX(J$1:J593,SUMPRODUCT(MAX(ROW(E$1:E593)*(E594=E$1:E593)))))</f>
        <v> </v>
      </c>
      <c r="L594" s="27"/>
    </row>
    <row r="595" spans="1:12">
      <c r="A595" s="20" t="s">
        <v>239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223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169</v>
      </c>
      <c r="B597" s="21" t="s">
        <v>149</v>
      </c>
      <c r="C597" s="21" t="s">
        <v>171</v>
      </c>
      <c r="D597" s="21" t="s">
        <v>151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234</v>
      </c>
      <c r="B598" s="21" t="s">
        <v>179</v>
      </c>
      <c r="C598" s="21" t="s">
        <v>173</v>
      </c>
      <c r="D598" s="21" t="s">
        <v>151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187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/>
    </row>
    <row r="601" spans="1:12">
      <c r="A601" s="20" t="s">
        <v>444</v>
      </c>
    </row>
    <row r="602" spans="1:12">
      <c r="A602" s="20" t="s">
        <v>445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 t="s">
        <v>176</v>
      </c>
      <c r="B603" s="21" t="s">
        <v>213</v>
      </c>
      <c r="C603" s="21" t="s">
        <v>150</v>
      </c>
      <c r="D603" s="21" t="s">
        <v>151</v>
      </c>
      <c r="E603" s="22">
        <f>IF(D603="?OLD","!!!","")</f>
        <v/>
      </c>
      <c r="F603" s="23" t="str">
        <f>IF(OR(E603="",E603="!!!"),"",IF(NOT(ISNA(VLOOKUP(E603,E$1:E602,1,FALSE()))),"OLD",IF(AND(E603&lt;&gt;"",E603&lt;&gt;"!!!"),"NEW","")))</f>
        <v> </v>
      </c>
      <c r="G603" s="24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5" t="str">
        <f>IF(J603&lt;&gt;1,"",IF(I603="SBJ","CB","?"))</f>
        <v> </v>
      </c>
      <c r="I603" s="26" t="str">
        <f>IF(OR(E603="",E603="!!!",F603="NEW"),"",INDEX(B602:B$2,-1+SUMPRODUCT(MAX(ROW(E602:E$2)*(E603=E602:E$2)))))</f>
        <v> </v>
      </c>
      <c r="J603" s="26" t="str">
        <f>IF(OR(E603="",E603="!!!",F603="NEW"),"",COUNTBLANK(OFFSET(A$1,,,SUMPRODUCT(MAX(ROW(E$2:E603)*(E603=E$2:E603)))))-COUNTBLANK(OFFSET(A$1,,,SUMPRODUCT(MAX(ROW(E$1:E602)*(E2=E$1:E602))))))</f>
        <v> </v>
      </c>
      <c r="K603" s="26" t="str">
        <f>IF(OR(E603="",E603="!!!",F603="NEW"),"",INDEX(J$1:J602,SUMPRODUCT(MAX(ROW(E$1:E602)*(E603=E$1:E602)))))</f>
        <v> </v>
      </c>
      <c r="L603" s="27"/>
    </row>
    <row r="604" spans="1:12">
      <c r="A604" s="20" t="s">
        <v>153</v>
      </c>
      <c r="E604" s="22">
        <f>IF(D604="?OLD","!!!","")</f>
        <v/>
      </c>
      <c r="F604" s="23" t="str">
        <f>IF(OR(E604="",E604="!!!"),"",IF(NOT(ISNA(VLOOKUP(E604,E$1:E603,1,FALSE()))),"OLD",IF(AND(E604&lt;&gt;"",E604&lt;&gt;"!!!"),"NEW","")))</f>
        <v> </v>
      </c>
      <c r="G604" s="24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5" t="str">
        <f>IF(J604&lt;&gt;1,"",IF(I604="SBJ","CB","?"))</f>
        <v> </v>
      </c>
      <c r="I604" s="26" t="str">
        <f>IF(OR(E604="",E604="!!!",F604="NEW"),"",INDEX(B603:B$2,-1+SUMPRODUCT(MAX(ROW(E603:E$2)*(E604=E603:E$2)))))</f>
        <v> </v>
      </c>
      <c r="J604" s="26" t="str">
        <f>IF(OR(E604="",E604="!!!",F604="NEW"),"",COUNTBLANK(OFFSET(A$1,,,SUMPRODUCT(MAX(ROW(E$2:E604)*(E604=E$2:E604)))))-COUNTBLANK(OFFSET(A$1,,,SUMPRODUCT(MAX(ROW(E$1:E603)*(E2=E$1:E603))))))</f>
        <v> </v>
      </c>
      <c r="K604" s="26" t="str">
        <f>IF(OR(E604="",E604="!!!",F604="NEW"),"",INDEX(J$1:J603,SUMPRODUCT(MAX(ROW(E$1:E603)*(E604=E$1:E603)))))</f>
        <v> </v>
      </c>
      <c r="L604" s="27"/>
    </row>
    <row r="605" spans="1:12">
      <c r="A605" s="20" t="s">
        <v>446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217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375</v>
      </c>
      <c r="B607" s="21" t="s">
        <v>149</v>
      </c>
      <c r="C607" s="21" t="s">
        <v>158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228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253</v>
      </c>
      <c r="B609" s="21" t="s">
        <v>154</v>
      </c>
      <c r="C609" s="21" t="s">
        <v>254</v>
      </c>
      <c r="D609" s="21" t="s">
        <v>151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447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176</v>
      </c>
      <c r="B611" s="21" t="s">
        <v>157</v>
      </c>
      <c r="C611" s="21" t="s">
        <v>150</v>
      </c>
      <c r="D611" s="21" t="s">
        <v>151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162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223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329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159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209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448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449</v>
      </c>
      <c r="B618" s="21" t="s">
        <v>149</v>
      </c>
      <c r="C618" s="21" t="s">
        <v>192</v>
      </c>
      <c r="D618" s="21" t="s">
        <v>151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253</v>
      </c>
      <c r="B619" s="21" t="s">
        <v>402</v>
      </c>
      <c r="C619" s="21" t="s">
        <v>254</v>
      </c>
      <c r="D619" s="21" t="s">
        <v>151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180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286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187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/>
    </row>
    <row r="624" spans="1:12">
      <c r="A624" s="20" t="s">
        <v>450</v>
      </c>
    </row>
    <row r="625" spans="1:12">
      <c r="A625" s="20" t="s">
        <v>451</v>
      </c>
      <c r="B625" s="21" t="s">
        <v>154</v>
      </c>
      <c r="C625" s="21" t="s">
        <v>254</v>
      </c>
      <c r="D625" s="21" t="s">
        <v>151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339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385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452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212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176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162</v>
      </c>
      <c r="B631" s="21" t="s">
        <v>213</v>
      </c>
      <c r="C631" s="21" t="s">
        <v>150</v>
      </c>
      <c r="D631" s="21" t="s">
        <v>151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453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133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388</v>
      </c>
      <c r="B634" s="21" t="s">
        <v>149</v>
      </c>
      <c r="C634" s="21" t="s">
        <v>150</v>
      </c>
      <c r="D634" s="21" t="s">
        <v>151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159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148</v>
      </c>
      <c r="B636" s="21" t="s">
        <v>170</v>
      </c>
      <c r="C636" s="21" t="s">
        <v>150</v>
      </c>
      <c r="D636" s="21" t="s">
        <v>151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 t="s">
        <v>454</v>
      </c>
      <c r="E637" s="22">
        <f>IF(D637="?OLD","!!!","")</f>
        <v/>
      </c>
      <c r="F637" s="23" t="str">
        <f>IF(OR(E637="",E637="!!!"),"",IF(NOT(ISNA(VLOOKUP(E637,E$1:E636,1,FALSE()))),"OLD",IF(AND(E637&lt;&gt;"",E637&lt;&gt;"!!!"),"NEW","")))</f>
        <v> </v>
      </c>
      <c r="G637" s="24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5" t="str">
        <f>IF(J637&lt;&gt;1,"",IF(I637="SBJ","CB","?"))</f>
        <v> </v>
      </c>
      <c r="I637" s="26" t="str">
        <f>IF(OR(E637="",E637="!!!",F637="NEW"),"",INDEX(B636:B$2,-1+SUMPRODUCT(MAX(ROW(E636:E$2)*(E637=E636:E$2)))))</f>
        <v> </v>
      </c>
      <c r="J637" s="26" t="str">
        <f>IF(OR(E637="",E637="!!!",F637="NEW"),"",COUNTBLANK(OFFSET(A$1,,,SUMPRODUCT(MAX(ROW(E$2:E637)*(E637=E$2:E637)))))-COUNTBLANK(OFFSET(A$1,,,SUMPRODUCT(MAX(ROW(E$1:E636)*(E2=E$1:E636))))))</f>
        <v> </v>
      </c>
      <c r="K637" s="26" t="str">
        <f>IF(OR(E637="",E637="!!!",F637="NEW"),"",INDEX(J$1:J636,SUMPRODUCT(MAX(ROW(E$1:E636)*(E637=E$1:E636)))))</f>
        <v> </v>
      </c>
      <c r="L637" s="27"/>
    </row>
    <row r="638" spans="1:12">
      <c r="A638" s="20" t="s">
        <v>176</v>
      </c>
      <c r="B638" s="21" t="s">
        <v>222</v>
      </c>
      <c r="C638" s="21" t="s">
        <v>150</v>
      </c>
      <c r="D638" s="21" t="s">
        <v>151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153</v>
      </c>
      <c r="E639" s="22">
        <f>IF(D639="?OLD","!!!","")</f>
        <v/>
      </c>
      <c r="F639" s="23" t="str">
        <f>IF(OR(E639="",E639="!!!"),"",IF(NOT(ISNA(VLOOKUP(E639,E$1:E638,1,FALSE()))),"OLD",IF(AND(E639&lt;&gt;"",E639&lt;&gt;"!!!"),"NEW","")))</f>
        <v> </v>
      </c>
      <c r="G639" s="24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5" t="str">
        <f>IF(J639&lt;&gt;1,"",IF(I639="SBJ","CB","?"))</f>
        <v> </v>
      </c>
      <c r="I639" s="26" t="str">
        <f>IF(OR(E639="",E639="!!!",F639="NEW"),"",INDEX(B638:B$2,-1+SUMPRODUCT(MAX(ROW(E638:E$2)*(E639=E638:E$2)))))</f>
        <v> </v>
      </c>
      <c r="J639" s="26" t="str">
        <f>IF(OR(E639="",E639="!!!",F639="NEW"),"",COUNTBLANK(OFFSET(A$1,,,SUMPRODUCT(MAX(ROW(E$2:E639)*(E639=E$2:E639)))))-COUNTBLANK(OFFSET(A$1,,,SUMPRODUCT(MAX(ROW(E$1:E638)*(E2=E$1:E638))))))</f>
        <v> </v>
      </c>
      <c r="K639" s="26" t="str">
        <f>IF(OR(E639="",E639="!!!",F639="NEW"),"",INDEX(J$1:J638,SUMPRODUCT(MAX(ROW(E$1:E638)*(E639=E$1:E638)))))</f>
        <v> </v>
      </c>
      <c r="L639" s="27"/>
    </row>
    <row r="640" spans="1:12">
      <c r="A640" s="20" t="s">
        <v>152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455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456</v>
      </c>
      <c r="B642" s="21" t="s">
        <v>170</v>
      </c>
      <c r="C642" s="21" t="s">
        <v>173</v>
      </c>
      <c r="D642" s="21" t="s">
        <v>151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228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223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196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457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456</v>
      </c>
      <c r="B647" s="21" t="s">
        <v>149</v>
      </c>
      <c r="C647" s="21" t="s">
        <v>199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183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176</v>
      </c>
      <c r="B649" s="21" t="s">
        <v>170</v>
      </c>
      <c r="C649" s="21" t="s">
        <v>150</v>
      </c>
      <c r="D649" s="21" t="s">
        <v>151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153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458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459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177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460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187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/>
    </row>
    <row r="657" spans="1:12">
      <c r="A657" s="20" t="s">
        <v>461</v>
      </c>
    </row>
    <row r="658" spans="1:12">
      <c r="A658" s="20" t="s">
        <v>357</v>
      </c>
      <c r="E658" s="22">
        <f>IF(D658="?OLD","!!!","")</f>
        <v/>
      </c>
      <c r="F658" s="23" t="str">
        <f>IF(OR(E658="",E658="!!!"),"",IF(NOT(ISNA(VLOOKUP(E658,E$1:E657,1,FALSE()))),"OLD",IF(AND(E658&lt;&gt;"",E658&lt;&gt;"!!!"),"NEW","")))</f>
        <v> </v>
      </c>
      <c r="G658" s="24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5" t="str">
        <f>IF(J658&lt;&gt;1,"",IF(I658="SBJ","CB","?"))</f>
        <v> </v>
      </c>
      <c r="I658" s="26" t="str">
        <f>IF(OR(E658="",E658="!!!",F658="NEW"),"",INDEX(B657:B$2,-1+SUMPRODUCT(MAX(ROW(E657:E$2)*(E658=E657:E$2)))))</f>
        <v> </v>
      </c>
      <c r="J658" s="26" t="str">
        <f>IF(OR(E658="",E658="!!!",F658="NEW"),"",COUNTBLANK(OFFSET(A$1,,,SUMPRODUCT(MAX(ROW(E$2:E658)*(E658=E$2:E658)))))-COUNTBLANK(OFFSET(A$1,,,SUMPRODUCT(MAX(ROW(E$1:E657)*(E2=E$1:E657))))))</f>
        <v> </v>
      </c>
      <c r="K658" s="26" t="str">
        <f>IF(OR(E658="",E658="!!!",F658="NEW"),"",INDEX(J$1:J657,SUMPRODUCT(MAX(ROW(E$1:E657)*(E658=E$1:E657)))))</f>
        <v> </v>
      </c>
      <c r="L658" s="27"/>
    </row>
    <row r="659" spans="1:12">
      <c r="A659" s="20" t="s">
        <v>212</v>
      </c>
      <c r="E659" s="22">
        <f>IF(D659="?OLD","!!!","")</f>
        <v/>
      </c>
      <c r="F659" s="23" t="str">
        <f>IF(OR(E659="",E659="!!!"),"",IF(NOT(ISNA(VLOOKUP(E659,E$1:E658,1,FALSE()))),"OLD",IF(AND(E659&lt;&gt;"",E659&lt;&gt;"!!!"),"NEW","")))</f>
        <v> </v>
      </c>
      <c r="G659" s="24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5" t="str">
        <f>IF(J659&lt;&gt;1,"",IF(I659="SBJ","CB","?"))</f>
        <v> </v>
      </c>
      <c r="I659" s="26" t="str">
        <f>IF(OR(E659="",E659="!!!",F659="NEW"),"",INDEX(B658:B$2,-1+SUMPRODUCT(MAX(ROW(E658:E$2)*(E659=E658:E$2)))))</f>
        <v> </v>
      </c>
      <c r="J659" s="26" t="str">
        <f>IF(OR(E659="",E659="!!!",F659="NEW"),"",COUNTBLANK(OFFSET(A$1,,,SUMPRODUCT(MAX(ROW(E$2:E659)*(E659=E$2:E659)))))-COUNTBLANK(OFFSET(A$1,,,SUMPRODUCT(MAX(ROW(E$1:E658)*(E2=E$1:E658))))))</f>
        <v> </v>
      </c>
      <c r="K659" s="26" t="str">
        <f>IF(OR(E659="",E659="!!!",F659="NEW"),"",INDEX(J$1:J658,SUMPRODUCT(MAX(ROW(E$1:E658)*(E659=E$1:E658)))))</f>
        <v> </v>
      </c>
      <c r="L659" s="27"/>
    </row>
    <row r="660" spans="1:12">
      <c r="A660" s="20" t="s">
        <v>312</v>
      </c>
      <c r="B660" s="21" t="s">
        <v>154</v>
      </c>
      <c r="C660" s="21" t="s">
        <v>409</v>
      </c>
      <c r="D660" s="21" t="s">
        <v>151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339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462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463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464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465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153</v>
      </c>
      <c r="B666" s="21" t="s">
        <v>179</v>
      </c>
      <c r="C666" s="21" t="s">
        <v>199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466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228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467</v>
      </c>
      <c r="B669" s="21" t="s">
        <v>149</v>
      </c>
      <c r="C669" s="21" t="s">
        <v>150</v>
      </c>
      <c r="D669" s="21" t="s">
        <v>151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468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/>
    </row>
    <row r="672" spans="1:12">
      <c r="A672" s="20" t="s">
        <v>469</v>
      </c>
    </row>
    <row r="673" spans="1:12">
      <c r="A673" s="20" t="s">
        <v>176</v>
      </c>
      <c r="B673" s="21" t="s">
        <v>154</v>
      </c>
      <c r="C673" s="21" t="s">
        <v>150</v>
      </c>
      <c r="D673" s="21" t="s">
        <v>151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153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470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428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429</v>
      </c>
      <c r="B677" s="21" t="s">
        <v>157</v>
      </c>
      <c r="C677" s="21" t="s">
        <v>158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228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365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471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217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209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472</v>
      </c>
      <c r="B683" s="21" t="s">
        <v>170</v>
      </c>
      <c r="C683" s="21" t="s">
        <v>192</v>
      </c>
      <c r="D683" s="21" t="s">
        <v>151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364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473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12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201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12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196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12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474</v>
      </c>
      <c r="B691" s="21" t="s">
        <v>222</v>
      </c>
      <c r="C691" s="21" t="s">
        <v>199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185</v>
      </c>
      <c r="B692" s="21" t="s">
        <v>179</v>
      </c>
      <c r="C692" s="21" t="s">
        <v>158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475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187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2024-05-20T20:26:35Z</dcterms:created>
  <dcterms:modified xsi:type="dcterms:W3CDTF">2024-05-20T20:26:35Z</dcterms:modified>
</cp:coreProperties>
</file>