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<sst xmlns="http://schemas.openxmlformats.org/spreadsheetml/2006/main" count="13785" uniqueCount="2955">
  <si>
    <t>ID</t>
  </si>
  <si>
    <t>PRED_ID</t>
  </si>
  <si>
    <t>MARKER_AUTO</t>
  </si>
  <si>
    <t>PREDICATE</t>
  </si>
  <si>
    <t>TEXT</t>
  </si>
  <si>
    <t>SENTENCE</t>
  </si>
  <si>
    <t>MARKER</t>
  </si>
  <si>
    <t>TARGET</t>
  </si>
  <si>
    <t>RELATION</t>
  </si>
  <si>
    <t>COMMENT</t>
  </si>
  <si>
    <t>1</t>
  </si>
  <si>
    <t>_</t>
  </si>
  <si>
    <t>Chris</t>
  </si>
  <si>
    <t>Chris Anderson : Bürgerrechte , die Zukunft des Internet .</t>
  </si>
  <si>
    <t>file://conllu/de/teddy-1319.conllu#s1_0</t>
  </si>
  <si>
    <t>2</t>
  </si>
  <si>
    <t>13</t>
  </si>
  <si>
    <t>begrüßen</t>
  </si>
  <si>
    <t>Ich möchte auf der Bühne von TED den Mann hinter diesen Enthüllungen begrüßen : Ed Snowden .</t>
  </si>
  <si>
    <t>file://conllu/de/teddy-1319.conllu#s2_0</t>
  </si>
  <si>
    <t>3</t>
  </si>
  <si>
    <t>5</t>
  </si>
  <si>
    <t>halten</t>
  </si>
  <si>
    <t>( Applaus ) Ed hält sich an einem entfernten Ort in Russland auf .</t>
  </si>
  <si>
    <t>file://conllu/de/teddy-1319.conllu#s3_0</t>
  </si>
  <si>
    <t>4</t>
  </si>
  <si>
    <t>steuern</t>
  </si>
  <si>
    <t>Er steuert diesen Roboter von seinem Laptop aus .</t>
  </si>
  <si>
    <t>file://conllu/de/teddy-1319.conllu#s4_0</t>
  </si>
  <si>
    <t>7</t>
  </si>
  <si>
    <t>Was?</t>
  </si>
  <si>
    <t>sehen (sehen sehen)</t>
  </si>
  <si>
    <t>Er sieht , was der Bot sieht .</t>
  </si>
  <si>
    <t>file://conllu/de/teddy-1319.conllu#s5_0</t>
  </si>
  <si>
    <t>6</t>
  </si>
  <si>
    <t>willkommen</t>
  </si>
  <si>
    <t>Ed , willkommen bei TED !</t>
  </si>
  <si>
    <t>file://conllu/de/teddy-1319.conllu#s6_0</t>
  </si>
  <si>
    <t>sehen</t>
  </si>
  <si>
    <t>Was kannst du eigentlich wirklich sehen ?</t>
  </si>
  <si>
    <t>file://conllu/de/teddy-1319.conllu#s7_0</t>
  </si>
  <si>
    <t>8</t>
  </si>
  <si>
    <t>Edward</t>
  </si>
  <si>
    <t>Edward Snowden :</t>
  </si>
  <si>
    <t>file://conllu/de/teddy-1319.conllu#s8_0</t>
  </si>
  <si>
    <t>9</t>
  </si>
  <si>
    <t>Ich kann alle sehen .</t>
  </si>
  <si>
    <t>file://conllu/de/teddy-1319.conllu#s9_0</t>
  </si>
  <si>
    <t>10</t>
  </si>
  <si>
    <t>sein (sein fantastisch)</t>
  </si>
  <si>
    <t>Es ist fantastisch .</t>
  </si>
  <si>
    <t>file://conllu/de/teddy-1319.conllu#s10_0</t>
  </si>
  <si>
    <t>11</t>
  </si>
  <si>
    <t>Lachen</t>
  </si>
  <si>
    <t>( Lachen im in dem Publikum ) CA : Ed , ich habe ein paar Fragen an dich .</t>
  </si>
  <si>
    <t>file://conllu/de/teddy-1319.conllu#s11_0</t>
  </si>
  <si>
    <t>12</t>
  </si>
  <si>
    <t>du</t>
  </si>
  <si>
    <t>Man hat dich vieles genannt in den letzten Monaten : einen Whistleblower , einen Verräter , einen Helden .</t>
  </si>
  <si>
    <t>file://conllu/de/teddy-1319.conllu#s12_0</t>
  </si>
  <si>
    <t>beschreiben</t>
  </si>
  <si>
    <t>In welchen Worten würdest du dich beschreiben ?</t>
  </si>
  <si>
    <t>file://conllu/de/teddy-1319.conllu#s13_0</t>
  </si>
  <si>
    <t>14</t>
  </si>
  <si>
    <t>19</t>
  </si>
  <si>
    <t>beschäftigen</t>
  </si>
  <si>
    <t>ES : Jeder , der an dieser Debatte beteiligt ist , hat sich mit mir und meiner Persönlichkeit beschäftigt und damit , wie man mich beschreiben sollte .</t>
  </si>
  <si>
    <t>file://conllu/de/teddy-1319.conllu#s14_0</t>
  </si>
  <si>
    <t>15</t>
  </si>
  <si>
    <t>nachdenk</t>
  </si>
  <si>
    <t>Aber , wenn ich darüber nachdenke : Das ist nicht die Frage , mit der wir ringen sollten .</t>
  </si>
  <si>
    <t>file://conllu/de/teddy-1319.conllu#s15_0</t>
  </si>
  <si>
    <t>16</t>
  </si>
  <si>
    <t>spielen</t>
  </si>
  <si>
    <t>Wer ich bin , spielt keine Rolle .</t>
  </si>
  <si>
    <t>file://conllu/de/teddy-1319.conllu#s16_0</t>
  </si>
  <si>
    <t>17</t>
  </si>
  <si>
    <t>hassen</t>
  </si>
  <si>
    <t>Wenn ich der schlimmste Mensch der Welt bin , kann man mich hassen und zur zu der Tagesordnung übergehen .</t>
  </si>
  <si>
    <t>file://conllu/de/teddy-1319.conllu#s17_0</t>
  </si>
  <si>
    <t>18</t>
  </si>
  <si>
    <t>sein (sein Sachfrage)</t>
  </si>
  <si>
    <t>Was zählt , sind die Sachfragen .</t>
  </si>
  <si>
    <t>file://conllu/de/teddy-1319.conllu#s18_0</t>
  </si>
  <si>
    <t>zählen</t>
  </si>
  <si>
    <t>Was zählt , ist die Art von Regierung , die wir wollen , die Art von Internet , die wir wollen , die Art von Beziehung zwischen Menschen und Gesellschaften .</t>
  </si>
  <si>
    <t>file://conllu/de/teddy-1319.conllu#s19_0</t>
  </si>
  <si>
    <t>20</t>
  </si>
  <si>
    <t>sein (sein Richtung)</t>
  </si>
  <si>
    <t>Das ist die Richtung , die ich mir für diese Diskussion erhoffe .</t>
  </si>
  <si>
    <t>file://conllu/de/teddy-1319.conllu#s20_0</t>
  </si>
  <si>
    <t>21</t>
  </si>
  <si>
    <t>Wir haben gesehen , dass dies zunehmend der Fall ist .</t>
  </si>
  <si>
    <t>file://conllu/de/teddy-1319.conllu#s21_0</t>
  </si>
  <si>
    <t>22</t>
  </si>
  <si>
    <t>23</t>
  </si>
  <si>
    <t>sagen</t>
  </si>
  <si>
    <t>Wenn ich mich beschreiben müsste , würde ich keine Wörter wie &amp;quot; Held &amp;quot; benutzen , Ich würde nicht &amp;quot; Patriot &amp;quot; sagen oder &amp;quot; Verräter &amp;quot; .</t>
  </si>
  <si>
    <t>file://conllu/de/teddy-1319.conllu#s22_0</t>
  </si>
  <si>
    <t>Ich würde sagen , ich bin Amerikaner und ein Bürger , so wie jeder andere auch .</t>
  </si>
  <si>
    <t>file://conllu/de/teddy-1319.conllu#s23_0</t>
  </si>
  <si>
    <t>24</t>
  </si>
  <si>
    <t>liefern</t>
  </si>
  <si>
    <t>CA : Um jenen etwas Kontext zu liefern , die nicht mit der ganzen Geschichte vertraut sind :</t>
  </si>
  <si>
    <t>file://conllu/de/teddy-1319.conllu#s24_0</t>
  </si>
  <si>
    <t>25</t>
  </si>
  <si>
    <t>warsen</t>
  </si>
  <si>
    <t>Vor einem Jahr warst du noch in Hawaii und hast im in dem Auftrag der NSA gearbeitet .</t>
  </si>
  <si>
    <t>file://conllu/de/teddy-1319.conllu#s25_0</t>
  </si>
  <si>
    <t>26</t>
  </si>
  <si>
    <t>hattesen</t>
  </si>
  <si>
    <t>Als Systemadministrator hattest du Zugang zu ihren Systemen .</t>
  </si>
  <si>
    <t>file://conllu/de/teddy-1319.conllu#s26_0</t>
  </si>
  <si>
    <t>27</t>
  </si>
  <si>
    <t>übergeben</t>
  </si>
  <si>
    <t>Du hast angefangen , vertrauliche Dokumente ausgewählten Journalisten zu übergeben .</t>
  </si>
  <si>
    <t>file://conllu/de/teddy-1319.conllu#s27_0</t>
  </si>
  <si>
    <t>28</t>
  </si>
  <si>
    <t>führen</t>
  </si>
  <si>
    <t>Das hat dann zu den Enthüllungen im in dem Juni geführt .</t>
  </si>
  <si>
    <t>file://conllu/de/teddy-1319.conllu#s28_0</t>
  </si>
  <si>
    <t>29</t>
  </si>
  <si>
    <t>veranlassen</t>
  </si>
  <si>
    <t>Was hat dich dazu veranlasst ?</t>
  </si>
  <si>
    <t>file://conllu/de/teddy-1319.conllu#s29_0</t>
  </si>
  <si>
    <t>30</t>
  </si>
  <si>
    <t>weißen|wissen</t>
  </si>
  <si>
    <t>ES : Weißt du , als ich auf Hawaii saß , und in den Jahren davor , als ich für die Nachrichtendienste arbeitete , sah ich viele Dinge , die mich beunruhigten .</t>
  </si>
  <si>
    <t>file://conllu/de/teddy-1319.conllu#s30_0</t>
  </si>
  <si>
    <t>31</t>
  </si>
  <si>
    <t>tun</t>
  </si>
  <si>
    <t>Wir tun viel Gutes in den Nachrichtendiensten , Dinge , die getan werden müssen , Dinge , die allen helfen .</t>
  </si>
  <si>
    <t>file://conllu/de/teddy-1319.conllu#s31_0</t>
  </si>
  <si>
    <t>32</t>
  </si>
  <si>
    <t>geben</t>
  </si>
  <si>
    <t>Aber es gibt auch Dinge , die zu weit gehen .</t>
  </si>
  <si>
    <t>file://conllu/de/teddy-1319.conllu#s32_0</t>
  </si>
  <si>
    <t>33</t>
  </si>
  <si>
    <t>sein (sein Entscheidung)</t>
  </si>
  <si>
    <t>Da sind Dinge , die man nicht tun sollte , und Entscheidungen , die im in dem Geheimen getroffen wurden , von denen die Öffentlichkeit nichts wusste , ohne Zustimmung der Öffentlichkeit , und sogar unsere Regierungsvertreter wussten nichts von diesen Programmen .</t>
  </si>
  <si>
    <t>file://conllu/de/teddy-1319.conllu#s33_0</t>
  </si>
  <si>
    <t>34</t>
  </si>
  <si>
    <t>fragen</t>
  </si>
  <si>
    <t>Als ich anfing , mich an diesen Problemen zu stoßen , habe ich mich gefragt : Wie kann ich diese Sache so verantwortungsbewusst wie möglich angehen , damit die Öffentlichkeit den maximalen Nutzen zieht , aber die Risiken minimal bleiben ?</t>
  </si>
  <si>
    <t>file://conllu/de/teddy-1319.conllu#s34_0</t>
  </si>
  <si>
    <t>35</t>
  </si>
  <si>
    <t>wend</t>
  </si>
  <si>
    <t>Bei allen Lösungen , die mir einfielen , außer &amp;quot; Ich wende mich an den Kongress &amp;quot; , wenn es keine Gesetze gab , wenn es keinen rechtlichen Schutz gab für eine angestellte Privatperson , für einen Subunternehmer im in dem Nachrichtendienst wie mich , bestand das Risiko , dass man mich mit der Information begraben würde , ohne dass die Öffentlichkeit davon je erführe .</t>
  </si>
  <si>
    <t>file://conllu/de/teddy-1319.conllu#s35_0</t>
  </si>
  <si>
    <t>36</t>
  </si>
  <si>
    <t>garantieren</t>
  </si>
  <si>
    <t>Aber der erste Zusatzartikel der amerikanischen Verfassung garantiert uns die Pressefreiheit aus gutem Grund , nämlich um eine Presse zu ermöglichen , die unbequem ist , die die Regierung herausfordert , aber auch mit der Regierung arbeitet , um Dialog und Debatte zu ermöglichen , wie wir die Öffentlichkeit über entscheidende Fragen informieren können , ohne die nationale Sicherheit zu gefährden .</t>
  </si>
  <si>
    <t>file://conllu/de/teddy-1319.conllu#s36_0</t>
  </si>
  <si>
    <t>37</t>
  </si>
  <si>
    <t>Debatte</t>
  </si>
  <si>
    <t>Indem ich mit Journalisten gearbeitet habe , indem ich all meine Informationen dem amerikanischen Volk zurückgegeben habe , statt nur auf mich selbst zu vertrauen bei Entscheidungen über die Veröffentlichung , hatten wir eine handfeste Debatte , an der sich die Regierung intensiv beteiligt und die allen einen Nutzen gebracht hat .</t>
  </si>
  <si>
    <t>file://conllu/de/teddy-1319.conllu#s37_0</t>
  </si>
  <si>
    <t>38</t>
  </si>
  <si>
    <t>materialisieren</t>
  </si>
  <si>
    <t>Die Risiken , mit denen gedroht wurde , die Risiken , die von der Regierung hochgespielt wurden , haben sich nie materialisiert .</t>
  </si>
  <si>
    <t>file://conllu/de/teddy-1319.conllu#s38_0</t>
  </si>
  <si>
    <t>39</t>
  </si>
  <si>
    <t>Und deshalb?</t>
  </si>
  <si>
    <t>haben</t>
  </si>
  <si>
    <t>Wir haben keinerlei Hinweis , dass auch nur ein Schaden entstanden wäre , und deshalb kann ich mit meinen Entscheidungen gut leben .</t>
  </si>
  <si>
    <t>file://conllu/de/teddy-1319.conllu#s39_0</t>
  </si>
  <si>
    <t>40</t>
  </si>
  <si>
    <t>CA : Lass mich dem Publikum ein paar Beispiele für deine Enthüllungen geben .</t>
  </si>
  <si>
    <t>file://conllu/de/teddy-1319.conllu#s40_0</t>
  </si>
  <si>
    <t>41</t>
  </si>
  <si>
    <t>Können wir jetzt bitte das Schaubild haben ?</t>
  </si>
  <si>
    <t>file://conllu/de/teddy-1319.conllu#s41_0</t>
  </si>
  <si>
    <t>42</t>
  </si>
  <si>
    <t>sein (sein da)</t>
  </si>
  <si>
    <t>Ed , ich weiß nicht , ob du dies sehen kannst : Die Bilder der Präsentation sind da .</t>
  </si>
  <si>
    <t>file://conllu/de/teddy-1319.conllu#s42_0</t>
  </si>
  <si>
    <t>43</t>
  </si>
  <si>
    <t>zeigen</t>
  </si>
  <si>
    <t>Diese Grafik zeigt das Programm PRISM .</t>
  </si>
  <si>
    <t>file://conllu/de/teddy-1319.conllu#s43_0</t>
  </si>
  <si>
    <t>44</t>
  </si>
  <si>
    <t>erläutern</t>
  </si>
  <si>
    <t>Kannst du dem Publikum erläutern , was darüber bekannt wurde ?</t>
  </si>
  <si>
    <t>file://conllu/de/teddy-1319.conllu#s44_0</t>
  </si>
  <si>
    <t>45</t>
  </si>
  <si>
    <t>es</t>
  </si>
  <si>
    <t>ES : Um zu verstehen , was PRISM ist , denn da war man geteilter Ansicht sollte man erst klären , was es nicht ist .</t>
  </si>
  <si>
    <t>file://conllu/de/teddy-1319.conllu#s45_0</t>
  </si>
  <si>
    <t>46</t>
  </si>
  <si>
    <t>beziehen</t>
  </si>
  <si>
    <t>Ein großer Teil der Debatte in den USA bezog sich auf Metadaten .</t>
  </si>
  <si>
    <t>file://conllu/de/teddy-1319.conllu#s46_0</t>
  </si>
  <si>
    <t>47</t>
  </si>
  <si>
    <t>Sie sagten , es seien nur Metadaten .</t>
  </si>
  <si>
    <t>file://conllu/de/teddy-1319.conllu#s47_0</t>
  </si>
  <si>
    <t>48</t>
  </si>
  <si>
    <t>Sie beziehen sich dabei auf eine rechtliche Grundlage : den Abschnitt 215 des Patriot Act .</t>
  </si>
  <si>
    <t>file://conllu/de/teddy-1319.conllu#s48_0</t>
  </si>
  <si>
    <t>49</t>
  </si>
  <si>
    <t>erlaubt</t>
  </si>
  <si>
    <t>Er erlaubt eine Art Abhören ohne richterlichen Beschluss , eine Massenüberwachung der Verbindungsdaten des ganzen Landes , solche Dinge ... Mit wem du sprichst , wann du mit jemandem sprichst , wohin du gereist bist .</t>
  </si>
  <si>
    <t>file://conllu/de/teddy-1319.conllu#s49_0</t>
  </si>
  <si>
    <t>50</t>
  </si>
  <si>
    <t>sein (sein Ereignis)</t>
  </si>
  <si>
    <t>All das sind Metadaten Ereignisse .</t>
  </si>
  <si>
    <t>file://conllu/de/teddy-1319.conllu#s50_0</t>
  </si>
  <si>
    <t>51</t>
  </si>
  <si>
    <t>gehen</t>
  </si>
  <si>
    <t>Bei PRISM geht es um Inhalt .</t>
  </si>
  <si>
    <t>file://conllu/de/teddy-1319.conllu#s51_0</t>
  </si>
  <si>
    <t>52</t>
  </si>
  <si>
    <t>sein (sein Programm)</t>
  </si>
  <si>
    <t>Es ist ein Programm , mit dem die Regierung die Unternehmen Amerikas zwingen kann , an ihrer Stelle und in ihrem Namen die Dreckarbeit für die NSA zu übernehmen .</t>
  </si>
  <si>
    <t>file://conllu/de/teddy-1319.conllu#s52_0</t>
  </si>
  <si>
    <t>53</t>
  </si>
  <si>
    <t>denken</t>
  </si>
  <si>
    <t>Obwohl sich einige Unternehmen gewehrt haben und obwohl einige ich denke , Yahoo war eines von ihnen vor Gericht zogen , haben alle verloren , weil die Fälle nie öffentlich verhandelt wurden .</t>
  </si>
  <si>
    <t>file://conllu/de/teddy-1319.conllu#s53_0</t>
  </si>
  <si>
    <t>54</t>
  </si>
  <si>
    <t>entscheiden</t>
  </si>
  <si>
    <t>Über sie entschied ein geheimes Gericht .</t>
  </si>
  <si>
    <t>file://conllu/de/teddy-1319.conllu#s54_0</t>
  </si>
  <si>
    <t>55</t>
  </si>
  <si>
    <t>feststellen</t>
  </si>
  <si>
    <t>Wir haben im in dem Zusammenhang mit Prism etwas festgestellt , das ich besorgniserregend finde :</t>
  </si>
  <si>
    <t>file://conllu/de/teddy-1319.conllu#s55_0</t>
  </si>
  <si>
    <t>56</t>
  </si>
  <si>
    <t>Es gab Gespräche in der US Regierung , in denen gesagt wurde , 15 Bundesrichter hätten diese Programme begutachtet und als gesetzmäßig befunden .</t>
  </si>
  <si>
    <t>file://conllu/de/teddy-1319.conllu#s56_0</t>
  </si>
  <si>
    <t>57</t>
  </si>
  <si>
    <t>verraten</t>
  </si>
  <si>
    <t>Aber sie verraten nicht , dass dies geheime Richter sind in einem geheimen Gericht , das auf der Grundlage vertraulicher Rechtsauslegungen über 34.000 Überwachungsanträge entschieden hat im in dem Lauf von 33 Jahren und in 33 Jahren nur elf Anträge der Regierung abgelehnt hat .</t>
  </si>
  <si>
    <t>file://conllu/de/teddy-1319.conllu#s57_0</t>
  </si>
  <si>
    <t>58</t>
  </si>
  <si>
    <t>sein (sein Leute)</t>
  </si>
  <si>
    <t>Dies sind nicht die Leute , die wir als Entscheider wollen , wenn es um die Rolle amerikanischer Konzerne in einem freien und offenen Internet geht .</t>
  </si>
  <si>
    <t>file://conllu/de/teddy-1319.conllu#s58_0</t>
  </si>
  <si>
    <t>59</t>
  </si>
  <si>
    <t>listen</t>
  </si>
  <si>
    <t>CA : Die Grafik , die wir hier zeigen , listet die Daten auf , wann diverse Technologie und Internetunternehmen sich dem Programm mutmaßlich anschlossen und wann die Sammlung von Daten bei ihnen begann .</t>
  </si>
  <si>
    <t>file://conllu/de/teddy-1319.conllu#s59_0</t>
  </si>
  <si>
    <t>60</t>
  </si>
  <si>
    <t>bestreiten</t>
  </si>
  <si>
    <t>Sie haben die Kooperation mit der NSA bestritten .</t>
  </si>
  <si>
    <t>file://conllu/de/teddy-1319.conllu#s60_0</t>
  </si>
  <si>
    <t>61</t>
  </si>
  <si>
    <t>sammeln</t>
  </si>
  <si>
    <t>Wie hat die NSA diese Daten gesammelt ?</t>
  </si>
  <si>
    <t>file://conllu/de/teddy-1319.conllu#s61_0</t>
  </si>
  <si>
    <t>62</t>
  </si>
  <si>
    <t>ES : Die eigenen Präsentationen der NSA bezeichnen das als direkten Zugang .</t>
  </si>
  <si>
    <t>file://conllu/de/teddy-1319.conllu#s62_0</t>
  </si>
  <si>
    <t>63</t>
  </si>
  <si>
    <t>bedeuten</t>
  </si>
  <si>
    <t>Für einen tatsächlichen NSA Analysten , jemanden wie mich , der in Hawaii als Analyst für den Geheimdienst chinesische Cyber Hacker oder ähnliches im in dem Visier hatte , bedeutet das , dass die Daten direkt von ihren Servern kommen .</t>
  </si>
  <si>
    <t>file://conllu/de/teddy-1319.conllu#s63_0</t>
  </si>
  <si>
    <t>64</t>
  </si>
  <si>
    <t>heißen</t>
  </si>
  <si>
    <t>Das heißt nicht , dass eine Gruppe von Mitarbeitern des Unternehmens mit der NSA in einem verrauchten Raum sitzt , sich langweilt und im in dem Hinterzimmer aushandelt , wie sie dieses Zeug weitergeben werden .</t>
  </si>
  <si>
    <t>file://conllu/de/teddy-1319.conllu#s64_0</t>
  </si>
  <si>
    <t>65</t>
  </si>
  <si>
    <t>handhabt</t>
  </si>
  <si>
    <t>Jedes Unternehmen handhabt das anders .</t>
  </si>
  <si>
    <t>file://conllu/de/teddy-1319.conllu#s65_0</t>
  </si>
  <si>
    <t>66</t>
  </si>
  <si>
    <t>sein (sein verantwortungsbewussen)</t>
  </si>
  <si>
    <t>Manche sind verantwortungsbewusst .</t>
  </si>
  <si>
    <t>file://conllu/de/teddy-1319.conllu#s66_0</t>
  </si>
  <si>
    <t>67</t>
  </si>
  <si>
    <t>Manche sind etwas weniger verantwortungsbewusst .</t>
  </si>
  <si>
    <t>file://conllu/de/teddy-1319.conllu#s67_0</t>
  </si>
  <si>
    <t>68</t>
  </si>
  <si>
    <t>Unterm</t>
  </si>
  <si>
    <t>Unterm Strich aber , wenn wir davon sprechen , wie diese Informationen übergeben werden :</t>
  </si>
  <si>
    <t>file://conllu/de/teddy-1319.conllu#s68_0</t>
  </si>
  <si>
    <t>69</t>
  </si>
  <si>
    <t>kommen</t>
  </si>
  <si>
    <t>Sie kommen von den Unternehmen selbst .</t>
  </si>
  <si>
    <t>file://conllu/de/teddy-1319.conllu#s69_0</t>
  </si>
  <si>
    <t>70</t>
  </si>
  <si>
    <t>stehlen</t>
  </si>
  <si>
    <t>Sie werden nicht aus Leitungen gestohlen .</t>
  </si>
  <si>
    <t>file://conllu/de/teddy-1319.conllu#s70_0</t>
  </si>
  <si>
    <t>71</t>
  </si>
  <si>
    <t>vergessen</t>
  </si>
  <si>
    <t>Man darf einen wichtigen Punkt nicht vergessen :</t>
  </si>
  <si>
    <t>file://conllu/de/teddy-1319.conllu#s71_0</t>
  </si>
  <si>
    <t>72</t>
  </si>
  <si>
    <t>wehrn</t>
  </si>
  <si>
    <t>Obwohl die Unternehmen sich wehrten , obwohl die Unternehmen forderten : &amp;quot; Lasst uns das mit einem Genehmigungsverfahren machen .</t>
  </si>
  <si>
    <t>file://conllu/de/teddy-1319.conllu#s72_0</t>
  </si>
  <si>
    <t>73</t>
  </si>
  <si>
    <t>machen</t>
  </si>
  <si>
    <t>Lasst uns das so machen , dass wir eine Art rechtlicher Prüfung haben , eine Art Grundlage für die Herausgabe von Anwenderdaten haben . &amp;quot;</t>
  </si>
  <si>
    <t>file://conllu/de/teddy-1319.conllu#s73_0</t>
  </si>
  <si>
    <t>74</t>
  </si>
  <si>
    <t>bringen</t>
  </si>
  <si>
    <t>Letztes Jahr brachte die Washington Post Berichte , die weniger Medienecho hatten als der Bericht über Prism , in denen es hieß , die NSA sei in die interne Kommunikation zwischen Google Datenzentren und Yahoo Datenzentren eingedrungen .</t>
  </si>
  <si>
    <t>file://conllu/de/teddy-1319.conllu#s74_0</t>
  </si>
  <si>
    <t>75</t>
  </si>
  <si>
    <t>Also selbst bei Unternehmen , die unter gewissem Zwang , aber auf hoffentlich legale Weise mit der NSA kooperieren , gibt sich die NSA damit nicht zufrieden .</t>
  </si>
  <si>
    <t>file://conllu/de/teddy-1319.conllu#s75_0</t>
  </si>
  <si>
    <t>76</t>
  </si>
  <si>
    <t>brauchen</t>
  </si>
  <si>
    <t>Deshalb brauchen wir Unternehmen , die sich intensiv engagieren , um zu garantieren , dass sie die Interessen der Nutzer vertreten werden und sich für die Rechte der Nutzer einsetzen .</t>
  </si>
  <si>
    <t>file://conllu/de/teddy-1319.conllu#s76_0</t>
  </si>
  <si>
    <t>78</t>
  </si>
  <si>
    <t>ermutigen</t>
  </si>
  <si>
    <t>Ich ermutige sie , weiterzumachen .</t>
  </si>
  <si>
    <t>file://conllu/de/teddy-1319.conllu#s78_0</t>
  </si>
  <si>
    <t>79</t>
  </si>
  <si>
    <t>CA : Was sollten sie denn noch tun ?</t>
  </si>
  <si>
    <t>file://conllu/de/teddy-1319.conllu#s79_0</t>
  </si>
  <si>
    <t>80</t>
  </si>
  <si>
    <t>ziehen</t>
  </si>
  <si>
    <t>ES : Das Größte , was ein Internetunternehmen in Amerika jetzt und heute tun kann , ohne Anwälte zu Rate zu ziehen , um die Rechte ihrer Nutzer weltweit zu schützen , ist das Ermöglichen von SSL Netzverschlüsselung auf jeder Seite , die man besucht .</t>
  </si>
  <si>
    <t>file://conllu/de/teddy-1319.conllu#s80_0</t>
  </si>
  <si>
    <t>81</t>
  </si>
  <si>
    <t>sein (sein wichtig)</t>
  </si>
  <si>
    <t>Der Grund , weshalb das wichtig ist : Wenn du dir heute auf Amazon.com eine Ausgabe von &amp;quot; 1984 &amp;quot; ansiehst , kann die NSA das in einem Protokoll sehen .</t>
  </si>
  <si>
    <t>file://conllu/de/teddy-1319.conllu#s81_0</t>
  </si>
  <si>
    <t>82</t>
  </si>
  <si>
    <t>Der russische Geheimdienst kann das in einem Protokoll sehen .</t>
  </si>
  <si>
    <t>file://conllu/de/teddy-1319.conllu#s82_0</t>
  </si>
  <si>
    <t>83</t>
  </si>
  <si>
    <t>Geheimdienst</t>
  </si>
  <si>
    <t>Der chinesische Geheimdienst , der französische , der deutsche und der Geheimdienst von Andorra .</t>
  </si>
  <si>
    <t>file://conllu/de/teddy-1319.conllu#s83_0</t>
  </si>
  <si>
    <t>84</t>
  </si>
  <si>
    <t>Sie alle können das sehen , weil es nicht verschlüsselt ist .</t>
  </si>
  <si>
    <t>file://conllu/de/teddy-1319.conllu#s84_0</t>
  </si>
  <si>
    <t>85</t>
  </si>
  <si>
    <t>sein (sein Bibliothek)</t>
  </si>
  <si>
    <t>Amazon.com ist die Bibliothek der Welt .</t>
  </si>
  <si>
    <t>file://conllu/de/teddy-1319.conllu#s85_0</t>
  </si>
  <si>
    <t>86</t>
  </si>
  <si>
    <t>verzichten</t>
  </si>
  <si>
    <t>Aber es verzichtet nicht nur auf Verschlüsselung als generellen Standard , man kann auch Verschlüsselung nicht wählen , wenn man in den Büchern stöbert .</t>
  </si>
  <si>
    <t>file://conllu/de/teddy-1319.conllu#s86_0</t>
  </si>
  <si>
    <t>87</t>
  </si>
  <si>
    <t>sein (sein etwas)</t>
  </si>
  <si>
    <t>Das ist etwas , das wir ändern müssen , nicht nur bei Amazon .</t>
  </si>
  <si>
    <t>file://conllu/de/teddy-1319.conllu#s87_0</t>
  </si>
  <si>
    <t>88</t>
  </si>
  <si>
    <t>herausgreifen</t>
  </si>
  <si>
    <t>Ich möchte die Seite nicht herausgreifen , aber sie ist ein großartiges Beispiel .</t>
  </si>
  <si>
    <t>file://conllu/de/teddy-1319.conllu#s88_0</t>
  </si>
  <si>
    <t>89</t>
  </si>
  <si>
    <t>übergehen</t>
  </si>
  <si>
    <t>Alle Unternehmen müssen zum zu dem gewohnheitsmäßig verschlüsselten Surfen als Standard übergehen für alle Nutzer , die nicht selbst Maßnahmen ergriffen oder eine eigene Methode gewählt haben .</t>
  </si>
  <si>
    <t>file://conllu/de/teddy-1319.conllu#s89_0</t>
  </si>
  <si>
    <t>90</t>
  </si>
  <si>
    <t>stärken</t>
  </si>
  <si>
    <t>Das stärkt die Privatsphäre und die Rechte , die Menschen weltweit genießen .</t>
  </si>
  <si>
    <t>file://conllu/de/teddy-1319.conllu#s90_0</t>
  </si>
  <si>
    <t>91</t>
  </si>
  <si>
    <t>Komm</t>
  </si>
  <si>
    <t>CA : Komm mit mir auf diese Seite der Bühne .</t>
  </si>
  <si>
    <t>file://conllu/de/teddy-1319.conllu#s91_0</t>
  </si>
  <si>
    <t>92</t>
  </si>
  <si>
    <t>Ich möchte dir das nächste Bild zeigen .</t>
  </si>
  <si>
    <t>file://conllu/de/teddy-1319.conllu#s92_0</t>
  </si>
  <si>
    <t>93</t>
  </si>
  <si>
    <t>Dieses Programm heißt &amp;quot; Boundless Informant &amp;quot; .</t>
  </si>
  <si>
    <t>file://conllu/de/teddy-1319.conllu#s93_0</t>
  </si>
  <si>
    <t>94</t>
  </si>
  <si>
    <t>sein</t>
  </si>
  <si>
    <t>Was ist das ?</t>
  </si>
  <si>
    <t>file://conllu/de/teddy-1319.conllu#s94_0</t>
  </si>
  <si>
    <t>95</t>
  </si>
  <si>
    <t>ES : Ich muss der NSA hier Anerkennung zollen für die Verwendung treffender Namen .</t>
  </si>
  <si>
    <t>file://conllu/de/teddy-1319.conllu#s95_0</t>
  </si>
  <si>
    <t>96</t>
  </si>
  <si>
    <t>sein (sein Lieblingscodename)</t>
  </si>
  <si>
    <t>Dies ist einer meiner Lieblingscodenamen der NSA .</t>
  </si>
  <si>
    <t>file://conllu/de/teddy-1319.conllu#s96_0</t>
  </si>
  <si>
    <t>97</t>
  </si>
  <si>
    <t>&amp;quot; Boundless Informant &amp;quot; [ &amp;quot; Informant ohne Grenzen &amp;quot; ] ist ein Programm , das die NSA vor dem Kongress verborgen hielt .</t>
  </si>
  <si>
    <t>file://conllu/de/teddy-1319.conllu#s97_0</t>
  </si>
  <si>
    <t>98</t>
  </si>
  <si>
    <t>Der Kongress hatte die NSA im in dem Vorfeld gefragt , ob sie irgendeine Möglichkeit besäße , eine sehr grobe Schätzung abzugeben über den Umfang an amerikanischer Kommunikation , den sie überwachen .</t>
  </si>
  <si>
    <t>file://conllu/de/teddy-1319.conllu#s98_0</t>
  </si>
  <si>
    <t>99</t>
  </si>
  <si>
    <t>Sie sagte : Nein , wir erheben diese Daten nicht und wir können diese Daten nicht erheben .</t>
  </si>
  <si>
    <t>file://conllu/de/teddy-1319.conllu#s99_0</t>
  </si>
  <si>
    <t>100</t>
  </si>
  <si>
    <t>Wir können Ihnen nicht sagen , wie viel Kommunikation wir weltweit überwachen , weil wir Ihre Privatsphäre verletzen würden , wenn wir Ihnen das mitteilen .</t>
  </si>
  <si>
    <t>file://conllu/de/teddy-1319.conllu#s100_0</t>
  </si>
  <si>
    <t>101</t>
  </si>
  <si>
    <t>sein (sein Haltung)</t>
  </si>
  <si>
    <t>Das ist eine Haltung , die ich begrüße .</t>
  </si>
  <si>
    <t>file://conllu/de/teddy-1319.conllu#s101_0</t>
  </si>
  <si>
    <t>102</t>
  </si>
  <si>
    <t>sein (sein Tatsache)</t>
  </si>
  <si>
    <t>Tatsache aber ist , wie diese Grafik zeigt , dass sie dazu nicht nur fähig sind , sondern die Fähigkeit selbst bereits existiert .</t>
  </si>
  <si>
    <t>file://conllu/de/teddy-1319.conllu#s102_0</t>
  </si>
  <si>
    <t>103</t>
  </si>
  <si>
    <t>sein (sein umsetzen)</t>
  </si>
  <si>
    <t>Sie ist bereits umgesetzt .</t>
  </si>
  <si>
    <t>file://conllu/de/teddy-1319.conllu#s103_0</t>
  </si>
  <si>
    <t>104</t>
  </si>
  <si>
    <t>verwenden</t>
  </si>
  <si>
    <t>Die NSA verwendet ein eigenes internes Datenformat , das beide Endpunkte einer Kommunikation erfasst .</t>
  </si>
  <si>
    <t>file://conllu/de/teddy-1319.conllu#s104_0</t>
  </si>
  <si>
    <t>105</t>
  </si>
  <si>
    <t>besagen</t>
  </si>
  <si>
    <t>Wenn es besagt , dass die Kommunikation aus den USA kommt , dann können sie dem Kongress auch sagen , wie viel solcher Kommunikation sie haben , heute , in diesem Moment .</t>
  </si>
  <si>
    <t>file://conllu/de/teddy-1319.conllu#s105_0</t>
  </si>
  <si>
    <t>106</t>
  </si>
  <si>
    <t>&amp;quot; Informant ohne Grenzen &amp;quot; verrät uns , dass mehr Kommunikation abgehört wird , in Amerika , über Amerikaner , als in Russland über Russen .</t>
  </si>
  <si>
    <t>file://conllu/de/teddy-1319.conllu#s106_0</t>
  </si>
  <si>
    <t>107</t>
  </si>
  <si>
    <t>sein (sein sicher)</t>
  </si>
  <si>
    <t>Ich bin nicht sicher , ob dies das Ziel eines Geheimdienstes sein sollte .</t>
  </si>
  <si>
    <t>file://conllu/de/teddy-1319.conllu#s107_0</t>
  </si>
  <si>
    <t>108</t>
  </si>
  <si>
    <t>ca</t>
  </si>
  <si>
    <t>CA :</t>
  </si>
  <si>
    <t>file://conllu/de/teddy-1319.conllu#s108_0</t>
  </si>
  <si>
    <t>109</t>
  </si>
  <si>
    <t>Die Washington Post hat einen Artikel gebracht , der ebenfalls auf deinen Daten fußt .</t>
  </si>
  <si>
    <t>file://conllu/de/teddy-1319.conllu#s109_0</t>
  </si>
  <si>
    <t>110</t>
  </si>
  <si>
    <t>lauten</t>
  </si>
  <si>
    <t>Die Schlagzeile lautet : &amp;quot; Die NSA hat Datenschutzbestimmungen Tausende Male pro Jahr verletzt . &amp;quot;</t>
  </si>
  <si>
    <t>file://conllu/de/teddy-1319.conllu#s110_0</t>
  </si>
  <si>
    <t>111</t>
  </si>
  <si>
    <t>wir</t>
  </si>
  <si>
    <t>Erzähl uns darüber .</t>
  </si>
  <si>
    <t>file://conllu/de/teddy-1319.conllu#s111_0</t>
  </si>
  <si>
    <t>112</t>
  </si>
  <si>
    <t>ES : Wir haben bei der Anhörung im in dem Kongressausschuss letztes Jahr auch gehört und es hat mich erstaunt , als jemand , der von der NSA kam und die internen Unterlagen gesehen hat und weiß , was darin steht , zu beobachten , wie Beamte unter Eid aussagen , dass es keinen Missbrauch gegeben hat , dass die NSA Bestimmungen nicht verletzt wurden , obwohl wir wussten , dass dieser Artikel kommen würde .</t>
  </si>
  <si>
    <t>file://conllu/de/teddy-1319.conllu#s112_0</t>
  </si>
  <si>
    <t>113</t>
  </si>
  <si>
    <t>sein (sein interessant)</t>
  </si>
  <si>
    <t>Aber was daran besonders interessant ist , an der Tatsache , dass die NSA ihre eigenen Regeln , ihre Gesetze tausende Male in einem einzigen Jahr verletzt , darunter ein Vorfall , der für sich genommen , ein Vorfall unter diesen 2776 Fällen , der über 3000 Menschen betraf .</t>
  </si>
  <si>
    <t>file://conllu/de/teddy-1319.conllu#s113_0</t>
  </si>
  <si>
    <t>114</t>
  </si>
  <si>
    <t>In einem anderen Fall haben sie alle Anrufe in Washington , D.C. abgehört aus Versehen .</t>
  </si>
  <si>
    <t>file://conllu/de/teddy-1319.conllu#s114_0</t>
  </si>
  <si>
    <t>115</t>
  </si>
  <si>
    <t>erregen</t>
  </si>
  <si>
    <t>Was an diesem Bericht erstaunlich ist , der für sich genommen nicht viel Aufsehen erregte , ist nicht nur , dass es 2776 Übergriffe gab , sondern , dass die Vorsitzende des Ausschusses für Nachrichtendienste , Dianne Feinstein , den Bericht nicht gesehen hatte , bis die Washington Post sie kontaktierte und um eine Stellungnahme bat .</t>
  </si>
  <si>
    <t>file://conllu/de/teddy-1319.conllu#s115_0</t>
  </si>
  <si>
    <t>116</t>
  </si>
  <si>
    <t>fordern</t>
  </si>
  <si>
    <t>Sie forderte daraufhin eine Kopie von der NSA an und bekam sie , hatte den Bericht aber vorher nie gesehen .</t>
  </si>
  <si>
    <t>file://conllu/de/teddy-1319.conllu#s116_0</t>
  </si>
  <si>
    <t>117</t>
  </si>
  <si>
    <t>Was sagt das über den Zustand der Aufsicht über den amerikanischen Nachrichtendienst , wenn die Vorsitzende des Senatsausschusses für Nachrichtendienste keine Ahnung davon hat , dass die Bestimmungen tausende Male jedes Jahr verletzt werden ?</t>
  </si>
  <si>
    <t>file://conllu/de/teddy-1319.conllu#s117_0</t>
  </si>
  <si>
    <t>118</t>
  </si>
  <si>
    <t>Warum?</t>
  </si>
  <si>
    <t>ausmachen</t>
  </si>
  <si>
    <t>CA : Ed , eine Reaktion auf diese ganze Debatte ist : Warum sollte uns die ganze Überwachung etwas ausmachen ?</t>
  </si>
  <si>
    <t>file://conllu/de/teddy-1319.conllu#s118_0</t>
  </si>
  <si>
    <t>119</t>
  </si>
  <si>
    <t>Wenn man nichts verbrochen hat , muss man sich auch keine Gedanken machen .</t>
  </si>
  <si>
    <t>file://conllu/de/teddy-1319.conllu#s119_0</t>
  </si>
  <si>
    <t>120</t>
  </si>
  <si>
    <t>sein (sein falsch)</t>
  </si>
  <si>
    <t>Was ist an dieser Einstellung falsch ?</t>
  </si>
  <si>
    <t>file://conllu/de/teddy-1319.conllu#s120_0</t>
  </si>
  <si>
    <t>121</t>
  </si>
  <si>
    <t>ES : Der erste Punkt ist :</t>
  </si>
  <si>
    <t>file://conllu/de/teddy-1319.conllu#s121_0</t>
  </si>
  <si>
    <t>122</t>
  </si>
  <si>
    <t>verzichtesen</t>
  </si>
  <si>
    <t>Du verzichtest auf deine Rechte .</t>
  </si>
  <si>
    <t>file://conllu/de/teddy-1319.conllu#s122_0</t>
  </si>
  <si>
    <t>123</t>
  </si>
  <si>
    <t>Du sagst : &amp;quot; Weißt du , ich glaube , ich werde sie nicht brauchen .</t>
  </si>
  <si>
    <t>file://conllu/de/teddy-1319.conllu#s123_0</t>
  </si>
  <si>
    <t>124</t>
  </si>
  <si>
    <t>vertrauen</t>
  </si>
  <si>
    <t>Also vertraue ich einfach darauf .</t>
  </si>
  <si>
    <t>file://conllu/de/teddy-1319.conllu#s124_0</t>
  </si>
  <si>
    <t>125</t>
  </si>
  <si>
    <t>schaffen</t>
  </si>
  <si>
    <t>Wir schaffen sie ab , es ist nicht wirklich wichtig .</t>
  </si>
  <si>
    <t>file://conllu/de/teddy-1319.conllu#s125_0</t>
  </si>
  <si>
    <t>126</t>
  </si>
  <si>
    <t>Diese Leute werden schon das Richtige tun . &amp;quot;</t>
  </si>
  <si>
    <t>file://conllu/de/teddy-1319.conllu#s126_0</t>
  </si>
  <si>
    <t>127</t>
  </si>
  <si>
    <t>Eure Rechte sind wichtig , weil ihr nie wisst , wann ihr sie brauchen werdet .</t>
  </si>
  <si>
    <t>file://conllu/de/teddy-1319.conllu#s127_0</t>
  </si>
  <si>
    <t>128</t>
  </si>
  <si>
    <t>sein (sein Teil)</t>
  </si>
  <si>
    <t>Darüber hinaus ist es Teil unserer kulturellen Identität , nicht nur in Amerika , sondern auch in westlichen Gesellschaften und in demokratischen Gesellschaften in der ganzen Welt .</t>
  </si>
  <si>
    <t>file://conllu/de/teddy-1319.conllu#s128_0</t>
  </si>
  <si>
    <t>129</t>
  </si>
  <si>
    <t>Leute sollten in der Lage sein , einen Hörer in die Hand zu nehmen und ihre Familie anzurufen ;</t>
  </si>
  <si>
    <t>file://conllu/de/teddy-1319.conllu#s129_0</t>
  </si>
  <si>
    <t>130</t>
  </si>
  <si>
    <t>schicken</t>
  </si>
  <si>
    <t>ihren Lieben eine SMS zu schicken ;</t>
  </si>
  <si>
    <t>file://conllu/de/teddy-1319.conllu#s130_0</t>
  </si>
  <si>
    <t>131</t>
  </si>
  <si>
    <t>Leute sollten in der Lage sein , online ein Buch zu kaufen ;</t>
  </si>
  <si>
    <t>file://conllu/de/teddy-1319.conllu#s131_0</t>
  </si>
  <si>
    <t>132</t>
  </si>
  <si>
    <t>reisen</t>
  </si>
  <si>
    <t>sie sollten mit dem Zug reisen können ;</t>
  </si>
  <si>
    <t>file://conllu/de/teddy-1319.conllu#s132_0</t>
  </si>
  <si>
    <t>133</t>
  </si>
  <si>
    <t>kaufen</t>
  </si>
  <si>
    <t>sie sollten sich ein Flugticket kaufen können , ohne sich fragen zu müssen , wie diese Handlungen für eine Agenten der Regierung aussehen werden , vielleicht nicht einmal deiner Regierung , Jahre in der Zukunft , wie sie misinterpretiert werden , und wie sie deine Absichten deuten .</t>
  </si>
  <si>
    <t>file://conllu/de/teddy-1319.conllu#s133_0</t>
  </si>
  <si>
    <t>134</t>
  </si>
  <si>
    <t>Wir haben ein Recht auf Privatsphäre .</t>
  </si>
  <si>
    <t>file://conllu/de/teddy-1319.conllu#s134_0</t>
  </si>
  <si>
    <t>135</t>
  </si>
  <si>
    <t>verlangen</t>
  </si>
  <si>
    <t>Als Grundlage für einen Haftbefehl verlangen wir einen hinreichenden Verdacht oder eine Art von Verdacht gegen ein Individuum , weil wir wissen , dass irgendjemandem zu vertrauen , irgendeiner Regierungsbehörde , wenn es um die Summe menschlicher Kommunikationen , im in dem Geheimen und ohne Aufsicht geht , einfach eine zu große Versuchung darstellt , als dass wir darüber hinwegsehen könnten .</t>
  </si>
  <si>
    <t>file://conllu/de/teddy-1319.conllu#s135_0</t>
  </si>
  <si>
    <t>136</t>
  </si>
  <si>
    <t>aufbringen</t>
  </si>
  <si>
    <t>CA : Einige Leute sind über das , was du getan hast , aufgebracht .</t>
  </si>
  <si>
    <t>file://conllu/de/teddy-1319.conllu#s136_0</t>
  </si>
  <si>
    <t>137</t>
  </si>
  <si>
    <t>gehören</t>
  </si>
  <si>
    <t>Ich habe kürzlich ein Zitat von Dick Cheney gehört , der sagte : &amp;quot; Julian Assange war ein Flohbiss .</t>
  </si>
  <si>
    <t>file://conllu/de/teddy-1319.conllu#s137_0</t>
  </si>
  <si>
    <t>138</t>
  </si>
  <si>
    <t>sein (sein Löwe)</t>
  </si>
  <si>
    <t>Edward Snowden ist der Löwe , der dem Hund den Kopf abgebissen hat . &amp;quot;</t>
  </si>
  <si>
    <t>file://conllu/de/teddy-1319.conllu#s138_0</t>
  </si>
  <si>
    <t>139</t>
  </si>
  <si>
    <t>Er denkt , du hättest einen der schlimmsten Akte des Verrats in der US Geschichte begangen .</t>
  </si>
  <si>
    <t>file://conllu/de/teddy-1319.conllu#s139_0</t>
  </si>
  <si>
    <t>140</t>
  </si>
  <si>
    <t>würdesen</t>
  </si>
  <si>
    <t>Was würdest du Leuten entgegnen , die das denken ?</t>
  </si>
  <si>
    <t>file://conllu/de/teddy-1319.conllu#s140_0</t>
  </si>
  <si>
    <t>141</t>
  </si>
  <si>
    <t>sein (sein Marke)</t>
  </si>
  <si>
    <t>ES : Dick Cheney ist eine ganz eigene Marke .</t>
  </si>
  <si>
    <t>file://conllu/de/teddy-1319.conllu#s141_0</t>
  </si>
  <si>
    <t>142</t>
  </si>
  <si>
    <t>Dank</t>
  </si>
  <si>
    <t>( Gelächter ) Danke .</t>
  </si>
  <si>
    <t>file://conllu/de/teddy-1319.conllu#s142_0</t>
  </si>
  <si>
    <t>143</t>
  </si>
  <si>
    <t>sagen (sagen sagen)</t>
  </si>
  <si>
    <t>Es ist bemerkenswert , weil damals , als Julian Assange einige seiner wichtigsten Aktionen unternahm , sagte Dick Cheney , dass er das Ende für Regierungen in aller Welt bedeute , der Himmel würde in Flammen aufgehen und die Ozeane würden überkochen , und nun sagt er , das ist ein Flohbiss .</t>
  </si>
  <si>
    <t>file://conllu/de/teddy-1319.conllu#s143_0</t>
  </si>
  <si>
    <t>144</t>
  </si>
  <si>
    <t>sein (sein misstrauisch)</t>
  </si>
  <si>
    <t>Wir sollten also misstrauisch sein bei aufgebauschten Behauptungen von solchen Amtsträgern , was den Schaden für die nationale Sicherheit angeht .</t>
  </si>
  <si>
    <t>file://conllu/de/teddy-1319.conllu#s144_0</t>
  </si>
  <si>
    <t>145</t>
  </si>
  <si>
    <t>sagen (sagen glauben annehmen)</t>
  </si>
  <si>
    <t>Aber angenommen , diese Leute glauben , was sie sagen .</t>
  </si>
  <si>
    <t>file://conllu/de/teddy-1319.conllu#s145_0</t>
  </si>
  <si>
    <t>146</t>
  </si>
  <si>
    <t>entgegenhalten</t>
  </si>
  <si>
    <t>Ich würde entgegenhalten , dass sie eine enge Sicht auf die nationale Sicherheit haben .</t>
  </si>
  <si>
    <t>file://conllu/de/teddy-1319.conllu#s146_0</t>
  </si>
  <si>
    <t>147</t>
  </si>
  <si>
    <t>tragen</t>
  </si>
  <si>
    <t>Die Vorrechte von Leuten wie Dick Cheney tragen nicht zur zu der Sicherheit der Nation bei .</t>
  </si>
  <si>
    <t>file://conllu/de/teddy-1319.conllu#s147_0</t>
  </si>
  <si>
    <t>148</t>
  </si>
  <si>
    <t>decken</t>
  </si>
  <si>
    <t>Das öffentliche Interesse deckt sich nicht immer mit dem nationalen Interesse .</t>
  </si>
  <si>
    <t>file://conllu/de/teddy-1319.conllu#s148_0</t>
  </si>
  <si>
    <t>149</t>
  </si>
  <si>
    <t>In den Krieg zu ziehen , gegen Leute , die nicht unsere Feinde sind , an Orten , die keine Bedrohung darstellen , gibt uns keine Sicherheit , und das trifft zu , ob es im in dem Irak ist oder im in dem Internet .</t>
  </si>
  <si>
    <t>file://conllu/de/teddy-1319.conllu#s149_0</t>
  </si>
  <si>
    <t>150</t>
  </si>
  <si>
    <t>sein (sein Feind)</t>
  </si>
  <si>
    <t>Das Internet ist nicht der Feind .</t>
  </si>
  <si>
    <t>file://conllu/de/teddy-1319.conllu#s150_0</t>
  </si>
  <si>
    <t>151</t>
  </si>
  <si>
    <t>Unsere Wirtschaft ist nicht der Feind .</t>
  </si>
  <si>
    <t>file://conllu/de/teddy-1319.conllu#s151_0</t>
  </si>
  <si>
    <t>152</t>
  </si>
  <si>
    <t>Unternehmen</t>
  </si>
  <si>
    <t>Amerikanische Unternehmen , chinesische Unternehmen und jedes andere Unternehmen da draußen sind Teil unserer Gesellschaft .</t>
  </si>
  <si>
    <t>file://conllu/de/teddy-1319.conllu#s152_0</t>
  </si>
  <si>
    <t>153</t>
  </si>
  <si>
    <t>Sie sind Teil unserer vernetzten Welt .</t>
  </si>
  <si>
    <t>file://conllu/de/teddy-1319.conllu#s153_0</t>
  </si>
  <si>
    <t>154</t>
  </si>
  <si>
    <t>Es gibt Bande der Bruderschaft , die uns verbinden .</t>
  </si>
  <si>
    <t>file://conllu/de/teddy-1319.conllu#s154_0</t>
  </si>
  <si>
    <t>155</t>
  </si>
  <si>
    <t>zerstören</t>
  </si>
  <si>
    <t>Wenn wir diese zerstören , in dem wir die Normen unterminieren , die Sicherheit , die Verhaltensregeln , von denen Nationen und Bürger in aller Welt erwarten , dass wir sie befolgen .</t>
  </si>
  <si>
    <t>file://conllu/de/teddy-1319.conllu#s155_0</t>
  </si>
  <si>
    <t>156</t>
  </si>
  <si>
    <t>vorwerfen</t>
  </si>
  <si>
    <t>CA : Man hat dir vorgeworfen , du hättest 1,7 Millionen Dokumente gestohlen .</t>
  </si>
  <si>
    <t>file://conllu/de/teddy-1319.conllu#s156_0</t>
  </si>
  <si>
    <t>157</t>
  </si>
  <si>
    <t>scheinen</t>
  </si>
  <si>
    <t>Es scheint , als seien bisher nur ein paar Hundert an Journalisten weitergegeben worden .</t>
  </si>
  <si>
    <t>file://conllu/de/teddy-1319.conllu#s157_0</t>
  </si>
  <si>
    <t>158</t>
  </si>
  <si>
    <t>Wird es weitere Enthüllungen geben ?</t>
  </si>
  <si>
    <t>file://conllu/de/teddy-1319.conllu#s158_0</t>
  </si>
  <si>
    <t>159</t>
  </si>
  <si>
    <t>ES : Es wird auf jeden Fall weitere Enthüllungen geben .</t>
  </si>
  <si>
    <t>file://conllu/de/teddy-1319.conllu#s159_0</t>
  </si>
  <si>
    <t>160</t>
  </si>
  <si>
    <t>stehen</t>
  </si>
  <si>
    <t>Es steht außer Frage , dass einige der wichtigsten Berichterstattungen erst noch kommen werden .</t>
  </si>
  <si>
    <t>file://conllu/de/teddy-1319.conllu#s160_0</t>
  </si>
  <si>
    <t>161</t>
  </si>
  <si>
    <t>stellen</t>
  </si>
  <si>
    <t>CA : Komm hier herüber , ich möchte dir eine Frage stellen zu dieser speziellen Enthüllung .</t>
  </si>
  <si>
    <t>file://conllu/de/teddy-1319.conllu#s161_0</t>
  </si>
  <si>
    <t>162</t>
  </si>
  <si>
    <t>derden</t>
  </si>
  <si>
    <t>Komm und sieh dir dies an .</t>
  </si>
  <si>
    <t>file://conllu/de/teddy-1319.conllu#s162_0</t>
  </si>
  <si>
    <t>163</t>
  </si>
  <si>
    <t>Sache</t>
  </si>
  <si>
    <t>Womöglich ist diese Geschichte für die Tech Freunde in diesem Raum die schockierendste Sache , die sie in den letzten Monaten gehört haben .</t>
  </si>
  <si>
    <t>file://conllu/de/teddy-1319.conllu#s163_0</t>
  </si>
  <si>
    <t>164</t>
  </si>
  <si>
    <t>Es geht um ein Programm namens &amp;quot; Bullrun &amp;quot; .</t>
  </si>
  <si>
    <t>file://conllu/de/teddy-1319.conllu#s164_0</t>
  </si>
  <si>
    <t>165</t>
  </si>
  <si>
    <t>erklären</t>
  </si>
  <si>
    <t>Könntest du uns erklären , was das ist ?</t>
  </si>
  <si>
    <t>file://conllu/de/teddy-1319.conllu#s165_0</t>
  </si>
  <si>
    <t>166</t>
  </si>
  <si>
    <t>ES : Bullrun , also .</t>
  </si>
  <si>
    <t>file://conllu/de/teddy-1319.conllu#s166_0</t>
  </si>
  <si>
    <t>167</t>
  </si>
  <si>
    <t>Fall</t>
  </si>
  <si>
    <t>Wieder ein Fall , wo ich der NSA für ihre Freimütigkeit danke .</t>
  </si>
  <si>
    <t>file://conllu/de/teddy-1319.conllu#s167_0</t>
  </si>
  <si>
    <t>168</t>
  </si>
  <si>
    <t>benennen</t>
  </si>
  <si>
    <t>Dieses Programm wurde nach einer Schlacht im in dem amerikanischen Bürgerkrieg benannt .</t>
  </si>
  <si>
    <t>file://conllu/de/teddy-1319.conllu#s168_0</t>
  </si>
  <si>
    <t>169</t>
  </si>
  <si>
    <t>Das britische Gegenstück heißt &amp;quot; Edgehill &amp;quot; , nach einer britischen Bürgerkriegsschlacht .</t>
  </si>
  <si>
    <t>file://conllu/de/teddy-1319.conllu#s169_0</t>
  </si>
  <si>
    <t>170</t>
  </si>
  <si>
    <t>Ich denke , dass sie es so nennen , weil das Ziel unsere eigene Infrastruktur ist .</t>
  </si>
  <si>
    <t>file://conllu/de/teddy-1319.conllu#s170_0</t>
  </si>
  <si>
    <t>171</t>
  </si>
  <si>
    <t>Es sind Programme , mit denen die NSA gezielt Partnerunternehmen in die Irre führt .</t>
  </si>
  <si>
    <t>file://conllu/de/teddy-1319.conllu#s171_0</t>
  </si>
  <si>
    <t>172</t>
  </si>
  <si>
    <t>Sie sagen Partnerunternehmen , dass dies sichere Standards sind .</t>
  </si>
  <si>
    <t>file://conllu/de/teddy-1319.conllu#s172_0</t>
  </si>
  <si>
    <t>173</t>
  </si>
  <si>
    <t>Sie sagen : &amp;quot; Wir müssen mit dir arbeiten , um deine Systeme abzusichern . &amp;quot;</t>
  </si>
  <si>
    <t>file://conllu/de/teddy-1319.conllu#s173_0</t>
  </si>
  <si>
    <t>174</t>
  </si>
  <si>
    <t>In Wirklichkeit geben sie diesen Unternehmen schlechte Ratschläge , die die Sicherheit ihrer Systeme schwächen .</t>
  </si>
  <si>
    <t>file://conllu/de/teddy-1319.conllu#s174_0</t>
  </si>
  <si>
    <t>175</t>
  </si>
  <si>
    <t>bauen</t>
  </si>
  <si>
    <t>Sie bauen Hintertüren ein , die nicht nur die NSA ausbeuten kann , sondern jeder , der Zeit und Geld hat , sie zu recherchieren und zu finden , kann sie nutzen , um sich Zugang zu verschaffen in die Kommunikationen der Welt .</t>
  </si>
  <si>
    <t>file://conllu/de/teddy-1319.conllu#s175_0</t>
  </si>
  <si>
    <t>176</t>
  </si>
  <si>
    <t>sein (sein gefährlich)</t>
  </si>
  <si>
    <t>Das ist wirklich gefährlich .</t>
  </si>
  <si>
    <t>file://conllu/de/teddy-1319.conllu#s176_0</t>
  </si>
  <si>
    <t>177</t>
  </si>
  <si>
    <t>leben</t>
  </si>
  <si>
    <t>Denn wenn wir auch nur einen Standard verlieren , wenn wir das Vertrauen in so etwas wie SSL verlieren , das ein ausgemachtes Ziel des Programms Bullrun war , werden wir in einer Welt leben , die insgesamt weniger sicher ist .</t>
  </si>
  <si>
    <t>file://conllu/de/teddy-1319.conllu#s177_0</t>
  </si>
  <si>
    <t>178</t>
  </si>
  <si>
    <t>werden</t>
  </si>
  <si>
    <t>Wir werden keinen Zugriff auf unsere Banken haben , wir werden keinen Zugang zum zu dem Handel haben , ohne uns über Leute zu sorgen , die diese Kommunikation überwachen oder für ihre Zwecke missbrauchen könnten .</t>
  </si>
  <si>
    <t>file://conllu/de/teddy-1319.conllu#s178_0</t>
  </si>
  <si>
    <t>179</t>
  </si>
  <si>
    <t>CA : Und machen dieselben Entscheidungen Amerika potenziell verwundbar für Cyberangriffe von anderer Seite ?</t>
  </si>
  <si>
    <t>file://conllu/de/teddy-1319.conllu#s179_0</t>
  </si>
  <si>
    <t>180</t>
  </si>
  <si>
    <t>ES : Absolut .</t>
  </si>
  <si>
    <t>file://conllu/de/teddy-1319.conllu#s180_0</t>
  </si>
  <si>
    <t>181</t>
  </si>
  <si>
    <t>ein</t>
  </si>
  <si>
    <t>Eines der Probleme , eines der gefährlichen Vermächtnisse in der Ära nach dem 11 .</t>
  </si>
  <si>
    <t>file://conllu/de/teddy-1319.conllu#s181_0</t>
  </si>
  <si>
    <t>182</t>
  </si>
  <si>
    <t>sein (sein Erkenntnis)</t>
  </si>
  <si>
    <t>September ist die Erkenntnis , dass die NSA schon immer zwei Gesichter hatte .</t>
  </si>
  <si>
    <t>file://conllu/de/teddy-1319.conllu#s182_0</t>
  </si>
  <si>
    <t>183</t>
  </si>
  <si>
    <t>sein (sein verantwortlich)</t>
  </si>
  <si>
    <t>Sie waren verantwortlich für offensive Operationen , in denen es um Hacking ging .</t>
  </si>
  <si>
    <t>file://conllu/de/teddy-1319.conllu#s183_0</t>
  </si>
  <si>
    <t>184</t>
  </si>
  <si>
    <t>leiten</t>
  </si>
  <si>
    <t>Aber sie leitete auch defensive Operationen .</t>
  </si>
  <si>
    <t>file://conllu/de/teddy-1319.conllu#s184_0</t>
  </si>
  <si>
    <t>185</t>
  </si>
  <si>
    <t>vorgeziehen</t>
  </si>
  <si>
    <t>Traditionsgemäß hat die NSA stets die Defensive der Offensive vorgezogen , ausgehend von dem Prinzip , dass amerikanische Geheimnisse schlicht wertvoller sind .</t>
  </si>
  <si>
    <t>file://conllu/de/teddy-1319.conllu#s185_0</t>
  </si>
  <si>
    <t>186</t>
  </si>
  <si>
    <t>sein (sein wertvoll)</t>
  </si>
  <si>
    <t>Wenn wir ein chinesisches Unternehmen hacken und seine Geheimnisse stehlen ; wenn wir eine Regierungsbehörde in Berlin hacken und ihre Geheimnisse stehlen , dann ist das für das amerikanische Volk weniger wertvoll , als sicherzustellen , dass die Chinesen keinen Zugang zu unseren Geheimnissen haben .</t>
  </si>
  <si>
    <t>file://conllu/de/teddy-1319.conllu#s186_0</t>
  </si>
  <si>
    <t>187</t>
  </si>
  <si>
    <t>setzen</t>
  </si>
  <si>
    <t>Also indem sie die Sicherheit unserer Kommunikationen schwächen , setzen sie nicht nur die Welt Risiken aus , sie gefährden auch die USA auf fundamentale Weise , weil geistiges Eigentum die Grundlage unserer Wirtschaft ist .</t>
  </si>
  <si>
    <t>file://conllu/de/teddy-1319.conllu#s187_0</t>
  </si>
  <si>
    <t>188</t>
  </si>
  <si>
    <t>zahlen</t>
  </si>
  <si>
    <t>Wenn wir das durch schwache Sicherheit gefährden , werden wir auf Jahre hinaus dafür zahlen .</t>
  </si>
  <si>
    <t>file://conllu/de/teddy-1319.conllu#s188_0</t>
  </si>
  <si>
    <t>189</t>
  </si>
  <si>
    <t>ausgerechnet</t>
  </si>
  <si>
    <t>CA : Aber die NSA hat ich ausgerechnet , dass es diese Maßnahme als Teil der US Verteidigung gegen Terrorismus wert ist .</t>
  </si>
  <si>
    <t>file://conllu/de/teddy-1319.conllu#s189_0</t>
  </si>
  <si>
    <t>190</t>
  </si>
  <si>
    <t>sein (sein Preis)</t>
  </si>
  <si>
    <t>Dann ist das doch gewiss ein Preis , der sich lohnt .</t>
  </si>
  <si>
    <t>file://conllu/de/teddy-1319.conllu#s190_0</t>
  </si>
  <si>
    <t>191</t>
  </si>
  <si>
    <t>ansehen (ansehen sehen)</t>
  </si>
  <si>
    <t>ES : Wenn man sich die Resultate dieser Programme beim bei dem Verhindern von Terrorismus ansieht , sieht man , dass es dafür keine Belege gibt .</t>
  </si>
  <si>
    <t>file://conllu/de/teddy-1319.conllu#s191_0</t>
  </si>
  <si>
    <t>192</t>
  </si>
  <si>
    <t>verlassen</t>
  </si>
  <si>
    <t>Sie müssen sich nicht auf mein Wort verlassen , weil wir das erste öffentliche Gerichtsverfahren haben .</t>
  </si>
  <si>
    <t>file://conllu/de/teddy-1319.conllu#s192_0</t>
  </si>
  <si>
    <t>193</t>
  </si>
  <si>
    <t>nennen</t>
  </si>
  <si>
    <t>Der erste Bundesgerichtshof , der sie außerhalb der Geheimhaltungsvereinbarungen untersuchte , nannte sie Orwellsche Programme und wahrscheinlich verfassungswidrig .</t>
  </si>
  <si>
    <t>file://conllu/de/teddy-1319.conllu#s193_0</t>
  </si>
  <si>
    <t>194</t>
  </si>
  <si>
    <t>vorlegen</t>
  </si>
  <si>
    <t>Der Kongress , der in diesen Angelegenheiten Auskunft verlangen kann und nun auch einfordern möchte , hat Gesetze vorgelegt , um es zu reformieren .</t>
  </si>
  <si>
    <t>file://conllu/de/teddy-1319.conllu#s194_0</t>
  </si>
  <si>
    <t>195</t>
  </si>
  <si>
    <t>Zwei unabhängige Ausschüsse des Weißen Hauses , die all das vertrauliche Beweismaterial geprüft haben , sagen , diese Programme haben nie auch nur einen Terroristenangriff verhindert , der in den USA bevorstand .</t>
  </si>
  <si>
    <t>file://conllu/de/teddy-1319.conllu#s195_0</t>
  </si>
  <si>
    <t>196</t>
  </si>
  <si>
    <t>sein (sein Terrorismus)</t>
  </si>
  <si>
    <t>Also ist es wirklich Terrorismus , den wir verhindern ?</t>
  </si>
  <si>
    <t>file://conllu/de/teddy-1319.conllu#s196_0</t>
  </si>
  <si>
    <t>197</t>
  </si>
  <si>
    <t>Haben diese Programme überhaupt einen Wert ?</t>
  </si>
  <si>
    <t>file://conllu/de/teddy-1319.conllu#s197_0</t>
  </si>
  <si>
    <t>198</t>
  </si>
  <si>
    <t>Ich sage nein , und auch alle drei Staatsorgane der amerikanischen Regierung sagen nein .</t>
  </si>
  <si>
    <t>file://conllu/de/teddy-1319.conllu#s198_0</t>
  </si>
  <si>
    <t>199</t>
  </si>
  <si>
    <t>CA : Denkst du , es gibt einen tieferen Beweggrund für sie als den Krieg gegen den Terror ?</t>
  </si>
  <si>
    <t>file://conllu/de/teddy-1319.conllu#s199_0</t>
  </si>
  <si>
    <t>200</t>
  </si>
  <si>
    <t>ES : Verzeihung , ich konnte dich nicht hören .</t>
  </si>
  <si>
    <t>file://conllu/de/teddy-1319.conllu#s200_0</t>
  </si>
  <si>
    <t>201</t>
  </si>
  <si>
    <t>wiederholen</t>
  </si>
  <si>
    <t>Kannst du das wiederholen ?</t>
  </si>
  <si>
    <t>file://conllu/de/teddy-1319.conllu#s201_0</t>
  </si>
  <si>
    <t>202</t>
  </si>
  <si>
    <t>Entschuldig</t>
  </si>
  <si>
    <t>CA : Entschuldige .</t>
  </si>
  <si>
    <t>file://conllu/de/teddy-1319.conllu#s202_0</t>
  </si>
  <si>
    <t>203</t>
  </si>
  <si>
    <t>Denkst du , es gibt einen anderen , tieferliegenden Beweggrund ES : Ja .</t>
  </si>
  <si>
    <t>file://conllu/de/teddy-1319.conllu#s203_0</t>
  </si>
  <si>
    <t>204</t>
  </si>
  <si>
    <t>Unterm Strich ist Terrorismus immer das gewesen , was wir in der Welt der Geheimdienste eine Auftragslegende nennen würden .</t>
  </si>
  <si>
    <t>file://conllu/de/teddy-1319.conllu#s204_0</t>
  </si>
  <si>
    <t>205</t>
  </si>
  <si>
    <t>Terrorismus ist etwas , das eine emotionale Reaktion hervorruft , die es Leuten ermöglicht , das Autorisieren von Vollmachten und Programmen zu rationalisieren , denen sie sonst nicht zustimmen würden .</t>
  </si>
  <si>
    <t>file://conllu/de/teddy-1319.conllu#s205_0</t>
  </si>
  <si>
    <t>206</t>
  </si>
  <si>
    <t>bitten</t>
  </si>
  <si>
    <t>Für Programme , die Bullrun oder Edgehill ähneln , bat die NSA bereits in den 1990er Jahren um Ermächtigungen .</t>
  </si>
  <si>
    <t>file://conllu/de/teddy-1319.conllu#s206_0</t>
  </si>
  <si>
    <t>207</t>
  </si>
  <si>
    <t>Sie bat das FBI , sich beim bei dem Kongress dafür einzusetzen .</t>
  </si>
  <si>
    <t>file://conllu/de/teddy-1319.conllu#s207_0</t>
  </si>
  <si>
    <t>208</t>
  </si>
  <si>
    <t>Und das FBI setzte sich beim bei dem Kongress dafür ein .</t>
  </si>
  <si>
    <t>file://conllu/de/teddy-1319.conllu#s208_0</t>
  </si>
  <si>
    <t>209</t>
  </si>
  <si>
    <t>Aber der Kongress und das amerikanische Volk sagten nein .</t>
  </si>
  <si>
    <t>file://conllu/de/teddy-1319.conllu#s209_0</t>
  </si>
  <si>
    <t>210</t>
  </si>
  <si>
    <t>Sie sagten , es sei das Risiko für unsere Wirtschaft nicht wert .</t>
  </si>
  <si>
    <t>file://conllu/de/teddy-1319.conllu#s210_0</t>
  </si>
  <si>
    <t>211</t>
  </si>
  <si>
    <t>Sie sagten , der Schaden für die Gesellschaft sei zu groß , um den Nutzen zu rechtfertigen .</t>
  </si>
  <si>
    <t>file://conllu/de/teddy-1319.conllu#s211_0</t>
  </si>
  <si>
    <t>212</t>
  </si>
  <si>
    <t>Aber wir haben in der Zeit nach dem 11 .</t>
  </si>
  <si>
    <t>file://conllu/de/teddy-1319.conllu#s212_0</t>
  </si>
  <si>
    <t>213</t>
  </si>
  <si>
    <t>fragen (fragen sehen)</t>
  </si>
  <si>
    <t>September gesehen , dass sie zur zu der Geheimhaltung griffen und den Terrorismus als Rechtfertigung benutzten , um die Programme im in dem Geheimen zu starten , ohne den Kongress zu fragen , ohne das amerikanische Volk zu fragen , und es ist diese Art von Regierung hinter verschlossenen Türen , vor der wir uns schützen müssen , weil sie unsere Sicherheit schwächt und keinen Gegenwert bietet .</t>
  </si>
  <si>
    <t>file://conllu/de/teddy-1319.conllu#s213_0</t>
  </si>
  <si>
    <t>214</t>
  </si>
  <si>
    <t>Moment</t>
  </si>
  <si>
    <t>CA : Kommst du einen Moment mit mir ?</t>
  </si>
  <si>
    <t>file://conllu/de/teddy-1319.conllu#s214_0</t>
  </si>
  <si>
    <t>215</t>
  </si>
  <si>
    <t>Ich habe eine etwas persönlichere Frage an dich .</t>
  </si>
  <si>
    <t>file://conllu/de/teddy-1319.conllu#s215_0</t>
  </si>
  <si>
    <t>216</t>
  </si>
  <si>
    <t>sprechen</t>
  </si>
  <si>
    <t>Wo wir gerade von Terror sprechen :</t>
  </si>
  <si>
    <t>file://conllu/de/teddy-1319.conllu#s216_0</t>
  </si>
  <si>
    <t>217</t>
  </si>
  <si>
    <t>finden</t>
  </si>
  <si>
    <t>Die meisten Leute finden deine gegenwärtige Situation in Russland recht furchteinflößend .</t>
  </si>
  <si>
    <t>file://conllu/de/teddy-1319.conllu#s217_0</t>
  </si>
  <si>
    <t>218</t>
  </si>
  <si>
    <t>Du hast offensichtlich gehört , welche Behandlung Bradley Manning widerfahren ist , Chelsea Manning , wie sie jetzt heißt .</t>
  </si>
  <si>
    <t>file://conllu/de/teddy-1319.conllu#s218_0</t>
  </si>
  <si>
    <t>219</t>
  </si>
  <si>
    <t>schreiben</t>
  </si>
  <si>
    <t>Ein Beitrag auf Buzzfeed schrieb , es gibt Leute in der Geheimdienstgemeinde die dich tot sehen möchten .</t>
  </si>
  <si>
    <t>file://conllu/de/teddy-1319.conllu#s219_0</t>
  </si>
  <si>
    <t>220</t>
  </si>
  <si>
    <t>Wie gehst du damit um ?</t>
  </si>
  <si>
    <t>file://conllu/de/teddy-1319.conllu#s220_0</t>
  </si>
  <si>
    <t>221</t>
  </si>
  <si>
    <t>Wie gehst du mit der Angst um ?</t>
  </si>
  <si>
    <t>file://conllu/de/teddy-1319.conllu#s221_0</t>
  </si>
  <si>
    <t>222</t>
  </si>
  <si>
    <t>.</t>
  </si>
  <si>
    <t>ES : Es ist kein Geheimnis , dass es da draußen Regierungen gibt , die mich tot sehen möchten .</t>
  </si>
  <si>
    <t>file://conllu/de/teddy-1319.conllu#s222_0</t>
  </si>
  <si>
    <t>223</t>
  </si>
  <si>
    <t>betonen</t>
  </si>
  <si>
    <t>Ich habe immer und immer wieder betont , dass ich jeden Morgen , wenn ich schlafen gehe , darüber nachdenke , was ich für das amerikanische Volk tun kann .</t>
  </si>
  <si>
    <t>file://conllu/de/teddy-1319.conllu#s223_0</t>
  </si>
  <si>
    <t>224</t>
  </si>
  <si>
    <t>schaden</t>
  </si>
  <si>
    <t>Ich möchte meiner Regierung nicht schaden .</t>
  </si>
  <si>
    <t>file://conllu/de/teddy-1319.conllu#s224_0</t>
  </si>
  <si>
    <t>225</t>
  </si>
  <si>
    <t>helfen</t>
  </si>
  <si>
    <t>Ich möchte meiner Regierung helfen , aber die Tatsache , dass sie bereit ist , die Rechtstaatlichkeit völlig zu ignorieren , dass sie bereit ist , jemanden schuldig zu erklären , ohne jemals ein Verfahren zu sehen , das sind Dinge , gegen die wir uns einsetzen müssen als Gesellschaft , und sagen : &amp;quot; Hey , dies ist nicht angemessen . &amp;quot;</t>
  </si>
  <si>
    <t>file://conllu/de/teddy-1319.conllu#s225_0</t>
  </si>
  <si>
    <t>226</t>
  </si>
  <si>
    <t>bedrohen</t>
  </si>
  <si>
    <t>Wir sollten Dissidenten nicht bedrohen .</t>
  </si>
  <si>
    <t>file://conllu/de/teddy-1319.conllu#s226_0</t>
  </si>
  <si>
    <t>227</t>
  </si>
  <si>
    <t>kriminalisieren</t>
  </si>
  <si>
    <t>Wir sollten Journalismus nicht kriminalisieren .</t>
  </si>
  <si>
    <t>file://conllu/de/teddy-1319.conllu#s227_0</t>
  </si>
  <si>
    <t>228</t>
  </si>
  <si>
    <t>ungeachtet</t>
  </si>
  <si>
    <t>Was auch immer ich tun kann , um das zu erreichen , tue ich gern , ungeachtet der Risiken .</t>
  </si>
  <si>
    <t>file://conllu/de/teddy-1319.conllu#s228_0</t>
  </si>
  <si>
    <t>229</t>
  </si>
  <si>
    <t>CA : Ich möchte an dieser Stelle um Stimmen aus dem Pubikum bitten , weil ich weiß , dass es sehr unterschiedliche Reaktionen auf Edward Snowden gibt .</t>
  </si>
  <si>
    <t>file://conllu/de/teddy-1319.conllu#s229_0</t>
  </si>
  <si>
    <t>230</t>
  </si>
  <si>
    <t>annehmen</t>
  </si>
  <si>
    <t>Angenommen Sie hätten die Wahl zwischen zwei Optionen : Sie könnten das , was er getan hat , als im in dem Wesentlichen rücksichtslose Tat sehen , die die USA in Gefahr gebracht hat , oder Sie können es im in dem Wesentlichen als Heldentat sehen , die den USA und und der Welt langfristig zum zu dem Vorteil gereichen wird ?</t>
  </si>
  <si>
    <t>file://conllu/de/teddy-1319.conllu#s230_0</t>
  </si>
  <si>
    <t>231</t>
  </si>
  <si>
    <t>sein (sein Option)</t>
  </si>
  <si>
    <t>Dies sind de beiden Optionen , die ich Ihnen gebe .</t>
  </si>
  <si>
    <t>file://conllu/de/teddy-1319.conllu#s231_0</t>
  </si>
  <si>
    <t>232</t>
  </si>
  <si>
    <t>spannen</t>
  </si>
  <si>
    <t>Ich bin gespannt , zu sehen , wer bereit ist , die erste Option zu wählen , dass es eine rücksichtslose Aktion war .</t>
  </si>
  <si>
    <t>file://conllu/de/teddy-1319.conllu#s232_0</t>
  </si>
  <si>
    <t>233</t>
  </si>
  <si>
    <t>Da gehen ein paar Hände hoch .</t>
  </si>
  <si>
    <t>file://conllu/de/teddy-1319.conllu#s233_0</t>
  </si>
  <si>
    <t>234</t>
  </si>
  <si>
    <t>Einige Hände gehen hoch .</t>
  </si>
  <si>
    <t>file://conllu/de/teddy-1319.conllu#s234_0</t>
  </si>
  <si>
    <t>235</t>
  </si>
  <si>
    <t>sein (sein schwer)</t>
  </si>
  <si>
    <t>Es ist schwer , seine Hand zu heben , wenn der Mann direkt hier steht , aber ich sehe sie .</t>
  </si>
  <si>
    <t>file://conllu/de/teddy-1319.conllu#s235_0</t>
  </si>
  <si>
    <t>236</t>
  </si>
  <si>
    <t>ES : Ich kann euch sehen .</t>
  </si>
  <si>
    <t>file://conllu/de/teddy-1319.conllu#s236_0</t>
  </si>
  <si>
    <t>237</t>
  </si>
  <si>
    <t>wählen</t>
  </si>
  <si>
    <t>CA : Und wer wählt die zweite Option , dass dies im in dem Grunde eine Heldentat ist ?</t>
  </si>
  <si>
    <t>file://conllu/de/teddy-1319.conllu#s237_0</t>
  </si>
  <si>
    <t>238</t>
  </si>
  <si>
    <t>( Hochrufe ) Ich denke , da waren viele , die ihre Hand nicht gehoben haben und die , wie ich glaube , über dieses Thema noch nachdenken , weil die Debatte um dich , wie mir scheint , nicht zwischen traditionellen politischen Lagern entbrennt .</t>
  </si>
  <si>
    <t>file://conllu/de/teddy-1319.conllu#s238_0</t>
  </si>
  <si>
    <t>239</t>
  </si>
  <si>
    <t>Es geht nicht um links oder rechts , es geht nicht wirklich darum , ob du pro Regierung , libertär bist , oder nicht nur darum .</t>
  </si>
  <si>
    <t>file://conllu/de/teddy-1319.conllu#s239_0</t>
  </si>
  <si>
    <t>240</t>
  </si>
  <si>
    <t>sein (sein Generationenfrage)</t>
  </si>
  <si>
    <t>Ein Aspekt davon ist geradezu eine Generationenfrage .</t>
  </si>
  <si>
    <t>file://conllu/de/teddy-1319.conllu#s240_0</t>
  </si>
  <si>
    <t>241</t>
  </si>
  <si>
    <t>Du gehörst einer Generation an , die mit dem Internet aufgewachsen ist .</t>
  </si>
  <si>
    <t>file://conllu/de/teddy-1319.conllu#s241_0</t>
  </si>
  <si>
    <t>242</t>
  </si>
  <si>
    <t>denken (denken scheinen)</t>
  </si>
  <si>
    <t>Es scheint fast , als würde es dich zutiefst kränken , wenn du beobachtest , wie etwas getan wird , von dem du denkst , dass es dem Internet schaden wird .</t>
  </si>
  <si>
    <t>file://conllu/de/teddy-1319.conllu#s242_0</t>
  </si>
  <si>
    <t>243</t>
  </si>
  <si>
    <t>sein (sein dran)</t>
  </si>
  <si>
    <t>Ist da etwas dran ?</t>
  </si>
  <si>
    <t>file://conllu/de/teddy-1319.conllu#s243_0</t>
  </si>
  <si>
    <t>244</t>
  </si>
  <si>
    <t>ES : Das ist so , weißt du Das ist sehr wahr .</t>
  </si>
  <si>
    <t>file://conllu/de/teddy-1319.conllu#s244_0</t>
  </si>
  <si>
    <t>245</t>
  </si>
  <si>
    <t>sein (sein Frage)</t>
  </si>
  <si>
    <t>Es ist keine Frage von links oder rechts .</t>
  </si>
  <si>
    <t>file://conllu/de/teddy-1319.conllu#s245_0</t>
  </si>
  <si>
    <t>246</t>
  </si>
  <si>
    <t>Freiheit</t>
  </si>
  <si>
    <t>Unsere grundlegenden Freiheiten , und wenn ich &amp;quot; unsere &amp;quot; sage , meine ich nicht nur Amerikaner , ich meine Leute überall in der Welt , sind keine Frage der Partei .</t>
  </si>
  <si>
    <t>file://conllu/de/teddy-1319.conllu#s246_0</t>
  </si>
  <si>
    <t>247</t>
  </si>
  <si>
    <t>sein (sein Ding)</t>
  </si>
  <si>
    <t>Es sind die Dinge , an die alle Menschen glauben , und es liegt an uns , sie zu schützen , an denen , die ein freies und offenes Internet gesehen und genossen haben .</t>
  </si>
  <si>
    <t>file://conllu/de/teddy-1319.conllu#s247_0</t>
  </si>
  <si>
    <t>248</t>
  </si>
  <si>
    <t>liegen</t>
  </si>
  <si>
    <t>Es liegt an uns , diese Freiheit zu erhalten , damit die nächste Generation in ihren Genuss kommt .</t>
  </si>
  <si>
    <t>file://conllu/de/teddy-1319.conllu#s248_0</t>
  </si>
  <si>
    <t>249</t>
  </si>
  <si>
    <t>schützen</t>
  </si>
  <si>
    <t>Wenn wir die Dinge nicht verändern , wenn wir nicht die Stirn bieten , um diese Veränderungen zu erreichen wir müssen das Internet schützen , nicht nur für uns , sondern für alle werden wir es verlieren , Das wäre ein gewaltiger Verlust , nicht nur für uns , sondern für die Welt .</t>
  </si>
  <si>
    <t>file://conllu/de/teddy-1319.conllu#s249_0</t>
  </si>
  <si>
    <t>250</t>
  </si>
  <si>
    <t>CA : Ich habe ähnliche Worte kürzlich vom von dem Gründer des World Wide Web gehört , der , glaube ich , sogar bei uns ist : Sir Tim Berners Lee .</t>
  </si>
  <si>
    <t>file://conllu/de/teddy-1319.conllu#s250_0</t>
  </si>
  <si>
    <t>251</t>
  </si>
  <si>
    <t>Tim</t>
  </si>
  <si>
    <t>Tim , möchtest du hochkommen und etwas sagen ?</t>
  </si>
  <si>
    <t>file://conllu/de/teddy-1319.conllu#s251_0</t>
  </si>
  <si>
    <t>252</t>
  </si>
  <si>
    <t>Mikrofon</t>
  </si>
  <si>
    <t>Haben wir ein Mikrofon für Tim ?</t>
  </si>
  <si>
    <t>file://conllu/de/teddy-1319.conllu#s252_0</t>
  </si>
  <si>
    <t>253</t>
  </si>
  <si>
    <t>Tim , gut dich zu sehen .</t>
  </si>
  <si>
    <t>file://conllu/de/teddy-1319.conllu#s253_0</t>
  </si>
  <si>
    <t>254</t>
  </si>
  <si>
    <t>hoch</t>
  </si>
  <si>
    <t>Komm dort hoch .</t>
  </si>
  <si>
    <t>file://conllu/de/teddy-1319.conllu#s254_0</t>
  </si>
  <si>
    <t>255</t>
  </si>
  <si>
    <t>sein (sein du)</t>
  </si>
  <si>
    <t>Übrigens , in welchem Lager bist du ?</t>
  </si>
  <si>
    <t>file://conllu/de/teddy-1319.conllu#s255_0</t>
  </si>
  <si>
    <t>256</t>
  </si>
  <si>
    <t>Verräter</t>
  </si>
  <si>
    <t>Verräter oder Held ?</t>
  </si>
  <si>
    <t>file://conllu/de/teddy-1319.conllu#s256_0</t>
  </si>
  <si>
    <t>257</t>
  </si>
  <si>
    <t>Ich habe eine Theorie , aber ... Tim Berners Lee : Ich habe auf diese Frage wesentlich längere Antworten gegeben , aber &amp;quot; Held &amp;quot; , wenn ich zwischen diesen beiden wählen muss .</t>
  </si>
  <si>
    <t>file://conllu/de/teddy-1319.conllu#s257_0</t>
  </si>
  <si>
    <t>258</t>
  </si>
  <si>
    <t>Und</t>
  </si>
  <si>
    <t>CA : Und Ed , ich denke , du hast den Vorschlag gelesen , von dem Sir Tim gesprochen hat , über eine neue Magna Charta , um das Internet zurückzuerobern .</t>
  </si>
  <si>
    <t>file://conllu/de/teddy-1319.conllu#s258_0</t>
  </si>
  <si>
    <t>259</t>
  </si>
  <si>
    <t>Ist das etwas , das Sinn macht ?</t>
  </si>
  <si>
    <t>file://conllu/de/teddy-1319.conllu#s259_0</t>
  </si>
  <si>
    <t>260</t>
  </si>
  <si>
    <t>file://conllu/de/teddy-1319.conllu#s260_0</t>
  </si>
  <si>
    <t>261</t>
  </si>
  <si>
    <t>aufwachsen</t>
  </si>
  <si>
    <t>Meine Generation ... Ich bin nicht nur mit Gedanken über das Internet aufgewachsen , ich bin im in dem Internet aufgewachsen , und obwohl ich nie erwartet hätte , die Chance zu haben , es auf eine so direkte und praktische Art und Weise zu verteidigen und es auf so ungewöhnliche Weise fast wie ein Avatar zu verkörpern .</t>
  </si>
  <si>
    <t>file://conllu/de/teddy-1319.conllu#s261_0</t>
  </si>
  <si>
    <t>262</t>
  </si>
  <si>
    <t>sein (sein Poetisch)</t>
  </si>
  <si>
    <t>Es ist etwas Poetisches an der Tatsache , dass einer der Söhne des Internet dem Internet so nahe gekommen ist durch eine politische Meinungsäußerung .</t>
  </si>
  <si>
    <t>file://conllu/de/teddy-1319.conllu#s262_0</t>
  </si>
  <si>
    <t>263</t>
  </si>
  <si>
    <t>glauben</t>
  </si>
  <si>
    <t>Ich glaube , eine Magna Charta für das Internet ist genau , was wir brauchen .</t>
  </si>
  <si>
    <t>file://conllu/de/teddy-1319.conllu#s263_0</t>
  </si>
  <si>
    <t>264</t>
  </si>
  <si>
    <t>festschreiben</t>
  </si>
  <si>
    <t>Wir müssen unsere Werte festschreiben nicht nur in Worten , sondern in der Struktur des Internet .</t>
  </si>
  <si>
    <t>file://conllu/de/teddy-1319.conllu#s264_0</t>
  </si>
  <si>
    <t>265</t>
  </si>
  <si>
    <t>Es ist etwas , auf das ich hoffe .</t>
  </si>
  <si>
    <t>file://conllu/de/teddy-1319.conllu#s265_0</t>
  </si>
  <si>
    <t>266</t>
  </si>
  <si>
    <t>lade</t>
  </si>
  <si>
    <t>Ich lade jeden im in dem Publikum , nicht nur hier in Vancouver , sondern in der ganzen Welt ein , sich anzuschließen und mitzumachen .</t>
  </si>
  <si>
    <t>file://conllu/de/teddy-1319.conllu#s266_0</t>
  </si>
  <si>
    <t>267</t>
  </si>
  <si>
    <t>CA : Hast du eine Frage an Ed ? TBL : Zwei Fragen : eine allgemeine Frage ... CA : Ed , kannst du uns noch hören ?</t>
  </si>
  <si>
    <t>file://conllu/de/teddy-1319.conllu#s267_0</t>
  </si>
  <si>
    <t>268</t>
  </si>
  <si>
    <t>ES : Ja , ich kann dich hören .</t>
  </si>
  <si>
    <t>file://conllu/de/teddy-1319.conllu#s268_0</t>
  </si>
  <si>
    <t>269</t>
  </si>
  <si>
    <t>CA : Er ist wieder da .</t>
  </si>
  <si>
    <t>file://conllu/de/teddy-1319.conllu#s269_0</t>
  </si>
  <si>
    <t>270</t>
  </si>
  <si>
    <t>TBL : Die Wanze an deiner Leitung hatte für einen Moment Schluckauf .</t>
  </si>
  <si>
    <t>file://conllu/de/teddy-1319.conllu#s270_0</t>
  </si>
  <si>
    <t>271</t>
  </si>
  <si>
    <t>Lach</t>
  </si>
  <si>
    <t>( Lachen ) ES : Es ist ein kleines NSA Problem .</t>
  </si>
  <si>
    <t>file://conllu/de/teddy-1319.conllu#s271_0</t>
  </si>
  <si>
    <t>272</t>
  </si>
  <si>
    <t>zurücktreten</t>
  </si>
  <si>
    <t>TBL : Wenn wir von den 25 Jahren einen Schritt zurücktreten und nachdenken , was denkst du , wäre das Beste , was wir erreichen könnten , aus all den Diskussionen , die wir über das Netz führen , das wir haben wollen ?</t>
  </si>
  <si>
    <t>file://conllu/de/teddy-1319.conllu#s272_0</t>
  </si>
  <si>
    <t>273</t>
  </si>
  <si>
    <t>ES : Wenn wir darüber nachdenken , was wir erreichen können , dann , denke ich , wird das nur begrenzt durch das , was wir bereit sind , hineinzustecken Ich denke , das Internet , in dessen Genuss wir in der Vergangenheit gekommen sind , ist genau das , was wir nicht nur als Nation , sondern als ein Volk in aller Welt brauchen und das wir verteidigen müssen , indem wir kooperieren , indem wir nicht nur die technologischen Gesellschaftsanteile einbeziehen , sondern , wie du sagtest , die Nutzer , die Leute in aller Welt , die beitragen durch das Internet , durch soziale Medien , die nur nach dem Wetter sehen , die darauf als alltäglichen Teil ihres Lebens angewiesen sind .</t>
  </si>
  <si>
    <t>file://conllu/de/teddy-1319.conllu#s273_0</t>
  </si>
  <si>
    <t>274</t>
  </si>
  <si>
    <t>erhalten</t>
  </si>
  <si>
    <t>Wir erhalten nicht nur das Internet , das wir hatten , sondern ein besseres Internet , ein besseres Jetzt , etwas , das wir nutzen können , um eine Zukunft aufzubauen , die nicht nur besser sein wird , als wir erhoffen , sondern besser , als wir uns vorstellen können .</t>
  </si>
  <si>
    <t>file://conllu/de/teddy-1319.conllu#s274_0</t>
  </si>
  <si>
    <t>275</t>
  </si>
  <si>
    <t>gründen</t>
  </si>
  <si>
    <t>CA : Vor 30 Jahren wurde TED gegründet , 1984 .</t>
  </si>
  <si>
    <t>file://conllu/de/teddy-1319.conllu#s275_0</t>
  </si>
  <si>
    <t>276</t>
  </si>
  <si>
    <t>drehen</t>
  </si>
  <si>
    <t>Viele Gespräche habe sich seither darum gedreht , dass George Orwell sich getäuscht hat .</t>
  </si>
  <si>
    <t>file://conllu/de/teddy-1319.conllu#s276_0</t>
  </si>
  <si>
    <t>277</t>
  </si>
  <si>
    <t>sein (sein Bruder)</t>
  </si>
  <si>
    <t>Es ist nicht der Große Bruder , der uns überwacht .</t>
  </si>
  <si>
    <t>file://conllu/de/teddy-1319.conllu#s277_0</t>
  </si>
  <si>
    <t>278</t>
  </si>
  <si>
    <t>krafen</t>
  </si>
  <si>
    <t>Wir , kraft der Macht des Netzes und der Transparenz , überwachen nun den Großen Bruder .</t>
  </si>
  <si>
    <t>file://conllu/de/teddy-1319.conllu#s278_0</t>
  </si>
  <si>
    <t>279</t>
  </si>
  <si>
    <t>Durch?</t>
  </si>
  <si>
    <t>treiben</t>
  </si>
  <si>
    <t>Deine Enthüllungen haben einen Holzpflock durch das Herz dieser recht optimistischen Sicht getrieben , aber du glaubst dennoch , dass es einen Weg gibt , etwas dagegen zu tun .</t>
  </si>
  <si>
    <t>file://conllu/de/teddy-1319.conllu#s279_0</t>
  </si>
  <si>
    <t>280</t>
  </si>
  <si>
    <t>auch</t>
  </si>
  <si>
    <t>Und das tust du auch .</t>
  </si>
  <si>
    <t>file://conllu/de/teddy-1319.conllu#s280_0</t>
  </si>
  <si>
    <t>281</t>
  </si>
  <si>
    <t>ES : Richtig .</t>
  </si>
  <si>
    <t>file://conllu/de/teddy-1319.conllu#s281_0</t>
  </si>
  <si>
    <t>282</t>
  </si>
  <si>
    <t>argumentieren</t>
  </si>
  <si>
    <t>Man kann argumentieren , dass die Möglichkeiten des Großen Bruders gewaltig zugenommen haben .</t>
  </si>
  <si>
    <t>file://conllu/de/teddy-1319.conllu#s282_0</t>
  </si>
  <si>
    <t>283</t>
  </si>
  <si>
    <t>Es gab kürzlich einen juristischen Aufsatz in Yale , der das sogenannte Bankston Soltani Prinzip formulierte .</t>
  </si>
  <si>
    <t>file://conllu/de/teddy-1319.conllu#s283_0</t>
  </si>
  <si>
    <t>284</t>
  </si>
  <si>
    <t>Es besagt , dass unser Anspruch auf Privatsphäre verletzt wird , wenn die Technologien staatlicher Überwachung um einen Faktor zehn billiger geworden sind .</t>
  </si>
  <si>
    <t>file://conllu/de/teddy-1319.conllu#s284_0</t>
  </si>
  <si>
    <t>285</t>
  </si>
  <si>
    <t>Jedes Mal , wenn das passiert , müssen wir uns aufs auf das Neue mit unserem Recht auf Datenschutz beschäftigen und es anpassen .</t>
  </si>
  <si>
    <t>file://conllu/de/teddy-1319.conllu#s285_0</t>
  </si>
  <si>
    <t>286</t>
  </si>
  <si>
    <t>sein (sein geschehen)</t>
  </si>
  <si>
    <t>Nun ist das nicht mehr geschehen , seit die Überwachungstechnologien der Regierung um ein Vielfaches des Faktors zehn zugenommen haben , und deshalb stecken wir in den heutigen Schwierigkeiten .</t>
  </si>
  <si>
    <t>file://conllu/de/teddy-1319.conllu#s286_0</t>
  </si>
  <si>
    <t>287</t>
  </si>
  <si>
    <t>Aber es gibt immer noch Hoffnung , weil auch die Macht des Einzelnen durch Technologie zugenommen hat .</t>
  </si>
  <si>
    <t>file://conllu/de/teddy-1319.conllu#s287_0</t>
  </si>
  <si>
    <t>288</t>
  </si>
  <si>
    <t>sein (sein Beweis)</t>
  </si>
  <si>
    <t>Ich bin der lebende Beweis , dass ein Einzelner den mächtigsten Gegnern die Stirn bieten kann , den mächtigsten Nachrichtendiensten der Welt , und gewinnen kann .</t>
  </si>
  <si>
    <t>file://conllu/de/teddy-1319.conllu#s288_0</t>
  </si>
  <si>
    <t>289</t>
  </si>
  <si>
    <t>Das ist etwas , das wir brauchen , um daraus Hoffnung zu schöpfen und darauf aufzubauen , um es nicht nur technischen Fachleuten zugänglich zu machen , sondern einfachen Bürgern in aller Welt .</t>
  </si>
  <si>
    <t>file://conllu/de/teddy-1319.conllu#s289_0</t>
  </si>
  <si>
    <t>290</t>
  </si>
  <si>
    <t>sein (sein Verbrechen)</t>
  </si>
  <si>
    <t>Journalismus ist kein Verbrechen .</t>
  </si>
  <si>
    <t>file://conllu/de/teddy-1319.conllu#s290_0</t>
  </si>
  <si>
    <t>291</t>
  </si>
  <si>
    <t>Kommunikation ist kein Verbrechen , und wir sollten bei unseren Aktivitäten im in dem Alltag nicht überwacht werden .</t>
  </si>
  <si>
    <t>file://conllu/de/teddy-1319.conllu#s291_0</t>
  </si>
  <si>
    <t>292</t>
  </si>
  <si>
    <t>CA .</t>
  </si>
  <si>
    <t>file://conllu/de/teddy-1319.conllu#s292_0</t>
  </si>
  <si>
    <t>293</t>
  </si>
  <si>
    <t>Ich bin mit nicht sicher , wie man einem Bot die Hand schüttelt , aber ich schätze , das hier ist die Hand .</t>
  </si>
  <si>
    <t>file://conllu/de/teddy-1319.conllu#s293_0</t>
  </si>
  <si>
    <t>294</t>
  </si>
  <si>
    <t>TBL : Auch die kommt sehr bald .</t>
  </si>
  <si>
    <t>file://conllu/de/teddy-1319.conllu#s294_0</t>
  </si>
  <si>
    <t>295</t>
  </si>
  <si>
    <t>ES : Es freut mich , Sie kennenzulernen .</t>
  </si>
  <si>
    <t>file://conllu/de/teddy-1319.conllu#s295_0</t>
  </si>
  <si>
    <t>296</t>
  </si>
  <si>
    <t>hoffen</t>
  </si>
  <si>
    <t>Ich hoffe , meine Übertragung sieht so gut aus wie mein Bild von euch zwei .</t>
  </si>
  <si>
    <t>file://conllu/de/teddy-1319.conllu#s296_0</t>
  </si>
  <si>
    <t>297</t>
  </si>
  <si>
    <t>Rank|Danke</t>
  </si>
  <si>
    <t>CA : Danke , Tim .</t>
  </si>
  <si>
    <t>file://conllu/de/teddy-1319.conllu#s297_0</t>
  </si>
  <si>
    <t>298</t>
  </si>
  <si>
    <t>Die New York Times forderte kürzlich eine Amnestie für dich .</t>
  </si>
  <si>
    <t>file://conllu/de/teddy-1319.conllu#s298_0</t>
  </si>
  <si>
    <t>299</t>
  </si>
  <si>
    <t>zurückzukommen</t>
  </si>
  <si>
    <t>Würdest du die Chance , nach Amerika zurückzukommen , begrüßen ?</t>
  </si>
  <si>
    <t>file://conllu/de/teddy-1319.conllu#s299_0</t>
  </si>
  <si>
    <t>300</t>
  </si>
  <si>
    <t>file://conllu/de/teddy-1319.conllu#s300_0</t>
  </si>
  <si>
    <t>301</t>
  </si>
  <si>
    <t>Das steht außer Frage .</t>
  </si>
  <si>
    <t>file://conllu/de/teddy-1319.conllu#s301_0</t>
  </si>
  <si>
    <t>302</t>
  </si>
  <si>
    <t>sein (sein Interesse)</t>
  </si>
  <si>
    <t>Die Prinzipien , die die Grundlage dieses Projektes bilden , sind das öffentliche Interesse und die Prinzipen , die den etablierten journalistischen Organen in den USA und rund um die Welt zugrundeliegen , und ich denke , wenn die Presse sagt , wir unterstützen das , das ist etwas , das passieren muss , dann ist das ein kräftiges Argument , aber es ist nicht das letzte Argument .</t>
  </si>
  <si>
    <t>file://conllu/de/teddy-1319.conllu#s302_0</t>
  </si>
  <si>
    <t>303</t>
  </si>
  <si>
    <t>Ich denke , das ist etwas , das die Öffentlichkeit entscheiden sollte .</t>
  </si>
  <si>
    <t>file://conllu/de/teddy-1319.conllu#s303_0</t>
  </si>
  <si>
    <t>304</t>
  </si>
  <si>
    <t>angedeuten</t>
  </si>
  <si>
    <t>Aber zur zu der gleichen Zeit hat die Regierung angedeutet , dass sie eine Art Handel wünscht , dass sie möchte , dass ich die Journalisten , die mit mir gearbeitet haben , kompromittiere , damit ich zurückkommen kann .</t>
  </si>
  <si>
    <t>file://conllu/de/teddy-1319.conllu#s304_0</t>
  </si>
  <si>
    <t>305</t>
  </si>
  <si>
    <t>Ich möchte sehr deutlich machen , dass ich das nicht für meine Sicherheit getan habe .</t>
  </si>
  <si>
    <t>file://conllu/de/teddy-1319.conllu#s305_0</t>
  </si>
  <si>
    <t>306</t>
  </si>
  <si>
    <t>Ich habe das getan , um das Richtige zu tun , und ich werde meine Arbeit für das öffentliche Interesse nicht zu meinem eigenen Vorteil aufgeben .</t>
  </si>
  <si>
    <t>file://conllu/de/teddy-1319.conllu#s306_0</t>
  </si>
  <si>
    <t>307</t>
  </si>
  <si>
    <t>Zwischenzeit</t>
  </si>
  <si>
    <t>CA : In der Zwischenzeit , dank des Internets und dieser Technologie , bist du wieder zurück in Nordamerika , nicht ganz die USA , aber in Kanada in dieser Form .</t>
  </si>
  <si>
    <t>file://conllu/de/teddy-1319.conllu#s307_0</t>
  </si>
  <si>
    <t>308</t>
  </si>
  <si>
    <t>sein (sein neugierig)</t>
  </si>
  <si>
    <t>Ich bin neugierig , wie fühlt sich das an ?</t>
  </si>
  <si>
    <t>file://conllu/de/teddy-1319.conllu#s308_0</t>
  </si>
  <si>
    <t>309</t>
  </si>
  <si>
    <t>sein (sein anders)</t>
  </si>
  <si>
    <t>ES : Kanada ist anders , als ich es erwartet hatte .</t>
  </si>
  <si>
    <t>file://conllu/de/teddy-1319.conllu#s309_0</t>
  </si>
  <si>
    <t>310</t>
  </si>
  <si>
    <t>sein (sein wärmer)</t>
  </si>
  <si>
    <t>Es ist viel wärmer .</t>
  </si>
  <si>
    <t>file://conllu/de/teddy-1319.conllu#s310_0</t>
  </si>
  <si>
    <t>311</t>
  </si>
  <si>
    <t>sein (sein Idee)</t>
  </si>
  <si>
    <t>CA : Die Mission von TED sind &amp;quot; Ideen mit Verbreitungswert &amp;quot; .</t>
  </si>
  <si>
    <t>file://conllu/de/teddy-1319.conllu#s311_0</t>
  </si>
  <si>
    <t>312</t>
  </si>
  <si>
    <t>zusammenfassen</t>
  </si>
  <si>
    <t>Wenn du es in einer einzigen Idee zusammenfassen könntest , Was ist deine Idee , die es wert ist , hier und jetzt verbreitet zu werden ?</t>
  </si>
  <si>
    <t>file://conllu/de/teddy-1319.conllu#s312_0</t>
  </si>
  <si>
    <t>313</t>
  </si>
  <si>
    <t>erinnern (erinnern sagen)</t>
  </si>
  <si>
    <t>ES : Ich würde sagen , dass das letzte Jahr uns daran erinnert hat , dass Demokratie hinter verschlossenen Türen sterben kann , aber wir als Individuen werden hinter denselben verschlossenen Türen geboren , und wir müssen unsere Privatspäre nicht aufgeben , um eine gute Regierung zu haben .</t>
  </si>
  <si>
    <t>file://conllu/de/teddy-1319.conllu#s313_0</t>
  </si>
  <si>
    <t>314</t>
  </si>
  <si>
    <t>aufgeben</t>
  </si>
  <si>
    <t>Wir müssen unsere Freiheit nicht aufgeben , um Sicherheit zu haben .</t>
  </si>
  <si>
    <t>file://conllu/de/teddy-1319.conllu#s314_0</t>
  </si>
  <si>
    <t>315</t>
  </si>
  <si>
    <t>Und ich denke , indem wir zusammenarbeiten , können wir eine offene Regierung haben und Privatsphäre .</t>
  </si>
  <si>
    <t>file://conllu/de/teddy-1319.conllu#s315_0</t>
  </si>
  <si>
    <t>316</t>
  </si>
  <si>
    <t>freuen</t>
  </si>
  <si>
    <t>Ich freue mich darauf , mit jedem in der Welt zusammenzuarbeiten , um das durchzusetzen .</t>
  </si>
  <si>
    <t>file://conllu/de/teddy-1319.conllu#s316_0</t>
  </si>
  <si>
    <t>317</t>
  </si>
  <si>
    <t>danken</t>
  </si>
  <si>
    <t>Ich danke euch sehr .</t>
  </si>
  <si>
    <t>file://conllu/de/teddy-1319.conllu#s317_0</t>
  </si>
  <si>
    <t>318</t>
  </si>
  <si>
    <t>CA : Ed , danke !</t>
  </si>
  <si>
    <t>file://conllu/de/teddy-1319.conllu#s318_0</t>
  </si>
  <si>
    <t>WORD</t>
  </si>
  <si>
    <t>GR</t>
  </si>
  <si>
    <t>NP_TYPE</t>
  </si>
  <si>
    <t>REF_AUTO</t>
  </si>
  <si>
    <t>COREF</t>
  </si>
  <si>
    <t>REF</t>
  </si>
  <si>
    <t>IS</t>
  </si>
  <si>
    <t>CB</t>
  </si>
  <si>
    <t>GR_ANTE</t>
  </si>
  <si>
    <t>REF_DIST</t>
  </si>
  <si>
    <t>REF_DIST_ANTE</t>
  </si>
  <si>
    <t># text = Chris Anderson: Bürgerrechte, die Zukunft des Internet.</t>
  </si>
  <si>
    <t>other</t>
  </si>
  <si>
    <t>ne</t>
  </si>
  <si>
    <t>?OLD</t>
  </si>
  <si>
    <t>Anderson</t>
  </si>
  <si>
    <t>:</t>
  </si>
  <si>
    <t>Bürgerrechte</t>
  </si>
  <si>
    <t>indef-np.bare</t>
  </si>
  <si>
    <t>,</t>
  </si>
  <si>
    <t>die</t>
  </si>
  <si>
    <t>Zukunft</t>
  </si>
  <si>
    <t>def-np.the</t>
  </si>
  <si>
    <t>des</t>
  </si>
  <si>
    <t>Internet</t>
  </si>
  <si>
    <t>other_2</t>
  </si>
  <si>
    <t># text = Ich möchte auf der Bühne von TED den Mann hinter diesen Enthüllungen begrüßen: Ed Snowden.</t>
  </si>
  <si>
    <t>Ich</t>
  </si>
  <si>
    <t>SBJ</t>
  </si>
  <si>
    <t>pron.pper</t>
  </si>
  <si>
    <t>möchte</t>
  </si>
  <si>
    <t>auf</t>
  </si>
  <si>
    <t>der</t>
  </si>
  <si>
    <t>Bühne</t>
  </si>
  <si>
    <t>von</t>
  </si>
  <si>
    <t>TED</t>
  </si>
  <si>
    <t>den</t>
  </si>
  <si>
    <t>Mann</t>
  </si>
  <si>
    <t>OBJ</t>
  </si>
  <si>
    <t>hinter</t>
  </si>
  <si>
    <t>diesen</t>
  </si>
  <si>
    <t>other_3</t>
  </si>
  <si>
    <t>pron.pds</t>
  </si>
  <si>
    <t>Enthüllungen</t>
  </si>
  <si>
    <t>def-np.dem</t>
  </si>
  <si>
    <t>Ed</t>
  </si>
  <si>
    <t>Snowden</t>
  </si>
  <si>
    <t># text = (Applaus) Ed hält sich an einem entfernten Ort in Russland auf.</t>
  </si>
  <si>
    <t>(</t>
  </si>
  <si>
    <t>Applaus</t>
  </si>
  <si>
    <t>)</t>
  </si>
  <si>
    <t>hält</t>
  </si>
  <si>
    <t>sich</t>
  </si>
  <si>
    <t>an</t>
  </si>
  <si>
    <t>einem</t>
  </si>
  <si>
    <t>entfernten</t>
  </si>
  <si>
    <t>Ort</t>
  </si>
  <si>
    <t>indef-np.a</t>
  </si>
  <si>
    <t>in</t>
  </si>
  <si>
    <t>Russland</t>
  </si>
  <si>
    <t># text = Er steuert diesen Roboter von seinem Laptop aus.</t>
  </si>
  <si>
    <t>Er</t>
  </si>
  <si>
    <t>steuert</t>
  </si>
  <si>
    <t>Roboter</t>
  </si>
  <si>
    <t>seinem</t>
  </si>
  <si>
    <t>Laptop</t>
  </si>
  <si>
    <t>indef-np</t>
  </si>
  <si>
    <t>aus</t>
  </si>
  <si>
    <t># text = Er sieht, was der Bot sieht.</t>
  </si>
  <si>
    <t>sieht</t>
  </si>
  <si>
    <t>was</t>
  </si>
  <si>
    <t>OBJ_2</t>
  </si>
  <si>
    <t>pron</t>
  </si>
  <si>
    <t>Bot</t>
  </si>
  <si>
    <t>SBJ_2</t>
  </si>
  <si>
    <t># text = Ed, willkommen bei TED!</t>
  </si>
  <si>
    <t>bei</t>
  </si>
  <si>
    <t>!</t>
  </si>
  <si>
    <t># text = Was kannst du eigentlich wirklich sehen?</t>
  </si>
  <si>
    <t>Was</t>
  </si>
  <si>
    <t>kannst</t>
  </si>
  <si>
    <t>eigentlich</t>
  </si>
  <si>
    <t>wirklich</t>
  </si>
  <si>
    <t>?</t>
  </si>
  <si>
    <t># text = Edward Snowden:</t>
  </si>
  <si>
    <t># text = Ich kann alle sehen.</t>
  </si>
  <si>
    <t>kann</t>
  </si>
  <si>
    <t>alle</t>
  </si>
  <si>
    <t>pron.pind</t>
  </si>
  <si>
    <t># text = Es ist fantastisch.</t>
  </si>
  <si>
    <t>Es</t>
  </si>
  <si>
    <t>ist</t>
  </si>
  <si>
    <t>fantastisch</t>
  </si>
  <si>
    <t># text = (Lachen im Publikum) CA: Ed, ich habe ein paar Fragen an dich.</t>
  </si>
  <si>
    <t>dem</t>
  </si>
  <si>
    <t>Publikum</t>
  </si>
  <si>
    <t>CA</t>
  </si>
  <si>
    <t>ich</t>
  </si>
  <si>
    <t>habe</t>
  </si>
  <si>
    <t>paar</t>
  </si>
  <si>
    <t>Fragen</t>
  </si>
  <si>
    <t>dich</t>
  </si>
  <si>
    <t># text = Man hat dich vieles genannt in den letzten Monaten: einen Whistleblower, einen Verräter, einen Helden.</t>
  </si>
  <si>
    <t>Man</t>
  </si>
  <si>
    <t>hat</t>
  </si>
  <si>
    <t>vieles</t>
  </si>
  <si>
    <t>genannt</t>
  </si>
  <si>
    <t>letzten</t>
  </si>
  <si>
    <t>Monaten</t>
  </si>
  <si>
    <t>einen</t>
  </si>
  <si>
    <t>Whistleblower</t>
  </si>
  <si>
    <t>other_4</t>
  </si>
  <si>
    <t>Helden</t>
  </si>
  <si>
    <t># text = In welchen Worten würdest du dich beschreiben?</t>
  </si>
  <si>
    <t>In</t>
  </si>
  <si>
    <t>welchen</t>
  </si>
  <si>
    <t>pron.pint</t>
  </si>
  <si>
    <t>Worten</t>
  </si>
  <si>
    <t>würdest</t>
  </si>
  <si>
    <t># text = ES: Jeder, der an dieser Debatte beteiligt ist, hat sich mit mir und meiner Persönlichkeit beschäftigt und damit, wie man mich beschreiben sollte.</t>
  </si>
  <si>
    <t>ES</t>
  </si>
  <si>
    <t>Jeder</t>
  </si>
  <si>
    <t>SBJ_4</t>
  </si>
  <si>
    <t>dieser</t>
  </si>
  <si>
    <t>other_5</t>
  </si>
  <si>
    <t>beteiligt</t>
  </si>
  <si>
    <t>mit</t>
  </si>
  <si>
    <t>mir</t>
  </si>
  <si>
    <t>und</t>
  </si>
  <si>
    <t>meiner</t>
  </si>
  <si>
    <t>pron.ppos</t>
  </si>
  <si>
    <t>Persönlichkeit</t>
  </si>
  <si>
    <t>beschäftigt</t>
  </si>
  <si>
    <t>damit</t>
  </si>
  <si>
    <t>pron.padv</t>
  </si>
  <si>
    <t>wie</t>
  </si>
  <si>
    <t>man</t>
  </si>
  <si>
    <t>SBJ_3</t>
  </si>
  <si>
    <t>mich</t>
  </si>
  <si>
    <t>OBJ_3</t>
  </si>
  <si>
    <t>sollte</t>
  </si>
  <si>
    <t># text = Aber, wenn ich darüber nachdenke: Das ist nicht die Frage, mit der wir ringen sollten.</t>
  </si>
  <si>
    <t>Aber</t>
  </si>
  <si>
    <t>wenn</t>
  </si>
  <si>
    <t>darüber</t>
  </si>
  <si>
    <t>nachdenke</t>
  </si>
  <si>
    <t>Das</t>
  </si>
  <si>
    <t>nicht</t>
  </si>
  <si>
    <t>Frage</t>
  </si>
  <si>
    <t>ringen</t>
  </si>
  <si>
    <t>sollten</t>
  </si>
  <si>
    <t># text = Wer ich bin, spielt keine Rolle.</t>
  </si>
  <si>
    <t>Wer</t>
  </si>
  <si>
    <t>bin</t>
  </si>
  <si>
    <t>spielt</t>
  </si>
  <si>
    <t>keine</t>
  </si>
  <si>
    <t>Rolle</t>
  </si>
  <si>
    <t>indef-np.quant</t>
  </si>
  <si>
    <t># text = Wenn ich der schlimmste Mensch der Welt bin, kann man mich hassen und zur Tagesordnung übergehen.</t>
  </si>
  <si>
    <t>Wenn</t>
  </si>
  <si>
    <t>schlimmste</t>
  </si>
  <si>
    <t>Mensch</t>
  </si>
  <si>
    <t>Welt</t>
  </si>
  <si>
    <t>zu</t>
  </si>
  <si>
    <t>Tagesordnung</t>
  </si>
  <si>
    <t># text = Was zählt, sind die Sachfragen.</t>
  </si>
  <si>
    <t>zählt</t>
  </si>
  <si>
    <t>sind</t>
  </si>
  <si>
    <t>Sachfragen</t>
  </si>
  <si>
    <t># text = Was zählt, ist die Art von Regierung, die wir wollen, die Art von Internet, die wir wollen, die Art von Beziehung zwischen Menschen und Gesellschaften.</t>
  </si>
  <si>
    <t>Art</t>
  </si>
  <si>
    <t>Regierung</t>
  </si>
  <si>
    <t>wollen</t>
  </si>
  <si>
    <t>OBJ_4</t>
  </si>
  <si>
    <t>SBJ_7</t>
  </si>
  <si>
    <t>OBJ_7</t>
  </si>
  <si>
    <t>Beziehung</t>
  </si>
  <si>
    <t>other_8</t>
  </si>
  <si>
    <t>zwischen</t>
  </si>
  <si>
    <t>Menschen</t>
  </si>
  <si>
    <t>other_9</t>
  </si>
  <si>
    <t>Gesellschaften</t>
  </si>
  <si>
    <t>other_10</t>
  </si>
  <si>
    <t># text = Das ist die Richtung, die ich mir für diese Diskussion erhoffe.</t>
  </si>
  <si>
    <t>Richtung</t>
  </si>
  <si>
    <t>für</t>
  </si>
  <si>
    <t>diese</t>
  </si>
  <si>
    <t>Diskussion</t>
  </si>
  <si>
    <t>erhoffe</t>
  </si>
  <si>
    <t># text = Wir haben gesehen, dass dies zunehmend der Fall ist.</t>
  </si>
  <si>
    <t>Wir</t>
  </si>
  <si>
    <t>gesehen</t>
  </si>
  <si>
    <t>dass</t>
  </si>
  <si>
    <t>dies</t>
  </si>
  <si>
    <t>zunehmend</t>
  </si>
  <si>
    <t>--</t>
  </si>
  <si>
    <t># text = Wenn ich mich beschreiben müsste, würde ich keine Wörter wie \"Held\" benutzen, Ich würde nicht \"Patriot\" sagen oder \"Verräter\".</t>
  </si>
  <si>
    <t>müsste</t>
  </si>
  <si>
    <t>würde</t>
  </si>
  <si>
    <t>Wörter</t>
  </si>
  <si>
    <t>&amp;quot;</t>
  </si>
  <si>
    <t>Held</t>
  </si>
  <si>
    <t>benutzen</t>
  </si>
  <si>
    <t>Patriot</t>
  </si>
  <si>
    <t>oder</t>
  </si>
  <si>
    <t># text = Ich würde sagen, ich bin Amerikaner und ein Bürger, so wie jeder andere auch.</t>
  </si>
  <si>
    <t>Amerikaner</t>
  </si>
  <si>
    <t>Bürger</t>
  </si>
  <si>
    <t>so</t>
  </si>
  <si>
    <t>jeder</t>
  </si>
  <si>
    <t>andere</t>
  </si>
  <si>
    <t># text = CA: Um jenen etwas Kontext zu liefern, die nicht mit der ganzen Geschichte vertraut sind:</t>
  </si>
  <si>
    <t>Um</t>
  </si>
  <si>
    <t>jenen</t>
  </si>
  <si>
    <t>etwas</t>
  </si>
  <si>
    <t>Kontext</t>
  </si>
  <si>
    <t>ganzen</t>
  </si>
  <si>
    <t>Geschichte</t>
  </si>
  <si>
    <t>vertraut</t>
  </si>
  <si>
    <t># text = Vor einem Jahr warst du noch in Hawaii und hast im Auftrag der NSA gearbeitet.</t>
  </si>
  <si>
    <t>Vor</t>
  </si>
  <si>
    <t>Jahr</t>
  </si>
  <si>
    <t>warst</t>
  </si>
  <si>
    <t>noch</t>
  </si>
  <si>
    <t>Hawaii</t>
  </si>
  <si>
    <t>hast</t>
  </si>
  <si>
    <t>Auftrag</t>
  </si>
  <si>
    <t>def-np.poss</t>
  </si>
  <si>
    <t>NSA</t>
  </si>
  <si>
    <t>gearbeitet</t>
  </si>
  <si>
    <t># text = Als Systemadministrator hattest du Zugang zu ihren Systemen.</t>
  </si>
  <si>
    <t>Als</t>
  </si>
  <si>
    <t>Systemadministrator</t>
  </si>
  <si>
    <t>hattest</t>
  </si>
  <si>
    <t>Zugang</t>
  </si>
  <si>
    <t>ihren</t>
  </si>
  <si>
    <t>Systemen</t>
  </si>
  <si>
    <t># text = Du hast angefangen, vertrauliche Dokumente ausgewählten Journalisten zu übergeben.</t>
  </si>
  <si>
    <t>Du</t>
  </si>
  <si>
    <t>angefangen</t>
  </si>
  <si>
    <t>vertrauliche</t>
  </si>
  <si>
    <t>Dokumente</t>
  </si>
  <si>
    <t>ausgewählten</t>
  </si>
  <si>
    <t>Journalisten</t>
  </si>
  <si>
    <t># text = Das hat dann zu den Enthüllungen im Juni geführt.</t>
  </si>
  <si>
    <t>dann</t>
  </si>
  <si>
    <t>Juni</t>
  </si>
  <si>
    <t>geführt</t>
  </si>
  <si>
    <t># text = Was hat dich dazu veranlasst?</t>
  </si>
  <si>
    <t>dazu</t>
  </si>
  <si>
    <t>veranlasst</t>
  </si>
  <si>
    <t># text = ES: Weißt du, als ich auf Hawaii saß, und in den Jahren davor, als ich für die Nachrichtendienste arbeitete, sah ich viele Dinge, die mich beunruhigten.</t>
  </si>
  <si>
    <t>Weißt</t>
  </si>
  <si>
    <t>als</t>
  </si>
  <si>
    <t>saß</t>
  </si>
  <si>
    <t>Jahren</t>
  </si>
  <si>
    <t>davor</t>
  </si>
  <si>
    <t>Nachrichtendienste</t>
  </si>
  <si>
    <t>arbeitete</t>
  </si>
  <si>
    <t>sah</t>
  </si>
  <si>
    <t>viele</t>
  </si>
  <si>
    <t>Dinge</t>
  </si>
  <si>
    <t>SBJ_5</t>
  </si>
  <si>
    <t>OBJ_5</t>
  </si>
  <si>
    <t>beunruhigten</t>
  </si>
  <si>
    <t># text = Wir tun viel Gutes in den Nachrichtendiensten, Dinge, die getan werden müssen, Dinge, die allen helfen.</t>
  </si>
  <si>
    <t>viel</t>
  </si>
  <si>
    <t>Gutes</t>
  </si>
  <si>
    <t>Nachrichtendiensten</t>
  </si>
  <si>
    <t>getan</t>
  </si>
  <si>
    <t>müssen</t>
  </si>
  <si>
    <t>allen</t>
  </si>
  <si>
    <t># text = Aber es gibt auch Dinge, die zu weit gehen.</t>
  </si>
  <si>
    <t>gibt</t>
  </si>
  <si>
    <t>weit</t>
  </si>
  <si>
    <t># text = Da sind Dinge, die man nicht tun sollte, und Entscheidungen, die im Geheimen getroffen wurden, von denen die Öffentlichkeit nichts wusste, ohne Zustimmung der Öffentlichkeit, und sogar unsere Regierungsvertreter wussten nichts von diesen Programmen.</t>
  </si>
  <si>
    <t>Da</t>
  </si>
  <si>
    <t>Entscheidungen</t>
  </si>
  <si>
    <t>Geheimen</t>
  </si>
  <si>
    <t>getroffen</t>
  </si>
  <si>
    <t>wurden</t>
  </si>
  <si>
    <t>denen</t>
  </si>
  <si>
    <t>Öffentlichkeit</t>
  </si>
  <si>
    <t>nichts</t>
  </si>
  <si>
    <t>wusste</t>
  </si>
  <si>
    <t>ohne</t>
  </si>
  <si>
    <t>Zustimmung</t>
  </si>
  <si>
    <t>sogar</t>
  </si>
  <si>
    <t>unsere</t>
  </si>
  <si>
    <t>Regierungsvertreter</t>
  </si>
  <si>
    <t>wussten</t>
  </si>
  <si>
    <t>Programmen</t>
  </si>
  <si>
    <t># text = Als ich anfing, mich an diesen Problemen zu stoßen, habe ich mich gefragt: Wie kann ich diese Sache so verantwortungsbewusst wie möglich angehen, damit die Öffentlichkeit den maximalen Nutzen zieht, aber die Risiken minimal bleiben?</t>
  </si>
  <si>
    <t>anfing</t>
  </si>
  <si>
    <t>Problemen</t>
  </si>
  <si>
    <t>stoßen</t>
  </si>
  <si>
    <t>gefragt</t>
  </si>
  <si>
    <t>Wie</t>
  </si>
  <si>
    <t>verantwortungsbewusst</t>
  </si>
  <si>
    <t>möglich</t>
  </si>
  <si>
    <t>angehen</t>
  </si>
  <si>
    <t>maximalen</t>
  </si>
  <si>
    <t>Nutzen</t>
  </si>
  <si>
    <t>zieht</t>
  </si>
  <si>
    <t>aber</t>
  </si>
  <si>
    <t>Risiken</t>
  </si>
  <si>
    <t>minimal</t>
  </si>
  <si>
    <t>bleiben</t>
  </si>
  <si>
    <t># text = Bei allen Lösungen, die mir einfielen, außer "Ich wende mich an den Kongress", wenn es keine Gesetze gab, wenn es keinen rechtlichen Schutz gab für eine angestellte Privatperson, für einen Subunternehmer im Nachrichtendienst wie mich, bestand das Risiko, dass man mich mit der Information begraben würde, ohne dass die Öffentlichkeit davon je erführe.</t>
  </si>
  <si>
    <t>Bei</t>
  </si>
  <si>
    <t>Lösungen</t>
  </si>
  <si>
    <t>einfielen</t>
  </si>
  <si>
    <t>außer</t>
  </si>
  <si>
    <t>wende</t>
  </si>
  <si>
    <t>Kongress</t>
  </si>
  <si>
    <t>Gesetze</t>
  </si>
  <si>
    <t>gab</t>
  </si>
  <si>
    <t>keinen</t>
  </si>
  <si>
    <t>rechtlichen</t>
  </si>
  <si>
    <t>Schutz</t>
  </si>
  <si>
    <t>eine</t>
  </si>
  <si>
    <t>angestellte</t>
  </si>
  <si>
    <t>Privatperson</t>
  </si>
  <si>
    <t>Subunternehmer</t>
  </si>
  <si>
    <t>Nachrichtendienst</t>
  </si>
  <si>
    <t>other_6</t>
  </si>
  <si>
    <t>other_7</t>
  </si>
  <si>
    <t>bestand</t>
  </si>
  <si>
    <t>das</t>
  </si>
  <si>
    <t>Risiko</t>
  </si>
  <si>
    <t>Information</t>
  </si>
  <si>
    <t>begraben</t>
  </si>
  <si>
    <t>davon</t>
  </si>
  <si>
    <t>je</t>
  </si>
  <si>
    <t>erführe</t>
  </si>
  <si>
    <t># text = Aber der erste Zusatzartikel der amerikanischen Verfassung garantiert uns die Pressefreiheit aus gutem Grund, nämlich um eine Presse zu ermöglichen, die unbequem ist, die die Regierung herausfordert, aber auch mit der Regierung arbeitet, um Dialog und Debatte zu ermöglichen, wie wir die Öffentlichkeit über entscheidende Fragen informieren können, ohne die nationale Sicherheit zu gefährden.</t>
  </si>
  <si>
    <t>erste</t>
  </si>
  <si>
    <t>Zusatzartikel</t>
  </si>
  <si>
    <t>amerikanischen</t>
  </si>
  <si>
    <t>Verfassung</t>
  </si>
  <si>
    <t>garantiert</t>
  </si>
  <si>
    <t>uns</t>
  </si>
  <si>
    <t>Pressefreiheit</t>
  </si>
  <si>
    <t>gutem</t>
  </si>
  <si>
    <t>Grund</t>
  </si>
  <si>
    <t>nämlich</t>
  </si>
  <si>
    <t>um</t>
  </si>
  <si>
    <t>Presse</t>
  </si>
  <si>
    <t>ermöglichen</t>
  </si>
  <si>
    <t>unbequem</t>
  </si>
  <si>
    <t>herausfordert</t>
  </si>
  <si>
    <t>arbeitet</t>
  </si>
  <si>
    <t>Dialog</t>
  </si>
  <si>
    <t>über</t>
  </si>
  <si>
    <t>entscheidende</t>
  </si>
  <si>
    <t>informieren</t>
  </si>
  <si>
    <t>können</t>
  </si>
  <si>
    <t>nationale</t>
  </si>
  <si>
    <t>Sicherheit</t>
  </si>
  <si>
    <t>OBJ_6</t>
  </si>
  <si>
    <t>gefährden</t>
  </si>
  <si>
    <t># text = Indem ich mit Journalisten gearbeitet habe, indem ich all meine Informationen dem amerikanischen Volk zurückgegeben habe, statt nur auf mich selbst zu vertrauen bei Entscheidungen über die Veröffentlichung, hatten wir eine handfeste Debatte, an der sich die Regierung intensiv beteiligt und die allen einen Nutzen gebracht hat.</t>
  </si>
  <si>
    <t>Indem</t>
  </si>
  <si>
    <t>indem</t>
  </si>
  <si>
    <t>all</t>
  </si>
  <si>
    <t>meine</t>
  </si>
  <si>
    <t>Informationen</t>
  </si>
  <si>
    <t>Volk</t>
  </si>
  <si>
    <t>zurückgegeben</t>
  </si>
  <si>
    <t>statt</t>
  </si>
  <si>
    <t>nur</t>
  </si>
  <si>
    <t>selbst</t>
  </si>
  <si>
    <t>Veröffentlichung</t>
  </si>
  <si>
    <t>hatten</t>
  </si>
  <si>
    <t>handfeste</t>
  </si>
  <si>
    <t>intensiv</t>
  </si>
  <si>
    <t>gebracht</t>
  </si>
  <si>
    <t># text = Die Risiken, mit denen gedroht wurde, die Risiken, die von der Regierung hochgespielt wurden, haben sich nie materialisiert.</t>
  </si>
  <si>
    <t>Die</t>
  </si>
  <si>
    <t>gedroht</t>
  </si>
  <si>
    <t>wurde</t>
  </si>
  <si>
    <t>hochgespielt</t>
  </si>
  <si>
    <t>nie</t>
  </si>
  <si>
    <t>materialisiert</t>
  </si>
  <si>
    <t># text = Wir haben keinerlei Hinweis, dass auch nur ein Schaden entstanden wäre, und deshalb kann ich mit meinen Entscheidungen gut leben.</t>
  </si>
  <si>
    <t>keinerlei</t>
  </si>
  <si>
    <t>Hinweis</t>
  </si>
  <si>
    <t>Schaden</t>
  </si>
  <si>
    <t>entstanden</t>
  </si>
  <si>
    <t>wäre</t>
  </si>
  <si>
    <t>deshalb</t>
  </si>
  <si>
    <t>meinen</t>
  </si>
  <si>
    <t>gut</t>
  </si>
  <si>
    <t># text = CA: Lass mich dem Publikum ein paar Beispiele für deine Enthüllungen geben.</t>
  </si>
  <si>
    <t>Lass</t>
  </si>
  <si>
    <t>Beispiele</t>
  </si>
  <si>
    <t>deine</t>
  </si>
  <si>
    <t># text = Können wir jetzt bitte das Schaubild haben?</t>
  </si>
  <si>
    <t>Können</t>
  </si>
  <si>
    <t>jetzt</t>
  </si>
  <si>
    <t>bitte</t>
  </si>
  <si>
    <t>Schaubild</t>
  </si>
  <si>
    <t># text = Ed, ich weiß nicht, ob du dies sehen kannst: Die Bilder der Präsentation sind da.</t>
  </si>
  <si>
    <t>weiß</t>
  </si>
  <si>
    <t>ob</t>
  </si>
  <si>
    <t>Bilder</t>
  </si>
  <si>
    <t>Präsentation</t>
  </si>
  <si>
    <t>da</t>
  </si>
  <si>
    <t># text = Diese Grafik zeigt das Programm PRISM.</t>
  </si>
  <si>
    <t>Diese</t>
  </si>
  <si>
    <t>Grafik</t>
  </si>
  <si>
    <t>zeigt</t>
  </si>
  <si>
    <t>Programm</t>
  </si>
  <si>
    <t>PRISM</t>
  </si>
  <si>
    <t># text = Kannst du dem Publikum erläutern, was darüber bekannt wurde?</t>
  </si>
  <si>
    <t>Kannst</t>
  </si>
  <si>
    <t>bekannt</t>
  </si>
  <si>
    <t># text = ES: Um zu verstehen, was PRISM ist, -- denn da war man geteilter Ansicht -- sollte man erst klären, was es nicht ist.</t>
  </si>
  <si>
    <t>verstehen</t>
  </si>
  <si>
    <t>denn</t>
  </si>
  <si>
    <t>war</t>
  </si>
  <si>
    <t>geteilter</t>
  </si>
  <si>
    <t>Ansicht</t>
  </si>
  <si>
    <t>erst</t>
  </si>
  <si>
    <t>klären</t>
  </si>
  <si>
    <t># text = Ein großer Teil der Debatte in den USA bezog sich auf Metadaten.</t>
  </si>
  <si>
    <t>Ein</t>
  </si>
  <si>
    <t>großer</t>
  </si>
  <si>
    <t>Teil</t>
  </si>
  <si>
    <t>USA</t>
  </si>
  <si>
    <t>bezog</t>
  </si>
  <si>
    <t>Metadaten</t>
  </si>
  <si>
    <t># text = Sie sagten, es seien nur Metadaten.</t>
  </si>
  <si>
    <t>Sie</t>
  </si>
  <si>
    <t>sagten</t>
  </si>
  <si>
    <t>seien</t>
  </si>
  <si>
    <t># text = Sie beziehen sich dabei auf eine rechtliche Grundlage: den Abschnitt 215 des Patriot Act.</t>
  </si>
  <si>
    <t>dabei</t>
  </si>
  <si>
    <t>rechtliche</t>
  </si>
  <si>
    <t>Grundlage</t>
  </si>
  <si>
    <t>Abschnitt</t>
  </si>
  <si>
    <t>def-np.quant</t>
  </si>
  <si>
    <t>Act</t>
  </si>
  <si>
    <t># text = Er erlaubt eine Art Abhören ohne richterlichen Beschluss, eine Massenüberwachung der Verbindungsdaten des ganzen Landes, solche Dinge ... Mit wem du sprichst, wann du mit jemandem sprichst, wohin du gereist bist.</t>
  </si>
  <si>
    <t>Abhören</t>
  </si>
  <si>
    <t>richterlichen</t>
  </si>
  <si>
    <t>Beschluss</t>
  </si>
  <si>
    <t>Massenüberwachung</t>
  </si>
  <si>
    <t>Verbindungsdaten</t>
  </si>
  <si>
    <t>Landes</t>
  </si>
  <si>
    <t>solche</t>
  </si>
  <si>
    <t>...</t>
  </si>
  <si>
    <t>Mit</t>
  </si>
  <si>
    <t>wem</t>
  </si>
  <si>
    <t>sprichst</t>
  </si>
  <si>
    <t>wann</t>
  </si>
  <si>
    <t>jemandem</t>
  </si>
  <si>
    <t>wohin</t>
  </si>
  <si>
    <t>gereist</t>
  </si>
  <si>
    <t>bist</t>
  </si>
  <si>
    <t># text = All das sind Metadaten-Ereignisse.</t>
  </si>
  <si>
    <t>All</t>
  </si>
  <si>
    <t>Ereignisse</t>
  </si>
  <si>
    <t># text = Bei PRISM geht es um Inhalt.</t>
  </si>
  <si>
    <t>geht</t>
  </si>
  <si>
    <t>Inhalt</t>
  </si>
  <si>
    <t># text = Es ist ein Programm, mit dem die Regierung die Unternehmen Amerikas zwingen kann, an ihrer Stelle und in ihrem Namen die Dreckarbeit für die NSA zu übernehmen.</t>
  </si>
  <si>
    <t>Amerikas</t>
  </si>
  <si>
    <t>zwingen</t>
  </si>
  <si>
    <t>ihrer</t>
  </si>
  <si>
    <t>Stelle</t>
  </si>
  <si>
    <t>ihrem</t>
  </si>
  <si>
    <t>Namen</t>
  </si>
  <si>
    <t>Dreckarbeit</t>
  </si>
  <si>
    <t>übernehmen</t>
  </si>
  <si>
    <t># text = Obwohl sich einige Unternehmen gewehrt haben und obwohl einige -- ich denke, Yahoo war eines von ihnen -- vor Gericht zogen, haben alle verloren, weil die Fälle nie öffentlich verhandelt wurden.</t>
  </si>
  <si>
    <t>Obwohl</t>
  </si>
  <si>
    <t>einige</t>
  </si>
  <si>
    <t>gewehrt</t>
  </si>
  <si>
    <t>obwohl</t>
  </si>
  <si>
    <t>denke</t>
  </si>
  <si>
    <t>Yahoo</t>
  </si>
  <si>
    <t>eines</t>
  </si>
  <si>
    <t>ihnen</t>
  </si>
  <si>
    <t>vor</t>
  </si>
  <si>
    <t>Gericht</t>
  </si>
  <si>
    <t>zogen</t>
  </si>
  <si>
    <t>verloren</t>
  </si>
  <si>
    <t>weil</t>
  </si>
  <si>
    <t>Fälle</t>
  </si>
  <si>
    <t>öffentlich</t>
  </si>
  <si>
    <t>verhandelt</t>
  </si>
  <si>
    <t># text = Über sie entschied ein geheimes Gericht.</t>
  </si>
  <si>
    <t>Über</t>
  </si>
  <si>
    <t>sie</t>
  </si>
  <si>
    <t>entschied</t>
  </si>
  <si>
    <t>geheimes</t>
  </si>
  <si>
    <t># text = Wir haben im Zusammenhang mit Prism etwas festgestellt, das ich besorgniserregend finde:</t>
  </si>
  <si>
    <t>Zusammenhang</t>
  </si>
  <si>
    <t>Prism</t>
  </si>
  <si>
    <t>festgestellt</t>
  </si>
  <si>
    <t>besorgniserregend</t>
  </si>
  <si>
    <t>finde</t>
  </si>
  <si>
    <t># text = Es gab Gespräche in der US-Regierung, in denen gesagt wurde, 15 Bundesrichter hätten diese Programme begutachtet und als gesetzmäßig befunden.</t>
  </si>
  <si>
    <t>Gespräche</t>
  </si>
  <si>
    <t>US</t>
  </si>
  <si>
    <t>gesagt</t>
  </si>
  <si>
    <t>Bundesrichter</t>
  </si>
  <si>
    <t>hätten</t>
  </si>
  <si>
    <t>Programme</t>
  </si>
  <si>
    <t>begutachtet</t>
  </si>
  <si>
    <t>gesetzmäßig</t>
  </si>
  <si>
    <t>befunden</t>
  </si>
  <si>
    <t># text = Aber sie verraten nicht, dass dies geheime Richter sind in einem geheimen Gericht, das auf der Grundlage vertraulicher Rechtsauslegungen über 34.000 Überwachungsanträge entschieden hat im Lauf von 33 Jahren und in 33 Jahren nur elf Anträge der Regierung abgelehnt hat.</t>
  </si>
  <si>
    <t>geheime</t>
  </si>
  <si>
    <t>Richter</t>
  </si>
  <si>
    <t>geheimen</t>
  </si>
  <si>
    <t>vertraulicher</t>
  </si>
  <si>
    <t>Rechtsauslegungen</t>
  </si>
  <si>
    <t>34.000</t>
  </si>
  <si>
    <t>Überwachungsanträge</t>
  </si>
  <si>
    <t>entschieden</t>
  </si>
  <si>
    <t>Lauf</t>
  </si>
  <si>
    <t>elf</t>
  </si>
  <si>
    <t>Anträge</t>
  </si>
  <si>
    <t>abgelehnt</t>
  </si>
  <si>
    <t># text = Dies sind nicht die Leute, die wir als Entscheider wollen, wenn es um die Rolle amerikanischer Konzerne in einem freien und offenen Internet geht.</t>
  </si>
  <si>
    <t>Dies</t>
  </si>
  <si>
    <t>Leute</t>
  </si>
  <si>
    <t>Entscheider</t>
  </si>
  <si>
    <t>amerikanischer</t>
  </si>
  <si>
    <t>Konzerne</t>
  </si>
  <si>
    <t>freien</t>
  </si>
  <si>
    <t>offenen</t>
  </si>
  <si>
    <t># text = CA: Die Grafik, die wir hier zeigen, listet die Daten auf, wann diverse Technologie- und Internetunternehmen sich dem Programm mutmaßlich anschlossen und wann die Sammlung von Daten bei ihnen begann.</t>
  </si>
  <si>
    <t>hier</t>
  </si>
  <si>
    <t>listet</t>
  </si>
  <si>
    <t>Daten</t>
  </si>
  <si>
    <t>diverse</t>
  </si>
  <si>
    <t>Technologie</t>
  </si>
  <si>
    <t>Internetunternehmen</t>
  </si>
  <si>
    <t>mutmaßlich</t>
  </si>
  <si>
    <t>anschlossen</t>
  </si>
  <si>
    <t>Sammlung</t>
  </si>
  <si>
    <t>begann</t>
  </si>
  <si>
    <t># text = Sie haben die Kooperation mit der NSA bestritten.</t>
  </si>
  <si>
    <t>Kooperation</t>
  </si>
  <si>
    <t>bestritten</t>
  </si>
  <si>
    <t># text = Wie hat die NSA diese Daten gesammelt?</t>
  </si>
  <si>
    <t>gesammelt</t>
  </si>
  <si>
    <t># text = ES: Die eigenen Präsentationen der NSA bezeichnen das als direkten Zugang.</t>
  </si>
  <si>
    <t>eigenen</t>
  </si>
  <si>
    <t>Präsentationen</t>
  </si>
  <si>
    <t>bezeichnen</t>
  </si>
  <si>
    <t>direkten</t>
  </si>
  <si>
    <t># text = Für einen tatsächlichen NSA-Analysten, jemanden wie mich, der in Hawaii als Analyst für den Geheimdienst chinesische Cyber-Hacker oder ähnliches im Visier hatte, bedeutet das, dass die Daten direkt von ihren Servern kommen.</t>
  </si>
  <si>
    <t>Für</t>
  </si>
  <si>
    <t>tatsächlichen</t>
  </si>
  <si>
    <t>Analysten</t>
  </si>
  <si>
    <t>jemanden</t>
  </si>
  <si>
    <t>Analyst</t>
  </si>
  <si>
    <t>chinesische</t>
  </si>
  <si>
    <t>Cyber</t>
  </si>
  <si>
    <t>Hacker</t>
  </si>
  <si>
    <t>ähnliches</t>
  </si>
  <si>
    <t>Visier</t>
  </si>
  <si>
    <t>hatte</t>
  </si>
  <si>
    <t>bedeutet</t>
  </si>
  <si>
    <t>direkt</t>
  </si>
  <si>
    <t>Servern</t>
  </si>
  <si>
    <t># text = Das heißt nicht, dass eine Gruppe von Mitarbeitern des Unternehmens mit der NSA in einem verrauchten Raum sitzt, sich langweilt und im Hinterzimmer aushandelt, wie sie dieses Zeug weitergeben werden.</t>
  </si>
  <si>
    <t>heißt</t>
  </si>
  <si>
    <t>Gruppe</t>
  </si>
  <si>
    <t>Mitarbeitern</t>
  </si>
  <si>
    <t>Unternehmens</t>
  </si>
  <si>
    <t>verrauchten</t>
  </si>
  <si>
    <t>Raum</t>
  </si>
  <si>
    <t>sitzt</t>
  </si>
  <si>
    <t>langweilt</t>
  </si>
  <si>
    <t>Hinterzimmer</t>
  </si>
  <si>
    <t>aushandelt</t>
  </si>
  <si>
    <t>dieses</t>
  </si>
  <si>
    <t>Zeug</t>
  </si>
  <si>
    <t>weitergeben</t>
  </si>
  <si>
    <t># text = Jedes Unternehmen handhabt das anders.</t>
  </si>
  <si>
    <t>Jedes</t>
  </si>
  <si>
    <t>anders</t>
  </si>
  <si>
    <t># text = Manche sind verantwortungsbewusst.</t>
  </si>
  <si>
    <t>Manche</t>
  </si>
  <si>
    <t># text = Manche sind etwas weniger verantwortungsbewusst.</t>
  </si>
  <si>
    <t>weniger</t>
  </si>
  <si>
    <t># text = Unterm Strich aber, wenn wir davon sprechen, wie diese Informationen übergeben werden:</t>
  </si>
  <si>
    <t>Strich</t>
  </si>
  <si>
    <t># text = Sie kommen von den Unternehmen selbst.</t>
  </si>
  <si>
    <t># text = Sie werden nicht aus Leitungen gestohlen.</t>
  </si>
  <si>
    <t>Leitungen</t>
  </si>
  <si>
    <t>gestohlen</t>
  </si>
  <si>
    <t># text = Man darf einen wichtigen Punkt nicht vergessen:</t>
  </si>
  <si>
    <t>darf</t>
  </si>
  <si>
    <t>wichtigen</t>
  </si>
  <si>
    <t>Punkt</t>
  </si>
  <si>
    <t># text = Obwohl die Unternehmen sich wehrten, obwohl die Unternehmen forderten: "Lasst uns das mit einem Genehmigungsverfahren machen.</t>
  </si>
  <si>
    <t>wehrten</t>
  </si>
  <si>
    <t>forderten</t>
  </si>
  <si>
    <t>Lasst</t>
  </si>
  <si>
    <t>Genehmigungsverfahren</t>
  </si>
  <si>
    <t># text = Lasst uns das so machen, dass wir eine Art rechtlicher Prüfung haben, eine Art Grundlage für die Herausgabe von Anwenderdaten haben."</t>
  </si>
  <si>
    <t>rechtlicher</t>
  </si>
  <si>
    <t>Prüfung</t>
  </si>
  <si>
    <t>Herausgabe</t>
  </si>
  <si>
    <t>Anwenderdaten</t>
  </si>
  <si>
    <t># text = Letztes Jahr brachte die Washington Post Berichte, die weniger Medienecho hatten als der Bericht über Prism, in denen es hieß, die NSA sei in die interne Kommunikation zwischen Google-Datenzentren und Yahoo-Datenzentren eingedrungen.</t>
  </si>
  <si>
    <t>Letztes</t>
  </si>
  <si>
    <t>brachte</t>
  </si>
  <si>
    <t>Washington</t>
  </si>
  <si>
    <t>Post</t>
  </si>
  <si>
    <t>Berichte</t>
  </si>
  <si>
    <t>Medienecho</t>
  </si>
  <si>
    <t>Bericht</t>
  </si>
  <si>
    <t>hieß</t>
  </si>
  <si>
    <t>sei</t>
  </si>
  <si>
    <t>interne</t>
  </si>
  <si>
    <t>Kommunikation</t>
  </si>
  <si>
    <t>Google</t>
  </si>
  <si>
    <t>Datenzentren</t>
  </si>
  <si>
    <t>eingedrungen</t>
  </si>
  <si>
    <t># text = Also selbst bei Unternehmen, die -- unter gewissem Zwang, aber auf hoffentlich legale Weise -- mit der NSA kooperieren, gibt sich die NSA damit nicht zufrieden.</t>
  </si>
  <si>
    <t>Also</t>
  </si>
  <si>
    <t>unter</t>
  </si>
  <si>
    <t>gewissem</t>
  </si>
  <si>
    <t>Zwang</t>
  </si>
  <si>
    <t>hoffentlich</t>
  </si>
  <si>
    <t>legale</t>
  </si>
  <si>
    <t>Weise</t>
  </si>
  <si>
    <t>kooperieren</t>
  </si>
  <si>
    <t>zufrieden</t>
  </si>
  <si>
    <t># text = Deshalb brauchen wir Unternehmen, die sich intensiv engagieren, um zu garantieren, dass sie die Interessen der Nutzer vertreten werden und sich für die Rechte der Nutzer einsetzen.</t>
  </si>
  <si>
    <t>Deshalb</t>
  </si>
  <si>
    <t>engagieren</t>
  </si>
  <si>
    <t>Interessen</t>
  </si>
  <si>
    <t>Nutzer</t>
  </si>
  <si>
    <t>vertreten</t>
  </si>
  <si>
    <t>Rechte</t>
  </si>
  <si>
    <t>einsetzen</t>
  </si>
  <si>
    <t># text = Im letzten Jahr haben wir gesehen, dass die Unternehmen in den Prism-Präsentationen große Anstrengungen unternehmen, das zu tun.</t>
  </si>
  <si>
    <t>große</t>
  </si>
  <si>
    <t>Anstrengungen</t>
  </si>
  <si>
    <t>unternehmen</t>
  </si>
  <si>
    <t># text = Ich ermutige sie, weiterzumachen.</t>
  </si>
  <si>
    <t>ermutige</t>
  </si>
  <si>
    <t>weiterzumachen</t>
  </si>
  <si>
    <t># text = CA: Was sollten sie denn noch tun?</t>
  </si>
  <si>
    <t># text = ES: Das Größte, was ein Internetunternehmen in Amerika jetzt und heute tun kann, ohne Anwälte zu Rate zu ziehen, um die Rechte ihrer Nutzer weltweit zu schützen, ist das Ermöglichen von SSL-Netzverschlüsselung auf jeder Seite, die man besucht.</t>
  </si>
  <si>
    <t>Größte</t>
  </si>
  <si>
    <t>Amerika</t>
  </si>
  <si>
    <t>heute</t>
  </si>
  <si>
    <t>Anwälte</t>
  </si>
  <si>
    <t>Rate</t>
  </si>
  <si>
    <t>weltweit</t>
  </si>
  <si>
    <t>Ermöglichen</t>
  </si>
  <si>
    <t>SSL</t>
  </si>
  <si>
    <t>Netzverschlüsselung</t>
  </si>
  <si>
    <t>Seite</t>
  </si>
  <si>
    <t>besucht</t>
  </si>
  <si>
    <t># text = Der Grund, weshalb das wichtig ist: Wenn du dir heute auf Amazon.com eine Ausgabe von "1984" ansiehst, kann die NSA das in einem Protokoll sehen.</t>
  </si>
  <si>
    <t>Der</t>
  </si>
  <si>
    <t>weshalb</t>
  </si>
  <si>
    <t>wichtig</t>
  </si>
  <si>
    <t>dir</t>
  </si>
  <si>
    <t>Amazon.com</t>
  </si>
  <si>
    <t>Ausgabe</t>
  </si>
  <si>
    <t>1984</t>
  </si>
  <si>
    <t>ansiehst</t>
  </si>
  <si>
    <t>Protokoll</t>
  </si>
  <si>
    <t># text = Der russische Geheimdienst kann das in einem Protokoll sehen.</t>
  </si>
  <si>
    <t>russische</t>
  </si>
  <si>
    <t># text = Der chinesische Geheimdienst, der französische, der deutsche und der Geheimdienst von Andorra.</t>
  </si>
  <si>
    <t>französische</t>
  </si>
  <si>
    <t>deutsche</t>
  </si>
  <si>
    <t>Andorra</t>
  </si>
  <si>
    <t># text = Sie alle können das sehen, weil es nicht verschlüsselt ist.</t>
  </si>
  <si>
    <t>verschlüsselt</t>
  </si>
  <si>
    <t># text = Amazon.com ist die Bibliothek der Welt.</t>
  </si>
  <si>
    <t>Bibliothek</t>
  </si>
  <si>
    <t># text = Aber es verzichtet nicht nur auf Verschlüsselung als generellen Standard, man kann auch Verschlüsselung nicht wählen, wenn man in den Büchern stöbert.</t>
  </si>
  <si>
    <t>verzichtet</t>
  </si>
  <si>
    <t>Verschlüsselung</t>
  </si>
  <si>
    <t>generellen</t>
  </si>
  <si>
    <t>Standard</t>
  </si>
  <si>
    <t>Büchern</t>
  </si>
  <si>
    <t>stöbert</t>
  </si>
  <si>
    <t># text = Das ist etwas, das wir ändern müssen, nicht nur bei Amazon.</t>
  </si>
  <si>
    <t>ändern</t>
  </si>
  <si>
    <t>Amazon</t>
  </si>
  <si>
    <t># text = Ich möchte die Seite nicht herausgreifen, aber sie ist ein großartiges Beispiel.</t>
  </si>
  <si>
    <t>großartiges</t>
  </si>
  <si>
    <t>Beispiel</t>
  </si>
  <si>
    <t># text = Alle Unternehmen müssen zum gewohnheitsmäßig verschlüsselten Surfen als Standard übergehen für alle Nutzer, die nicht selbst Maßnahmen ergriffen oder eine eigene Methode gewählt haben.</t>
  </si>
  <si>
    <t>Alle</t>
  </si>
  <si>
    <t>gewohnheitsmäßig</t>
  </si>
  <si>
    <t>verschlüsselten</t>
  </si>
  <si>
    <t>Surfen</t>
  </si>
  <si>
    <t>Maßnahmen</t>
  </si>
  <si>
    <t>ergriffen</t>
  </si>
  <si>
    <t>eigene</t>
  </si>
  <si>
    <t>Methode</t>
  </si>
  <si>
    <t>gewählt</t>
  </si>
  <si>
    <t># text = Das stärkt die Privatsphäre und die Rechte, die Menschen weltweit genießen.</t>
  </si>
  <si>
    <t>stärkt</t>
  </si>
  <si>
    <t>Privatsphäre</t>
  </si>
  <si>
    <t>genießen</t>
  </si>
  <si>
    <t># text = CA: Komm mit mir auf diese Seite der Bühne.</t>
  </si>
  <si>
    <t># text = Ich möchte dir das nächste Bild zeigen.</t>
  </si>
  <si>
    <t>nächste</t>
  </si>
  <si>
    <t>Bild</t>
  </si>
  <si>
    <t># text = Dieses Programm heißt "Boundless Informant".</t>
  </si>
  <si>
    <t>Dieses</t>
  </si>
  <si>
    <t>Boundless</t>
  </si>
  <si>
    <t>Informant</t>
  </si>
  <si>
    <t># text = Was ist das?</t>
  </si>
  <si>
    <t># text = ES: Ich muss der NSA hier Anerkennung zollen für die Verwendung treffender Namen.</t>
  </si>
  <si>
    <t>muss</t>
  </si>
  <si>
    <t>Anerkennung</t>
  </si>
  <si>
    <t>zollen</t>
  </si>
  <si>
    <t>Verwendung</t>
  </si>
  <si>
    <t>treffender</t>
  </si>
  <si>
    <t># text = Dies ist einer meiner Lieblingscodenamen der NSA.</t>
  </si>
  <si>
    <t>einer</t>
  </si>
  <si>
    <t>Lieblingscodenamen</t>
  </si>
  <si>
    <t># text = "Boundless Informant" ["Informant ohne Grenzen"] ist ein Programm, das die NSA vor dem Kongress verborgen hielt.</t>
  </si>
  <si>
    <t>[</t>
  </si>
  <si>
    <t>Grenzen</t>
  </si>
  <si>
    <t>]</t>
  </si>
  <si>
    <t>verborgen</t>
  </si>
  <si>
    <t>hielt</t>
  </si>
  <si>
    <t># text = Der Kongress hatte die NSA im Vorfeld gefragt, ob sie irgendeine Möglichkeit besäße, eine sehr grobe Schätzung abzugeben über den Umfang an amerikanischer Kommunikation, den sie überwachen.</t>
  </si>
  <si>
    <t>Vorfeld</t>
  </si>
  <si>
    <t>irgendeine</t>
  </si>
  <si>
    <t>Möglichkeit</t>
  </si>
  <si>
    <t>besäße</t>
  </si>
  <si>
    <t>sehr</t>
  </si>
  <si>
    <t>grobe</t>
  </si>
  <si>
    <t>Schätzung</t>
  </si>
  <si>
    <t>abzugeben</t>
  </si>
  <si>
    <t>Umfang</t>
  </si>
  <si>
    <t>SBJ_6</t>
  </si>
  <si>
    <t>überwachen</t>
  </si>
  <si>
    <t># text = Sie sagte: Nein, wir erheben diese Daten nicht und wir können diese Daten nicht erheben.</t>
  </si>
  <si>
    <t>sagte</t>
  </si>
  <si>
    <t>Nein</t>
  </si>
  <si>
    <t>erheben</t>
  </si>
  <si>
    <t># text = Wir können Ihnen nicht sagen, wie viel Kommunikation wir weltweit überwachen, weil wir Ihre Privatsphäre verletzen würden, wenn wir Ihnen das mitteilen.</t>
  </si>
  <si>
    <t>Ihnen</t>
  </si>
  <si>
    <t>Ihre</t>
  </si>
  <si>
    <t>verletzen</t>
  </si>
  <si>
    <t>würden</t>
  </si>
  <si>
    <t>mitteilen</t>
  </si>
  <si>
    <t># text = Das ist eine Haltung, die ich begrüße.</t>
  </si>
  <si>
    <t>Haltung</t>
  </si>
  <si>
    <t>begrüße</t>
  </si>
  <si>
    <t># text = Tatsache aber ist, wie diese Grafik zeigt, dass sie dazu nicht nur fähig sind, sondern die Fähigkeit selbst bereits existiert.</t>
  </si>
  <si>
    <t>Tatsache</t>
  </si>
  <si>
    <t>fähig</t>
  </si>
  <si>
    <t>sondern</t>
  </si>
  <si>
    <t>Fähigkeit</t>
  </si>
  <si>
    <t>bereits</t>
  </si>
  <si>
    <t>existiert</t>
  </si>
  <si>
    <t># text = Sie ist bereits umgesetzt.</t>
  </si>
  <si>
    <t>umgesetzt</t>
  </si>
  <si>
    <t># text = Die NSA verwendet ein eigenes internes Datenformat, das beide Endpunkte einer Kommunikation erfasst.</t>
  </si>
  <si>
    <t>verwendet</t>
  </si>
  <si>
    <t>eigenes</t>
  </si>
  <si>
    <t>internes</t>
  </si>
  <si>
    <t>Datenformat</t>
  </si>
  <si>
    <t>beide</t>
  </si>
  <si>
    <t>Endpunkte</t>
  </si>
  <si>
    <t>erfasst</t>
  </si>
  <si>
    <t># text = Wenn es besagt, dass die Kommunikation aus den USA kommt, dann können sie dem Kongress auch sagen, wie viel solcher Kommunikation sie haben, heute, in diesem Moment.</t>
  </si>
  <si>
    <t>besagt</t>
  </si>
  <si>
    <t>kommt</t>
  </si>
  <si>
    <t>solcher</t>
  </si>
  <si>
    <t>diesem</t>
  </si>
  <si>
    <t># text = \"Informant ohne Grenzen\" verrät uns, dass mehr Kommunikation abgehört wird, in Amerika, über Amerikaner, als in Russland über Russen.</t>
  </si>
  <si>
    <t>verrät</t>
  </si>
  <si>
    <t>mehr</t>
  </si>
  <si>
    <t>abgehört</t>
  </si>
  <si>
    <t>wird</t>
  </si>
  <si>
    <t>Russen</t>
  </si>
  <si>
    <t># text = Ich bin nicht sicher, ob dies das Ziel eines Geheimdienstes sein sollte.</t>
  </si>
  <si>
    <t>sicher</t>
  </si>
  <si>
    <t>Ziel</t>
  </si>
  <si>
    <t>Geheimdienstes</t>
  </si>
  <si>
    <t># text = CA:</t>
  </si>
  <si>
    <t># text = Die Washington Post hat einen Artikel gebracht, der ebenfalls auf deinen Daten fußt.</t>
  </si>
  <si>
    <t>Artikel</t>
  </si>
  <si>
    <t>ebenfalls</t>
  </si>
  <si>
    <t>deinen</t>
  </si>
  <si>
    <t>fußt</t>
  </si>
  <si>
    <t># text = Die Schlagzeile lautet: \"Die NSA hat Datenschutzbestimmungen Tausende Male pro Jahr verletzt.\"</t>
  </si>
  <si>
    <t>Schlagzeile</t>
  </si>
  <si>
    <t>lautet</t>
  </si>
  <si>
    <t>Datenschutzbestimmungen</t>
  </si>
  <si>
    <t>Tausende</t>
  </si>
  <si>
    <t>Male</t>
  </si>
  <si>
    <t>pro</t>
  </si>
  <si>
    <t>verletzt</t>
  </si>
  <si>
    <t># text = Erzähl uns darüber.</t>
  </si>
  <si>
    <t>Erzähl</t>
  </si>
  <si>
    <t># text = ES: Wir haben bei der Anhörung im Kongressausschuss letztes Jahr auch gehört -- und es hat mich erstaunt, als jemand, der von der NSA kam und die internen Unterlagen gesehen hat und weiß, was darin steht, zu beobachten, wie Beamte unter Eid aussagen, -- dass es keinen Missbrauch gegeben hat, dass die NSA-Bestimmungen nicht verletzt wurden, obwohl wir wussten, dass dieser Artikel kommen würde.</t>
  </si>
  <si>
    <t>Anhörung</t>
  </si>
  <si>
    <t>Kongressausschuss</t>
  </si>
  <si>
    <t>letztes</t>
  </si>
  <si>
    <t>gehört</t>
  </si>
  <si>
    <t>erstaunt</t>
  </si>
  <si>
    <t>jemand</t>
  </si>
  <si>
    <t>kam</t>
  </si>
  <si>
    <t>internen</t>
  </si>
  <si>
    <t>Unterlagen</t>
  </si>
  <si>
    <t>SBJ_8</t>
  </si>
  <si>
    <t>darin</t>
  </si>
  <si>
    <t>steht</t>
  </si>
  <si>
    <t>beobachten</t>
  </si>
  <si>
    <t>Beamte</t>
  </si>
  <si>
    <t>Eid</t>
  </si>
  <si>
    <t>other_11</t>
  </si>
  <si>
    <t>aussagen</t>
  </si>
  <si>
    <t>SBJ_9</t>
  </si>
  <si>
    <t>Missbrauch</t>
  </si>
  <si>
    <t>OBJ_9</t>
  </si>
  <si>
    <t>gegeben</t>
  </si>
  <si>
    <t>SBJ_10</t>
  </si>
  <si>
    <t>Bestimmungen</t>
  </si>
  <si>
    <t>SBJ_11</t>
  </si>
  <si>
    <t>other_13</t>
  </si>
  <si>
    <t>SBJ_12</t>
  </si>
  <si>
    <t># text = Aber was daran besonders interessant ist, an der Tatsache, dass die NSA ihre eigenen Regeln, ihre Gesetze tausende Male in einem einzigen Jahr verletzt, darunter ein Vorfall, der für sich genommen, ein Vorfall unter diesen 2776 Fällen, der über 3000 Menschen betraf.</t>
  </si>
  <si>
    <t>daran</t>
  </si>
  <si>
    <t>besonders</t>
  </si>
  <si>
    <t>interessant</t>
  </si>
  <si>
    <t>ihre</t>
  </si>
  <si>
    <t>Regeln</t>
  </si>
  <si>
    <t>tausende</t>
  </si>
  <si>
    <t>einzigen</t>
  </si>
  <si>
    <t>darunter</t>
  </si>
  <si>
    <t>Vorfall</t>
  </si>
  <si>
    <t>genommen</t>
  </si>
  <si>
    <t>2776</t>
  </si>
  <si>
    <t>Fällen</t>
  </si>
  <si>
    <t>3000</t>
  </si>
  <si>
    <t>betraf</t>
  </si>
  <si>
    <t># text = In einem anderen Fall haben sie alle Anrufe in Washington, D.C. abgehört -- aus Versehen.</t>
  </si>
  <si>
    <t>anderen</t>
  </si>
  <si>
    <t>Anrufe</t>
  </si>
  <si>
    <t>D.C.</t>
  </si>
  <si>
    <t>Versehen</t>
  </si>
  <si>
    <t># text = Was an diesem Bericht erstaunlich ist, der für sich genommen nicht viel Aufsehen erregte, ist nicht nur, dass es 2776 Übergriffe gab, sondern, dass die Vorsitzende des Ausschusses für Nachrichtendienste, Dianne Feinstein, den Bericht nicht gesehen hatte, bis die Washington Post sie kontaktierte und um eine Stellungnahme bat.</t>
  </si>
  <si>
    <t>erstaunlich</t>
  </si>
  <si>
    <t>Aufsehen</t>
  </si>
  <si>
    <t>erregte</t>
  </si>
  <si>
    <t>Übergriffe</t>
  </si>
  <si>
    <t>Vorsitzende</t>
  </si>
  <si>
    <t>Ausschusses</t>
  </si>
  <si>
    <t>Dianne</t>
  </si>
  <si>
    <t>Feinstein</t>
  </si>
  <si>
    <t>bis</t>
  </si>
  <si>
    <t>kontaktierte</t>
  </si>
  <si>
    <t>Stellungnahme</t>
  </si>
  <si>
    <t>bat</t>
  </si>
  <si>
    <t># text = Sie forderte daraufhin eine Kopie von der NSA an und bekam sie, hatte den Bericht aber vorher nie gesehen.</t>
  </si>
  <si>
    <t>forderte</t>
  </si>
  <si>
    <t>daraufhin</t>
  </si>
  <si>
    <t>Kopie</t>
  </si>
  <si>
    <t>bekam</t>
  </si>
  <si>
    <t>vorher</t>
  </si>
  <si>
    <t># text = Was sagt das über den Zustand der Aufsicht über den amerikanischen Nachrichtendienst, wenn die Vorsitzende des Senatsausschusses für Nachrichtendienste keine Ahnung davon hat, dass die Bestimmungen tausende Male jedes Jahr verletzt werden?</t>
  </si>
  <si>
    <t>sagt</t>
  </si>
  <si>
    <t>Zustand</t>
  </si>
  <si>
    <t>Aufsicht</t>
  </si>
  <si>
    <t>Senatsausschusses</t>
  </si>
  <si>
    <t>Ahnung</t>
  </si>
  <si>
    <t>jedes</t>
  </si>
  <si>
    <t># text = CA: Ed, eine Reaktion auf diese ganze Debatte ist: Warum sollte uns die ganze Überwachung etwas ausmachen?</t>
  </si>
  <si>
    <t>Reaktion</t>
  </si>
  <si>
    <t>ganze</t>
  </si>
  <si>
    <t>Warum</t>
  </si>
  <si>
    <t>Überwachung</t>
  </si>
  <si>
    <t># text = Wenn man nichts verbrochen hat, muss man sich auch keine Gedanken machen.</t>
  </si>
  <si>
    <t>verbrochen</t>
  </si>
  <si>
    <t>Gedanken</t>
  </si>
  <si>
    <t># text = Was ist an dieser Einstellung falsch?</t>
  </si>
  <si>
    <t>Einstellung</t>
  </si>
  <si>
    <t>falsch</t>
  </si>
  <si>
    <t># text = ES: Der erste Punkt ist:</t>
  </si>
  <si>
    <t># text = Du verzichtest auf deine Rechte.</t>
  </si>
  <si>
    <t>verzichtest</t>
  </si>
  <si>
    <t># text = Du sagst: \"Weißt du, ich glaube, ich werde sie nicht brauchen.</t>
  </si>
  <si>
    <t>sagst</t>
  </si>
  <si>
    <t>glaube</t>
  </si>
  <si>
    <t>werde</t>
  </si>
  <si>
    <t># text = Also vertraue ich einfach darauf.</t>
  </si>
  <si>
    <t>vertraue</t>
  </si>
  <si>
    <t>einfach</t>
  </si>
  <si>
    <t>darauf</t>
  </si>
  <si>
    <t># text = Wir schaffen sie ab, es ist nicht wirklich wichtig.</t>
  </si>
  <si>
    <t>ab</t>
  </si>
  <si>
    <t># text = Diese Leute werden schon das Richtige tun."</t>
  </si>
  <si>
    <t>schon</t>
  </si>
  <si>
    <t>Richtige</t>
  </si>
  <si>
    <t># text = Eure Rechte sind wichtig, weil ihr nie wisst, wann ihr sie brauchen werdet.</t>
  </si>
  <si>
    <t>Eure</t>
  </si>
  <si>
    <t>ihr</t>
  </si>
  <si>
    <t>wisst</t>
  </si>
  <si>
    <t>werdet</t>
  </si>
  <si>
    <t># text = Darüber hinaus ist es Teil unserer kulturellen Identität, nicht nur in Amerika, sondern auch in westlichen Gesellschaften und in demokratischen Gesellschaften in der ganzen Welt.</t>
  </si>
  <si>
    <t>Darüber</t>
  </si>
  <si>
    <t>hinaus</t>
  </si>
  <si>
    <t>unserer</t>
  </si>
  <si>
    <t>kulturellen</t>
  </si>
  <si>
    <t>Identität</t>
  </si>
  <si>
    <t>westlichen</t>
  </si>
  <si>
    <t>demokratischen</t>
  </si>
  <si>
    <t># text = Leute sollten in der Lage sein, einen Hörer in die Hand zu nehmen und ihre Familie anzurufen;</t>
  </si>
  <si>
    <t>Lage</t>
  </si>
  <si>
    <t>Hörer</t>
  </si>
  <si>
    <t>Hand</t>
  </si>
  <si>
    <t>nehmen</t>
  </si>
  <si>
    <t>Familie</t>
  </si>
  <si>
    <t>anzurufen</t>
  </si>
  <si>
    <t>;</t>
  </si>
  <si>
    <t># text = ihren Lieben eine SMS zu schicken;</t>
  </si>
  <si>
    <t>Lieben</t>
  </si>
  <si>
    <t>SMS</t>
  </si>
  <si>
    <t># text = Leute sollten in der Lage sein, online ein Buch zu kaufen;</t>
  </si>
  <si>
    <t>online</t>
  </si>
  <si>
    <t>Buch</t>
  </si>
  <si>
    <t># text = sie sollten mit dem Zug reisen können;</t>
  </si>
  <si>
    <t>Zug</t>
  </si>
  <si>
    <t># text = sie sollten sich ein Flugticket kaufen können, ohne sich fragen zu müssen, wie diese Handlungen für eine Agenten der Regierung aussehen werden, vielleicht nicht einmal deiner Regierung, Jahre in der Zukunft, wie sie misinterpretiert werden, und wie sie deine Absichten deuten.</t>
  </si>
  <si>
    <t>Flugticket</t>
  </si>
  <si>
    <t>Handlungen</t>
  </si>
  <si>
    <t>Agenten</t>
  </si>
  <si>
    <t>aussehen</t>
  </si>
  <si>
    <t>vielleicht</t>
  </si>
  <si>
    <t>einmal</t>
  </si>
  <si>
    <t>deiner</t>
  </si>
  <si>
    <t>Jahre</t>
  </si>
  <si>
    <t>misinterpretiert</t>
  </si>
  <si>
    <t>Absichten</t>
  </si>
  <si>
    <t>deuten</t>
  </si>
  <si>
    <t># text = Wir haben ein Recht auf Privatsphäre.</t>
  </si>
  <si>
    <t>Recht</t>
  </si>
  <si>
    <t># text = Als Grundlage für einen Haftbefehl verlangen wir einen hinreichenden Verdacht oder eine Art von Verdacht gegen ein Individuum, weil wir wissen, dass irgendjemandem zu vertrauen, irgendeiner Regierungsbehörde, wenn es um die Summe menschlicher Kommunikationen, im Geheimen und ohne Aufsicht geht, einfach eine zu große Versuchung darstellt, als dass wir darüber hinwegsehen könnten.</t>
  </si>
  <si>
    <t>Haftbefehl</t>
  </si>
  <si>
    <t>hinreichenden</t>
  </si>
  <si>
    <t>Verdacht</t>
  </si>
  <si>
    <t>gegen</t>
  </si>
  <si>
    <t>Individuum</t>
  </si>
  <si>
    <t>wissen</t>
  </si>
  <si>
    <t>irgendjemandem</t>
  </si>
  <si>
    <t>irgendeiner</t>
  </si>
  <si>
    <t>Regierungsbehörde</t>
  </si>
  <si>
    <t>Summe</t>
  </si>
  <si>
    <t>menschlicher</t>
  </si>
  <si>
    <t>Kommunikationen</t>
  </si>
  <si>
    <t>Versuchung</t>
  </si>
  <si>
    <t>darstellt</t>
  </si>
  <si>
    <t>hinwegsehen</t>
  </si>
  <si>
    <t>könnten</t>
  </si>
  <si>
    <t># text = CA: Einige Leute sind über das, was du getan hast, aufgebracht.</t>
  </si>
  <si>
    <t>Einige</t>
  </si>
  <si>
    <t>aufgebracht</t>
  </si>
  <si>
    <t># text = Ich habe kürzlich ein Zitat von Dick Cheney gehört, der sagte: "Julian Assange war ein Flohbiss.</t>
  </si>
  <si>
    <t>kürzlich</t>
  </si>
  <si>
    <t>Zitat</t>
  </si>
  <si>
    <t>Dick</t>
  </si>
  <si>
    <t>Cheney</t>
  </si>
  <si>
    <t>Julian</t>
  </si>
  <si>
    <t>Assange</t>
  </si>
  <si>
    <t>Flohbiss</t>
  </si>
  <si>
    <t># text = Edward Snowden ist der Löwe, der dem Hund den Kopf abgebissen hat."</t>
  </si>
  <si>
    <t>Löwe</t>
  </si>
  <si>
    <t>Hund</t>
  </si>
  <si>
    <t>Kopf</t>
  </si>
  <si>
    <t>abgebissen</t>
  </si>
  <si>
    <t># text = Er denkt, du hättest einen der schlimmsten Akte des Verrats in der US-Geschichte begangen.</t>
  </si>
  <si>
    <t>denkt</t>
  </si>
  <si>
    <t>hättest</t>
  </si>
  <si>
    <t>schlimmsten</t>
  </si>
  <si>
    <t>Akte</t>
  </si>
  <si>
    <t>Verrats</t>
  </si>
  <si>
    <t>begangen</t>
  </si>
  <si>
    <t># text = Was würdest du Leuten entgegnen, die das denken?</t>
  </si>
  <si>
    <t>Leuten</t>
  </si>
  <si>
    <t>entgegnen</t>
  </si>
  <si>
    <t># text = ES: Dick Cheney ist eine ganz eigene Marke.</t>
  </si>
  <si>
    <t>ganz</t>
  </si>
  <si>
    <t>Marke</t>
  </si>
  <si>
    <t># text = (Gelächter) Danke.</t>
  </si>
  <si>
    <t>Gelächter</t>
  </si>
  <si>
    <t>Danke</t>
  </si>
  <si>
    <t># text = Es ist bemerkenswert, weil damals, als Julian Assange einige seiner wichtigsten Aktionen unternahm, sagte Dick Cheney, dass er das Ende für Regierungen in aller Welt bedeute, der Himmel würde in Flammen aufgehen und die Ozeane würden überkochen, und nun sagt er, das ist ein Flohbiss.</t>
  </si>
  <si>
    <t>bemerkenswert</t>
  </si>
  <si>
    <t>damals</t>
  </si>
  <si>
    <t>seiner</t>
  </si>
  <si>
    <t>wichtigsten</t>
  </si>
  <si>
    <t>Aktionen</t>
  </si>
  <si>
    <t>unternahm</t>
  </si>
  <si>
    <t>er</t>
  </si>
  <si>
    <t>Ende</t>
  </si>
  <si>
    <t>Regierungen</t>
  </si>
  <si>
    <t>aller</t>
  </si>
  <si>
    <t>bedeute</t>
  </si>
  <si>
    <t>Himmel</t>
  </si>
  <si>
    <t>Flammen</t>
  </si>
  <si>
    <t>aufgehen</t>
  </si>
  <si>
    <t>Ozeane</t>
  </si>
  <si>
    <t>überkochen</t>
  </si>
  <si>
    <t>nun</t>
  </si>
  <si>
    <t># text = Wir sollten also misstrauisch sein bei aufgebauschten Behauptungen von solchen Amtsträgern, was den Schaden für die nationale Sicherheit angeht.</t>
  </si>
  <si>
    <t>also</t>
  </si>
  <si>
    <t>misstrauisch</t>
  </si>
  <si>
    <t>aufgebauschten</t>
  </si>
  <si>
    <t>Behauptungen</t>
  </si>
  <si>
    <t>solchen</t>
  </si>
  <si>
    <t>Amtsträgern</t>
  </si>
  <si>
    <t>angeht</t>
  </si>
  <si>
    <t># text = Aber angenommen, diese Leute glauben, was sie sagen.</t>
  </si>
  <si>
    <t>angenommen</t>
  </si>
  <si>
    <t># text = Ich würde entgegenhalten, dass sie eine enge Sicht auf die nationale Sicherheit haben.</t>
  </si>
  <si>
    <t>enge</t>
  </si>
  <si>
    <t>Sicht</t>
  </si>
  <si>
    <t># text = Die Vorrechte von Leuten wie Dick Cheney tragen nicht zur Sicherheit der Nation bei.</t>
  </si>
  <si>
    <t>Vorrechte</t>
  </si>
  <si>
    <t>Nation</t>
  </si>
  <si>
    <t># text = Das öffentliche Interesse deckt sich nicht immer mit dem nationalen Interesse.</t>
  </si>
  <si>
    <t>öffentliche</t>
  </si>
  <si>
    <t>Interesse</t>
  </si>
  <si>
    <t>deckt</t>
  </si>
  <si>
    <t>immer</t>
  </si>
  <si>
    <t>nationalen</t>
  </si>
  <si>
    <t># text = In den Krieg zu ziehen, gegen Leute, die nicht unsere Feinde sind, an Orten, die keine Bedrohung darstellen, gibt uns keine Sicherheit, und das trifft zu, ob es im Irak ist oder im Internet.</t>
  </si>
  <si>
    <t>Krieg</t>
  </si>
  <si>
    <t>Feinde</t>
  </si>
  <si>
    <t>Orten</t>
  </si>
  <si>
    <t>Bedrohung</t>
  </si>
  <si>
    <t>darstellen</t>
  </si>
  <si>
    <t>trifft</t>
  </si>
  <si>
    <t>Irak</t>
  </si>
  <si>
    <t># text = Das Internet ist nicht der Feind.</t>
  </si>
  <si>
    <t>Feind</t>
  </si>
  <si>
    <t># text = Unsere Wirtschaft ist nicht der Feind.</t>
  </si>
  <si>
    <t>Unsere</t>
  </si>
  <si>
    <t>Wirtschaft</t>
  </si>
  <si>
    <t># text = Amerikanische Unternehmen, chinesische Unternehmen und jedes andere Unternehmen da draußen sind Teil unserer Gesellschaft.</t>
  </si>
  <si>
    <t>Amerikanische</t>
  </si>
  <si>
    <t>draußen</t>
  </si>
  <si>
    <t>Gesellschaft</t>
  </si>
  <si>
    <t># text = Sie sind Teil unserer vernetzten Welt.</t>
  </si>
  <si>
    <t>vernetzten</t>
  </si>
  <si>
    <t># text = Es gibt Bande der Bruderschaft, die uns verbinden.</t>
  </si>
  <si>
    <t>Bande</t>
  </si>
  <si>
    <t>Bruderschaft</t>
  </si>
  <si>
    <t>verbinden</t>
  </si>
  <si>
    <t># text = Wenn wir diese zerstören, in dem wir die Normen unterminieren, die Sicherheit, die Verhaltensregeln, von denen Nationen und Bürger in aller Welt erwarten, dass wir sie befolgen.</t>
  </si>
  <si>
    <t>Normen</t>
  </si>
  <si>
    <t>unterminieren</t>
  </si>
  <si>
    <t>Verhaltensregeln</t>
  </si>
  <si>
    <t>Nationen</t>
  </si>
  <si>
    <t>erwarten</t>
  </si>
  <si>
    <t>befolgen</t>
  </si>
  <si>
    <t># text = CA: Man hat dir vorgeworfen, du hättest 1,7 Millionen Dokumente gestohlen.</t>
  </si>
  <si>
    <t>vorgeworfen</t>
  </si>
  <si>
    <t>1,7</t>
  </si>
  <si>
    <t>Millionen</t>
  </si>
  <si>
    <t># text = Es scheint, als seien bisher nur ein paar Hundert an Journalisten weitergegeben worden.</t>
  </si>
  <si>
    <t>scheint</t>
  </si>
  <si>
    <t>bisher</t>
  </si>
  <si>
    <t>Hundert</t>
  </si>
  <si>
    <t>weitergegeben</t>
  </si>
  <si>
    <t>worden</t>
  </si>
  <si>
    <t># text = Wird es weitere Enthüllungen geben?</t>
  </si>
  <si>
    <t>Wird</t>
  </si>
  <si>
    <t>weitere</t>
  </si>
  <si>
    <t># text = ES: Es wird auf jeden Fall weitere Enthüllungen geben.</t>
  </si>
  <si>
    <t>jeden</t>
  </si>
  <si>
    <t># text = Es steht außer Frage, dass einige der wichtigsten Berichterstattungen erst noch kommen werden.</t>
  </si>
  <si>
    <t>Berichterstattungen</t>
  </si>
  <si>
    <t># text = CA: Komm hier herüber, ich möchte dir eine Frage stellen zu dieser speziellen Enthüllung.</t>
  </si>
  <si>
    <t>herüber</t>
  </si>
  <si>
    <t>speziellen</t>
  </si>
  <si>
    <t>Enthüllung</t>
  </si>
  <si>
    <t># text = Komm und sieh dir dies an.</t>
  </si>
  <si>
    <t>sieh</t>
  </si>
  <si>
    <t># text = Womöglich ist diese Geschichte für die Tech-Freunde in diesem Raum die schockierendste Sache, die sie in den letzten Monaten gehört haben.</t>
  </si>
  <si>
    <t>Womöglich</t>
  </si>
  <si>
    <t>Tech</t>
  </si>
  <si>
    <t>Freunde</t>
  </si>
  <si>
    <t>schockierendste</t>
  </si>
  <si>
    <t># text = Es geht um ein Programm namens "Bullrun".</t>
  </si>
  <si>
    <t>namens</t>
  </si>
  <si>
    <t>Bullrun</t>
  </si>
  <si>
    <t># text = Könntest du uns erklären, was das ist?</t>
  </si>
  <si>
    <t>Könntest</t>
  </si>
  <si>
    <t># text = ES: Bullrun, also.</t>
  </si>
  <si>
    <t># text = Wieder ein Fall, wo ich der NSA für ihre Freimütigkeit danke.</t>
  </si>
  <si>
    <t>Wieder</t>
  </si>
  <si>
    <t>wo</t>
  </si>
  <si>
    <t>Freimütigkeit</t>
  </si>
  <si>
    <t>danke</t>
  </si>
  <si>
    <t># text = Dieses Programm wurde nach einer Schlacht im amerikanischen Bürgerkrieg benannt.</t>
  </si>
  <si>
    <t>nach</t>
  </si>
  <si>
    <t>Schlacht</t>
  </si>
  <si>
    <t>Bürgerkrieg</t>
  </si>
  <si>
    <t>benannt</t>
  </si>
  <si>
    <t># text = Das britische Gegenstück heißt "Edgehill", nach einer britischen Bürgerkriegsschlacht.</t>
  </si>
  <si>
    <t>britische</t>
  </si>
  <si>
    <t>Gegenstück</t>
  </si>
  <si>
    <t>Edgehill</t>
  </si>
  <si>
    <t>britischen</t>
  </si>
  <si>
    <t>Bürgerkriegsschlacht</t>
  </si>
  <si>
    <t># text = Ich denke, dass sie es so nennen, weil das Ziel unsere eigene Infrastruktur ist.</t>
  </si>
  <si>
    <t>Infrastruktur</t>
  </si>
  <si>
    <t># text = Es sind Programme, mit denen die NSA gezielt Partnerunternehmen in die Irre führt.</t>
  </si>
  <si>
    <t>gezielt</t>
  </si>
  <si>
    <t>Partnerunternehmen</t>
  </si>
  <si>
    <t>Irre</t>
  </si>
  <si>
    <t>führt</t>
  </si>
  <si>
    <t># text = Sie sagen Partnerunternehmen, dass dies sichere Standards sind.</t>
  </si>
  <si>
    <t>sichere</t>
  </si>
  <si>
    <t>Standards</t>
  </si>
  <si>
    <t># text = Sie sagen: \"Wir müssen mit dir arbeiten, um deine Systeme abzusichern.\"</t>
  </si>
  <si>
    <t>arbeiten</t>
  </si>
  <si>
    <t>Systeme</t>
  </si>
  <si>
    <t>abzusichern</t>
  </si>
  <si>
    <t># text = In Wirklichkeit geben sie diesen Unternehmen schlechte Ratschläge, die die Sicherheit ihrer Systeme schwächen.</t>
  </si>
  <si>
    <t>Wirklichkeit</t>
  </si>
  <si>
    <t>schlechte</t>
  </si>
  <si>
    <t>Ratschläge</t>
  </si>
  <si>
    <t>schwächen</t>
  </si>
  <si>
    <t># text = Sie bauen Hintertüren ein, die nicht nur die NSA ausbeuten kann, sondern jeder, der Zeit und Geld hat, sie zu recherchieren und zu finden, kann sie nutzen, um sich Zugang zu verschaffen in die Kommunikationen der Welt.</t>
  </si>
  <si>
    <t>Hintertüren</t>
  </si>
  <si>
    <t>ausbeuten</t>
  </si>
  <si>
    <t>Zeit</t>
  </si>
  <si>
    <t>Geld</t>
  </si>
  <si>
    <t>recherchieren</t>
  </si>
  <si>
    <t>nutzen</t>
  </si>
  <si>
    <t>verschaffen</t>
  </si>
  <si>
    <t># text = Das ist wirklich gefährlich.</t>
  </si>
  <si>
    <t>gefährlich</t>
  </si>
  <si>
    <t># text = Denn wenn wir auch nur einen Standard verlieren, wenn wir das Vertrauen in so etwas wie SSL verlieren, das ein ausgemachtes Ziel des Programms Bullrun war, werden wir in einer Welt leben, die insgesamt weniger sicher ist.</t>
  </si>
  <si>
    <t>Denn</t>
  </si>
  <si>
    <t>verlieren</t>
  </si>
  <si>
    <t>Vertrauen</t>
  </si>
  <si>
    <t>ausgemachtes</t>
  </si>
  <si>
    <t>Programms</t>
  </si>
  <si>
    <t>insgesamt</t>
  </si>
  <si>
    <t># text = Wir werden keinen Zugriff auf unsere Banken haben, wir werden keinen Zugang zum Handel haben, ohne uns über Leute zu sorgen, die diese Kommunikation überwachen oder für ihre Zwecke missbrauchen könnten.</t>
  </si>
  <si>
    <t>Zugriff</t>
  </si>
  <si>
    <t>Banken</t>
  </si>
  <si>
    <t>Handel</t>
  </si>
  <si>
    <t>sorgen</t>
  </si>
  <si>
    <t>Zwecke</t>
  </si>
  <si>
    <t>missbrauchen</t>
  </si>
  <si>
    <t># text = CA: Und machen dieselben Entscheidungen Amerika potenziell verwundbar für Cyberangriffe von anderer Seite?</t>
  </si>
  <si>
    <t>dieselben</t>
  </si>
  <si>
    <t>potenziell</t>
  </si>
  <si>
    <t>verwundbar</t>
  </si>
  <si>
    <t>Cyberangriffe</t>
  </si>
  <si>
    <t>anderer</t>
  </si>
  <si>
    <t># text = ES: Absolut.</t>
  </si>
  <si>
    <t>Absolut</t>
  </si>
  <si>
    <t># text = Eines der Probleme, eines der gefährlichen Vermächtnisse in der Ära nach dem 11.</t>
  </si>
  <si>
    <t>Eines</t>
  </si>
  <si>
    <t>Probleme</t>
  </si>
  <si>
    <t>gefährlichen</t>
  </si>
  <si>
    <t>Vermächtnisse</t>
  </si>
  <si>
    <t>Ära</t>
  </si>
  <si>
    <t># text = September ist die Erkenntnis, dass die NSA schon immer zwei Gesichter hatte.</t>
  </si>
  <si>
    <t>September</t>
  </si>
  <si>
    <t>Erkenntnis</t>
  </si>
  <si>
    <t>zwei</t>
  </si>
  <si>
    <t>Gesichter</t>
  </si>
  <si>
    <t># text = Sie waren verantwortlich für offensive Operationen, in denen es um Hacking ging.</t>
  </si>
  <si>
    <t>waren</t>
  </si>
  <si>
    <t>verantwortlich</t>
  </si>
  <si>
    <t>offensive</t>
  </si>
  <si>
    <t>Operationen</t>
  </si>
  <si>
    <t>Hacking</t>
  </si>
  <si>
    <t>ging</t>
  </si>
  <si>
    <t># text = Aber sie leitete auch defensive Operationen.</t>
  </si>
  <si>
    <t>leitete</t>
  </si>
  <si>
    <t>defensive</t>
  </si>
  <si>
    <t># text = Traditionsgemäß hat die NSA stets die Defensive der Offensive vorgezogen, ausgehend von dem Prinzip, dass amerikanische Geheimnisse schlicht wertvoller sind.</t>
  </si>
  <si>
    <t>Traditionsgemäß</t>
  </si>
  <si>
    <t>stets</t>
  </si>
  <si>
    <t>Defensive</t>
  </si>
  <si>
    <t>Offensive</t>
  </si>
  <si>
    <t>vorgezogen</t>
  </si>
  <si>
    <t>ausgehend</t>
  </si>
  <si>
    <t>Prinzip</t>
  </si>
  <si>
    <t>amerikanische</t>
  </si>
  <si>
    <t>Geheimnisse</t>
  </si>
  <si>
    <t>schlicht</t>
  </si>
  <si>
    <t>wertvoller</t>
  </si>
  <si>
    <t># text = Wenn wir ein chinesisches Unternehmen hacken und seine Geheimnisse stehlen; wenn wir eine Regierungsbehörde in Berlin hacken und ihre Geheimnisse stehlen, dann ist das für das amerikanische Volk weniger wertvoll, als sicherzustellen, dass die Chinesen keinen Zugang zu unseren Geheimnissen haben.</t>
  </si>
  <si>
    <t>chinesisches</t>
  </si>
  <si>
    <t>hacken</t>
  </si>
  <si>
    <t>seine</t>
  </si>
  <si>
    <t>Berlin</t>
  </si>
  <si>
    <t>wertvoll</t>
  </si>
  <si>
    <t>sicherzustellen</t>
  </si>
  <si>
    <t>Chinesen</t>
  </si>
  <si>
    <t>unseren</t>
  </si>
  <si>
    <t>Geheimnissen</t>
  </si>
  <si>
    <t># text = Also indem sie die Sicherheit unserer Kommunikationen schwächen, setzen sie nicht nur die Welt Risiken aus, sie gefährden auch die USA auf fundamentale Weise, weil geistiges Eigentum die Grundlage unserer Wirtschaft ist.</t>
  </si>
  <si>
    <t>fundamentale</t>
  </si>
  <si>
    <t>geistiges</t>
  </si>
  <si>
    <t>Eigentum</t>
  </si>
  <si>
    <t># text = Wenn wir das durch schwache Sicherheit gefährden, werden wir auf Jahre hinaus dafür zahlen.</t>
  </si>
  <si>
    <t>durch</t>
  </si>
  <si>
    <t>schwache</t>
  </si>
  <si>
    <t>dafür</t>
  </si>
  <si>
    <t># text = CA: Aber die NSA hat ich ausgerechnet, dass es diese Maßnahme als Teil der US-Verteidigung gegen Terrorismus wert ist.</t>
  </si>
  <si>
    <t>Maßnahme</t>
  </si>
  <si>
    <t>Verteidigung</t>
  </si>
  <si>
    <t>Terrorismus</t>
  </si>
  <si>
    <t>wert</t>
  </si>
  <si>
    <t># text = Dann ist das doch gewiss ein Preis, der sich lohnt.</t>
  </si>
  <si>
    <t>Dann</t>
  </si>
  <si>
    <t>doch</t>
  </si>
  <si>
    <t>gewiss</t>
  </si>
  <si>
    <t>Preis</t>
  </si>
  <si>
    <t>lohnt</t>
  </si>
  <si>
    <t># text = ES: Wenn man sich die Resultate dieser Programme beim Verhindern von Terrorismus ansieht, sieht man, dass es dafür keine Belege gibt.</t>
  </si>
  <si>
    <t>Resultate</t>
  </si>
  <si>
    <t>Verhindern</t>
  </si>
  <si>
    <t>ansieht</t>
  </si>
  <si>
    <t>Belege</t>
  </si>
  <si>
    <t># text = Sie müssen sich nicht auf mein Wort verlassen, weil wir das erste öffentliche Gerichtsverfahren haben.</t>
  </si>
  <si>
    <t>mein</t>
  </si>
  <si>
    <t>Wort</t>
  </si>
  <si>
    <t>Gerichtsverfahren</t>
  </si>
  <si>
    <t># text = Der erste Bundesgerichtshof, der sie außerhalb der Geheimhaltungsvereinbarungen untersuchte, nannte sie Orwellsche Programme und wahrscheinlich verfassungswidrig.</t>
  </si>
  <si>
    <t>Bundesgerichtshof</t>
  </si>
  <si>
    <t>außerhalb</t>
  </si>
  <si>
    <t>Geheimhaltungsvereinbarungen</t>
  </si>
  <si>
    <t>untersuchte</t>
  </si>
  <si>
    <t>nannte</t>
  </si>
  <si>
    <t>Orwellsche</t>
  </si>
  <si>
    <t>wahrscheinlich</t>
  </si>
  <si>
    <t>verfassungswidrig</t>
  </si>
  <si>
    <t># text = Der Kongress, der in diesen Angelegenheiten Auskunft verlangen kann und nun auch einfordern möchte, hat Gesetze vorgelegt, um es zu reformieren.</t>
  </si>
  <si>
    <t>Angelegenheiten</t>
  </si>
  <si>
    <t>Auskunft</t>
  </si>
  <si>
    <t>einfordern</t>
  </si>
  <si>
    <t>vorgelegt</t>
  </si>
  <si>
    <t>reformieren</t>
  </si>
  <si>
    <t># text = Zwei unabhängige Ausschüsse des Weißen Hauses, die all das vertrauliche Beweismaterial geprüft haben, sagen, diese Programme haben nie auch nur einen Terroristenangriff verhindert, der in den USA bevorstand.</t>
  </si>
  <si>
    <t>Zwei</t>
  </si>
  <si>
    <t>unabhängige</t>
  </si>
  <si>
    <t>Ausschüsse</t>
  </si>
  <si>
    <t>Weißen</t>
  </si>
  <si>
    <t>Hauses</t>
  </si>
  <si>
    <t>Beweismaterial</t>
  </si>
  <si>
    <t>geprüft</t>
  </si>
  <si>
    <t>Terroristenangriff</t>
  </si>
  <si>
    <t>verhindert</t>
  </si>
  <si>
    <t>bevorstand</t>
  </si>
  <si>
    <t># text = Also ist es wirklich Terrorismus, den wir verhindern?</t>
  </si>
  <si>
    <t>verhindern</t>
  </si>
  <si>
    <t># text = Haben diese Programme überhaupt einen Wert?</t>
  </si>
  <si>
    <t>Haben</t>
  </si>
  <si>
    <t>überhaupt</t>
  </si>
  <si>
    <t>Wert</t>
  </si>
  <si>
    <t># text = Ich sage nein, und auch alle drei Staatsorgane der amerikanischen Regierung sagen nein.</t>
  </si>
  <si>
    <t>sage</t>
  </si>
  <si>
    <t>nein</t>
  </si>
  <si>
    <t>drei</t>
  </si>
  <si>
    <t>Staatsorgane</t>
  </si>
  <si>
    <t># text = CA: Denkst du, es gibt einen tieferen Beweggrund für sie als den Krieg gegen den Terror?</t>
  </si>
  <si>
    <t>Denkst</t>
  </si>
  <si>
    <t>tieferen</t>
  </si>
  <si>
    <t>Beweggrund</t>
  </si>
  <si>
    <t>Terror</t>
  </si>
  <si>
    <t># text = ES: Verzeihung, ich konnte dich nicht hören.</t>
  </si>
  <si>
    <t>Verzeihung</t>
  </si>
  <si>
    <t>konnte</t>
  </si>
  <si>
    <t>hören</t>
  </si>
  <si>
    <t># text = Kannst du das wiederholen?</t>
  </si>
  <si>
    <t># text = CA: Entschuldige.</t>
  </si>
  <si>
    <t>Entschuldige</t>
  </si>
  <si>
    <t># text = Denkst du, es gibt einen anderen, tieferliegenden Beweggrund ES: Ja.</t>
  </si>
  <si>
    <t>tieferliegenden</t>
  </si>
  <si>
    <t>Ja</t>
  </si>
  <si>
    <t># text = Unterm Strich ist Terrorismus immer das gewesen, was wir in der Welt der Geheimdienste eine Auftragslegende nennen würden.</t>
  </si>
  <si>
    <t>gewesen</t>
  </si>
  <si>
    <t>Geheimdienste</t>
  </si>
  <si>
    <t>Auftragslegende</t>
  </si>
  <si>
    <t># text = Terrorismus ist etwas, das eine emotionale Reaktion hervorruft, die es Leuten ermöglicht, das Autorisieren von Vollmachten und Programmen zu rationalisieren, denen sie sonst nicht zustimmen würden.</t>
  </si>
  <si>
    <t>emotionale</t>
  </si>
  <si>
    <t>hervorruft</t>
  </si>
  <si>
    <t>ermöglicht</t>
  </si>
  <si>
    <t>Autorisieren</t>
  </si>
  <si>
    <t>Vollmachten</t>
  </si>
  <si>
    <t>rationalisieren</t>
  </si>
  <si>
    <t>sonst</t>
  </si>
  <si>
    <t>zustimmen</t>
  </si>
  <si>
    <t># text = Für Programme, die Bullrun oder Edgehill ähneln, bat die NSA bereits in den 1990er-Jahren um Ermächtigungen.</t>
  </si>
  <si>
    <t>ähneln</t>
  </si>
  <si>
    <t>1990er</t>
  </si>
  <si>
    <t>Ermächtigungen</t>
  </si>
  <si>
    <t># text = Sie bat das FBI, sich beim Kongress dafür einzusetzen.</t>
  </si>
  <si>
    <t>FBI</t>
  </si>
  <si>
    <t>einzusetzen</t>
  </si>
  <si>
    <t># text = Und das FBI setzte sich beim Kongress dafür ein.</t>
  </si>
  <si>
    <t>setzte</t>
  </si>
  <si>
    <t># text = Aber der Kongress und das amerikanische Volk sagten nein.</t>
  </si>
  <si>
    <t># text = Sie sagten, es sei das Risiko für unsere Wirtschaft nicht wert.</t>
  </si>
  <si>
    <t># text = Sie sagten, der Schaden für die Gesellschaft sei zu groß, um den Nutzen zu rechtfertigen.</t>
  </si>
  <si>
    <t>groß</t>
  </si>
  <si>
    <t>rechtfertigen</t>
  </si>
  <si>
    <t># text = Aber wir haben in der Zeit nach dem 11.</t>
  </si>
  <si>
    <t># text = September gesehen, dass sie zur Geheimhaltung griffen und den Terrorismus als Rechtfertigung benutzten, um die Programme im Geheimen zu starten, ohne den Kongress zu fragen, ohne das amerikanische Volk zu fragen, und es ist diese Art von Regierung hinter verschlossenen Türen, vor der wir uns schützen müssen, weil sie unsere Sicherheit schwächt und keinen Gegenwert bietet.</t>
  </si>
  <si>
    <t>Geheimhaltung</t>
  </si>
  <si>
    <t>griffen</t>
  </si>
  <si>
    <t>Rechtfertigung</t>
  </si>
  <si>
    <t>benutzten</t>
  </si>
  <si>
    <t>starten</t>
  </si>
  <si>
    <t>verschlossenen</t>
  </si>
  <si>
    <t>Türen</t>
  </si>
  <si>
    <t>schwächt</t>
  </si>
  <si>
    <t>Gegenwert</t>
  </si>
  <si>
    <t>bietet</t>
  </si>
  <si>
    <t># text = CA: Kommst du einen Moment mit mir?</t>
  </si>
  <si>
    <t>Kommst</t>
  </si>
  <si>
    <t># text = Ich habe eine etwas persönlichere Frage an dich.</t>
  </si>
  <si>
    <t>persönlichere</t>
  </si>
  <si>
    <t># text = Wo wir gerade von Terror sprechen:</t>
  </si>
  <si>
    <t>Wo</t>
  </si>
  <si>
    <t>gerade</t>
  </si>
  <si>
    <t># text = Die meisten Leute finden deine gegenwärtige Situation in Russland recht furchteinflößend.</t>
  </si>
  <si>
    <t>meisten</t>
  </si>
  <si>
    <t>gegenwärtige</t>
  </si>
  <si>
    <t>Situation</t>
  </si>
  <si>
    <t>recht</t>
  </si>
  <si>
    <t>furchteinflößend</t>
  </si>
  <si>
    <t># text = Du hast offensichtlich gehört, welche Behandlung Bradley Manning widerfahren ist, Chelsea Manning, wie sie jetzt heißt.</t>
  </si>
  <si>
    <t>offensichtlich</t>
  </si>
  <si>
    <t>welche</t>
  </si>
  <si>
    <t>Behandlung</t>
  </si>
  <si>
    <t>Bradley</t>
  </si>
  <si>
    <t>Manning</t>
  </si>
  <si>
    <t>widerfahren</t>
  </si>
  <si>
    <t>Chelsea</t>
  </si>
  <si>
    <t># text = Ein Beitrag auf Buzzfeed schrieb, es gibt Leute in der Geheimdienstgemeinde die dich tot sehen möchten.</t>
  </si>
  <si>
    <t>Beitrag</t>
  </si>
  <si>
    <t>Buzzfeed</t>
  </si>
  <si>
    <t>schrieb</t>
  </si>
  <si>
    <t>Geheimdienstgemeinde</t>
  </si>
  <si>
    <t>tot</t>
  </si>
  <si>
    <t>möchten</t>
  </si>
  <si>
    <t># text = Wie gehst du damit um?</t>
  </si>
  <si>
    <t>gehst</t>
  </si>
  <si>
    <t># text = Wie gehst du mit der Angst um?</t>
  </si>
  <si>
    <t>Angst</t>
  </si>
  <si>
    <t># text = ES: Es ist kein Geheimnis, dass es da draußen Regierungen gibt, die mich tot sehen möchten.</t>
  </si>
  <si>
    <t>kein</t>
  </si>
  <si>
    <t>Geheimnis</t>
  </si>
  <si>
    <t># text = Ich habe immer und immer wieder betont, dass ich jeden Morgen, wenn ich schlafen gehe, darüber nachdenke, was ich für das amerikanische Volk tun kann.</t>
  </si>
  <si>
    <t>wieder</t>
  </si>
  <si>
    <t>betont</t>
  </si>
  <si>
    <t>Morgen</t>
  </si>
  <si>
    <t>schlafen</t>
  </si>
  <si>
    <t>gehe</t>
  </si>
  <si>
    <t># text = Ich möchte meiner Regierung nicht schaden.</t>
  </si>
  <si>
    <t># text = Ich möchte meiner Regierung helfen, aber die Tatsache, dass sie bereit ist, die Rechtstaatlichkeit völlig zu ignorieren, dass sie bereit ist, jemanden schuldig zu erklären, ohne jemals ein Verfahren zu sehen, das sind Dinge, gegen die wir uns einsetzen müssen als Gesellschaft, und sagen: "Hey, dies ist nicht angemessen."</t>
  </si>
  <si>
    <t>bereit</t>
  </si>
  <si>
    <t>Rechtstaatlichkeit</t>
  </si>
  <si>
    <t>völlig</t>
  </si>
  <si>
    <t>ignorieren</t>
  </si>
  <si>
    <t>schuldig</t>
  </si>
  <si>
    <t>jemals</t>
  </si>
  <si>
    <t>Verfahren</t>
  </si>
  <si>
    <t>Hey</t>
  </si>
  <si>
    <t>angemessen</t>
  </si>
  <si>
    <t># text = Wir sollten Dissidenten nicht bedrohen.</t>
  </si>
  <si>
    <t>Dissidenten</t>
  </si>
  <si>
    <t># text = Wir sollten Journalismus nicht kriminalisieren.</t>
  </si>
  <si>
    <t>Journalismus</t>
  </si>
  <si>
    <t># text = Was auch immer ich tun kann, um das zu erreichen, tue ich gern, ungeachtet der Risiken.</t>
  </si>
  <si>
    <t>erreichen</t>
  </si>
  <si>
    <t>tue</t>
  </si>
  <si>
    <t>gern</t>
  </si>
  <si>
    <t># text = CA: Ich möchte an dieser Stelle um Stimmen aus dem Pubikum bitten, weil ich weiß, dass es sehr unterschiedliche Reaktionen auf Edward Snowden gibt.</t>
  </si>
  <si>
    <t>Stimmen</t>
  </si>
  <si>
    <t>Pubikum</t>
  </si>
  <si>
    <t>unterschiedliche</t>
  </si>
  <si>
    <t>Reaktionen</t>
  </si>
  <si>
    <t># text = Angenommen Sie hätten die Wahl zwischen zwei Optionen: Sie könnten das, was er getan hat, als im Wesentlichen rücksichtslose Tat sehen, die die USA in Gefahr gebracht hat, oder Sie können es im Wesentlichen als Heldentat sehen, die den USA und und der Welt langfristig zum Vorteil gereichen wird?</t>
  </si>
  <si>
    <t>Angenommen</t>
  </si>
  <si>
    <t>Wahl</t>
  </si>
  <si>
    <t>Optionen</t>
  </si>
  <si>
    <t>Wesentlichen</t>
  </si>
  <si>
    <t>rücksichtslose</t>
  </si>
  <si>
    <t>Tat</t>
  </si>
  <si>
    <t>Gefahr</t>
  </si>
  <si>
    <t>Heldentat</t>
  </si>
  <si>
    <t>langfristig</t>
  </si>
  <si>
    <t>Vorteil</t>
  </si>
  <si>
    <t>gereichen</t>
  </si>
  <si>
    <t># text = Dies sind de beiden Optionen, die ich Ihnen gebe.</t>
  </si>
  <si>
    <t>de</t>
  </si>
  <si>
    <t>beiden</t>
  </si>
  <si>
    <t>gebe</t>
  </si>
  <si>
    <t># text = Ich bin gespannt, zu sehen, wer bereit ist, die erste Option zu wählen, dass es eine rücksichtslose Aktion war.</t>
  </si>
  <si>
    <t>gespannt</t>
  </si>
  <si>
    <t>wer</t>
  </si>
  <si>
    <t>Option</t>
  </si>
  <si>
    <t>Aktion</t>
  </si>
  <si>
    <t># text = Da gehen ein paar Hände hoch.</t>
  </si>
  <si>
    <t>Hände</t>
  </si>
  <si>
    <t># text = Einige Hände gehen hoch.</t>
  </si>
  <si>
    <t># text = Es ist schwer, seine Hand zu heben, wenn der Mann direkt hier steht, aber ich sehe sie.</t>
  </si>
  <si>
    <t>schwer</t>
  </si>
  <si>
    <t>heben</t>
  </si>
  <si>
    <t>sehe</t>
  </si>
  <si>
    <t># text = ES: Ich kann euch sehen.</t>
  </si>
  <si>
    <t>euch</t>
  </si>
  <si>
    <t># text = CA: Und wer wählt die zweite Option, dass dies im Grunde eine Heldentat ist?</t>
  </si>
  <si>
    <t>wählt</t>
  </si>
  <si>
    <t>zweite</t>
  </si>
  <si>
    <t>Grunde</t>
  </si>
  <si>
    <t># text = (Hochrufe) Ich denke, da waren viele, die ihre Hand nicht gehoben haben und die, wie ich glaube, über dieses Thema noch nachdenken, weil die Debatte um dich, wie mir scheint, nicht zwischen traditionellen politischen Lagern entbrennt.</t>
  </si>
  <si>
    <t>Hochrufe</t>
  </si>
  <si>
    <t>gehoben</t>
  </si>
  <si>
    <t>Thema</t>
  </si>
  <si>
    <t>nachdenken</t>
  </si>
  <si>
    <t>traditionellen</t>
  </si>
  <si>
    <t>politischen</t>
  </si>
  <si>
    <t>Lagern</t>
  </si>
  <si>
    <t>entbrennt</t>
  </si>
  <si>
    <t># text = Es geht nicht um links oder rechts, es geht nicht wirklich darum, ob du pro Regierung, libertär bist, oder nicht nur darum.</t>
  </si>
  <si>
    <t>links</t>
  </si>
  <si>
    <t>rechts</t>
  </si>
  <si>
    <t>darum</t>
  </si>
  <si>
    <t>libertär</t>
  </si>
  <si>
    <t># text = Ein Aspekt davon ist geradezu eine Generationenfrage.</t>
  </si>
  <si>
    <t>Aspekt</t>
  </si>
  <si>
    <t>geradezu</t>
  </si>
  <si>
    <t>Generationenfrage</t>
  </si>
  <si>
    <t># text = Du gehörst einer Generation an, die mit dem Internet aufgewachsen ist.</t>
  </si>
  <si>
    <t>gehörst</t>
  </si>
  <si>
    <t>Generation</t>
  </si>
  <si>
    <t>aufgewachsen</t>
  </si>
  <si>
    <t># text = Es scheint fast, als würde es dich zutiefst kränken, wenn du beobachtest, wie etwas getan wird, von dem du denkst, dass es dem Internet schaden wird.</t>
  </si>
  <si>
    <t>fast</t>
  </si>
  <si>
    <t>zutiefst</t>
  </si>
  <si>
    <t>kränken</t>
  </si>
  <si>
    <t>beobachtest</t>
  </si>
  <si>
    <t>denkst</t>
  </si>
  <si>
    <t># text = Ist da etwas dran?</t>
  </si>
  <si>
    <t>Ist</t>
  </si>
  <si>
    <t>dran</t>
  </si>
  <si>
    <t># text = ES: Das ist so, weißt du -- Das ist sehr wahr.</t>
  </si>
  <si>
    <t>weißt</t>
  </si>
  <si>
    <t>wahr</t>
  </si>
  <si>
    <t># text = Es ist keine Frage von links oder rechts.</t>
  </si>
  <si>
    <t># text = Unsere grundlegenden Freiheiten, und wenn ich "unsere" sage, meine ich nicht nur Amerikaner, ich meine Leute überall in der Welt, sind keine Frage der Partei.</t>
  </si>
  <si>
    <t>grundlegenden</t>
  </si>
  <si>
    <t>Freiheiten</t>
  </si>
  <si>
    <t>überall</t>
  </si>
  <si>
    <t>Partei</t>
  </si>
  <si>
    <t># text = Es sind die Dinge, an die alle Menschen glauben, und es liegt an uns, sie zu schützen, an denen, die ein freies und offenes Internet gesehen und genossen haben.</t>
  </si>
  <si>
    <t>liegt</t>
  </si>
  <si>
    <t>freies</t>
  </si>
  <si>
    <t>offenes</t>
  </si>
  <si>
    <t>genossen</t>
  </si>
  <si>
    <t># text = Es liegt an uns, diese Freiheit zu erhalten, damit die nächste Generation in ihren Genuss kommt.</t>
  </si>
  <si>
    <t>Genuss</t>
  </si>
  <si>
    <t># text = Wenn wir die Dinge nicht verändern, wenn wir nicht die Stirn bieten, um diese Veränderungen zu erreichen -- wir müssen das Internet schützen, nicht nur für uns, sondern für alle -- werden wir es verlieren, Das wäre ein gewaltiger Verlust, nicht nur für uns, sondern für die Welt.</t>
  </si>
  <si>
    <t>verändern</t>
  </si>
  <si>
    <t>Stirn</t>
  </si>
  <si>
    <t>bieten</t>
  </si>
  <si>
    <t>Veränderungen</t>
  </si>
  <si>
    <t>gewaltiger</t>
  </si>
  <si>
    <t>Verlust</t>
  </si>
  <si>
    <t># text = CA: Ich habe ähnliche Worte kürzlich vom Gründer des World-Wide-Web gehört, der, glaube ich, sogar bei uns ist: Sir Tim Berners-Lee.</t>
  </si>
  <si>
    <t>ähnliche</t>
  </si>
  <si>
    <t>Worte</t>
  </si>
  <si>
    <t>Gründer</t>
  </si>
  <si>
    <t>World</t>
  </si>
  <si>
    <t>Wide</t>
  </si>
  <si>
    <t>Web</t>
  </si>
  <si>
    <t>Sir</t>
  </si>
  <si>
    <t>Berners</t>
  </si>
  <si>
    <t>Lee</t>
  </si>
  <si>
    <t># text = Tim, möchtest du hochkommen und etwas sagen?</t>
  </si>
  <si>
    <t>möchtest</t>
  </si>
  <si>
    <t>hochkommen</t>
  </si>
  <si>
    <t># text = Haben wir ein Mikrofon für Tim?</t>
  </si>
  <si>
    <t># text = Tim, gut dich zu sehen.</t>
  </si>
  <si>
    <t># text = Komm dort hoch.</t>
  </si>
  <si>
    <t>dort</t>
  </si>
  <si>
    <t># text = Übrigens, in welchem Lager bist du?</t>
  </si>
  <si>
    <t>Übrigens</t>
  </si>
  <si>
    <t>welchem</t>
  </si>
  <si>
    <t>Lager</t>
  </si>
  <si>
    <t># text = Verräter oder Held?</t>
  </si>
  <si>
    <t># text = Ich habe eine Theorie, aber ... Tim Berners-Lee: Ich habe auf diese Frage wesentlich längere Antworten gegeben, aber \"Held\", wenn ich zwischen diesen beiden wählen muss.</t>
  </si>
  <si>
    <t>Theorie</t>
  </si>
  <si>
    <t>wesentlich</t>
  </si>
  <si>
    <t>längere</t>
  </si>
  <si>
    <t>Antworten</t>
  </si>
  <si>
    <t># text = CA: Und Ed, ich denke, du hast den Vorschlag gelesen, von dem Sir Tim gesprochen hat, über eine neue Magna Charta, um das Internet zurückzuerobern.</t>
  </si>
  <si>
    <t>Vorschlag</t>
  </si>
  <si>
    <t>gelesen</t>
  </si>
  <si>
    <t>gesprochen</t>
  </si>
  <si>
    <t>neue</t>
  </si>
  <si>
    <t>Magna</t>
  </si>
  <si>
    <t>Charta</t>
  </si>
  <si>
    <t>zurückzuerobern</t>
  </si>
  <si>
    <t># text = Ist das etwas, das Sinn macht?</t>
  </si>
  <si>
    <t>Sinn</t>
  </si>
  <si>
    <t>macht</t>
  </si>
  <si>
    <t># text = Meine Generation ... Ich bin nicht nur mit Gedanken über das Internet aufgewachsen, ich bin im Internet aufgewachsen, und obwohl ich nie erwartet hätte, die Chance zu haben, es auf eine so direkte und praktische Art und Weise zu verteidigen und es auf so ungewöhnliche Weise fast wie ein Avatar zu verkörpern.</t>
  </si>
  <si>
    <t>Meine</t>
  </si>
  <si>
    <t>erwartet</t>
  </si>
  <si>
    <t>hätte</t>
  </si>
  <si>
    <t>Chance</t>
  </si>
  <si>
    <t>direkte</t>
  </si>
  <si>
    <t>praktische</t>
  </si>
  <si>
    <t>verteidigen</t>
  </si>
  <si>
    <t>ungewöhnliche</t>
  </si>
  <si>
    <t>Avatar</t>
  </si>
  <si>
    <t>verkörpern</t>
  </si>
  <si>
    <t># text = Es ist etwas Poetisches an der Tatsache, dass einer der Söhne des Internet dem Internet so nahe gekommen ist durch eine politische Meinungsäußerung.</t>
  </si>
  <si>
    <t>Poetisches</t>
  </si>
  <si>
    <t>Söhne</t>
  </si>
  <si>
    <t>nahe</t>
  </si>
  <si>
    <t>gekommen</t>
  </si>
  <si>
    <t>politische</t>
  </si>
  <si>
    <t>Meinungsäußerung</t>
  </si>
  <si>
    <t># text = Ich glaube, eine Magna Charta für das Internet ist genau, was wir brauchen.</t>
  </si>
  <si>
    <t>genau</t>
  </si>
  <si>
    <t># text = Wir müssen unsere Werte festschreiben nicht nur in Worten, sondern in der Struktur des Internet.</t>
  </si>
  <si>
    <t>Werte</t>
  </si>
  <si>
    <t>Struktur</t>
  </si>
  <si>
    <t># text = Es ist etwas, auf das ich hoffe.</t>
  </si>
  <si>
    <t>hoffe</t>
  </si>
  <si>
    <t># text = Ich lade jeden im Publikum, nicht nur hier in Vancouver, sondern in der ganzen Welt ein, sich anzuschließen und mitzumachen.</t>
  </si>
  <si>
    <t>Vancouver</t>
  </si>
  <si>
    <t>anzuschließen</t>
  </si>
  <si>
    <t>mitzumachen</t>
  </si>
  <si>
    <t># text = CA: Hast du eine Frage an Ed? TBL: Zwei Fragen: eine allgemeine Frage ... CA: Ed, kannst du uns noch hören?</t>
  </si>
  <si>
    <t>Hast</t>
  </si>
  <si>
    <t>TBL</t>
  </si>
  <si>
    <t>allgemeine</t>
  </si>
  <si>
    <t># text = ES: Ja, ich kann dich hören.</t>
  </si>
  <si>
    <t># text = CA: Er ist wieder da.</t>
  </si>
  <si>
    <t># text = TBL: Die Wanze an deiner Leitung hatte für einen Moment Schluckauf.</t>
  </si>
  <si>
    <t>Wanze</t>
  </si>
  <si>
    <t>Leitung</t>
  </si>
  <si>
    <t>Schluckauf</t>
  </si>
  <si>
    <t># text = (Lachen) ES: Es ist ein kleines NSA-Problem.</t>
  </si>
  <si>
    <t>kleines</t>
  </si>
  <si>
    <t>Problem</t>
  </si>
  <si>
    <t># text = TBL: Wenn wir von den 25 Jahren einen Schritt zurücktreten und nachdenken, was denkst du, wäre das Beste, was wir erreichen könnten, aus all den Diskussionen, die wir über das Netz führen, das wir haben wollen?</t>
  </si>
  <si>
    <t>Schritt</t>
  </si>
  <si>
    <t>Beste</t>
  </si>
  <si>
    <t>Diskussionen</t>
  </si>
  <si>
    <t>Netz</t>
  </si>
  <si>
    <t># text = ES: Wenn wir darüber nachdenken, was wir erreichen können, dann, denke ich, wird das nur begrenzt durch das, was wir bereit sind, hineinzustecken Ich denke, das Internet, in dessen Genuss wir in der Vergangenheit gekommen sind, ist genau das, was wir -- nicht nur als Nation, sondern als ein Volk in aller Welt -- brauchen und das wir verteidigen müssen, indem wir kooperieren, indem wir nicht nur die technologischen Gesellschaftsanteile einbeziehen, sondern, wie du sagtest, die Nutzer, die Leute in aller Welt, die beitragen durch das Internet, durch soziale Medien, die nur nach dem Wetter sehen, die darauf als alltäglichen Teil ihres Lebens angewiesen sind.</t>
  </si>
  <si>
    <t>begrenzt</t>
  </si>
  <si>
    <t>hineinzustecken</t>
  </si>
  <si>
    <t>dessen</t>
  </si>
  <si>
    <t>Vergangenheit</t>
  </si>
  <si>
    <t>technologischen</t>
  </si>
  <si>
    <t>Gesellschaftsanteile</t>
  </si>
  <si>
    <t>einbeziehen</t>
  </si>
  <si>
    <t>sagtest</t>
  </si>
  <si>
    <t>beitragen</t>
  </si>
  <si>
    <t>soziale</t>
  </si>
  <si>
    <t>Medien</t>
  </si>
  <si>
    <t>Wetter</t>
  </si>
  <si>
    <t>alltäglichen</t>
  </si>
  <si>
    <t>other_12</t>
  </si>
  <si>
    <t>ihres</t>
  </si>
  <si>
    <t>Lebens</t>
  </si>
  <si>
    <t>angewiesen</t>
  </si>
  <si>
    <t># text = Wir erhalten nicht nur das Internet, das wir hatten, sondern ein besseres Internet, ein besseres Jetzt, etwas, das wir nutzen können, um eine Zukunft aufzubauen, die nicht nur besser sein wird, als wir erhoffen, sondern besser, als wir uns vorstellen können.</t>
  </si>
  <si>
    <t>besseres</t>
  </si>
  <si>
    <t>Jetzt</t>
  </si>
  <si>
    <t>aufzubauen</t>
  </si>
  <si>
    <t>besser</t>
  </si>
  <si>
    <t>erhoffen</t>
  </si>
  <si>
    <t>OBJ_8</t>
  </si>
  <si>
    <t>vorstellen</t>
  </si>
  <si>
    <t># text = CA: Vor 30 Jahren wurde TED gegründet, 1984.</t>
  </si>
  <si>
    <t>gegründet</t>
  </si>
  <si>
    <t># text = Viele Gespräche habe sich seither darum gedreht, dass George Orwell sich getäuscht hat.</t>
  </si>
  <si>
    <t>Viele</t>
  </si>
  <si>
    <t>seither</t>
  </si>
  <si>
    <t>gedreht</t>
  </si>
  <si>
    <t>George</t>
  </si>
  <si>
    <t>Orwell</t>
  </si>
  <si>
    <t>getäuscht</t>
  </si>
  <si>
    <t># text = Es ist nicht der Große Bruder, der uns überwacht.</t>
  </si>
  <si>
    <t>Große</t>
  </si>
  <si>
    <t>Bruder</t>
  </si>
  <si>
    <t>überwacht</t>
  </si>
  <si>
    <t># text = Wir, kraft der Macht des Netzes und der Transparenz, überwachen nun den Großen Bruder.</t>
  </si>
  <si>
    <t>kraft</t>
  </si>
  <si>
    <t>Macht</t>
  </si>
  <si>
    <t>Netzes</t>
  </si>
  <si>
    <t>Transparenz</t>
  </si>
  <si>
    <t>Großen</t>
  </si>
  <si>
    <t># text = Deine Enthüllungen haben einen Holzpflock durch das Herz dieser recht optimistischen Sicht getrieben, aber du glaubst dennoch, dass es einen Weg gibt, etwas dagegen zu tun.</t>
  </si>
  <si>
    <t>Deine</t>
  </si>
  <si>
    <t>Holzpflock</t>
  </si>
  <si>
    <t>Herz</t>
  </si>
  <si>
    <t>optimistischen</t>
  </si>
  <si>
    <t>getrieben</t>
  </si>
  <si>
    <t>glaubst</t>
  </si>
  <si>
    <t>dennoch</t>
  </si>
  <si>
    <t>Weg</t>
  </si>
  <si>
    <t>dagegen</t>
  </si>
  <si>
    <t># text = Und das tust du auch.</t>
  </si>
  <si>
    <t>tust</t>
  </si>
  <si>
    <t># text = ES: Richtig.</t>
  </si>
  <si>
    <t>Richtig</t>
  </si>
  <si>
    <t># text = Man kann argumentieren, dass die Möglichkeiten des Großen Bruders gewaltig zugenommen haben.</t>
  </si>
  <si>
    <t>Möglichkeiten</t>
  </si>
  <si>
    <t>Bruders</t>
  </si>
  <si>
    <t>gewaltig</t>
  </si>
  <si>
    <t>zugenommen</t>
  </si>
  <si>
    <t># text = Es gab kürzlich einen juristischen Aufsatz in Yale, der das sogenannte Bankston-Soltani-Prinzip formulierte.</t>
  </si>
  <si>
    <t>juristischen</t>
  </si>
  <si>
    <t>Aufsatz</t>
  </si>
  <si>
    <t>Yale</t>
  </si>
  <si>
    <t>sogenannte</t>
  </si>
  <si>
    <t>Bankston</t>
  </si>
  <si>
    <t>Soltani</t>
  </si>
  <si>
    <t>formulierte</t>
  </si>
  <si>
    <t># text = Es besagt, dass unser Anspruch auf Privatsphäre verletzt wird, wenn die Technologien staatlicher Überwachung um einen Faktor zehn billiger geworden sind.</t>
  </si>
  <si>
    <t>unser</t>
  </si>
  <si>
    <t>Anspruch</t>
  </si>
  <si>
    <t>Technologien</t>
  </si>
  <si>
    <t>staatlicher</t>
  </si>
  <si>
    <t>Faktor</t>
  </si>
  <si>
    <t>zehn</t>
  </si>
  <si>
    <t>billiger</t>
  </si>
  <si>
    <t>geworden</t>
  </si>
  <si>
    <t># text = Jedes Mal, wenn das passiert, müssen wir uns aufs Neue mit unserem Recht auf Datenschutz beschäftigen und es anpassen.</t>
  </si>
  <si>
    <t>Mal</t>
  </si>
  <si>
    <t>passiert</t>
  </si>
  <si>
    <t>Neue</t>
  </si>
  <si>
    <t>unserem</t>
  </si>
  <si>
    <t>Datenschutz</t>
  </si>
  <si>
    <t>anpassen</t>
  </si>
  <si>
    <t># text = Nun ist das nicht mehr geschehen, seit die Überwachungstechnologien der Regierung um ein Vielfaches des Faktors zehn zugenommen haben, und deshalb stecken wir in den heutigen Schwierigkeiten.</t>
  </si>
  <si>
    <t>Nun</t>
  </si>
  <si>
    <t>geschehen</t>
  </si>
  <si>
    <t>seit</t>
  </si>
  <si>
    <t>Überwachungstechnologien</t>
  </si>
  <si>
    <t>Vielfaches</t>
  </si>
  <si>
    <t>Faktors</t>
  </si>
  <si>
    <t>stecken</t>
  </si>
  <si>
    <t>heutigen</t>
  </si>
  <si>
    <t>Schwierigkeiten</t>
  </si>
  <si>
    <t># text = Aber es gibt immer noch Hoffnung, weil auch die Macht des Einzelnen durch Technologie zugenommen hat.</t>
  </si>
  <si>
    <t>Hoffnung</t>
  </si>
  <si>
    <t>Einzelnen</t>
  </si>
  <si>
    <t># text = Ich bin der lebende Beweis, dass ein Einzelner den mächtigsten Gegnern die Stirn bieten kann, den mächtigsten Nachrichtendiensten der Welt, und gewinnen kann.</t>
  </si>
  <si>
    <t>lebende</t>
  </si>
  <si>
    <t>Beweis</t>
  </si>
  <si>
    <t>Einzelner</t>
  </si>
  <si>
    <t>mächtigsten</t>
  </si>
  <si>
    <t>Gegnern</t>
  </si>
  <si>
    <t>gewinnen</t>
  </si>
  <si>
    <t># text = Das ist etwas, das wir brauchen, um daraus Hoffnung zu schöpfen und darauf aufzubauen, um es nicht nur technischen Fachleuten zugänglich zu machen, sondern einfachen Bürgern in aller Welt.</t>
  </si>
  <si>
    <t>daraus</t>
  </si>
  <si>
    <t>schöpfen</t>
  </si>
  <si>
    <t>technischen</t>
  </si>
  <si>
    <t>Fachleuten</t>
  </si>
  <si>
    <t>zugänglich</t>
  </si>
  <si>
    <t>einfachen</t>
  </si>
  <si>
    <t>Bürgern</t>
  </si>
  <si>
    <t># text = Journalismus ist kein Verbrechen.</t>
  </si>
  <si>
    <t>Verbrechen</t>
  </si>
  <si>
    <t># text = Kommunikation ist kein Verbrechen, und wir sollten bei unseren Aktivitäten im Alltag nicht überwacht werden.</t>
  </si>
  <si>
    <t>Aktivitäten</t>
  </si>
  <si>
    <t>Alltag</t>
  </si>
  <si>
    <t># text = CA.</t>
  </si>
  <si>
    <t># text = Ich bin mit nicht sicher, wie man einem Bot die Hand schüttelt, aber ich schätze, das hier ist die Hand.</t>
  </si>
  <si>
    <t>schüttelt</t>
  </si>
  <si>
    <t>schätze</t>
  </si>
  <si>
    <t># text = TBL: Auch die kommt sehr bald.</t>
  </si>
  <si>
    <t>Auch</t>
  </si>
  <si>
    <t>bald</t>
  </si>
  <si>
    <t># text = ES: Es freut mich, Sie kennenzulernen.</t>
  </si>
  <si>
    <t>freut</t>
  </si>
  <si>
    <t>kennenzulernen</t>
  </si>
  <si>
    <t># text = Ich hoffe, meine Übertragung sieht so gut aus wie mein Bild von euch zwei.</t>
  </si>
  <si>
    <t>Übertragung</t>
  </si>
  <si>
    <t># text = CA: Danke, Tim.</t>
  </si>
  <si>
    <t># text = Die New York Times forderte kürzlich eine Amnestie für dich.</t>
  </si>
  <si>
    <t>New</t>
  </si>
  <si>
    <t>York</t>
  </si>
  <si>
    <t>Times</t>
  </si>
  <si>
    <t>Amnestie</t>
  </si>
  <si>
    <t># text = Würdest du die Chance, nach Amerika zurückzukommen, begrüßen?</t>
  </si>
  <si>
    <t>Würdest</t>
  </si>
  <si>
    <t># text = Das steht außer Frage.</t>
  </si>
  <si>
    <t># text = Die Prinzipien, die die Grundlage dieses Projektes bilden, sind das öffentliche Interesse und die Prinzipen, die den etablierten journalistischen Organen in den USA und rund um die Welt zugrundeliegen, und ich denke, wenn die Presse sagt, wir unterstützen das, das ist etwas, das passieren muss, dann ist das ein kräftiges Argument, aber es ist nicht das letzte Argument.</t>
  </si>
  <si>
    <t>Prinzipien</t>
  </si>
  <si>
    <t>Projektes</t>
  </si>
  <si>
    <t>bilden</t>
  </si>
  <si>
    <t>Prinzipen</t>
  </si>
  <si>
    <t>etablierten</t>
  </si>
  <si>
    <t>journalistischen</t>
  </si>
  <si>
    <t>Organen</t>
  </si>
  <si>
    <t>rund</t>
  </si>
  <si>
    <t>zugrundeliegen</t>
  </si>
  <si>
    <t>unterstützen</t>
  </si>
  <si>
    <t>passieren</t>
  </si>
  <si>
    <t>kräftiges</t>
  </si>
  <si>
    <t>Argument</t>
  </si>
  <si>
    <t>letzte</t>
  </si>
  <si>
    <t># text = Ich denke, das ist etwas, das die Öffentlichkeit entscheiden sollte.</t>
  </si>
  <si>
    <t># text = Aber zur gleichen Zeit hat die Regierung angedeutet, dass sie eine Art Handel wünscht, dass sie möchte, dass ich die Journalisten, die mit mir gearbeitet haben, kompromittiere, damit ich zurückkommen kann.</t>
  </si>
  <si>
    <t>gleichen</t>
  </si>
  <si>
    <t>angedeutet</t>
  </si>
  <si>
    <t>wünscht</t>
  </si>
  <si>
    <t>kompromittiere</t>
  </si>
  <si>
    <t>zurückkommen</t>
  </si>
  <si>
    <t># text = Ich möchte sehr deutlich machen, dass ich das nicht für meine Sicherheit getan habe.</t>
  </si>
  <si>
    <t>deutlich</t>
  </si>
  <si>
    <t># text = Ich habe das getan, um das Richtige zu tun, und ich werde meine Arbeit für das öffentliche Interesse nicht zu meinem eigenen Vorteil aufgeben.</t>
  </si>
  <si>
    <t>Arbeit</t>
  </si>
  <si>
    <t>meinem</t>
  </si>
  <si>
    <t># text = CA: In der Zwischenzeit, dank des Internets und dieser Technologie, bist du wieder zurück in Nordamerika, nicht ganz die USA, aber in Kanada in dieser Form.</t>
  </si>
  <si>
    <t>dank</t>
  </si>
  <si>
    <t>Internets</t>
  </si>
  <si>
    <t>zurück</t>
  </si>
  <si>
    <t>Nordamerika</t>
  </si>
  <si>
    <t>Kanada</t>
  </si>
  <si>
    <t>Form</t>
  </si>
  <si>
    <t># text = Ich bin neugierig, wie fühlt sich das an?</t>
  </si>
  <si>
    <t>neugierig</t>
  </si>
  <si>
    <t>fühlt</t>
  </si>
  <si>
    <t># text = ES: Kanada ist anders, als ich es erwartet hatte.</t>
  </si>
  <si>
    <t># text = Es ist viel wärmer.</t>
  </si>
  <si>
    <t>wärmer</t>
  </si>
  <si>
    <t># text = CA: Die Mission von TED sind "Ideen mit Verbreitungswert".</t>
  </si>
  <si>
    <t>Mission</t>
  </si>
  <si>
    <t>Ideen</t>
  </si>
  <si>
    <t>Verbreitungswert</t>
  </si>
  <si>
    <t># text = Wenn du es in einer einzigen Idee zusammenfassen könntest, Was ist deine Idee, die es wert ist, hier und jetzt verbreitet zu werden?</t>
  </si>
  <si>
    <t>Idee</t>
  </si>
  <si>
    <t>könntest</t>
  </si>
  <si>
    <t>verbreitet</t>
  </si>
  <si>
    <t># text = ES: Ich würde sagen, dass das letzte Jahr uns daran erinnert hat, dass Demokratie hinter verschlossenen Türen sterben kann, aber wir als Individuen werden hinter denselben verschlossenen Türen geboren, und wir müssen unsere Privatspäre nicht aufgeben, um eine gute Regierung zu haben.</t>
  </si>
  <si>
    <t>erinnert</t>
  </si>
  <si>
    <t>Demokratie</t>
  </si>
  <si>
    <t>sterben</t>
  </si>
  <si>
    <t>Individuen</t>
  </si>
  <si>
    <t>denselben</t>
  </si>
  <si>
    <t>geboren</t>
  </si>
  <si>
    <t>Privatspäre</t>
  </si>
  <si>
    <t>gute</t>
  </si>
  <si>
    <t># text = Wir müssen unsere Freiheit nicht aufgeben, um Sicherheit zu haben.</t>
  </si>
  <si>
    <t># text = Und ich denke, indem wir zusammenarbeiten, können wir eine offene Regierung haben und Privatsphäre.</t>
  </si>
  <si>
    <t>zusammenarbeiten</t>
  </si>
  <si>
    <t>offene</t>
  </si>
  <si>
    <t># text = Ich freue mich darauf, mit jedem in der Welt zusammenzuarbeiten, um das durchzusetzen.</t>
  </si>
  <si>
    <t>freue</t>
  </si>
  <si>
    <t>jedem</t>
  </si>
  <si>
    <t>zusammenzuarbeiten</t>
  </si>
  <si>
    <t>durchzusetzen</t>
  </si>
  <si>
    <t># text = Ich danke euch sehr.</t>
  </si>
  <si>
    <t># text = CA: Ed, 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</si>
</sst>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1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16</v>
      </c>
      <c r="C3" s="6" t="s">
        <v>11</v>
      </c>
      <c r="D3" s="7" t="s">
        <v>17</v>
      </c>
      <c r="E3" s="8" t="s">
        <v>18</v>
      </c>
      <c r="F3" s="6" t="s">
        <v>19</v>
      </c>
      <c r="G3" s="9">
        <f>IF(A3=1,"_",IF(C3="_","???",C3))</f>
        <v/>
      </c>
      <c r="H3" s="10" t="s">
        <v>11</v>
      </c>
      <c r="I3" s="11" t="s">
        <v>11</v>
      </c>
      <c r="J3" s="12"/>
    </row>
    <row r="4" spans="1:10" ht="60" customHeight="1">
      <c r="A4" s="6" t="s">
        <v>20</v>
      </c>
      <c r="B4" s="6" t="s">
        <v>21</v>
      </c>
      <c r="C4" s="6" t="s">
        <v>11</v>
      </c>
      <c r="D4" s="7" t="s">
        <v>22</v>
      </c>
      <c r="E4" s="8" t="s">
        <v>23</v>
      </c>
      <c r="F4" s="6" t="s">
        <v>24</v>
      </c>
      <c r="G4" s="9">
        <f>IF(A4=1,"_",IF(C4="_","???",C4))</f>
        <v/>
      </c>
      <c r="H4" s="10" t="s">
        <v>11</v>
      </c>
      <c r="I4" s="11" t="s">
        <v>11</v>
      </c>
      <c r="J4" s="12"/>
    </row>
    <row r="5" spans="1:10" ht="60" customHeight="1">
      <c r="A5" s="6" t="s">
        <v>25</v>
      </c>
      <c r="B5" s="6" t="s">
        <v>15</v>
      </c>
      <c r="C5" s="6" t="s">
        <v>11</v>
      </c>
      <c r="D5" s="7" t="s">
        <v>26</v>
      </c>
      <c r="E5" s="8" t="s">
        <v>27</v>
      </c>
      <c r="F5" s="6" t="s">
        <v>28</v>
      </c>
      <c r="G5" s="9">
        <f>IF(A5=1,"_",IF(C5="_","???",C5))</f>
        <v/>
      </c>
      <c r="H5" s="10" t="s">
        <v>11</v>
      </c>
      <c r="I5" s="11" t="s">
        <v>11</v>
      </c>
      <c r="J5" s="12"/>
    </row>
    <row r="6" spans="1:10" ht="60" customHeight="1">
      <c r="A6" s="6" t="s">
        <v>21</v>
      </c>
      <c r="B6" s="6" t="s">
        <v>29</v>
      </c>
      <c r="C6" s="6" t="s">
        <v>30</v>
      </c>
      <c r="D6" s="7" t="s">
        <v>31</v>
      </c>
      <c r="E6" s="8" t="s">
        <v>32</v>
      </c>
      <c r="F6" s="6" t="s">
        <v>33</v>
      </c>
      <c r="G6" s="9">
        <f>IF(A6=1,"_",IF(C6="_","???",C6))</f>
        <v/>
      </c>
      <c r="H6" s="10" t="s">
        <v>11</v>
      </c>
      <c r="I6" s="11" t="s">
        <v>11</v>
      </c>
      <c r="J6" s="12"/>
    </row>
    <row r="7" spans="1:10" ht="60" customHeight="1">
      <c r="A7" s="6" t="s">
        <v>34</v>
      </c>
      <c r="B7" s="6" t="s">
        <v>20</v>
      </c>
      <c r="C7" s="6" t="s">
        <v>11</v>
      </c>
      <c r="D7" s="7" t="s">
        <v>35</v>
      </c>
      <c r="E7" s="8" t="s">
        <v>36</v>
      </c>
      <c r="F7" s="6" t="s">
        <v>37</v>
      </c>
      <c r="G7" s="9">
        <f>IF(A7=1,"_",IF(C7="_","???",C7))</f>
        <v/>
      </c>
      <c r="H7" s="10" t="s">
        <v>11</v>
      </c>
      <c r="I7" s="11" t="s">
        <v>11</v>
      </c>
      <c r="J7" s="12"/>
    </row>
    <row r="8" spans="1:10" ht="60" customHeight="1">
      <c r="A8" s="6" t="s">
        <v>29</v>
      </c>
      <c r="B8" s="6" t="s">
        <v>34</v>
      </c>
      <c r="C8" s="6" t="s">
        <v>30</v>
      </c>
      <c r="D8" s="7" t="s">
        <v>38</v>
      </c>
      <c r="E8" s="8" t="s">
        <v>39</v>
      </c>
      <c r="F8" s="6" t="s">
        <v>40</v>
      </c>
      <c r="G8" s="9">
        <f>IF(A8=1,"_",IF(C8="_","???",C8))</f>
        <v/>
      </c>
      <c r="H8" s="10" t="s">
        <v>11</v>
      </c>
      <c r="I8" s="11" t="s">
        <v>11</v>
      </c>
      <c r="J8" s="12"/>
    </row>
    <row r="9" spans="1:10" ht="60" customHeight="1">
      <c r="A9" s="6" t="s">
        <v>41</v>
      </c>
      <c r="B9" s="6" t="s">
        <v>10</v>
      </c>
      <c r="C9" s="6" t="s">
        <v>11</v>
      </c>
      <c r="D9" s="7" t="s">
        <v>42</v>
      </c>
      <c r="E9" s="8" t="s">
        <v>43</v>
      </c>
      <c r="F9" s="6" t="s">
        <v>44</v>
      </c>
      <c r="G9" s="9">
        <f>IF(A9=1,"_",IF(C9="_","???",C9))</f>
        <v/>
      </c>
      <c r="H9" s="10" t="s">
        <v>11</v>
      </c>
      <c r="I9" s="11" t="s">
        <v>11</v>
      </c>
      <c r="J9" s="12"/>
    </row>
    <row r="10" spans="1:10" ht="60" customHeight="1">
      <c r="A10" s="6" t="s">
        <v>45</v>
      </c>
      <c r="B10" s="6" t="s">
        <v>25</v>
      </c>
      <c r="C10" s="6" t="s">
        <v>11</v>
      </c>
      <c r="D10" s="7" t="s">
        <v>38</v>
      </c>
      <c r="E10" s="8" t="s">
        <v>46</v>
      </c>
      <c r="F10" s="6" t="s">
        <v>47</v>
      </c>
      <c r="G10" s="9">
        <f>IF(A10=1,"_",IF(C10="_","???",C10))</f>
        <v/>
      </c>
      <c r="H10" s="10" t="s">
        <v>11</v>
      </c>
      <c r="I10" s="11" t="s">
        <v>11</v>
      </c>
      <c r="J10" s="12"/>
    </row>
    <row r="11" spans="1:10" ht="60" customHeight="1">
      <c r="A11" s="6" t="s">
        <v>48</v>
      </c>
      <c r="B11" s="6" t="s">
        <v>15</v>
      </c>
      <c r="C11" s="6" t="s">
        <v>11</v>
      </c>
      <c r="D11" s="7" t="s">
        <v>49</v>
      </c>
      <c r="E11" s="8" t="s">
        <v>50</v>
      </c>
      <c r="F11" s="6" t="s">
        <v>51</v>
      </c>
      <c r="G11" s="9">
        <f>IF(A11=1,"_",IF(C11="_","???",C11))</f>
        <v/>
      </c>
      <c r="H11" s="10" t="s">
        <v>11</v>
      </c>
      <c r="I11" s="11" t="s">
        <v>11</v>
      </c>
      <c r="J11" s="12"/>
    </row>
    <row r="12" spans="1:10" ht="60" customHeight="1">
      <c r="A12" s="6" t="s">
        <v>52</v>
      </c>
      <c r="B12" s="6" t="s">
        <v>15</v>
      </c>
      <c r="C12" s="6" t="s">
        <v>11</v>
      </c>
      <c r="D12" s="7" t="s">
        <v>53</v>
      </c>
      <c r="E12" s="8" t="s">
        <v>54</v>
      </c>
      <c r="F12" s="6" t="s">
        <v>55</v>
      </c>
      <c r="G12" s="9">
        <f>IF(A12=1,"_",IF(C12="_","???",C12))</f>
        <v/>
      </c>
      <c r="H12" s="10" t="s">
        <v>11</v>
      </c>
      <c r="I12" s="11" t="s">
        <v>11</v>
      </c>
      <c r="J12" s="12"/>
    </row>
    <row r="13" spans="1:10" ht="60" customHeight="1">
      <c r="A13" s="6" t="s">
        <v>56</v>
      </c>
      <c r="B13" s="6" t="s">
        <v>20</v>
      </c>
      <c r="C13" s="6" t="s">
        <v>11</v>
      </c>
      <c r="D13" s="7" t="s">
        <v>57</v>
      </c>
      <c r="E13" s="8" t="s">
        <v>58</v>
      </c>
      <c r="F13" s="6" t="s">
        <v>59</v>
      </c>
      <c r="G13" s="9">
        <f>IF(A13=1,"_",IF(C13="_","???",C13))</f>
        <v/>
      </c>
      <c r="H13" s="10" t="s">
        <v>11</v>
      </c>
      <c r="I13" s="11" t="s">
        <v>11</v>
      </c>
      <c r="J13" s="12"/>
    </row>
    <row r="14" spans="1:10" ht="60" customHeight="1">
      <c r="A14" s="6" t="s">
        <v>16</v>
      </c>
      <c r="B14" s="6" t="s">
        <v>29</v>
      </c>
      <c r="C14" s="6" t="s">
        <v>11</v>
      </c>
      <c r="D14" s="7" t="s">
        <v>60</v>
      </c>
      <c r="E14" s="8" t="s">
        <v>61</v>
      </c>
      <c r="F14" s="6" t="s">
        <v>62</v>
      </c>
      <c r="G14" s="9">
        <f>IF(A14=1,"_",IF(C14="_","???",C14))</f>
        <v/>
      </c>
      <c r="H14" s="10" t="s">
        <v>11</v>
      </c>
      <c r="I14" s="11" t="s">
        <v>11</v>
      </c>
      <c r="J14" s="12"/>
    </row>
    <row r="15" spans="1:10" ht="60" customHeight="1">
      <c r="A15" s="6" t="s">
        <v>63</v>
      </c>
      <c r="B15" s="6" t="s">
        <v>64</v>
      </c>
      <c r="C15" s="6" t="s">
        <v>11</v>
      </c>
      <c r="D15" s="7" t="s">
        <v>65</v>
      </c>
      <c r="E15" s="8" t="s">
        <v>66</v>
      </c>
      <c r="F15" s="6" t="s">
        <v>67</v>
      </c>
      <c r="G15" s="9">
        <f>IF(A15=1,"_",IF(C15="_","???",C15))</f>
        <v/>
      </c>
      <c r="H15" s="10" t="s">
        <v>11</v>
      </c>
      <c r="I15" s="11" t="s">
        <v>11</v>
      </c>
      <c r="J15" s="12"/>
    </row>
    <row r="16" spans="1:10" ht="60" customHeight="1">
      <c r="A16" s="6" t="s">
        <v>68</v>
      </c>
      <c r="B16" s="6" t="s">
        <v>34</v>
      </c>
      <c r="C16" s="6" t="s">
        <v>11</v>
      </c>
      <c r="D16" s="7" t="s">
        <v>69</v>
      </c>
      <c r="E16" s="8" t="s">
        <v>70</v>
      </c>
      <c r="F16" s="6" t="s">
        <v>71</v>
      </c>
      <c r="G16" s="9">
        <f>IF(A16=1,"_",IF(C16="_","???",C16))</f>
        <v/>
      </c>
      <c r="H16" s="10" t="s">
        <v>11</v>
      </c>
      <c r="I16" s="11" t="s">
        <v>11</v>
      </c>
      <c r="J16" s="12"/>
    </row>
    <row r="17" spans="1:10" ht="60" customHeight="1">
      <c r="A17" s="6" t="s">
        <v>72</v>
      </c>
      <c r="B17" s="6" t="s">
        <v>21</v>
      </c>
      <c r="C17" s="6" t="s">
        <v>11</v>
      </c>
      <c r="D17" s="7" t="s">
        <v>73</v>
      </c>
      <c r="E17" s="8" t="s">
        <v>74</v>
      </c>
      <c r="F17" s="6" t="s">
        <v>75</v>
      </c>
      <c r="G17" s="9">
        <f>IF(A17=1,"_",IF(C17="_","???",C17))</f>
        <v/>
      </c>
      <c r="H17" s="10" t="s">
        <v>11</v>
      </c>
      <c r="I17" s="11" t="s">
        <v>11</v>
      </c>
      <c r="J17" s="12"/>
    </row>
    <row r="18" spans="1:10" ht="60" customHeight="1">
      <c r="A18" s="6" t="s">
        <v>76</v>
      </c>
      <c r="B18" s="6" t="s">
        <v>16</v>
      </c>
      <c r="C18" s="6" t="s">
        <v>11</v>
      </c>
      <c r="D18" s="7" t="s">
        <v>77</v>
      </c>
      <c r="E18" s="8" t="s">
        <v>78</v>
      </c>
      <c r="F18" s="6" t="s">
        <v>79</v>
      </c>
      <c r="G18" s="9">
        <f>IF(A18=1,"_",IF(C18="_","???",C18))</f>
        <v/>
      </c>
      <c r="H18" s="10" t="s">
        <v>11</v>
      </c>
      <c r="I18" s="11" t="s">
        <v>11</v>
      </c>
      <c r="J18" s="12"/>
    </row>
    <row r="19" spans="1:10" ht="60" customHeight="1">
      <c r="A19" s="6" t="s">
        <v>80</v>
      </c>
      <c r="B19" s="6" t="s">
        <v>25</v>
      </c>
      <c r="C19" s="6" t="s">
        <v>30</v>
      </c>
      <c r="D19" s="7" t="s">
        <v>81</v>
      </c>
      <c r="E19" s="8" t="s">
        <v>82</v>
      </c>
      <c r="F19" s="6" t="s">
        <v>83</v>
      </c>
      <c r="G19" s="9">
        <f>IF(A19=1,"_",IF(C19="_","???",C19))</f>
        <v/>
      </c>
      <c r="H19" s="10" t="s">
        <v>11</v>
      </c>
      <c r="I19" s="11" t="s">
        <v>11</v>
      </c>
      <c r="J19" s="12"/>
    </row>
    <row r="20" spans="1:10" ht="60" customHeight="1">
      <c r="A20" s="6" t="s">
        <v>64</v>
      </c>
      <c r="B20" s="6" t="s">
        <v>15</v>
      </c>
      <c r="C20" s="6" t="s">
        <v>30</v>
      </c>
      <c r="D20" s="7" t="s">
        <v>84</v>
      </c>
      <c r="E20" s="8" t="s">
        <v>85</v>
      </c>
      <c r="F20" s="6" t="s">
        <v>86</v>
      </c>
      <c r="G20" s="9">
        <f>IF(A20=1,"_",IF(C20="_","???",C20))</f>
        <v/>
      </c>
      <c r="H20" s="10" t="s">
        <v>11</v>
      </c>
      <c r="I20" s="11" t="s">
        <v>11</v>
      </c>
      <c r="J20" s="12"/>
    </row>
    <row r="21" spans="1:10" ht="60" customHeight="1">
      <c r="A21" s="6" t="s">
        <v>87</v>
      </c>
      <c r="B21" s="6" t="s">
        <v>15</v>
      </c>
      <c r="C21" s="6" t="s">
        <v>11</v>
      </c>
      <c r="D21" s="7" t="s">
        <v>88</v>
      </c>
      <c r="E21" s="8" t="s">
        <v>89</v>
      </c>
      <c r="F21" s="6" t="s">
        <v>90</v>
      </c>
      <c r="G21" s="9">
        <f>IF(A21=1,"_",IF(C21="_","???",C21))</f>
        <v/>
      </c>
      <c r="H21" s="10" t="s">
        <v>11</v>
      </c>
      <c r="I21" s="11" t="s">
        <v>11</v>
      </c>
      <c r="J21" s="12"/>
    </row>
    <row r="22" spans="1:10" ht="60" customHeight="1">
      <c r="A22" s="6" t="s">
        <v>91</v>
      </c>
      <c r="B22" s="6" t="s">
        <v>20</v>
      </c>
      <c r="C22" s="6" t="s">
        <v>11</v>
      </c>
      <c r="D22" s="7" t="s">
        <v>38</v>
      </c>
      <c r="E22" s="8" t="s">
        <v>92</v>
      </c>
      <c r="F22" s="6" t="s">
        <v>93</v>
      </c>
      <c r="G22" s="9">
        <f>IF(A22=1,"_",IF(C22="_","???",C22))</f>
        <v/>
      </c>
      <c r="H22" s="10" t="s">
        <v>11</v>
      </c>
      <c r="I22" s="11" t="s">
        <v>11</v>
      </c>
      <c r="J22" s="12"/>
    </row>
    <row r="23" spans="1:10" ht="60" customHeight="1">
      <c r="A23" s="6" t="s">
        <v>94</v>
      </c>
      <c r="B23" s="6" t="s">
        <v>95</v>
      </c>
      <c r="C23" s="6" t="s">
        <v>11</v>
      </c>
      <c r="D23" s="7" t="s">
        <v>96</v>
      </c>
      <c r="E23" s="8" t="s">
        <v>97</v>
      </c>
      <c r="F23" s="6" t="s">
        <v>98</v>
      </c>
      <c r="G23" s="9">
        <f>IF(A23=1,"_",IF(C23="_","???",C23))</f>
        <v/>
      </c>
      <c r="H23" s="10" t="s">
        <v>11</v>
      </c>
      <c r="I23" s="11" t="s">
        <v>11</v>
      </c>
      <c r="J23" s="12"/>
    </row>
    <row r="24" spans="1:10" ht="60" customHeight="1">
      <c r="A24" s="6" t="s">
        <v>95</v>
      </c>
      <c r="B24" s="6" t="s">
        <v>20</v>
      </c>
      <c r="C24" s="6" t="s">
        <v>11</v>
      </c>
      <c r="D24" s="7" t="s">
        <v>96</v>
      </c>
      <c r="E24" s="8" t="s">
        <v>99</v>
      </c>
      <c r="F24" s="6" t="s">
        <v>100</v>
      </c>
      <c r="G24" s="9">
        <f>IF(A24=1,"_",IF(C24="_","???",C24))</f>
        <v/>
      </c>
      <c r="H24" s="10" t="s">
        <v>11</v>
      </c>
      <c r="I24" s="11" t="s">
        <v>11</v>
      </c>
      <c r="J24" s="12"/>
    </row>
    <row r="25" spans="1:10" ht="60" customHeight="1">
      <c r="A25" s="6" t="s">
        <v>101</v>
      </c>
      <c r="B25" s="6" t="s">
        <v>41</v>
      </c>
      <c r="C25" s="6" t="s">
        <v>11</v>
      </c>
      <c r="D25" s="7" t="s">
        <v>102</v>
      </c>
      <c r="E25" s="8" t="s">
        <v>103</v>
      </c>
      <c r="F25" s="6" t="s">
        <v>104</v>
      </c>
      <c r="G25" s="9">
        <f>IF(A25=1,"_",IF(C25="_","???",C25))</f>
        <v/>
      </c>
      <c r="H25" s="10" t="s">
        <v>11</v>
      </c>
      <c r="I25" s="11" t="s">
        <v>11</v>
      </c>
      <c r="J25" s="12"/>
    </row>
    <row r="26" spans="1:10" ht="60" customHeight="1">
      <c r="A26" s="6" t="s">
        <v>105</v>
      </c>
      <c r="B26" s="6" t="s">
        <v>25</v>
      </c>
      <c r="C26" s="6" t="s">
        <v>11</v>
      </c>
      <c r="D26" s="7" t="s">
        <v>106</v>
      </c>
      <c r="E26" s="8" t="s">
        <v>107</v>
      </c>
      <c r="F26" s="6" t="s">
        <v>108</v>
      </c>
      <c r="G26" s="9">
        <f>IF(A26=1,"_",IF(C26="_","???",C26))</f>
        <v/>
      </c>
      <c r="H26" s="10" t="s">
        <v>11</v>
      </c>
      <c r="I26" s="11" t="s">
        <v>11</v>
      </c>
      <c r="J26" s="12"/>
    </row>
    <row r="27" spans="1:10" ht="60" customHeight="1">
      <c r="A27" s="6" t="s">
        <v>109</v>
      </c>
      <c r="B27" s="6" t="s">
        <v>20</v>
      </c>
      <c r="C27" s="6" t="s">
        <v>11</v>
      </c>
      <c r="D27" s="7" t="s">
        <v>110</v>
      </c>
      <c r="E27" s="8" t="s">
        <v>111</v>
      </c>
      <c r="F27" s="6" t="s">
        <v>112</v>
      </c>
      <c r="G27" s="9">
        <f>IF(A27=1,"_",IF(C27="_","???",C27))</f>
        <v/>
      </c>
      <c r="H27" s="10" t="s">
        <v>11</v>
      </c>
      <c r="I27" s="11" t="s">
        <v>11</v>
      </c>
      <c r="J27" s="12"/>
    </row>
    <row r="28" spans="1:10" ht="60" customHeight="1">
      <c r="A28" s="6" t="s">
        <v>113</v>
      </c>
      <c r="B28" s="6" t="s">
        <v>48</v>
      </c>
      <c r="C28" s="6" t="s">
        <v>11</v>
      </c>
      <c r="D28" s="7" t="s">
        <v>114</v>
      </c>
      <c r="E28" s="8" t="s">
        <v>115</v>
      </c>
      <c r="F28" s="6" t="s">
        <v>116</v>
      </c>
      <c r="G28" s="9">
        <f>IF(A28=1,"_",IF(C28="_","???",C28))</f>
        <v/>
      </c>
      <c r="H28" s="10" t="s">
        <v>11</v>
      </c>
      <c r="I28" s="11" t="s">
        <v>11</v>
      </c>
      <c r="J28" s="12"/>
    </row>
    <row r="29" spans="1:10" ht="60" customHeight="1">
      <c r="A29" s="6" t="s">
        <v>117</v>
      </c>
      <c r="B29" s="6" t="s">
        <v>48</v>
      </c>
      <c r="C29" s="6" t="s">
        <v>11</v>
      </c>
      <c r="D29" s="7" t="s">
        <v>118</v>
      </c>
      <c r="E29" s="8" t="s">
        <v>119</v>
      </c>
      <c r="F29" s="6" t="s">
        <v>120</v>
      </c>
      <c r="G29" s="9">
        <f>IF(A29=1,"_",IF(C29="_","???",C29))</f>
        <v/>
      </c>
      <c r="H29" s="10" t="s">
        <v>11</v>
      </c>
      <c r="I29" s="11" t="s">
        <v>11</v>
      </c>
      <c r="J29" s="12"/>
    </row>
    <row r="30" spans="1:10" ht="60" customHeight="1">
      <c r="A30" s="6" t="s">
        <v>121</v>
      </c>
      <c r="B30" s="6" t="s">
        <v>21</v>
      </c>
      <c r="C30" s="6" t="s">
        <v>30</v>
      </c>
      <c r="D30" s="7" t="s">
        <v>122</v>
      </c>
      <c r="E30" s="8" t="s">
        <v>123</v>
      </c>
      <c r="F30" s="6" t="s">
        <v>124</v>
      </c>
      <c r="G30" s="9">
        <f>IF(A30=1,"_",IF(C30="_","???",C30))</f>
        <v/>
      </c>
      <c r="H30" s="10" t="s">
        <v>11</v>
      </c>
      <c r="I30" s="11" t="s">
        <v>11</v>
      </c>
      <c r="J30" s="12"/>
    </row>
    <row r="31" spans="1:10" ht="60" customHeight="1">
      <c r="A31" s="6" t="s">
        <v>125</v>
      </c>
      <c r="B31" s="6" t="s">
        <v>20</v>
      </c>
      <c r="C31" s="6" t="s">
        <v>11</v>
      </c>
      <c r="D31" s="7" t="s">
        <v>126</v>
      </c>
      <c r="E31" s="8" t="s">
        <v>127</v>
      </c>
      <c r="F31" s="6" t="s">
        <v>128</v>
      </c>
      <c r="G31" s="9">
        <f>IF(A31=1,"_",IF(C31="_","???",C31))</f>
        <v/>
      </c>
      <c r="H31" s="10" t="s">
        <v>11</v>
      </c>
      <c r="I31" s="11" t="s">
        <v>11</v>
      </c>
      <c r="J31" s="12"/>
    </row>
    <row r="32" spans="1:10" ht="60" customHeight="1">
      <c r="A32" s="6" t="s">
        <v>129</v>
      </c>
      <c r="B32" s="6" t="s">
        <v>15</v>
      </c>
      <c r="C32" s="6" t="s">
        <v>11</v>
      </c>
      <c r="D32" s="7" t="s">
        <v>130</v>
      </c>
      <c r="E32" s="8" t="s">
        <v>131</v>
      </c>
      <c r="F32" s="6" t="s">
        <v>132</v>
      </c>
      <c r="G32" s="9">
        <f>IF(A32=1,"_",IF(C32="_","???",C32))</f>
        <v/>
      </c>
      <c r="H32" s="10" t="s">
        <v>11</v>
      </c>
      <c r="I32" s="11" t="s">
        <v>11</v>
      </c>
      <c r="J32" s="12"/>
    </row>
    <row r="33" spans="1:10" ht="60" customHeight="1">
      <c r="A33" s="6" t="s">
        <v>133</v>
      </c>
      <c r="B33" s="6" t="s">
        <v>20</v>
      </c>
      <c r="C33" s="6" t="s">
        <v>11</v>
      </c>
      <c r="D33" s="7" t="s">
        <v>134</v>
      </c>
      <c r="E33" s="8" t="s">
        <v>135</v>
      </c>
      <c r="F33" s="6" t="s">
        <v>136</v>
      </c>
      <c r="G33" s="9">
        <f>IF(A33=1,"_",IF(C33="_","???",C33))</f>
        <v/>
      </c>
      <c r="H33" s="10" t="s">
        <v>11</v>
      </c>
      <c r="I33" s="11" t="s">
        <v>11</v>
      </c>
      <c r="J33" s="12"/>
    </row>
    <row r="34" spans="1:10" ht="60" customHeight="1">
      <c r="A34" s="6" t="s">
        <v>137</v>
      </c>
      <c r="B34" s="6" t="s">
        <v>15</v>
      </c>
      <c r="C34" s="6" t="s">
        <v>11</v>
      </c>
      <c r="D34" s="7" t="s">
        <v>138</v>
      </c>
      <c r="E34" s="8" t="s">
        <v>139</v>
      </c>
      <c r="F34" s="6" t="s">
        <v>140</v>
      </c>
      <c r="G34" s="9">
        <f>IF(A34=1,"_",IF(C34="_","???",C34))</f>
        <v/>
      </c>
      <c r="H34" s="10" t="s">
        <v>11</v>
      </c>
      <c r="I34" s="11" t="s">
        <v>11</v>
      </c>
      <c r="J34" s="12"/>
    </row>
    <row r="35" spans="1:10" ht="60" customHeight="1">
      <c r="A35" s="6" t="s">
        <v>141</v>
      </c>
      <c r="B35" s="6" t="s">
        <v>68</v>
      </c>
      <c r="C35" s="6" t="s">
        <v>11</v>
      </c>
      <c r="D35" s="7" t="s">
        <v>142</v>
      </c>
      <c r="E35" s="8" t="s">
        <v>143</v>
      </c>
      <c r="F35" s="6" t="s">
        <v>144</v>
      </c>
      <c r="G35" s="9">
        <f>IF(A35=1,"_",IF(C35="_","???",C35))</f>
        <v/>
      </c>
      <c r="H35" s="10" t="s">
        <v>11</v>
      </c>
      <c r="I35" s="11" t="s">
        <v>11</v>
      </c>
      <c r="J35" s="12"/>
    </row>
    <row r="36" spans="1:10" ht="60" customHeight="1">
      <c r="A36" s="6" t="s">
        <v>145</v>
      </c>
      <c r="B36" s="6" t="s">
        <v>56</v>
      </c>
      <c r="C36" s="6" t="s">
        <v>11</v>
      </c>
      <c r="D36" s="7" t="s">
        <v>146</v>
      </c>
      <c r="E36" s="8" t="s">
        <v>147</v>
      </c>
      <c r="F36" s="6" t="s">
        <v>148</v>
      </c>
      <c r="G36" s="9">
        <f>IF(A36=1,"_",IF(C36="_","???",C36))</f>
        <v/>
      </c>
      <c r="H36" s="10" t="s">
        <v>11</v>
      </c>
      <c r="I36" s="11" t="s">
        <v>11</v>
      </c>
      <c r="J36" s="12"/>
    </row>
    <row r="37" spans="1:10" ht="60" customHeight="1">
      <c r="A37" s="6" t="s">
        <v>149</v>
      </c>
      <c r="B37" s="6" t="s">
        <v>41</v>
      </c>
      <c r="C37" s="6" t="s">
        <v>11</v>
      </c>
      <c r="D37" s="7" t="s">
        <v>150</v>
      </c>
      <c r="E37" s="8" t="s">
        <v>151</v>
      </c>
      <c r="F37" s="6" t="s">
        <v>152</v>
      </c>
      <c r="G37" s="9">
        <f>IF(A37=1,"_",IF(C37="_","???",C37))</f>
        <v/>
      </c>
      <c r="H37" s="10" t="s">
        <v>11</v>
      </c>
      <c r="I37" s="11" t="s">
        <v>11</v>
      </c>
      <c r="J37" s="12"/>
    </row>
    <row r="38" spans="1:10" ht="60" customHeight="1">
      <c r="A38" s="6" t="s">
        <v>153</v>
      </c>
      <c r="B38" s="6" t="s">
        <v>149</v>
      </c>
      <c r="C38" s="6" t="s">
        <v>11</v>
      </c>
      <c r="D38" s="7" t="s">
        <v>154</v>
      </c>
      <c r="E38" s="8" t="s">
        <v>155</v>
      </c>
      <c r="F38" s="6" t="s">
        <v>156</v>
      </c>
      <c r="G38" s="9">
        <f>IF(A38=1,"_",IF(C38="_","???",C38))</f>
        <v/>
      </c>
      <c r="H38" s="10" t="s">
        <v>11</v>
      </c>
      <c r="I38" s="11" t="s">
        <v>11</v>
      </c>
      <c r="J38" s="12"/>
    </row>
    <row r="39" spans="1:10" ht="60" customHeight="1">
      <c r="A39" s="6" t="s">
        <v>157</v>
      </c>
      <c r="B39" s="6" t="s">
        <v>94</v>
      </c>
      <c r="C39" s="6" t="s">
        <v>11</v>
      </c>
      <c r="D39" s="7" t="s">
        <v>158</v>
      </c>
      <c r="E39" s="8" t="s">
        <v>159</v>
      </c>
      <c r="F39" s="6" t="s">
        <v>160</v>
      </c>
      <c r="G39" s="9">
        <f>IF(A39=1,"_",IF(C39="_","???",C39))</f>
        <v/>
      </c>
      <c r="H39" s="10" t="s">
        <v>11</v>
      </c>
      <c r="I39" s="11" t="s">
        <v>11</v>
      </c>
      <c r="J39" s="12"/>
    </row>
    <row r="40" spans="1:10" ht="60" customHeight="1">
      <c r="A40" s="6" t="s">
        <v>161</v>
      </c>
      <c r="B40" s="6" t="s">
        <v>15</v>
      </c>
      <c r="C40" s="6" t="s">
        <v>162</v>
      </c>
      <c r="D40" s="7" t="s">
        <v>163</v>
      </c>
      <c r="E40" s="8" t="s">
        <v>164</v>
      </c>
      <c r="F40" s="6" t="s">
        <v>165</v>
      </c>
      <c r="G40" s="9">
        <f>IF(A40=1,"_",IF(C40="_","???",C40))</f>
        <v/>
      </c>
      <c r="H40" s="10" t="s">
        <v>11</v>
      </c>
      <c r="I40" s="11" t="s">
        <v>11</v>
      </c>
      <c r="J40" s="12"/>
    </row>
    <row r="41" spans="1:10" ht="60" customHeight="1">
      <c r="A41" s="6" t="s">
        <v>166</v>
      </c>
      <c r="B41" s="6" t="s">
        <v>16</v>
      </c>
      <c r="C41" s="6" t="s">
        <v>11</v>
      </c>
      <c r="D41" s="7" t="s">
        <v>134</v>
      </c>
      <c r="E41" s="8" t="s">
        <v>167</v>
      </c>
      <c r="F41" s="6" t="s">
        <v>168</v>
      </c>
      <c r="G41" s="9">
        <f>IF(A41=1,"_",IF(C41="_","???",C41))</f>
        <v/>
      </c>
      <c r="H41" s="10" t="s">
        <v>11</v>
      </c>
      <c r="I41" s="11" t="s">
        <v>11</v>
      </c>
      <c r="J41" s="12"/>
    </row>
    <row r="42" spans="1:10" ht="60" customHeight="1">
      <c r="A42" s="6" t="s">
        <v>169</v>
      </c>
      <c r="B42" s="6" t="s">
        <v>29</v>
      </c>
      <c r="C42" s="6" t="s">
        <v>11</v>
      </c>
      <c r="D42" s="7" t="s">
        <v>163</v>
      </c>
      <c r="E42" s="8" t="s">
        <v>170</v>
      </c>
      <c r="F42" s="6" t="s">
        <v>171</v>
      </c>
      <c r="G42" s="9">
        <f>IF(A42=1,"_",IF(C42="_","???",C42))</f>
        <v/>
      </c>
      <c r="H42" s="10" t="s">
        <v>11</v>
      </c>
      <c r="I42" s="11" t="s">
        <v>11</v>
      </c>
      <c r="J42" s="12"/>
    </row>
    <row r="43" spans="1:10" ht="60" customHeight="1">
      <c r="A43" s="6" t="s">
        <v>172</v>
      </c>
      <c r="B43" s="6" t="s">
        <v>76</v>
      </c>
      <c r="C43" s="6" t="s">
        <v>11</v>
      </c>
      <c r="D43" s="7" t="s">
        <v>173</v>
      </c>
      <c r="E43" s="8" t="s">
        <v>174</v>
      </c>
      <c r="F43" s="6" t="s">
        <v>175</v>
      </c>
      <c r="G43" s="9">
        <f>IF(A43=1,"_",IF(C43="_","???",C43))</f>
        <v/>
      </c>
      <c r="H43" s="10" t="s">
        <v>11</v>
      </c>
      <c r="I43" s="11" t="s">
        <v>11</v>
      </c>
      <c r="J43" s="12"/>
    </row>
    <row r="44" spans="1:10" ht="60" customHeight="1">
      <c r="A44" s="6" t="s">
        <v>176</v>
      </c>
      <c r="B44" s="6" t="s">
        <v>20</v>
      </c>
      <c r="C44" s="6" t="s">
        <v>11</v>
      </c>
      <c r="D44" s="7" t="s">
        <v>177</v>
      </c>
      <c r="E44" s="8" t="s">
        <v>178</v>
      </c>
      <c r="F44" s="6" t="s">
        <v>179</v>
      </c>
      <c r="G44" s="9">
        <f>IF(A44=1,"_",IF(C44="_","???",C44))</f>
        <v/>
      </c>
      <c r="H44" s="10" t="s">
        <v>11</v>
      </c>
      <c r="I44" s="11" t="s">
        <v>11</v>
      </c>
      <c r="J44" s="12"/>
    </row>
    <row r="45" spans="1:10" ht="60" customHeight="1">
      <c r="A45" s="6" t="s">
        <v>180</v>
      </c>
      <c r="B45" s="6" t="s">
        <v>21</v>
      </c>
      <c r="C45" s="6" t="s">
        <v>30</v>
      </c>
      <c r="D45" s="7" t="s">
        <v>181</v>
      </c>
      <c r="E45" s="8" t="s">
        <v>182</v>
      </c>
      <c r="F45" s="6" t="s">
        <v>183</v>
      </c>
      <c r="G45" s="9">
        <f>IF(A45=1,"_",IF(C45="_","???",C45))</f>
        <v/>
      </c>
      <c r="H45" s="10" t="s">
        <v>11</v>
      </c>
      <c r="I45" s="11" t="s">
        <v>11</v>
      </c>
      <c r="J45" s="12"/>
    </row>
    <row r="46" spans="1:10" ht="60" customHeight="1">
      <c r="A46" s="6" t="s">
        <v>184</v>
      </c>
      <c r="B46" s="6" t="s">
        <v>10</v>
      </c>
      <c r="C46" s="6" t="s">
        <v>11</v>
      </c>
      <c r="D46" s="7" t="s">
        <v>185</v>
      </c>
      <c r="E46" s="8" t="s">
        <v>186</v>
      </c>
      <c r="F46" s="6" t="s">
        <v>187</v>
      </c>
      <c r="G46" s="9">
        <f>IF(A46=1,"_",IF(C46="_","???",C46))</f>
        <v/>
      </c>
      <c r="H46" s="10" t="s">
        <v>11</v>
      </c>
      <c r="I46" s="11" t="s">
        <v>11</v>
      </c>
      <c r="J46" s="12"/>
    </row>
    <row r="47" spans="1:10" ht="60" customHeight="1">
      <c r="A47" s="6" t="s">
        <v>188</v>
      </c>
      <c r="B47" s="6" t="s">
        <v>45</v>
      </c>
      <c r="C47" s="6" t="s">
        <v>11</v>
      </c>
      <c r="D47" s="7" t="s">
        <v>189</v>
      </c>
      <c r="E47" s="8" t="s">
        <v>190</v>
      </c>
      <c r="F47" s="6" t="s">
        <v>191</v>
      </c>
      <c r="G47" s="9">
        <f>IF(A47=1,"_",IF(C47="_","???",C47))</f>
        <v/>
      </c>
      <c r="H47" s="10" t="s">
        <v>11</v>
      </c>
      <c r="I47" s="11" t="s">
        <v>11</v>
      </c>
      <c r="J47" s="12"/>
    </row>
    <row r="48" spans="1:10" ht="60" customHeight="1">
      <c r="A48" s="6" t="s">
        <v>192</v>
      </c>
      <c r="B48" s="6" t="s">
        <v>15</v>
      </c>
      <c r="C48" s="6" t="s">
        <v>11</v>
      </c>
      <c r="D48" s="7" t="s">
        <v>96</v>
      </c>
      <c r="E48" s="8" t="s">
        <v>193</v>
      </c>
      <c r="F48" s="6" t="s">
        <v>194</v>
      </c>
      <c r="G48" s="9">
        <f>IF(A48=1,"_",IF(C48="_","???",C48))</f>
        <v/>
      </c>
      <c r="H48" s="10" t="s">
        <v>11</v>
      </c>
      <c r="I48" s="11" t="s">
        <v>11</v>
      </c>
      <c r="J48" s="12"/>
    </row>
    <row r="49" spans="1:10" ht="60" customHeight="1">
      <c r="A49" s="6" t="s">
        <v>195</v>
      </c>
      <c r="B49" s="6" t="s">
        <v>15</v>
      </c>
      <c r="C49" s="6" t="s">
        <v>11</v>
      </c>
      <c r="D49" s="7" t="s">
        <v>189</v>
      </c>
      <c r="E49" s="8" t="s">
        <v>196</v>
      </c>
      <c r="F49" s="6" t="s">
        <v>197</v>
      </c>
      <c r="G49" s="9">
        <f>IF(A49=1,"_",IF(C49="_","???",C49))</f>
        <v/>
      </c>
      <c r="H49" s="10" t="s">
        <v>11</v>
      </c>
      <c r="I49" s="11" t="s">
        <v>11</v>
      </c>
      <c r="J49" s="12"/>
    </row>
    <row r="50" spans="1:10" ht="60" customHeight="1">
      <c r="A50" s="6" t="s">
        <v>198</v>
      </c>
      <c r="B50" s="6" t="s">
        <v>15</v>
      </c>
      <c r="C50" s="6" t="s">
        <v>11</v>
      </c>
      <c r="D50" s="7" t="s">
        <v>199</v>
      </c>
      <c r="E50" s="8" t="s">
        <v>200</v>
      </c>
      <c r="F50" s="6" t="s">
        <v>201</v>
      </c>
      <c r="G50" s="9">
        <f>IF(A50=1,"_",IF(C50="_","???",C50))</f>
        <v/>
      </c>
      <c r="H50" s="10" t="s">
        <v>11</v>
      </c>
      <c r="I50" s="11" t="s">
        <v>11</v>
      </c>
      <c r="J50" s="12"/>
    </row>
    <row r="51" spans="1:10" ht="60" customHeight="1">
      <c r="A51" s="6" t="s">
        <v>202</v>
      </c>
      <c r="B51" s="6" t="s">
        <v>20</v>
      </c>
      <c r="C51" s="6" t="s">
        <v>11</v>
      </c>
      <c r="D51" s="7" t="s">
        <v>203</v>
      </c>
      <c r="E51" s="8" t="s">
        <v>204</v>
      </c>
      <c r="F51" s="6" t="s">
        <v>205</v>
      </c>
      <c r="G51" s="9">
        <f>IF(A51=1,"_",IF(C51="_","???",C51))</f>
        <v/>
      </c>
      <c r="H51" s="10" t="s">
        <v>11</v>
      </c>
      <c r="I51" s="11" t="s">
        <v>11</v>
      </c>
      <c r="J51" s="12"/>
    </row>
    <row r="52" spans="1:10" ht="60" customHeight="1">
      <c r="A52" s="6" t="s">
        <v>206</v>
      </c>
      <c r="B52" s="6" t="s">
        <v>20</v>
      </c>
      <c r="C52" s="6" t="s">
        <v>11</v>
      </c>
      <c r="D52" s="7" t="s">
        <v>207</v>
      </c>
      <c r="E52" s="8" t="s">
        <v>208</v>
      </c>
      <c r="F52" s="6" t="s">
        <v>209</v>
      </c>
      <c r="G52" s="9">
        <f>IF(A52=1,"_",IF(C52="_","???",C52))</f>
        <v/>
      </c>
      <c r="H52" s="10" t="s">
        <v>11</v>
      </c>
      <c r="I52" s="11" t="s">
        <v>11</v>
      </c>
      <c r="J52" s="12"/>
    </row>
    <row r="53" spans="1:10" ht="60" customHeight="1">
      <c r="A53" s="6" t="s">
        <v>210</v>
      </c>
      <c r="B53" s="6" t="s">
        <v>15</v>
      </c>
      <c r="C53" s="6" t="s">
        <v>11</v>
      </c>
      <c r="D53" s="7" t="s">
        <v>211</v>
      </c>
      <c r="E53" s="8" t="s">
        <v>212</v>
      </c>
      <c r="F53" s="6" t="s">
        <v>213</v>
      </c>
      <c r="G53" s="9">
        <f>IF(A53=1,"_",IF(C53="_","???",C53))</f>
        <v/>
      </c>
      <c r="H53" s="10" t="s">
        <v>11</v>
      </c>
      <c r="I53" s="11" t="s">
        <v>11</v>
      </c>
      <c r="J53" s="12"/>
    </row>
    <row r="54" spans="1:10" ht="60" customHeight="1">
      <c r="A54" s="6" t="s">
        <v>214</v>
      </c>
      <c r="B54" s="6" t="s">
        <v>56</v>
      </c>
      <c r="C54" s="6" t="s">
        <v>11</v>
      </c>
      <c r="D54" s="7" t="s">
        <v>215</v>
      </c>
      <c r="E54" s="8" t="s">
        <v>216</v>
      </c>
      <c r="F54" s="6" t="s">
        <v>217</v>
      </c>
      <c r="G54" s="9">
        <f>IF(A54=1,"_",IF(C54="_","???",C54))</f>
        <v/>
      </c>
      <c r="H54" s="10" t="s">
        <v>11</v>
      </c>
      <c r="I54" s="11" t="s">
        <v>11</v>
      </c>
      <c r="J54" s="12"/>
    </row>
    <row r="55" spans="1:10" ht="60" customHeight="1">
      <c r="A55" s="6" t="s">
        <v>218</v>
      </c>
      <c r="B55" s="6" t="s">
        <v>20</v>
      </c>
      <c r="C55" s="6" t="s">
        <v>11</v>
      </c>
      <c r="D55" s="7" t="s">
        <v>219</v>
      </c>
      <c r="E55" s="8" t="s">
        <v>220</v>
      </c>
      <c r="F55" s="6" t="s">
        <v>221</v>
      </c>
      <c r="G55" s="9">
        <f>IF(A55=1,"_",IF(C55="_","???",C55))</f>
        <v/>
      </c>
      <c r="H55" s="10" t="s">
        <v>11</v>
      </c>
      <c r="I55" s="11" t="s">
        <v>11</v>
      </c>
      <c r="J55" s="12"/>
    </row>
    <row r="56" spans="1:10" ht="60" customHeight="1">
      <c r="A56" s="6" t="s">
        <v>222</v>
      </c>
      <c r="B56" s="6" t="s">
        <v>45</v>
      </c>
      <c r="C56" s="6" t="s">
        <v>11</v>
      </c>
      <c r="D56" s="7" t="s">
        <v>223</v>
      </c>
      <c r="E56" s="8" t="s">
        <v>224</v>
      </c>
      <c r="F56" s="6" t="s">
        <v>225</v>
      </c>
      <c r="G56" s="9">
        <f>IF(A56=1,"_",IF(C56="_","???",C56))</f>
        <v/>
      </c>
      <c r="H56" s="10" t="s">
        <v>11</v>
      </c>
      <c r="I56" s="11" t="s">
        <v>11</v>
      </c>
      <c r="J56" s="12"/>
    </row>
    <row r="57" spans="1:10" ht="60" customHeight="1">
      <c r="A57" s="6" t="s">
        <v>226</v>
      </c>
      <c r="B57" s="6" t="s">
        <v>15</v>
      </c>
      <c r="C57" s="6" t="s">
        <v>11</v>
      </c>
      <c r="D57" s="7" t="s">
        <v>134</v>
      </c>
      <c r="E57" s="8" t="s">
        <v>227</v>
      </c>
      <c r="F57" s="6" t="s">
        <v>228</v>
      </c>
      <c r="G57" s="9">
        <f>IF(A57=1,"_",IF(C57="_","???",C57))</f>
        <v/>
      </c>
      <c r="H57" s="10" t="s">
        <v>11</v>
      </c>
      <c r="I57" s="11" t="s">
        <v>11</v>
      </c>
      <c r="J57" s="12"/>
    </row>
    <row r="58" spans="1:10" ht="60" customHeight="1">
      <c r="A58" s="6" t="s">
        <v>229</v>
      </c>
      <c r="B58" s="6" t="s">
        <v>20</v>
      </c>
      <c r="C58" s="6" t="s">
        <v>11</v>
      </c>
      <c r="D58" s="7" t="s">
        <v>230</v>
      </c>
      <c r="E58" s="8" t="s">
        <v>231</v>
      </c>
      <c r="F58" s="6" t="s">
        <v>232</v>
      </c>
      <c r="G58" s="9">
        <f>IF(A58=1,"_",IF(C58="_","???",C58))</f>
        <v/>
      </c>
      <c r="H58" s="10" t="s">
        <v>11</v>
      </c>
      <c r="I58" s="11" t="s">
        <v>11</v>
      </c>
      <c r="J58" s="12"/>
    </row>
    <row r="59" spans="1:10" ht="60" customHeight="1">
      <c r="A59" s="6" t="s">
        <v>233</v>
      </c>
      <c r="B59" s="6" t="s">
        <v>15</v>
      </c>
      <c r="C59" s="6" t="s">
        <v>11</v>
      </c>
      <c r="D59" s="7" t="s">
        <v>234</v>
      </c>
      <c r="E59" s="8" t="s">
        <v>235</v>
      </c>
      <c r="F59" s="6" t="s">
        <v>236</v>
      </c>
      <c r="G59" s="9">
        <f>IF(A59=1,"_",IF(C59="_","???",C59))</f>
        <v/>
      </c>
      <c r="H59" s="10" t="s">
        <v>11</v>
      </c>
      <c r="I59" s="11" t="s">
        <v>11</v>
      </c>
      <c r="J59" s="12"/>
    </row>
    <row r="60" spans="1:10" ht="60" customHeight="1">
      <c r="A60" s="6" t="s">
        <v>237</v>
      </c>
      <c r="B60" s="6" t="s">
        <v>52</v>
      </c>
      <c r="C60" s="6" t="s">
        <v>11</v>
      </c>
      <c r="D60" s="7" t="s">
        <v>238</v>
      </c>
      <c r="E60" s="8" t="s">
        <v>239</v>
      </c>
      <c r="F60" s="6" t="s">
        <v>240</v>
      </c>
      <c r="G60" s="9">
        <f>IF(A60=1,"_",IF(C60="_","???",C60))</f>
        <v/>
      </c>
      <c r="H60" s="10" t="s">
        <v>11</v>
      </c>
      <c r="I60" s="11" t="s">
        <v>11</v>
      </c>
      <c r="J60" s="12"/>
    </row>
    <row r="61" spans="1:10" ht="60" customHeight="1">
      <c r="A61" s="6" t="s">
        <v>241</v>
      </c>
      <c r="B61" s="6" t="s">
        <v>41</v>
      </c>
      <c r="C61" s="6" t="s">
        <v>11</v>
      </c>
      <c r="D61" s="7" t="s">
        <v>242</v>
      </c>
      <c r="E61" s="8" t="s">
        <v>243</v>
      </c>
      <c r="F61" s="6" t="s">
        <v>244</v>
      </c>
      <c r="G61" s="9">
        <f>IF(A61=1,"_",IF(C61="_","???",C61))</f>
        <v/>
      </c>
      <c r="H61" s="10" t="s">
        <v>11</v>
      </c>
      <c r="I61" s="11" t="s">
        <v>11</v>
      </c>
      <c r="J61" s="12"/>
    </row>
    <row r="62" spans="1:10" ht="60" customHeight="1">
      <c r="A62" s="6" t="s">
        <v>245</v>
      </c>
      <c r="B62" s="6" t="s">
        <v>29</v>
      </c>
      <c r="C62" s="6" t="s">
        <v>11</v>
      </c>
      <c r="D62" s="7" t="s">
        <v>246</v>
      </c>
      <c r="E62" s="8" t="s">
        <v>247</v>
      </c>
      <c r="F62" s="6" t="s">
        <v>248</v>
      </c>
      <c r="G62" s="9">
        <f>IF(A62=1,"_",IF(C62="_","???",C62))</f>
        <v/>
      </c>
      <c r="H62" s="10" t="s">
        <v>11</v>
      </c>
      <c r="I62" s="11" t="s">
        <v>11</v>
      </c>
      <c r="J62" s="12"/>
    </row>
    <row r="63" spans="1:10" ht="60" customHeight="1">
      <c r="A63" s="6" t="s">
        <v>249</v>
      </c>
      <c r="B63" s="6" t="s">
        <v>10</v>
      </c>
      <c r="C63" s="6" t="s">
        <v>11</v>
      </c>
      <c r="D63" s="7" t="s">
        <v>185</v>
      </c>
      <c r="E63" s="8" t="s">
        <v>250</v>
      </c>
      <c r="F63" s="6" t="s">
        <v>251</v>
      </c>
      <c r="G63" s="9">
        <f>IF(A63=1,"_",IF(C63="_","???",C63))</f>
        <v/>
      </c>
      <c r="H63" s="10" t="s">
        <v>11</v>
      </c>
      <c r="I63" s="11" t="s">
        <v>11</v>
      </c>
      <c r="J63" s="12"/>
    </row>
    <row r="64" spans="1:10" ht="60" customHeight="1">
      <c r="A64" s="6" t="s">
        <v>252</v>
      </c>
      <c r="B64" s="6" t="s">
        <v>129</v>
      </c>
      <c r="C64" s="6" t="s">
        <v>11</v>
      </c>
      <c r="D64" s="7" t="s">
        <v>253</v>
      </c>
      <c r="E64" s="8" t="s">
        <v>254</v>
      </c>
      <c r="F64" s="6" t="s">
        <v>255</v>
      </c>
      <c r="G64" s="9">
        <f>IF(A64=1,"_",IF(C64="_","???",C64))</f>
        <v/>
      </c>
      <c r="H64" s="10" t="s">
        <v>11</v>
      </c>
      <c r="I64" s="11" t="s">
        <v>11</v>
      </c>
      <c r="J64" s="12"/>
    </row>
    <row r="65" spans="1:10" ht="60" customHeight="1">
      <c r="A65" s="6" t="s">
        <v>256</v>
      </c>
      <c r="B65" s="6" t="s">
        <v>15</v>
      </c>
      <c r="C65" s="6" t="s">
        <v>11</v>
      </c>
      <c r="D65" s="7" t="s">
        <v>257</v>
      </c>
      <c r="E65" s="8" t="s">
        <v>258</v>
      </c>
      <c r="F65" s="6" t="s">
        <v>259</v>
      </c>
      <c r="G65" s="9">
        <f>IF(A65=1,"_",IF(C65="_","???",C65))</f>
        <v/>
      </c>
      <c r="H65" s="10" t="s">
        <v>11</v>
      </c>
      <c r="I65" s="11" t="s">
        <v>11</v>
      </c>
      <c r="J65" s="12"/>
    </row>
    <row r="66" spans="1:10" ht="60" customHeight="1">
      <c r="A66" s="6" t="s">
        <v>260</v>
      </c>
      <c r="B66" s="6" t="s">
        <v>20</v>
      </c>
      <c r="C66" s="6" t="s">
        <v>11</v>
      </c>
      <c r="D66" s="7" t="s">
        <v>261</v>
      </c>
      <c r="E66" s="8" t="s">
        <v>262</v>
      </c>
      <c r="F66" s="6" t="s">
        <v>263</v>
      </c>
      <c r="G66" s="9">
        <f>IF(A66=1,"_",IF(C66="_","???",C66))</f>
        <v/>
      </c>
      <c r="H66" s="10" t="s">
        <v>11</v>
      </c>
      <c r="I66" s="11" t="s">
        <v>11</v>
      </c>
      <c r="J66" s="12"/>
    </row>
    <row r="67" spans="1:10" ht="60" customHeight="1">
      <c r="A67" s="6" t="s">
        <v>264</v>
      </c>
      <c r="B67" s="6" t="s">
        <v>15</v>
      </c>
      <c r="C67" s="6" t="s">
        <v>11</v>
      </c>
      <c r="D67" s="7" t="s">
        <v>265</v>
      </c>
      <c r="E67" s="8" t="s">
        <v>266</v>
      </c>
      <c r="F67" s="6" t="s">
        <v>267</v>
      </c>
      <c r="G67" s="9">
        <f>IF(A67=1,"_",IF(C67="_","???",C67))</f>
        <v/>
      </c>
      <c r="H67" s="10" t="s">
        <v>11</v>
      </c>
      <c r="I67" s="11" t="s">
        <v>11</v>
      </c>
      <c r="J67" s="12"/>
    </row>
    <row r="68" spans="1:10" ht="60" customHeight="1">
      <c r="A68" s="6" t="s">
        <v>268</v>
      </c>
      <c r="B68" s="6" t="s">
        <v>15</v>
      </c>
      <c r="C68" s="6" t="s">
        <v>11</v>
      </c>
      <c r="D68" s="7" t="s">
        <v>265</v>
      </c>
      <c r="E68" s="8" t="s">
        <v>269</v>
      </c>
      <c r="F68" s="6" t="s">
        <v>270</v>
      </c>
      <c r="G68" s="9">
        <f>IF(A68=1,"_",IF(C68="_","???",C68))</f>
        <v/>
      </c>
      <c r="H68" s="10" t="s">
        <v>11</v>
      </c>
      <c r="I68" s="11" t="s">
        <v>11</v>
      </c>
      <c r="J68" s="12"/>
    </row>
    <row r="69" spans="1:10" ht="60" customHeight="1">
      <c r="A69" s="6" t="s">
        <v>271</v>
      </c>
      <c r="B69" s="6" t="s">
        <v>10</v>
      </c>
      <c r="C69" s="6" t="s">
        <v>11</v>
      </c>
      <c r="D69" s="7" t="s">
        <v>272</v>
      </c>
      <c r="E69" s="8" t="s">
        <v>273</v>
      </c>
      <c r="F69" s="6" t="s">
        <v>274</v>
      </c>
      <c r="G69" s="9">
        <f>IF(A69=1,"_",IF(C69="_","???",C69))</f>
        <v/>
      </c>
      <c r="H69" s="10" t="s">
        <v>11</v>
      </c>
      <c r="I69" s="11" t="s">
        <v>11</v>
      </c>
      <c r="J69" s="12"/>
    </row>
    <row r="70" spans="1:10" ht="60" customHeight="1">
      <c r="A70" s="6" t="s">
        <v>275</v>
      </c>
      <c r="B70" s="6" t="s">
        <v>15</v>
      </c>
      <c r="C70" s="6" t="s">
        <v>11</v>
      </c>
      <c r="D70" s="7" t="s">
        <v>276</v>
      </c>
      <c r="E70" s="8" t="s">
        <v>277</v>
      </c>
      <c r="F70" s="6" t="s">
        <v>278</v>
      </c>
      <c r="G70" s="9">
        <f>IF(A70=1,"_",IF(C70="_","???",C70))</f>
        <v/>
      </c>
      <c r="H70" s="10" t="s">
        <v>11</v>
      </c>
      <c r="I70" s="11" t="s">
        <v>11</v>
      </c>
      <c r="J70" s="12"/>
    </row>
    <row r="71" spans="1:10" ht="60" customHeight="1">
      <c r="A71" s="6" t="s">
        <v>279</v>
      </c>
      <c r="B71" s="6" t="s">
        <v>34</v>
      </c>
      <c r="C71" s="6" t="s">
        <v>11</v>
      </c>
      <c r="D71" s="7" t="s">
        <v>280</v>
      </c>
      <c r="E71" s="8" t="s">
        <v>281</v>
      </c>
      <c r="F71" s="6" t="s">
        <v>282</v>
      </c>
      <c r="G71" s="9">
        <f>IF(A71=1,"_",IF(C71="_","???",C71))</f>
        <v/>
      </c>
      <c r="H71" s="10" t="s">
        <v>11</v>
      </c>
      <c r="I71" s="11" t="s">
        <v>11</v>
      </c>
      <c r="J71" s="12"/>
    </row>
    <row r="72" spans="1:10" ht="60" customHeight="1">
      <c r="A72" s="6" t="s">
        <v>283</v>
      </c>
      <c r="B72" s="6" t="s">
        <v>29</v>
      </c>
      <c r="C72" s="6" t="s">
        <v>11</v>
      </c>
      <c r="D72" s="7" t="s">
        <v>284</v>
      </c>
      <c r="E72" s="8" t="s">
        <v>285</v>
      </c>
      <c r="F72" s="6" t="s">
        <v>286</v>
      </c>
      <c r="G72" s="9">
        <f>IF(A72=1,"_",IF(C72="_","???",C72))</f>
        <v/>
      </c>
      <c r="H72" s="10" t="s">
        <v>11</v>
      </c>
      <c r="I72" s="11" t="s">
        <v>11</v>
      </c>
      <c r="J72" s="12"/>
    </row>
    <row r="73" spans="1:10" ht="60" customHeight="1">
      <c r="A73" s="6" t="s">
        <v>287</v>
      </c>
      <c r="B73" s="6" t="s">
        <v>21</v>
      </c>
      <c r="C73" s="6" t="s">
        <v>11</v>
      </c>
      <c r="D73" s="7" t="s">
        <v>288</v>
      </c>
      <c r="E73" s="8" t="s">
        <v>289</v>
      </c>
      <c r="F73" s="6" t="s">
        <v>290</v>
      </c>
      <c r="G73" s="9">
        <f>IF(A73=1,"_",IF(C73="_","???",C73))</f>
        <v/>
      </c>
      <c r="H73" s="10" t="s">
        <v>11</v>
      </c>
      <c r="I73" s="11" t="s">
        <v>11</v>
      </c>
      <c r="J73" s="12"/>
    </row>
    <row r="74" spans="1:10" ht="60" customHeight="1">
      <c r="A74" s="6" t="s">
        <v>291</v>
      </c>
      <c r="B74" s="6" t="s">
        <v>21</v>
      </c>
      <c r="C74" s="6" t="s">
        <v>11</v>
      </c>
      <c r="D74" s="7" t="s">
        <v>292</v>
      </c>
      <c r="E74" s="8" t="s">
        <v>293</v>
      </c>
      <c r="F74" s="6" t="s">
        <v>294</v>
      </c>
      <c r="G74" s="9">
        <f>IF(A74=1,"_",IF(C74="_","???",C74))</f>
        <v/>
      </c>
      <c r="H74" s="10" t="s">
        <v>11</v>
      </c>
      <c r="I74" s="11" t="s">
        <v>11</v>
      </c>
      <c r="J74" s="12"/>
    </row>
    <row r="75" spans="1:10" ht="60" customHeight="1">
      <c r="A75" s="6" t="s">
        <v>295</v>
      </c>
      <c r="B75" s="6" t="s">
        <v>20</v>
      </c>
      <c r="C75" s="6" t="s">
        <v>11</v>
      </c>
      <c r="D75" s="7" t="s">
        <v>296</v>
      </c>
      <c r="E75" s="8" t="s">
        <v>297</v>
      </c>
      <c r="F75" s="6" t="s">
        <v>298</v>
      </c>
      <c r="G75" s="9">
        <f>IF(A75=1,"_",IF(C75="_","???",C75))</f>
        <v/>
      </c>
      <c r="H75" s="10" t="s">
        <v>11</v>
      </c>
      <c r="I75" s="11" t="s">
        <v>11</v>
      </c>
      <c r="J75" s="12"/>
    </row>
    <row r="76" spans="1:10" ht="60" customHeight="1">
      <c r="A76" s="6" t="s">
        <v>299</v>
      </c>
      <c r="B76" s="6" t="s">
        <v>95</v>
      </c>
      <c r="C76" s="6" t="s">
        <v>11</v>
      </c>
      <c r="D76" s="7" t="s">
        <v>134</v>
      </c>
      <c r="E76" s="8" t="s">
        <v>300</v>
      </c>
      <c r="F76" s="6" t="s">
        <v>301</v>
      </c>
      <c r="G76" s="9">
        <f>IF(A76=1,"_",IF(C76="_","???",C76))</f>
        <v/>
      </c>
      <c r="H76" s="10" t="s">
        <v>11</v>
      </c>
      <c r="I76" s="11" t="s">
        <v>11</v>
      </c>
      <c r="J76" s="12"/>
    </row>
    <row r="77" spans="1:10" ht="60" customHeight="1">
      <c r="A77" s="6" t="s">
        <v>302</v>
      </c>
      <c r="B77" s="6" t="s">
        <v>15</v>
      </c>
      <c r="C77" s="6" t="s">
        <v>11</v>
      </c>
      <c r="D77" s="7" t="s">
        <v>303</v>
      </c>
      <c r="E77" s="8" t="s">
        <v>304</v>
      </c>
      <c r="F77" s="6" t="s">
        <v>305</v>
      </c>
      <c r="G77" s="9">
        <f>IF(A77=1,"_",IF(C77="_","???",C77))</f>
        <v/>
      </c>
      <c r="H77" s="10" t="s">
        <v>11</v>
      </c>
      <c r="I77" s="11" t="s">
        <v>11</v>
      </c>
      <c r="J77" s="12"/>
    </row>
    <row r="78" spans="1:10" ht="60" customHeight="1">
      <c r="A78" s="6" t="s">
        <v>306</v>
      </c>
      <c r="B78" s="6" t="s">
        <v>15</v>
      </c>
      <c r="C78" s="6" t="s">
        <v>11</v>
      </c>
      <c r="D78" s="7" t="s">
        <v>307</v>
      </c>
      <c r="E78" s="8" t="s">
        <v>308</v>
      </c>
      <c r="F78" s="6" t="s">
        <v>309</v>
      </c>
      <c r="G78" s="9">
        <f>IF(A78=1,"_",IF(C78="_","???",C78))</f>
        <v/>
      </c>
      <c r="H78" s="10" t="s">
        <v>11</v>
      </c>
      <c r="I78" s="11" t="s">
        <v>11</v>
      </c>
      <c r="J78" s="12"/>
    </row>
    <row r="79" spans="1:10" ht="60" customHeight="1">
      <c r="A79" s="6" t="s">
        <v>310</v>
      </c>
      <c r="B79" s="6" t="s">
        <v>41</v>
      </c>
      <c r="C79" s="6" t="s">
        <v>30</v>
      </c>
      <c r="D79" s="7" t="s">
        <v>130</v>
      </c>
      <c r="E79" s="8" t="s">
        <v>311</v>
      </c>
      <c r="F79" s="6" t="s">
        <v>312</v>
      </c>
      <c r="G79" s="9">
        <f>IF(A79=1,"_",IF(C79="_","???",C79))</f>
        <v/>
      </c>
      <c r="H79" s="10" t="s">
        <v>11</v>
      </c>
      <c r="I79" s="11" t="s">
        <v>11</v>
      </c>
      <c r="J79" s="12"/>
    </row>
    <row r="80" spans="1:10" ht="60" customHeight="1">
      <c r="A80" s="6" t="s">
        <v>313</v>
      </c>
      <c r="B80" s="6" t="s">
        <v>94</v>
      </c>
      <c r="C80" s="6" t="s">
        <v>11</v>
      </c>
      <c r="D80" s="7" t="s">
        <v>314</v>
      </c>
      <c r="E80" s="8" t="s">
        <v>315</v>
      </c>
      <c r="F80" s="6" t="s">
        <v>316</v>
      </c>
      <c r="G80" s="9">
        <f>IF(A80=1,"_",IF(C80="_","???",C80))</f>
        <v/>
      </c>
      <c r="H80" s="10" t="s">
        <v>11</v>
      </c>
      <c r="I80" s="11" t="s">
        <v>11</v>
      </c>
      <c r="J80" s="12"/>
    </row>
    <row r="81" spans="1:10" ht="60" customHeight="1">
      <c r="A81" s="6" t="s">
        <v>317</v>
      </c>
      <c r="B81" s="6" t="s">
        <v>29</v>
      </c>
      <c r="C81" s="6" t="s">
        <v>11</v>
      </c>
      <c r="D81" s="7" t="s">
        <v>318</v>
      </c>
      <c r="E81" s="8" t="s">
        <v>319</v>
      </c>
      <c r="F81" s="6" t="s">
        <v>320</v>
      </c>
      <c r="G81" s="9">
        <f>IF(A81=1,"_",IF(C81="_","???",C81))</f>
        <v/>
      </c>
      <c r="H81" s="10" t="s">
        <v>11</v>
      </c>
      <c r="I81" s="11" t="s">
        <v>11</v>
      </c>
      <c r="J81" s="12"/>
    </row>
    <row r="82" spans="1:10" ht="60" customHeight="1">
      <c r="A82" s="6" t="s">
        <v>321</v>
      </c>
      <c r="B82" s="6" t="s">
        <v>45</v>
      </c>
      <c r="C82" s="6" t="s">
        <v>11</v>
      </c>
      <c r="D82" s="7" t="s">
        <v>38</v>
      </c>
      <c r="E82" s="8" t="s">
        <v>322</v>
      </c>
      <c r="F82" s="6" t="s">
        <v>323</v>
      </c>
      <c r="G82" s="9">
        <f>IF(A82=1,"_",IF(C82="_","???",C82))</f>
        <v/>
      </c>
      <c r="H82" s="10" t="s">
        <v>11</v>
      </c>
      <c r="I82" s="11" t="s">
        <v>11</v>
      </c>
      <c r="J82" s="12"/>
    </row>
    <row r="83" spans="1:10" ht="60" customHeight="1">
      <c r="A83" s="6" t="s">
        <v>324</v>
      </c>
      <c r="B83" s="6" t="s">
        <v>20</v>
      </c>
      <c r="C83" s="6" t="s">
        <v>11</v>
      </c>
      <c r="D83" s="7" t="s">
        <v>325</v>
      </c>
      <c r="E83" s="8" t="s">
        <v>326</v>
      </c>
      <c r="F83" s="6" t="s">
        <v>327</v>
      </c>
      <c r="G83" s="9">
        <f>IF(A83=1,"_",IF(C83="_","???",C83))</f>
        <v/>
      </c>
      <c r="H83" s="10" t="s">
        <v>11</v>
      </c>
      <c r="I83" s="11" t="s">
        <v>11</v>
      </c>
      <c r="J83" s="12"/>
    </row>
    <row r="84" spans="1:10" ht="60" customHeight="1">
      <c r="A84" s="6" t="s">
        <v>328</v>
      </c>
      <c r="B84" s="6" t="s">
        <v>21</v>
      </c>
      <c r="C84" s="6" t="s">
        <v>11</v>
      </c>
      <c r="D84" s="7" t="s">
        <v>38</v>
      </c>
      <c r="E84" s="8" t="s">
        <v>329</v>
      </c>
      <c r="F84" s="6" t="s">
        <v>330</v>
      </c>
      <c r="G84" s="9">
        <f>IF(A84=1,"_",IF(C84="_","???",C84))</f>
        <v/>
      </c>
      <c r="H84" s="10" t="s">
        <v>11</v>
      </c>
      <c r="I84" s="11" t="s">
        <v>11</v>
      </c>
      <c r="J84" s="12"/>
    </row>
    <row r="85" spans="1:10" ht="60" customHeight="1">
      <c r="A85" s="6" t="s">
        <v>331</v>
      </c>
      <c r="B85" s="6" t="s">
        <v>15</v>
      </c>
      <c r="C85" s="6" t="s">
        <v>11</v>
      </c>
      <c r="D85" s="7" t="s">
        <v>332</v>
      </c>
      <c r="E85" s="8" t="s">
        <v>333</v>
      </c>
      <c r="F85" s="6" t="s">
        <v>334</v>
      </c>
      <c r="G85" s="9">
        <f>IF(A85=1,"_",IF(C85="_","???",C85))</f>
        <v/>
      </c>
      <c r="H85" s="10" t="s">
        <v>11</v>
      </c>
      <c r="I85" s="11" t="s">
        <v>11</v>
      </c>
      <c r="J85" s="12"/>
    </row>
    <row r="86" spans="1:10" ht="60" customHeight="1">
      <c r="A86" s="6" t="s">
        <v>335</v>
      </c>
      <c r="B86" s="6" t="s">
        <v>20</v>
      </c>
      <c r="C86" s="6" t="s">
        <v>11</v>
      </c>
      <c r="D86" s="7" t="s">
        <v>336</v>
      </c>
      <c r="E86" s="8" t="s">
        <v>337</v>
      </c>
      <c r="F86" s="6" t="s">
        <v>338</v>
      </c>
      <c r="G86" s="9">
        <f>IF(A86=1,"_",IF(C86="_","???",C86))</f>
        <v/>
      </c>
      <c r="H86" s="10" t="s">
        <v>11</v>
      </c>
      <c r="I86" s="11" t="s">
        <v>11</v>
      </c>
      <c r="J86" s="12"/>
    </row>
    <row r="87" spans="1:10" ht="60" customHeight="1">
      <c r="A87" s="6" t="s">
        <v>339</v>
      </c>
      <c r="B87" s="6" t="s">
        <v>15</v>
      </c>
      <c r="C87" s="6" t="s">
        <v>11</v>
      </c>
      <c r="D87" s="7" t="s">
        <v>340</v>
      </c>
      <c r="E87" s="8" t="s">
        <v>341</v>
      </c>
      <c r="F87" s="6" t="s">
        <v>342</v>
      </c>
      <c r="G87" s="9">
        <f>IF(A87=1,"_",IF(C87="_","???",C87))</f>
        <v/>
      </c>
      <c r="H87" s="10" t="s">
        <v>11</v>
      </c>
      <c r="I87" s="11" t="s">
        <v>11</v>
      </c>
      <c r="J87" s="12"/>
    </row>
    <row r="88" spans="1:10" ht="60" customHeight="1">
      <c r="A88" s="6" t="s">
        <v>343</v>
      </c>
      <c r="B88" s="6" t="s">
        <v>34</v>
      </c>
      <c r="C88" s="6" t="s">
        <v>11</v>
      </c>
      <c r="D88" s="7" t="s">
        <v>344</v>
      </c>
      <c r="E88" s="8" t="s">
        <v>345</v>
      </c>
      <c r="F88" s="6" t="s">
        <v>346</v>
      </c>
      <c r="G88" s="9">
        <f>IF(A88=1,"_",IF(C88="_","???",C88))</f>
        <v/>
      </c>
      <c r="H88" s="10" t="s">
        <v>11</v>
      </c>
      <c r="I88" s="11" t="s">
        <v>11</v>
      </c>
      <c r="J88" s="12"/>
    </row>
    <row r="89" spans="1:10" ht="60" customHeight="1">
      <c r="A89" s="6" t="s">
        <v>347</v>
      </c>
      <c r="B89" s="6" t="s">
        <v>52</v>
      </c>
      <c r="C89" s="6" t="s">
        <v>11</v>
      </c>
      <c r="D89" s="7" t="s">
        <v>348</v>
      </c>
      <c r="E89" s="8" t="s">
        <v>349</v>
      </c>
      <c r="F89" s="6" t="s">
        <v>350</v>
      </c>
      <c r="G89" s="9">
        <f>IF(A89=1,"_",IF(C89="_","???",C89))</f>
        <v/>
      </c>
      <c r="H89" s="10" t="s">
        <v>11</v>
      </c>
      <c r="I89" s="11" t="s">
        <v>11</v>
      </c>
      <c r="J89" s="12"/>
    </row>
    <row r="90" spans="1:10" ht="60" customHeight="1">
      <c r="A90" s="6" t="s">
        <v>351</v>
      </c>
      <c r="B90" s="6" t="s">
        <v>15</v>
      </c>
      <c r="C90" s="6" t="s">
        <v>11</v>
      </c>
      <c r="D90" s="7" t="s">
        <v>352</v>
      </c>
      <c r="E90" s="8" t="s">
        <v>353</v>
      </c>
      <c r="F90" s="6" t="s">
        <v>354</v>
      </c>
      <c r="G90" s="9">
        <f>IF(A90=1,"_",IF(C90="_","???",C90))</f>
        <v/>
      </c>
      <c r="H90" s="10" t="s">
        <v>11</v>
      </c>
      <c r="I90" s="11" t="s">
        <v>11</v>
      </c>
      <c r="J90" s="12"/>
    </row>
    <row r="91" spans="1:10" ht="60" customHeight="1">
      <c r="A91" s="6" t="s">
        <v>355</v>
      </c>
      <c r="B91" s="6" t="s">
        <v>20</v>
      </c>
      <c r="C91" s="6" t="s">
        <v>11</v>
      </c>
      <c r="D91" s="7" t="s">
        <v>356</v>
      </c>
      <c r="E91" s="8" t="s">
        <v>357</v>
      </c>
      <c r="F91" s="6" t="s">
        <v>358</v>
      </c>
      <c r="G91" s="9">
        <f>IF(A91=1,"_",IF(C91="_","???",C91))</f>
        <v/>
      </c>
      <c r="H91" s="10" t="s">
        <v>11</v>
      </c>
      <c r="I91" s="11" t="s">
        <v>11</v>
      </c>
      <c r="J91" s="12"/>
    </row>
    <row r="92" spans="1:10" ht="60" customHeight="1">
      <c r="A92" s="6" t="s">
        <v>359</v>
      </c>
      <c r="B92" s="6" t="s">
        <v>29</v>
      </c>
      <c r="C92" s="6" t="s">
        <v>11</v>
      </c>
      <c r="D92" s="7" t="s">
        <v>177</v>
      </c>
      <c r="E92" s="8" t="s">
        <v>360</v>
      </c>
      <c r="F92" s="6" t="s">
        <v>361</v>
      </c>
      <c r="G92" s="9">
        <f>IF(A92=1,"_",IF(C92="_","???",C92))</f>
        <v/>
      </c>
      <c r="H92" s="10" t="s">
        <v>11</v>
      </c>
      <c r="I92" s="11" t="s">
        <v>11</v>
      </c>
      <c r="J92" s="12"/>
    </row>
    <row r="93" spans="1:10" ht="60" customHeight="1">
      <c r="A93" s="6" t="s">
        <v>362</v>
      </c>
      <c r="B93" s="6" t="s">
        <v>20</v>
      </c>
      <c r="C93" s="6" t="s">
        <v>11</v>
      </c>
      <c r="D93" s="7" t="s">
        <v>257</v>
      </c>
      <c r="E93" s="8" t="s">
        <v>363</v>
      </c>
      <c r="F93" s="6" t="s">
        <v>364</v>
      </c>
      <c r="G93" s="9">
        <f>IF(A93=1,"_",IF(C93="_","???",C93))</f>
        <v/>
      </c>
      <c r="H93" s="10" t="s">
        <v>11</v>
      </c>
      <c r="I93" s="11" t="s">
        <v>11</v>
      </c>
      <c r="J93" s="12"/>
    </row>
    <row r="94" spans="1:10" ht="60" customHeight="1">
      <c r="A94" s="6" t="s">
        <v>365</v>
      </c>
      <c r="B94" s="6" t="s">
        <v>15</v>
      </c>
      <c r="C94" s="6" t="s">
        <v>30</v>
      </c>
      <c r="D94" s="7" t="s">
        <v>366</v>
      </c>
      <c r="E94" s="8" t="s">
        <v>367</v>
      </c>
      <c r="F94" s="6" t="s">
        <v>368</v>
      </c>
      <c r="G94" s="9">
        <f>IF(A94=1,"_",IF(C94="_","???",C94))</f>
        <v/>
      </c>
      <c r="H94" s="10" t="s">
        <v>11</v>
      </c>
      <c r="I94" s="11" t="s">
        <v>11</v>
      </c>
      <c r="J94" s="12"/>
    </row>
    <row r="95" spans="1:10" ht="60" customHeight="1">
      <c r="A95" s="6" t="s">
        <v>369</v>
      </c>
      <c r="B95" s="6" t="s">
        <v>10</v>
      </c>
      <c r="C95" s="6" t="s">
        <v>11</v>
      </c>
      <c r="D95" s="7" t="s">
        <v>185</v>
      </c>
      <c r="E95" s="8" t="s">
        <v>370</v>
      </c>
      <c r="F95" s="6" t="s">
        <v>371</v>
      </c>
      <c r="G95" s="9">
        <f>IF(A95=1,"_",IF(C95="_","???",C95))</f>
        <v/>
      </c>
      <c r="H95" s="10" t="s">
        <v>11</v>
      </c>
      <c r="I95" s="11" t="s">
        <v>11</v>
      </c>
      <c r="J95" s="12"/>
    </row>
    <row r="96" spans="1:10" ht="60" customHeight="1">
      <c r="A96" s="6" t="s">
        <v>372</v>
      </c>
      <c r="B96" s="6" t="s">
        <v>15</v>
      </c>
      <c r="C96" s="6" t="s">
        <v>11</v>
      </c>
      <c r="D96" s="7" t="s">
        <v>373</v>
      </c>
      <c r="E96" s="8" t="s">
        <v>374</v>
      </c>
      <c r="F96" s="6" t="s">
        <v>375</v>
      </c>
      <c r="G96" s="9">
        <f>IF(A96=1,"_",IF(C96="_","???",C96))</f>
        <v/>
      </c>
      <c r="H96" s="10" t="s">
        <v>11</v>
      </c>
      <c r="I96" s="11" t="s">
        <v>11</v>
      </c>
      <c r="J96" s="12"/>
    </row>
    <row r="97" spans="1:10" ht="60" customHeight="1">
      <c r="A97" s="6" t="s">
        <v>376</v>
      </c>
      <c r="B97" s="6" t="s">
        <v>56</v>
      </c>
      <c r="C97" s="6" t="s">
        <v>11</v>
      </c>
      <c r="D97" s="7" t="s">
        <v>211</v>
      </c>
      <c r="E97" s="8" t="s">
        <v>377</v>
      </c>
      <c r="F97" s="6" t="s">
        <v>378</v>
      </c>
      <c r="G97" s="9">
        <f>IF(A97=1,"_",IF(C97="_","???",C97))</f>
        <v/>
      </c>
      <c r="H97" s="10" t="s">
        <v>11</v>
      </c>
      <c r="I97" s="11" t="s">
        <v>11</v>
      </c>
      <c r="J97" s="12"/>
    </row>
    <row r="98" spans="1:10" ht="60" customHeight="1">
      <c r="A98" s="6" t="s">
        <v>379</v>
      </c>
      <c r="B98" s="6" t="s">
        <v>45</v>
      </c>
      <c r="C98" s="6" t="s">
        <v>11</v>
      </c>
      <c r="D98" s="7" t="s">
        <v>142</v>
      </c>
      <c r="E98" s="8" t="s">
        <v>380</v>
      </c>
      <c r="F98" s="6" t="s">
        <v>381</v>
      </c>
      <c r="G98" s="9">
        <f>IF(A98=1,"_",IF(C98="_","???",C98))</f>
        <v/>
      </c>
      <c r="H98" s="10" t="s">
        <v>11</v>
      </c>
      <c r="I98" s="11" t="s">
        <v>11</v>
      </c>
      <c r="J98" s="12"/>
    </row>
    <row r="99" spans="1:10" ht="60" customHeight="1">
      <c r="A99" s="6" t="s">
        <v>382</v>
      </c>
      <c r="B99" s="6" t="s">
        <v>15</v>
      </c>
      <c r="C99" s="6" t="s">
        <v>11</v>
      </c>
      <c r="D99" s="7" t="s">
        <v>96</v>
      </c>
      <c r="E99" s="8" t="s">
        <v>383</v>
      </c>
      <c r="F99" s="6" t="s">
        <v>384</v>
      </c>
      <c r="G99" s="9">
        <f>IF(A99=1,"_",IF(C99="_","???",C99))</f>
        <v/>
      </c>
      <c r="H99" s="10" t="s">
        <v>11</v>
      </c>
      <c r="I99" s="11" t="s">
        <v>11</v>
      </c>
      <c r="J99" s="12"/>
    </row>
    <row r="100" spans="1:10" ht="60" customHeight="1">
      <c r="A100" s="6" t="s">
        <v>385</v>
      </c>
      <c r="B100" s="6" t="s">
        <v>21</v>
      </c>
      <c r="C100" s="6" t="s">
        <v>11</v>
      </c>
      <c r="D100" s="7" t="s">
        <v>96</v>
      </c>
      <c r="E100" s="8" t="s">
        <v>386</v>
      </c>
      <c r="F100" s="6" t="s">
        <v>387</v>
      </c>
      <c r="G100" s="9">
        <f>IF(A100=1,"_",IF(C100="_","???",C100))</f>
        <v/>
      </c>
      <c r="H100" s="10" t="s">
        <v>11</v>
      </c>
      <c r="I100" s="11" t="s">
        <v>11</v>
      </c>
      <c r="J100" s="12"/>
    </row>
    <row r="101" spans="1:10" ht="60" customHeight="1">
      <c r="A101" s="6" t="s">
        <v>388</v>
      </c>
      <c r="B101" s="6" t="s">
        <v>15</v>
      </c>
      <c r="C101" s="6" t="s">
        <v>11</v>
      </c>
      <c r="D101" s="7" t="s">
        <v>389</v>
      </c>
      <c r="E101" s="8" t="s">
        <v>390</v>
      </c>
      <c r="F101" s="6" t="s">
        <v>391</v>
      </c>
      <c r="G101" s="9">
        <f>IF(A101=1,"_",IF(C101="_","???",C101))</f>
        <v/>
      </c>
      <c r="H101" s="10" t="s">
        <v>11</v>
      </c>
      <c r="I101" s="11" t="s">
        <v>11</v>
      </c>
      <c r="J101" s="12"/>
    </row>
    <row r="102" spans="1:10" ht="60" customHeight="1">
      <c r="A102" s="6" t="s">
        <v>392</v>
      </c>
      <c r="B102" s="6" t="s">
        <v>20</v>
      </c>
      <c r="C102" s="6" t="s">
        <v>11</v>
      </c>
      <c r="D102" s="7" t="s">
        <v>393</v>
      </c>
      <c r="E102" s="8" t="s">
        <v>394</v>
      </c>
      <c r="F102" s="6" t="s">
        <v>395</v>
      </c>
      <c r="G102" s="9">
        <f>IF(A102=1,"_",IF(C102="_","???",C102))</f>
        <v/>
      </c>
      <c r="H102" s="10" t="s">
        <v>11</v>
      </c>
      <c r="I102" s="11" t="s">
        <v>11</v>
      </c>
      <c r="J102" s="12"/>
    </row>
    <row r="103" spans="1:10" ht="60" customHeight="1">
      <c r="A103" s="6" t="s">
        <v>396</v>
      </c>
      <c r="B103" s="6" t="s">
        <v>15</v>
      </c>
      <c r="C103" s="6" t="s">
        <v>11</v>
      </c>
      <c r="D103" s="7" t="s">
        <v>397</v>
      </c>
      <c r="E103" s="8" t="s">
        <v>398</v>
      </c>
      <c r="F103" s="6" t="s">
        <v>399</v>
      </c>
      <c r="G103" s="9">
        <f>IF(A103=1,"_",IF(C103="_","???",C103))</f>
        <v/>
      </c>
      <c r="H103" s="10" t="s">
        <v>11</v>
      </c>
      <c r="I103" s="11" t="s">
        <v>11</v>
      </c>
      <c r="J103" s="12"/>
    </row>
    <row r="104" spans="1:10" ht="60" customHeight="1">
      <c r="A104" s="6" t="s">
        <v>400</v>
      </c>
      <c r="B104" s="6" t="s">
        <v>20</v>
      </c>
      <c r="C104" s="6" t="s">
        <v>11</v>
      </c>
      <c r="D104" s="7" t="s">
        <v>401</v>
      </c>
      <c r="E104" s="8" t="s">
        <v>402</v>
      </c>
      <c r="F104" s="6" t="s">
        <v>403</v>
      </c>
      <c r="G104" s="9">
        <f>IF(A104=1,"_",IF(C104="_","???",C104))</f>
        <v/>
      </c>
      <c r="H104" s="10" t="s">
        <v>11</v>
      </c>
      <c r="I104" s="11" t="s">
        <v>11</v>
      </c>
      <c r="J104" s="12"/>
    </row>
    <row r="105" spans="1:10" ht="60" customHeight="1">
      <c r="A105" s="6" t="s">
        <v>404</v>
      </c>
      <c r="B105" s="6" t="s">
        <v>20</v>
      </c>
      <c r="C105" s="6" t="s">
        <v>11</v>
      </c>
      <c r="D105" s="7" t="s">
        <v>405</v>
      </c>
      <c r="E105" s="8" t="s">
        <v>406</v>
      </c>
      <c r="F105" s="6" t="s">
        <v>407</v>
      </c>
      <c r="G105" s="9">
        <f>IF(A105=1,"_",IF(C105="_","???",C105))</f>
        <v/>
      </c>
      <c r="H105" s="10" t="s">
        <v>11</v>
      </c>
      <c r="I105" s="11" t="s">
        <v>11</v>
      </c>
      <c r="J105" s="12"/>
    </row>
    <row r="106" spans="1:10" ht="60" customHeight="1">
      <c r="A106" s="6" t="s">
        <v>408</v>
      </c>
      <c r="B106" s="6" t="s">
        <v>34</v>
      </c>
      <c r="C106" s="6" t="s">
        <v>11</v>
      </c>
      <c r="D106" s="7" t="s">
        <v>230</v>
      </c>
      <c r="E106" s="8" t="s">
        <v>409</v>
      </c>
      <c r="F106" s="6" t="s">
        <v>410</v>
      </c>
      <c r="G106" s="9">
        <f>IF(A106=1,"_",IF(C106="_","???",C106))</f>
        <v/>
      </c>
      <c r="H106" s="10" t="s">
        <v>11</v>
      </c>
      <c r="I106" s="11" t="s">
        <v>11</v>
      </c>
      <c r="J106" s="12"/>
    </row>
    <row r="107" spans="1:10" ht="60" customHeight="1">
      <c r="A107" s="6" t="s">
        <v>411</v>
      </c>
      <c r="B107" s="6" t="s">
        <v>15</v>
      </c>
      <c r="C107" s="6" t="s">
        <v>11</v>
      </c>
      <c r="D107" s="7" t="s">
        <v>412</v>
      </c>
      <c r="E107" s="8" t="s">
        <v>413</v>
      </c>
      <c r="F107" s="6" t="s">
        <v>414</v>
      </c>
      <c r="G107" s="9">
        <f>IF(A107=1,"_",IF(C107="_","???",C107))</f>
        <v/>
      </c>
      <c r="H107" s="10" t="s">
        <v>11</v>
      </c>
      <c r="I107" s="11" t="s">
        <v>11</v>
      </c>
      <c r="J107" s="12"/>
    </row>
    <row r="108" spans="1:10" ht="60" customHeight="1">
      <c r="A108" s="6" t="s">
        <v>415</v>
      </c>
      <c r="B108" s="6" t="s">
        <v>10</v>
      </c>
      <c r="C108" s="6" t="s">
        <v>11</v>
      </c>
      <c r="D108" s="7" t="s">
        <v>416</v>
      </c>
      <c r="E108" s="8" t="s">
        <v>417</v>
      </c>
      <c r="F108" s="6" t="s">
        <v>418</v>
      </c>
      <c r="G108" s="9">
        <f>IF(A108=1,"_",IF(C108="_","???",C108))</f>
        <v/>
      </c>
      <c r="H108" s="10" t="s">
        <v>11</v>
      </c>
      <c r="I108" s="11" t="s">
        <v>11</v>
      </c>
      <c r="J108" s="12"/>
    </row>
    <row r="109" spans="1:10" ht="60" customHeight="1">
      <c r="A109" s="6" t="s">
        <v>419</v>
      </c>
      <c r="B109" s="6" t="s">
        <v>29</v>
      </c>
      <c r="C109" s="6" t="s">
        <v>11</v>
      </c>
      <c r="D109" s="7" t="s">
        <v>296</v>
      </c>
      <c r="E109" s="8" t="s">
        <v>420</v>
      </c>
      <c r="F109" s="6" t="s">
        <v>421</v>
      </c>
      <c r="G109" s="9">
        <f>IF(A109=1,"_",IF(C109="_","???",C109))</f>
        <v/>
      </c>
      <c r="H109" s="10" t="s">
        <v>11</v>
      </c>
      <c r="I109" s="11" t="s">
        <v>11</v>
      </c>
      <c r="J109" s="12"/>
    </row>
    <row r="110" spans="1:10" ht="60" customHeight="1">
      <c r="A110" s="6" t="s">
        <v>422</v>
      </c>
      <c r="B110" s="6" t="s">
        <v>20</v>
      </c>
      <c r="C110" s="6" t="s">
        <v>11</v>
      </c>
      <c r="D110" s="7" t="s">
        <v>423</v>
      </c>
      <c r="E110" s="8" t="s">
        <v>424</v>
      </c>
      <c r="F110" s="6" t="s">
        <v>425</v>
      </c>
      <c r="G110" s="9">
        <f>IF(A110=1,"_",IF(C110="_","???",C110))</f>
        <v/>
      </c>
      <c r="H110" s="10" t="s">
        <v>11</v>
      </c>
      <c r="I110" s="11" t="s">
        <v>11</v>
      </c>
      <c r="J110" s="12"/>
    </row>
    <row r="111" spans="1:10" ht="60" customHeight="1">
      <c r="A111" s="6" t="s">
        <v>426</v>
      </c>
      <c r="B111" s="6" t="s">
        <v>15</v>
      </c>
      <c r="C111" s="6" t="s">
        <v>11</v>
      </c>
      <c r="D111" s="7" t="s">
        <v>427</v>
      </c>
      <c r="E111" s="8" t="s">
        <v>428</v>
      </c>
      <c r="F111" s="6" t="s">
        <v>429</v>
      </c>
      <c r="G111" s="9">
        <f>IF(A111=1,"_",IF(C111="_","???",C111))</f>
        <v/>
      </c>
      <c r="H111" s="10" t="s">
        <v>11</v>
      </c>
      <c r="I111" s="11" t="s">
        <v>11</v>
      </c>
      <c r="J111" s="12"/>
    </row>
    <row r="112" spans="1:10" ht="60" customHeight="1">
      <c r="A112" s="6" t="s">
        <v>430</v>
      </c>
      <c r="B112" s="6" t="s">
        <v>10</v>
      </c>
      <c r="C112" s="6" t="s">
        <v>11</v>
      </c>
      <c r="D112" s="7" t="s">
        <v>185</v>
      </c>
      <c r="E112" s="8" t="s">
        <v>431</v>
      </c>
      <c r="F112" s="6" t="s">
        <v>432</v>
      </c>
      <c r="G112" s="9">
        <f>IF(A112=1,"_",IF(C112="_","???",C112))</f>
        <v/>
      </c>
      <c r="H112" s="10" t="s">
        <v>11</v>
      </c>
      <c r="I112" s="11" t="s">
        <v>11</v>
      </c>
      <c r="J112" s="12"/>
    </row>
    <row r="113" spans="1:10" ht="60" customHeight="1">
      <c r="A113" s="6" t="s">
        <v>433</v>
      </c>
      <c r="B113" s="6" t="s">
        <v>34</v>
      </c>
      <c r="C113" s="6" t="s">
        <v>30</v>
      </c>
      <c r="D113" s="7" t="s">
        <v>434</v>
      </c>
      <c r="E113" s="8" t="s">
        <v>435</v>
      </c>
      <c r="F113" s="6" t="s">
        <v>436</v>
      </c>
      <c r="G113" s="9">
        <f>IF(A113=1,"_",IF(C113="_","???",C113))</f>
        <v/>
      </c>
      <c r="H113" s="10" t="s">
        <v>11</v>
      </c>
      <c r="I113" s="11" t="s">
        <v>11</v>
      </c>
      <c r="J113" s="12"/>
    </row>
    <row r="114" spans="1:10" ht="60" customHeight="1">
      <c r="A114" s="6" t="s">
        <v>437</v>
      </c>
      <c r="B114" s="6" t="s">
        <v>21</v>
      </c>
      <c r="C114" s="6" t="s">
        <v>11</v>
      </c>
      <c r="D114" s="7" t="s">
        <v>163</v>
      </c>
      <c r="E114" s="8" t="s">
        <v>438</v>
      </c>
      <c r="F114" s="6" t="s">
        <v>439</v>
      </c>
      <c r="G114" s="9">
        <f>IF(A114=1,"_",IF(C114="_","???",C114))</f>
        <v/>
      </c>
      <c r="H114" s="10" t="s">
        <v>11</v>
      </c>
      <c r="I114" s="11" t="s">
        <v>11</v>
      </c>
      <c r="J114" s="12"/>
    </row>
    <row r="115" spans="1:10" ht="60" customHeight="1">
      <c r="A115" s="6" t="s">
        <v>440</v>
      </c>
      <c r="B115" s="6" t="s">
        <v>68</v>
      </c>
      <c r="C115" s="6" t="s">
        <v>11</v>
      </c>
      <c r="D115" s="7" t="s">
        <v>441</v>
      </c>
      <c r="E115" s="8" t="s">
        <v>442</v>
      </c>
      <c r="F115" s="6" t="s">
        <v>443</v>
      </c>
      <c r="G115" s="9">
        <f>IF(A115=1,"_",IF(C115="_","???",C115))</f>
        <v/>
      </c>
      <c r="H115" s="10" t="s">
        <v>11</v>
      </c>
      <c r="I115" s="11" t="s">
        <v>11</v>
      </c>
      <c r="J115" s="12"/>
    </row>
    <row r="116" spans="1:10" ht="60" customHeight="1">
      <c r="A116" s="6" t="s">
        <v>444</v>
      </c>
      <c r="B116" s="6" t="s">
        <v>15</v>
      </c>
      <c r="C116" s="6" t="s">
        <v>11</v>
      </c>
      <c r="D116" s="7" t="s">
        <v>445</v>
      </c>
      <c r="E116" s="8" t="s">
        <v>446</v>
      </c>
      <c r="F116" s="6" t="s">
        <v>447</v>
      </c>
      <c r="G116" s="9">
        <f>IF(A116=1,"_",IF(C116="_","???",C116))</f>
        <v/>
      </c>
      <c r="H116" s="10" t="s">
        <v>11</v>
      </c>
      <c r="I116" s="11" t="s">
        <v>11</v>
      </c>
      <c r="J116" s="12"/>
    </row>
    <row r="117" spans="1:10" ht="60" customHeight="1">
      <c r="A117" s="6" t="s">
        <v>448</v>
      </c>
      <c r="B117" s="6" t="s">
        <v>15</v>
      </c>
      <c r="C117" s="6" t="s">
        <v>30</v>
      </c>
      <c r="D117" s="7" t="s">
        <v>96</v>
      </c>
      <c r="E117" s="8" t="s">
        <v>449</v>
      </c>
      <c r="F117" s="6" t="s">
        <v>450</v>
      </c>
      <c r="G117" s="9">
        <f>IF(A117=1,"_",IF(C117="_","???",C117))</f>
        <v/>
      </c>
      <c r="H117" s="10" t="s">
        <v>11</v>
      </c>
      <c r="I117" s="11" t="s">
        <v>11</v>
      </c>
      <c r="J117" s="12"/>
    </row>
    <row r="118" spans="1:10" ht="60" customHeight="1">
      <c r="A118" s="6" t="s">
        <v>451</v>
      </c>
      <c r="B118" s="6" t="s">
        <v>87</v>
      </c>
      <c r="C118" s="6" t="s">
        <v>452</v>
      </c>
      <c r="D118" s="7" t="s">
        <v>453</v>
      </c>
      <c r="E118" s="8" t="s">
        <v>454</v>
      </c>
      <c r="F118" s="6" t="s">
        <v>455</v>
      </c>
      <c r="G118" s="9">
        <f>IF(A118=1,"_",IF(C118="_","???",C118))</f>
        <v/>
      </c>
      <c r="H118" s="10" t="s">
        <v>11</v>
      </c>
      <c r="I118" s="11" t="s">
        <v>11</v>
      </c>
      <c r="J118" s="12"/>
    </row>
    <row r="119" spans="1:10" ht="60" customHeight="1">
      <c r="A119" s="6" t="s">
        <v>456</v>
      </c>
      <c r="B119" s="6" t="s">
        <v>16</v>
      </c>
      <c r="C119" s="6" t="s">
        <v>11</v>
      </c>
      <c r="D119" s="7" t="s">
        <v>292</v>
      </c>
      <c r="E119" s="8" t="s">
        <v>457</v>
      </c>
      <c r="F119" s="6" t="s">
        <v>458</v>
      </c>
      <c r="G119" s="9">
        <f>IF(A119=1,"_",IF(C119="_","???",C119))</f>
        <v/>
      </c>
      <c r="H119" s="10" t="s">
        <v>11</v>
      </c>
      <c r="I119" s="11" t="s">
        <v>11</v>
      </c>
      <c r="J119" s="12"/>
    </row>
    <row r="120" spans="1:10" ht="60" customHeight="1">
      <c r="A120" s="6" t="s">
        <v>459</v>
      </c>
      <c r="B120" s="6" t="s">
        <v>15</v>
      </c>
      <c r="C120" s="6" t="s">
        <v>30</v>
      </c>
      <c r="D120" s="7" t="s">
        <v>460</v>
      </c>
      <c r="E120" s="8" t="s">
        <v>461</v>
      </c>
      <c r="F120" s="6" t="s">
        <v>462</v>
      </c>
      <c r="G120" s="9">
        <f>IF(A120=1,"_",IF(C120="_","???",C120))</f>
        <v/>
      </c>
      <c r="H120" s="10" t="s">
        <v>11</v>
      </c>
      <c r="I120" s="11" t="s">
        <v>11</v>
      </c>
      <c r="J120" s="12"/>
    </row>
    <row r="121" spans="1:10" ht="60" customHeight="1">
      <c r="A121" s="6" t="s">
        <v>463</v>
      </c>
      <c r="B121" s="6" t="s">
        <v>10</v>
      </c>
      <c r="C121" s="6" t="s">
        <v>11</v>
      </c>
      <c r="D121" s="7" t="s">
        <v>185</v>
      </c>
      <c r="E121" s="8" t="s">
        <v>464</v>
      </c>
      <c r="F121" s="6" t="s">
        <v>465</v>
      </c>
      <c r="G121" s="9">
        <f>IF(A121=1,"_",IF(C121="_","???",C121))</f>
        <v/>
      </c>
      <c r="H121" s="10" t="s">
        <v>11</v>
      </c>
      <c r="I121" s="11" t="s">
        <v>11</v>
      </c>
      <c r="J121" s="12"/>
    </row>
    <row r="122" spans="1:10" ht="60" customHeight="1">
      <c r="A122" s="6" t="s">
        <v>466</v>
      </c>
      <c r="B122" s="6" t="s">
        <v>15</v>
      </c>
      <c r="C122" s="6" t="s">
        <v>11</v>
      </c>
      <c r="D122" s="7" t="s">
        <v>467</v>
      </c>
      <c r="E122" s="8" t="s">
        <v>468</v>
      </c>
      <c r="F122" s="6" t="s">
        <v>469</v>
      </c>
      <c r="G122" s="9">
        <f>IF(A122=1,"_",IF(C122="_","???",C122))</f>
        <v/>
      </c>
      <c r="H122" s="10" t="s">
        <v>11</v>
      </c>
      <c r="I122" s="11" t="s">
        <v>11</v>
      </c>
      <c r="J122" s="12"/>
    </row>
    <row r="123" spans="1:10" ht="60" customHeight="1">
      <c r="A123" s="6" t="s">
        <v>470</v>
      </c>
      <c r="B123" s="6" t="s">
        <v>15</v>
      </c>
      <c r="C123" s="6" t="s">
        <v>11</v>
      </c>
      <c r="D123" s="7" t="s">
        <v>96</v>
      </c>
      <c r="E123" s="8" t="s">
        <v>471</v>
      </c>
      <c r="F123" s="6" t="s">
        <v>472</v>
      </c>
      <c r="G123" s="9">
        <f>IF(A123=1,"_",IF(C123="_","???",C123))</f>
        <v/>
      </c>
      <c r="H123" s="10" t="s">
        <v>11</v>
      </c>
      <c r="I123" s="11" t="s">
        <v>11</v>
      </c>
      <c r="J123" s="12"/>
    </row>
    <row r="124" spans="1:10" ht="60" customHeight="1">
      <c r="A124" s="6" t="s">
        <v>473</v>
      </c>
      <c r="B124" s="6" t="s">
        <v>15</v>
      </c>
      <c r="C124" s="6" t="s">
        <v>11</v>
      </c>
      <c r="D124" s="7" t="s">
        <v>474</v>
      </c>
      <c r="E124" s="8" t="s">
        <v>475</v>
      </c>
      <c r="F124" s="6" t="s">
        <v>476</v>
      </c>
      <c r="G124" s="9">
        <f>IF(A124=1,"_",IF(C124="_","???",C124))</f>
        <v/>
      </c>
      <c r="H124" s="10" t="s">
        <v>11</v>
      </c>
      <c r="I124" s="11" t="s">
        <v>11</v>
      </c>
      <c r="J124" s="12"/>
    </row>
    <row r="125" spans="1:10" ht="60" customHeight="1">
      <c r="A125" s="6" t="s">
        <v>477</v>
      </c>
      <c r="B125" s="6" t="s">
        <v>15</v>
      </c>
      <c r="C125" s="6" t="s">
        <v>11</v>
      </c>
      <c r="D125" s="7" t="s">
        <v>478</v>
      </c>
      <c r="E125" s="8" t="s">
        <v>479</v>
      </c>
      <c r="F125" s="6" t="s">
        <v>480</v>
      </c>
      <c r="G125" s="9">
        <f>IF(A125=1,"_",IF(C125="_","???",C125))</f>
        <v/>
      </c>
      <c r="H125" s="10" t="s">
        <v>11</v>
      </c>
      <c r="I125" s="11" t="s">
        <v>11</v>
      </c>
      <c r="J125" s="12"/>
    </row>
    <row r="126" spans="1:10" ht="60" customHeight="1">
      <c r="A126" s="6" t="s">
        <v>481</v>
      </c>
      <c r="B126" s="6" t="s">
        <v>29</v>
      </c>
      <c r="C126" s="6" t="s">
        <v>11</v>
      </c>
      <c r="D126" s="7" t="s">
        <v>130</v>
      </c>
      <c r="E126" s="8" t="s">
        <v>482</v>
      </c>
      <c r="F126" s="6" t="s">
        <v>483</v>
      </c>
      <c r="G126" s="9">
        <f>IF(A126=1,"_",IF(C126="_","???",C126))</f>
        <v/>
      </c>
      <c r="H126" s="10" t="s">
        <v>11</v>
      </c>
      <c r="I126" s="11" t="s">
        <v>11</v>
      </c>
      <c r="J126" s="12"/>
    </row>
    <row r="127" spans="1:10" ht="60" customHeight="1">
      <c r="A127" s="6" t="s">
        <v>484</v>
      </c>
      <c r="B127" s="6" t="s">
        <v>20</v>
      </c>
      <c r="C127" s="6" t="s">
        <v>11</v>
      </c>
      <c r="D127" s="7" t="s">
        <v>318</v>
      </c>
      <c r="E127" s="8" t="s">
        <v>485</v>
      </c>
      <c r="F127" s="6" t="s">
        <v>486</v>
      </c>
      <c r="G127" s="9">
        <f>IF(A127=1,"_",IF(C127="_","???",C127))</f>
        <v/>
      </c>
      <c r="H127" s="10" t="s">
        <v>11</v>
      </c>
      <c r="I127" s="11" t="s">
        <v>11</v>
      </c>
      <c r="J127" s="12"/>
    </row>
    <row r="128" spans="1:10" ht="60" customHeight="1">
      <c r="A128" s="6" t="s">
        <v>487</v>
      </c>
      <c r="B128" s="6" t="s">
        <v>20</v>
      </c>
      <c r="C128" s="6" t="s">
        <v>11</v>
      </c>
      <c r="D128" s="7" t="s">
        <v>488</v>
      </c>
      <c r="E128" s="8" t="s">
        <v>489</v>
      </c>
      <c r="F128" s="6" t="s">
        <v>490</v>
      </c>
      <c r="G128" s="9">
        <f>IF(A128=1,"_",IF(C128="_","???",C128))</f>
        <v/>
      </c>
      <c r="H128" s="10" t="s">
        <v>11</v>
      </c>
      <c r="I128" s="11" t="s">
        <v>11</v>
      </c>
      <c r="J128" s="12"/>
    </row>
    <row r="129" spans="1:10" ht="60" customHeight="1">
      <c r="A129" s="6" t="s">
        <v>491</v>
      </c>
      <c r="B129" s="6" t="s">
        <v>34</v>
      </c>
      <c r="C129" s="6" t="s">
        <v>11</v>
      </c>
      <c r="D129" s="7" t="s">
        <v>366</v>
      </c>
      <c r="E129" s="8" t="s">
        <v>492</v>
      </c>
      <c r="F129" s="6" t="s">
        <v>493</v>
      </c>
      <c r="G129" s="9">
        <f>IF(A129=1,"_",IF(C129="_","???",C129))</f>
        <v/>
      </c>
      <c r="H129" s="10" t="s">
        <v>11</v>
      </c>
      <c r="I129" s="11" t="s">
        <v>11</v>
      </c>
      <c r="J129" s="12"/>
    </row>
    <row r="130" spans="1:10" ht="60" customHeight="1">
      <c r="A130" s="6" t="s">
        <v>494</v>
      </c>
      <c r="B130" s="6" t="s">
        <v>34</v>
      </c>
      <c r="C130" s="6" t="s">
        <v>11</v>
      </c>
      <c r="D130" s="7" t="s">
        <v>495</v>
      </c>
      <c r="E130" s="8" t="s">
        <v>496</v>
      </c>
      <c r="F130" s="6" t="s">
        <v>497</v>
      </c>
      <c r="G130" s="9">
        <f>IF(A130=1,"_",IF(C130="_","???",C130))</f>
        <v/>
      </c>
      <c r="H130" s="10" t="s">
        <v>11</v>
      </c>
      <c r="I130" s="11" t="s">
        <v>11</v>
      </c>
      <c r="J130" s="12"/>
    </row>
    <row r="131" spans="1:10" ht="60" customHeight="1">
      <c r="A131" s="6" t="s">
        <v>498</v>
      </c>
      <c r="B131" s="6" t="s">
        <v>34</v>
      </c>
      <c r="C131" s="6" t="s">
        <v>11</v>
      </c>
      <c r="D131" s="7" t="s">
        <v>366</v>
      </c>
      <c r="E131" s="8" t="s">
        <v>499</v>
      </c>
      <c r="F131" s="6" t="s">
        <v>500</v>
      </c>
      <c r="G131" s="9">
        <f>IF(A131=1,"_",IF(C131="_","???",C131))</f>
        <v/>
      </c>
      <c r="H131" s="10" t="s">
        <v>11</v>
      </c>
      <c r="I131" s="11" t="s">
        <v>11</v>
      </c>
      <c r="J131" s="12"/>
    </row>
    <row r="132" spans="1:10" ht="60" customHeight="1">
      <c r="A132" s="6" t="s">
        <v>501</v>
      </c>
      <c r="B132" s="6" t="s">
        <v>34</v>
      </c>
      <c r="C132" s="6" t="s">
        <v>11</v>
      </c>
      <c r="D132" s="7" t="s">
        <v>502</v>
      </c>
      <c r="E132" s="8" t="s">
        <v>503</v>
      </c>
      <c r="F132" s="6" t="s">
        <v>504</v>
      </c>
      <c r="G132" s="9">
        <f>IF(A132=1,"_",IF(C132="_","???",C132))</f>
        <v/>
      </c>
      <c r="H132" s="10" t="s">
        <v>11</v>
      </c>
      <c r="I132" s="11" t="s">
        <v>11</v>
      </c>
      <c r="J132" s="12"/>
    </row>
    <row r="133" spans="1:10" ht="60" customHeight="1">
      <c r="A133" s="6" t="s">
        <v>505</v>
      </c>
      <c r="B133" s="6" t="s">
        <v>34</v>
      </c>
      <c r="C133" s="6" t="s">
        <v>11</v>
      </c>
      <c r="D133" s="7" t="s">
        <v>506</v>
      </c>
      <c r="E133" s="8" t="s">
        <v>507</v>
      </c>
      <c r="F133" s="6" t="s">
        <v>508</v>
      </c>
      <c r="G133" s="9">
        <f>IF(A133=1,"_",IF(C133="_","???",C133))</f>
        <v/>
      </c>
      <c r="H133" s="10" t="s">
        <v>11</v>
      </c>
      <c r="I133" s="11" t="s">
        <v>11</v>
      </c>
      <c r="J133" s="12"/>
    </row>
    <row r="134" spans="1:10" ht="60" customHeight="1">
      <c r="A134" s="6" t="s">
        <v>509</v>
      </c>
      <c r="B134" s="6" t="s">
        <v>15</v>
      </c>
      <c r="C134" s="6" t="s">
        <v>11</v>
      </c>
      <c r="D134" s="7" t="s">
        <v>163</v>
      </c>
      <c r="E134" s="8" t="s">
        <v>510</v>
      </c>
      <c r="F134" s="6" t="s">
        <v>511</v>
      </c>
      <c r="G134" s="9">
        <f>IF(A134=1,"_",IF(C134="_","???",C134))</f>
        <v/>
      </c>
      <c r="H134" s="10" t="s">
        <v>11</v>
      </c>
      <c r="I134" s="11" t="s">
        <v>11</v>
      </c>
      <c r="J134" s="12"/>
    </row>
    <row r="135" spans="1:10" ht="60" customHeight="1">
      <c r="A135" s="6" t="s">
        <v>512</v>
      </c>
      <c r="B135" s="6" t="s">
        <v>34</v>
      </c>
      <c r="C135" s="6" t="s">
        <v>11</v>
      </c>
      <c r="D135" s="7" t="s">
        <v>513</v>
      </c>
      <c r="E135" s="8" t="s">
        <v>514</v>
      </c>
      <c r="F135" s="6" t="s">
        <v>515</v>
      </c>
      <c r="G135" s="9">
        <f>IF(A135=1,"_",IF(C135="_","???",C135))</f>
        <v/>
      </c>
      <c r="H135" s="10" t="s">
        <v>11</v>
      </c>
      <c r="I135" s="11" t="s">
        <v>11</v>
      </c>
      <c r="J135" s="12"/>
    </row>
    <row r="136" spans="1:10" ht="60" customHeight="1">
      <c r="A136" s="6" t="s">
        <v>516</v>
      </c>
      <c r="B136" s="6" t="s">
        <v>63</v>
      </c>
      <c r="C136" s="6" t="s">
        <v>11</v>
      </c>
      <c r="D136" s="7" t="s">
        <v>517</v>
      </c>
      <c r="E136" s="8" t="s">
        <v>518</v>
      </c>
      <c r="F136" s="6" t="s">
        <v>519</v>
      </c>
      <c r="G136" s="9">
        <f>IF(A136=1,"_",IF(C136="_","???",C136))</f>
        <v/>
      </c>
      <c r="H136" s="10" t="s">
        <v>11</v>
      </c>
      <c r="I136" s="11" t="s">
        <v>11</v>
      </c>
      <c r="J136" s="12"/>
    </row>
    <row r="137" spans="1:10" ht="60" customHeight="1">
      <c r="A137" s="6" t="s">
        <v>520</v>
      </c>
      <c r="B137" s="6" t="s">
        <v>45</v>
      </c>
      <c r="C137" s="6" t="s">
        <v>11</v>
      </c>
      <c r="D137" s="7" t="s">
        <v>521</v>
      </c>
      <c r="E137" s="8" t="s">
        <v>522</v>
      </c>
      <c r="F137" s="6" t="s">
        <v>523</v>
      </c>
      <c r="G137" s="9">
        <f>IF(A137=1,"_",IF(C137="_","???",C137))</f>
        <v/>
      </c>
      <c r="H137" s="10" t="s">
        <v>11</v>
      </c>
      <c r="I137" s="11" t="s">
        <v>11</v>
      </c>
      <c r="J137" s="12"/>
    </row>
    <row r="138" spans="1:10" ht="60" customHeight="1">
      <c r="A138" s="6" t="s">
        <v>524</v>
      </c>
      <c r="B138" s="6" t="s">
        <v>20</v>
      </c>
      <c r="C138" s="6" t="s">
        <v>11</v>
      </c>
      <c r="D138" s="7" t="s">
        <v>525</v>
      </c>
      <c r="E138" s="8" t="s">
        <v>526</v>
      </c>
      <c r="F138" s="6" t="s">
        <v>527</v>
      </c>
      <c r="G138" s="9">
        <f>IF(A138=1,"_",IF(C138="_","???",C138))</f>
        <v/>
      </c>
      <c r="H138" s="10" t="s">
        <v>11</v>
      </c>
      <c r="I138" s="11" t="s">
        <v>11</v>
      </c>
      <c r="J138" s="12"/>
    </row>
    <row r="139" spans="1:10" ht="60" customHeight="1">
      <c r="A139" s="6" t="s">
        <v>528</v>
      </c>
      <c r="B139" s="6" t="s">
        <v>15</v>
      </c>
      <c r="C139" s="6" t="s">
        <v>11</v>
      </c>
      <c r="D139" s="7" t="s">
        <v>215</v>
      </c>
      <c r="E139" s="8" t="s">
        <v>529</v>
      </c>
      <c r="F139" s="6" t="s">
        <v>530</v>
      </c>
      <c r="G139" s="9">
        <f>IF(A139=1,"_",IF(C139="_","???",C139))</f>
        <v/>
      </c>
      <c r="H139" s="10" t="s">
        <v>11</v>
      </c>
      <c r="I139" s="11" t="s">
        <v>11</v>
      </c>
      <c r="J139" s="12"/>
    </row>
    <row r="140" spans="1:10" ht="60" customHeight="1">
      <c r="A140" s="6" t="s">
        <v>531</v>
      </c>
      <c r="B140" s="6" t="s">
        <v>15</v>
      </c>
      <c r="C140" s="6" t="s">
        <v>30</v>
      </c>
      <c r="D140" s="7" t="s">
        <v>532</v>
      </c>
      <c r="E140" s="8" t="s">
        <v>533</v>
      </c>
      <c r="F140" s="6" t="s">
        <v>534</v>
      </c>
      <c r="G140" s="9">
        <f>IF(A140=1,"_",IF(C140="_","???",C140))</f>
        <v/>
      </c>
      <c r="H140" s="10" t="s">
        <v>11</v>
      </c>
      <c r="I140" s="11" t="s">
        <v>11</v>
      </c>
      <c r="J140" s="12"/>
    </row>
    <row r="141" spans="1:10" ht="60" customHeight="1">
      <c r="A141" s="6" t="s">
        <v>535</v>
      </c>
      <c r="B141" s="6" t="s">
        <v>21</v>
      </c>
      <c r="C141" s="6" t="s">
        <v>11</v>
      </c>
      <c r="D141" s="7" t="s">
        <v>536</v>
      </c>
      <c r="E141" s="8" t="s">
        <v>537</v>
      </c>
      <c r="F141" s="6" t="s">
        <v>538</v>
      </c>
      <c r="G141" s="9">
        <f>IF(A141=1,"_",IF(C141="_","???",C141))</f>
        <v/>
      </c>
      <c r="H141" s="10" t="s">
        <v>11</v>
      </c>
      <c r="I141" s="11" t="s">
        <v>11</v>
      </c>
      <c r="J141" s="12"/>
    </row>
    <row r="142" spans="1:10" ht="60" customHeight="1">
      <c r="A142" s="6" t="s">
        <v>539</v>
      </c>
      <c r="B142" s="6" t="s">
        <v>25</v>
      </c>
      <c r="C142" s="6" t="s">
        <v>11</v>
      </c>
      <c r="D142" s="7" t="s">
        <v>540</v>
      </c>
      <c r="E142" s="8" t="s">
        <v>541</v>
      </c>
      <c r="F142" s="6" t="s">
        <v>542</v>
      </c>
      <c r="G142" s="9">
        <f>IF(A142=1,"_",IF(C142="_","???",C142))</f>
        <v/>
      </c>
      <c r="H142" s="10" t="s">
        <v>11</v>
      </c>
      <c r="I142" s="11" t="s">
        <v>11</v>
      </c>
      <c r="J142" s="12"/>
    </row>
    <row r="143" spans="1:10" ht="60" customHeight="1">
      <c r="A143" s="6" t="s">
        <v>543</v>
      </c>
      <c r="B143" s="6" t="s">
        <v>188</v>
      </c>
      <c r="C143" s="6" t="s">
        <v>11</v>
      </c>
      <c r="D143" s="7" t="s">
        <v>544</v>
      </c>
      <c r="E143" s="8" t="s">
        <v>545</v>
      </c>
      <c r="F143" s="6" t="s">
        <v>546</v>
      </c>
      <c r="G143" s="9">
        <f>IF(A143=1,"_",IF(C143="_","???",C143))</f>
        <v/>
      </c>
      <c r="H143" s="10" t="s">
        <v>11</v>
      </c>
      <c r="I143" s="11" t="s">
        <v>11</v>
      </c>
      <c r="J143" s="12"/>
    </row>
    <row r="144" spans="1:10" ht="60" customHeight="1">
      <c r="A144" s="6" t="s">
        <v>547</v>
      </c>
      <c r="B144" s="6" t="s">
        <v>21</v>
      </c>
      <c r="C144" s="6" t="s">
        <v>11</v>
      </c>
      <c r="D144" s="7" t="s">
        <v>548</v>
      </c>
      <c r="E144" s="8" t="s">
        <v>549</v>
      </c>
      <c r="F144" s="6" t="s">
        <v>550</v>
      </c>
      <c r="G144" s="9">
        <f>IF(A144=1,"_",IF(C144="_","???",C144))</f>
        <v/>
      </c>
      <c r="H144" s="10" t="s">
        <v>11</v>
      </c>
      <c r="I144" s="11" t="s">
        <v>11</v>
      </c>
      <c r="J144" s="12"/>
    </row>
    <row r="145" spans="1:10" ht="60" customHeight="1">
      <c r="A145" s="6" t="s">
        <v>551</v>
      </c>
      <c r="B145" s="6" t="s">
        <v>48</v>
      </c>
      <c r="C145" s="6" t="s">
        <v>11</v>
      </c>
      <c r="D145" s="7" t="s">
        <v>552</v>
      </c>
      <c r="E145" s="8" t="s">
        <v>553</v>
      </c>
      <c r="F145" s="6" t="s">
        <v>554</v>
      </c>
      <c r="G145" s="9">
        <f>IF(A145=1,"_",IF(C145="_","???",C145))</f>
        <v/>
      </c>
      <c r="H145" s="10" t="s">
        <v>11</v>
      </c>
      <c r="I145" s="11" t="s">
        <v>11</v>
      </c>
      <c r="J145" s="12"/>
    </row>
    <row r="146" spans="1:10" ht="60" customHeight="1">
      <c r="A146" s="6" t="s">
        <v>555</v>
      </c>
      <c r="B146" s="6" t="s">
        <v>20</v>
      </c>
      <c r="C146" s="6" t="s">
        <v>11</v>
      </c>
      <c r="D146" s="7" t="s">
        <v>556</v>
      </c>
      <c r="E146" s="8" t="s">
        <v>557</v>
      </c>
      <c r="F146" s="6" t="s">
        <v>558</v>
      </c>
      <c r="G146" s="9">
        <f>IF(A146=1,"_",IF(C146="_","???",C146))</f>
        <v/>
      </c>
      <c r="H146" s="10" t="s">
        <v>11</v>
      </c>
      <c r="I146" s="11" t="s">
        <v>11</v>
      </c>
      <c r="J146" s="12"/>
    </row>
    <row r="147" spans="1:10" ht="60" customHeight="1">
      <c r="A147" s="6" t="s">
        <v>559</v>
      </c>
      <c r="B147" s="6" t="s">
        <v>41</v>
      </c>
      <c r="C147" s="6" t="s">
        <v>11</v>
      </c>
      <c r="D147" s="7" t="s">
        <v>560</v>
      </c>
      <c r="E147" s="8" t="s">
        <v>561</v>
      </c>
      <c r="F147" s="6" t="s">
        <v>562</v>
      </c>
      <c r="G147" s="9">
        <f>IF(A147=1,"_",IF(C147="_","???",C147))</f>
        <v/>
      </c>
      <c r="H147" s="10" t="s">
        <v>11</v>
      </c>
      <c r="I147" s="11" t="s">
        <v>11</v>
      </c>
      <c r="J147" s="12"/>
    </row>
    <row r="148" spans="1:10" ht="60" customHeight="1">
      <c r="A148" s="6" t="s">
        <v>563</v>
      </c>
      <c r="B148" s="6" t="s">
        <v>25</v>
      </c>
      <c r="C148" s="6" t="s">
        <v>11</v>
      </c>
      <c r="D148" s="7" t="s">
        <v>564</v>
      </c>
      <c r="E148" s="8" t="s">
        <v>565</v>
      </c>
      <c r="F148" s="6" t="s">
        <v>566</v>
      </c>
      <c r="G148" s="9">
        <f>IF(A148=1,"_",IF(C148="_","???",C148))</f>
        <v/>
      </c>
      <c r="H148" s="10" t="s">
        <v>11</v>
      </c>
      <c r="I148" s="11" t="s">
        <v>11</v>
      </c>
      <c r="J148" s="12"/>
    </row>
    <row r="149" spans="1:10" ht="60" customHeight="1">
      <c r="A149" s="6" t="s">
        <v>567</v>
      </c>
      <c r="B149" s="6" t="s">
        <v>21</v>
      </c>
      <c r="C149" s="6" t="s">
        <v>11</v>
      </c>
      <c r="D149" s="7" t="s">
        <v>314</v>
      </c>
      <c r="E149" s="8" t="s">
        <v>568</v>
      </c>
      <c r="F149" s="6" t="s">
        <v>569</v>
      </c>
      <c r="G149" s="9">
        <f>IF(A149=1,"_",IF(C149="_","???",C149))</f>
        <v/>
      </c>
      <c r="H149" s="10" t="s">
        <v>11</v>
      </c>
      <c r="I149" s="11" t="s">
        <v>11</v>
      </c>
      <c r="J149" s="12"/>
    </row>
    <row r="150" spans="1:10" ht="60" customHeight="1">
      <c r="A150" s="6" t="s">
        <v>570</v>
      </c>
      <c r="B150" s="6" t="s">
        <v>20</v>
      </c>
      <c r="C150" s="6" t="s">
        <v>11</v>
      </c>
      <c r="D150" s="7" t="s">
        <v>571</v>
      </c>
      <c r="E150" s="8" t="s">
        <v>572</v>
      </c>
      <c r="F150" s="6" t="s">
        <v>573</v>
      </c>
      <c r="G150" s="9">
        <f>IF(A150=1,"_",IF(C150="_","???",C150))</f>
        <v/>
      </c>
      <c r="H150" s="10" t="s">
        <v>11</v>
      </c>
      <c r="I150" s="11" t="s">
        <v>11</v>
      </c>
      <c r="J150" s="12"/>
    </row>
    <row r="151" spans="1:10" ht="60" customHeight="1">
      <c r="A151" s="6" t="s">
        <v>574</v>
      </c>
      <c r="B151" s="6" t="s">
        <v>20</v>
      </c>
      <c r="C151" s="6" t="s">
        <v>11</v>
      </c>
      <c r="D151" s="7" t="s">
        <v>571</v>
      </c>
      <c r="E151" s="8" t="s">
        <v>575</v>
      </c>
      <c r="F151" s="6" t="s">
        <v>576</v>
      </c>
      <c r="G151" s="9">
        <f>IF(A151=1,"_",IF(C151="_","???",C151))</f>
        <v/>
      </c>
      <c r="H151" s="10" t="s">
        <v>11</v>
      </c>
      <c r="I151" s="11" t="s">
        <v>11</v>
      </c>
      <c r="J151" s="12"/>
    </row>
    <row r="152" spans="1:10" ht="60" customHeight="1">
      <c r="A152" s="6" t="s">
        <v>577</v>
      </c>
      <c r="B152" s="6" t="s">
        <v>15</v>
      </c>
      <c r="C152" s="6" t="s">
        <v>11</v>
      </c>
      <c r="D152" s="7" t="s">
        <v>578</v>
      </c>
      <c r="E152" s="8" t="s">
        <v>579</v>
      </c>
      <c r="F152" s="6" t="s">
        <v>580</v>
      </c>
      <c r="G152" s="9">
        <f>IF(A152=1,"_",IF(C152="_","???",C152))</f>
        <v/>
      </c>
      <c r="H152" s="10" t="s">
        <v>11</v>
      </c>
      <c r="I152" s="11" t="s">
        <v>11</v>
      </c>
      <c r="J152" s="12"/>
    </row>
    <row r="153" spans="1:10" ht="60" customHeight="1">
      <c r="A153" s="6" t="s">
        <v>581</v>
      </c>
      <c r="B153" s="6" t="s">
        <v>15</v>
      </c>
      <c r="C153" s="6" t="s">
        <v>11</v>
      </c>
      <c r="D153" s="7" t="s">
        <v>488</v>
      </c>
      <c r="E153" s="8" t="s">
        <v>582</v>
      </c>
      <c r="F153" s="6" t="s">
        <v>583</v>
      </c>
      <c r="G153" s="9">
        <f>IF(A153=1,"_",IF(C153="_","???",C153))</f>
        <v/>
      </c>
      <c r="H153" s="10" t="s">
        <v>11</v>
      </c>
      <c r="I153" s="11" t="s">
        <v>11</v>
      </c>
      <c r="J153" s="12"/>
    </row>
    <row r="154" spans="1:10" ht="60" customHeight="1">
      <c r="A154" s="6" t="s">
        <v>584</v>
      </c>
      <c r="B154" s="6" t="s">
        <v>15</v>
      </c>
      <c r="C154" s="6" t="s">
        <v>11</v>
      </c>
      <c r="D154" s="7" t="s">
        <v>134</v>
      </c>
      <c r="E154" s="8" t="s">
        <v>585</v>
      </c>
      <c r="F154" s="6" t="s">
        <v>586</v>
      </c>
      <c r="G154" s="9">
        <f>IF(A154=1,"_",IF(C154="_","???",C154))</f>
        <v/>
      </c>
      <c r="H154" s="10" t="s">
        <v>11</v>
      </c>
      <c r="I154" s="11" t="s">
        <v>11</v>
      </c>
      <c r="J154" s="12"/>
    </row>
    <row r="155" spans="1:10" ht="60" customHeight="1">
      <c r="A155" s="6" t="s">
        <v>587</v>
      </c>
      <c r="B155" s="6" t="s">
        <v>25</v>
      </c>
      <c r="C155" s="6" t="s">
        <v>11</v>
      </c>
      <c r="D155" s="7" t="s">
        <v>588</v>
      </c>
      <c r="E155" s="8" t="s">
        <v>589</v>
      </c>
      <c r="F155" s="6" t="s">
        <v>590</v>
      </c>
      <c r="G155" s="9">
        <f>IF(A155=1,"_",IF(C155="_","???",C155))</f>
        <v/>
      </c>
      <c r="H155" s="10" t="s">
        <v>11</v>
      </c>
      <c r="I155" s="11" t="s">
        <v>11</v>
      </c>
      <c r="J155" s="12"/>
    </row>
    <row r="156" spans="1:10" ht="60" customHeight="1">
      <c r="A156" s="6" t="s">
        <v>591</v>
      </c>
      <c r="B156" s="6" t="s">
        <v>34</v>
      </c>
      <c r="C156" s="6" t="s">
        <v>11</v>
      </c>
      <c r="D156" s="7" t="s">
        <v>592</v>
      </c>
      <c r="E156" s="8" t="s">
        <v>593</v>
      </c>
      <c r="F156" s="6" t="s">
        <v>594</v>
      </c>
      <c r="G156" s="9">
        <f>IF(A156=1,"_",IF(C156="_","???",C156))</f>
        <v/>
      </c>
      <c r="H156" s="10" t="s">
        <v>11</v>
      </c>
      <c r="I156" s="11" t="s">
        <v>11</v>
      </c>
      <c r="J156" s="12"/>
    </row>
    <row r="157" spans="1:10" ht="60" customHeight="1">
      <c r="A157" s="6" t="s">
        <v>595</v>
      </c>
      <c r="B157" s="6" t="s">
        <v>15</v>
      </c>
      <c r="C157" s="6" t="s">
        <v>11</v>
      </c>
      <c r="D157" s="7" t="s">
        <v>596</v>
      </c>
      <c r="E157" s="8" t="s">
        <v>597</v>
      </c>
      <c r="F157" s="6" t="s">
        <v>598</v>
      </c>
      <c r="G157" s="9">
        <f>IF(A157=1,"_",IF(C157="_","???",C157))</f>
        <v/>
      </c>
      <c r="H157" s="10" t="s">
        <v>11</v>
      </c>
      <c r="I157" s="11" t="s">
        <v>11</v>
      </c>
      <c r="J157" s="12"/>
    </row>
    <row r="158" spans="1:10" ht="60" customHeight="1">
      <c r="A158" s="6" t="s">
        <v>599</v>
      </c>
      <c r="B158" s="6" t="s">
        <v>21</v>
      </c>
      <c r="C158" s="6" t="s">
        <v>11</v>
      </c>
      <c r="D158" s="7" t="s">
        <v>134</v>
      </c>
      <c r="E158" s="8" t="s">
        <v>600</v>
      </c>
      <c r="F158" s="6" t="s">
        <v>601</v>
      </c>
      <c r="G158" s="9">
        <f>IF(A158=1,"_",IF(C158="_","???",C158))</f>
        <v/>
      </c>
      <c r="H158" s="10" t="s">
        <v>11</v>
      </c>
      <c r="I158" s="11" t="s">
        <v>11</v>
      </c>
      <c r="J158" s="12"/>
    </row>
    <row r="159" spans="1:10" ht="60" customHeight="1">
      <c r="A159" s="6" t="s">
        <v>602</v>
      </c>
      <c r="B159" s="6" t="s">
        <v>10</v>
      </c>
      <c r="C159" s="6" t="s">
        <v>11</v>
      </c>
      <c r="D159" s="7" t="s">
        <v>185</v>
      </c>
      <c r="E159" s="8" t="s">
        <v>603</v>
      </c>
      <c r="F159" s="6" t="s">
        <v>604</v>
      </c>
      <c r="G159" s="9">
        <f>IF(A159=1,"_",IF(C159="_","???",C159))</f>
        <v/>
      </c>
      <c r="H159" s="10" t="s">
        <v>11</v>
      </c>
      <c r="I159" s="11" t="s">
        <v>11</v>
      </c>
      <c r="J159" s="12"/>
    </row>
    <row r="160" spans="1:10" ht="60" customHeight="1">
      <c r="A160" s="6" t="s">
        <v>605</v>
      </c>
      <c r="B160" s="6" t="s">
        <v>15</v>
      </c>
      <c r="C160" s="6" t="s">
        <v>11</v>
      </c>
      <c r="D160" s="7" t="s">
        <v>606</v>
      </c>
      <c r="E160" s="8" t="s">
        <v>607</v>
      </c>
      <c r="F160" s="6" t="s">
        <v>608</v>
      </c>
      <c r="G160" s="9">
        <f>IF(A160=1,"_",IF(C160="_","???",C160))</f>
        <v/>
      </c>
      <c r="H160" s="10" t="s">
        <v>11</v>
      </c>
      <c r="I160" s="11" t="s">
        <v>11</v>
      </c>
      <c r="J160" s="12"/>
    </row>
    <row r="161" spans="1:10" ht="60" customHeight="1">
      <c r="A161" s="6" t="s">
        <v>609</v>
      </c>
      <c r="B161" s="6" t="s">
        <v>56</v>
      </c>
      <c r="C161" s="6" t="s">
        <v>11</v>
      </c>
      <c r="D161" s="7" t="s">
        <v>610</v>
      </c>
      <c r="E161" s="8" t="s">
        <v>611</v>
      </c>
      <c r="F161" s="6" t="s">
        <v>612</v>
      </c>
      <c r="G161" s="9">
        <f>IF(A161=1,"_",IF(C161="_","???",C161))</f>
        <v/>
      </c>
      <c r="H161" s="10" t="s">
        <v>11</v>
      </c>
      <c r="I161" s="11" t="s">
        <v>11</v>
      </c>
      <c r="J161" s="12"/>
    </row>
    <row r="162" spans="1:10" ht="60" customHeight="1">
      <c r="A162" s="6" t="s">
        <v>613</v>
      </c>
      <c r="B162" s="6" t="s">
        <v>25</v>
      </c>
      <c r="C162" s="6" t="s">
        <v>11</v>
      </c>
      <c r="D162" s="7" t="s">
        <v>614</v>
      </c>
      <c r="E162" s="8" t="s">
        <v>615</v>
      </c>
      <c r="F162" s="6" t="s">
        <v>616</v>
      </c>
      <c r="G162" s="9">
        <f>IF(A162=1,"_",IF(C162="_","???",C162))</f>
        <v/>
      </c>
      <c r="H162" s="10" t="s">
        <v>11</v>
      </c>
      <c r="I162" s="11" t="s">
        <v>11</v>
      </c>
      <c r="J162" s="12"/>
    </row>
    <row r="163" spans="1:10" ht="60" customHeight="1">
      <c r="A163" s="6" t="s">
        <v>617</v>
      </c>
      <c r="B163" s="6" t="s">
        <v>68</v>
      </c>
      <c r="C163" s="6" t="s">
        <v>11</v>
      </c>
      <c r="D163" s="7" t="s">
        <v>618</v>
      </c>
      <c r="E163" s="8" t="s">
        <v>619</v>
      </c>
      <c r="F163" s="6" t="s">
        <v>620</v>
      </c>
      <c r="G163" s="9">
        <f>IF(A163=1,"_",IF(C163="_","???",C163))</f>
        <v/>
      </c>
      <c r="H163" s="10" t="s">
        <v>11</v>
      </c>
      <c r="I163" s="11" t="s">
        <v>11</v>
      </c>
      <c r="J163" s="12"/>
    </row>
    <row r="164" spans="1:10" ht="60" customHeight="1">
      <c r="A164" s="6" t="s">
        <v>621</v>
      </c>
      <c r="B164" s="6" t="s">
        <v>15</v>
      </c>
      <c r="C164" s="6" t="s">
        <v>11</v>
      </c>
      <c r="D164" s="7" t="s">
        <v>207</v>
      </c>
      <c r="E164" s="8" t="s">
        <v>622</v>
      </c>
      <c r="F164" s="6" t="s">
        <v>623</v>
      </c>
      <c r="G164" s="9">
        <f>IF(A164=1,"_",IF(C164="_","???",C164))</f>
        <v/>
      </c>
      <c r="H164" s="10" t="s">
        <v>11</v>
      </c>
      <c r="I164" s="11" t="s">
        <v>11</v>
      </c>
      <c r="J164" s="12"/>
    </row>
    <row r="165" spans="1:10" ht="60" customHeight="1">
      <c r="A165" s="6" t="s">
        <v>624</v>
      </c>
      <c r="B165" s="6" t="s">
        <v>25</v>
      </c>
      <c r="C165" s="6" t="s">
        <v>30</v>
      </c>
      <c r="D165" s="7" t="s">
        <v>625</v>
      </c>
      <c r="E165" s="8" t="s">
        <v>626</v>
      </c>
      <c r="F165" s="6" t="s">
        <v>627</v>
      </c>
      <c r="G165" s="9">
        <f>IF(A165=1,"_",IF(C165="_","???",C165))</f>
        <v/>
      </c>
      <c r="H165" s="10" t="s">
        <v>11</v>
      </c>
      <c r="I165" s="11" t="s">
        <v>11</v>
      </c>
      <c r="J165" s="12"/>
    </row>
    <row r="166" spans="1:10" ht="60" customHeight="1">
      <c r="A166" s="6" t="s">
        <v>628</v>
      </c>
      <c r="B166" s="6" t="s">
        <v>10</v>
      </c>
      <c r="C166" s="6" t="s">
        <v>11</v>
      </c>
      <c r="D166" s="7" t="s">
        <v>185</v>
      </c>
      <c r="E166" s="8" t="s">
        <v>629</v>
      </c>
      <c r="F166" s="6" t="s">
        <v>630</v>
      </c>
      <c r="G166" s="9">
        <f>IF(A166=1,"_",IF(C166="_","???",C166))</f>
        <v/>
      </c>
      <c r="H166" s="10" t="s">
        <v>11</v>
      </c>
      <c r="I166" s="11" t="s">
        <v>11</v>
      </c>
      <c r="J166" s="12"/>
    </row>
    <row r="167" spans="1:10" ht="60" customHeight="1">
      <c r="A167" s="6" t="s">
        <v>631</v>
      </c>
      <c r="B167" s="6" t="s">
        <v>20</v>
      </c>
      <c r="C167" s="6" t="s">
        <v>11</v>
      </c>
      <c r="D167" s="7" t="s">
        <v>632</v>
      </c>
      <c r="E167" s="8" t="s">
        <v>633</v>
      </c>
      <c r="F167" s="6" t="s">
        <v>634</v>
      </c>
      <c r="G167" s="9">
        <f>IF(A167=1,"_",IF(C167="_","???",C167))</f>
        <v/>
      </c>
      <c r="H167" s="10" t="s">
        <v>11</v>
      </c>
      <c r="I167" s="11" t="s">
        <v>11</v>
      </c>
      <c r="J167" s="12"/>
    </row>
    <row r="168" spans="1:10" ht="60" customHeight="1">
      <c r="A168" s="6" t="s">
        <v>635</v>
      </c>
      <c r="B168" s="6" t="s">
        <v>52</v>
      </c>
      <c r="C168" s="6" t="s">
        <v>11</v>
      </c>
      <c r="D168" s="7" t="s">
        <v>636</v>
      </c>
      <c r="E168" s="8" t="s">
        <v>637</v>
      </c>
      <c r="F168" s="6" t="s">
        <v>638</v>
      </c>
      <c r="G168" s="9">
        <f>IF(A168=1,"_",IF(C168="_","???",C168))</f>
        <v/>
      </c>
      <c r="H168" s="10" t="s">
        <v>11</v>
      </c>
      <c r="I168" s="11" t="s">
        <v>11</v>
      </c>
      <c r="J168" s="12"/>
    </row>
    <row r="169" spans="1:10" ht="60" customHeight="1">
      <c r="A169" s="6" t="s">
        <v>639</v>
      </c>
      <c r="B169" s="6" t="s">
        <v>25</v>
      </c>
      <c r="C169" s="6" t="s">
        <v>11</v>
      </c>
      <c r="D169" s="7" t="s">
        <v>257</v>
      </c>
      <c r="E169" s="8" t="s">
        <v>640</v>
      </c>
      <c r="F169" s="6" t="s">
        <v>641</v>
      </c>
      <c r="G169" s="9">
        <f>IF(A169=1,"_",IF(C169="_","???",C169))</f>
        <v/>
      </c>
      <c r="H169" s="10" t="s">
        <v>11</v>
      </c>
      <c r="I169" s="11" t="s">
        <v>11</v>
      </c>
      <c r="J169" s="12"/>
    </row>
    <row r="170" spans="1:10" ht="60" customHeight="1">
      <c r="A170" s="6" t="s">
        <v>642</v>
      </c>
      <c r="B170" s="6" t="s">
        <v>15</v>
      </c>
      <c r="C170" s="6" t="s">
        <v>11</v>
      </c>
      <c r="D170" s="7" t="s">
        <v>215</v>
      </c>
      <c r="E170" s="8" t="s">
        <v>643</v>
      </c>
      <c r="F170" s="6" t="s">
        <v>644</v>
      </c>
      <c r="G170" s="9">
        <f>IF(A170=1,"_",IF(C170="_","???",C170))</f>
        <v/>
      </c>
      <c r="H170" s="10" t="s">
        <v>11</v>
      </c>
      <c r="I170" s="11" t="s">
        <v>11</v>
      </c>
      <c r="J170" s="12"/>
    </row>
    <row r="171" spans="1:10" ht="60" customHeight="1">
      <c r="A171" s="6" t="s">
        <v>645</v>
      </c>
      <c r="B171" s="6" t="s">
        <v>15</v>
      </c>
      <c r="C171" s="6" t="s">
        <v>11</v>
      </c>
      <c r="D171" s="7" t="s">
        <v>211</v>
      </c>
      <c r="E171" s="8" t="s">
        <v>646</v>
      </c>
      <c r="F171" s="6" t="s">
        <v>647</v>
      </c>
      <c r="G171" s="9">
        <f>IF(A171=1,"_",IF(C171="_","???",C171))</f>
        <v/>
      </c>
      <c r="H171" s="10" t="s">
        <v>11</v>
      </c>
      <c r="I171" s="11" t="s">
        <v>11</v>
      </c>
      <c r="J171" s="12"/>
    </row>
    <row r="172" spans="1:10" ht="60" customHeight="1">
      <c r="A172" s="6" t="s">
        <v>648</v>
      </c>
      <c r="B172" s="6" t="s">
        <v>15</v>
      </c>
      <c r="C172" s="6" t="s">
        <v>11</v>
      </c>
      <c r="D172" s="7" t="s">
        <v>96</v>
      </c>
      <c r="E172" s="8" t="s">
        <v>649</v>
      </c>
      <c r="F172" s="6" t="s">
        <v>650</v>
      </c>
      <c r="G172" s="9">
        <f>IF(A172=1,"_",IF(C172="_","???",C172))</f>
        <v/>
      </c>
      <c r="H172" s="10" t="s">
        <v>11</v>
      </c>
      <c r="I172" s="11" t="s">
        <v>11</v>
      </c>
      <c r="J172" s="12"/>
    </row>
    <row r="173" spans="1:10" ht="60" customHeight="1">
      <c r="A173" s="6" t="s">
        <v>651</v>
      </c>
      <c r="B173" s="6" t="s">
        <v>15</v>
      </c>
      <c r="C173" s="6" t="s">
        <v>11</v>
      </c>
      <c r="D173" s="7" t="s">
        <v>96</v>
      </c>
      <c r="E173" s="8" t="s">
        <v>652</v>
      </c>
      <c r="F173" s="6" t="s">
        <v>653</v>
      </c>
      <c r="G173" s="9">
        <f>IF(A173=1,"_",IF(C173="_","???",C173))</f>
        <v/>
      </c>
      <c r="H173" s="10" t="s">
        <v>11</v>
      </c>
      <c r="I173" s="11" t="s">
        <v>11</v>
      </c>
      <c r="J173" s="12"/>
    </row>
    <row r="174" spans="1:10" ht="60" customHeight="1">
      <c r="A174" s="6" t="s">
        <v>654</v>
      </c>
      <c r="B174" s="6" t="s">
        <v>20</v>
      </c>
      <c r="C174" s="6" t="s">
        <v>11</v>
      </c>
      <c r="D174" s="7" t="s">
        <v>134</v>
      </c>
      <c r="E174" s="8" t="s">
        <v>655</v>
      </c>
      <c r="F174" s="6" t="s">
        <v>656</v>
      </c>
      <c r="G174" s="9">
        <f>IF(A174=1,"_",IF(C174="_","???",C174))</f>
        <v/>
      </c>
      <c r="H174" s="10" t="s">
        <v>11</v>
      </c>
      <c r="I174" s="11" t="s">
        <v>11</v>
      </c>
      <c r="J174" s="12"/>
    </row>
    <row r="175" spans="1:10" ht="60" customHeight="1">
      <c r="A175" s="6" t="s">
        <v>657</v>
      </c>
      <c r="B175" s="6" t="s">
        <v>15</v>
      </c>
      <c r="C175" s="6" t="s">
        <v>11</v>
      </c>
      <c r="D175" s="7" t="s">
        <v>658</v>
      </c>
      <c r="E175" s="8" t="s">
        <v>659</v>
      </c>
      <c r="F175" s="6" t="s">
        <v>660</v>
      </c>
      <c r="G175" s="9">
        <f>IF(A175=1,"_",IF(C175="_","???",C175))</f>
        <v/>
      </c>
      <c r="H175" s="10" t="s">
        <v>11</v>
      </c>
      <c r="I175" s="11" t="s">
        <v>11</v>
      </c>
      <c r="J175" s="12"/>
    </row>
    <row r="176" spans="1:10" ht="60" customHeight="1">
      <c r="A176" s="6" t="s">
        <v>661</v>
      </c>
      <c r="B176" s="6" t="s">
        <v>15</v>
      </c>
      <c r="C176" s="6" t="s">
        <v>11</v>
      </c>
      <c r="D176" s="7" t="s">
        <v>662</v>
      </c>
      <c r="E176" s="8" t="s">
        <v>663</v>
      </c>
      <c r="F176" s="6" t="s">
        <v>664</v>
      </c>
      <c r="G176" s="9">
        <f>IF(A176=1,"_",IF(C176="_","???",C176))</f>
        <v/>
      </c>
      <c r="H176" s="10" t="s">
        <v>11</v>
      </c>
      <c r="I176" s="11" t="s">
        <v>11</v>
      </c>
      <c r="J176" s="12"/>
    </row>
    <row r="177" spans="1:10" ht="60" customHeight="1">
      <c r="A177" s="6" t="s">
        <v>665</v>
      </c>
      <c r="B177" s="6" t="s">
        <v>145</v>
      </c>
      <c r="C177" s="6" t="s">
        <v>11</v>
      </c>
      <c r="D177" s="7" t="s">
        <v>666</v>
      </c>
      <c r="E177" s="8" t="s">
        <v>667</v>
      </c>
      <c r="F177" s="6" t="s">
        <v>668</v>
      </c>
      <c r="G177" s="9">
        <f>IF(A177=1,"_",IF(C177="_","???",C177))</f>
        <v/>
      </c>
      <c r="H177" s="10" t="s">
        <v>11</v>
      </c>
      <c r="I177" s="11" t="s">
        <v>11</v>
      </c>
      <c r="J177" s="12"/>
    </row>
    <row r="178" spans="1:10" ht="60" customHeight="1">
      <c r="A178" s="6" t="s">
        <v>669</v>
      </c>
      <c r="B178" s="6" t="s">
        <v>15</v>
      </c>
      <c r="C178" s="6" t="s">
        <v>11</v>
      </c>
      <c r="D178" s="7" t="s">
        <v>670</v>
      </c>
      <c r="E178" s="8" t="s">
        <v>671</v>
      </c>
      <c r="F178" s="6" t="s">
        <v>672</v>
      </c>
      <c r="G178" s="9">
        <f>IF(A178=1,"_",IF(C178="_","???",C178))</f>
        <v/>
      </c>
      <c r="H178" s="10" t="s">
        <v>11</v>
      </c>
      <c r="I178" s="11" t="s">
        <v>11</v>
      </c>
      <c r="J178" s="12"/>
    </row>
    <row r="179" spans="1:10" ht="60" customHeight="1">
      <c r="A179" s="6" t="s">
        <v>673</v>
      </c>
      <c r="B179" s="6" t="s">
        <v>25</v>
      </c>
      <c r="C179" s="6" t="s">
        <v>11</v>
      </c>
      <c r="D179" s="7" t="s">
        <v>292</v>
      </c>
      <c r="E179" s="8" t="s">
        <v>674</v>
      </c>
      <c r="F179" s="6" t="s">
        <v>675</v>
      </c>
      <c r="G179" s="9">
        <f>IF(A179=1,"_",IF(C179="_","???",C179))</f>
        <v/>
      </c>
      <c r="H179" s="10" t="s">
        <v>11</v>
      </c>
      <c r="I179" s="11" t="s">
        <v>11</v>
      </c>
      <c r="J179" s="12"/>
    </row>
    <row r="180" spans="1:10" ht="60" customHeight="1">
      <c r="A180" s="6" t="s">
        <v>676</v>
      </c>
      <c r="B180" s="6" t="s">
        <v>10</v>
      </c>
      <c r="C180" s="6" t="s">
        <v>11</v>
      </c>
      <c r="D180" s="7" t="s">
        <v>185</v>
      </c>
      <c r="E180" s="8" t="s">
        <v>677</v>
      </c>
      <c r="F180" s="6" t="s">
        <v>678</v>
      </c>
      <c r="G180" s="9">
        <f>IF(A180=1,"_",IF(C180="_","???",C180))</f>
        <v/>
      </c>
      <c r="H180" s="10" t="s">
        <v>11</v>
      </c>
      <c r="I180" s="11" t="s">
        <v>11</v>
      </c>
      <c r="J180" s="12"/>
    </row>
    <row r="181" spans="1:10" ht="60" customHeight="1">
      <c r="A181" s="6" t="s">
        <v>679</v>
      </c>
      <c r="B181" s="6" t="s">
        <v>10</v>
      </c>
      <c r="C181" s="6" t="s">
        <v>11</v>
      </c>
      <c r="D181" s="7" t="s">
        <v>680</v>
      </c>
      <c r="E181" s="8" t="s">
        <v>681</v>
      </c>
      <c r="F181" s="6" t="s">
        <v>682</v>
      </c>
      <c r="G181" s="9">
        <f>IF(A181=1,"_",IF(C181="_","???",C181))</f>
        <v/>
      </c>
      <c r="H181" s="10" t="s">
        <v>11</v>
      </c>
      <c r="I181" s="11" t="s">
        <v>11</v>
      </c>
      <c r="J181" s="12"/>
    </row>
    <row r="182" spans="1:10" ht="60" customHeight="1">
      <c r="A182" s="6" t="s">
        <v>683</v>
      </c>
      <c r="B182" s="6" t="s">
        <v>15</v>
      </c>
      <c r="C182" s="6" t="s">
        <v>11</v>
      </c>
      <c r="D182" s="7" t="s">
        <v>684</v>
      </c>
      <c r="E182" s="8" t="s">
        <v>685</v>
      </c>
      <c r="F182" s="6" t="s">
        <v>686</v>
      </c>
      <c r="G182" s="9">
        <f>IF(A182=1,"_",IF(C182="_","???",C182))</f>
        <v/>
      </c>
      <c r="H182" s="10" t="s">
        <v>11</v>
      </c>
      <c r="I182" s="11" t="s">
        <v>11</v>
      </c>
      <c r="J182" s="12"/>
    </row>
    <row r="183" spans="1:10" ht="60" customHeight="1">
      <c r="A183" s="6" t="s">
        <v>687</v>
      </c>
      <c r="B183" s="6" t="s">
        <v>15</v>
      </c>
      <c r="C183" s="6" t="s">
        <v>11</v>
      </c>
      <c r="D183" s="7" t="s">
        <v>688</v>
      </c>
      <c r="E183" s="8" t="s">
        <v>689</v>
      </c>
      <c r="F183" s="6" t="s">
        <v>690</v>
      </c>
      <c r="G183" s="9">
        <f>IF(A183=1,"_",IF(C183="_","???",C183))</f>
        <v/>
      </c>
      <c r="H183" s="10" t="s">
        <v>11</v>
      </c>
      <c r="I183" s="11" t="s">
        <v>11</v>
      </c>
      <c r="J183" s="12"/>
    </row>
    <row r="184" spans="1:10" ht="60" customHeight="1">
      <c r="A184" s="6" t="s">
        <v>691</v>
      </c>
      <c r="B184" s="6" t="s">
        <v>20</v>
      </c>
      <c r="C184" s="6" t="s">
        <v>11</v>
      </c>
      <c r="D184" s="7" t="s">
        <v>692</v>
      </c>
      <c r="E184" s="8" t="s">
        <v>693</v>
      </c>
      <c r="F184" s="6" t="s">
        <v>694</v>
      </c>
      <c r="G184" s="9">
        <f>IF(A184=1,"_",IF(C184="_","???",C184))</f>
        <v/>
      </c>
      <c r="H184" s="10" t="s">
        <v>11</v>
      </c>
      <c r="I184" s="11" t="s">
        <v>11</v>
      </c>
      <c r="J184" s="12"/>
    </row>
    <row r="185" spans="1:10" ht="60" customHeight="1">
      <c r="A185" s="6" t="s">
        <v>695</v>
      </c>
      <c r="B185" s="6" t="s">
        <v>48</v>
      </c>
      <c r="C185" s="6" t="s">
        <v>11</v>
      </c>
      <c r="D185" s="7" t="s">
        <v>696</v>
      </c>
      <c r="E185" s="8" t="s">
        <v>697</v>
      </c>
      <c r="F185" s="6" t="s">
        <v>698</v>
      </c>
      <c r="G185" s="9">
        <f>IF(A185=1,"_",IF(C185="_","???",C185))</f>
        <v/>
      </c>
      <c r="H185" s="10" t="s">
        <v>11</v>
      </c>
      <c r="I185" s="11" t="s">
        <v>11</v>
      </c>
      <c r="J185" s="12"/>
    </row>
    <row r="186" spans="1:10" ht="60" customHeight="1">
      <c r="A186" s="6" t="s">
        <v>699</v>
      </c>
      <c r="B186" s="6" t="s">
        <v>105</v>
      </c>
      <c r="C186" s="6" t="s">
        <v>11</v>
      </c>
      <c r="D186" s="7" t="s">
        <v>700</v>
      </c>
      <c r="E186" s="8" t="s">
        <v>701</v>
      </c>
      <c r="F186" s="6" t="s">
        <v>702</v>
      </c>
      <c r="G186" s="9">
        <f>IF(A186=1,"_",IF(C186="_","???",C186))</f>
        <v/>
      </c>
      <c r="H186" s="10" t="s">
        <v>11</v>
      </c>
      <c r="I186" s="11" t="s">
        <v>11</v>
      </c>
      <c r="J186" s="12"/>
    </row>
    <row r="187" spans="1:10" ht="60" customHeight="1">
      <c r="A187" s="6" t="s">
        <v>703</v>
      </c>
      <c r="B187" s="6" t="s">
        <v>48</v>
      </c>
      <c r="C187" s="6" t="s">
        <v>11</v>
      </c>
      <c r="D187" s="7" t="s">
        <v>704</v>
      </c>
      <c r="E187" s="8" t="s">
        <v>705</v>
      </c>
      <c r="F187" s="6" t="s">
        <v>706</v>
      </c>
      <c r="G187" s="9">
        <f>IF(A187=1,"_",IF(C187="_","???",C187))</f>
        <v/>
      </c>
      <c r="H187" s="10" t="s">
        <v>11</v>
      </c>
      <c r="I187" s="11" t="s">
        <v>11</v>
      </c>
      <c r="J187" s="12"/>
    </row>
    <row r="188" spans="1:10" ht="60" customHeight="1">
      <c r="A188" s="6" t="s">
        <v>707</v>
      </c>
      <c r="B188" s="6" t="s">
        <v>68</v>
      </c>
      <c r="C188" s="6" t="s">
        <v>11</v>
      </c>
      <c r="D188" s="7" t="s">
        <v>708</v>
      </c>
      <c r="E188" s="8" t="s">
        <v>709</v>
      </c>
      <c r="F188" s="6" t="s">
        <v>710</v>
      </c>
      <c r="G188" s="9">
        <f>IF(A188=1,"_",IF(C188="_","???",C188))</f>
        <v/>
      </c>
      <c r="H188" s="10" t="s">
        <v>11</v>
      </c>
      <c r="I188" s="11" t="s">
        <v>11</v>
      </c>
      <c r="J188" s="12"/>
    </row>
    <row r="189" spans="1:10" ht="60" customHeight="1">
      <c r="A189" s="6" t="s">
        <v>711</v>
      </c>
      <c r="B189" s="6" t="s">
        <v>41</v>
      </c>
      <c r="C189" s="6" t="s">
        <v>11</v>
      </c>
      <c r="D189" s="7" t="s">
        <v>712</v>
      </c>
      <c r="E189" s="8" t="s">
        <v>713</v>
      </c>
      <c r="F189" s="6" t="s">
        <v>714</v>
      </c>
      <c r="G189" s="9">
        <f>IF(A189=1,"_",IF(C189="_","???",C189))</f>
        <v/>
      </c>
      <c r="H189" s="10" t="s">
        <v>11</v>
      </c>
      <c r="I189" s="11" t="s">
        <v>11</v>
      </c>
      <c r="J189" s="12"/>
    </row>
    <row r="190" spans="1:10" ht="60" customHeight="1">
      <c r="A190" s="6" t="s">
        <v>715</v>
      </c>
      <c r="B190" s="6" t="s">
        <v>15</v>
      </c>
      <c r="C190" s="6" t="s">
        <v>11</v>
      </c>
      <c r="D190" s="7" t="s">
        <v>716</v>
      </c>
      <c r="E190" s="8" t="s">
        <v>717</v>
      </c>
      <c r="F190" s="6" t="s">
        <v>718</v>
      </c>
      <c r="G190" s="9">
        <f>IF(A190=1,"_",IF(C190="_","???",C190))</f>
        <v/>
      </c>
      <c r="H190" s="10" t="s">
        <v>11</v>
      </c>
      <c r="I190" s="11" t="s">
        <v>11</v>
      </c>
      <c r="J190" s="12"/>
    </row>
    <row r="191" spans="1:10" ht="60" customHeight="1">
      <c r="A191" s="6" t="s">
        <v>719</v>
      </c>
      <c r="B191" s="6" t="s">
        <v>68</v>
      </c>
      <c r="C191" s="6" t="s">
        <v>11</v>
      </c>
      <c r="D191" s="7" t="s">
        <v>720</v>
      </c>
      <c r="E191" s="8" t="s">
        <v>721</v>
      </c>
      <c r="F191" s="6" t="s">
        <v>722</v>
      </c>
      <c r="G191" s="9">
        <f>IF(A191=1,"_",IF(C191="_","???",C191))</f>
        <v/>
      </c>
      <c r="H191" s="10" t="s">
        <v>11</v>
      </c>
      <c r="I191" s="11" t="s">
        <v>11</v>
      </c>
      <c r="J191" s="12"/>
    </row>
    <row r="192" spans="1:10" ht="60" customHeight="1">
      <c r="A192" s="6" t="s">
        <v>723</v>
      </c>
      <c r="B192" s="6" t="s">
        <v>41</v>
      </c>
      <c r="C192" s="6" t="s">
        <v>11</v>
      </c>
      <c r="D192" s="7" t="s">
        <v>724</v>
      </c>
      <c r="E192" s="8" t="s">
        <v>725</v>
      </c>
      <c r="F192" s="6" t="s">
        <v>726</v>
      </c>
      <c r="G192" s="9">
        <f>IF(A192=1,"_",IF(C192="_","???",C192))</f>
        <v/>
      </c>
      <c r="H192" s="10" t="s">
        <v>11</v>
      </c>
      <c r="I192" s="11" t="s">
        <v>11</v>
      </c>
      <c r="J192" s="12"/>
    </row>
    <row r="193" spans="1:10" ht="60" customHeight="1">
      <c r="A193" s="6" t="s">
        <v>727</v>
      </c>
      <c r="B193" s="6" t="s">
        <v>56</v>
      </c>
      <c r="C193" s="6" t="s">
        <v>11</v>
      </c>
      <c r="D193" s="7" t="s">
        <v>728</v>
      </c>
      <c r="E193" s="8" t="s">
        <v>729</v>
      </c>
      <c r="F193" s="6" t="s">
        <v>730</v>
      </c>
      <c r="G193" s="9">
        <f>IF(A193=1,"_",IF(C193="_","???",C193))</f>
        <v/>
      </c>
      <c r="H193" s="10" t="s">
        <v>11</v>
      </c>
      <c r="I193" s="11" t="s">
        <v>11</v>
      </c>
      <c r="J193" s="12"/>
    </row>
    <row r="194" spans="1:10" ht="60" customHeight="1">
      <c r="A194" s="6" t="s">
        <v>731</v>
      </c>
      <c r="B194" s="6" t="s">
        <v>64</v>
      </c>
      <c r="C194" s="6" t="s">
        <v>11</v>
      </c>
      <c r="D194" s="7" t="s">
        <v>732</v>
      </c>
      <c r="E194" s="8" t="s">
        <v>733</v>
      </c>
      <c r="F194" s="6" t="s">
        <v>734</v>
      </c>
      <c r="G194" s="9">
        <f>IF(A194=1,"_",IF(C194="_","???",C194))</f>
        <v/>
      </c>
      <c r="H194" s="10" t="s">
        <v>11</v>
      </c>
      <c r="I194" s="11" t="s">
        <v>11</v>
      </c>
      <c r="J194" s="12"/>
    </row>
    <row r="195" spans="1:10" ht="60" customHeight="1">
      <c r="A195" s="6" t="s">
        <v>735</v>
      </c>
      <c r="B195" s="6" t="s">
        <v>72</v>
      </c>
      <c r="C195" s="6" t="s">
        <v>11</v>
      </c>
      <c r="D195" s="7" t="s">
        <v>96</v>
      </c>
      <c r="E195" s="8" t="s">
        <v>736</v>
      </c>
      <c r="F195" s="6" t="s">
        <v>737</v>
      </c>
      <c r="G195" s="9">
        <f>IF(A195=1,"_",IF(C195="_","???",C195))</f>
        <v/>
      </c>
      <c r="H195" s="10" t="s">
        <v>11</v>
      </c>
      <c r="I195" s="11" t="s">
        <v>11</v>
      </c>
      <c r="J195" s="12"/>
    </row>
    <row r="196" spans="1:10" ht="60" customHeight="1">
      <c r="A196" s="6" t="s">
        <v>738</v>
      </c>
      <c r="B196" s="6" t="s">
        <v>15</v>
      </c>
      <c r="C196" s="6" t="s">
        <v>11</v>
      </c>
      <c r="D196" s="7" t="s">
        <v>739</v>
      </c>
      <c r="E196" s="8" t="s">
        <v>740</v>
      </c>
      <c r="F196" s="6" t="s">
        <v>741</v>
      </c>
      <c r="G196" s="9">
        <f>IF(A196=1,"_",IF(C196="_","???",C196))</f>
        <v/>
      </c>
      <c r="H196" s="10" t="s">
        <v>11</v>
      </c>
      <c r="I196" s="11" t="s">
        <v>11</v>
      </c>
      <c r="J196" s="12"/>
    </row>
    <row r="197" spans="1:10" ht="60" customHeight="1">
      <c r="A197" s="6" t="s">
        <v>742</v>
      </c>
      <c r="B197" s="6" t="s">
        <v>10</v>
      </c>
      <c r="C197" s="6" t="s">
        <v>11</v>
      </c>
      <c r="D197" s="7" t="s">
        <v>163</v>
      </c>
      <c r="E197" s="8" t="s">
        <v>743</v>
      </c>
      <c r="F197" s="6" t="s">
        <v>744</v>
      </c>
      <c r="G197" s="9">
        <f>IF(A197=1,"_",IF(C197="_","???",C197))</f>
        <v/>
      </c>
      <c r="H197" s="10" t="s">
        <v>11</v>
      </c>
      <c r="I197" s="11" t="s">
        <v>11</v>
      </c>
      <c r="J197" s="12"/>
    </row>
    <row r="198" spans="1:10" ht="60" customHeight="1">
      <c r="A198" s="6" t="s">
        <v>745</v>
      </c>
      <c r="B198" s="6" t="s">
        <v>16</v>
      </c>
      <c r="C198" s="6" t="s">
        <v>11</v>
      </c>
      <c r="D198" s="7" t="s">
        <v>544</v>
      </c>
      <c r="E198" s="8" t="s">
        <v>746</v>
      </c>
      <c r="F198" s="6" t="s">
        <v>747</v>
      </c>
      <c r="G198" s="9">
        <f>IF(A198=1,"_",IF(C198="_","???",C198))</f>
        <v/>
      </c>
      <c r="H198" s="10" t="s">
        <v>11</v>
      </c>
      <c r="I198" s="11" t="s">
        <v>11</v>
      </c>
      <c r="J198" s="12"/>
    </row>
    <row r="199" spans="1:10" ht="60" customHeight="1">
      <c r="A199" s="6" t="s">
        <v>748</v>
      </c>
      <c r="B199" s="6" t="s">
        <v>29</v>
      </c>
      <c r="C199" s="6" t="s">
        <v>11</v>
      </c>
      <c r="D199" s="7" t="s">
        <v>134</v>
      </c>
      <c r="E199" s="8" t="s">
        <v>749</v>
      </c>
      <c r="F199" s="6" t="s">
        <v>750</v>
      </c>
      <c r="G199" s="9">
        <f>IF(A199=1,"_",IF(C199="_","???",C199))</f>
        <v/>
      </c>
      <c r="H199" s="10" t="s">
        <v>11</v>
      </c>
      <c r="I199" s="11" t="s">
        <v>11</v>
      </c>
      <c r="J199" s="12"/>
    </row>
    <row r="200" spans="1:10" ht="60" customHeight="1">
      <c r="A200" s="6" t="s">
        <v>751</v>
      </c>
      <c r="B200" s="6" t="s">
        <v>10</v>
      </c>
      <c r="C200" s="6" t="s">
        <v>11</v>
      </c>
      <c r="D200" s="7" t="s">
        <v>185</v>
      </c>
      <c r="E200" s="8" t="s">
        <v>752</v>
      </c>
      <c r="F200" s="6" t="s">
        <v>753</v>
      </c>
      <c r="G200" s="9">
        <f>IF(A200=1,"_",IF(C200="_","???",C200))</f>
        <v/>
      </c>
      <c r="H200" s="10" t="s">
        <v>11</v>
      </c>
      <c r="I200" s="11" t="s">
        <v>11</v>
      </c>
      <c r="J200" s="12"/>
    </row>
    <row r="201" spans="1:10" ht="60" customHeight="1">
      <c r="A201" s="6" t="s">
        <v>754</v>
      </c>
      <c r="B201" s="6" t="s">
        <v>25</v>
      </c>
      <c r="C201" s="6" t="s">
        <v>11</v>
      </c>
      <c r="D201" s="7" t="s">
        <v>755</v>
      </c>
      <c r="E201" s="8" t="s">
        <v>756</v>
      </c>
      <c r="F201" s="6" t="s">
        <v>757</v>
      </c>
      <c r="G201" s="9">
        <f>IF(A201=1,"_",IF(C201="_","???",C201))</f>
        <v/>
      </c>
      <c r="H201" s="10" t="s">
        <v>11</v>
      </c>
      <c r="I201" s="11" t="s">
        <v>11</v>
      </c>
      <c r="J201" s="12"/>
    </row>
    <row r="202" spans="1:10" ht="60" customHeight="1">
      <c r="A202" s="6" t="s">
        <v>758</v>
      </c>
      <c r="B202" s="6" t="s">
        <v>20</v>
      </c>
      <c r="C202" s="6" t="s">
        <v>11</v>
      </c>
      <c r="D202" s="7" t="s">
        <v>759</v>
      </c>
      <c r="E202" s="8" t="s">
        <v>760</v>
      </c>
      <c r="F202" s="6" t="s">
        <v>761</v>
      </c>
      <c r="G202" s="9">
        <f>IF(A202=1,"_",IF(C202="_","???",C202))</f>
        <v/>
      </c>
      <c r="H202" s="10" t="s">
        <v>11</v>
      </c>
      <c r="I202" s="11" t="s">
        <v>11</v>
      </c>
      <c r="J202" s="12"/>
    </row>
    <row r="203" spans="1:10" ht="60" customHeight="1">
      <c r="A203" s="6" t="s">
        <v>762</v>
      </c>
      <c r="B203" s="6" t="s">
        <v>21</v>
      </c>
      <c r="C203" s="6" t="s">
        <v>11</v>
      </c>
      <c r="D203" s="7" t="s">
        <v>134</v>
      </c>
      <c r="E203" s="8" t="s">
        <v>763</v>
      </c>
      <c r="F203" s="6" t="s">
        <v>764</v>
      </c>
      <c r="G203" s="9">
        <f>IF(A203=1,"_",IF(C203="_","???",C203))</f>
        <v/>
      </c>
      <c r="H203" s="10" t="s">
        <v>11</v>
      </c>
      <c r="I203" s="11" t="s">
        <v>11</v>
      </c>
      <c r="J203" s="12"/>
    </row>
    <row r="204" spans="1:10" ht="60" customHeight="1">
      <c r="A204" s="6" t="s">
        <v>765</v>
      </c>
      <c r="B204" s="6" t="s">
        <v>29</v>
      </c>
      <c r="C204" s="6" t="s">
        <v>30</v>
      </c>
      <c r="D204" s="7" t="s">
        <v>739</v>
      </c>
      <c r="E204" s="8" t="s">
        <v>766</v>
      </c>
      <c r="F204" s="6" t="s">
        <v>767</v>
      </c>
      <c r="G204" s="9">
        <f>IF(A204=1,"_",IF(C204="_","???",C204))</f>
        <v/>
      </c>
      <c r="H204" s="10" t="s">
        <v>11</v>
      </c>
      <c r="I204" s="11" t="s">
        <v>11</v>
      </c>
      <c r="J204" s="12"/>
    </row>
    <row r="205" spans="1:10" ht="60" customHeight="1">
      <c r="A205" s="6" t="s">
        <v>768</v>
      </c>
      <c r="B205" s="6" t="s">
        <v>15</v>
      </c>
      <c r="C205" s="6" t="s">
        <v>11</v>
      </c>
      <c r="D205" s="7" t="s">
        <v>340</v>
      </c>
      <c r="E205" s="8" t="s">
        <v>769</v>
      </c>
      <c r="F205" s="6" t="s">
        <v>770</v>
      </c>
      <c r="G205" s="9">
        <f>IF(A205=1,"_",IF(C205="_","???",C205))</f>
        <v/>
      </c>
      <c r="H205" s="10" t="s">
        <v>11</v>
      </c>
      <c r="I205" s="11" t="s">
        <v>11</v>
      </c>
      <c r="J205" s="12"/>
    </row>
    <row r="206" spans="1:10" ht="60" customHeight="1">
      <c r="A206" s="6" t="s">
        <v>771</v>
      </c>
      <c r="B206" s="6" t="s">
        <v>48</v>
      </c>
      <c r="C206" s="6" t="s">
        <v>11</v>
      </c>
      <c r="D206" s="7" t="s">
        <v>772</v>
      </c>
      <c r="E206" s="8" t="s">
        <v>773</v>
      </c>
      <c r="F206" s="6" t="s">
        <v>774</v>
      </c>
      <c r="G206" s="9">
        <f>IF(A206=1,"_",IF(C206="_","???",C206))</f>
        <v/>
      </c>
      <c r="H206" s="10" t="s">
        <v>11</v>
      </c>
      <c r="I206" s="11" t="s">
        <v>11</v>
      </c>
      <c r="J206" s="12"/>
    </row>
    <row r="207" spans="1:10" ht="60" customHeight="1">
      <c r="A207" s="6" t="s">
        <v>775</v>
      </c>
      <c r="B207" s="6" t="s">
        <v>15</v>
      </c>
      <c r="C207" s="6" t="s">
        <v>11</v>
      </c>
      <c r="D207" s="7" t="s">
        <v>772</v>
      </c>
      <c r="E207" s="8" t="s">
        <v>776</v>
      </c>
      <c r="F207" s="6" t="s">
        <v>777</v>
      </c>
      <c r="G207" s="9">
        <f>IF(A207=1,"_",IF(C207="_","???",C207))</f>
        <v/>
      </c>
      <c r="H207" s="10" t="s">
        <v>11</v>
      </c>
      <c r="I207" s="11" t="s">
        <v>11</v>
      </c>
      <c r="J207" s="12"/>
    </row>
    <row r="208" spans="1:10" ht="60" customHeight="1">
      <c r="A208" s="6" t="s">
        <v>778</v>
      </c>
      <c r="B208" s="6" t="s">
        <v>25</v>
      </c>
      <c r="C208" s="6" t="s">
        <v>11</v>
      </c>
      <c r="D208" s="7" t="s">
        <v>704</v>
      </c>
      <c r="E208" s="8" t="s">
        <v>779</v>
      </c>
      <c r="F208" s="6" t="s">
        <v>780</v>
      </c>
      <c r="G208" s="9">
        <f>IF(A208=1,"_",IF(C208="_","???",C208))</f>
        <v/>
      </c>
      <c r="H208" s="10" t="s">
        <v>11</v>
      </c>
      <c r="I208" s="11" t="s">
        <v>11</v>
      </c>
      <c r="J208" s="12"/>
    </row>
    <row r="209" spans="1:10" ht="60" customHeight="1">
      <c r="A209" s="6" t="s">
        <v>781</v>
      </c>
      <c r="B209" s="6" t="s">
        <v>41</v>
      </c>
      <c r="C209" s="6" t="s">
        <v>11</v>
      </c>
      <c r="D209" s="7" t="s">
        <v>96</v>
      </c>
      <c r="E209" s="8" t="s">
        <v>782</v>
      </c>
      <c r="F209" s="6" t="s">
        <v>783</v>
      </c>
      <c r="G209" s="9">
        <f>IF(A209=1,"_",IF(C209="_","???",C209))</f>
        <v/>
      </c>
      <c r="H209" s="10" t="s">
        <v>11</v>
      </c>
      <c r="I209" s="11" t="s">
        <v>11</v>
      </c>
      <c r="J209" s="12"/>
    </row>
    <row r="210" spans="1:10" ht="60" customHeight="1">
      <c r="A210" s="6" t="s">
        <v>784</v>
      </c>
      <c r="B210" s="6" t="s">
        <v>15</v>
      </c>
      <c r="C210" s="6" t="s">
        <v>11</v>
      </c>
      <c r="D210" s="7" t="s">
        <v>96</v>
      </c>
      <c r="E210" s="8" t="s">
        <v>785</v>
      </c>
      <c r="F210" s="6" t="s">
        <v>786</v>
      </c>
      <c r="G210" s="9">
        <f>IF(A210=1,"_",IF(C210="_","???",C210))</f>
        <v/>
      </c>
      <c r="H210" s="10" t="s">
        <v>11</v>
      </c>
      <c r="I210" s="11" t="s">
        <v>11</v>
      </c>
      <c r="J210" s="12"/>
    </row>
    <row r="211" spans="1:10" ht="60" customHeight="1">
      <c r="A211" s="6" t="s">
        <v>787</v>
      </c>
      <c r="B211" s="6" t="s">
        <v>15</v>
      </c>
      <c r="C211" s="6" t="s">
        <v>11</v>
      </c>
      <c r="D211" s="7" t="s">
        <v>96</v>
      </c>
      <c r="E211" s="8" t="s">
        <v>788</v>
      </c>
      <c r="F211" s="6" t="s">
        <v>789</v>
      </c>
      <c r="G211" s="9">
        <f>IF(A211=1,"_",IF(C211="_","???",C211))</f>
        <v/>
      </c>
      <c r="H211" s="10" t="s">
        <v>11</v>
      </c>
      <c r="I211" s="11" t="s">
        <v>11</v>
      </c>
      <c r="J211" s="12"/>
    </row>
    <row r="212" spans="1:10" ht="60" customHeight="1">
      <c r="A212" s="6" t="s">
        <v>790</v>
      </c>
      <c r="B212" s="6" t="s">
        <v>20</v>
      </c>
      <c r="C212" s="6" t="s">
        <v>11</v>
      </c>
      <c r="D212" s="7" t="s">
        <v>163</v>
      </c>
      <c r="E212" s="8" t="s">
        <v>791</v>
      </c>
      <c r="F212" s="6" t="s">
        <v>792</v>
      </c>
      <c r="G212" s="9">
        <f>IF(A212=1,"_",IF(C212="_","???",C212))</f>
        <v/>
      </c>
      <c r="H212" s="10" t="s">
        <v>11</v>
      </c>
      <c r="I212" s="11" t="s">
        <v>11</v>
      </c>
      <c r="J212" s="12"/>
    </row>
    <row r="213" spans="1:10" ht="60" customHeight="1">
      <c r="A213" s="6" t="s">
        <v>793</v>
      </c>
      <c r="B213" s="6" t="s">
        <v>153</v>
      </c>
      <c r="C213" s="6" t="s">
        <v>11</v>
      </c>
      <c r="D213" s="7" t="s">
        <v>794</v>
      </c>
      <c r="E213" s="8" t="s">
        <v>795</v>
      </c>
      <c r="F213" s="6" t="s">
        <v>796</v>
      </c>
      <c r="G213" s="9">
        <f>IF(A213=1,"_",IF(C213="_","???",C213))</f>
        <v/>
      </c>
      <c r="H213" s="10" t="s">
        <v>11</v>
      </c>
      <c r="I213" s="11" t="s">
        <v>11</v>
      </c>
      <c r="J213" s="12"/>
    </row>
    <row r="214" spans="1:10" ht="60" customHeight="1">
      <c r="A214" s="6" t="s">
        <v>797</v>
      </c>
      <c r="B214" s="6" t="s">
        <v>34</v>
      </c>
      <c r="C214" s="6" t="s">
        <v>11</v>
      </c>
      <c r="D214" s="7" t="s">
        <v>798</v>
      </c>
      <c r="E214" s="8" t="s">
        <v>799</v>
      </c>
      <c r="F214" s="6" t="s">
        <v>800</v>
      </c>
      <c r="G214" s="9">
        <f>IF(A214=1,"_",IF(C214="_","???",C214))</f>
        <v/>
      </c>
      <c r="H214" s="10" t="s">
        <v>11</v>
      </c>
      <c r="I214" s="11" t="s">
        <v>11</v>
      </c>
      <c r="J214" s="12"/>
    </row>
    <row r="215" spans="1:10" ht="60" customHeight="1">
      <c r="A215" s="6" t="s">
        <v>801</v>
      </c>
      <c r="B215" s="6" t="s">
        <v>15</v>
      </c>
      <c r="C215" s="6" t="s">
        <v>11</v>
      </c>
      <c r="D215" s="7" t="s">
        <v>163</v>
      </c>
      <c r="E215" s="8" t="s">
        <v>802</v>
      </c>
      <c r="F215" s="6" t="s">
        <v>803</v>
      </c>
      <c r="G215" s="9">
        <f>IF(A215=1,"_",IF(C215="_","???",C215))</f>
        <v/>
      </c>
      <c r="H215" s="10" t="s">
        <v>11</v>
      </c>
      <c r="I215" s="11" t="s">
        <v>11</v>
      </c>
      <c r="J215" s="12"/>
    </row>
    <row r="216" spans="1:10" ht="60" customHeight="1">
      <c r="A216" s="6" t="s">
        <v>804</v>
      </c>
      <c r="B216" s="6" t="s">
        <v>34</v>
      </c>
      <c r="C216" s="6" t="s">
        <v>11</v>
      </c>
      <c r="D216" s="7" t="s">
        <v>805</v>
      </c>
      <c r="E216" s="8" t="s">
        <v>806</v>
      </c>
      <c r="F216" s="6" t="s">
        <v>807</v>
      </c>
      <c r="G216" s="9">
        <f>IF(A216=1,"_",IF(C216="_","???",C216))</f>
        <v/>
      </c>
      <c r="H216" s="10" t="s">
        <v>11</v>
      </c>
      <c r="I216" s="11" t="s">
        <v>11</v>
      </c>
      <c r="J216" s="12"/>
    </row>
    <row r="217" spans="1:10" ht="60" customHeight="1">
      <c r="A217" s="6" t="s">
        <v>808</v>
      </c>
      <c r="B217" s="6" t="s">
        <v>25</v>
      </c>
      <c r="C217" s="6" t="s">
        <v>11</v>
      </c>
      <c r="D217" s="7" t="s">
        <v>809</v>
      </c>
      <c r="E217" s="8" t="s">
        <v>810</v>
      </c>
      <c r="F217" s="6" t="s">
        <v>811</v>
      </c>
      <c r="G217" s="9">
        <f>IF(A217=1,"_",IF(C217="_","???",C217))</f>
        <v/>
      </c>
      <c r="H217" s="10" t="s">
        <v>11</v>
      </c>
      <c r="I217" s="11" t="s">
        <v>11</v>
      </c>
      <c r="J217" s="12"/>
    </row>
    <row r="218" spans="1:10" ht="60" customHeight="1">
      <c r="A218" s="6" t="s">
        <v>812</v>
      </c>
      <c r="B218" s="6" t="s">
        <v>25</v>
      </c>
      <c r="C218" s="6" t="s">
        <v>11</v>
      </c>
      <c r="D218" s="7" t="s">
        <v>521</v>
      </c>
      <c r="E218" s="8" t="s">
        <v>813</v>
      </c>
      <c r="F218" s="6" t="s">
        <v>814</v>
      </c>
      <c r="G218" s="9">
        <f>IF(A218=1,"_",IF(C218="_","???",C218))</f>
        <v/>
      </c>
      <c r="H218" s="10" t="s">
        <v>11</v>
      </c>
      <c r="I218" s="11" t="s">
        <v>11</v>
      </c>
      <c r="J218" s="12"/>
    </row>
    <row r="219" spans="1:10" ht="60" customHeight="1">
      <c r="A219" s="6" t="s">
        <v>815</v>
      </c>
      <c r="B219" s="6" t="s">
        <v>21</v>
      </c>
      <c r="C219" s="6" t="s">
        <v>11</v>
      </c>
      <c r="D219" s="7" t="s">
        <v>816</v>
      </c>
      <c r="E219" s="8" t="s">
        <v>817</v>
      </c>
      <c r="F219" s="6" t="s">
        <v>818</v>
      </c>
      <c r="G219" s="9">
        <f>IF(A219=1,"_",IF(C219="_","???",C219))</f>
        <v/>
      </c>
      <c r="H219" s="10" t="s">
        <v>11</v>
      </c>
      <c r="I219" s="11" t="s">
        <v>11</v>
      </c>
      <c r="J219" s="12"/>
    </row>
    <row r="220" spans="1:10" ht="60" customHeight="1">
      <c r="A220" s="6" t="s">
        <v>819</v>
      </c>
      <c r="B220" s="6" t="s">
        <v>15</v>
      </c>
      <c r="C220" s="6" t="s">
        <v>11</v>
      </c>
      <c r="D220" s="7" t="s">
        <v>207</v>
      </c>
      <c r="E220" s="8" t="s">
        <v>820</v>
      </c>
      <c r="F220" s="6" t="s">
        <v>821</v>
      </c>
      <c r="G220" s="9">
        <f>IF(A220=1,"_",IF(C220="_","???",C220))</f>
        <v/>
      </c>
      <c r="H220" s="10" t="s">
        <v>11</v>
      </c>
      <c r="I220" s="11" t="s">
        <v>11</v>
      </c>
      <c r="J220" s="12"/>
    </row>
    <row r="221" spans="1:10" ht="60" customHeight="1">
      <c r="A221" s="6" t="s">
        <v>822</v>
      </c>
      <c r="B221" s="6" t="s">
        <v>15</v>
      </c>
      <c r="C221" s="6" t="s">
        <v>11</v>
      </c>
      <c r="D221" s="7" t="s">
        <v>207</v>
      </c>
      <c r="E221" s="8" t="s">
        <v>823</v>
      </c>
      <c r="F221" s="6" t="s">
        <v>824</v>
      </c>
      <c r="G221" s="9">
        <f>IF(A221=1,"_",IF(C221="_","???",C221))</f>
        <v/>
      </c>
      <c r="H221" s="10" t="s">
        <v>11</v>
      </c>
      <c r="I221" s="11" t="s">
        <v>11</v>
      </c>
      <c r="J221" s="12"/>
    </row>
    <row r="222" spans="1:10" ht="60" customHeight="1">
      <c r="A222" s="6" t="s">
        <v>825</v>
      </c>
      <c r="B222" s="6" t="s">
        <v>87</v>
      </c>
      <c r="C222" s="6" t="s">
        <v>11</v>
      </c>
      <c r="D222" s="7" t="s">
        <v>826</v>
      </c>
      <c r="E222" s="8" t="s">
        <v>827</v>
      </c>
      <c r="F222" s="6" t="s">
        <v>828</v>
      </c>
      <c r="G222" s="9">
        <f>IF(A222=1,"_",IF(C222="_","???",C222))</f>
        <v/>
      </c>
      <c r="H222" s="10" t="s">
        <v>11</v>
      </c>
      <c r="I222" s="11" t="s">
        <v>11</v>
      </c>
      <c r="J222" s="12"/>
    </row>
    <row r="223" spans="1:10" ht="60" customHeight="1">
      <c r="A223" s="6" t="s">
        <v>829</v>
      </c>
      <c r="B223" s="6" t="s">
        <v>29</v>
      </c>
      <c r="C223" s="6" t="s">
        <v>30</v>
      </c>
      <c r="D223" s="7" t="s">
        <v>830</v>
      </c>
      <c r="E223" s="8" t="s">
        <v>831</v>
      </c>
      <c r="F223" s="6" t="s">
        <v>832</v>
      </c>
      <c r="G223" s="9">
        <f>IF(A223=1,"_",IF(C223="_","???",C223))</f>
        <v/>
      </c>
      <c r="H223" s="10" t="s">
        <v>11</v>
      </c>
      <c r="I223" s="11" t="s">
        <v>11</v>
      </c>
      <c r="J223" s="12"/>
    </row>
    <row r="224" spans="1:10" ht="60" customHeight="1">
      <c r="A224" s="6" t="s">
        <v>833</v>
      </c>
      <c r="B224" s="6" t="s">
        <v>34</v>
      </c>
      <c r="C224" s="6" t="s">
        <v>11</v>
      </c>
      <c r="D224" s="7" t="s">
        <v>834</v>
      </c>
      <c r="E224" s="8" t="s">
        <v>835</v>
      </c>
      <c r="F224" s="6" t="s">
        <v>836</v>
      </c>
      <c r="G224" s="9">
        <f>IF(A224=1,"_",IF(C224="_","???",C224))</f>
        <v/>
      </c>
      <c r="H224" s="10" t="s">
        <v>11</v>
      </c>
      <c r="I224" s="11" t="s">
        <v>11</v>
      </c>
      <c r="J224" s="12"/>
    </row>
    <row r="225" spans="1:10" ht="60" customHeight="1">
      <c r="A225" s="6" t="s">
        <v>837</v>
      </c>
      <c r="B225" s="6" t="s">
        <v>21</v>
      </c>
      <c r="C225" s="6" t="s">
        <v>11</v>
      </c>
      <c r="D225" s="7" t="s">
        <v>838</v>
      </c>
      <c r="E225" s="8" t="s">
        <v>839</v>
      </c>
      <c r="F225" s="6" t="s">
        <v>840</v>
      </c>
      <c r="G225" s="9">
        <f>IF(A225=1,"_",IF(C225="_","???",C225))</f>
        <v/>
      </c>
      <c r="H225" s="10" t="s">
        <v>11</v>
      </c>
      <c r="I225" s="11" t="s">
        <v>11</v>
      </c>
      <c r="J225" s="12"/>
    </row>
    <row r="226" spans="1:10" ht="60" customHeight="1">
      <c r="A226" s="6" t="s">
        <v>841</v>
      </c>
      <c r="B226" s="6" t="s">
        <v>21</v>
      </c>
      <c r="C226" s="6" t="s">
        <v>11</v>
      </c>
      <c r="D226" s="7" t="s">
        <v>842</v>
      </c>
      <c r="E226" s="8" t="s">
        <v>843</v>
      </c>
      <c r="F226" s="6" t="s">
        <v>844</v>
      </c>
      <c r="G226" s="9">
        <f>IF(A226=1,"_",IF(C226="_","???",C226))</f>
        <v/>
      </c>
      <c r="H226" s="10" t="s">
        <v>11</v>
      </c>
      <c r="I226" s="11" t="s">
        <v>11</v>
      </c>
      <c r="J226" s="12"/>
    </row>
    <row r="227" spans="1:10" ht="60" customHeight="1">
      <c r="A227" s="6" t="s">
        <v>845</v>
      </c>
      <c r="B227" s="6" t="s">
        <v>21</v>
      </c>
      <c r="C227" s="6" t="s">
        <v>11</v>
      </c>
      <c r="D227" s="7" t="s">
        <v>846</v>
      </c>
      <c r="E227" s="8" t="s">
        <v>847</v>
      </c>
      <c r="F227" s="6" t="s">
        <v>848</v>
      </c>
      <c r="G227" s="9">
        <f>IF(A227=1,"_",IF(C227="_","???",C227))</f>
        <v/>
      </c>
      <c r="H227" s="10" t="s">
        <v>11</v>
      </c>
      <c r="I227" s="11" t="s">
        <v>11</v>
      </c>
      <c r="J227" s="12"/>
    </row>
    <row r="228" spans="1:10" ht="60" customHeight="1">
      <c r="A228" s="6" t="s">
        <v>849</v>
      </c>
      <c r="B228" s="6" t="s">
        <v>76</v>
      </c>
      <c r="C228" s="6" t="s">
        <v>11</v>
      </c>
      <c r="D228" s="7" t="s">
        <v>850</v>
      </c>
      <c r="E228" s="8" t="s">
        <v>851</v>
      </c>
      <c r="F228" s="6" t="s">
        <v>852</v>
      </c>
      <c r="G228" s="9">
        <f>IF(A228=1,"_",IF(C228="_","???",C228))</f>
        <v/>
      </c>
      <c r="H228" s="10" t="s">
        <v>11</v>
      </c>
      <c r="I228" s="11" t="s">
        <v>11</v>
      </c>
      <c r="J228" s="12"/>
    </row>
    <row r="229" spans="1:10" ht="60" customHeight="1">
      <c r="A229" s="6" t="s">
        <v>853</v>
      </c>
      <c r="B229" s="6" t="s">
        <v>16</v>
      </c>
      <c r="C229" s="6" t="s">
        <v>11</v>
      </c>
      <c r="D229" s="7" t="s">
        <v>772</v>
      </c>
      <c r="E229" s="8" t="s">
        <v>854</v>
      </c>
      <c r="F229" s="6" t="s">
        <v>855</v>
      </c>
      <c r="G229" s="9">
        <f>IF(A229=1,"_",IF(C229="_","???",C229))</f>
        <v/>
      </c>
      <c r="H229" s="10" t="s">
        <v>11</v>
      </c>
      <c r="I229" s="11" t="s">
        <v>11</v>
      </c>
      <c r="J229" s="12"/>
    </row>
    <row r="230" spans="1:10" ht="60" customHeight="1">
      <c r="A230" s="6" t="s">
        <v>856</v>
      </c>
      <c r="B230" s="6" t="s">
        <v>10</v>
      </c>
      <c r="C230" s="6" t="s">
        <v>30</v>
      </c>
      <c r="D230" s="7" t="s">
        <v>857</v>
      </c>
      <c r="E230" s="8" t="s">
        <v>858</v>
      </c>
      <c r="F230" s="6" t="s">
        <v>859</v>
      </c>
      <c r="G230" s="9">
        <f>IF(A230=1,"_",IF(C230="_","???",C230))</f>
        <v/>
      </c>
      <c r="H230" s="10" t="s">
        <v>11</v>
      </c>
      <c r="I230" s="11" t="s">
        <v>11</v>
      </c>
      <c r="J230" s="12"/>
    </row>
    <row r="231" spans="1:10" ht="60" customHeight="1">
      <c r="A231" s="6" t="s">
        <v>860</v>
      </c>
      <c r="B231" s="6" t="s">
        <v>15</v>
      </c>
      <c r="C231" s="6" t="s">
        <v>11</v>
      </c>
      <c r="D231" s="7" t="s">
        <v>861</v>
      </c>
      <c r="E231" s="8" t="s">
        <v>862</v>
      </c>
      <c r="F231" s="6" t="s">
        <v>863</v>
      </c>
      <c r="G231" s="9">
        <f>IF(A231=1,"_",IF(C231="_","???",C231))</f>
        <v/>
      </c>
      <c r="H231" s="10" t="s">
        <v>11</v>
      </c>
      <c r="I231" s="11" t="s">
        <v>11</v>
      </c>
      <c r="J231" s="12"/>
    </row>
    <row r="232" spans="1:10" ht="60" customHeight="1">
      <c r="A232" s="6" t="s">
        <v>864</v>
      </c>
      <c r="B232" s="6" t="s">
        <v>20</v>
      </c>
      <c r="C232" s="6" t="s">
        <v>11</v>
      </c>
      <c r="D232" s="7" t="s">
        <v>865</v>
      </c>
      <c r="E232" s="8" t="s">
        <v>866</v>
      </c>
      <c r="F232" s="6" t="s">
        <v>867</v>
      </c>
      <c r="G232" s="9">
        <f>IF(A232=1,"_",IF(C232="_","???",C232))</f>
        <v/>
      </c>
      <c r="H232" s="10" t="s">
        <v>11</v>
      </c>
      <c r="I232" s="11" t="s">
        <v>11</v>
      </c>
      <c r="J232" s="12"/>
    </row>
    <row r="233" spans="1:10" ht="60" customHeight="1">
      <c r="A233" s="6" t="s">
        <v>868</v>
      </c>
      <c r="B233" s="6" t="s">
        <v>15</v>
      </c>
      <c r="C233" s="6" t="s">
        <v>11</v>
      </c>
      <c r="D233" s="7" t="s">
        <v>207</v>
      </c>
      <c r="E233" s="8" t="s">
        <v>869</v>
      </c>
      <c r="F233" s="6" t="s">
        <v>870</v>
      </c>
      <c r="G233" s="9">
        <f>IF(A233=1,"_",IF(C233="_","???",C233))</f>
        <v/>
      </c>
      <c r="H233" s="10" t="s">
        <v>11</v>
      </c>
      <c r="I233" s="11" t="s">
        <v>11</v>
      </c>
      <c r="J233" s="12"/>
    </row>
    <row r="234" spans="1:10" ht="60" customHeight="1">
      <c r="A234" s="6" t="s">
        <v>871</v>
      </c>
      <c r="B234" s="6" t="s">
        <v>20</v>
      </c>
      <c r="C234" s="6" t="s">
        <v>11</v>
      </c>
      <c r="D234" s="7" t="s">
        <v>207</v>
      </c>
      <c r="E234" s="8" t="s">
        <v>872</v>
      </c>
      <c r="F234" s="6" t="s">
        <v>873</v>
      </c>
      <c r="G234" s="9">
        <f>IF(A234=1,"_",IF(C234="_","???",C234))</f>
        <v/>
      </c>
      <c r="H234" s="10" t="s">
        <v>11</v>
      </c>
      <c r="I234" s="11" t="s">
        <v>11</v>
      </c>
      <c r="J234" s="12"/>
    </row>
    <row r="235" spans="1:10" ht="60" customHeight="1">
      <c r="A235" s="6" t="s">
        <v>874</v>
      </c>
      <c r="B235" s="6" t="s">
        <v>15</v>
      </c>
      <c r="C235" s="6" t="s">
        <v>11</v>
      </c>
      <c r="D235" s="7" t="s">
        <v>875</v>
      </c>
      <c r="E235" s="8" t="s">
        <v>876</v>
      </c>
      <c r="F235" s="6" t="s">
        <v>877</v>
      </c>
      <c r="G235" s="9">
        <f>IF(A235=1,"_",IF(C235="_","???",C235))</f>
        <v/>
      </c>
      <c r="H235" s="10" t="s">
        <v>11</v>
      </c>
      <c r="I235" s="11" t="s">
        <v>11</v>
      </c>
      <c r="J235" s="12"/>
    </row>
    <row r="236" spans="1:10" ht="60" customHeight="1">
      <c r="A236" s="6" t="s">
        <v>878</v>
      </c>
      <c r="B236" s="6" t="s">
        <v>10</v>
      </c>
      <c r="C236" s="6" t="s">
        <v>11</v>
      </c>
      <c r="D236" s="7" t="s">
        <v>185</v>
      </c>
      <c r="E236" s="8" t="s">
        <v>879</v>
      </c>
      <c r="F236" s="6" t="s">
        <v>880</v>
      </c>
      <c r="G236" s="9">
        <f>IF(A236=1,"_",IF(C236="_","???",C236))</f>
        <v/>
      </c>
      <c r="H236" s="10" t="s">
        <v>11</v>
      </c>
      <c r="I236" s="11" t="s">
        <v>11</v>
      </c>
      <c r="J236" s="12"/>
    </row>
    <row r="237" spans="1:10" ht="60" customHeight="1">
      <c r="A237" s="6" t="s">
        <v>881</v>
      </c>
      <c r="B237" s="6" t="s">
        <v>21</v>
      </c>
      <c r="C237" s="6" t="s">
        <v>11</v>
      </c>
      <c r="D237" s="7" t="s">
        <v>882</v>
      </c>
      <c r="E237" s="8" t="s">
        <v>883</v>
      </c>
      <c r="F237" s="6" t="s">
        <v>884</v>
      </c>
      <c r="G237" s="9">
        <f>IF(A237=1,"_",IF(C237="_","???",C237))</f>
        <v/>
      </c>
      <c r="H237" s="10" t="s">
        <v>11</v>
      </c>
      <c r="I237" s="11" t="s">
        <v>11</v>
      </c>
      <c r="J237" s="12"/>
    </row>
    <row r="238" spans="1:10" ht="60" customHeight="1">
      <c r="A238" s="6" t="s">
        <v>885</v>
      </c>
      <c r="B238" s="6" t="s">
        <v>21</v>
      </c>
      <c r="C238" s="6" t="s">
        <v>11</v>
      </c>
      <c r="D238" s="7" t="s">
        <v>215</v>
      </c>
      <c r="E238" s="8" t="s">
        <v>886</v>
      </c>
      <c r="F238" s="6" t="s">
        <v>887</v>
      </c>
      <c r="G238" s="9">
        <f>IF(A238=1,"_",IF(C238="_","???",C238))</f>
        <v/>
      </c>
      <c r="H238" s="10" t="s">
        <v>11</v>
      </c>
      <c r="I238" s="11" t="s">
        <v>11</v>
      </c>
      <c r="J238" s="12"/>
    </row>
    <row r="239" spans="1:10" ht="60" customHeight="1">
      <c r="A239" s="6" t="s">
        <v>888</v>
      </c>
      <c r="B239" s="6" t="s">
        <v>15</v>
      </c>
      <c r="C239" s="6" t="s">
        <v>11</v>
      </c>
      <c r="D239" s="7" t="s">
        <v>207</v>
      </c>
      <c r="E239" s="8" t="s">
        <v>889</v>
      </c>
      <c r="F239" s="6" t="s">
        <v>890</v>
      </c>
      <c r="G239" s="9">
        <f>IF(A239=1,"_",IF(C239="_","???",C239))</f>
        <v/>
      </c>
      <c r="H239" s="10" t="s">
        <v>11</v>
      </c>
      <c r="I239" s="11" t="s">
        <v>11</v>
      </c>
      <c r="J239" s="12"/>
    </row>
    <row r="240" spans="1:10" ht="60" customHeight="1">
      <c r="A240" s="6" t="s">
        <v>891</v>
      </c>
      <c r="B240" s="6" t="s">
        <v>25</v>
      </c>
      <c r="C240" s="6" t="s">
        <v>11</v>
      </c>
      <c r="D240" s="7" t="s">
        <v>892</v>
      </c>
      <c r="E240" s="8" t="s">
        <v>893</v>
      </c>
      <c r="F240" s="6" t="s">
        <v>894</v>
      </c>
      <c r="G240" s="9">
        <f>IF(A240=1,"_",IF(C240="_","???",C240))</f>
        <v/>
      </c>
      <c r="H240" s="10" t="s">
        <v>11</v>
      </c>
      <c r="I240" s="11" t="s">
        <v>11</v>
      </c>
      <c r="J240" s="12"/>
    </row>
    <row r="241" spans="1:10" ht="60" customHeight="1">
      <c r="A241" s="6" t="s">
        <v>895</v>
      </c>
      <c r="B241" s="6" t="s">
        <v>15</v>
      </c>
      <c r="C241" s="6" t="s">
        <v>11</v>
      </c>
      <c r="D241" s="7" t="s">
        <v>521</v>
      </c>
      <c r="E241" s="8" t="s">
        <v>896</v>
      </c>
      <c r="F241" s="6" t="s">
        <v>897</v>
      </c>
      <c r="G241" s="9">
        <f>IF(A241=1,"_",IF(C241="_","???",C241))</f>
        <v/>
      </c>
      <c r="H241" s="10" t="s">
        <v>11</v>
      </c>
      <c r="I241" s="11" t="s">
        <v>11</v>
      </c>
      <c r="J241" s="12"/>
    </row>
    <row r="242" spans="1:10" ht="60" customHeight="1">
      <c r="A242" s="6" t="s">
        <v>898</v>
      </c>
      <c r="B242" s="6" t="s">
        <v>101</v>
      </c>
      <c r="C242" s="6" t="s">
        <v>11</v>
      </c>
      <c r="D242" s="7" t="s">
        <v>899</v>
      </c>
      <c r="E242" s="8" t="s">
        <v>900</v>
      </c>
      <c r="F242" s="6" t="s">
        <v>901</v>
      </c>
      <c r="G242" s="9">
        <f>IF(A242=1,"_",IF(C242="_","???",C242))</f>
        <v/>
      </c>
      <c r="H242" s="10" t="s">
        <v>11</v>
      </c>
      <c r="I242" s="11" t="s">
        <v>11</v>
      </c>
      <c r="J242" s="12"/>
    </row>
    <row r="243" spans="1:10" ht="60" customHeight="1">
      <c r="A243" s="6" t="s">
        <v>902</v>
      </c>
      <c r="B243" s="6" t="s">
        <v>10</v>
      </c>
      <c r="C243" s="6" t="s">
        <v>11</v>
      </c>
      <c r="D243" s="7" t="s">
        <v>903</v>
      </c>
      <c r="E243" s="8" t="s">
        <v>904</v>
      </c>
      <c r="F243" s="6" t="s">
        <v>905</v>
      </c>
      <c r="G243" s="9">
        <f>IF(A243=1,"_",IF(C243="_","???",C243))</f>
        <v/>
      </c>
      <c r="H243" s="10" t="s">
        <v>11</v>
      </c>
      <c r="I243" s="11" t="s">
        <v>11</v>
      </c>
      <c r="J243" s="12"/>
    </row>
    <row r="244" spans="1:10" ht="60" customHeight="1">
      <c r="A244" s="6" t="s">
        <v>906</v>
      </c>
      <c r="B244" s="6" t="s">
        <v>29</v>
      </c>
      <c r="C244" s="6" t="s">
        <v>11</v>
      </c>
      <c r="D244" s="7" t="s">
        <v>126</v>
      </c>
      <c r="E244" s="8" t="s">
        <v>907</v>
      </c>
      <c r="F244" s="6" t="s">
        <v>908</v>
      </c>
      <c r="G244" s="9">
        <f>IF(A244=1,"_",IF(C244="_","???",C244))</f>
        <v/>
      </c>
      <c r="H244" s="10" t="s">
        <v>11</v>
      </c>
      <c r="I244" s="11" t="s">
        <v>11</v>
      </c>
      <c r="J244" s="12"/>
    </row>
    <row r="245" spans="1:10" ht="60" customHeight="1">
      <c r="A245" s="6" t="s">
        <v>909</v>
      </c>
      <c r="B245" s="6" t="s">
        <v>15</v>
      </c>
      <c r="C245" s="6" t="s">
        <v>11</v>
      </c>
      <c r="D245" s="7" t="s">
        <v>910</v>
      </c>
      <c r="E245" s="8" t="s">
        <v>911</v>
      </c>
      <c r="F245" s="6" t="s">
        <v>912</v>
      </c>
      <c r="G245" s="9">
        <f>IF(A245=1,"_",IF(C245="_","???",C245))</f>
        <v/>
      </c>
      <c r="H245" s="10" t="s">
        <v>11</v>
      </c>
      <c r="I245" s="11" t="s">
        <v>11</v>
      </c>
      <c r="J245" s="12"/>
    </row>
    <row r="246" spans="1:10" ht="60" customHeight="1">
      <c r="A246" s="6" t="s">
        <v>913</v>
      </c>
      <c r="B246" s="6" t="s">
        <v>20</v>
      </c>
      <c r="C246" s="6" t="s">
        <v>11</v>
      </c>
      <c r="D246" s="7" t="s">
        <v>914</v>
      </c>
      <c r="E246" s="8" t="s">
        <v>915</v>
      </c>
      <c r="F246" s="6" t="s">
        <v>916</v>
      </c>
      <c r="G246" s="9">
        <f>IF(A246=1,"_",IF(C246="_","???",C246))</f>
        <v/>
      </c>
      <c r="H246" s="10" t="s">
        <v>11</v>
      </c>
      <c r="I246" s="11" t="s">
        <v>11</v>
      </c>
      <c r="J246" s="12"/>
    </row>
    <row r="247" spans="1:10" ht="60" customHeight="1">
      <c r="A247" s="6" t="s">
        <v>917</v>
      </c>
      <c r="B247" s="6" t="s">
        <v>15</v>
      </c>
      <c r="C247" s="6" t="s">
        <v>11</v>
      </c>
      <c r="D247" s="7" t="s">
        <v>918</v>
      </c>
      <c r="E247" s="8" t="s">
        <v>919</v>
      </c>
      <c r="F247" s="6" t="s">
        <v>920</v>
      </c>
      <c r="G247" s="9">
        <f>IF(A247=1,"_",IF(C247="_","???",C247))</f>
        <v/>
      </c>
      <c r="H247" s="10" t="s">
        <v>11</v>
      </c>
      <c r="I247" s="11" t="s">
        <v>11</v>
      </c>
      <c r="J247" s="12"/>
    </row>
    <row r="248" spans="1:10" ht="60" customHeight="1">
      <c r="A248" s="6" t="s">
        <v>921</v>
      </c>
      <c r="B248" s="6" t="s">
        <v>15</v>
      </c>
      <c r="C248" s="6" t="s">
        <v>11</v>
      </c>
      <c r="D248" s="7" t="s">
        <v>922</v>
      </c>
      <c r="E248" s="8" t="s">
        <v>923</v>
      </c>
      <c r="F248" s="6" t="s">
        <v>924</v>
      </c>
      <c r="G248" s="9">
        <f>IF(A248=1,"_",IF(C248="_","???",C248))</f>
        <v/>
      </c>
      <c r="H248" s="10" t="s">
        <v>11</v>
      </c>
      <c r="I248" s="11" t="s">
        <v>11</v>
      </c>
      <c r="J248" s="12"/>
    </row>
    <row r="249" spans="1:10" ht="60" customHeight="1">
      <c r="A249" s="6" t="s">
        <v>925</v>
      </c>
      <c r="B249" s="6" t="s">
        <v>105</v>
      </c>
      <c r="C249" s="6" t="s">
        <v>11</v>
      </c>
      <c r="D249" s="7" t="s">
        <v>926</v>
      </c>
      <c r="E249" s="8" t="s">
        <v>927</v>
      </c>
      <c r="F249" s="6" t="s">
        <v>928</v>
      </c>
      <c r="G249" s="9">
        <f>IF(A249=1,"_",IF(C249="_","???",C249))</f>
        <v/>
      </c>
      <c r="H249" s="10" t="s">
        <v>11</v>
      </c>
      <c r="I249" s="11" t="s">
        <v>11</v>
      </c>
      <c r="J249" s="12"/>
    </row>
    <row r="250" spans="1:10" ht="60" customHeight="1">
      <c r="A250" s="6" t="s">
        <v>929</v>
      </c>
      <c r="B250" s="6" t="s">
        <v>76</v>
      </c>
      <c r="C250" s="6" t="s">
        <v>11</v>
      </c>
      <c r="D250" s="7" t="s">
        <v>521</v>
      </c>
      <c r="E250" s="8" t="s">
        <v>930</v>
      </c>
      <c r="F250" s="6" t="s">
        <v>931</v>
      </c>
      <c r="G250" s="9">
        <f>IF(A250=1,"_",IF(C250="_","???",C250))</f>
        <v/>
      </c>
      <c r="H250" s="10" t="s">
        <v>11</v>
      </c>
      <c r="I250" s="11" t="s">
        <v>11</v>
      </c>
      <c r="J250" s="12"/>
    </row>
    <row r="251" spans="1:10" ht="60" customHeight="1">
      <c r="A251" s="6" t="s">
        <v>932</v>
      </c>
      <c r="B251" s="6" t="s">
        <v>10</v>
      </c>
      <c r="C251" s="6" t="s">
        <v>11</v>
      </c>
      <c r="D251" s="7" t="s">
        <v>933</v>
      </c>
      <c r="E251" s="8" t="s">
        <v>934</v>
      </c>
      <c r="F251" s="6" t="s">
        <v>935</v>
      </c>
      <c r="G251" s="9">
        <f>IF(A251=1,"_",IF(C251="_","???",C251))</f>
        <v/>
      </c>
      <c r="H251" s="10" t="s">
        <v>11</v>
      </c>
      <c r="I251" s="11" t="s">
        <v>11</v>
      </c>
      <c r="J251" s="12"/>
    </row>
    <row r="252" spans="1:10" ht="60" customHeight="1">
      <c r="A252" s="6" t="s">
        <v>936</v>
      </c>
      <c r="B252" s="6" t="s">
        <v>25</v>
      </c>
      <c r="C252" s="6" t="s">
        <v>11</v>
      </c>
      <c r="D252" s="7" t="s">
        <v>937</v>
      </c>
      <c r="E252" s="8" t="s">
        <v>938</v>
      </c>
      <c r="F252" s="6" t="s">
        <v>939</v>
      </c>
      <c r="G252" s="9">
        <f>IF(A252=1,"_",IF(C252="_","???",C252))</f>
        <v/>
      </c>
      <c r="H252" s="10" t="s">
        <v>11</v>
      </c>
      <c r="I252" s="11" t="s">
        <v>11</v>
      </c>
      <c r="J252" s="12"/>
    </row>
    <row r="253" spans="1:10" ht="60" customHeight="1">
      <c r="A253" s="6" t="s">
        <v>940</v>
      </c>
      <c r="B253" s="6" t="s">
        <v>10</v>
      </c>
      <c r="C253" s="6" t="s">
        <v>11</v>
      </c>
      <c r="D253" s="7" t="s">
        <v>933</v>
      </c>
      <c r="E253" s="8" t="s">
        <v>941</v>
      </c>
      <c r="F253" s="6" t="s">
        <v>942</v>
      </c>
      <c r="G253" s="9">
        <f>IF(A253=1,"_",IF(C253="_","???",C253))</f>
        <v/>
      </c>
      <c r="H253" s="10" t="s">
        <v>11</v>
      </c>
      <c r="I253" s="11" t="s">
        <v>11</v>
      </c>
      <c r="J253" s="12"/>
    </row>
    <row r="254" spans="1:10" ht="60" customHeight="1">
      <c r="A254" s="6" t="s">
        <v>943</v>
      </c>
      <c r="B254" s="6" t="s">
        <v>20</v>
      </c>
      <c r="C254" s="6" t="s">
        <v>11</v>
      </c>
      <c r="D254" s="7" t="s">
        <v>944</v>
      </c>
      <c r="E254" s="8" t="s">
        <v>945</v>
      </c>
      <c r="F254" s="6" t="s">
        <v>946</v>
      </c>
      <c r="G254" s="9">
        <f>IF(A254=1,"_",IF(C254="_","???",C254))</f>
        <v/>
      </c>
      <c r="H254" s="10" t="s">
        <v>11</v>
      </c>
      <c r="I254" s="11" t="s">
        <v>11</v>
      </c>
      <c r="J254" s="12"/>
    </row>
    <row r="255" spans="1:10" ht="60" customHeight="1">
      <c r="A255" s="6" t="s">
        <v>947</v>
      </c>
      <c r="B255" s="6" t="s">
        <v>34</v>
      </c>
      <c r="C255" s="6" t="s">
        <v>11</v>
      </c>
      <c r="D255" s="7" t="s">
        <v>948</v>
      </c>
      <c r="E255" s="8" t="s">
        <v>949</v>
      </c>
      <c r="F255" s="6" t="s">
        <v>950</v>
      </c>
      <c r="G255" s="9">
        <f>IF(A255=1,"_",IF(C255="_","???",C255))</f>
        <v/>
      </c>
      <c r="H255" s="10" t="s">
        <v>11</v>
      </c>
      <c r="I255" s="11" t="s">
        <v>11</v>
      </c>
      <c r="J255" s="12"/>
    </row>
    <row r="256" spans="1:10" ht="60" customHeight="1">
      <c r="A256" s="6" t="s">
        <v>951</v>
      </c>
      <c r="B256" s="6" t="s">
        <v>10</v>
      </c>
      <c r="C256" s="6" t="s">
        <v>11</v>
      </c>
      <c r="D256" s="7" t="s">
        <v>952</v>
      </c>
      <c r="E256" s="8" t="s">
        <v>953</v>
      </c>
      <c r="F256" s="6" t="s">
        <v>954</v>
      </c>
      <c r="G256" s="9">
        <f>IF(A256=1,"_",IF(C256="_","???",C256))</f>
        <v/>
      </c>
      <c r="H256" s="10" t="s">
        <v>11</v>
      </c>
      <c r="I256" s="11" t="s">
        <v>11</v>
      </c>
      <c r="J256" s="12"/>
    </row>
    <row r="257" spans="1:10" ht="60" customHeight="1">
      <c r="A257" s="6" t="s">
        <v>955</v>
      </c>
      <c r="B257" s="6" t="s">
        <v>15</v>
      </c>
      <c r="C257" s="6" t="s">
        <v>11</v>
      </c>
      <c r="D257" s="7" t="s">
        <v>163</v>
      </c>
      <c r="E257" s="8" t="s">
        <v>956</v>
      </c>
      <c r="F257" s="6" t="s">
        <v>957</v>
      </c>
      <c r="G257" s="9">
        <f>IF(A257=1,"_",IF(C257="_","???",C257))</f>
        <v/>
      </c>
      <c r="H257" s="10" t="s">
        <v>11</v>
      </c>
      <c r="I257" s="11" t="s">
        <v>11</v>
      </c>
      <c r="J257" s="12"/>
    </row>
    <row r="258" spans="1:10" ht="60" customHeight="1">
      <c r="A258" s="6" t="s">
        <v>958</v>
      </c>
      <c r="B258" s="6" t="s">
        <v>20</v>
      </c>
      <c r="C258" s="6" t="s">
        <v>11</v>
      </c>
      <c r="D258" s="7" t="s">
        <v>959</v>
      </c>
      <c r="E258" s="8" t="s">
        <v>960</v>
      </c>
      <c r="F258" s="6" t="s">
        <v>961</v>
      </c>
      <c r="G258" s="9">
        <f>IF(A258=1,"_",IF(C258="_","???",C258))</f>
        <v/>
      </c>
      <c r="H258" s="10" t="s">
        <v>11</v>
      </c>
      <c r="I258" s="11" t="s">
        <v>11</v>
      </c>
      <c r="J258" s="12"/>
    </row>
    <row r="259" spans="1:10" ht="60" customHeight="1">
      <c r="A259" s="6" t="s">
        <v>962</v>
      </c>
      <c r="B259" s="6" t="s">
        <v>10</v>
      </c>
      <c r="C259" s="6" t="s">
        <v>11</v>
      </c>
      <c r="D259" s="7" t="s">
        <v>366</v>
      </c>
      <c r="E259" s="8" t="s">
        <v>963</v>
      </c>
      <c r="F259" s="6" t="s">
        <v>964</v>
      </c>
      <c r="G259" s="9">
        <f>IF(A259=1,"_",IF(C259="_","???",C259))</f>
        <v/>
      </c>
      <c r="H259" s="10" t="s">
        <v>11</v>
      </c>
      <c r="I259" s="11" t="s">
        <v>11</v>
      </c>
      <c r="J259" s="12"/>
    </row>
    <row r="260" spans="1:10" ht="60" customHeight="1">
      <c r="A260" s="6" t="s">
        <v>965</v>
      </c>
      <c r="B260" s="6" t="s">
        <v>10</v>
      </c>
      <c r="C260" s="6" t="s">
        <v>11</v>
      </c>
      <c r="D260" s="7" t="s">
        <v>185</v>
      </c>
      <c r="E260" s="8" t="s">
        <v>677</v>
      </c>
      <c r="F260" s="6" t="s">
        <v>966</v>
      </c>
      <c r="G260" s="9">
        <f>IF(A260=1,"_",IF(C260="_","???",C260))</f>
        <v/>
      </c>
      <c r="H260" s="10" t="s">
        <v>11</v>
      </c>
      <c r="I260" s="11" t="s">
        <v>11</v>
      </c>
      <c r="J260" s="12"/>
    </row>
    <row r="261" spans="1:10" ht="60" customHeight="1">
      <c r="A261" s="6" t="s">
        <v>967</v>
      </c>
      <c r="B261" s="6" t="s">
        <v>16</v>
      </c>
      <c r="C261" s="6" t="s">
        <v>11</v>
      </c>
      <c r="D261" s="7" t="s">
        <v>968</v>
      </c>
      <c r="E261" s="8" t="s">
        <v>969</v>
      </c>
      <c r="F261" s="6" t="s">
        <v>970</v>
      </c>
      <c r="G261" s="9">
        <f>IF(A261=1,"_",IF(C261="_","???",C261))</f>
        <v/>
      </c>
      <c r="H261" s="10" t="s">
        <v>11</v>
      </c>
      <c r="I261" s="11" t="s">
        <v>11</v>
      </c>
      <c r="J261" s="12"/>
    </row>
    <row r="262" spans="1:10" ht="60" customHeight="1">
      <c r="A262" s="6" t="s">
        <v>971</v>
      </c>
      <c r="B262" s="6" t="s">
        <v>15</v>
      </c>
      <c r="C262" s="6" t="s">
        <v>11</v>
      </c>
      <c r="D262" s="7" t="s">
        <v>972</v>
      </c>
      <c r="E262" s="8" t="s">
        <v>973</v>
      </c>
      <c r="F262" s="6" t="s">
        <v>974</v>
      </c>
      <c r="G262" s="9">
        <f>IF(A262=1,"_",IF(C262="_","???",C262))</f>
        <v/>
      </c>
      <c r="H262" s="10" t="s">
        <v>11</v>
      </c>
      <c r="I262" s="11" t="s">
        <v>11</v>
      </c>
      <c r="J262" s="12"/>
    </row>
    <row r="263" spans="1:10" ht="60" customHeight="1">
      <c r="A263" s="6" t="s">
        <v>975</v>
      </c>
      <c r="B263" s="6" t="s">
        <v>15</v>
      </c>
      <c r="C263" s="6" t="s">
        <v>11</v>
      </c>
      <c r="D263" s="7" t="s">
        <v>976</v>
      </c>
      <c r="E263" s="8" t="s">
        <v>977</v>
      </c>
      <c r="F263" s="6" t="s">
        <v>978</v>
      </c>
      <c r="G263" s="9">
        <f>IF(A263=1,"_",IF(C263="_","???",C263))</f>
        <v/>
      </c>
      <c r="H263" s="10" t="s">
        <v>11</v>
      </c>
      <c r="I263" s="11" t="s">
        <v>11</v>
      </c>
      <c r="J263" s="12"/>
    </row>
    <row r="264" spans="1:10" ht="60" customHeight="1">
      <c r="A264" s="6" t="s">
        <v>979</v>
      </c>
      <c r="B264" s="6" t="s">
        <v>21</v>
      </c>
      <c r="C264" s="6" t="s">
        <v>11</v>
      </c>
      <c r="D264" s="7" t="s">
        <v>980</v>
      </c>
      <c r="E264" s="8" t="s">
        <v>981</v>
      </c>
      <c r="F264" s="6" t="s">
        <v>982</v>
      </c>
      <c r="G264" s="9">
        <f>IF(A264=1,"_",IF(C264="_","???",C264))</f>
        <v/>
      </c>
      <c r="H264" s="10" t="s">
        <v>11</v>
      </c>
      <c r="I264" s="11" t="s">
        <v>11</v>
      </c>
      <c r="J264" s="12"/>
    </row>
    <row r="265" spans="1:10" ht="60" customHeight="1">
      <c r="A265" s="6" t="s">
        <v>983</v>
      </c>
      <c r="B265" s="6" t="s">
        <v>15</v>
      </c>
      <c r="C265" s="6" t="s">
        <v>11</v>
      </c>
      <c r="D265" s="7" t="s">
        <v>340</v>
      </c>
      <c r="E265" s="8" t="s">
        <v>984</v>
      </c>
      <c r="F265" s="6" t="s">
        <v>985</v>
      </c>
      <c r="G265" s="9">
        <f>IF(A265=1,"_",IF(C265="_","???",C265))</f>
        <v/>
      </c>
      <c r="H265" s="10" t="s">
        <v>11</v>
      </c>
      <c r="I265" s="11" t="s">
        <v>11</v>
      </c>
      <c r="J265" s="12"/>
    </row>
    <row r="266" spans="1:10" ht="60" customHeight="1">
      <c r="A266" s="6" t="s">
        <v>986</v>
      </c>
      <c r="B266" s="6" t="s">
        <v>15</v>
      </c>
      <c r="C266" s="6" t="s">
        <v>11</v>
      </c>
      <c r="D266" s="7" t="s">
        <v>987</v>
      </c>
      <c r="E266" s="8" t="s">
        <v>988</v>
      </c>
      <c r="F266" s="6" t="s">
        <v>989</v>
      </c>
      <c r="G266" s="9">
        <f>IF(A266=1,"_",IF(C266="_","???",C266))</f>
        <v/>
      </c>
      <c r="H266" s="10" t="s">
        <v>11</v>
      </c>
      <c r="I266" s="11" t="s">
        <v>11</v>
      </c>
      <c r="J266" s="12"/>
    </row>
    <row r="267" spans="1:10" ht="60" customHeight="1">
      <c r="A267" s="6" t="s">
        <v>990</v>
      </c>
      <c r="B267" s="6" t="s">
        <v>20</v>
      </c>
      <c r="C267" s="6" t="s">
        <v>11</v>
      </c>
      <c r="D267" s="7" t="s">
        <v>163</v>
      </c>
      <c r="E267" s="8" t="s">
        <v>991</v>
      </c>
      <c r="F267" s="6" t="s">
        <v>992</v>
      </c>
      <c r="G267" s="9">
        <f>IF(A267=1,"_",IF(C267="_","???",C267))</f>
        <v/>
      </c>
      <c r="H267" s="10" t="s">
        <v>11</v>
      </c>
      <c r="I267" s="11" t="s">
        <v>11</v>
      </c>
      <c r="J267" s="12"/>
    </row>
    <row r="268" spans="1:10" ht="60" customHeight="1">
      <c r="A268" s="6" t="s">
        <v>993</v>
      </c>
      <c r="B268" s="6" t="s">
        <v>10</v>
      </c>
      <c r="C268" s="6" t="s">
        <v>11</v>
      </c>
      <c r="D268" s="7" t="s">
        <v>185</v>
      </c>
      <c r="E268" s="8" t="s">
        <v>994</v>
      </c>
      <c r="F268" s="6" t="s">
        <v>995</v>
      </c>
      <c r="G268" s="9">
        <f>IF(A268=1,"_",IF(C268="_","???",C268))</f>
        <v/>
      </c>
      <c r="H268" s="10" t="s">
        <v>11</v>
      </c>
      <c r="I268" s="11" t="s">
        <v>11</v>
      </c>
      <c r="J268" s="12"/>
    </row>
    <row r="269" spans="1:10" ht="60" customHeight="1">
      <c r="A269" s="6" t="s">
        <v>996</v>
      </c>
      <c r="B269" s="6" t="s">
        <v>25</v>
      </c>
      <c r="C269" s="6" t="s">
        <v>11</v>
      </c>
      <c r="D269" s="7" t="s">
        <v>173</v>
      </c>
      <c r="E269" s="8" t="s">
        <v>997</v>
      </c>
      <c r="F269" s="6" t="s">
        <v>998</v>
      </c>
      <c r="G269" s="9">
        <f>IF(A269=1,"_",IF(C269="_","???",C269))</f>
        <v/>
      </c>
      <c r="H269" s="10" t="s">
        <v>11</v>
      </c>
      <c r="I269" s="11" t="s">
        <v>11</v>
      </c>
      <c r="J269" s="12"/>
    </row>
    <row r="270" spans="1:10" ht="60" customHeight="1">
      <c r="A270" s="6" t="s">
        <v>999</v>
      </c>
      <c r="B270" s="6" t="s">
        <v>41</v>
      </c>
      <c r="C270" s="6" t="s">
        <v>11</v>
      </c>
      <c r="D270" s="7" t="s">
        <v>163</v>
      </c>
      <c r="E270" s="8" t="s">
        <v>1000</v>
      </c>
      <c r="F270" s="6" t="s">
        <v>1001</v>
      </c>
      <c r="G270" s="9">
        <f>IF(A270=1,"_",IF(C270="_","???",C270))</f>
        <v/>
      </c>
      <c r="H270" s="10" t="s">
        <v>11</v>
      </c>
      <c r="I270" s="11" t="s">
        <v>11</v>
      </c>
      <c r="J270" s="12"/>
    </row>
    <row r="271" spans="1:10" ht="60" customHeight="1">
      <c r="A271" s="6" t="s">
        <v>1002</v>
      </c>
      <c r="B271" s="6" t="s">
        <v>15</v>
      </c>
      <c r="C271" s="6" t="s">
        <v>11</v>
      </c>
      <c r="D271" s="7" t="s">
        <v>1003</v>
      </c>
      <c r="E271" s="8" t="s">
        <v>1004</v>
      </c>
      <c r="F271" s="6" t="s">
        <v>1005</v>
      </c>
      <c r="G271" s="9">
        <f>IF(A271=1,"_",IF(C271="_","???",C271))</f>
        <v/>
      </c>
      <c r="H271" s="10" t="s">
        <v>11</v>
      </c>
      <c r="I271" s="11" t="s">
        <v>11</v>
      </c>
      <c r="J271" s="12"/>
    </row>
    <row r="272" spans="1:10" ht="60" customHeight="1">
      <c r="A272" s="6" t="s">
        <v>1006</v>
      </c>
      <c r="B272" s="6" t="s">
        <v>52</v>
      </c>
      <c r="C272" s="6" t="s">
        <v>11</v>
      </c>
      <c r="D272" s="7" t="s">
        <v>1007</v>
      </c>
      <c r="E272" s="8" t="s">
        <v>1008</v>
      </c>
      <c r="F272" s="6" t="s">
        <v>1009</v>
      </c>
      <c r="G272" s="9">
        <f>IF(A272=1,"_",IF(C272="_","???",C272))</f>
        <v/>
      </c>
      <c r="H272" s="10" t="s">
        <v>11</v>
      </c>
      <c r="I272" s="11" t="s">
        <v>11</v>
      </c>
      <c r="J272" s="12"/>
    </row>
    <row r="273" spans="1:10" ht="60" customHeight="1">
      <c r="A273" s="6" t="s">
        <v>1010</v>
      </c>
      <c r="B273" s="6" t="s">
        <v>68</v>
      </c>
      <c r="C273" s="6" t="s">
        <v>11</v>
      </c>
      <c r="D273" s="7" t="s">
        <v>215</v>
      </c>
      <c r="E273" s="8" t="s">
        <v>1011</v>
      </c>
      <c r="F273" s="6" t="s">
        <v>1012</v>
      </c>
      <c r="G273" s="9">
        <f>IF(A273=1,"_",IF(C273="_","???",C273))</f>
        <v/>
      </c>
      <c r="H273" s="10" t="s">
        <v>11</v>
      </c>
      <c r="I273" s="11" t="s">
        <v>11</v>
      </c>
      <c r="J273" s="12"/>
    </row>
    <row r="274" spans="1:10" ht="60" customHeight="1">
      <c r="A274" s="6" t="s">
        <v>1013</v>
      </c>
      <c r="B274" s="6" t="s">
        <v>15</v>
      </c>
      <c r="C274" s="6" t="s">
        <v>11</v>
      </c>
      <c r="D274" s="7" t="s">
        <v>1014</v>
      </c>
      <c r="E274" s="8" t="s">
        <v>1015</v>
      </c>
      <c r="F274" s="6" t="s">
        <v>1016</v>
      </c>
      <c r="G274" s="9">
        <f>IF(A274=1,"_",IF(C274="_","???",C274))</f>
        <v/>
      </c>
      <c r="H274" s="10" t="s">
        <v>11</v>
      </c>
      <c r="I274" s="11" t="s">
        <v>11</v>
      </c>
      <c r="J274" s="12"/>
    </row>
    <row r="275" spans="1:10" ht="60" customHeight="1">
      <c r="A275" s="6" t="s">
        <v>1017</v>
      </c>
      <c r="B275" s="6" t="s">
        <v>41</v>
      </c>
      <c r="C275" s="6" t="s">
        <v>11</v>
      </c>
      <c r="D275" s="7" t="s">
        <v>1018</v>
      </c>
      <c r="E275" s="8" t="s">
        <v>1019</v>
      </c>
      <c r="F275" s="6" t="s">
        <v>1020</v>
      </c>
      <c r="G275" s="9">
        <f>IF(A275=1,"_",IF(C275="_","???",C275))</f>
        <v/>
      </c>
      <c r="H275" s="10" t="s">
        <v>11</v>
      </c>
      <c r="I275" s="11" t="s">
        <v>11</v>
      </c>
      <c r="J275" s="12"/>
    </row>
    <row r="276" spans="1:10" ht="60" customHeight="1">
      <c r="A276" s="6" t="s">
        <v>1021</v>
      </c>
      <c r="B276" s="6" t="s">
        <v>29</v>
      </c>
      <c r="C276" s="6" t="s">
        <v>11</v>
      </c>
      <c r="D276" s="7" t="s">
        <v>1022</v>
      </c>
      <c r="E276" s="8" t="s">
        <v>1023</v>
      </c>
      <c r="F276" s="6" t="s">
        <v>1024</v>
      </c>
      <c r="G276" s="9">
        <f>IF(A276=1,"_",IF(C276="_","???",C276))</f>
        <v/>
      </c>
      <c r="H276" s="10" t="s">
        <v>11</v>
      </c>
      <c r="I276" s="11" t="s">
        <v>11</v>
      </c>
      <c r="J276" s="12"/>
    </row>
    <row r="277" spans="1:10" ht="60" customHeight="1">
      <c r="A277" s="6" t="s">
        <v>1025</v>
      </c>
      <c r="B277" s="6" t="s">
        <v>15</v>
      </c>
      <c r="C277" s="6" t="s">
        <v>11</v>
      </c>
      <c r="D277" s="7" t="s">
        <v>1026</v>
      </c>
      <c r="E277" s="8" t="s">
        <v>1027</v>
      </c>
      <c r="F277" s="6" t="s">
        <v>1028</v>
      </c>
      <c r="G277" s="9">
        <f>IF(A277=1,"_",IF(C277="_","???",C277))</f>
        <v/>
      </c>
      <c r="H277" s="10" t="s">
        <v>11</v>
      </c>
      <c r="I277" s="11" t="s">
        <v>11</v>
      </c>
      <c r="J277" s="12"/>
    </row>
    <row r="278" spans="1:10" ht="60" customHeight="1">
      <c r="A278" s="6" t="s">
        <v>1029</v>
      </c>
      <c r="B278" s="6" t="s">
        <v>20</v>
      </c>
      <c r="C278" s="6" t="s">
        <v>11</v>
      </c>
      <c r="D278" s="7" t="s">
        <v>1030</v>
      </c>
      <c r="E278" s="8" t="s">
        <v>1031</v>
      </c>
      <c r="F278" s="6" t="s">
        <v>1032</v>
      </c>
      <c r="G278" s="9">
        <f>IF(A278=1,"_",IF(C278="_","???",C278))</f>
        <v/>
      </c>
      <c r="H278" s="10" t="s">
        <v>11</v>
      </c>
      <c r="I278" s="11" t="s">
        <v>11</v>
      </c>
      <c r="J278" s="12"/>
    </row>
    <row r="279" spans="1:10" ht="60" customHeight="1">
      <c r="A279" s="6" t="s">
        <v>1033</v>
      </c>
      <c r="B279" s="6" t="s">
        <v>16</v>
      </c>
      <c r="C279" s="6" t="s">
        <v>1034</v>
      </c>
      <c r="D279" s="7" t="s">
        <v>1035</v>
      </c>
      <c r="E279" s="8" t="s">
        <v>1036</v>
      </c>
      <c r="F279" s="6" t="s">
        <v>1037</v>
      </c>
      <c r="G279" s="9">
        <f>IF(A279=1,"_",IF(C279="_","???",C279))</f>
        <v/>
      </c>
      <c r="H279" s="10" t="s">
        <v>11</v>
      </c>
      <c r="I279" s="11" t="s">
        <v>11</v>
      </c>
      <c r="J279" s="12"/>
    </row>
    <row r="280" spans="1:10" ht="60" customHeight="1">
      <c r="A280" s="6" t="s">
        <v>1038</v>
      </c>
      <c r="B280" s="6" t="s">
        <v>21</v>
      </c>
      <c r="C280" s="6" t="s">
        <v>11</v>
      </c>
      <c r="D280" s="7" t="s">
        <v>1039</v>
      </c>
      <c r="E280" s="8" t="s">
        <v>1040</v>
      </c>
      <c r="F280" s="6" t="s">
        <v>1041</v>
      </c>
      <c r="G280" s="9">
        <f>IF(A280=1,"_",IF(C280="_","???",C280))</f>
        <v/>
      </c>
      <c r="H280" s="10" t="s">
        <v>11</v>
      </c>
      <c r="I280" s="11" t="s">
        <v>11</v>
      </c>
      <c r="J280" s="12"/>
    </row>
    <row r="281" spans="1:10" ht="60" customHeight="1">
      <c r="A281" s="6" t="s">
        <v>1042</v>
      </c>
      <c r="B281" s="6" t="s">
        <v>10</v>
      </c>
      <c r="C281" s="6" t="s">
        <v>11</v>
      </c>
      <c r="D281" s="7" t="s">
        <v>185</v>
      </c>
      <c r="E281" s="8" t="s">
        <v>1043</v>
      </c>
      <c r="F281" s="6" t="s">
        <v>1044</v>
      </c>
      <c r="G281" s="9">
        <f>IF(A281=1,"_",IF(C281="_","???",C281))</f>
        <v/>
      </c>
      <c r="H281" s="10" t="s">
        <v>11</v>
      </c>
      <c r="I281" s="11" t="s">
        <v>11</v>
      </c>
      <c r="J281" s="12"/>
    </row>
    <row r="282" spans="1:10" ht="60" customHeight="1">
      <c r="A282" s="6" t="s">
        <v>1045</v>
      </c>
      <c r="B282" s="6" t="s">
        <v>20</v>
      </c>
      <c r="C282" s="6" t="s">
        <v>11</v>
      </c>
      <c r="D282" s="7" t="s">
        <v>1046</v>
      </c>
      <c r="E282" s="8" t="s">
        <v>1047</v>
      </c>
      <c r="F282" s="6" t="s">
        <v>1048</v>
      </c>
      <c r="G282" s="9">
        <f>IF(A282=1,"_",IF(C282="_","???",C282))</f>
        <v/>
      </c>
      <c r="H282" s="10" t="s">
        <v>11</v>
      </c>
      <c r="I282" s="11" t="s">
        <v>11</v>
      </c>
      <c r="J282" s="12"/>
    </row>
    <row r="283" spans="1:10" ht="60" customHeight="1">
      <c r="A283" s="6" t="s">
        <v>1049</v>
      </c>
      <c r="B283" s="6" t="s">
        <v>15</v>
      </c>
      <c r="C283" s="6" t="s">
        <v>11</v>
      </c>
      <c r="D283" s="7" t="s">
        <v>134</v>
      </c>
      <c r="E283" s="8" t="s">
        <v>1050</v>
      </c>
      <c r="F283" s="6" t="s">
        <v>1051</v>
      </c>
      <c r="G283" s="9">
        <f>IF(A283=1,"_",IF(C283="_","???",C283))</f>
        <v/>
      </c>
      <c r="H283" s="10" t="s">
        <v>11</v>
      </c>
      <c r="I283" s="11" t="s">
        <v>11</v>
      </c>
      <c r="J283" s="12"/>
    </row>
    <row r="284" spans="1:10" ht="60" customHeight="1">
      <c r="A284" s="6" t="s">
        <v>1052</v>
      </c>
      <c r="B284" s="6" t="s">
        <v>15</v>
      </c>
      <c r="C284" s="6" t="s">
        <v>11</v>
      </c>
      <c r="D284" s="7" t="s">
        <v>405</v>
      </c>
      <c r="E284" s="8" t="s">
        <v>1053</v>
      </c>
      <c r="F284" s="6" t="s">
        <v>1054</v>
      </c>
      <c r="G284" s="9">
        <f>IF(A284=1,"_",IF(C284="_","???",C284))</f>
        <v/>
      </c>
      <c r="H284" s="10" t="s">
        <v>11</v>
      </c>
      <c r="I284" s="11" t="s">
        <v>11</v>
      </c>
      <c r="J284" s="12"/>
    </row>
    <row r="285" spans="1:10" ht="60" customHeight="1">
      <c r="A285" s="6" t="s">
        <v>1055</v>
      </c>
      <c r="B285" s="6" t="s">
        <v>64</v>
      </c>
      <c r="C285" s="6" t="s">
        <v>11</v>
      </c>
      <c r="D285" s="7" t="s">
        <v>65</v>
      </c>
      <c r="E285" s="8" t="s">
        <v>1056</v>
      </c>
      <c r="F285" s="6" t="s">
        <v>1057</v>
      </c>
      <c r="G285" s="9">
        <f>IF(A285=1,"_",IF(C285="_","???",C285))</f>
        <v/>
      </c>
      <c r="H285" s="10" t="s">
        <v>11</v>
      </c>
      <c r="I285" s="11" t="s">
        <v>11</v>
      </c>
      <c r="J285" s="12"/>
    </row>
    <row r="286" spans="1:10" ht="60" customHeight="1">
      <c r="A286" s="6" t="s">
        <v>1058</v>
      </c>
      <c r="B286" s="6" t="s">
        <v>15</v>
      </c>
      <c r="C286" s="6" t="s">
        <v>162</v>
      </c>
      <c r="D286" s="7" t="s">
        <v>1059</v>
      </c>
      <c r="E286" s="8" t="s">
        <v>1060</v>
      </c>
      <c r="F286" s="6" t="s">
        <v>1061</v>
      </c>
      <c r="G286" s="9">
        <f>IF(A286=1,"_",IF(C286="_","???",C286))</f>
        <v/>
      </c>
      <c r="H286" s="10" t="s">
        <v>11</v>
      </c>
      <c r="I286" s="11" t="s">
        <v>11</v>
      </c>
      <c r="J286" s="12"/>
    </row>
    <row r="287" spans="1:10" ht="60" customHeight="1">
      <c r="A287" s="6" t="s">
        <v>1062</v>
      </c>
      <c r="B287" s="6" t="s">
        <v>20</v>
      </c>
      <c r="C287" s="6" t="s">
        <v>11</v>
      </c>
      <c r="D287" s="7" t="s">
        <v>134</v>
      </c>
      <c r="E287" s="8" t="s">
        <v>1063</v>
      </c>
      <c r="F287" s="6" t="s">
        <v>1064</v>
      </c>
      <c r="G287" s="9">
        <f>IF(A287=1,"_",IF(C287="_","???",C287))</f>
        <v/>
      </c>
      <c r="H287" s="10" t="s">
        <v>11</v>
      </c>
      <c r="I287" s="11" t="s">
        <v>11</v>
      </c>
      <c r="J287" s="12"/>
    </row>
    <row r="288" spans="1:10" ht="60" customHeight="1">
      <c r="A288" s="6" t="s">
        <v>1065</v>
      </c>
      <c r="B288" s="6" t="s">
        <v>15</v>
      </c>
      <c r="C288" s="6" t="s">
        <v>11</v>
      </c>
      <c r="D288" s="7" t="s">
        <v>1066</v>
      </c>
      <c r="E288" s="8" t="s">
        <v>1067</v>
      </c>
      <c r="F288" s="6" t="s">
        <v>1068</v>
      </c>
      <c r="G288" s="9">
        <f>IF(A288=1,"_",IF(C288="_","???",C288))</f>
        <v/>
      </c>
      <c r="H288" s="10" t="s">
        <v>11</v>
      </c>
      <c r="I288" s="11" t="s">
        <v>11</v>
      </c>
      <c r="J288" s="12"/>
    </row>
    <row r="289" spans="1:10" ht="60" customHeight="1">
      <c r="A289" s="6" t="s">
        <v>1069</v>
      </c>
      <c r="B289" s="6" t="s">
        <v>15</v>
      </c>
      <c r="C289" s="6" t="s">
        <v>11</v>
      </c>
      <c r="D289" s="7" t="s">
        <v>340</v>
      </c>
      <c r="E289" s="8" t="s">
        <v>1070</v>
      </c>
      <c r="F289" s="6" t="s">
        <v>1071</v>
      </c>
      <c r="G289" s="9">
        <f>IF(A289=1,"_",IF(C289="_","???",C289))</f>
        <v/>
      </c>
      <c r="H289" s="10" t="s">
        <v>11</v>
      </c>
      <c r="I289" s="11" t="s">
        <v>11</v>
      </c>
      <c r="J289" s="12"/>
    </row>
    <row r="290" spans="1:10" ht="60" customHeight="1">
      <c r="A290" s="6" t="s">
        <v>1072</v>
      </c>
      <c r="B290" s="6" t="s">
        <v>15</v>
      </c>
      <c r="C290" s="6" t="s">
        <v>11</v>
      </c>
      <c r="D290" s="7" t="s">
        <v>1073</v>
      </c>
      <c r="E290" s="8" t="s">
        <v>1074</v>
      </c>
      <c r="F290" s="6" t="s">
        <v>1075</v>
      </c>
      <c r="G290" s="9">
        <f>IF(A290=1,"_",IF(C290="_","???",C290))</f>
        <v/>
      </c>
      <c r="H290" s="10" t="s">
        <v>11</v>
      </c>
      <c r="I290" s="11" t="s">
        <v>11</v>
      </c>
      <c r="J290" s="12"/>
    </row>
    <row r="291" spans="1:10" ht="60" customHeight="1">
      <c r="A291" s="6" t="s">
        <v>1076</v>
      </c>
      <c r="B291" s="6" t="s">
        <v>15</v>
      </c>
      <c r="C291" s="6" t="s">
        <v>11</v>
      </c>
      <c r="D291" s="7" t="s">
        <v>1073</v>
      </c>
      <c r="E291" s="8" t="s">
        <v>1077</v>
      </c>
      <c r="F291" s="6" t="s">
        <v>1078</v>
      </c>
      <c r="G291" s="9">
        <f>IF(A291=1,"_",IF(C291="_","???",C291))</f>
        <v/>
      </c>
      <c r="H291" s="10" t="s">
        <v>11</v>
      </c>
      <c r="I291" s="11" t="s">
        <v>11</v>
      </c>
      <c r="J291" s="12"/>
    </row>
    <row r="292" spans="1:10" ht="60" customHeight="1">
      <c r="A292" s="6" t="s">
        <v>1079</v>
      </c>
      <c r="B292" s="6" t="s">
        <v>10</v>
      </c>
      <c r="C292" s="6" t="s">
        <v>11</v>
      </c>
      <c r="D292" s="7" t="s">
        <v>416</v>
      </c>
      <c r="E292" s="8" t="s">
        <v>1080</v>
      </c>
      <c r="F292" s="6" t="s">
        <v>1081</v>
      </c>
      <c r="G292" s="9">
        <f>IF(A292=1,"_",IF(C292="_","???",C292))</f>
        <v/>
      </c>
      <c r="H292" s="10" t="s">
        <v>11</v>
      </c>
      <c r="I292" s="11" t="s">
        <v>11</v>
      </c>
      <c r="J292" s="12"/>
    </row>
    <row r="293" spans="1:10" ht="60" customHeight="1">
      <c r="A293" s="6" t="s">
        <v>1082</v>
      </c>
      <c r="B293" s="6" t="s">
        <v>15</v>
      </c>
      <c r="C293" s="6" t="s">
        <v>11</v>
      </c>
      <c r="D293" s="7" t="s">
        <v>366</v>
      </c>
      <c r="E293" s="8" t="s">
        <v>1083</v>
      </c>
      <c r="F293" s="6" t="s">
        <v>1084</v>
      </c>
      <c r="G293" s="9">
        <f>IF(A293=1,"_",IF(C293="_","???",C293))</f>
        <v/>
      </c>
      <c r="H293" s="10" t="s">
        <v>11</v>
      </c>
      <c r="I293" s="11" t="s">
        <v>11</v>
      </c>
      <c r="J293" s="12"/>
    </row>
    <row r="294" spans="1:10" ht="60" customHeight="1">
      <c r="A294" s="6" t="s">
        <v>1085</v>
      </c>
      <c r="B294" s="6" t="s">
        <v>21</v>
      </c>
      <c r="C294" s="6" t="s">
        <v>11</v>
      </c>
      <c r="D294" s="7" t="s">
        <v>276</v>
      </c>
      <c r="E294" s="8" t="s">
        <v>1086</v>
      </c>
      <c r="F294" s="6" t="s">
        <v>1087</v>
      </c>
      <c r="G294" s="9">
        <f>IF(A294=1,"_",IF(C294="_","???",C294))</f>
        <v/>
      </c>
      <c r="H294" s="10" t="s">
        <v>11</v>
      </c>
      <c r="I294" s="11" t="s">
        <v>11</v>
      </c>
      <c r="J294" s="12"/>
    </row>
    <row r="295" spans="1:10" ht="60" customHeight="1">
      <c r="A295" s="6" t="s">
        <v>1088</v>
      </c>
      <c r="B295" s="6" t="s">
        <v>10</v>
      </c>
      <c r="C295" s="6" t="s">
        <v>11</v>
      </c>
      <c r="D295" s="7" t="s">
        <v>185</v>
      </c>
      <c r="E295" s="8" t="s">
        <v>1089</v>
      </c>
      <c r="F295" s="6" t="s">
        <v>1090</v>
      </c>
      <c r="G295" s="9">
        <f>IF(A295=1,"_",IF(C295="_","???",C295))</f>
        <v/>
      </c>
      <c r="H295" s="10" t="s">
        <v>11</v>
      </c>
      <c r="I295" s="11" t="s">
        <v>11</v>
      </c>
      <c r="J295" s="12"/>
    </row>
    <row r="296" spans="1:10" ht="60" customHeight="1">
      <c r="A296" s="6" t="s">
        <v>1091</v>
      </c>
      <c r="B296" s="6" t="s">
        <v>15</v>
      </c>
      <c r="C296" s="6" t="s">
        <v>11</v>
      </c>
      <c r="D296" s="7" t="s">
        <v>1092</v>
      </c>
      <c r="E296" s="8" t="s">
        <v>1093</v>
      </c>
      <c r="F296" s="6" t="s">
        <v>1094</v>
      </c>
      <c r="G296" s="9">
        <f>IF(A296=1,"_",IF(C296="_","???",C296))</f>
        <v/>
      </c>
      <c r="H296" s="10" t="s">
        <v>11</v>
      </c>
      <c r="I296" s="11" t="s">
        <v>11</v>
      </c>
      <c r="J296" s="12"/>
    </row>
    <row r="297" spans="1:10" ht="60" customHeight="1">
      <c r="A297" s="6" t="s">
        <v>1095</v>
      </c>
      <c r="B297" s="6" t="s">
        <v>20</v>
      </c>
      <c r="C297" s="6" t="s">
        <v>11</v>
      </c>
      <c r="D297" s="7" t="s">
        <v>1096</v>
      </c>
      <c r="E297" s="8" t="s">
        <v>1097</v>
      </c>
      <c r="F297" s="6" t="s">
        <v>1098</v>
      </c>
      <c r="G297" s="9">
        <f>IF(A297=1,"_",IF(C297="_","???",C297))</f>
        <v/>
      </c>
      <c r="H297" s="10" t="s">
        <v>11</v>
      </c>
      <c r="I297" s="11" t="s">
        <v>11</v>
      </c>
      <c r="J297" s="12"/>
    </row>
    <row r="298" spans="1:10" ht="60" customHeight="1">
      <c r="A298" s="6" t="s">
        <v>1099</v>
      </c>
      <c r="B298" s="6" t="s">
        <v>21</v>
      </c>
      <c r="C298" s="6" t="s">
        <v>11</v>
      </c>
      <c r="D298" s="7" t="s">
        <v>445</v>
      </c>
      <c r="E298" s="8" t="s">
        <v>1100</v>
      </c>
      <c r="F298" s="6" t="s">
        <v>1101</v>
      </c>
      <c r="G298" s="9">
        <f>IF(A298=1,"_",IF(C298="_","???",C298))</f>
        <v/>
      </c>
      <c r="H298" s="10" t="s">
        <v>11</v>
      </c>
      <c r="I298" s="11" t="s">
        <v>11</v>
      </c>
      <c r="J298" s="12"/>
    </row>
    <row r="299" spans="1:10" ht="60" customHeight="1">
      <c r="A299" s="6" t="s">
        <v>1102</v>
      </c>
      <c r="B299" s="6" t="s">
        <v>41</v>
      </c>
      <c r="C299" s="6" t="s">
        <v>11</v>
      </c>
      <c r="D299" s="7" t="s">
        <v>1103</v>
      </c>
      <c r="E299" s="8" t="s">
        <v>1104</v>
      </c>
      <c r="F299" s="6" t="s">
        <v>1105</v>
      </c>
      <c r="G299" s="9">
        <f>IF(A299=1,"_",IF(C299="_","???",C299))</f>
        <v/>
      </c>
      <c r="H299" s="10" t="s">
        <v>11</v>
      </c>
      <c r="I299" s="11" t="s">
        <v>11</v>
      </c>
      <c r="J299" s="12"/>
    </row>
    <row r="300" spans="1:10" ht="60" customHeight="1">
      <c r="A300" s="6" t="s">
        <v>1106</v>
      </c>
      <c r="B300" s="6" t="s">
        <v>10</v>
      </c>
      <c r="C300" s="6" t="s">
        <v>11</v>
      </c>
      <c r="D300" s="7" t="s">
        <v>185</v>
      </c>
      <c r="E300" s="8" t="s">
        <v>677</v>
      </c>
      <c r="F300" s="6" t="s">
        <v>1107</v>
      </c>
      <c r="G300" s="9">
        <f>IF(A300=1,"_",IF(C300="_","???",C300))</f>
        <v/>
      </c>
      <c r="H300" s="10" t="s">
        <v>11</v>
      </c>
      <c r="I300" s="11" t="s">
        <v>11</v>
      </c>
      <c r="J300" s="12"/>
    </row>
    <row r="301" spans="1:10" ht="60" customHeight="1">
      <c r="A301" s="6" t="s">
        <v>1108</v>
      </c>
      <c r="B301" s="6" t="s">
        <v>15</v>
      </c>
      <c r="C301" s="6" t="s">
        <v>11</v>
      </c>
      <c r="D301" s="7" t="s">
        <v>606</v>
      </c>
      <c r="E301" s="8" t="s">
        <v>1109</v>
      </c>
      <c r="F301" s="6" t="s">
        <v>1110</v>
      </c>
      <c r="G301" s="9">
        <f>IF(A301=1,"_",IF(C301="_","???",C301))</f>
        <v/>
      </c>
      <c r="H301" s="10" t="s">
        <v>11</v>
      </c>
      <c r="I301" s="11" t="s">
        <v>11</v>
      </c>
      <c r="J301" s="12"/>
    </row>
    <row r="302" spans="1:10" ht="60" customHeight="1">
      <c r="A302" s="6" t="s">
        <v>1111</v>
      </c>
      <c r="B302" s="6" t="s">
        <v>52</v>
      </c>
      <c r="C302" s="6" t="s">
        <v>11</v>
      </c>
      <c r="D302" s="7" t="s">
        <v>1112</v>
      </c>
      <c r="E302" s="8" t="s">
        <v>1113</v>
      </c>
      <c r="F302" s="6" t="s">
        <v>1114</v>
      </c>
      <c r="G302" s="9">
        <f>IF(A302=1,"_",IF(C302="_","???",C302))</f>
        <v/>
      </c>
      <c r="H302" s="10" t="s">
        <v>11</v>
      </c>
      <c r="I302" s="11" t="s">
        <v>11</v>
      </c>
      <c r="J302" s="12"/>
    </row>
    <row r="303" spans="1:10" ht="60" customHeight="1">
      <c r="A303" s="6" t="s">
        <v>1115</v>
      </c>
      <c r="B303" s="6" t="s">
        <v>15</v>
      </c>
      <c r="C303" s="6" t="s">
        <v>11</v>
      </c>
      <c r="D303" s="7" t="s">
        <v>215</v>
      </c>
      <c r="E303" s="8" t="s">
        <v>1116</v>
      </c>
      <c r="F303" s="6" t="s">
        <v>1117</v>
      </c>
      <c r="G303" s="9">
        <f>IF(A303=1,"_",IF(C303="_","???",C303))</f>
        <v/>
      </c>
      <c r="H303" s="10" t="s">
        <v>11</v>
      </c>
      <c r="I303" s="11" t="s">
        <v>11</v>
      </c>
      <c r="J303" s="12"/>
    </row>
    <row r="304" spans="1:10" ht="60" customHeight="1">
      <c r="A304" s="6" t="s">
        <v>1118</v>
      </c>
      <c r="B304" s="6" t="s">
        <v>45</v>
      </c>
      <c r="C304" s="6" t="s">
        <v>11</v>
      </c>
      <c r="D304" s="7" t="s">
        <v>1119</v>
      </c>
      <c r="E304" s="8" t="s">
        <v>1120</v>
      </c>
      <c r="F304" s="6" t="s">
        <v>1121</v>
      </c>
      <c r="G304" s="9">
        <f>IF(A304=1,"_",IF(C304="_","???",C304))</f>
        <v/>
      </c>
      <c r="H304" s="10" t="s">
        <v>11</v>
      </c>
      <c r="I304" s="11" t="s">
        <v>11</v>
      </c>
      <c r="J304" s="12"/>
    </row>
    <row r="305" spans="1:10" ht="60" customHeight="1">
      <c r="A305" s="6" t="s">
        <v>1122</v>
      </c>
      <c r="B305" s="6" t="s">
        <v>21</v>
      </c>
      <c r="C305" s="6" t="s">
        <v>11</v>
      </c>
      <c r="D305" s="7" t="s">
        <v>292</v>
      </c>
      <c r="E305" s="8" t="s">
        <v>1123</v>
      </c>
      <c r="F305" s="6" t="s">
        <v>1124</v>
      </c>
      <c r="G305" s="9">
        <f>IF(A305=1,"_",IF(C305="_","???",C305))</f>
        <v/>
      </c>
      <c r="H305" s="10" t="s">
        <v>11</v>
      </c>
      <c r="I305" s="11" t="s">
        <v>11</v>
      </c>
      <c r="J305" s="12"/>
    </row>
    <row r="306" spans="1:10" ht="60" customHeight="1">
      <c r="A306" s="6" t="s">
        <v>1125</v>
      </c>
      <c r="B306" s="6" t="s">
        <v>25</v>
      </c>
      <c r="C306" s="6" t="s">
        <v>11</v>
      </c>
      <c r="D306" s="7" t="s">
        <v>130</v>
      </c>
      <c r="E306" s="8" t="s">
        <v>1126</v>
      </c>
      <c r="F306" s="6" t="s">
        <v>1127</v>
      </c>
      <c r="G306" s="9">
        <f>IF(A306=1,"_",IF(C306="_","???",C306))</f>
        <v/>
      </c>
      <c r="H306" s="10" t="s">
        <v>11</v>
      </c>
      <c r="I306" s="11" t="s">
        <v>11</v>
      </c>
      <c r="J306" s="12"/>
    </row>
    <row r="307" spans="1:10" ht="60" customHeight="1">
      <c r="A307" s="6" t="s">
        <v>1128</v>
      </c>
      <c r="B307" s="6" t="s">
        <v>21</v>
      </c>
      <c r="C307" s="6" t="s">
        <v>11</v>
      </c>
      <c r="D307" s="7" t="s">
        <v>1129</v>
      </c>
      <c r="E307" s="8" t="s">
        <v>1130</v>
      </c>
      <c r="F307" s="6" t="s">
        <v>1131</v>
      </c>
      <c r="G307" s="9">
        <f>IF(A307=1,"_",IF(C307="_","???",C307))</f>
        <v/>
      </c>
      <c r="H307" s="10" t="s">
        <v>11</v>
      </c>
      <c r="I307" s="11" t="s">
        <v>11</v>
      </c>
      <c r="J307" s="12"/>
    </row>
    <row r="308" spans="1:10" ht="60" customHeight="1">
      <c r="A308" s="6" t="s">
        <v>1132</v>
      </c>
      <c r="B308" s="6" t="s">
        <v>15</v>
      </c>
      <c r="C308" s="6" t="s">
        <v>11</v>
      </c>
      <c r="D308" s="7" t="s">
        <v>1133</v>
      </c>
      <c r="E308" s="8" t="s">
        <v>1134</v>
      </c>
      <c r="F308" s="6" t="s">
        <v>1135</v>
      </c>
      <c r="G308" s="9">
        <f>IF(A308=1,"_",IF(C308="_","???",C308))</f>
        <v/>
      </c>
      <c r="H308" s="10" t="s">
        <v>11</v>
      </c>
      <c r="I308" s="11" t="s">
        <v>11</v>
      </c>
      <c r="J308" s="12"/>
    </row>
    <row r="309" spans="1:10" ht="60" customHeight="1">
      <c r="A309" s="6" t="s">
        <v>1136</v>
      </c>
      <c r="B309" s="6" t="s">
        <v>25</v>
      </c>
      <c r="C309" s="6" t="s">
        <v>11</v>
      </c>
      <c r="D309" s="7" t="s">
        <v>1137</v>
      </c>
      <c r="E309" s="8" t="s">
        <v>1138</v>
      </c>
      <c r="F309" s="6" t="s">
        <v>1139</v>
      </c>
      <c r="G309" s="9">
        <f>IF(A309=1,"_",IF(C309="_","???",C309))</f>
        <v/>
      </c>
      <c r="H309" s="10" t="s">
        <v>11</v>
      </c>
      <c r="I309" s="11" t="s">
        <v>11</v>
      </c>
      <c r="J309" s="12"/>
    </row>
    <row r="310" spans="1:10" ht="60" customHeight="1">
      <c r="A310" s="6" t="s">
        <v>1140</v>
      </c>
      <c r="B310" s="6" t="s">
        <v>15</v>
      </c>
      <c r="C310" s="6" t="s">
        <v>11</v>
      </c>
      <c r="D310" s="7" t="s">
        <v>1141</v>
      </c>
      <c r="E310" s="8" t="s">
        <v>1142</v>
      </c>
      <c r="F310" s="6" t="s">
        <v>1143</v>
      </c>
      <c r="G310" s="9">
        <f>IF(A310=1,"_",IF(C310="_","???",C310))</f>
        <v/>
      </c>
      <c r="H310" s="10" t="s">
        <v>11</v>
      </c>
      <c r="I310" s="11" t="s">
        <v>11</v>
      </c>
      <c r="J310" s="12"/>
    </row>
    <row r="311" spans="1:10" ht="60" customHeight="1">
      <c r="A311" s="6" t="s">
        <v>1144</v>
      </c>
      <c r="B311" s="6" t="s">
        <v>29</v>
      </c>
      <c r="C311" s="6" t="s">
        <v>11</v>
      </c>
      <c r="D311" s="7" t="s">
        <v>1145</v>
      </c>
      <c r="E311" s="8" t="s">
        <v>1146</v>
      </c>
      <c r="F311" s="6" t="s">
        <v>1147</v>
      </c>
      <c r="G311" s="9">
        <f>IF(A311=1,"_",IF(C311="_","???",C311))</f>
        <v/>
      </c>
      <c r="H311" s="10" t="s">
        <v>11</v>
      </c>
      <c r="I311" s="11" t="s">
        <v>11</v>
      </c>
      <c r="J311" s="12"/>
    </row>
    <row r="312" spans="1:10" ht="60" customHeight="1">
      <c r="A312" s="6" t="s">
        <v>1148</v>
      </c>
      <c r="B312" s="6" t="s">
        <v>41</v>
      </c>
      <c r="C312" s="6" t="s">
        <v>30</v>
      </c>
      <c r="D312" s="7" t="s">
        <v>1149</v>
      </c>
      <c r="E312" s="8" t="s">
        <v>1150</v>
      </c>
      <c r="F312" s="6" t="s">
        <v>1151</v>
      </c>
      <c r="G312" s="9">
        <f>IF(A312=1,"_",IF(C312="_","???",C312))</f>
        <v/>
      </c>
      <c r="H312" s="10" t="s">
        <v>11</v>
      </c>
      <c r="I312" s="11" t="s">
        <v>11</v>
      </c>
      <c r="J312" s="12"/>
    </row>
    <row r="313" spans="1:10" ht="60" customHeight="1">
      <c r="A313" s="6" t="s">
        <v>1152</v>
      </c>
      <c r="B313" s="6" t="s">
        <v>16</v>
      </c>
      <c r="C313" s="6" t="s">
        <v>11</v>
      </c>
      <c r="D313" s="7" t="s">
        <v>1153</v>
      </c>
      <c r="E313" s="8" t="s">
        <v>1154</v>
      </c>
      <c r="F313" s="6" t="s">
        <v>1155</v>
      </c>
      <c r="G313" s="9">
        <f>IF(A313=1,"_",IF(C313="_","???",C313))</f>
        <v/>
      </c>
      <c r="H313" s="10" t="s">
        <v>11</v>
      </c>
      <c r="I313" s="11" t="s">
        <v>11</v>
      </c>
      <c r="J313" s="12"/>
    </row>
    <row r="314" spans="1:10" ht="60" customHeight="1">
      <c r="A314" s="6" t="s">
        <v>1156</v>
      </c>
      <c r="B314" s="6" t="s">
        <v>34</v>
      </c>
      <c r="C314" s="6" t="s">
        <v>11</v>
      </c>
      <c r="D314" s="7" t="s">
        <v>1157</v>
      </c>
      <c r="E314" s="8" t="s">
        <v>1158</v>
      </c>
      <c r="F314" s="6" t="s">
        <v>1159</v>
      </c>
      <c r="G314" s="9">
        <f>IF(A314=1,"_",IF(C314="_","???",C314))</f>
        <v/>
      </c>
      <c r="H314" s="10" t="s">
        <v>11</v>
      </c>
      <c r="I314" s="11" t="s">
        <v>11</v>
      </c>
      <c r="J314" s="12"/>
    </row>
    <row r="315" spans="1:10" ht="60" customHeight="1">
      <c r="A315" s="6" t="s">
        <v>1160</v>
      </c>
      <c r="B315" s="6" t="s">
        <v>20</v>
      </c>
      <c r="C315" s="6" t="s">
        <v>11</v>
      </c>
      <c r="D315" s="7" t="s">
        <v>215</v>
      </c>
      <c r="E315" s="8" t="s">
        <v>1161</v>
      </c>
      <c r="F315" s="6" t="s">
        <v>1162</v>
      </c>
      <c r="G315" s="9">
        <f>IF(A315=1,"_",IF(C315="_","???",C315))</f>
        <v/>
      </c>
      <c r="H315" s="10" t="s">
        <v>11</v>
      </c>
      <c r="I315" s="11" t="s">
        <v>11</v>
      </c>
      <c r="J315" s="12"/>
    </row>
    <row r="316" spans="1:10" ht="60" customHeight="1">
      <c r="A316" s="6" t="s">
        <v>1163</v>
      </c>
      <c r="B316" s="6" t="s">
        <v>15</v>
      </c>
      <c r="C316" s="6" t="s">
        <v>11</v>
      </c>
      <c r="D316" s="7" t="s">
        <v>1164</v>
      </c>
      <c r="E316" s="8" t="s">
        <v>1165</v>
      </c>
      <c r="F316" s="6" t="s">
        <v>1166</v>
      </c>
      <c r="G316" s="9">
        <f>IF(A316=1,"_",IF(C316="_","???",C316))</f>
        <v/>
      </c>
      <c r="H316" s="10" t="s">
        <v>11</v>
      </c>
      <c r="I316" s="11" t="s">
        <v>11</v>
      </c>
      <c r="J316" s="12"/>
    </row>
    <row r="317" spans="1:10" ht="60" customHeight="1">
      <c r="A317" s="6" t="s">
        <v>1167</v>
      </c>
      <c r="B317" s="6" t="s">
        <v>15</v>
      </c>
      <c r="C317" s="6" t="s">
        <v>11</v>
      </c>
      <c r="D317" s="7" t="s">
        <v>1168</v>
      </c>
      <c r="E317" s="8" t="s">
        <v>1169</v>
      </c>
      <c r="F317" s="6" t="s">
        <v>1170</v>
      </c>
      <c r="G317" s="9">
        <f>IF(A317=1,"_",IF(C317="_","???",C317))</f>
        <v/>
      </c>
      <c r="H317" s="10" t="s">
        <v>11</v>
      </c>
      <c r="I317" s="11" t="s">
        <v>11</v>
      </c>
      <c r="J317" s="12"/>
    </row>
    <row r="318" spans="1:10" ht="60" customHeight="1">
      <c r="A318" s="6" t="s">
        <v>1171</v>
      </c>
      <c r="B318" s="6" t="s">
        <v>21</v>
      </c>
      <c r="C318" s="6" t="s">
        <v>11</v>
      </c>
      <c r="D318" s="7" t="s">
        <v>1168</v>
      </c>
      <c r="E318" s="8" t="s">
        <v>1172</v>
      </c>
      <c r="F318" s="6" t="s">
        <v>1173</v>
      </c>
      <c r="G318" s="9">
        <f>IF(A318=1,"_",IF(C318="_","???",C318))</f>
        <v/>
      </c>
      <c r="H318" s="10" t="s">
        <v>11</v>
      </c>
      <c r="I318" s="11" t="s">
        <v>11</v>
      </c>
      <c r="J31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68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1174</v>
      </c>
      <c r="B1" s="13" t="s">
        <v>1175</v>
      </c>
      <c r="C1" s="13" t="s">
        <v>1176</v>
      </c>
      <c r="D1" s="13" t="s">
        <v>1177</v>
      </c>
      <c r="E1" s="14" t="s">
        <v>1178</v>
      </c>
      <c r="F1" s="15" t="s">
        <v>1179</v>
      </c>
      <c r="G1" s="16" t="s">
        <v>1180</v>
      </c>
      <c r="H1" s="17" t="s">
        <v>1181</v>
      </c>
      <c r="I1" s="18" t="s">
        <v>1182</v>
      </c>
      <c r="J1" s="18" t="s">
        <v>1183</v>
      </c>
      <c r="K1" s="18" t="s">
        <v>1184</v>
      </c>
      <c r="L1" s="19" t="s">
        <v>9</v>
      </c>
    </row>
    <row r="2" spans="1:12">
      <c r="A2" s="20" t="s">
        <v>1185</v>
      </c>
    </row>
    <row r="3" spans="1:12">
      <c r="A3" s="20" t="s">
        <v>12</v>
      </c>
      <c r="B3" s="21" t="s">
        <v>1186</v>
      </c>
      <c r="C3" s="21" t="s">
        <v>1187</v>
      </c>
      <c r="D3" s="21" t="s">
        <v>1188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1189</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1190</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1191</v>
      </c>
      <c r="B6" s="21" t="s">
        <v>1186</v>
      </c>
      <c r="C6" s="21" t="s">
        <v>1192</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1193</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1194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1195</v>
      </c>
      <c r="B9" s="21" t="s">
        <v>1186</v>
      </c>
      <c r="C9" s="21" t="s">
        <v>1196</v>
      </c>
      <c r="D9" s="21" t="s">
        <v>1188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1197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1198</v>
      </c>
      <c r="B11" s="21" t="s">
        <v>1199</v>
      </c>
      <c r="C11" s="21" t="s">
        <v>1196</v>
      </c>
      <c r="D11" s="21" t="s">
        <v>1188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826</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row>
    <row r="14" spans="1:12">
      <c r="A14" s="20" t="s">
        <v>1200</v>
      </c>
    </row>
    <row r="15" spans="1:12">
      <c r="A15" s="20" t="s">
        <v>1201</v>
      </c>
      <c r="B15" s="21" t="s">
        <v>1202</v>
      </c>
      <c r="C15" s="21" t="s">
        <v>1203</v>
      </c>
      <c r="D15" s="21" t="s">
        <v>1188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1204</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1205</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1206</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1207</v>
      </c>
      <c r="B19" s="21" t="s">
        <v>1186</v>
      </c>
      <c r="C19" s="21" t="s">
        <v>1196</v>
      </c>
      <c r="D19" s="21" t="s">
        <v>1188</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1208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1209</v>
      </c>
      <c r="B21" s="21" t="s">
        <v>1199</v>
      </c>
      <c r="C21" s="21" t="s">
        <v>1187</v>
      </c>
      <c r="D21" s="21" t="s">
        <v>1188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1210</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1211</v>
      </c>
      <c r="B23" s="21" t="s">
        <v>1212</v>
      </c>
      <c r="C23" s="21" t="s">
        <v>1196</v>
      </c>
      <c r="D23" s="21" t="s">
        <v>1188</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1213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1214</v>
      </c>
      <c r="B25" s="21" t="s">
        <v>1215</v>
      </c>
      <c r="C25" s="21" t="s">
        <v>1216</v>
      </c>
      <c r="D25" s="21" t="s">
        <v>1188</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1217</v>
      </c>
      <c r="B26" s="21" t="s">
        <v>1199</v>
      </c>
      <c r="C26" s="21" t="s">
        <v>1218</v>
      </c>
      <c r="D26" s="21" t="s">
        <v>1188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17</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1190</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1219</v>
      </c>
      <c r="B29" s="21" t="s">
        <v>1186</v>
      </c>
      <c r="C29" s="21" t="s">
        <v>1187</v>
      </c>
      <c r="D29" s="21" t="s">
        <v>1188</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1220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826</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row>
    <row r="33" spans="1:12">
      <c r="A33" s="20" t="s">
        <v>1221</v>
      </c>
    </row>
    <row r="34" spans="1:12">
      <c r="A34" s="20" t="s">
        <v>1222</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1223</v>
      </c>
      <c r="B35" s="21" t="s">
        <v>1186</v>
      </c>
      <c r="C35" s="21" t="s">
        <v>1187</v>
      </c>
      <c r="D35" s="21" t="s">
        <v>1188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1224</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1219</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1225</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1226</v>
      </c>
      <c r="B39" s="21" t="s">
        <v>1212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1227</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1228</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1229</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1230</v>
      </c>
      <c r="B43" s="21" t="s">
        <v>1186</v>
      </c>
      <c r="C43" s="21" t="s">
        <v>1231</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1232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1233</v>
      </c>
      <c r="B45" s="21" t="s">
        <v>1199</v>
      </c>
      <c r="C45" s="21" t="s">
        <v>1187</v>
      </c>
      <c r="D45" s="21" t="s">
        <v>1188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1205</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826</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row>
    <row r="49" spans="1:12">
      <c r="A49" s="20" t="s">
        <v>1234</v>
      </c>
    </row>
    <row r="50" spans="1:12">
      <c r="A50" s="20" t="s">
        <v>1235</v>
      </c>
      <c r="B50" s="21" t="s">
        <v>1202</v>
      </c>
      <c r="C50" s="21" t="s">
        <v>1203</v>
      </c>
      <c r="D50" s="21" t="s">
        <v>1188</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1236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1214</v>
      </c>
      <c r="B52" s="21" t="s">
        <v>1199</v>
      </c>
      <c r="C52" s="21" t="s">
        <v>1216</v>
      </c>
      <c r="D52" s="21" t="s">
        <v>1188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1237</v>
      </c>
      <c r="B53" s="21" t="s">
        <v>1212</v>
      </c>
      <c r="C53" s="21" t="s">
        <v>1218</v>
      </c>
      <c r="D53" s="21" t="s">
        <v>1188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1208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1238</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1239</v>
      </c>
      <c r="B56" s="21" t="s">
        <v>1186</v>
      </c>
      <c r="C56" s="21" t="s">
        <v>1240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1241</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826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row>
    <row r="60" spans="1:12">
      <c r="A60" s="20" t="s">
        <v>1242</v>
      </c>
    </row>
    <row r="61" spans="1:12">
      <c r="A61" s="20" t="s">
        <v>1235</v>
      </c>
      <c r="B61" s="21" t="s">
        <v>1202</v>
      </c>
      <c r="C61" s="21" t="s">
        <v>1203</v>
      </c>
      <c r="D61" s="21" t="s">
        <v>1188</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1243</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1193</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1244</v>
      </c>
      <c r="B64" s="21" t="s">
        <v>1245</v>
      </c>
      <c r="C64" s="21" t="s">
        <v>1246</v>
      </c>
      <c r="D64" s="21" t="s">
        <v>1188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1206</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1247</v>
      </c>
      <c r="B66" s="21" t="s">
        <v>1248</v>
      </c>
      <c r="C66" s="21" t="s">
        <v>1196</v>
      </c>
      <c r="D66" s="21" t="s">
        <v>1188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1243</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826</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row>
    <row r="70" spans="1:12">
      <c r="A70" s="20" t="s">
        <v>1249</v>
      </c>
    </row>
    <row r="71" spans="1:12">
      <c r="A71" s="20" t="s">
        <v>1219</v>
      </c>
      <c r="B71" s="21" t="s">
        <v>1202</v>
      </c>
      <c r="C71" s="21" t="s">
        <v>1187</v>
      </c>
      <c r="D71" s="21" t="s">
        <v>1188</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1193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35</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1250</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1209</v>
      </c>
      <c r="B75" s="21" t="s">
        <v>1186</v>
      </c>
      <c r="C75" s="21" t="s">
        <v>1187</v>
      </c>
      <c r="D75" s="21" t="s">
        <v>1188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1251</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row>
    <row r="78" spans="1:12">
      <c r="A78" s="20" t="s">
        <v>1252</v>
      </c>
    </row>
    <row r="79" spans="1:12">
      <c r="A79" s="20" t="s">
        <v>1253</v>
      </c>
      <c r="B79" s="21" t="s">
        <v>1202</v>
      </c>
      <c r="C79" s="21" t="s">
        <v>1246</v>
      </c>
      <c r="D79" s="21" t="s">
        <v>1188</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1254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57</v>
      </c>
      <c r="B81" s="21" t="s">
        <v>1202</v>
      </c>
      <c r="C81" s="21" t="s">
        <v>1203</v>
      </c>
      <c r="D81" s="21" t="s">
        <v>1188</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1255</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1256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38</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1257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row>
    <row r="87" spans="1:12">
      <c r="A87" s="20" t="s">
        <v>1258</v>
      </c>
    </row>
    <row r="88" spans="1:12">
      <c r="A88" s="20" t="s">
        <v>42</v>
      </c>
      <c r="B88" s="21" t="s">
        <v>1186</v>
      </c>
      <c r="C88" s="21" t="s">
        <v>1187</v>
      </c>
      <c r="D88" s="21" t="s">
        <v>1188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1220</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1190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row>
    <row r="92" spans="1:12">
      <c r="A92" s="20" t="s">
        <v>1259</v>
      </c>
    </row>
    <row r="93" spans="1:12">
      <c r="A93" s="20" t="s">
        <v>1201</v>
      </c>
      <c r="B93" s="21" t="s">
        <v>1202</v>
      </c>
      <c r="C93" s="21" t="s">
        <v>1203</v>
      </c>
      <c r="D93" s="21" t="s">
        <v>1188</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1260</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1261</v>
      </c>
      <c r="B95" s="21" t="s">
        <v>1212</v>
      </c>
      <c r="C95" s="21" t="s">
        <v>1262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38</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826</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row>
    <row r="99" spans="1:12">
      <c r="A99" s="20" t="s">
        <v>1263</v>
      </c>
    </row>
    <row r="100" spans="1:12">
      <c r="A100" s="20" t="s">
        <v>1264</v>
      </c>
      <c r="B100" s="21" t="s">
        <v>1202</v>
      </c>
      <c r="C100" s="21" t="s">
        <v>1203</v>
      </c>
      <c r="D100" s="21" t="s">
        <v>1188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1265</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1266</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826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row>
    <row r="105" spans="1:12">
      <c r="A105" s="20" t="s">
        <v>1267</v>
      </c>
    </row>
    <row r="106" spans="1:12">
      <c r="A106" s="20" t="s">
        <v>1222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53</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1232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1268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1269</v>
      </c>
      <c r="B110" s="21" t="s">
        <v>1186</v>
      </c>
      <c r="C110" s="21" t="s">
        <v>1196</v>
      </c>
      <c r="D110" s="21" t="s">
        <v>1188</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1224</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1270</v>
      </c>
      <c r="B112" s="21" t="s">
        <v>1186</v>
      </c>
      <c r="C112" s="21" t="s">
        <v>1187</v>
      </c>
      <c r="D112" s="21" t="s">
        <v>1188</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1190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1219</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1193</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1271</v>
      </c>
      <c r="B116" s="21" t="s">
        <v>1248</v>
      </c>
      <c r="C116" s="21" t="s">
        <v>1203</v>
      </c>
      <c r="D116" s="21" t="s">
        <v>1188</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1272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680</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1273</v>
      </c>
      <c r="B119" s="21" t="s">
        <v>1215</v>
      </c>
      <c r="C119" s="21" t="s">
        <v>1262</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1274</v>
      </c>
      <c r="B120" s="21" t="s">
        <v>1245</v>
      </c>
      <c r="C120" s="21" t="s">
        <v>1231</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1227</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1275</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826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row>
    <row r="125" spans="1:12">
      <c r="A125" s="20" t="s">
        <v>1276</v>
      </c>
    </row>
    <row r="126" spans="1:12">
      <c r="A126" s="20" t="s">
        <v>1277</v>
      </c>
      <c r="B126" s="21" t="s">
        <v>1202</v>
      </c>
      <c r="C126" s="21" t="s">
        <v>1262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1278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1275</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1279</v>
      </c>
      <c r="B129" s="21" t="s">
        <v>1248</v>
      </c>
      <c r="C129" s="21" t="s">
        <v>1262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1280</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1232</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1210</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1281</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1282</v>
      </c>
      <c r="B134" s="21" t="s">
        <v>1199</v>
      </c>
      <c r="C134" s="21" t="s">
        <v>1196</v>
      </c>
      <c r="D134" s="21" t="s">
        <v>1188</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1190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1283</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1284</v>
      </c>
      <c r="B137" s="21" t="s">
        <v>1215</v>
      </c>
      <c r="C137" s="21" t="s">
        <v>1231</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1193</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1283</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952</v>
      </c>
      <c r="B140" s="21" t="s">
        <v>1285</v>
      </c>
      <c r="C140" s="21" t="s">
        <v>1231</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1193</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1283</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1286</v>
      </c>
      <c r="B143" s="21" t="s">
        <v>1285</v>
      </c>
      <c r="C143" s="21" t="s">
        <v>1231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826</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row>
    <row r="146" spans="1:12">
      <c r="A146" s="20" t="s">
        <v>1287</v>
      </c>
    </row>
    <row r="147" spans="1:12">
      <c r="A147" s="20" t="s">
        <v>1288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1289</v>
      </c>
      <c r="B148" s="21" t="s">
        <v>1199</v>
      </c>
      <c r="C148" s="21" t="s">
        <v>1290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1291</v>
      </c>
      <c r="B149" s="21" t="s">
        <v>1186</v>
      </c>
      <c r="C149" s="21" t="s">
        <v>1192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1292</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57</v>
      </c>
      <c r="B151" s="21" t="s">
        <v>1202</v>
      </c>
      <c r="C151" s="21" t="s">
        <v>1203</v>
      </c>
      <c r="D151" s="21" t="s">
        <v>1188</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1275</v>
      </c>
      <c r="B152" s="21" t="s">
        <v>1212</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60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1257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row>
    <row r="156" spans="1:12">
      <c r="A156" s="20" t="s">
        <v>1293</v>
      </c>
    </row>
    <row r="157" spans="1:12">
      <c r="A157" s="20" t="s">
        <v>1294</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1190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1295</v>
      </c>
      <c r="B159" s="21" t="s">
        <v>1202</v>
      </c>
      <c r="C159" s="21" t="s">
        <v>1262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1193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1206</v>
      </c>
      <c r="B161" s="21" t="s">
        <v>1296</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1227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1297</v>
      </c>
      <c r="B163" s="21" t="s">
        <v>1298</v>
      </c>
      <c r="C163" s="21" t="s">
        <v>1216</v>
      </c>
      <c r="D163" s="21" t="s">
        <v>1188</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154</v>
      </c>
      <c r="B164" s="21" t="s">
        <v>1285</v>
      </c>
      <c r="C164" s="21" t="s">
        <v>1218</v>
      </c>
      <c r="D164" s="21" t="s">
        <v>1188</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1299</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1265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1193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1278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1226</v>
      </c>
      <c r="B169" s="21" t="s">
        <v>1212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1300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1301</v>
      </c>
      <c r="B171" s="21" t="s">
        <v>1186</v>
      </c>
      <c r="C171" s="21" t="s">
        <v>1203</v>
      </c>
      <c r="D171" s="21" t="s">
        <v>1188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1302</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1303</v>
      </c>
      <c r="B173" s="21" t="s">
        <v>1215</v>
      </c>
      <c r="C173" s="21" t="s">
        <v>1304</v>
      </c>
      <c r="D173" s="21" t="s">
        <v>1188</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1305</v>
      </c>
      <c r="B174" s="21" t="s">
        <v>1199</v>
      </c>
      <c r="C174" s="21" t="s">
        <v>1192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1306</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1302</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1307</v>
      </c>
      <c r="B177" s="21" t="s">
        <v>1186</v>
      </c>
      <c r="C177" s="21" t="s">
        <v>1308</v>
      </c>
      <c r="D177" s="21" t="s">
        <v>1188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1193</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1309</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1310</v>
      </c>
      <c r="B180" s="21" t="s">
        <v>1311</v>
      </c>
      <c r="C180" s="21" t="s">
        <v>1262</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1312</v>
      </c>
      <c r="B181" s="21" t="s">
        <v>1313</v>
      </c>
      <c r="C181" s="21" t="s">
        <v>1203</v>
      </c>
      <c r="D181" s="21" t="s">
        <v>1188</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60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1314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826</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row>
    <row r="186" spans="1:12">
      <c r="A186" s="20" t="s">
        <v>1315</v>
      </c>
    </row>
    <row r="187" spans="1:12">
      <c r="A187" s="20" t="s">
        <v>1316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1193</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1317</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1271</v>
      </c>
      <c r="B190" s="21" t="s">
        <v>1202</v>
      </c>
      <c r="C190" s="21" t="s">
        <v>1203</v>
      </c>
      <c r="D190" s="21" t="s">
        <v>1188</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1318</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1319</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1190</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1320</v>
      </c>
      <c r="B194" s="21" t="s">
        <v>1215</v>
      </c>
      <c r="C194" s="21" t="s">
        <v>1192</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1265</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1321</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1194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1322</v>
      </c>
      <c r="B198" s="21" t="s">
        <v>1186</v>
      </c>
      <c r="C198" s="21" t="s">
        <v>1196</v>
      </c>
      <c r="D198" s="21" t="s">
        <v>1188</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1193</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1300</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1206</v>
      </c>
      <c r="B201" s="21" t="s">
        <v>1215</v>
      </c>
      <c r="C201" s="21" t="s">
        <v>1246</v>
      </c>
      <c r="D201" s="21" t="s">
        <v>1188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427</v>
      </c>
      <c r="B202" s="21" t="s">
        <v>1311</v>
      </c>
      <c r="C202" s="21" t="s">
        <v>1246</v>
      </c>
      <c r="D202" s="21" t="s">
        <v>1188</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1323</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1324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826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row>
    <row r="207" spans="1:12">
      <c r="A207" s="20" t="s">
        <v>1325</v>
      </c>
    </row>
    <row r="208" spans="1:12">
      <c r="A208" s="20" t="s">
        <v>1326</v>
      </c>
      <c r="B208" s="21" t="s">
        <v>1296</v>
      </c>
      <c r="C208" s="21" t="s">
        <v>1290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1271</v>
      </c>
      <c r="B209" s="21" t="s">
        <v>1311</v>
      </c>
      <c r="C209" s="21" t="s">
        <v>1203</v>
      </c>
      <c r="D209" s="21" t="s">
        <v>1188</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1327</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1193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1328</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1329</v>
      </c>
      <c r="B213" s="21" t="s">
        <v>1199</v>
      </c>
      <c r="C213" s="21" t="s">
        <v>1246</v>
      </c>
      <c r="D213" s="21" t="s">
        <v>1188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1330</v>
      </c>
      <c r="B214" s="21" t="s">
        <v>1212</v>
      </c>
      <c r="C214" s="21" t="s">
        <v>1331</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826</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row>
    <row r="217" spans="1:12">
      <c r="A217" s="20" t="s">
        <v>1332</v>
      </c>
    </row>
    <row r="218" spans="1:12">
      <c r="A218" s="20" t="s">
        <v>1333</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1271</v>
      </c>
      <c r="B219" s="21" t="s">
        <v>1248</v>
      </c>
      <c r="C219" s="21" t="s">
        <v>1203</v>
      </c>
      <c r="D219" s="21" t="s">
        <v>1188</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1206</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1334</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1335</v>
      </c>
      <c r="B222" s="21" t="s">
        <v>1248</v>
      </c>
      <c r="C222" s="21" t="s">
        <v>1196</v>
      </c>
      <c r="D222" s="21" t="s">
        <v>1188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1206</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1336</v>
      </c>
      <c r="B224" s="21" t="s">
        <v>1215</v>
      </c>
      <c r="C224" s="21" t="s">
        <v>1196</v>
      </c>
      <c r="D224" s="21" t="s">
        <v>1188</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1327</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1193</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1260</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1310</v>
      </c>
      <c r="B228" s="21" t="s">
        <v>1202</v>
      </c>
      <c r="C228" s="21" t="s">
        <v>1262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1312</v>
      </c>
      <c r="B229" s="21" t="s">
        <v>1212</v>
      </c>
      <c r="C229" s="21" t="s">
        <v>1203</v>
      </c>
      <c r="D229" s="21" t="s">
        <v>1188</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77</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1302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1337</v>
      </c>
      <c r="B232" s="21" t="s">
        <v>1215</v>
      </c>
      <c r="C232" s="21" t="s">
        <v>1262</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1206</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1338</v>
      </c>
      <c r="B234" s="21" t="s">
        <v>1199</v>
      </c>
      <c r="C234" s="21" t="s">
        <v>1196</v>
      </c>
      <c r="D234" s="21" t="s">
        <v>1188</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348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826</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row>
    <row r="238" spans="1:12">
      <c r="A238" s="20" t="s">
        <v>1339</v>
      </c>
    </row>
    <row r="239" spans="1:12">
      <c r="A239" s="20" t="s">
        <v>1253</v>
      </c>
      <c r="B239" s="21" t="s">
        <v>1248</v>
      </c>
      <c r="C239" s="21" t="s">
        <v>1246</v>
      </c>
      <c r="D239" s="21" t="s">
        <v>1188</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1340</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1193</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1341</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1194</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1342</v>
      </c>
      <c r="B244" s="21" t="s">
        <v>1186</v>
      </c>
      <c r="C244" s="21" t="s">
        <v>1196</v>
      </c>
      <c r="D244" s="21" t="s">
        <v>1188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826</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row>
    <row r="247" spans="1:12">
      <c r="A247" s="20" t="s">
        <v>1343</v>
      </c>
    </row>
    <row r="248" spans="1:12">
      <c r="A248" s="20" t="s">
        <v>1253</v>
      </c>
      <c r="B248" s="21" t="s">
        <v>1202</v>
      </c>
      <c r="C248" s="21" t="s">
        <v>1246</v>
      </c>
      <c r="D248" s="21" t="s">
        <v>1188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1340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1193</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1265</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1194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1344</v>
      </c>
      <c r="B253" s="21" t="s">
        <v>1202</v>
      </c>
      <c r="C253" s="21" t="s">
        <v>1196</v>
      </c>
      <c r="D253" s="21" t="s">
        <v>1188</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1208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1345</v>
      </c>
      <c r="B255" s="21" t="s">
        <v>1199</v>
      </c>
      <c r="C255" s="21" t="s">
        <v>1192</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1193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1194</v>
      </c>
      <c r="B257" s="21" t="s">
        <v>1296</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427</v>
      </c>
      <c r="B258" s="21" t="s">
        <v>1296</v>
      </c>
      <c r="C258" s="21" t="s">
        <v>1246</v>
      </c>
      <c r="D258" s="21" t="s">
        <v>1188</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1346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1193</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1194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1344</v>
      </c>
      <c r="B262" s="21" t="s">
        <v>1347</v>
      </c>
      <c r="C262" s="21" t="s">
        <v>1196</v>
      </c>
      <c r="D262" s="21" t="s">
        <v>1188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1208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1198</v>
      </c>
      <c r="B264" s="21" t="s">
        <v>1298</v>
      </c>
      <c r="C264" s="21" t="s">
        <v>1192</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1193</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1194</v>
      </c>
      <c r="B266" s="21" t="s">
        <v>1348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427</v>
      </c>
      <c r="B267" s="21" t="s">
        <v>1348</v>
      </c>
      <c r="C267" s="21" t="s">
        <v>1246</v>
      </c>
      <c r="D267" s="21" t="s">
        <v>1188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1346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1193</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1194</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1344</v>
      </c>
      <c r="B271" s="21" t="s">
        <v>1349</v>
      </c>
      <c r="C271" s="21" t="s">
        <v>1196</v>
      </c>
      <c r="D271" s="21" t="s">
        <v>1188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1208</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1350</v>
      </c>
      <c r="B273" s="21" t="s">
        <v>1351</v>
      </c>
      <c r="C273" s="21" t="s">
        <v>1192</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1352</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1353</v>
      </c>
      <c r="B275" s="21" t="s">
        <v>1354</v>
      </c>
      <c r="C275" s="21" t="s">
        <v>1192</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1302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1355</v>
      </c>
      <c r="B277" s="21" t="s">
        <v>1356</v>
      </c>
      <c r="C277" s="21" t="s">
        <v>1192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826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row>
    <row r="280" spans="1:12">
      <c r="A280" s="20" t="s">
        <v>1357</v>
      </c>
    </row>
    <row r="281" spans="1:12">
      <c r="A281" s="20" t="s">
        <v>1320</v>
      </c>
      <c r="B281" s="21" t="s">
        <v>1202</v>
      </c>
      <c r="C281" s="21" t="s">
        <v>1216</v>
      </c>
      <c r="D281" s="21" t="s">
        <v>1188</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1265</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1194</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1358</v>
      </c>
      <c r="B284" s="21" t="s">
        <v>1186</v>
      </c>
      <c r="C284" s="21" t="s">
        <v>1196</v>
      </c>
      <c r="D284" s="21" t="s">
        <v>1188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1193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1194</v>
      </c>
      <c r="B286" s="21" t="s">
        <v>1245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1271</v>
      </c>
      <c r="B287" s="21" t="s">
        <v>1248</v>
      </c>
      <c r="C287" s="21" t="s">
        <v>1203</v>
      </c>
      <c r="D287" s="21" t="s">
        <v>1188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1301</v>
      </c>
      <c r="B288" s="21" t="s">
        <v>1245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1359</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1360</v>
      </c>
      <c r="B290" s="21" t="s">
        <v>1215</v>
      </c>
      <c r="C290" s="21" t="s">
        <v>1216</v>
      </c>
      <c r="D290" s="21" t="s">
        <v>1188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1361</v>
      </c>
      <c r="B291" s="21" t="s">
        <v>1199</v>
      </c>
      <c r="C291" s="21" t="s">
        <v>1218</v>
      </c>
      <c r="D291" s="21" t="s">
        <v>1188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1362</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826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row>
    <row r="295" spans="1:12">
      <c r="A295" s="20" t="s">
        <v>1363</v>
      </c>
    </row>
    <row r="296" spans="1:12">
      <c r="A296" s="20" t="s">
        <v>1364</v>
      </c>
      <c r="B296" s="21" t="s">
        <v>1202</v>
      </c>
      <c r="C296" s="21" t="s">
        <v>1246</v>
      </c>
      <c r="D296" s="21" t="s">
        <v>1188</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163</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1365</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1193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1366</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1367</v>
      </c>
      <c r="B301" s="21" t="s">
        <v>1248</v>
      </c>
      <c r="C301" s="21" t="s">
        <v>1216</v>
      </c>
      <c r="D301" s="21" t="s">
        <v>1188</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1368</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1206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632</v>
      </c>
      <c r="B304" s="21" t="s">
        <v>1186</v>
      </c>
      <c r="C304" s="21" t="s">
        <v>1196</v>
      </c>
      <c r="D304" s="21" t="s">
        <v>1188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1265</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826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row>
    <row r="308" spans="1:12">
      <c r="A308" s="20" t="s">
        <v>1369</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1370</v>
      </c>
    </row>
    <row r="310" spans="1:12">
      <c r="A310" s="20" t="s">
        <v>1333</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1271</v>
      </c>
      <c r="B311" s="21" t="s">
        <v>1296</v>
      </c>
      <c r="C311" s="21" t="s">
        <v>1203</v>
      </c>
      <c r="D311" s="21" t="s">
        <v>1188</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1312</v>
      </c>
      <c r="B312" s="21" t="s">
        <v>1347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1371</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1193</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1372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1271</v>
      </c>
      <c r="B317" s="21" t="s">
        <v>1311</v>
      </c>
      <c r="C317" s="21" t="s">
        <v>1203</v>
      </c>
      <c r="D317" s="21" t="s">
        <v>1188</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1329</v>
      </c>
      <c r="B318" s="21" t="s">
        <v>1215</v>
      </c>
      <c r="C318" s="21" t="s">
        <v>1246</v>
      </c>
      <c r="D318" s="21" t="s">
        <v>1188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1373</v>
      </c>
      <c r="B319" s="21" t="s">
        <v>1245</v>
      </c>
      <c r="C319" s="21" t="s">
        <v>1331</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1309</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1374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1375</v>
      </c>
      <c r="B322" s="21" t="s">
        <v>1199</v>
      </c>
      <c r="C322" s="21" t="s">
        <v>1187</v>
      </c>
      <c r="D322" s="21" t="s">
        <v>1188</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1374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1376</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1193</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1201</v>
      </c>
      <c r="B326" s="21" t="s">
        <v>1202</v>
      </c>
      <c r="C326" s="21" t="s">
        <v>1203</v>
      </c>
      <c r="D326" s="21" t="s">
        <v>1188</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1372</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1321</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1374</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1377</v>
      </c>
      <c r="B330" s="21" t="s">
        <v>1212</v>
      </c>
      <c r="C330" s="21" t="s">
        <v>1192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1374</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96</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1378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1374</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952</v>
      </c>
      <c r="B335" s="21" t="s">
        <v>1186</v>
      </c>
      <c r="C335" s="21" t="s">
        <v>1192</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1374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826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row>
    <row r="339" spans="1:12">
      <c r="A339" s="20" t="s">
        <v>1379</v>
      </c>
    </row>
    <row r="340" spans="1:12">
      <c r="A340" s="20" t="s">
        <v>1201</v>
      </c>
      <c r="B340" s="21" t="s">
        <v>1202</v>
      </c>
      <c r="C340" s="21" t="s">
        <v>1203</v>
      </c>
      <c r="D340" s="21" t="s">
        <v>1188</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1372</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96</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1193</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1271</v>
      </c>
      <c r="B344" s="21" t="s">
        <v>1248</v>
      </c>
      <c r="C344" s="21" t="s">
        <v>1203</v>
      </c>
      <c r="D344" s="21" t="s">
        <v>1188</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1327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1380</v>
      </c>
      <c r="B346" s="21" t="s">
        <v>1186</v>
      </c>
      <c r="C346" s="21" t="s">
        <v>1192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1302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680</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1381</v>
      </c>
      <c r="B349" s="21" t="s">
        <v>1199</v>
      </c>
      <c r="C349" s="21" t="s">
        <v>1231</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1193</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1382</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1309</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1383</v>
      </c>
      <c r="B353" s="21" t="s">
        <v>1215</v>
      </c>
      <c r="C353" s="21" t="s">
        <v>1262</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1384</v>
      </c>
      <c r="B354" s="21" t="s">
        <v>1248</v>
      </c>
      <c r="C354" s="21" t="s">
        <v>1246</v>
      </c>
      <c r="D354" s="21" t="s">
        <v>1188</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1039</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826</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row>
    <row r="358" spans="1:12">
      <c r="A358" s="20" t="s">
        <v>1385</v>
      </c>
    </row>
    <row r="359" spans="1:12">
      <c r="A359" s="20" t="s">
        <v>1270</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1190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1386</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1387</v>
      </c>
      <c r="B362" s="21" t="s">
        <v>1212</v>
      </c>
      <c r="C362" s="21" t="s">
        <v>1216</v>
      </c>
      <c r="D362" s="21" t="s">
        <v>1188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1388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1389</v>
      </c>
      <c r="B364" s="21" t="s">
        <v>1212</v>
      </c>
      <c r="C364" s="21" t="s">
        <v>1192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1337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102</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1193</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1194</v>
      </c>
      <c r="B368" s="21" t="s">
        <v>1248</v>
      </c>
      <c r="C368" s="21" t="s">
        <v>1246</v>
      </c>
      <c r="D368" s="21" t="s">
        <v>1188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1321</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1300</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1206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1390</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1391</v>
      </c>
      <c r="B373" s="21" t="s">
        <v>1199</v>
      </c>
      <c r="C373" s="21" t="s">
        <v>1196</v>
      </c>
      <c r="D373" s="21" t="s">
        <v>1188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1392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1341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1190</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row>
    <row r="378" spans="1:12">
      <c r="A378" s="20" t="s">
        <v>1393</v>
      </c>
    </row>
    <row r="379" spans="1:12">
      <c r="A379" s="20" t="s">
        <v>1394</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1228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1395</v>
      </c>
      <c r="B381" s="21" t="s">
        <v>1186</v>
      </c>
      <c r="C381" s="21" t="s">
        <v>1231</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1396</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57</v>
      </c>
      <c r="B383" s="21" t="s">
        <v>1202</v>
      </c>
      <c r="C383" s="21" t="s">
        <v>1203</v>
      </c>
      <c r="D383" s="21" t="s">
        <v>1188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1397</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1232</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1398</v>
      </c>
      <c r="B386" s="21" t="s">
        <v>1186</v>
      </c>
      <c r="C386" s="21" t="s">
        <v>1187</v>
      </c>
      <c r="D386" s="21" t="s">
        <v>1188</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1302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1399</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1232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1268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1400</v>
      </c>
      <c r="B391" s="21" t="s">
        <v>1199</v>
      </c>
      <c r="C391" s="21" t="s">
        <v>1401</v>
      </c>
      <c r="D391" s="21" t="s">
        <v>1188</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1206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1402</v>
      </c>
      <c r="B393" s="21" t="s">
        <v>1215</v>
      </c>
      <c r="C393" s="21" t="s">
        <v>1187</v>
      </c>
      <c r="D393" s="21" t="s">
        <v>1188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1403</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826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row>
    <row r="397" spans="1:12">
      <c r="A397" s="20" t="s">
        <v>1404</v>
      </c>
    </row>
    <row r="398" spans="1:12">
      <c r="A398" s="20" t="s">
        <v>1405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1406</v>
      </c>
      <c r="B399" s="21" t="s">
        <v>1186</v>
      </c>
      <c r="C399" s="21" t="s">
        <v>1192</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1407</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57</v>
      </c>
      <c r="B401" s="21" t="s">
        <v>1202</v>
      </c>
      <c r="C401" s="21" t="s">
        <v>1203</v>
      </c>
      <c r="D401" s="21" t="s">
        <v>1188</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1408</v>
      </c>
      <c r="B402" s="21" t="s">
        <v>1212</v>
      </c>
      <c r="C402" s="21" t="s">
        <v>1192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1337</v>
      </c>
      <c r="B403" s="21" t="s">
        <v>1215</v>
      </c>
      <c r="C403" s="21" t="s">
        <v>1262</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1409</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1410</v>
      </c>
      <c r="B405" s="21" t="s">
        <v>1199</v>
      </c>
      <c r="C405" s="21" t="s">
        <v>1240</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826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row>
    <row r="408" spans="1:12">
      <c r="A408" s="20" t="s">
        <v>1411</v>
      </c>
    </row>
    <row r="409" spans="1:12">
      <c r="A409" s="20" t="s">
        <v>1412</v>
      </c>
      <c r="B409" s="21" t="s">
        <v>1202</v>
      </c>
      <c r="C409" s="21" t="s">
        <v>1203</v>
      </c>
      <c r="D409" s="21" t="s">
        <v>1188</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1399</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1413</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1193</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1414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1415</v>
      </c>
      <c r="B414" s="21" t="s">
        <v>1212</v>
      </c>
      <c r="C414" s="21" t="s">
        <v>1192</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1416</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1417</v>
      </c>
      <c r="B416" s="21" t="s">
        <v>1199</v>
      </c>
      <c r="C416" s="21" t="s">
        <v>1192</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1337</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114</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826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row>
    <row r="421" spans="1:12">
      <c r="A421" s="20" t="s">
        <v>1418</v>
      </c>
    </row>
    <row r="422" spans="1:12">
      <c r="A422" s="20" t="s">
        <v>1320</v>
      </c>
      <c r="B422" s="21" t="s">
        <v>1202</v>
      </c>
      <c r="C422" s="21" t="s">
        <v>1216</v>
      </c>
      <c r="D422" s="21" t="s">
        <v>1188</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1278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1419</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1337</v>
      </c>
      <c r="B425" s="21" t="s">
        <v>1199</v>
      </c>
      <c r="C425" s="21" t="s">
        <v>1262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1210</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1217</v>
      </c>
      <c r="B427" s="21" t="s">
        <v>1186</v>
      </c>
      <c r="C427" s="21" t="s">
        <v>1196</v>
      </c>
      <c r="D427" s="21" t="s">
        <v>1188</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1232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1268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1420</v>
      </c>
      <c r="B430" s="21" t="s">
        <v>1199</v>
      </c>
      <c r="C430" s="21" t="s">
        <v>1187</v>
      </c>
      <c r="D430" s="21" t="s">
        <v>1188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1421</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826</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row>
    <row r="434" spans="1:12">
      <c r="A434" s="20" t="s">
        <v>1422</v>
      </c>
    </row>
    <row r="435" spans="1:12">
      <c r="A435" s="20" t="s">
        <v>1253</v>
      </c>
      <c r="B435" s="21" t="s">
        <v>1202</v>
      </c>
      <c r="C435" s="21" t="s">
        <v>1246</v>
      </c>
      <c r="D435" s="21" t="s">
        <v>1188</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1278</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1275</v>
      </c>
      <c r="B437" s="21" t="s">
        <v>1202</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1423</v>
      </c>
      <c r="B438" s="21" t="s">
        <v>1186</v>
      </c>
      <c r="C438" s="21" t="s">
        <v>1308</v>
      </c>
      <c r="D438" s="21" t="s">
        <v>1188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1424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1257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row>
    <row r="442" spans="1:12">
      <c r="A442" s="20" t="s">
        <v>1425</v>
      </c>
    </row>
    <row r="443" spans="1:12">
      <c r="A443" s="20" t="s">
        <v>1294</v>
      </c>
      <c r="B443" s="21" t="s">
        <v>1186</v>
      </c>
      <c r="C443" s="21" t="s">
        <v>1203</v>
      </c>
      <c r="D443" s="21" t="s">
        <v>1188</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1190</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1426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57</v>
      </c>
      <c r="B446" s="21" t="s">
        <v>1202</v>
      </c>
      <c r="C446" s="21" t="s">
        <v>1203</v>
      </c>
      <c r="D446" s="21" t="s">
        <v>1188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1193</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1427</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1271</v>
      </c>
      <c r="B449" s="21" t="s">
        <v>1248</v>
      </c>
      <c r="C449" s="21" t="s">
        <v>1203</v>
      </c>
      <c r="D449" s="21" t="s">
        <v>1188</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1205</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1398</v>
      </c>
      <c r="B451" s="21" t="s">
        <v>1199</v>
      </c>
      <c r="C451" s="21" t="s">
        <v>1187</v>
      </c>
      <c r="D451" s="21" t="s">
        <v>1188</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1428</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1193</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1302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1232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1210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1429</v>
      </c>
      <c r="B457" s="21" t="s">
        <v>1215</v>
      </c>
      <c r="C457" s="21" t="s">
        <v>1196</v>
      </c>
      <c r="D457" s="21" t="s">
        <v>1188</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1430</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1193</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1427</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1271</v>
      </c>
      <c r="B461" s="21" t="s">
        <v>1296</v>
      </c>
      <c r="C461" s="21" t="s">
        <v>1203</v>
      </c>
      <c r="D461" s="21" t="s">
        <v>1188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1359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1194</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1431</v>
      </c>
      <c r="B464" s="21" t="s">
        <v>1285</v>
      </c>
      <c r="C464" s="21" t="s">
        <v>1196</v>
      </c>
      <c r="D464" s="21" t="s">
        <v>1188</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1432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1193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1433</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1271</v>
      </c>
      <c r="B468" s="21" t="s">
        <v>1311</v>
      </c>
      <c r="C468" s="21" t="s">
        <v>1203</v>
      </c>
      <c r="D468" s="21" t="s">
        <v>1188</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1434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1435</v>
      </c>
      <c r="B470" s="21" t="s">
        <v>1313</v>
      </c>
      <c r="C470" s="21" t="s">
        <v>1331</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1193</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1194</v>
      </c>
      <c r="B472" s="21" t="s">
        <v>1436</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1312</v>
      </c>
      <c r="B473" s="21" t="s">
        <v>1437</v>
      </c>
      <c r="C473" s="21" t="s">
        <v>1203</v>
      </c>
      <c r="D473" s="21" t="s">
        <v>1188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1438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826</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row>
    <row r="477" spans="1:12">
      <c r="A477" s="20" t="s">
        <v>1439</v>
      </c>
    </row>
    <row r="478" spans="1:12">
      <c r="A478" s="20" t="s">
        <v>1364</v>
      </c>
      <c r="B478" s="21" t="s">
        <v>1202</v>
      </c>
      <c r="C478" s="21" t="s">
        <v>1246</v>
      </c>
      <c r="D478" s="21" t="s">
        <v>1188</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130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1440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1441</v>
      </c>
      <c r="B481" s="21" t="s">
        <v>1212</v>
      </c>
      <c r="C481" s="21" t="s">
        <v>1331</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1232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1210</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1442</v>
      </c>
      <c r="B484" s="21" t="s">
        <v>1186</v>
      </c>
      <c r="C484" s="21" t="s">
        <v>1196</v>
      </c>
      <c r="D484" s="21" t="s">
        <v>1188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1193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1435</v>
      </c>
      <c r="B486" s="21" t="s">
        <v>1199</v>
      </c>
      <c r="C486" s="21" t="s">
        <v>1192</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1193</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1194</v>
      </c>
      <c r="B488" s="21" t="s">
        <v>1296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1443</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670</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1444</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1193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1435</v>
      </c>
      <c r="B493" s="21" t="s">
        <v>1199</v>
      </c>
      <c r="C493" s="21" t="s">
        <v>1192</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1193</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1194</v>
      </c>
      <c r="B495" s="21" t="s">
        <v>1311</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1445</v>
      </c>
      <c r="B496" s="21" t="s">
        <v>1313</v>
      </c>
      <c r="C496" s="21" t="s">
        <v>1262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838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826</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row>
    <row r="500" spans="1:12">
      <c r="A500" s="20" t="s">
        <v>1446</v>
      </c>
    </row>
    <row r="501" spans="1:12">
      <c r="A501" s="20" t="s">
        <v>1316</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185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1447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1039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1435</v>
      </c>
      <c r="B505" s="21" t="s">
        <v>1202</v>
      </c>
      <c r="C505" s="21" t="s">
        <v>1192</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1193</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1194</v>
      </c>
      <c r="B507" s="21" t="s">
        <v>1311</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1337</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1448</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207</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826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row>
    <row r="513" spans="1:12">
      <c r="A513" s="20" t="s">
        <v>1449</v>
      </c>
    </row>
    <row r="514" spans="1:12">
      <c r="A514" s="20" t="s">
        <v>1450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1341</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1435</v>
      </c>
      <c r="B516" s="21" t="s">
        <v>1202</v>
      </c>
      <c r="C516" s="21" t="s">
        <v>1192</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1193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1194</v>
      </c>
      <c r="B518" s="21" t="s">
        <v>1313</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1310</v>
      </c>
      <c r="B519" s="21" t="s">
        <v>1311</v>
      </c>
      <c r="C519" s="21" t="s">
        <v>1262</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1321</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130</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1314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1193</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1302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1451</v>
      </c>
      <c r="B525" s="21" t="s">
        <v>1186</v>
      </c>
      <c r="C525" s="21" t="s">
        <v>1192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1193</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1194</v>
      </c>
      <c r="B527" s="21" t="s">
        <v>1248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1232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1268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1452</v>
      </c>
      <c r="B530" s="21" t="s">
        <v>1199</v>
      </c>
      <c r="C530" s="21" t="s">
        <v>1196</v>
      </c>
      <c r="D530" s="21" t="s">
        <v>1188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1453</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1454</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1193</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1208</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1455</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1194</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1456</v>
      </c>
      <c r="B537" s="21" t="s">
        <v>1311</v>
      </c>
      <c r="C537" s="21" t="s">
        <v>1196</v>
      </c>
      <c r="D537" s="21" t="s">
        <v>1188</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1457</v>
      </c>
      <c r="B538" s="21" t="s">
        <v>1313</v>
      </c>
      <c r="C538" s="21" t="s">
        <v>1246</v>
      </c>
      <c r="D538" s="21" t="s">
        <v>1188</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1458</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1193</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1459</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1460</v>
      </c>
      <c r="B542" s="21" t="s">
        <v>1215</v>
      </c>
      <c r="C542" s="21" t="s">
        <v>1192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1206</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1456</v>
      </c>
      <c r="B544" s="21" t="s">
        <v>1285</v>
      </c>
      <c r="C544" s="21" t="s">
        <v>1196</v>
      </c>
      <c r="D544" s="21" t="s">
        <v>1188</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1193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1302</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1461</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1462</v>
      </c>
      <c r="B548" s="21" t="s">
        <v>1298</v>
      </c>
      <c r="C548" s="21" t="s">
        <v>1304</v>
      </c>
      <c r="D548" s="21" t="s">
        <v>1188</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1463</v>
      </c>
      <c r="B549" s="21" t="s">
        <v>1296</v>
      </c>
      <c r="C549" s="21" t="s">
        <v>1192</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1464</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1457</v>
      </c>
      <c r="B551" s="21" t="s">
        <v>1347</v>
      </c>
      <c r="C551" s="21" t="s">
        <v>1246</v>
      </c>
      <c r="D551" s="21" t="s">
        <v>1188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1208</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1214</v>
      </c>
      <c r="B553" s="21" t="s">
        <v>1298</v>
      </c>
      <c r="C553" s="21" t="s">
        <v>1216</v>
      </c>
      <c r="D553" s="21" t="s">
        <v>1188</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1465</v>
      </c>
      <c r="B554" s="21" t="s">
        <v>1285</v>
      </c>
      <c r="C554" s="21" t="s">
        <v>1218</v>
      </c>
      <c r="D554" s="21" t="s">
        <v>1188</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826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row>
    <row r="557" spans="1:12">
      <c r="A557" s="20" t="s">
        <v>1466</v>
      </c>
    </row>
    <row r="558" spans="1:12">
      <c r="A558" s="20" t="s">
        <v>1405</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1271</v>
      </c>
      <c r="B559" s="21" t="s">
        <v>1248</v>
      </c>
      <c r="C559" s="21" t="s">
        <v>1203</v>
      </c>
      <c r="D559" s="21" t="s">
        <v>1188</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1467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1193</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1312</v>
      </c>
      <c r="B562" s="21" t="s">
        <v>1245</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1227</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1214</v>
      </c>
      <c r="B564" s="21" t="s">
        <v>1215</v>
      </c>
      <c r="C564" s="21" t="s">
        <v>1216</v>
      </c>
      <c r="D564" s="21" t="s">
        <v>1188</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1468</v>
      </c>
      <c r="B565" s="21" t="s">
        <v>1199</v>
      </c>
      <c r="C565" s="21" t="s">
        <v>1218</v>
      </c>
      <c r="D565" s="21" t="s">
        <v>1188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1337</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1469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1193</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1272</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1271</v>
      </c>
      <c r="B570" s="21" t="s">
        <v>1202</v>
      </c>
      <c r="C570" s="21" t="s">
        <v>1203</v>
      </c>
      <c r="D570" s="21" t="s">
        <v>1188</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1312</v>
      </c>
      <c r="B571" s="21" t="s">
        <v>1212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1470</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1190</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1471</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1260</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1271</v>
      </c>
      <c r="B576" s="21" t="s">
        <v>1248</v>
      </c>
      <c r="C576" s="21" t="s">
        <v>1203</v>
      </c>
      <c r="D576" s="21" t="s">
        <v>1188</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1360</v>
      </c>
      <c r="B577" s="21" t="s">
        <v>1215</v>
      </c>
      <c r="C577" s="21" t="s">
        <v>1216</v>
      </c>
      <c r="D577" s="21" t="s">
        <v>1188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618</v>
      </c>
      <c r="B578" s="21" t="s">
        <v>1245</v>
      </c>
      <c r="C578" s="21" t="s">
        <v>1218</v>
      </c>
      <c r="D578" s="21" t="s">
        <v>1188</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1382</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1472</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1309</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1473</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1474</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1193</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1307</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1194</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1456</v>
      </c>
      <c r="B587" s="21" t="s">
        <v>1311</v>
      </c>
      <c r="C587" s="21" t="s">
        <v>1196</v>
      </c>
      <c r="D587" s="21" t="s">
        <v>1188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1210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1475</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1476</v>
      </c>
      <c r="B590" s="21" t="s">
        <v>1313</v>
      </c>
      <c r="C590" s="21" t="s">
        <v>1196</v>
      </c>
      <c r="D590" s="21" t="s">
        <v>1188</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1477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1193</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1478</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1194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1479</v>
      </c>
      <c r="B595" s="21" t="s">
        <v>1296</v>
      </c>
      <c r="C595" s="21" t="s">
        <v>1196</v>
      </c>
      <c r="D595" s="21" t="s">
        <v>1188</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1480</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1481</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1257</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row>
    <row r="600" spans="1:12">
      <c r="A600" s="20" t="s">
        <v>1369</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1482</v>
      </c>
    </row>
    <row r="602" spans="1:12">
      <c r="A602" s="20" t="s">
        <v>1483</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1445</v>
      </c>
      <c r="B603" s="21" t="s">
        <v>1199</v>
      </c>
      <c r="C603" s="21" t="s">
        <v>1262</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1484</v>
      </c>
      <c r="B604" s="21" t="s">
        <v>1186</v>
      </c>
      <c r="C604" s="21" t="s">
        <v>1331</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1193</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1194</v>
      </c>
      <c r="B606" s="21" t="s">
        <v>1311</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1301</v>
      </c>
      <c r="B607" s="21" t="s">
        <v>1313</v>
      </c>
      <c r="C607" s="21" t="s">
        <v>1203</v>
      </c>
      <c r="D607" s="21" t="s">
        <v>1188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1485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1193</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1486</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1374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1201</v>
      </c>
      <c r="B612" s="21" t="s">
        <v>1202</v>
      </c>
      <c r="C612" s="21" t="s">
        <v>1203</v>
      </c>
      <c r="D612" s="21" t="s">
        <v>1188</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1487</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1312</v>
      </c>
      <c r="B614" s="21" t="s">
        <v>1212</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1227</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1210</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1488</v>
      </c>
      <c r="B617" s="21" t="s">
        <v>1186</v>
      </c>
      <c r="C617" s="21" t="s">
        <v>1196</v>
      </c>
      <c r="D617" s="21" t="s">
        <v>1188</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1374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1193</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1317</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185</v>
      </c>
      <c r="B621" s="21" t="s">
        <v>1248</v>
      </c>
      <c r="C621" s="21" t="s">
        <v>1203</v>
      </c>
      <c r="D621" s="21" t="s">
        <v>1188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1329</v>
      </c>
      <c r="B622" s="21" t="s">
        <v>1215</v>
      </c>
      <c r="C622" s="21" t="s">
        <v>1246</v>
      </c>
      <c r="D622" s="21" t="s">
        <v>1188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1489</v>
      </c>
      <c r="B623" s="21" t="s">
        <v>1245</v>
      </c>
      <c r="C623" s="21" t="s">
        <v>1331</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1490</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1193</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1317</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185</v>
      </c>
      <c r="B627" s="21" t="s">
        <v>1296</v>
      </c>
      <c r="C627" s="21" t="s">
        <v>1203</v>
      </c>
      <c r="D627" s="21" t="s">
        <v>1188</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1491</v>
      </c>
      <c r="B628" s="21" t="s">
        <v>1298</v>
      </c>
      <c r="C628" s="21" t="s">
        <v>1246</v>
      </c>
      <c r="D628" s="21" t="s">
        <v>1188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1492</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1493</v>
      </c>
      <c r="B630" s="21" t="s">
        <v>1347</v>
      </c>
      <c r="C630" s="21" t="s">
        <v>1331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1490</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1359</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1494</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1495</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1496</v>
      </c>
      <c r="B635" s="21" t="s">
        <v>1285</v>
      </c>
      <c r="C635" s="21" t="s">
        <v>1231</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1193</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1359</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1283</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1497</v>
      </c>
      <c r="B639" s="21" t="s">
        <v>1298</v>
      </c>
      <c r="C639" s="21" t="s">
        <v>1231</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1232</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1268</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1498</v>
      </c>
      <c r="B642" s="21" t="s">
        <v>1499</v>
      </c>
      <c r="C642" s="21" t="s">
        <v>1196</v>
      </c>
      <c r="D642" s="21" t="s">
        <v>1188</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1309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1312</v>
      </c>
      <c r="B644" s="21" t="s">
        <v>1500</v>
      </c>
      <c r="C644" s="21" t="s">
        <v>1203</v>
      </c>
      <c r="D644" s="21" t="s">
        <v>1188</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1193</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1501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1502</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1503</v>
      </c>
      <c r="B648" s="21" t="s">
        <v>1311</v>
      </c>
      <c r="C648" s="21" t="s">
        <v>1196</v>
      </c>
      <c r="D648" s="21" t="s">
        <v>1188</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1193</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1366</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1310</v>
      </c>
      <c r="B651" s="21" t="s">
        <v>1436</v>
      </c>
      <c r="C651" s="21" t="s">
        <v>1262</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1312</v>
      </c>
      <c r="B652" s="21" t="s">
        <v>1437</v>
      </c>
      <c r="C652" s="21" t="s">
        <v>1203</v>
      </c>
      <c r="D652" s="21" t="s">
        <v>1188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1300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1206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1504</v>
      </c>
      <c r="B655" s="21" t="s">
        <v>1298</v>
      </c>
      <c r="C655" s="21" t="s">
        <v>1196</v>
      </c>
      <c r="D655" s="21" t="s">
        <v>1188</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1505</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1372</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1193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1459</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1366</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1194</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1456</v>
      </c>
      <c r="B662" s="21" t="s">
        <v>1296</v>
      </c>
      <c r="C662" s="21" t="s">
        <v>1196</v>
      </c>
      <c r="D662" s="21" t="s">
        <v>1188</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1506</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1507</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1508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826</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row>
    <row r="668" spans="1:12">
      <c r="A668" s="20" t="s">
        <v>1509</v>
      </c>
    </row>
    <row r="669" spans="1:12">
      <c r="A669" s="20" t="s">
        <v>1316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1206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1510</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1511</v>
      </c>
      <c r="B672" s="21" t="s">
        <v>1202</v>
      </c>
      <c r="C672" s="21" t="s">
        <v>1196</v>
      </c>
      <c r="D672" s="21" t="s">
        <v>1188</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1206</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1512</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1513</v>
      </c>
      <c r="B675" s="21" t="s">
        <v>1199</v>
      </c>
      <c r="C675" s="21" t="s">
        <v>1196</v>
      </c>
      <c r="D675" s="21" t="s">
        <v>1188</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1514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1515</v>
      </c>
      <c r="B677" s="21" t="s">
        <v>1212</v>
      </c>
      <c r="C677" s="21" t="s">
        <v>1246</v>
      </c>
      <c r="D677" s="21" t="s">
        <v>1188</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1194</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1516</v>
      </c>
      <c r="B679" s="21" t="s">
        <v>1212</v>
      </c>
      <c r="C679" s="21" t="s">
        <v>1196</v>
      </c>
      <c r="D679" s="21" t="s">
        <v>1188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1241</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1517</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1518</v>
      </c>
      <c r="B682" s="21" t="s">
        <v>1186</v>
      </c>
      <c r="C682" s="21" t="s">
        <v>1192</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1193</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1519</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1520</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1494</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1521</v>
      </c>
      <c r="B687" s="21" t="s">
        <v>1245</v>
      </c>
      <c r="C687" s="21" t="s">
        <v>1231</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1337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1522</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1193</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1194</v>
      </c>
      <c r="B691" s="21" t="s">
        <v>1311</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1523</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1265</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1193</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1194</v>
      </c>
      <c r="B695" s="21" t="s">
        <v>1248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1194</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1345</v>
      </c>
      <c r="B697" s="21" t="s">
        <v>1245</v>
      </c>
      <c r="C697" s="21" t="s">
        <v>1196</v>
      </c>
      <c r="D697" s="21" t="s">
        <v>1188</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1524</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1193</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1478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1039</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1300</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1206</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1345</v>
      </c>
      <c r="B704" s="21" t="s">
        <v>1215</v>
      </c>
      <c r="C704" s="21" t="s">
        <v>1196</v>
      </c>
      <c r="D704" s="21" t="s">
        <v>1188</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1525</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1193</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1520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1526</v>
      </c>
      <c r="B708" s="21" t="s">
        <v>1347</v>
      </c>
      <c r="C708" s="21" t="s">
        <v>1192</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1302</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154</v>
      </c>
      <c r="B710" s="21" t="s">
        <v>1298</v>
      </c>
      <c r="C710" s="21" t="s">
        <v>1192</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1337</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1522</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1193</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1309</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427</v>
      </c>
      <c r="B715" s="21" t="s">
        <v>1436</v>
      </c>
      <c r="C715" s="21" t="s">
        <v>1246</v>
      </c>
      <c r="D715" s="21" t="s">
        <v>1188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1194</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1456</v>
      </c>
      <c r="B717" s="21" t="s">
        <v>1437</v>
      </c>
      <c r="C717" s="21" t="s">
        <v>1196</v>
      </c>
      <c r="D717" s="21" t="s">
        <v>1188</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1527</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1528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1274</v>
      </c>
      <c r="B720" s="21" t="s">
        <v>1298</v>
      </c>
      <c r="C720" s="21" t="s">
        <v>1192</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1529</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1530</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1193</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1459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1194</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1531</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1532</v>
      </c>
      <c r="B727" s="21" t="s">
        <v>1533</v>
      </c>
      <c r="C727" s="21" t="s">
        <v>1196</v>
      </c>
      <c r="D727" s="21" t="s">
        <v>1188</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1337</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1534</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826</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row>
    <row r="732" spans="1:12">
      <c r="A732" s="20" t="s">
        <v>1535</v>
      </c>
    </row>
    <row r="733" spans="1:12">
      <c r="A733" s="20" t="s">
        <v>1536</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1271</v>
      </c>
      <c r="B734" s="21" t="s">
        <v>1248</v>
      </c>
      <c r="C734" s="21" t="s">
        <v>1203</v>
      </c>
      <c r="D734" s="21" t="s">
        <v>1188</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1300</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1417</v>
      </c>
      <c r="B736" s="21" t="s">
        <v>1199</v>
      </c>
      <c r="C736" s="21" t="s">
        <v>1192</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1403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1272</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1193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1537</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1271</v>
      </c>
      <c r="B741" s="21" t="s">
        <v>1248</v>
      </c>
      <c r="C741" s="21" t="s">
        <v>1203</v>
      </c>
      <c r="D741" s="21" t="s">
        <v>1188</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1538</v>
      </c>
      <c r="B742" s="21" t="s">
        <v>1215</v>
      </c>
      <c r="C742" s="21" t="s">
        <v>1262</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1539</v>
      </c>
      <c r="B743" s="21" t="s">
        <v>1215</v>
      </c>
      <c r="C743" s="21" t="s">
        <v>1304</v>
      </c>
      <c r="D743" s="21" t="s">
        <v>1188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1540</v>
      </c>
      <c r="B744" s="21" t="s">
        <v>1245</v>
      </c>
      <c r="C744" s="21" t="s">
        <v>1331</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1268</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1512</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1541</v>
      </c>
      <c r="B747" s="21" t="s">
        <v>1245</v>
      </c>
      <c r="C747" s="21" t="s">
        <v>1196</v>
      </c>
      <c r="D747" s="21" t="s">
        <v>1188</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1542</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1272</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1193</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1543</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1544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1205</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1312</v>
      </c>
      <c r="B754" s="21" t="s">
        <v>1285</v>
      </c>
      <c r="C754" s="21" t="s">
        <v>1203</v>
      </c>
      <c r="D754" s="21" t="s">
        <v>1188</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1545</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1337</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474</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1250</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1451</v>
      </c>
      <c r="B759" s="21" t="s">
        <v>1215</v>
      </c>
      <c r="C759" s="21" t="s">
        <v>1192</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1527</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1194</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1546</v>
      </c>
      <c r="B762" s="21" t="s">
        <v>1285</v>
      </c>
      <c r="C762" s="21" t="s">
        <v>1196</v>
      </c>
      <c r="D762" s="21" t="s">
        <v>1188</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1193</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1547</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427</v>
      </c>
      <c r="B765" s="21" t="s">
        <v>1202</v>
      </c>
      <c r="C765" s="21" t="s">
        <v>1246</v>
      </c>
      <c r="D765" s="21" t="s">
        <v>1188</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1494</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1548</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154</v>
      </c>
      <c r="B768" s="21" t="s">
        <v>1186</v>
      </c>
      <c r="C768" s="21" t="s">
        <v>1231</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1193</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1227</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1206</v>
      </c>
      <c r="B771" s="21" t="s">
        <v>1199</v>
      </c>
      <c r="C771" s="21" t="s">
        <v>1246</v>
      </c>
      <c r="D771" s="21" t="s">
        <v>1188</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1226</v>
      </c>
      <c r="B772" s="21" t="s">
        <v>1245</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1194</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1345</v>
      </c>
      <c r="B774" s="21" t="s">
        <v>1248</v>
      </c>
      <c r="C774" s="21" t="s">
        <v>1196</v>
      </c>
      <c r="D774" s="21" t="s">
        <v>1188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1549</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1299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1302</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1194</v>
      </c>
      <c r="B778" s="21" t="s">
        <v>1313</v>
      </c>
      <c r="C778" s="21" t="s">
        <v>1246</v>
      </c>
      <c r="D778" s="21" t="s">
        <v>1188</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1445</v>
      </c>
      <c r="B779" s="21" t="s">
        <v>1311</v>
      </c>
      <c r="C779" s="21" t="s">
        <v>1262</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1283</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1476</v>
      </c>
      <c r="B781" s="21" t="s">
        <v>1313</v>
      </c>
      <c r="C781" s="21" t="s">
        <v>1231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1550</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1278</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826</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row>
    <row r="786" spans="1:12">
      <c r="A786" s="20" t="s">
        <v>1551</v>
      </c>
    </row>
    <row r="787" spans="1:12">
      <c r="A787" s="20" t="s">
        <v>1552</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1479</v>
      </c>
      <c r="B788" s="21" t="s">
        <v>1202</v>
      </c>
      <c r="C788" s="21" t="s">
        <v>1196</v>
      </c>
      <c r="D788" s="21" t="s">
        <v>1188</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1193</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1300</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1455</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1553</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1554</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1193</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1194</v>
      </c>
      <c r="B795" s="21" t="s">
        <v>1215</v>
      </c>
      <c r="C795" s="21" t="s">
        <v>1246</v>
      </c>
      <c r="D795" s="21" t="s">
        <v>1188</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1479</v>
      </c>
      <c r="B796" s="21" t="s">
        <v>1199</v>
      </c>
      <c r="C796" s="21" t="s">
        <v>1196</v>
      </c>
      <c r="D796" s="21" t="s">
        <v>1188</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1193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1194</v>
      </c>
      <c r="B798" s="21" t="s">
        <v>1296</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1208</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1206</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1345</v>
      </c>
      <c r="B801" s="21" t="s">
        <v>1285</v>
      </c>
      <c r="C801" s="21" t="s">
        <v>1196</v>
      </c>
      <c r="D801" s="21" t="s">
        <v>1188</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1555</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1454</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1193</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163</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1226</v>
      </c>
      <c r="B806" s="21" t="s">
        <v>1212</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1556</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1557</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826</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row>
    <row r="811" spans="1:12">
      <c r="A811" s="20" t="s">
        <v>1558</v>
      </c>
    </row>
    <row r="812" spans="1:12">
      <c r="A812" s="20" t="s">
        <v>1364</v>
      </c>
      <c r="B812" s="21" t="s">
        <v>1202</v>
      </c>
      <c r="C812" s="21" t="s">
        <v>1246</v>
      </c>
      <c r="D812" s="21" t="s">
        <v>1188</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163</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1559</v>
      </c>
      <c r="B814" s="21" t="s">
        <v>1199</v>
      </c>
      <c r="C814" s="21" t="s">
        <v>1246</v>
      </c>
      <c r="D814" s="21" t="s">
        <v>1188</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1560</v>
      </c>
      <c r="B815" s="21" t="s">
        <v>1212</v>
      </c>
      <c r="C815" s="21" t="s">
        <v>1192</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1193</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1366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1039</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1544</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680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1561</v>
      </c>
      <c r="B821" s="21" t="s">
        <v>1311</v>
      </c>
      <c r="C821" s="21" t="s">
        <v>1231</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1562</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1563</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1193</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1302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1564</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1260</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1271</v>
      </c>
      <c r="B828" s="21" t="s">
        <v>1248</v>
      </c>
      <c r="C828" s="21" t="s">
        <v>1203</v>
      </c>
      <c r="D828" s="21" t="s">
        <v>1188</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1300</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1565</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1451</v>
      </c>
      <c r="B831" s="21" t="s">
        <v>1199</v>
      </c>
      <c r="C831" s="21" t="s">
        <v>1240</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1566</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666</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826</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row>
    <row r="836" spans="1:12">
      <c r="A836" s="20" t="s">
        <v>1567</v>
      </c>
    </row>
    <row r="837" spans="1:12">
      <c r="A837" s="20" t="s">
        <v>1270</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1190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1568</v>
      </c>
      <c r="B839" s="21" t="s">
        <v>1202</v>
      </c>
      <c r="C839" s="21" t="s">
        <v>1187</v>
      </c>
      <c r="D839" s="21" t="s">
        <v>1188</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1312</v>
      </c>
      <c r="B840" s="21" t="s">
        <v>1212</v>
      </c>
      <c r="C840" s="21" t="s">
        <v>1203</v>
      </c>
      <c r="D840" s="21" t="s">
        <v>1188</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1268</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1269</v>
      </c>
      <c r="B842" s="21" t="s">
        <v>1212</v>
      </c>
      <c r="C842" s="21" t="s">
        <v>1196</v>
      </c>
      <c r="D842" s="21" t="s">
        <v>1188</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680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1273</v>
      </c>
      <c r="B844" s="21" t="s">
        <v>1199</v>
      </c>
      <c r="C844" s="21" t="s">
        <v>1262</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1569</v>
      </c>
      <c r="B845" s="21" t="s">
        <v>1212</v>
      </c>
      <c r="C845" s="21" t="s">
        <v>1231</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1359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1570</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1217</v>
      </c>
      <c r="B848" s="21" t="s">
        <v>1199</v>
      </c>
      <c r="C848" s="21" t="s">
        <v>1240</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134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826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row>
    <row r="852" spans="1:12">
      <c r="A852" s="20" t="s">
        <v>1571</v>
      </c>
    </row>
    <row r="853" spans="1:12">
      <c r="A853" s="20" t="s">
        <v>1572</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427</v>
      </c>
      <c r="B854" s="21" t="s">
        <v>1202</v>
      </c>
      <c r="C854" s="21" t="s">
        <v>1246</v>
      </c>
      <c r="D854" s="21" t="s">
        <v>1188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1573</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1574</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1502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1575</v>
      </c>
      <c r="B858" s="21" t="s">
        <v>1212</v>
      </c>
      <c r="C858" s="21" t="s">
        <v>1196</v>
      </c>
      <c r="D858" s="21" t="s">
        <v>1188</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163</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1257</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row>
    <row r="862" spans="1:12">
      <c r="A862" s="20" t="s">
        <v>1576</v>
      </c>
    </row>
    <row r="863" spans="1:12">
      <c r="A863" s="20" t="s">
        <v>1219</v>
      </c>
      <c r="B863" s="21" t="s">
        <v>1202</v>
      </c>
      <c r="C863" s="21" t="s">
        <v>1187</v>
      </c>
      <c r="D863" s="21" t="s">
        <v>1188</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1193</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1271</v>
      </c>
      <c r="B865" s="21" t="s">
        <v>1311</v>
      </c>
      <c r="C865" s="21" t="s">
        <v>1203</v>
      </c>
      <c r="D865" s="21" t="s">
        <v>1188</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1577</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1321</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1193</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1578</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57</v>
      </c>
      <c r="B870" s="21" t="s">
        <v>1296</v>
      </c>
      <c r="C870" s="21" t="s">
        <v>1203</v>
      </c>
      <c r="D870" s="21" t="s">
        <v>1188</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1367</v>
      </c>
      <c r="B871" s="21" t="s">
        <v>1347</v>
      </c>
      <c r="C871" s="21" t="s">
        <v>1216</v>
      </c>
      <c r="D871" s="21" t="s">
        <v>1188</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38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1254</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1190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1552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1579</v>
      </c>
      <c r="B876" s="21" t="s">
        <v>1199</v>
      </c>
      <c r="C876" s="21" t="s">
        <v>1196</v>
      </c>
      <c r="D876" s="21" t="s">
        <v>1188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1206</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1580</v>
      </c>
      <c r="B878" s="21" t="s">
        <v>1215</v>
      </c>
      <c r="C878" s="21" t="s">
        <v>1196</v>
      </c>
      <c r="D878" s="21" t="s">
        <v>1188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1341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1581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826</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row>
    <row r="883" spans="1:12">
      <c r="A883" s="20" t="s">
        <v>1582</v>
      </c>
    </row>
    <row r="884" spans="1:12">
      <c r="A884" s="20" t="s">
        <v>1583</v>
      </c>
      <c r="B884" s="21" t="s">
        <v>1199</v>
      </c>
      <c r="C884" s="21" t="s">
        <v>1216</v>
      </c>
      <c r="D884" s="21" t="s">
        <v>1188</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1584</v>
      </c>
      <c r="B885" s="21" t="s">
        <v>1202</v>
      </c>
      <c r="C885" s="21" t="s">
        <v>1218</v>
      </c>
      <c r="D885" s="21" t="s">
        <v>1188</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1585</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1502</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1586</v>
      </c>
      <c r="B888" s="21" t="s">
        <v>1212</v>
      </c>
      <c r="C888" s="21" t="s">
        <v>1196</v>
      </c>
      <c r="D888" s="21" t="s">
        <v>1188</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1587</v>
      </c>
      <c r="B889" s="21" t="s">
        <v>1199</v>
      </c>
      <c r="C889" s="21" t="s">
        <v>1187</v>
      </c>
      <c r="D889" s="21" t="s">
        <v>1188</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826</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row>
    <row r="892" spans="1:12">
      <c r="A892" s="20" t="s">
        <v>1588</v>
      </c>
    </row>
    <row r="893" spans="1:12">
      <c r="A893" s="20" t="s">
        <v>1589</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57</v>
      </c>
      <c r="B894" s="21" t="s">
        <v>1202</v>
      </c>
      <c r="C894" s="21" t="s">
        <v>1203</v>
      </c>
      <c r="D894" s="21" t="s">
        <v>1188</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1268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1269</v>
      </c>
      <c r="B896" s="21" t="s">
        <v>1212</v>
      </c>
      <c r="C896" s="21" t="s">
        <v>1196</v>
      </c>
      <c r="D896" s="21" t="s">
        <v>1188</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181</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1193</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1244</v>
      </c>
      <c r="B899" s="21" t="s">
        <v>1248</v>
      </c>
      <c r="C899" s="21" t="s">
        <v>1246</v>
      </c>
      <c r="D899" s="21" t="s">
        <v>1188</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1318</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1590</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1554</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1257</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row>
    <row r="905" spans="1:12">
      <c r="A905" s="20" t="s">
        <v>1591</v>
      </c>
    </row>
    <row r="906" spans="1:12">
      <c r="A906" s="20" t="s">
        <v>1294</v>
      </c>
      <c r="B906" s="21" t="s">
        <v>1186</v>
      </c>
      <c r="C906" s="21" t="s">
        <v>1203</v>
      </c>
      <c r="D906" s="21" t="s">
        <v>1188</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1190</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1386</v>
      </c>
      <c r="B908" s="21" t="s">
        <v>1248</v>
      </c>
      <c r="C908" s="21" t="s">
        <v>1187</v>
      </c>
      <c r="D908" s="21" t="s">
        <v>1188</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1337</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1592</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1193</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1244</v>
      </c>
      <c r="B912" s="21" t="s">
        <v>1296</v>
      </c>
      <c r="C912" s="21" t="s">
        <v>1246</v>
      </c>
      <c r="D912" s="21" t="s">
        <v>1188</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1587</v>
      </c>
      <c r="B913" s="21" t="s">
        <v>1311</v>
      </c>
      <c r="C913" s="21" t="s">
        <v>1187</v>
      </c>
      <c r="D913" s="21" t="s">
        <v>1188</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1265</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1193</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11</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1593</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1581</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1594</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1310</v>
      </c>
      <c r="B920" s="21" t="s">
        <v>1296</v>
      </c>
      <c r="C920" s="21" t="s">
        <v>1262</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1595</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1596</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11</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1314</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1310</v>
      </c>
      <c r="B925" s="21" t="s">
        <v>1311</v>
      </c>
      <c r="C925" s="21" t="s">
        <v>1262</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1597</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1598</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1193</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1244</v>
      </c>
      <c r="B929" s="21" t="s">
        <v>1296</v>
      </c>
      <c r="C929" s="21" t="s">
        <v>1246</v>
      </c>
      <c r="D929" s="21" t="s">
        <v>1188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185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1321</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1265</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826</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row>
    <row r="935" spans="1:12">
      <c r="A935" s="20" t="s">
        <v>1599</v>
      </c>
    </row>
    <row r="936" spans="1:12">
      <c r="A936" s="20" t="s">
        <v>1600</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1601</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1602</v>
      </c>
      <c r="B938" s="21" t="s">
        <v>1202</v>
      </c>
      <c r="C938" s="21" t="s">
        <v>1231</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1206</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154</v>
      </c>
      <c r="B940" s="21" t="s">
        <v>1199</v>
      </c>
      <c r="C940" s="21" t="s">
        <v>1196</v>
      </c>
      <c r="D940" s="21" t="s">
        <v>1188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1232</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1210</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1603</v>
      </c>
      <c r="B943" s="21" t="s">
        <v>1215</v>
      </c>
      <c r="C943" s="21" t="s">
        <v>1187</v>
      </c>
      <c r="D943" s="21" t="s">
        <v>1188</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1604</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1226</v>
      </c>
      <c r="B945" s="21" t="s">
        <v>1212</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1205</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1605</v>
      </c>
      <c r="B947" s="21" t="s">
        <v>1186</v>
      </c>
      <c r="C947" s="21" t="s">
        <v>1192</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826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row>
    <row r="950" spans="1:12">
      <c r="A950" s="20" t="s">
        <v>1606</v>
      </c>
    </row>
    <row r="951" spans="1:12">
      <c r="A951" s="20" t="s">
        <v>1607</v>
      </c>
      <c r="B951" s="21" t="s">
        <v>1202</v>
      </c>
      <c r="C951" s="21" t="s">
        <v>1203</v>
      </c>
      <c r="D951" s="21" t="s">
        <v>1188</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1608</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1193</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185</v>
      </c>
      <c r="B954" s="21" t="s">
        <v>1248</v>
      </c>
      <c r="C954" s="21" t="s">
        <v>1203</v>
      </c>
      <c r="D954" s="21" t="s">
        <v>1188</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1609</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1544</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1605</v>
      </c>
      <c r="B957" s="21" t="s">
        <v>1186</v>
      </c>
      <c r="C957" s="21" t="s">
        <v>1192</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826</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row>
    <row r="960" spans="1:12">
      <c r="A960" s="20" t="s">
        <v>1610</v>
      </c>
    </row>
    <row r="961" spans="1:12">
      <c r="A961" s="20" t="s">
        <v>1607</v>
      </c>
      <c r="B961" s="21" t="s">
        <v>1202</v>
      </c>
      <c r="C961" s="21" t="s">
        <v>1203</v>
      </c>
      <c r="D961" s="21" t="s">
        <v>1188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189</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1226</v>
      </c>
      <c r="B963" s="21" t="s">
        <v>1212</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1611</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1205</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1494</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1612</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1613</v>
      </c>
      <c r="B968" s="21" t="s">
        <v>1186</v>
      </c>
      <c r="C968" s="21" t="s">
        <v>1231</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1190</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1210</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1614</v>
      </c>
      <c r="B971" s="21" t="s">
        <v>1199</v>
      </c>
      <c r="C971" s="21" t="s">
        <v>1615</v>
      </c>
      <c r="D971" s="21" t="s">
        <v>1188</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801</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1197</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1377</v>
      </c>
      <c r="B974" s="21" t="s">
        <v>1215</v>
      </c>
      <c r="C974" s="21" t="s">
        <v>1196</v>
      </c>
      <c r="D974" s="21" t="s">
        <v>1188</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1616</v>
      </c>
      <c r="B975" s="21" t="s">
        <v>1285</v>
      </c>
      <c r="C975" s="21" t="s">
        <v>1187</v>
      </c>
      <c r="D975" s="21" t="s">
        <v>1188</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826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row>
    <row r="978" spans="1:12">
      <c r="A978" s="20" t="s">
        <v>1617</v>
      </c>
    </row>
    <row r="979" spans="1:12">
      <c r="A979" s="20" t="s">
        <v>1235</v>
      </c>
      <c r="B979" s="21" t="s">
        <v>1202</v>
      </c>
      <c r="C979" s="21" t="s">
        <v>1203</v>
      </c>
      <c r="D979" s="21" t="s">
        <v>1188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199</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1494</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1344</v>
      </c>
      <c r="B982" s="21" t="s">
        <v>1212</v>
      </c>
      <c r="C982" s="21" t="s">
        <v>1231</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1618</v>
      </c>
      <c r="B983" s="21" t="s">
        <v>1199</v>
      </c>
      <c r="C983" s="21" t="s">
        <v>1192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1459</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1619</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1620</v>
      </c>
      <c r="B986" s="21" t="s">
        <v>1186</v>
      </c>
      <c r="C986" s="21" t="s">
        <v>1192</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1193</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1494</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1621</v>
      </c>
      <c r="B989" s="21" t="s">
        <v>1199</v>
      </c>
      <c r="C989" s="21" t="s">
        <v>1231</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1206</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1622</v>
      </c>
      <c r="B991" s="21" t="s">
        <v>1215</v>
      </c>
      <c r="C991" s="21" t="s">
        <v>1196</v>
      </c>
      <c r="D991" s="21" t="s">
        <v>1188</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1197</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1390</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1623</v>
      </c>
      <c r="B994" s="21" t="s">
        <v>1285</v>
      </c>
      <c r="C994" s="21" t="s">
        <v>1196</v>
      </c>
      <c r="D994" s="21" t="s">
        <v>1188</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1193</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1624</v>
      </c>
      <c r="B996" s="21" t="s">
        <v>1499</v>
      </c>
      <c r="C996" s="21" t="s">
        <v>1246</v>
      </c>
      <c r="D996" s="21" t="s">
        <v>1188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1435</v>
      </c>
      <c r="B997" s="21" t="s">
        <v>1298</v>
      </c>
      <c r="C997" s="21" t="s">
        <v>1216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1625</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1626</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1627</v>
      </c>
      <c r="B1000" s="21" t="s">
        <v>1199</v>
      </c>
      <c r="C1000" s="21" t="s">
        <v>1290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57</v>
      </c>
      <c r="B1001" s="21" t="s">
        <v>1311</v>
      </c>
      <c r="C1001" s="21" t="s">
        <v>1203</v>
      </c>
      <c r="D1001" s="21" t="s">
        <v>1188</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1628</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1193</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1629</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57</v>
      </c>
      <c r="B1005" s="21" t="s">
        <v>1311</v>
      </c>
      <c r="C1005" s="21" t="s">
        <v>1203</v>
      </c>
      <c r="D1005" s="21" t="s">
        <v>1188</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1300</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1630</v>
      </c>
      <c r="B1007" s="21" t="s">
        <v>1285</v>
      </c>
      <c r="C1007" s="21" t="s">
        <v>1246</v>
      </c>
      <c r="D1007" s="21" t="s">
        <v>1188</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1628</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1193</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1631</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57</v>
      </c>
      <c r="B1011" s="21" t="s">
        <v>1248</v>
      </c>
      <c r="C1011" s="21" t="s">
        <v>1246</v>
      </c>
      <c r="D1011" s="21" t="s">
        <v>1188</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1632</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1633</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826</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row>
    <row r="1016" spans="1:12">
      <c r="A1016" s="20" t="s">
        <v>1634</v>
      </c>
    </row>
    <row r="1017" spans="1:12">
      <c r="A1017" s="20" t="s">
        <v>1635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1502</v>
      </c>
      <c r="B1018" s="21" t="s">
        <v>1202</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1341</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1605</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11</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1636</v>
      </c>
      <c r="B1022" s="21" t="s">
        <v>1186</v>
      </c>
      <c r="C1022" s="21" t="s">
        <v>1240</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826</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row>
    <row r="1025" spans="1:12">
      <c r="A1025" s="20" t="s">
        <v>1637</v>
      </c>
    </row>
    <row r="1026" spans="1:12">
      <c r="A1026" s="20" t="s">
        <v>1483</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1587</v>
      </c>
      <c r="B1027" s="21" t="s">
        <v>1186</v>
      </c>
      <c r="C1027" s="21" t="s">
        <v>1187</v>
      </c>
      <c r="D1027" s="21" t="s">
        <v>1188</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1638</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185</v>
      </c>
      <c r="B1029" s="21" t="s">
        <v>1202</v>
      </c>
      <c r="C1029" s="21" t="s">
        <v>1203</v>
      </c>
      <c r="D1029" s="21" t="s">
        <v>1188</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1520</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1639</v>
      </c>
      <c r="B1031" s="21" t="s">
        <v>1186</v>
      </c>
      <c r="C1031" s="21" t="s">
        <v>1192</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826</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row>
    <row r="1034" spans="1:12">
      <c r="A1034" s="20" t="s">
        <v>1640</v>
      </c>
    </row>
    <row r="1035" spans="1:12">
      <c r="A1035" s="20" t="s">
        <v>1264</v>
      </c>
      <c r="B1035" s="21" t="s">
        <v>1202</v>
      </c>
      <c r="C1035" s="21" t="s">
        <v>1203</v>
      </c>
      <c r="D1035" s="21" t="s">
        <v>1188</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1265</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680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1586</v>
      </c>
      <c r="B1038" s="21" t="s">
        <v>1186</v>
      </c>
      <c r="C1038" s="21" t="s">
        <v>1231</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1193</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1300</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1268</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1194</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1345</v>
      </c>
      <c r="B1043" s="21" t="s">
        <v>1248</v>
      </c>
      <c r="C1043" s="21" t="s">
        <v>1196</v>
      </c>
      <c r="D1043" s="21" t="s">
        <v>1188</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1194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578</v>
      </c>
      <c r="B1045" s="21" t="s">
        <v>1245</v>
      </c>
      <c r="C1045" s="21" t="s">
        <v>1196</v>
      </c>
      <c r="D1045" s="21" t="s">
        <v>1188</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1641</v>
      </c>
      <c r="B1046" s="21" t="s">
        <v>1215</v>
      </c>
      <c r="C1046" s="21" t="s">
        <v>1187</v>
      </c>
      <c r="D1046" s="21" t="s">
        <v>1188</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1642</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1260</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1193</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1227</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1643</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1644</v>
      </c>
      <c r="B1052" s="21" t="s">
        <v>1215</v>
      </c>
      <c r="C1052" s="21" t="s">
        <v>1240</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1302</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1232</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1645</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1646</v>
      </c>
      <c r="B1056" s="21" t="s">
        <v>1215</v>
      </c>
      <c r="C1056" s="21" t="s">
        <v>1240</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1194</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1647</v>
      </c>
      <c r="B1058" s="21" t="s">
        <v>1313</v>
      </c>
      <c r="C1058" s="21" t="s">
        <v>1196</v>
      </c>
      <c r="D1058" s="21" t="s">
        <v>1188</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1359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1194</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1402</v>
      </c>
      <c r="B1061" s="21" t="s">
        <v>1285</v>
      </c>
      <c r="C1061" s="21" t="s">
        <v>1187</v>
      </c>
      <c r="D1061" s="21" t="s">
        <v>1188</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1337</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1648</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826</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row>
    <row r="1066" spans="1:12">
      <c r="A1066" s="20" t="s">
        <v>1649</v>
      </c>
    </row>
    <row r="1067" spans="1:12">
      <c r="A1067" s="20" t="s">
        <v>1650</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1226</v>
      </c>
      <c r="B1068" s="21" t="s">
        <v>1245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1651</v>
      </c>
      <c r="B1069" s="21" t="s">
        <v>1215</v>
      </c>
      <c r="C1069" s="21" t="s">
        <v>1262</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578</v>
      </c>
      <c r="B1070" s="21" t="s">
        <v>1248</v>
      </c>
      <c r="C1070" s="21" t="s">
        <v>1331</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1652</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163</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1302</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1653</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1651</v>
      </c>
      <c r="B1075" s="21" t="s">
        <v>1186</v>
      </c>
      <c r="C1075" s="21" t="s">
        <v>1262</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11</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1271</v>
      </c>
      <c r="B1077" s="21" t="s">
        <v>1202</v>
      </c>
      <c r="C1077" s="21" t="s">
        <v>1203</v>
      </c>
      <c r="D1077" s="21" t="s">
        <v>1188</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1654</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1193</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1655</v>
      </c>
      <c r="B1080" s="21" t="s">
        <v>1248</v>
      </c>
      <c r="C1080" s="21" t="s">
        <v>1187</v>
      </c>
      <c r="D1080" s="21" t="s">
        <v>1188</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1594</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1656</v>
      </c>
      <c r="B1082" s="21" t="s">
        <v>1248</v>
      </c>
      <c r="C1082" s="21" t="s">
        <v>1262</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1208</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1657</v>
      </c>
      <c r="B1084" s="21" t="s">
        <v>1199</v>
      </c>
      <c r="C1084" s="21" t="s">
        <v>1203</v>
      </c>
      <c r="D1084" s="21" t="s">
        <v>1188</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11</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1658</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1659</v>
      </c>
      <c r="B1087" s="21" t="s">
        <v>1199</v>
      </c>
      <c r="C1087" s="21" t="s">
        <v>1192</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1660</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1193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163</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1261</v>
      </c>
      <c r="B1091" s="21" t="s">
        <v>1311</v>
      </c>
      <c r="C1091" s="21" t="s">
        <v>1262</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1661</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1193</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1662</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1194</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1663</v>
      </c>
      <c r="B1096" s="21" t="s">
        <v>1296</v>
      </c>
      <c r="C1096" s="21" t="s">
        <v>1196</v>
      </c>
      <c r="D1096" s="21" t="s">
        <v>1188</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1556</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1664</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1665</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1454</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826</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row>
    <row r="1103" spans="1:12">
      <c r="A1103" s="20" t="s">
        <v>1666</v>
      </c>
    </row>
    <row r="1104" spans="1:12">
      <c r="A1104" s="20" t="s">
        <v>1667</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1668</v>
      </c>
      <c r="B1105" s="21" t="s">
        <v>1186</v>
      </c>
      <c r="C1105" s="21" t="s">
        <v>1246</v>
      </c>
      <c r="D1105" s="21" t="s">
        <v>1188</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1669</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680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1670</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1659</v>
      </c>
      <c r="B1109" s="21" t="s">
        <v>1202</v>
      </c>
      <c r="C1109" s="21" t="s">
        <v>1231</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826</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row>
    <row r="1112" spans="1:12">
      <c r="A1112" s="20" t="s">
        <v>1671</v>
      </c>
    </row>
    <row r="1113" spans="1:12">
      <c r="A1113" s="20" t="s">
        <v>1364</v>
      </c>
      <c r="B1113" s="21" t="s">
        <v>1248</v>
      </c>
      <c r="C1113" s="21" t="s">
        <v>1246</v>
      </c>
      <c r="D1113" s="21" t="s">
        <v>1188</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163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1232</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1268</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1672</v>
      </c>
      <c r="B1117" s="21" t="s">
        <v>1186</v>
      </c>
      <c r="C1117" s="21" t="s">
        <v>1196</v>
      </c>
      <c r="D1117" s="21" t="s">
        <v>1188</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1300</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1673</v>
      </c>
      <c r="B1119" s="21" t="s">
        <v>1199</v>
      </c>
      <c r="C1119" s="21" t="s">
        <v>1192</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1388</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1674</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1193</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1502</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1271</v>
      </c>
      <c r="B1124" s="21" t="s">
        <v>1248</v>
      </c>
      <c r="C1124" s="21" t="s">
        <v>1203</v>
      </c>
      <c r="D1124" s="21" t="s">
        <v>1188</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1675</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1676</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1190</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row>
    <row r="1129" spans="1:12">
      <c r="A1129" s="20" t="s">
        <v>1677</v>
      </c>
    </row>
    <row r="1130" spans="1:12">
      <c r="A1130" s="20" t="s">
        <v>1264</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1490</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1678</v>
      </c>
      <c r="B1132" s="21" t="s">
        <v>1202</v>
      </c>
      <c r="C1132" s="21" t="s">
        <v>1192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1232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1206</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1679</v>
      </c>
      <c r="B1135" s="21" t="s">
        <v>1199</v>
      </c>
      <c r="C1135" s="21" t="s">
        <v>1187</v>
      </c>
      <c r="D1135" s="21" t="s">
        <v>1188</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11</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1345</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1193</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1232</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1455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1680</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1554</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1193</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68</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1681</v>
      </c>
      <c r="B1145" s="21" t="s">
        <v>1248</v>
      </c>
      <c r="C1145" s="21" t="s">
        <v>1331</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1682</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1360</v>
      </c>
      <c r="B1147" s="21" t="s">
        <v>1215</v>
      </c>
      <c r="C1147" s="21" t="s">
        <v>1216</v>
      </c>
      <c r="D1147" s="21" t="s">
        <v>1188</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1683</v>
      </c>
      <c r="B1148" s="21" t="s">
        <v>1245</v>
      </c>
      <c r="C1148" s="21" t="s">
        <v>1218</v>
      </c>
      <c r="D1148" s="21" t="s">
        <v>1188</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1684</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1302</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1427</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1685</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1686</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826</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row>
    <row r="1156" spans="1:12">
      <c r="A1156" s="20" t="s">
        <v>1687</v>
      </c>
    </row>
    <row r="1157" spans="1:12">
      <c r="A1157" s="20" t="s">
        <v>1316</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1668</v>
      </c>
      <c r="B1158" s="21" t="s">
        <v>1202</v>
      </c>
      <c r="C1158" s="21" t="s">
        <v>1246</v>
      </c>
      <c r="D1158" s="21" t="s">
        <v>1188</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230</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1321</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1193</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1366</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1367</v>
      </c>
      <c r="B1163" s="21" t="s">
        <v>1311</v>
      </c>
      <c r="C1163" s="21" t="s">
        <v>1216</v>
      </c>
      <c r="D1163" s="21" t="s">
        <v>1188</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1688</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1689</v>
      </c>
      <c r="B1165" s="21" t="s">
        <v>1248</v>
      </c>
      <c r="C1165" s="21" t="s">
        <v>1192</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1341</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1232</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1228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1690</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1659</v>
      </c>
      <c r="B1170" s="21" t="s">
        <v>1248</v>
      </c>
      <c r="C1170" s="21" t="s">
        <v>1231</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1193</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1502</v>
      </c>
      <c r="B1172" s="21" t="s">
        <v>1296</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1205</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1206</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1613</v>
      </c>
      <c r="B1175" s="21" t="s">
        <v>1285</v>
      </c>
      <c r="C1175" s="21" t="s">
        <v>1196</v>
      </c>
      <c r="D1175" s="21" t="s">
        <v>1188</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1691</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1692</v>
      </c>
      <c r="B1177" s="21" t="s">
        <v>1298</v>
      </c>
      <c r="C1177" s="21" t="s">
        <v>1192</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1527</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1693</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1694</v>
      </c>
      <c r="B1180" s="21" t="s">
        <v>1285</v>
      </c>
      <c r="C1180" s="21" t="s">
        <v>1331</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1695</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1278</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1232</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1268</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1696</v>
      </c>
      <c r="B1185" s="21" t="s">
        <v>1199</v>
      </c>
      <c r="C1185" s="21" t="s">
        <v>1196</v>
      </c>
      <c r="D1185" s="21" t="s">
        <v>1188</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1208</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137</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1429</v>
      </c>
      <c r="B1188" s="21" t="s">
        <v>1199</v>
      </c>
      <c r="C1188" s="21" t="s">
        <v>1331</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1302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1232</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137</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1429</v>
      </c>
      <c r="B1192" s="21" t="s">
        <v>1199</v>
      </c>
      <c r="C1192" s="21" t="s">
        <v>1331</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1544</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1697</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1698</v>
      </c>
      <c r="B1195" s="21" t="s">
        <v>1245</v>
      </c>
      <c r="C1195" s="21" t="s">
        <v>1331</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1206</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1345</v>
      </c>
      <c r="B1197" s="21" t="s">
        <v>1215</v>
      </c>
      <c r="C1197" s="21" t="s">
        <v>1196</v>
      </c>
      <c r="D1197" s="21" t="s">
        <v>1188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1699</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1278</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826</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row>
    <row r="1202" spans="1:12">
      <c r="A1202" s="20" t="s">
        <v>1700</v>
      </c>
    </row>
    <row r="1203" spans="1:12">
      <c r="A1203" s="20" t="s">
        <v>1701</v>
      </c>
      <c r="B1203" s="21" t="s">
        <v>1202</v>
      </c>
      <c r="C1203" s="21" t="s">
        <v>1216</v>
      </c>
      <c r="D1203" s="21" t="s">
        <v>1188</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1341</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1321</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1194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1702</v>
      </c>
      <c r="B1207" s="21" t="s">
        <v>1186</v>
      </c>
      <c r="C1207" s="21" t="s">
        <v>1196</v>
      </c>
      <c r="D1207" s="21" t="s">
        <v>1188</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1193</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1194</v>
      </c>
      <c r="B1209" s="21" t="s">
        <v>1248</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427</v>
      </c>
      <c r="B1210" s="21" t="s">
        <v>1248</v>
      </c>
      <c r="C1210" s="21" t="s">
        <v>1246</v>
      </c>
      <c r="D1210" s="21" t="s">
        <v>1188</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1427</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1703</v>
      </c>
      <c r="B1212" s="21" t="s">
        <v>1199</v>
      </c>
      <c r="C1212" s="21" t="s">
        <v>1192</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1346</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1193</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1317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185</v>
      </c>
      <c r="B1216" s="21" t="s">
        <v>1311</v>
      </c>
      <c r="C1216" s="21" t="s">
        <v>1203</v>
      </c>
      <c r="D1216" s="21" t="s">
        <v>1188</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1520</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1194</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1330</v>
      </c>
      <c r="B1219" s="21" t="s">
        <v>1313</v>
      </c>
      <c r="C1219" s="21" t="s">
        <v>1196</v>
      </c>
      <c r="D1219" s="21" t="s">
        <v>1188</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1704</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1705</v>
      </c>
      <c r="B1221" s="21" t="s">
        <v>1311</v>
      </c>
      <c r="C1221" s="21" t="s">
        <v>1192</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1232</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1228</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1706</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1302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1707</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1198</v>
      </c>
      <c r="B1227" s="21" t="s">
        <v>1215</v>
      </c>
      <c r="C1227" s="21" t="s">
        <v>1231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1638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826</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row>
    <row r="1231" spans="1:12">
      <c r="A1231" s="20" t="s">
        <v>1708</v>
      </c>
    </row>
    <row r="1232" spans="1:12">
      <c r="A1232" s="20" t="s">
        <v>1270</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1190</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1552</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1584</v>
      </c>
      <c r="B1235" s="21" t="s">
        <v>1202</v>
      </c>
      <c r="C1235" s="21" t="s">
        <v>1196</v>
      </c>
      <c r="D1235" s="21" t="s">
        <v>1188</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1193</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1194</v>
      </c>
      <c r="B1237" s="21" t="s">
        <v>1311</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427</v>
      </c>
      <c r="B1238" s="21" t="s">
        <v>1311</v>
      </c>
      <c r="C1238" s="21" t="s">
        <v>1246</v>
      </c>
      <c r="D1238" s="21" t="s">
        <v>1188</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1709</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177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1193</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1710</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1194</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1711</v>
      </c>
      <c r="B1244" s="21" t="s">
        <v>1212</v>
      </c>
      <c r="C1244" s="21" t="s">
        <v>1196</v>
      </c>
      <c r="D1244" s="21" t="s">
        <v>1188</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1205</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1193</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1629</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1712</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1713</v>
      </c>
      <c r="B1249" s="21" t="s">
        <v>1311</v>
      </c>
      <c r="C1249" s="21" t="s">
        <v>1192</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11</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1302</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1714</v>
      </c>
      <c r="B1252" s="21" t="s">
        <v>1285</v>
      </c>
      <c r="C1252" s="21" t="s">
        <v>1192</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1226</v>
      </c>
      <c r="B1253" s="21" t="s">
        <v>1313</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1268</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1586</v>
      </c>
      <c r="B1255" s="21" t="s">
        <v>1313</v>
      </c>
      <c r="C1255" s="21" t="s">
        <v>1196</v>
      </c>
      <c r="D1255" s="21" t="s">
        <v>1188</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1715</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1716</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1302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1629</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1194</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1717</v>
      </c>
      <c r="B1261" s="21" t="s">
        <v>1245</v>
      </c>
      <c r="C1261" s="21" t="s">
        <v>1196</v>
      </c>
      <c r="D1261" s="21" t="s">
        <v>1188</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1208</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1711</v>
      </c>
      <c r="B1263" s="21" t="s">
        <v>1199</v>
      </c>
      <c r="C1263" s="21" t="s">
        <v>1192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1250</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1657</v>
      </c>
      <c r="B1265" s="21" t="s">
        <v>1215</v>
      </c>
      <c r="C1265" s="21" t="s">
        <v>1203</v>
      </c>
      <c r="D1265" s="21" t="s">
        <v>1188</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1718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826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row>
    <row r="1269" spans="1:12">
      <c r="A1269" s="20" t="s">
        <v>1719</v>
      </c>
    </row>
    <row r="1270" spans="1:12">
      <c r="A1270" s="20" t="s">
        <v>1607</v>
      </c>
      <c r="B1270" s="21" t="s">
        <v>1248</v>
      </c>
      <c r="C1270" s="21" t="s">
        <v>1203</v>
      </c>
      <c r="D1270" s="21" t="s">
        <v>1188</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163</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1194</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1720</v>
      </c>
      <c r="B1273" s="21" t="s">
        <v>1212</v>
      </c>
      <c r="C1273" s="21" t="s">
        <v>1196</v>
      </c>
      <c r="D1273" s="21" t="s">
        <v>1188</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1300</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1206</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1402</v>
      </c>
      <c r="B1276" s="21" t="s">
        <v>1199</v>
      </c>
      <c r="C1276" s="21" t="s">
        <v>1187</v>
      </c>
      <c r="D1276" s="21" t="s">
        <v>1188</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1721</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826</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row>
    <row r="1280" spans="1:12">
      <c r="A1280" s="20" t="s">
        <v>1722</v>
      </c>
    </row>
    <row r="1281" spans="1:12">
      <c r="A1281" s="20" t="s">
        <v>1471</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1278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1194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1402</v>
      </c>
      <c r="B1284" s="21" t="s">
        <v>1202</v>
      </c>
      <c r="C1284" s="21" t="s">
        <v>1187</v>
      </c>
      <c r="D1284" s="21" t="s">
        <v>1188</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1360</v>
      </c>
      <c r="B1285" s="21" t="s">
        <v>1199</v>
      </c>
      <c r="C1285" s="21" t="s">
        <v>1216</v>
      </c>
      <c r="D1285" s="21" t="s">
        <v>1188</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1711</v>
      </c>
      <c r="B1286" s="21" t="s">
        <v>1212</v>
      </c>
      <c r="C1286" s="21" t="s">
        <v>1218</v>
      </c>
      <c r="D1286" s="21" t="s">
        <v>1188</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1723</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1257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row>
    <row r="1290" spans="1:12">
      <c r="A1290" s="20" t="s">
        <v>1724</v>
      </c>
    </row>
    <row r="1291" spans="1:12">
      <c r="A1291" s="20" t="s">
        <v>1294</v>
      </c>
      <c r="B1291" s="21" t="s">
        <v>1186</v>
      </c>
      <c r="C1291" s="21" t="s">
        <v>1203</v>
      </c>
      <c r="D1291" s="21" t="s">
        <v>1188</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1190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1552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1725</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1726</v>
      </c>
      <c r="B1295" s="21" t="s">
        <v>1248</v>
      </c>
      <c r="C1295" s="21" t="s">
        <v>1401</v>
      </c>
      <c r="D1295" s="21" t="s">
        <v>1188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1206</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1402</v>
      </c>
      <c r="B1297" s="21" t="s">
        <v>1215</v>
      </c>
      <c r="C1297" s="21" t="s">
        <v>1187</v>
      </c>
      <c r="D1297" s="21" t="s">
        <v>1188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1727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1502</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1427</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1728</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1408</v>
      </c>
      <c r="B1302" s="21" t="s">
        <v>1199</v>
      </c>
      <c r="C1302" s="21" t="s">
        <v>1196</v>
      </c>
      <c r="D1302" s="21" t="s">
        <v>1188</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826</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row>
    <row r="1305" spans="1:12">
      <c r="A1305" s="20" t="s">
        <v>1729</v>
      </c>
    </row>
    <row r="1306" spans="1:12">
      <c r="A1306" s="20" t="s">
        <v>1730</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1283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1731</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1402</v>
      </c>
      <c r="B1309" s="21" t="s">
        <v>1186</v>
      </c>
      <c r="C1309" s="21" t="s">
        <v>1187</v>
      </c>
      <c r="D1309" s="21" t="s">
        <v>1188</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11</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1732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1193</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1733</v>
      </c>
      <c r="B1313" s="21" t="s">
        <v>1199</v>
      </c>
      <c r="C1313" s="21" t="s">
        <v>1262</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1309</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1312</v>
      </c>
      <c r="B1315" s="21" t="s">
        <v>1313</v>
      </c>
      <c r="C1315" s="21" t="s">
        <v>1203</v>
      </c>
      <c r="D1315" s="21" t="s">
        <v>1188</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1193</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1206</v>
      </c>
      <c r="B1317" s="21" t="s">
        <v>1296</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1232</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1398</v>
      </c>
      <c r="B1319" s="21" t="s">
        <v>1285</v>
      </c>
      <c r="C1319" s="21" t="s">
        <v>1187</v>
      </c>
      <c r="D1319" s="21" t="s">
        <v>1188</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1427</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1734</v>
      </c>
      <c r="B1321" s="21" t="s">
        <v>1285</v>
      </c>
      <c r="C1321" s="21" t="s">
        <v>1192</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1359</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1210</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325</v>
      </c>
      <c r="B1324" s="21" t="s">
        <v>1285</v>
      </c>
      <c r="C1324" s="21" t="s">
        <v>1196</v>
      </c>
      <c r="D1324" s="21" t="s">
        <v>1188</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1735</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1736</v>
      </c>
      <c r="B1326" s="21" t="s">
        <v>1296</v>
      </c>
      <c r="C1326" s="21" t="s">
        <v>1187</v>
      </c>
      <c r="D1326" s="21" t="s">
        <v>1188</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11</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1737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1378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1738</v>
      </c>
      <c r="B1330" s="21" t="s">
        <v>1347</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1232</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1268</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1739</v>
      </c>
      <c r="B1333" s="21" t="s">
        <v>1285</v>
      </c>
      <c r="C1333" s="21" t="s">
        <v>1196</v>
      </c>
      <c r="D1333" s="21" t="s">
        <v>1188</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1740</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1193</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1741</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1502</v>
      </c>
      <c r="B1337" s="21" t="s">
        <v>1202</v>
      </c>
      <c r="C1337" s="21" t="s">
        <v>1216</v>
      </c>
      <c r="D1337" s="21" t="s">
        <v>1188</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1193</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1366</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1194</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1711</v>
      </c>
      <c r="B1341" s="21" t="s">
        <v>1248</v>
      </c>
      <c r="C1341" s="21" t="s">
        <v>1196</v>
      </c>
      <c r="D1341" s="21" t="s">
        <v>1188</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1742</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1208</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1409</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1743</v>
      </c>
      <c r="B1345" s="21" t="s">
        <v>1199</v>
      </c>
      <c r="C1345" s="21" t="s">
        <v>1240</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276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826</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row>
    <row r="1349" spans="1:12">
      <c r="A1349" s="20" t="s">
        <v>1744</v>
      </c>
    </row>
    <row r="1350" spans="1:12">
      <c r="A1350" s="20" t="s">
        <v>1320</v>
      </c>
      <c r="B1350" s="21" t="s">
        <v>1202</v>
      </c>
      <c r="C1350" s="21" t="s">
        <v>1216</v>
      </c>
      <c r="D1350" s="21" t="s">
        <v>1188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1745</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1321</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1193</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1366</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1494</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1746</v>
      </c>
      <c r="B1356" s="21" t="s">
        <v>1248</v>
      </c>
      <c r="C1356" s="21" t="s">
        <v>1401</v>
      </c>
      <c r="D1356" s="21" t="s">
        <v>1188</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1208</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1747</v>
      </c>
      <c r="B1358" s="21" t="s">
        <v>1215</v>
      </c>
      <c r="C1358" s="21" t="s">
        <v>1192</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1197</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1748</v>
      </c>
      <c r="B1360" s="21" t="s">
        <v>1285</v>
      </c>
      <c r="C1360" s="21" t="s">
        <v>1196</v>
      </c>
      <c r="D1360" s="21" t="s">
        <v>1188</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1300</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1206</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1402</v>
      </c>
      <c r="B1363" s="21" t="s">
        <v>1215</v>
      </c>
      <c r="C1363" s="21" t="s">
        <v>1187</v>
      </c>
      <c r="D1363" s="21" t="s">
        <v>1188</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1232</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1228</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1749</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1750</v>
      </c>
      <c r="B1367" s="21" t="s">
        <v>1199</v>
      </c>
      <c r="C1367" s="21" t="s">
        <v>1231</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1751</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1193</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1226</v>
      </c>
      <c r="B1370" s="21" t="s">
        <v>1313</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1752</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1302</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1232</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1268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1753</v>
      </c>
      <c r="B1375" s="21" t="s">
        <v>1199</v>
      </c>
      <c r="C1375" s="21" t="s">
        <v>1196</v>
      </c>
      <c r="D1375" s="21" t="s">
        <v>1188</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1754</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1193</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1309</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1668</v>
      </c>
      <c r="B1379" s="21" t="s">
        <v>1311</v>
      </c>
      <c r="C1379" s="21" t="s">
        <v>1246</v>
      </c>
      <c r="D1379" s="21" t="s">
        <v>1188</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1755</v>
      </c>
      <c r="B1380" s="21" t="s">
        <v>1285</v>
      </c>
      <c r="C1380" s="21" t="s">
        <v>1216</v>
      </c>
      <c r="D1380" s="21" t="s">
        <v>1188</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1756</v>
      </c>
      <c r="B1381" s="21" t="s">
        <v>1313</v>
      </c>
      <c r="C1381" s="21" t="s">
        <v>1218</v>
      </c>
      <c r="D1381" s="21" t="s">
        <v>1188</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1757</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670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826</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row>
    <row r="1386" spans="1:12">
      <c r="A1386" s="20" t="s">
        <v>1758</v>
      </c>
    </row>
    <row r="1387" spans="1:12">
      <c r="A1387" s="20" t="s">
        <v>1759</v>
      </c>
      <c r="B1387" s="21" t="s">
        <v>1199</v>
      </c>
      <c r="C1387" s="21" t="s">
        <v>1262</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578</v>
      </c>
      <c r="B1388" s="21" t="s">
        <v>1202</v>
      </c>
      <c r="C1388" s="21" t="s">
        <v>1192</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261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1502</v>
      </c>
      <c r="B1390" s="21" t="s">
        <v>1212</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1760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826</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row>
    <row r="1394" spans="1:12">
      <c r="A1394" s="20" t="s">
        <v>1761</v>
      </c>
    </row>
    <row r="1395" spans="1:12">
      <c r="A1395" s="20" t="s">
        <v>1762</v>
      </c>
      <c r="B1395" s="21" t="s">
        <v>1202</v>
      </c>
      <c r="C1395" s="21" t="s">
        <v>1262</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1341</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1472</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826</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row>
    <row r="1400" spans="1:12">
      <c r="A1400" s="20" t="s">
        <v>1763</v>
      </c>
    </row>
    <row r="1401" spans="1:12">
      <c r="A1401" s="20" t="s">
        <v>1762</v>
      </c>
      <c r="B1401" s="21" t="s">
        <v>1202</v>
      </c>
      <c r="C1401" s="21" t="s">
        <v>1262</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1341</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1388</v>
      </c>
      <c r="B1403" s="21" t="s">
        <v>1202</v>
      </c>
      <c r="C1403" s="21" t="s">
        <v>1246</v>
      </c>
      <c r="D1403" s="21" t="s">
        <v>1188</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1764</v>
      </c>
      <c r="B1404" s="21" t="s">
        <v>1212</v>
      </c>
      <c r="C1404" s="21" t="s">
        <v>1246</v>
      </c>
      <c r="D1404" s="21" t="s">
        <v>1188</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1472</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826</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row>
    <row r="1408" spans="1:12">
      <c r="A1408" s="20" t="s">
        <v>1765</v>
      </c>
    </row>
    <row r="1409" spans="1:12">
      <c r="A1409" s="20" t="s">
        <v>272</v>
      </c>
      <c r="B1409" s="21" t="s">
        <v>1186</v>
      </c>
      <c r="C1409" s="21" t="s">
        <v>1192</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1766</v>
      </c>
      <c r="B1410" s="21" t="s">
        <v>1186</v>
      </c>
      <c r="C1410" s="21" t="s">
        <v>1187</v>
      </c>
      <c r="D1410" s="21" t="s">
        <v>1188</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1478</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1193</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1317</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427</v>
      </c>
      <c r="B1414" s="21" t="s">
        <v>1248</v>
      </c>
      <c r="C1414" s="21" t="s">
        <v>1246</v>
      </c>
      <c r="D1414" s="21" t="s">
        <v>1188</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1506</v>
      </c>
      <c r="B1415" s="21" t="s">
        <v>1245</v>
      </c>
      <c r="C1415" s="21" t="s">
        <v>1308</v>
      </c>
      <c r="D1415" s="21" t="s">
        <v>1188</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805</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1193</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1309</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1360</v>
      </c>
      <c r="B1419" s="21" t="s">
        <v>1285</v>
      </c>
      <c r="C1419" s="21" t="s">
        <v>1216</v>
      </c>
      <c r="D1419" s="21" t="s">
        <v>1188</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1540</v>
      </c>
      <c r="B1420" s="21" t="s">
        <v>1311</v>
      </c>
      <c r="C1420" s="21" t="s">
        <v>1218</v>
      </c>
      <c r="D1420" s="21" t="s">
        <v>1188</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114</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670</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1190</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row>
    <row r="1425" spans="1:12">
      <c r="A1425" s="20" t="s">
        <v>1767</v>
      </c>
    </row>
    <row r="1426" spans="1:12">
      <c r="A1426" s="20" t="s">
        <v>1607</v>
      </c>
      <c r="B1426" s="21" t="s">
        <v>1202</v>
      </c>
      <c r="C1426" s="21" t="s">
        <v>1203</v>
      </c>
      <c r="D1426" s="21" t="s">
        <v>1188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276</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1208</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1210</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578</v>
      </c>
      <c r="B1430" s="21" t="s">
        <v>1186</v>
      </c>
      <c r="C1430" s="21" t="s">
        <v>1196</v>
      </c>
      <c r="D1430" s="21" t="s">
        <v>1188</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1545</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826</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1768</v>
      </c>
    </row>
    <row r="1435" spans="1:12">
      <c r="A1435" s="20" t="s">
        <v>1607</v>
      </c>
      <c r="B1435" s="21" t="s">
        <v>1202</v>
      </c>
      <c r="C1435" s="21" t="s">
        <v>1203</v>
      </c>
      <c r="D1435" s="21" t="s">
        <v>1188</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670</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1321</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1241</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1769</v>
      </c>
      <c r="B1439" s="21" t="s">
        <v>1186</v>
      </c>
      <c r="C1439" s="21" t="s">
        <v>1192</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1770</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826</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row>
    <row r="1443" spans="1:12">
      <c r="A1443" s="20" t="s">
        <v>1771</v>
      </c>
    </row>
    <row r="1444" spans="1:12">
      <c r="A1444" s="20" t="s">
        <v>1277</v>
      </c>
      <c r="B1444" s="21" t="s">
        <v>1202</v>
      </c>
      <c r="C1444" s="21" t="s">
        <v>1262</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1772</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1283</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1773</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1774</v>
      </c>
      <c r="B1448" s="21" t="s">
        <v>1212</v>
      </c>
      <c r="C1448" s="21" t="s">
        <v>1231</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1321</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284</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1190</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row>
    <row r="1453" spans="1:12">
      <c r="A1453" s="20" t="s">
        <v>1369</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1775</v>
      </c>
    </row>
    <row r="1455" spans="1:12">
      <c r="A1455" s="20" t="s">
        <v>1650</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1194</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578</v>
      </c>
      <c r="B1457" s="21" t="s">
        <v>1202</v>
      </c>
      <c r="C1457" s="21" t="s">
        <v>1196</v>
      </c>
      <c r="D1457" s="21" t="s">
        <v>1188</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1226</v>
      </c>
      <c r="B1458" s="21" t="s">
        <v>1212</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1776</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1193</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1653</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1194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578</v>
      </c>
      <c r="B1463" s="21" t="s">
        <v>1248</v>
      </c>
      <c r="C1463" s="21" t="s">
        <v>1196</v>
      </c>
      <c r="D1463" s="21" t="s">
        <v>1188</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1777</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1190</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1374</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1778</v>
      </c>
      <c r="B1467" s="21" t="s">
        <v>1311</v>
      </c>
      <c r="C1467" s="21" t="s">
        <v>1187</v>
      </c>
      <c r="D1467" s="21" t="s">
        <v>1188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1515</v>
      </c>
      <c r="B1468" s="21" t="s">
        <v>1347</v>
      </c>
      <c r="C1468" s="21" t="s">
        <v>1246</v>
      </c>
      <c r="D1468" s="21" t="s">
        <v>1188</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1502</v>
      </c>
      <c r="B1469" s="21" t="s">
        <v>1313</v>
      </c>
      <c r="C1469" s="21" t="s">
        <v>1246</v>
      </c>
      <c r="D1469" s="21" t="s">
        <v>1188</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1300</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1228</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1779</v>
      </c>
      <c r="B1472" s="21" t="s">
        <v>1215</v>
      </c>
      <c r="C1472" s="21" t="s">
        <v>1231</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292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826</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row>
    <row r="1476" spans="1:12">
      <c r="A1476" s="20" t="s">
        <v>1369</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1780</v>
      </c>
    </row>
    <row r="1478" spans="1:12">
      <c r="A1478" s="20" t="s">
        <v>1778</v>
      </c>
      <c r="B1478" s="21" t="s">
        <v>1202</v>
      </c>
      <c r="C1478" s="21" t="s">
        <v>1187</v>
      </c>
      <c r="D1478" s="21" t="s">
        <v>1188</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1515</v>
      </c>
      <c r="B1479" s="21" t="s">
        <v>1245</v>
      </c>
      <c r="C1479" s="21" t="s">
        <v>1246</v>
      </c>
      <c r="D1479" s="21" t="s">
        <v>1188</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1502</v>
      </c>
      <c r="B1480" s="21" t="s">
        <v>1212</v>
      </c>
      <c r="C1480" s="21" t="s">
        <v>1246</v>
      </c>
      <c r="D1480" s="21" t="s">
        <v>1188</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1382</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292</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1193</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1366</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427</v>
      </c>
      <c r="B1485" s="21" t="s">
        <v>1248</v>
      </c>
      <c r="C1485" s="21" t="s">
        <v>1246</v>
      </c>
      <c r="D1485" s="21" t="s">
        <v>1188</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1494</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1344</v>
      </c>
      <c r="B1487" s="21" t="s">
        <v>1245</v>
      </c>
      <c r="C1487" s="21" t="s">
        <v>1231</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1781</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1782</v>
      </c>
      <c r="B1489" s="21" t="s">
        <v>1215</v>
      </c>
      <c r="C1489" s="21" t="s">
        <v>1240</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163</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1193</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1494</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1344</v>
      </c>
      <c r="B1493" s="21" t="s">
        <v>1311</v>
      </c>
      <c r="C1493" s="21" t="s">
        <v>1231</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1613</v>
      </c>
      <c r="B1494" s="21" t="s">
        <v>1313</v>
      </c>
      <c r="C1494" s="21" t="s">
        <v>1192</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1359</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1194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1783</v>
      </c>
      <c r="B1497" s="21" t="s">
        <v>1285</v>
      </c>
      <c r="C1497" s="21" t="s">
        <v>1196</v>
      </c>
      <c r="D1497" s="21" t="s">
        <v>1188</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1208</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1784</v>
      </c>
      <c r="B1499" s="21" t="s">
        <v>1298</v>
      </c>
      <c r="C1499" s="21" t="s">
        <v>1192</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163</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826</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1374</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row>
    <row r="1504" spans="1:12">
      <c r="A1504" s="20" t="s">
        <v>1785</v>
      </c>
    </row>
    <row r="1505" spans="1:12">
      <c r="A1505" s="20" t="s">
        <v>1786</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1395</v>
      </c>
      <c r="B1506" s="21" t="s">
        <v>1186</v>
      </c>
      <c r="C1506" s="21" t="s">
        <v>1192</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1787</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1194</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1788</v>
      </c>
      <c r="B1509" s="21" t="s">
        <v>1202</v>
      </c>
      <c r="C1509" s="21" t="s">
        <v>1187</v>
      </c>
      <c r="D1509" s="21" t="s">
        <v>1188</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1789</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1790</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1193</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1194</v>
      </c>
      <c r="B1513" s="21" t="s">
        <v>1311</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1764</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1791</v>
      </c>
      <c r="B1515" s="21" t="s">
        <v>1313</v>
      </c>
      <c r="C1515" s="21" t="s">
        <v>1331</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1547</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1427</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1206</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1792</v>
      </c>
      <c r="B1519" s="21" t="s">
        <v>1215</v>
      </c>
      <c r="C1519" s="21" t="s">
        <v>1196</v>
      </c>
      <c r="D1519" s="21" t="s">
        <v>1188</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1527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1673</v>
      </c>
      <c r="B1521" s="21" t="s">
        <v>1298</v>
      </c>
      <c r="C1521" s="21" t="s">
        <v>1187</v>
      </c>
      <c r="D1521" s="21" t="s">
        <v>1188</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1193</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1232</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1455</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185</v>
      </c>
      <c r="B1525" s="21" t="s">
        <v>1436</v>
      </c>
      <c r="C1525" s="21" t="s">
        <v>1203</v>
      </c>
      <c r="D1525" s="21" t="s">
        <v>1188</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1793</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1193</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1194</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1402</v>
      </c>
      <c r="B1529" s="21" t="s">
        <v>1348</v>
      </c>
      <c r="C1529" s="21" t="s">
        <v>1187</v>
      </c>
      <c r="D1529" s="21" t="s">
        <v>1188</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1794</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1232</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1194</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1795</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1796</v>
      </c>
      <c r="B1534" s="21" t="s">
        <v>1533</v>
      </c>
      <c r="C1534" s="21" t="s">
        <v>1196</v>
      </c>
      <c r="D1534" s="21" t="s">
        <v>1188</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1352</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1797</v>
      </c>
      <c r="B1536" s="21" t="s">
        <v>1500</v>
      </c>
      <c r="C1536" s="21" t="s">
        <v>1187</v>
      </c>
      <c r="D1536" s="21" t="s">
        <v>1188</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11</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1798</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1302</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1655</v>
      </c>
      <c r="B1540" s="21" t="s">
        <v>1351</v>
      </c>
      <c r="C1540" s="21" t="s">
        <v>1187</v>
      </c>
      <c r="D1540" s="21" t="s">
        <v>1188</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11</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1798</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1799</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826</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row>
    <row r="1546" spans="1:12">
      <c r="A1546" s="20" t="s">
        <v>1800</v>
      </c>
    </row>
    <row r="1547" spans="1:12">
      <c r="A1547" s="20" t="s">
        <v>1801</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1545</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1250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578</v>
      </c>
      <c r="B1550" s="21" t="s">
        <v>1186</v>
      </c>
      <c r="C1550" s="21" t="s">
        <v>1192</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1193</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1194</v>
      </c>
      <c r="B1552" s="21" t="s">
        <v>1311</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1802</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1803</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1804</v>
      </c>
      <c r="B1556" s="21" t="s">
        <v>1215</v>
      </c>
      <c r="C1556" s="21" t="s">
        <v>1192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1193</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1478</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1205</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1805</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1806</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1807</v>
      </c>
      <c r="B1562" s="21" t="s">
        <v>1285</v>
      </c>
      <c r="C1562" s="21" t="s">
        <v>1192</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11</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1300</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1206</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1402</v>
      </c>
      <c r="B1566" s="21" t="s">
        <v>1215</v>
      </c>
      <c r="C1566" s="21" t="s">
        <v>1187</v>
      </c>
      <c r="D1566" s="21" t="s">
        <v>1188</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1808</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1193</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1447</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1226</v>
      </c>
      <c r="B1570" s="21" t="s">
        <v>1212</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1194</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1402</v>
      </c>
      <c r="B1572" s="21" t="s">
        <v>1202</v>
      </c>
      <c r="C1572" s="21" t="s">
        <v>1187</v>
      </c>
      <c r="D1572" s="21" t="s">
        <v>1188</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1307</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1321</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1809</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826</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row>
    <row r="1578" spans="1:12">
      <c r="A1578" s="20" t="s">
        <v>1810</v>
      </c>
    </row>
    <row r="1579" spans="1:12">
      <c r="A1579" s="20" t="s">
        <v>1811</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303</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427</v>
      </c>
      <c r="B1581" s="21" t="s">
        <v>1202</v>
      </c>
      <c r="C1581" s="21" t="s">
        <v>1246</v>
      </c>
      <c r="D1581" s="21" t="s">
        <v>1188</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578</v>
      </c>
      <c r="B1582" s="21" t="s">
        <v>1212</v>
      </c>
      <c r="C1582" s="21" t="s">
        <v>1192</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1193</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1194</v>
      </c>
      <c r="B1584" s="21" t="s">
        <v>1311</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1226</v>
      </c>
      <c r="B1585" s="21" t="s">
        <v>1313</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1549</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1812</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1193</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1520</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1337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150</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1193</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1366</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1668</v>
      </c>
      <c r="B1594" s="21" t="s">
        <v>1436</v>
      </c>
      <c r="C1594" s="21" t="s">
        <v>1246</v>
      </c>
      <c r="D1594" s="21" t="s">
        <v>1188</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1194</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1813</v>
      </c>
      <c r="B1596" s="21" t="s">
        <v>1437</v>
      </c>
      <c r="C1596" s="21" t="s">
        <v>1196</v>
      </c>
      <c r="D1596" s="21" t="s">
        <v>1188</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1206</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1814</v>
      </c>
      <c r="B1598" s="21" t="s">
        <v>1499</v>
      </c>
      <c r="C1598" s="21" t="s">
        <v>1196</v>
      </c>
      <c r="D1598" s="21" t="s">
        <v>1188</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1815</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670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1302</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1226</v>
      </c>
      <c r="B1602" s="21" t="s">
        <v>1533</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1359</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1194</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1816</v>
      </c>
      <c r="B1605" s="21" t="s">
        <v>1499</v>
      </c>
      <c r="C1605" s="21" t="s">
        <v>1196</v>
      </c>
      <c r="D1605" s="21" t="s">
        <v>1188</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1206</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1814</v>
      </c>
      <c r="B1607" s="21" t="s">
        <v>1500</v>
      </c>
      <c r="C1607" s="21" t="s">
        <v>1196</v>
      </c>
      <c r="D1607" s="21" t="s">
        <v>1188</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1817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826</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row>
    <row r="1611" spans="1:12">
      <c r="A1611" s="20" t="s">
        <v>1818</v>
      </c>
    </row>
    <row r="1612" spans="1:12">
      <c r="A1612" s="20" t="s">
        <v>1288</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1268</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1281</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1395</v>
      </c>
      <c r="B1615" s="21" t="s">
        <v>1186</v>
      </c>
      <c r="C1615" s="21" t="s">
        <v>1196</v>
      </c>
      <c r="D1615" s="21" t="s">
        <v>1188</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163</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427</v>
      </c>
      <c r="B1617" s="21" t="s">
        <v>1202</v>
      </c>
      <c r="C1617" s="21" t="s">
        <v>1246</v>
      </c>
      <c r="D1617" s="21" t="s">
        <v>1188</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1365</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1193</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1366</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1194</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578</v>
      </c>
      <c r="B1622" s="21" t="s">
        <v>1248</v>
      </c>
      <c r="C1622" s="21" t="s">
        <v>1196</v>
      </c>
      <c r="D1622" s="21" t="s">
        <v>1188</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1232</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1210</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1673</v>
      </c>
      <c r="B1625" s="21" t="s">
        <v>1199</v>
      </c>
      <c r="C1625" s="21" t="s">
        <v>1187</v>
      </c>
      <c r="D1625" s="21" t="s">
        <v>1188</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11</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1726</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1819</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1820</v>
      </c>
      <c r="B1629" s="21" t="s">
        <v>1245</v>
      </c>
      <c r="C1629" s="21" t="s">
        <v>1192</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1821</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1193</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1502</v>
      </c>
      <c r="B1632" s="21" t="s">
        <v>1248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1337</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130</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826</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row>
    <row r="1637" spans="1:12">
      <c r="A1637" s="20" t="s">
        <v>1822</v>
      </c>
    </row>
    <row r="1638" spans="1:12">
      <c r="A1638" s="20" t="s">
        <v>1201</v>
      </c>
      <c r="B1638" s="21" t="s">
        <v>1202</v>
      </c>
      <c r="C1638" s="21" t="s">
        <v>1203</v>
      </c>
      <c r="D1638" s="21" t="s">
        <v>1188</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1823</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1668</v>
      </c>
      <c r="B1640" s="21" t="s">
        <v>1212</v>
      </c>
      <c r="C1640" s="21" t="s">
        <v>1246</v>
      </c>
      <c r="D1640" s="21" t="s">
        <v>1188</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1193</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1824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826</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row>
    <row r="1645" spans="1:12">
      <c r="A1645" s="20" t="s">
        <v>1825</v>
      </c>
    </row>
    <row r="1646" spans="1:12">
      <c r="A1646" s="20" t="s">
        <v>1270</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1190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1253</v>
      </c>
      <c r="B1648" s="21" t="s">
        <v>1202</v>
      </c>
      <c r="C1648" s="21" t="s">
        <v>1246</v>
      </c>
      <c r="D1648" s="21" t="s">
        <v>1188</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1324</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1668</v>
      </c>
      <c r="B1650" s="21" t="s">
        <v>1202</v>
      </c>
      <c r="C1650" s="21" t="s">
        <v>1246</v>
      </c>
      <c r="D1650" s="21" t="s">
        <v>1188</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1593</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1397</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130</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1257</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row>
    <row r="1656" spans="1:12">
      <c r="A1656" s="20" t="s">
        <v>1826</v>
      </c>
    </row>
    <row r="1657" spans="1:12">
      <c r="A1657" s="20" t="s">
        <v>1294</v>
      </c>
      <c r="B1657" s="21" t="s">
        <v>1186</v>
      </c>
      <c r="C1657" s="21" t="s">
        <v>1203</v>
      </c>
      <c r="D1657" s="21" t="s">
        <v>1188</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1190</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1320</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1827</v>
      </c>
      <c r="B1660" s="21" t="s">
        <v>1212</v>
      </c>
      <c r="C1660" s="21" t="s">
        <v>1196</v>
      </c>
      <c r="D1660" s="21" t="s">
        <v>1188</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1193</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1244</v>
      </c>
      <c r="B1662" s="21" t="s">
        <v>1313</v>
      </c>
      <c r="C1662" s="21" t="s">
        <v>1246</v>
      </c>
      <c r="D1662" s="21" t="s">
        <v>1188</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680</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1714</v>
      </c>
      <c r="B1664" s="21" t="s">
        <v>1313</v>
      </c>
      <c r="C1664" s="21" t="s">
        <v>1231</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1232</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1828</v>
      </c>
      <c r="B1666" s="21" t="s">
        <v>1285</v>
      </c>
      <c r="C1666" s="21" t="s">
        <v>1187</v>
      </c>
      <c r="D1666" s="21" t="s">
        <v>1188</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1573</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1302</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1829</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130</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1260</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1193</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1459</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1830</v>
      </c>
      <c r="B1674" s="21" t="s">
        <v>1186</v>
      </c>
      <c r="C1674" s="21" t="s">
        <v>1192</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1337</v>
      </c>
      <c r="B1675" s="21" t="s">
        <v>1215</v>
      </c>
      <c r="C1675" s="21" t="s">
        <v>1262</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1831</v>
      </c>
      <c r="B1676" s="21" t="s">
        <v>1199</v>
      </c>
      <c r="C1676" s="21" t="s">
        <v>1192</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1337</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314</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1193</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1520</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1194</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1816</v>
      </c>
      <c r="B1682" s="21" t="s">
        <v>1245</v>
      </c>
      <c r="C1682" s="21" t="s">
        <v>1196</v>
      </c>
      <c r="D1682" s="21" t="s">
        <v>1188</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1643</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1814</v>
      </c>
      <c r="B1684" s="21" t="s">
        <v>1215</v>
      </c>
      <c r="C1684" s="21" t="s">
        <v>1240</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1832</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1337</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926</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1193</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1265</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1502</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1833</v>
      </c>
      <c r="B1691" s="21" t="s">
        <v>1202</v>
      </c>
      <c r="C1691" s="21" t="s">
        <v>1196</v>
      </c>
      <c r="D1691" s="21" t="s">
        <v>1188</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1208</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1834</v>
      </c>
      <c r="B1693" s="21" t="s">
        <v>1199</v>
      </c>
      <c r="C1693" s="21" t="s">
        <v>1187</v>
      </c>
      <c r="D1693" s="21" t="s">
        <v>1188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11</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1835</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1205</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1383</v>
      </c>
      <c r="B1697" s="21" t="s">
        <v>1215</v>
      </c>
      <c r="C1697" s="21" t="s">
        <v>1262</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1836</v>
      </c>
      <c r="B1698" s="21" t="s">
        <v>1199</v>
      </c>
      <c r="C1698" s="21" t="s">
        <v>1192</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1193</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1194</v>
      </c>
      <c r="B1700" s="21" t="s">
        <v>1347</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1310</v>
      </c>
      <c r="B1701" s="21" t="s">
        <v>1296</v>
      </c>
      <c r="C1701" s="21" t="s">
        <v>1262</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1837</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826</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row>
    <row r="1705" spans="1:12">
      <c r="A1705" s="20" t="s">
        <v>1369</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1838</v>
      </c>
    </row>
    <row r="1707" spans="1:12">
      <c r="A1707" s="20" t="s">
        <v>1839</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1518</v>
      </c>
      <c r="B1708" s="21" t="s">
        <v>1202</v>
      </c>
      <c r="C1708" s="21" t="s">
        <v>1196</v>
      </c>
      <c r="D1708" s="21" t="s">
        <v>1188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1193</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1840</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1502</v>
      </c>
      <c r="B1711" s="21" t="s">
        <v>1202</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1841</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1265</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1190</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1333</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57</v>
      </c>
      <c r="B1716" s="21" t="s">
        <v>1311</v>
      </c>
      <c r="C1716" s="21" t="s">
        <v>1203</v>
      </c>
      <c r="D1716" s="21" t="s">
        <v>1188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1842</v>
      </c>
      <c r="B1717" s="21" t="s">
        <v>1311</v>
      </c>
      <c r="C1717" s="21" t="s">
        <v>1203</v>
      </c>
      <c r="D1717" s="21" t="s">
        <v>1188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1829</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1205</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1843</v>
      </c>
      <c r="B1720" s="21" t="s">
        <v>1215</v>
      </c>
      <c r="C1720" s="21" t="s">
        <v>1187</v>
      </c>
      <c r="D1720" s="21" t="s">
        <v>1188</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1494</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1844</v>
      </c>
      <c r="B1722" s="21" t="s">
        <v>1313</v>
      </c>
      <c r="C1722" s="21" t="s">
        <v>1231</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1208</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1374</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1845</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1374</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1846</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1193</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1260</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1194</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1402</v>
      </c>
      <c r="B1731" s="21" t="s">
        <v>1248</v>
      </c>
      <c r="C1731" s="21" t="s">
        <v>1187</v>
      </c>
      <c r="D1731" s="21" t="s">
        <v>1188</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1502</v>
      </c>
      <c r="B1732" s="21" t="s">
        <v>1245</v>
      </c>
      <c r="C1732" s="21" t="s">
        <v>1246</v>
      </c>
      <c r="D1732" s="21" t="s">
        <v>1188</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1232</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1228</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1847</v>
      </c>
      <c r="B1735" s="21" t="s">
        <v>1199</v>
      </c>
      <c r="C1735" s="21" t="s">
        <v>1231</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38</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826</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row>
    <row r="1739" spans="1:12">
      <c r="A1739" s="20" t="s">
        <v>1848</v>
      </c>
    </row>
    <row r="1740" spans="1:12">
      <c r="A1740" s="20" t="s">
        <v>1839</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1849</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325</v>
      </c>
      <c r="B1742" s="21" t="s">
        <v>1202</v>
      </c>
      <c r="C1742" s="21" t="s">
        <v>1196</v>
      </c>
      <c r="D1742" s="21" t="s">
        <v>1188</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1260</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1502</v>
      </c>
      <c r="B1744" s="21" t="s">
        <v>1212</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1232</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1228</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1847</v>
      </c>
      <c r="B1747" s="21" t="s">
        <v>1186</v>
      </c>
      <c r="C1747" s="21" t="s">
        <v>1231</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38</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826</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row>
    <row r="1751" spans="1:12">
      <c r="A1751" s="20" t="s">
        <v>1850</v>
      </c>
    </row>
    <row r="1752" spans="1:12">
      <c r="A1752" s="20" t="s">
        <v>1839</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1735</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325</v>
      </c>
      <c r="B1754" s="21" t="s">
        <v>1186</v>
      </c>
      <c r="C1754" s="21" t="s">
        <v>1196</v>
      </c>
      <c r="D1754" s="21" t="s">
        <v>1188</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1193</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1206</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1851</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1193</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1206</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1852</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1302</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1206</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325</v>
      </c>
      <c r="B1763" s="21" t="s">
        <v>1186</v>
      </c>
      <c r="C1763" s="21" t="s">
        <v>1196</v>
      </c>
      <c r="D1763" s="21" t="s">
        <v>1188</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1208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1853</v>
      </c>
      <c r="B1765" s="21" t="s">
        <v>1199</v>
      </c>
      <c r="C1765" s="21" t="s">
        <v>1187</v>
      </c>
      <c r="D1765" s="21" t="s">
        <v>1188</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826</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row>
    <row r="1768" spans="1:12">
      <c r="A1768" s="20" t="s">
        <v>1854</v>
      </c>
    </row>
    <row r="1769" spans="1:12">
      <c r="A1769" s="20" t="s">
        <v>1607</v>
      </c>
      <c r="B1769" s="21" t="s">
        <v>1202</v>
      </c>
      <c r="C1769" s="21" t="s">
        <v>1203</v>
      </c>
      <c r="D1769" s="21" t="s">
        <v>1188</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1261</v>
      </c>
      <c r="B1770" s="21" t="s">
        <v>1199</v>
      </c>
      <c r="C1770" s="21" t="s">
        <v>1262</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1530</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1502</v>
      </c>
      <c r="B1772" s="21" t="s">
        <v>1202</v>
      </c>
      <c r="C1772" s="21" t="s">
        <v>1216</v>
      </c>
      <c r="D1772" s="21" t="s">
        <v>1188</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38</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1193</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1662</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185</v>
      </c>
      <c r="B1776" s="21" t="s">
        <v>1248</v>
      </c>
      <c r="C1776" s="21" t="s">
        <v>1203</v>
      </c>
      <c r="D1776" s="21" t="s">
        <v>1188</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1321</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1855</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1265</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826</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row>
    <row r="1782" spans="1:12">
      <c r="A1782" s="20" t="s">
        <v>1856</v>
      </c>
    </row>
    <row r="1783" spans="1:12">
      <c r="A1783" s="20" t="s">
        <v>1843</v>
      </c>
      <c r="B1783" s="21" t="s">
        <v>1202</v>
      </c>
      <c r="C1783" s="21" t="s">
        <v>1187</v>
      </c>
      <c r="D1783" s="21" t="s">
        <v>1188</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1265</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1194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1857</v>
      </c>
      <c r="B1786" s="21" t="s">
        <v>1186</v>
      </c>
      <c r="C1786" s="21" t="s">
        <v>1196</v>
      </c>
      <c r="D1786" s="21" t="s">
        <v>1188</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1206</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1336</v>
      </c>
      <c r="B1788" s="21" t="s">
        <v>1186</v>
      </c>
      <c r="C1788" s="21" t="s">
        <v>1196</v>
      </c>
      <c r="D1788" s="21" t="s">
        <v>1188</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826</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row>
    <row r="1791" spans="1:12">
      <c r="A1791" s="20" t="s">
        <v>1858</v>
      </c>
    </row>
    <row r="1792" spans="1:12">
      <c r="A1792" s="20" t="s">
        <v>1316</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185</v>
      </c>
      <c r="B1793" s="21" t="s">
        <v>1202</v>
      </c>
      <c r="C1793" s="21" t="s">
        <v>1203</v>
      </c>
      <c r="D1793" s="21" t="s">
        <v>1188</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1859</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1321</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1544</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1205</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1860</v>
      </c>
      <c r="B1798" s="21" t="s">
        <v>1186</v>
      </c>
      <c r="C1798" s="21" t="s">
        <v>1192</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1427</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1861</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1862</v>
      </c>
      <c r="B1801" s="21" t="s">
        <v>1186</v>
      </c>
      <c r="C1801" s="21" t="s">
        <v>1192</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1193</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1310</v>
      </c>
      <c r="B1803" s="21" t="s">
        <v>1248</v>
      </c>
      <c r="C1803" s="21" t="s">
        <v>1262</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1260</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1039</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1860</v>
      </c>
      <c r="B1806" s="21" t="s">
        <v>1245</v>
      </c>
      <c r="C1806" s="21" t="s">
        <v>1192</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1321</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882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1193</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1317</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1310</v>
      </c>
      <c r="B1811" s="21" t="s">
        <v>1311</v>
      </c>
      <c r="C1811" s="21" t="s">
        <v>1262</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1232</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1210</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1863</v>
      </c>
      <c r="B1814" s="21" t="s">
        <v>1215</v>
      </c>
      <c r="C1814" s="21" t="s">
        <v>1196</v>
      </c>
      <c r="D1814" s="21" t="s">
        <v>1188</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1864</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826</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row>
    <row r="1818" spans="1:12">
      <c r="A1818" s="20" t="s">
        <v>1865</v>
      </c>
    </row>
    <row r="1819" spans="1:12">
      <c r="A1819" s="20" t="s">
        <v>1320</v>
      </c>
      <c r="B1819" s="21" t="s">
        <v>1202</v>
      </c>
      <c r="C1819" s="21" t="s">
        <v>1216</v>
      </c>
      <c r="D1819" s="21" t="s">
        <v>1188</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1265</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1388</v>
      </c>
      <c r="B1821" s="21" t="s">
        <v>1186</v>
      </c>
      <c r="C1821" s="21" t="s">
        <v>1262</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1193</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1502</v>
      </c>
      <c r="B1823" s="21" t="s">
        <v>1245</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427</v>
      </c>
      <c r="B1824" s="21" t="s">
        <v>1248</v>
      </c>
      <c r="C1824" s="21" t="s">
        <v>1246</v>
      </c>
      <c r="D1824" s="21" t="s">
        <v>1188</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1866</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1444</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1193</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1321</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1544</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1250</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1867</v>
      </c>
      <c r="B1831" s="21" t="s">
        <v>1186</v>
      </c>
      <c r="C1831" s="21" t="s">
        <v>1187</v>
      </c>
      <c r="D1831" s="21" t="s">
        <v>1188</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826</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row>
    <row r="1834" spans="1:12">
      <c r="A1834" s="20" t="s">
        <v>1868</v>
      </c>
    </row>
    <row r="1835" spans="1:12">
      <c r="A1835" s="20" t="s">
        <v>1201</v>
      </c>
      <c r="B1835" s="21" t="s">
        <v>1202</v>
      </c>
      <c r="C1835" s="21" t="s">
        <v>1203</v>
      </c>
      <c r="D1835" s="21" t="s">
        <v>1188</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1204</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1194</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1836</v>
      </c>
      <c r="B1838" s="21" t="s">
        <v>1212</v>
      </c>
      <c r="C1838" s="21" t="s">
        <v>1196</v>
      </c>
      <c r="D1838" s="21" t="s">
        <v>1188</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1321</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344</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1193</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1478</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1668</v>
      </c>
      <c r="B1843" s="21" t="s">
        <v>1248</v>
      </c>
      <c r="C1843" s="21" t="s">
        <v>1246</v>
      </c>
      <c r="D1843" s="21" t="s">
        <v>1188</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1265</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680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1869</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1870</v>
      </c>
      <c r="B1847" s="21" t="s">
        <v>1186</v>
      </c>
      <c r="C1847" s="21" t="s">
        <v>1231</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826</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row>
    <row r="1850" spans="1:12">
      <c r="A1850" s="20" t="s">
        <v>1871</v>
      </c>
    </row>
    <row r="1851" spans="1:12">
      <c r="A1851" s="20" t="s">
        <v>1872</v>
      </c>
      <c r="B1851" s="21" t="s">
        <v>1199</v>
      </c>
      <c r="C1851" s="21" t="s">
        <v>1262</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578</v>
      </c>
      <c r="B1852" s="21" t="s">
        <v>1202</v>
      </c>
      <c r="C1852" s="21" t="s">
        <v>1331</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1444</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1337</v>
      </c>
      <c r="B1854" s="21" t="s">
        <v>1199</v>
      </c>
      <c r="C1854" s="21" t="s">
        <v>1262</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1268</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1873</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1874</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1875</v>
      </c>
      <c r="B1858" s="21" t="s">
        <v>1186</v>
      </c>
      <c r="C1858" s="21" t="s">
        <v>1196</v>
      </c>
      <c r="D1858" s="21" t="s">
        <v>1188</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1427</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1862</v>
      </c>
      <c r="B1860" s="21" t="s">
        <v>1186</v>
      </c>
      <c r="C1860" s="21" t="s">
        <v>1192</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348</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1359</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1261</v>
      </c>
      <c r="B1863" s="21" t="s">
        <v>1199</v>
      </c>
      <c r="C1863" s="21" t="s">
        <v>1262</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1814</v>
      </c>
      <c r="B1864" s="21" t="s">
        <v>1186</v>
      </c>
      <c r="C1864" s="21" t="s">
        <v>1331</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1193</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1194</v>
      </c>
      <c r="B1866" s="21" t="s">
        <v>1311</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1321</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1545</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1876</v>
      </c>
      <c r="B1869" s="21" t="s">
        <v>1311</v>
      </c>
      <c r="C1869" s="21" t="s">
        <v>1192</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1877</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1378</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1494</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1878</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1879</v>
      </c>
      <c r="B1874" s="21" t="s">
        <v>1347</v>
      </c>
      <c r="C1874" s="21" t="s">
        <v>1231</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1880</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163</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826</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row>
    <row r="1879" spans="1:12">
      <c r="A1879" s="20" t="s">
        <v>1881</v>
      </c>
    </row>
    <row r="1880" spans="1:12">
      <c r="A1880" s="20" t="s">
        <v>1320</v>
      </c>
      <c r="B1880" s="21" t="s">
        <v>1202</v>
      </c>
      <c r="C1880" s="21" t="s">
        <v>1216</v>
      </c>
      <c r="D1880" s="21" t="s">
        <v>1188</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1882</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1194</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1883</v>
      </c>
      <c r="B1883" s="21" t="s">
        <v>1212</v>
      </c>
      <c r="C1883" s="21" t="s">
        <v>1196</v>
      </c>
      <c r="D1883" s="21" t="s">
        <v>1188</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1302</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1194</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1816</v>
      </c>
      <c r="B1886" s="21" t="s">
        <v>1199</v>
      </c>
      <c r="C1886" s="21" t="s">
        <v>1196</v>
      </c>
      <c r="D1886" s="21" t="s">
        <v>1188</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1193</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1194</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1353</v>
      </c>
      <c r="B1889" s="21" t="s">
        <v>1248</v>
      </c>
      <c r="C1889" s="21" t="s">
        <v>1196</v>
      </c>
      <c r="D1889" s="21" t="s">
        <v>1188</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1832</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1884</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826</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row>
    <row r="1894" spans="1:12">
      <c r="A1894" s="20" t="s">
        <v>1885</v>
      </c>
    </row>
    <row r="1895" spans="1:12">
      <c r="A1895" s="20" t="s">
        <v>1270</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1190</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356</v>
      </c>
      <c r="B1897" s="21" t="s">
        <v>1186</v>
      </c>
      <c r="C1897" s="21" t="s">
        <v>1192</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1300</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1301</v>
      </c>
      <c r="B1899" s="21" t="s">
        <v>1186</v>
      </c>
      <c r="C1899" s="21" t="s">
        <v>1203</v>
      </c>
      <c r="D1899" s="21" t="s">
        <v>1188</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1205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1360</v>
      </c>
      <c r="B1901" s="21" t="s">
        <v>1199</v>
      </c>
      <c r="C1901" s="21" t="s">
        <v>1216</v>
      </c>
      <c r="D1901" s="21" t="s">
        <v>1188</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1836</v>
      </c>
      <c r="B1902" s="21" t="s">
        <v>1186</v>
      </c>
      <c r="C1902" s="21" t="s">
        <v>1218</v>
      </c>
      <c r="D1902" s="21" t="s">
        <v>1188</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1206</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1207</v>
      </c>
      <c r="B1904" s="21" t="s">
        <v>1199</v>
      </c>
      <c r="C1904" s="21" t="s">
        <v>1196</v>
      </c>
      <c r="D1904" s="21" t="s">
        <v>1188</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826</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row>
    <row r="1907" spans="1:12">
      <c r="A1907" s="20" t="s">
        <v>1886</v>
      </c>
    </row>
    <row r="1908" spans="1:12">
      <c r="A1908" s="20" t="s">
        <v>1201</v>
      </c>
      <c r="B1908" s="21" t="s">
        <v>1202</v>
      </c>
      <c r="C1908" s="21" t="s">
        <v>1203</v>
      </c>
      <c r="D1908" s="21" t="s">
        <v>1188</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1204</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1842</v>
      </c>
      <c r="B1910" s="21" t="s">
        <v>1202</v>
      </c>
      <c r="C1910" s="21" t="s">
        <v>1203</v>
      </c>
      <c r="D1910" s="21" t="s">
        <v>1188</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1502</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1887</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1888</v>
      </c>
      <c r="B1913" s="21" t="s">
        <v>1212</v>
      </c>
      <c r="C1913" s="21" t="s">
        <v>1196</v>
      </c>
      <c r="D1913" s="21" t="s">
        <v>1188</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177</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826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row>
    <row r="1917" spans="1:12">
      <c r="A1917" s="20" t="s">
        <v>1369</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1889</v>
      </c>
    </row>
    <row r="1919" spans="1:12">
      <c r="A1919" s="20" t="s">
        <v>1890</v>
      </c>
      <c r="B1919" s="21" t="s">
        <v>1199</v>
      </c>
      <c r="C1919" s="21" t="s">
        <v>1216</v>
      </c>
      <c r="D1919" s="21" t="s">
        <v>1188</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1586</v>
      </c>
      <c r="B1920" s="21" t="s">
        <v>1202</v>
      </c>
      <c r="C1920" s="21" t="s">
        <v>1218</v>
      </c>
      <c r="D1920" s="21" t="s">
        <v>1188</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1745</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1374</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1891</v>
      </c>
      <c r="B1923" s="21" t="s">
        <v>1186</v>
      </c>
      <c r="C1923" s="21" t="s">
        <v>1187</v>
      </c>
      <c r="D1923" s="21" t="s">
        <v>1188</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1892</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1374</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826</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row>
    <row r="1928" spans="1:12">
      <c r="A1928" s="20" t="s">
        <v>1893</v>
      </c>
    </row>
    <row r="1929" spans="1:12">
      <c r="A1929" s="20" t="s">
        <v>1253</v>
      </c>
      <c r="B1929" s="21" t="s">
        <v>1202</v>
      </c>
      <c r="C1929" s="21" t="s">
        <v>1246</v>
      </c>
      <c r="D1929" s="21" t="s">
        <v>1188</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1265</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1502</v>
      </c>
      <c r="B1931" s="21" t="s">
        <v>1202</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1257</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row>
    <row r="1934" spans="1:12">
      <c r="A1934" s="20" t="s">
        <v>1894</v>
      </c>
    </row>
    <row r="1935" spans="1:12">
      <c r="A1935" s="20" t="s">
        <v>1294</v>
      </c>
      <c r="B1935" s="21" t="s">
        <v>1186</v>
      </c>
      <c r="C1935" s="21" t="s">
        <v>1203</v>
      </c>
      <c r="D1935" s="21" t="s">
        <v>1188</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1190</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1201</v>
      </c>
      <c r="B1937" s="21" t="s">
        <v>1248</v>
      </c>
      <c r="C1937" s="21" t="s">
        <v>1203</v>
      </c>
      <c r="D1937" s="21" t="s">
        <v>1188</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1895</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1206</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1402</v>
      </c>
      <c r="B1940" s="21" t="s">
        <v>1248</v>
      </c>
      <c r="C1940" s="21" t="s">
        <v>1187</v>
      </c>
      <c r="D1940" s="21" t="s">
        <v>1188</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1709</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1896</v>
      </c>
      <c r="B1942" s="21" t="s">
        <v>1245</v>
      </c>
      <c r="C1942" s="21" t="s">
        <v>1192</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1897</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1359</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1194</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1898</v>
      </c>
      <c r="B1946" s="21" t="s">
        <v>1199</v>
      </c>
      <c r="C1946" s="21" t="s">
        <v>1196</v>
      </c>
      <c r="D1946" s="21" t="s">
        <v>1188</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1899</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1646</v>
      </c>
      <c r="B1948" s="21" t="s">
        <v>1215</v>
      </c>
      <c r="C1948" s="21" t="s">
        <v>1192</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826</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row>
    <row r="1951" spans="1:12">
      <c r="A1951" s="20" t="s">
        <v>1900</v>
      </c>
    </row>
    <row r="1952" spans="1:12">
      <c r="A1952" s="20" t="s">
        <v>1701</v>
      </c>
      <c r="B1952" s="21" t="s">
        <v>1202</v>
      </c>
      <c r="C1952" s="21" t="s">
        <v>1216</v>
      </c>
      <c r="D1952" s="21" t="s">
        <v>1188</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1265</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1901</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1303</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1902</v>
      </c>
      <c r="B1956" s="21" t="s">
        <v>1186</v>
      </c>
      <c r="C1956" s="21" t="s">
        <v>1401</v>
      </c>
      <c r="D1956" s="21" t="s">
        <v>1188</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1206</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1402</v>
      </c>
      <c r="B1958" s="21" t="s">
        <v>1186</v>
      </c>
      <c r="C1958" s="21" t="s">
        <v>1187</v>
      </c>
      <c r="D1958" s="21" t="s">
        <v>1188</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826</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row>
    <row r="1961" spans="1:12">
      <c r="A1961" s="20" t="s">
        <v>1369</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1903</v>
      </c>
    </row>
    <row r="1963" spans="1:12">
      <c r="A1963" s="20" t="s">
        <v>1374</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1891</v>
      </c>
      <c r="B1964" s="21" t="s">
        <v>1202</v>
      </c>
      <c r="C1964" s="21" t="s">
        <v>1187</v>
      </c>
      <c r="D1964" s="21" t="s">
        <v>1188</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1892</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1374</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1904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1374</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1892</v>
      </c>
      <c r="B1969" s="21" t="s">
        <v>1199</v>
      </c>
      <c r="C1969" s="21" t="s">
        <v>1192</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1459</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1905</v>
      </c>
      <c r="B1971" s="21" t="s">
        <v>1215</v>
      </c>
      <c r="C1971" s="21" t="s">
        <v>1192</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1374</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1906</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1265</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680</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1586</v>
      </c>
      <c r="B1976" s="21" t="s">
        <v>1186</v>
      </c>
      <c r="C1976" s="21" t="s">
        <v>1231</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1193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1502</v>
      </c>
      <c r="B1978" s="21" t="s">
        <v>1248</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1194</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1402</v>
      </c>
      <c r="B1980" s="21" t="s">
        <v>1245</v>
      </c>
      <c r="C1980" s="21" t="s">
        <v>1187</v>
      </c>
      <c r="D1980" s="21" t="s">
        <v>1188</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1658</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1268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1488</v>
      </c>
      <c r="B1983" s="21" t="s">
        <v>1199</v>
      </c>
      <c r="C1983" s="21" t="s">
        <v>1196</v>
      </c>
      <c r="D1983" s="21" t="s">
        <v>1188</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1907</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1908</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826</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row>
    <row r="1988" spans="1:12">
      <c r="A1988" s="20" t="s">
        <v>1909</v>
      </c>
    </row>
    <row r="1989" spans="1:12">
      <c r="A1989" s="20" t="s">
        <v>1839</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1488</v>
      </c>
      <c r="B1990" s="21" t="s">
        <v>1248</v>
      </c>
      <c r="C1990" s="21" t="s">
        <v>1196</v>
      </c>
      <c r="D1990" s="21" t="s">
        <v>1188</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1740</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1194</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1402</v>
      </c>
      <c r="B1993" s="21" t="s">
        <v>1202</v>
      </c>
      <c r="C1993" s="21" t="s">
        <v>1187</v>
      </c>
      <c r="D1993" s="21" t="s">
        <v>1188</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1232</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1268</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1910</v>
      </c>
      <c r="B1996" s="21" t="s">
        <v>1186</v>
      </c>
      <c r="C1996" s="21" t="s">
        <v>1196</v>
      </c>
      <c r="D1996" s="21" t="s">
        <v>1188</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1470</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1193</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1578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1668</v>
      </c>
      <c r="B2000" s="21" t="s">
        <v>1248</v>
      </c>
      <c r="C2000" s="21" t="s">
        <v>1246</v>
      </c>
      <c r="D2000" s="21" t="s">
        <v>1188</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1911</v>
      </c>
      <c r="B2001" s="21" t="s">
        <v>1215</v>
      </c>
      <c r="C2001" s="21" t="s">
        <v>1262</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1912</v>
      </c>
      <c r="B2002" s="21" t="s">
        <v>1245</v>
      </c>
      <c r="C2002" s="21" t="s">
        <v>1192</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1913</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1193</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1494</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1914</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1915</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1916</v>
      </c>
      <c r="B2008" s="21" t="s">
        <v>1313</v>
      </c>
      <c r="C2008" s="21" t="s">
        <v>1231</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1917</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1527</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1210</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1918</v>
      </c>
      <c r="B2012" s="21" t="s">
        <v>1215</v>
      </c>
      <c r="C2012" s="21" t="s">
        <v>1196</v>
      </c>
      <c r="D2012" s="21" t="s">
        <v>1188</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1227</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1704</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1796</v>
      </c>
      <c r="B2015" s="21" t="s">
        <v>1285</v>
      </c>
      <c r="C2015" s="21" t="s">
        <v>1192</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1193</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1210</v>
      </c>
      <c r="B2017" s="21" t="s">
        <v>1533</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1668</v>
      </c>
      <c r="B2018" s="21" t="s">
        <v>1919</v>
      </c>
      <c r="C2018" s="21" t="s">
        <v>1246</v>
      </c>
      <c r="D2018" s="21" t="s">
        <v>1188</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1920</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826</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row>
    <row r="2022" spans="1:12">
      <c r="A2022" s="20" t="s">
        <v>1921</v>
      </c>
    </row>
    <row r="2023" spans="1:12">
      <c r="A2023" s="20" t="s">
        <v>1607</v>
      </c>
      <c r="B2023" s="21" t="s">
        <v>1202</v>
      </c>
      <c r="C2023" s="21" t="s">
        <v>1203</v>
      </c>
      <c r="D2023" s="21" t="s">
        <v>1188</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1922</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1190</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1923</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1193</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427</v>
      </c>
      <c r="B2028" s="21" t="s">
        <v>1311</v>
      </c>
      <c r="C2028" s="21" t="s">
        <v>1246</v>
      </c>
      <c r="D2028" s="21" t="s">
        <v>1188</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1924</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1360</v>
      </c>
      <c r="B2030" s="21" t="s">
        <v>1285</v>
      </c>
      <c r="C2030" s="21" t="s">
        <v>1216</v>
      </c>
      <c r="D2030" s="21" t="s">
        <v>1188</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1711</v>
      </c>
      <c r="B2031" s="21" t="s">
        <v>1313</v>
      </c>
      <c r="C2031" s="21" t="s">
        <v>1218</v>
      </c>
      <c r="D2031" s="21" t="s">
        <v>1188</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1321</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1302</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427</v>
      </c>
      <c r="B2034" s="21" t="s">
        <v>1296</v>
      </c>
      <c r="C2034" s="21" t="s">
        <v>1246</v>
      </c>
      <c r="D2034" s="21" t="s">
        <v>1188</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1530</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1360</v>
      </c>
      <c r="B2036" s="21" t="s">
        <v>1298</v>
      </c>
      <c r="C2036" s="21" t="s">
        <v>1216</v>
      </c>
      <c r="D2036" s="21" t="s">
        <v>1188</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1711</v>
      </c>
      <c r="B2037" s="21" t="s">
        <v>1296</v>
      </c>
      <c r="C2037" s="21" t="s">
        <v>1218</v>
      </c>
      <c r="D2037" s="21" t="s">
        <v>1188</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1321</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1924</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826</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row>
    <row r="2042" spans="1:12">
      <c r="A2042" s="20" t="s">
        <v>1925</v>
      </c>
    </row>
    <row r="2043" spans="1:12">
      <c r="A2043" s="20" t="s">
        <v>1364</v>
      </c>
      <c r="B2043" s="21" t="s">
        <v>1202</v>
      </c>
      <c r="C2043" s="21" t="s">
        <v>1246</v>
      </c>
      <c r="D2043" s="21" t="s">
        <v>1188</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1530</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1926</v>
      </c>
      <c r="B2045" s="21" t="s">
        <v>1212</v>
      </c>
      <c r="C2045" s="21" t="s">
        <v>1203</v>
      </c>
      <c r="D2045" s="21" t="s">
        <v>1188</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1321</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96</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1193</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1309</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1440</v>
      </c>
      <c r="B2050" s="21" t="s">
        <v>1215</v>
      </c>
      <c r="C2050" s="21" t="s">
        <v>1262</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1796</v>
      </c>
      <c r="B2051" s="21" t="s">
        <v>1245</v>
      </c>
      <c r="C2051" s="21" t="s">
        <v>1331</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427</v>
      </c>
      <c r="B2052" s="21" t="s">
        <v>1248</v>
      </c>
      <c r="C2052" s="21" t="s">
        <v>1246</v>
      </c>
      <c r="D2052" s="21" t="s">
        <v>1188</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1832</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1920</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1193</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1662</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427</v>
      </c>
      <c r="B2057" s="21" t="s">
        <v>1311</v>
      </c>
      <c r="C2057" s="21" t="s">
        <v>1246</v>
      </c>
      <c r="D2057" s="21" t="s">
        <v>1188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1927</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1883</v>
      </c>
      <c r="B2059" s="21" t="s">
        <v>1313</v>
      </c>
      <c r="C2059" s="21" t="s">
        <v>1240</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1928</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1929</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1193</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1317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427</v>
      </c>
      <c r="B2064" s="21" t="s">
        <v>1296</v>
      </c>
      <c r="C2064" s="21" t="s">
        <v>1246</v>
      </c>
      <c r="D2064" s="21" t="s">
        <v>1188</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1926</v>
      </c>
      <c r="B2065" s="21" t="s">
        <v>1347</v>
      </c>
      <c r="C2065" s="21" t="s">
        <v>1203</v>
      </c>
      <c r="D2065" s="21" t="s">
        <v>1188</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1502</v>
      </c>
      <c r="B2066" s="21" t="s">
        <v>1296</v>
      </c>
      <c r="C2066" s="21" t="s">
        <v>1246</v>
      </c>
      <c r="D2066" s="21" t="s">
        <v>1188</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1930</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826</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row>
    <row r="2070" spans="1:12">
      <c r="A2070" s="20" t="s">
        <v>1931</v>
      </c>
    </row>
    <row r="2071" spans="1:12">
      <c r="A2071" s="20" t="s">
        <v>1320</v>
      </c>
      <c r="B2071" s="21" t="s">
        <v>1202</v>
      </c>
      <c r="C2071" s="21" t="s">
        <v>1216</v>
      </c>
      <c r="D2071" s="21" t="s">
        <v>1188</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1265</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1494</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1932</v>
      </c>
      <c r="B2074" s="21" t="s">
        <v>1186</v>
      </c>
      <c r="C2074" s="21" t="s">
        <v>1231</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1193</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1194</v>
      </c>
      <c r="B2076" s="21" t="s">
        <v>1245</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1271</v>
      </c>
      <c r="B2077" s="21" t="s">
        <v>1248</v>
      </c>
      <c r="C2077" s="21" t="s">
        <v>1203</v>
      </c>
      <c r="D2077" s="21" t="s">
        <v>1188</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1933</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826</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row>
    <row r="2081" spans="1:12">
      <c r="A2081" s="20" t="s">
        <v>1934</v>
      </c>
    </row>
    <row r="2082" spans="1:12">
      <c r="A2082" s="20" t="s">
        <v>1935</v>
      </c>
      <c r="B2082" s="21" t="s">
        <v>1186</v>
      </c>
      <c r="C2082" s="21" t="s">
        <v>1192</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1478</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1265</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1193</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1309</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1360</v>
      </c>
      <c r="B2087" s="21" t="s">
        <v>1215</v>
      </c>
      <c r="C2087" s="21" t="s">
        <v>1216</v>
      </c>
      <c r="D2087" s="21" t="s">
        <v>1188</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1584</v>
      </c>
      <c r="B2088" s="21" t="s">
        <v>1248</v>
      </c>
      <c r="C2088" s="21" t="s">
        <v>1218</v>
      </c>
      <c r="D2088" s="21" t="s">
        <v>1188</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1585</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1193</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1366</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1668</v>
      </c>
      <c r="B2092" s="21" t="s">
        <v>1311</v>
      </c>
      <c r="C2092" s="21" t="s">
        <v>1246</v>
      </c>
      <c r="D2092" s="21" t="s">
        <v>1188</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1423</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1321</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1544</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1936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1341</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1193</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1937</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1194</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1938</v>
      </c>
      <c r="B2101" s="21" t="s">
        <v>1296</v>
      </c>
      <c r="C2101" s="21" t="s">
        <v>1196</v>
      </c>
      <c r="D2101" s="21" t="s">
        <v>1188</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1545</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1939</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1940</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826</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row>
    <row r="2107" spans="1:12">
      <c r="A2107" s="20" t="s">
        <v>1941</v>
      </c>
    </row>
    <row r="2108" spans="1:12">
      <c r="A2108" s="20" t="s">
        <v>1607</v>
      </c>
      <c r="B2108" s="21" t="s">
        <v>1202</v>
      </c>
      <c r="C2108" s="21" t="s">
        <v>1203</v>
      </c>
      <c r="D2108" s="21" t="s">
        <v>1188</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1265</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1939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1942</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826</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row>
    <row r="2114" spans="1:12">
      <c r="A2114" s="20" t="s">
        <v>1943</v>
      </c>
    </row>
    <row r="2115" spans="1:12">
      <c r="A2115" s="20" t="s">
        <v>1552</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1402</v>
      </c>
      <c r="B2116" s="21" t="s">
        <v>1202</v>
      </c>
      <c r="C2116" s="21" t="s">
        <v>1187</v>
      </c>
      <c r="D2116" s="21" t="s">
        <v>1188</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1944</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680</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1945</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1946</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1947</v>
      </c>
      <c r="B2121" s="21" t="s">
        <v>1212</v>
      </c>
      <c r="C2121" s="21" t="s">
        <v>1231</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1193</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1502</v>
      </c>
      <c r="B2123" s="21" t="s">
        <v>1311</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1948</v>
      </c>
      <c r="B2124" s="21" t="s">
        <v>1285</v>
      </c>
      <c r="C2124" s="21" t="s">
        <v>1262</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1949</v>
      </c>
      <c r="B2125" s="21" t="s">
        <v>1313</v>
      </c>
      <c r="C2125" s="21" t="s">
        <v>1615</v>
      </c>
      <c r="D2125" s="21" t="s">
        <v>1188</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1901</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1796</v>
      </c>
      <c r="B2127" s="21" t="s">
        <v>1285</v>
      </c>
      <c r="C2127" s="21" t="s">
        <v>1231</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1950</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826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row>
    <row r="2131" spans="1:12">
      <c r="A2131" s="20" t="s">
        <v>1951</v>
      </c>
    </row>
    <row r="2132" spans="1:12">
      <c r="A2132" s="20" t="s">
        <v>1333</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185</v>
      </c>
      <c r="B2133" s="21" t="s">
        <v>1202</v>
      </c>
      <c r="C2133" s="21" t="s">
        <v>1203</v>
      </c>
      <c r="D2133" s="21" t="s">
        <v>1188</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1952</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1193</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1366</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1194</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1796</v>
      </c>
      <c r="B2138" s="21" t="s">
        <v>1248</v>
      </c>
      <c r="C2138" s="21" t="s">
        <v>1196</v>
      </c>
      <c r="D2138" s="21" t="s">
        <v>1188</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1241</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1210</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1603</v>
      </c>
      <c r="B2141" s="21" t="s">
        <v>1215</v>
      </c>
      <c r="C2141" s="21" t="s">
        <v>1187</v>
      </c>
      <c r="D2141" s="21" t="s">
        <v>1188</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1953</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1193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1419</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1530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1668</v>
      </c>
      <c r="B2146" s="21" t="s">
        <v>1311</v>
      </c>
      <c r="C2146" s="21" t="s">
        <v>1246</v>
      </c>
      <c r="D2146" s="21" t="s">
        <v>1188</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1268</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1488</v>
      </c>
      <c r="B2148" s="21" t="s">
        <v>1313</v>
      </c>
      <c r="C2148" s="21" t="s">
        <v>1196</v>
      </c>
      <c r="D2148" s="21" t="s">
        <v>1188</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1039</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96</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1193</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1309</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1440</v>
      </c>
      <c r="B2153" s="21" t="s">
        <v>1296</v>
      </c>
      <c r="C2153" s="21" t="s">
        <v>1246</v>
      </c>
      <c r="D2153" s="21" t="s">
        <v>1188</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1954</v>
      </c>
      <c r="B2154" s="21" t="s">
        <v>1499</v>
      </c>
      <c r="C2154" s="21" t="s">
        <v>1262</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1796</v>
      </c>
      <c r="B2155" s="21" t="s">
        <v>1298</v>
      </c>
      <c r="C2155" s="21" t="s">
        <v>1216</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1668</v>
      </c>
      <c r="B2156" s="21" t="s">
        <v>1296</v>
      </c>
      <c r="C2156" s="21" t="s">
        <v>1246</v>
      </c>
      <c r="D2156" s="21" t="s">
        <v>1188</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163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1193</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1829</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1193</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1232</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1955</v>
      </c>
      <c r="B2162" s="21" t="s">
        <v>1298</v>
      </c>
      <c r="C2162" s="21" t="s">
        <v>1216</v>
      </c>
      <c r="D2162" s="21" t="s">
        <v>1188</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798</v>
      </c>
      <c r="B2163" s="21" t="s">
        <v>1285</v>
      </c>
      <c r="C2163" s="21" t="s">
        <v>1218</v>
      </c>
      <c r="D2163" s="21" t="s">
        <v>1188</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826</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row>
    <row r="2166" spans="1:12">
      <c r="A2166" s="20" t="s">
        <v>1369</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1956</v>
      </c>
    </row>
    <row r="2168" spans="1:12">
      <c r="A2168" s="20" t="s">
        <v>1374</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1892</v>
      </c>
      <c r="B2169" s="21" t="s">
        <v>1202</v>
      </c>
      <c r="C2169" s="21" t="s">
        <v>1192</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1459</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1905</v>
      </c>
      <c r="B2171" s="21" t="s">
        <v>1199</v>
      </c>
      <c r="C2171" s="21" t="s">
        <v>1192</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1374</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1957</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1515</v>
      </c>
      <c r="B2174" s="21" t="s">
        <v>1212</v>
      </c>
      <c r="C2174" s="21" t="s">
        <v>1246</v>
      </c>
      <c r="D2174" s="21" t="s">
        <v>1188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1193</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1366</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1958</v>
      </c>
      <c r="B2177" s="21" t="s">
        <v>1215</v>
      </c>
      <c r="C2177" s="21" t="s">
        <v>1262</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1796</v>
      </c>
      <c r="B2178" s="21" t="s">
        <v>1248</v>
      </c>
      <c r="C2178" s="21" t="s">
        <v>1192</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1959</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1960</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1193</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1232</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1828</v>
      </c>
      <c r="B2183" s="21" t="s">
        <v>1186</v>
      </c>
      <c r="C2183" s="21" t="s">
        <v>1187</v>
      </c>
      <c r="D2183" s="21" t="s">
        <v>1188</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1193</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1527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1380</v>
      </c>
      <c r="B2186" s="21" t="s">
        <v>1186</v>
      </c>
      <c r="C2186" s="21" t="s">
        <v>1192</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1193</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1427</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1232</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1233</v>
      </c>
      <c r="B2190" s="21" t="s">
        <v>1186</v>
      </c>
      <c r="C2190" s="21" t="s">
        <v>1187</v>
      </c>
      <c r="D2190" s="21" t="s">
        <v>1188</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1527</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1961</v>
      </c>
      <c r="B2192" s="21" t="s">
        <v>1186</v>
      </c>
      <c r="C2192" s="21" t="s">
        <v>1187</v>
      </c>
      <c r="D2192" s="21" t="s">
        <v>1188</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826</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row>
    <row r="2195" spans="1:12">
      <c r="A2195" s="20" t="s">
        <v>1962</v>
      </c>
    </row>
    <row r="2196" spans="1:12">
      <c r="A2196" s="20" t="s">
        <v>1201</v>
      </c>
      <c r="B2196" s="21" t="s">
        <v>1202</v>
      </c>
      <c r="C2196" s="21" t="s">
        <v>1203</v>
      </c>
      <c r="D2196" s="21" t="s">
        <v>1188</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1327</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1321</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1963</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1193</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1578</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1367</v>
      </c>
      <c r="B2202" s="21" t="s">
        <v>1248</v>
      </c>
      <c r="C2202" s="21" t="s">
        <v>1216</v>
      </c>
      <c r="D2202" s="21" t="s">
        <v>1188</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1502</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1964</v>
      </c>
      <c r="B2204" s="21" t="s">
        <v>1186</v>
      </c>
      <c r="C2204" s="21" t="s">
        <v>1196</v>
      </c>
      <c r="D2204" s="21" t="s">
        <v>1188</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1656</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1965</v>
      </c>
      <c r="B2206" s="21" t="s">
        <v>1199</v>
      </c>
      <c r="C2206" s="21" t="s">
        <v>1231</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366</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1314</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826</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row>
    <row r="2211" spans="1:12">
      <c r="A2211" s="20" t="s">
        <v>1966</v>
      </c>
    </row>
    <row r="2212" spans="1:12">
      <c r="A2212" s="20" t="s">
        <v>1270</v>
      </c>
      <c r="B2212" s="21" t="s">
        <v>1186</v>
      </c>
      <c r="C2212" s="21" t="s">
        <v>1187</v>
      </c>
      <c r="D2212" s="21" t="s">
        <v>1188</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1190</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row>
    <row r="2215" spans="1:12">
      <c r="A2215" s="20" t="s">
        <v>1967</v>
      </c>
    </row>
    <row r="2216" spans="1:12">
      <c r="A2216" s="20" t="s">
        <v>1552</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1788</v>
      </c>
      <c r="B2217" s="21" t="s">
        <v>1248</v>
      </c>
      <c r="C2217" s="21" t="s">
        <v>1187</v>
      </c>
      <c r="D2217" s="21" t="s">
        <v>1188</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1789</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1278</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1283</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1968</v>
      </c>
      <c r="B2221" s="21" t="s">
        <v>1212</v>
      </c>
      <c r="C2221" s="21" t="s">
        <v>1231</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1550</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1193</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1206</v>
      </c>
      <c r="B2224" s="21" t="s">
        <v>1248</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1969</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1205</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1970</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1711</v>
      </c>
      <c r="B2228" s="21" t="s">
        <v>1199</v>
      </c>
      <c r="C2228" s="21" t="s">
        <v>1240</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1971</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826</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row>
    <row r="2232" spans="1:12">
      <c r="A2232" s="20" t="s">
        <v>1369</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1972</v>
      </c>
    </row>
    <row r="2234" spans="1:12">
      <c r="A2234" s="20" t="s">
        <v>1552</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1973</v>
      </c>
      <c r="B2235" s="21" t="s">
        <v>1202</v>
      </c>
      <c r="C2235" s="21" t="s">
        <v>1196</v>
      </c>
      <c r="D2235" s="21" t="s">
        <v>1188</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1974</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1190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1374</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1552</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1402</v>
      </c>
      <c r="B2240" s="21" t="s">
        <v>1248</v>
      </c>
      <c r="C2240" s="21" t="s">
        <v>1187</v>
      </c>
      <c r="D2240" s="21" t="s">
        <v>1188</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1278</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1975</v>
      </c>
      <c r="B2242" s="21" t="s">
        <v>1311</v>
      </c>
      <c r="C2242" s="21" t="s">
        <v>1192</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1976</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1977</v>
      </c>
      <c r="B2244" s="21" t="s">
        <v>1215</v>
      </c>
      <c r="C2244" s="21" t="s">
        <v>1331</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1978</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1395</v>
      </c>
      <c r="B2246" s="21" t="s">
        <v>1215</v>
      </c>
      <c r="C2246" s="21" t="s">
        <v>1192</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1979</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826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1374</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row>
    <row r="2251" spans="1:12">
      <c r="A2251" s="20" t="s">
        <v>1980</v>
      </c>
    </row>
    <row r="2252" spans="1:12">
      <c r="A2252" s="20" t="s">
        <v>1981</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1515</v>
      </c>
      <c r="B2253" s="21" t="s">
        <v>1186</v>
      </c>
      <c r="C2253" s="21" t="s">
        <v>1246</v>
      </c>
      <c r="D2253" s="21" t="s">
        <v>1188</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1318</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826</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row>
    <row r="2257" spans="1:12">
      <c r="A2257" s="20" t="s">
        <v>1982</v>
      </c>
    </row>
    <row r="2258" spans="1:12">
      <c r="A2258" s="20" t="s">
        <v>1294</v>
      </c>
      <c r="B2258" s="21" t="s">
        <v>1186</v>
      </c>
      <c r="C2258" s="21" t="s">
        <v>1203</v>
      </c>
      <c r="D2258" s="21" t="s">
        <v>1188</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1190</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1364</v>
      </c>
      <c r="B2260" s="21" t="s">
        <v>1248</v>
      </c>
      <c r="C2260" s="21" t="s">
        <v>1246</v>
      </c>
      <c r="D2260" s="21" t="s">
        <v>1188</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163</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1250</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1206</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1983</v>
      </c>
      <c r="B2264" s="21" t="s">
        <v>1199</v>
      </c>
      <c r="C2264" s="21" t="s">
        <v>1196</v>
      </c>
      <c r="D2264" s="21" t="s">
        <v>1188</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1232</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1268</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1984</v>
      </c>
      <c r="B2267" s="21" t="s">
        <v>1215</v>
      </c>
      <c r="C2267" s="21" t="s">
        <v>1187</v>
      </c>
      <c r="D2267" s="21" t="s">
        <v>1188</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1985</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1395</v>
      </c>
      <c r="B2269" s="21" t="s">
        <v>1199</v>
      </c>
      <c r="C2269" s="21" t="s">
        <v>1192</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1039</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1986</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11</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1302</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185</v>
      </c>
      <c r="B2274" s="21" t="s">
        <v>1296</v>
      </c>
      <c r="C2274" s="21" t="s">
        <v>1203</v>
      </c>
      <c r="D2274" s="21" t="s">
        <v>1188</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1278</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1312</v>
      </c>
      <c r="B2276" s="21" t="s">
        <v>1347</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1987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1193</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1427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1988</v>
      </c>
      <c r="B2280" s="21" t="s">
        <v>1436</v>
      </c>
      <c r="C2280" s="21" t="s">
        <v>1262</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1193</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1206</v>
      </c>
      <c r="B2282" s="21" t="s">
        <v>1437</v>
      </c>
      <c r="C2282" s="21" t="s">
        <v>1246</v>
      </c>
      <c r="D2282" s="21" t="s">
        <v>1188</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1208</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1206</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1402</v>
      </c>
      <c r="B2285" s="21" t="s">
        <v>1298</v>
      </c>
      <c r="C2285" s="21" t="s">
        <v>1187</v>
      </c>
      <c r="D2285" s="21" t="s">
        <v>1188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1989</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1302</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1194</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1990</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1991</v>
      </c>
      <c r="B2290" s="21" t="s">
        <v>1533</v>
      </c>
      <c r="C2290" s="21" t="s">
        <v>1196</v>
      </c>
      <c r="D2290" s="21" t="s">
        <v>1188</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1365</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1278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1302</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1577</v>
      </c>
      <c r="B2294" s="21" t="s">
        <v>1500</v>
      </c>
      <c r="C2294" s="21" t="s">
        <v>1192</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1193</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1244</v>
      </c>
      <c r="B2296" s="21" t="s">
        <v>1992</v>
      </c>
      <c r="C2296" s="21" t="s">
        <v>1246</v>
      </c>
      <c r="D2296" s="21" t="s">
        <v>1188</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1993</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1994</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1193</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1337</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1995</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1193</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1309</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1996</v>
      </c>
      <c r="B2304" s="21" t="s">
        <v>1354</v>
      </c>
      <c r="C2304" s="21" t="s">
        <v>1192</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1802</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1997</v>
      </c>
      <c r="B2306" s="21" t="s">
        <v>1998</v>
      </c>
      <c r="C2306" s="21" t="s">
        <v>1187</v>
      </c>
      <c r="D2306" s="21" t="s">
        <v>1188</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1999</v>
      </c>
      <c r="B2307" s="21" t="s">
        <v>1356</v>
      </c>
      <c r="C2307" s="21" t="s">
        <v>1187</v>
      </c>
      <c r="D2307" s="21" t="s">
        <v>1188</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1193</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11</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1366</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185</v>
      </c>
      <c r="B2311" s="21" t="s">
        <v>2000</v>
      </c>
      <c r="C2311" s="21" t="s">
        <v>1203</v>
      </c>
      <c r="D2311" s="21" t="s">
        <v>1188</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1491</v>
      </c>
      <c r="B2312" s="21" t="s">
        <v>1356</v>
      </c>
      <c r="C2312" s="21" t="s">
        <v>1246</v>
      </c>
      <c r="D2312" s="21" t="s">
        <v>1188</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2001</v>
      </c>
      <c r="B2313" s="21" t="s">
        <v>2002</v>
      </c>
      <c r="C2313" s="21" t="s">
        <v>1331</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2003</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1278</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1193</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1366</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1194</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1402</v>
      </c>
      <c r="B2319" s="21" t="s">
        <v>2004</v>
      </c>
      <c r="C2319" s="21" t="s">
        <v>1187</v>
      </c>
      <c r="D2319" s="21" t="s">
        <v>1188</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11</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2005</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1321</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1979</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1454</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1193</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1653</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427</v>
      </c>
      <c r="B2327" s="21" t="s">
        <v>2006</v>
      </c>
      <c r="C2327" s="21" t="s">
        <v>1246</v>
      </c>
      <c r="D2327" s="21" t="s">
        <v>1188</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1464</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1193</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1366</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1297</v>
      </c>
      <c r="B2331" s="21" t="s">
        <v>2007</v>
      </c>
      <c r="C2331" s="21" t="s">
        <v>1216</v>
      </c>
      <c r="D2331" s="21" t="s">
        <v>1188</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1968</v>
      </c>
      <c r="B2332" s="21" t="s">
        <v>2008</v>
      </c>
      <c r="C2332" s="21" t="s">
        <v>1218</v>
      </c>
      <c r="D2332" s="21" t="s">
        <v>1188</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276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1372</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826</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row>
    <row r="2337" spans="1:12">
      <c r="A2337" s="20" t="s">
        <v>2009</v>
      </c>
    </row>
    <row r="2338" spans="1:12">
      <c r="A2338" s="20" t="s">
        <v>1316</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1244</v>
      </c>
      <c r="B2339" s="21" t="s">
        <v>1202</v>
      </c>
      <c r="C2339" s="21" t="s">
        <v>1246</v>
      </c>
      <c r="D2339" s="21" t="s">
        <v>1188</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2010</v>
      </c>
      <c r="B2340" s="21" t="s">
        <v>1202</v>
      </c>
      <c r="C2340" s="21" t="s">
        <v>1308</v>
      </c>
      <c r="D2340" s="21" t="s">
        <v>1188</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2011</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2012</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1265</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1193</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1227</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1206</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1935</v>
      </c>
      <c r="B2347" s="21" t="s">
        <v>1186</v>
      </c>
      <c r="C2347" s="21" t="s">
        <v>1196</v>
      </c>
      <c r="D2347" s="21" t="s">
        <v>1188</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1193</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1366</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1194</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1402</v>
      </c>
      <c r="B2351" s="21" t="s">
        <v>1311</v>
      </c>
      <c r="C2351" s="21" t="s">
        <v>1187</v>
      </c>
      <c r="D2351" s="21" t="s">
        <v>1188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2013</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1725</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2014</v>
      </c>
      <c r="B2354" s="21" t="s">
        <v>1313</v>
      </c>
      <c r="C2354" s="21" t="s">
        <v>1240</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1193</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2013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1489</v>
      </c>
      <c r="B2357" s="21" t="s">
        <v>1313</v>
      </c>
      <c r="C2357" s="21" t="s">
        <v>1240</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2015</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1977</v>
      </c>
      <c r="B2359" s="21" t="s">
        <v>1215</v>
      </c>
      <c r="C2359" s="21" t="s">
        <v>1192</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1232</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1228</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2016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1395</v>
      </c>
      <c r="B2363" s="21" t="s">
        <v>1215</v>
      </c>
      <c r="C2363" s="21" t="s">
        <v>1231</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1979</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1193</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2017</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680</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2018</v>
      </c>
      <c r="B2368" s="21" t="s">
        <v>1199</v>
      </c>
      <c r="C2368" s="21" t="s">
        <v>1231</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1193</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1206</v>
      </c>
      <c r="B2370" s="21" t="s">
        <v>1919</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1359</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1226</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2019</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1193</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680</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2018</v>
      </c>
      <c r="B2376" s="21" t="s">
        <v>1296</v>
      </c>
      <c r="C2376" s="21" t="s">
        <v>1231</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1802</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1214</v>
      </c>
      <c r="B2378" s="21" t="s">
        <v>1285</v>
      </c>
      <c r="C2378" s="21" t="s">
        <v>1216</v>
      </c>
      <c r="D2378" s="21" t="s">
        <v>1188</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2020</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2021</v>
      </c>
      <c r="B2380" s="21" t="s">
        <v>1215</v>
      </c>
      <c r="C2380" s="21" t="s">
        <v>1218</v>
      </c>
      <c r="D2380" s="21" t="s">
        <v>1188</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1193</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1206</v>
      </c>
      <c r="B2382" s="21" t="s">
        <v>1296</v>
      </c>
      <c r="C2382" s="21" t="s">
        <v>1246</v>
      </c>
      <c r="D2382" s="21" t="s">
        <v>1188</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1527</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2022</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1353</v>
      </c>
      <c r="B2385" s="21" t="s">
        <v>1285</v>
      </c>
      <c r="C2385" s="21" t="s">
        <v>1331</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2023</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826</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row>
    <row r="2389" spans="1:12">
      <c r="A2389" s="20" t="s">
        <v>2024</v>
      </c>
    </row>
    <row r="2390" spans="1:12">
      <c r="A2390" s="20" t="s">
        <v>1288</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1228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2025</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632</v>
      </c>
      <c r="B2393" s="21" t="s">
        <v>1186</v>
      </c>
      <c r="C2393" s="21" t="s">
        <v>1231</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163</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1668</v>
      </c>
      <c r="B2395" s="21" t="s">
        <v>1202</v>
      </c>
      <c r="C2395" s="21" t="s">
        <v>1246</v>
      </c>
      <c r="D2395" s="21" t="s">
        <v>1188</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1261</v>
      </c>
      <c r="B2396" s="21" t="s">
        <v>1199</v>
      </c>
      <c r="C2396" s="21" t="s">
        <v>1262</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2026</v>
      </c>
      <c r="B2397" s="21" t="s">
        <v>1212</v>
      </c>
      <c r="C2397" s="21" t="s">
        <v>1331</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1232</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1788</v>
      </c>
      <c r="B2399" s="21" t="s">
        <v>1199</v>
      </c>
      <c r="C2399" s="21" t="s">
        <v>1187</v>
      </c>
      <c r="D2399" s="21" t="s">
        <v>1188</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1193</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2027</v>
      </c>
      <c r="B2401" s="21" t="s">
        <v>1248</v>
      </c>
      <c r="C2401" s="21" t="s">
        <v>1187</v>
      </c>
      <c r="D2401" s="21" t="s">
        <v>1188</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1959</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11</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1241</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2028</v>
      </c>
      <c r="B2405" s="21" t="s">
        <v>1199</v>
      </c>
      <c r="C2405" s="21" t="s">
        <v>1192</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826</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row>
    <row r="2408" spans="1:12">
      <c r="A2408" s="20" t="s">
        <v>2029</v>
      </c>
    </row>
    <row r="2409" spans="1:12">
      <c r="A2409" s="20" t="s">
        <v>1253</v>
      </c>
      <c r="B2409" s="21" t="s">
        <v>1311</v>
      </c>
      <c r="C2409" s="21" t="s">
        <v>1246</v>
      </c>
      <c r="D2409" s="21" t="s">
        <v>1188</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1227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1955</v>
      </c>
      <c r="B2411" s="21" t="s">
        <v>1285</v>
      </c>
      <c r="C2411" s="21" t="s">
        <v>1216</v>
      </c>
      <c r="D2411" s="21" t="s">
        <v>1188</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1792</v>
      </c>
      <c r="B2412" s="21" t="s">
        <v>1215</v>
      </c>
      <c r="C2412" s="21" t="s">
        <v>1218</v>
      </c>
      <c r="D2412" s="21" t="s">
        <v>1188</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2030</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1265</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1193</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1206</v>
      </c>
      <c r="B2416" s="21" t="s">
        <v>1436</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1359</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1226</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2019</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1321</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1440</v>
      </c>
      <c r="B2421" s="21" t="s">
        <v>1215</v>
      </c>
      <c r="C2421" s="21" t="s">
        <v>1262</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2031</v>
      </c>
      <c r="B2422" s="21" t="s">
        <v>1212</v>
      </c>
      <c r="C2422" s="21" t="s">
        <v>1192</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2032</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1193</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1265</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1321</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1544</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1193</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1366</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185</v>
      </c>
      <c r="B2430" s="21" t="s">
        <v>1248</v>
      </c>
      <c r="C2430" s="21" t="s">
        <v>1203</v>
      </c>
      <c r="D2430" s="21" t="s">
        <v>1188</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2020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2033</v>
      </c>
      <c r="B2432" s="21" t="s">
        <v>1245</v>
      </c>
      <c r="C2432" s="21" t="s">
        <v>1331</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1490</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1193</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1937</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1193</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1366</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1194</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2034</v>
      </c>
      <c r="B2439" s="21" t="s">
        <v>1311</v>
      </c>
      <c r="C2439" s="21" t="s">
        <v>1196</v>
      </c>
      <c r="D2439" s="21" t="s">
        <v>1188</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1197</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2035</v>
      </c>
      <c r="B2441" s="21" t="s">
        <v>1285</v>
      </c>
      <c r="C2441" s="21" t="s">
        <v>1196</v>
      </c>
      <c r="D2441" s="21" t="s">
        <v>1188</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1359</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1431</v>
      </c>
      <c r="B2443" s="21" t="s">
        <v>1215</v>
      </c>
      <c r="C2443" s="21" t="s">
        <v>1192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1193</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2036</v>
      </c>
      <c r="B2445" s="21" t="s">
        <v>1285</v>
      </c>
      <c r="C2445" s="21" t="s">
        <v>1187</v>
      </c>
      <c r="D2445" s="21" t="s">
        <v>1188</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2037</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1193</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1210</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1792</v>
      </c>
      <c r="B2449" s="21" t="s">
        <v>1313</v>
      </c>
      <c r="C2449" s="21" t="s">
        <v>1196</v>
      </c>
      <c r="D2449" s="21" t="s">
        <v>1188</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1321</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1365</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1740</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1193</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2038</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1194</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1788</v>
      </c>
      <c r="B2456" s="21" t="s">
        <v>1199</v>
      </c>
      <c r="C2456" s="21" t="s">
        <v>1187</v>
      </c>
      <c r="D2456" s="21" t="s">
        <v>1188</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1789</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1668</v>
      </c>
      <c r="B2458" s="21" t="s">
        <v>1248</v>
      </c>
      <c r="C2458" s="21" t="s">
        <v>1246</v>
      </c>
      <c r="D2458" s="21" t="s">
        <v>1188</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2039</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1302</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1520</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1494</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2040</v>
      </c>
      <c r="B2463" s="21" t="s">
        <v>1313</v>
      </c>
      <c r="C2463" s="21" t="s">
        <v>1231</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2041</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826</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row>
    <row r="2467" spans="1:12">
      <c r="A2467" s="20" t="s">
        <v>2042</v>
      </c>
    </row>
    <row r="2468" spans="1:12">
      <c r="A2468" s="20" t="s">
        <v>1607</v>
      </c>
      <c r="B2468" s="21" t="s">
        <v>1202</v>
      </c>
      <c r="C2468" s="21" t="s">
        <v>1203</v>
      </c>
      <c r="D2468" s="21" t="s">
        <v>1188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2043</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2044</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1494</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2045</v>
      </c>
      <c r="B2472" s="21" t="s">
        <v>1212</v>
      </c>
      <c r="C2472" s="21" t="s">
        <v>1231</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1208</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1206</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1402</v>
      </c>
      <c r="B2475" s="21" t="s">
        <v>1199</v>
      </c>
      <c r="C2475" s="21" t="s">
        <v>1187</v>
      </c>
      <c r="D2475" s="21" t="s">
        <v>1188</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1227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1302</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2046</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1668</v>
      </c>
      <c r="B2479" s="21" t="s">
        <v>1245</v>
      </c>
      <c r="C2479" s="21" t="s">
        <v>1246</v>
      </c>
      <c r="D2479" s="21" t="s">
        <v>1188</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1193</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1740</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1210</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1792</v>
      </c>
      <c r="B2483" s="21" t="s">
        <v>1313</v>
      </c>
      <c r="C2483" s="21" t="s">
        <v>1196</v>
      </c>
      <c r="D2483" s="21" t="s">
        <v>1188</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1478</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2047</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1556</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1365</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826</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row>
    <row r="2490" spans="1:12">
      <c r="A2490" s="20" t="s">
        <v>2048</v>
      </c>
    </row>
    <row r="2491" spans="1:12">
      <c r="A2491" s="20" t="s">
        <v>1253</v>
      </c>
      <c r="B2491" s="21" t="s">
        <v>1202</v>
      </c>
      <c r="C2491" s="21" t="s">
        <v>1246</v>
      </c>
      <c r="D2491" s="21" t="s">
        <v>1188</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2049</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1502</v>
      </c>
      <c r="B2493" s="21" t="s">
        <v>1248</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1527</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1210</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2050</v>
      </c>
      <c r="B2496" s="21" t="s">
        <v>1199</v>
      </c>
      <c r="C2496" s="21" t="s">
        <v>1196</v>
      </c>
      <c r="D2496" s="21" t="s">
        <v>1188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1206</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2051</v>
      </c>
      <c r="B2498" s="21" t="s">
        <v>1215</v>
      </c>
      <c r="C2498" s="21" t="s">
        <v>1196</v>
      </c>
      <c r="D2498" s="21" t="s">
        <v>1188</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1527</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1210</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1512</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1498</v>
      </c>
      <c r="B2502" s="21" t="s">
        <v>1285</v>
      </c>
      <c r="C2502" s="21" t="s">
        <v>1196</v>
      </c>
      <c r="D2502" s="21" t="s">
        <v>1188</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1193</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1317</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1194</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2034</v>
      </c>
      <c r="B2506" s="21" t="s">
        <v>1248</v>
      </c>
      <c r="C2506" s="21" t="s">
        <v>1196</v>
      </c>
      <c r="D2506" s="21" t="s">
        <v>1188</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1197</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2052</v>
      </c>
      <c r="B2508" s="21" t="s">
        <v>1215</v>
      </c>
      <c r="C2508" s="21" t="s">
        <v>1196</v>
      </c>
      <c r="D2508" s="21" t="s">
        <v>1188</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1359</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1431</v>
      </c>
      <c r="B2510" s="21" t="s">
        <v>1215</v>
      </c>
      <c r="C2510" s="21" t="s">
        <v>1192</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1329</v>
      </c>
      <c r="B2511" s="21" t="s">
        <v>1215</v>
      </c>
      <c r="C2511" s="21" t="s">
        <v>1246</v>
      </c>
      <c r="D2511" s="21" t="s">
        <v>1188</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2053</v>
      </c>
      <c r="B2512" s="21" t="s">
        <v>1245</v>
      </c>
      <c r="C2512" s="21" t="s">
        <v>1331</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1506</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1278</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1193</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1366</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1194</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2005</v>
      </c>
      <c r="B2518" s="21" t="s">
        <v>1311</v>
      </c>
      <c r="C2518" s="21" t="s">
        <v>1196</v>
      </c>
      <c r="D2518" s="21" t="s">
        <v>1188</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2015</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1977</v>
      </c>
      <c r="B2520" s="21" t="s">
        <v>1215</v>
      </c>
      <c r="C2520" s="21" t="s">
        <v>1331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2054</v>
      </c>
      <c r="B2521" s="21" t="s">
        <v>1285</v>
      </c>
      <c r="C2521" s="21" t="s">
        <v>1262</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1395</v>
      </c>
      <c r="B2522" s="21" t="s">
        <v>1215</v>
      </c>
      <c r="C2522" s="21" t="s">
        <v>1192</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1979</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670</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1257</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row>
    <row r="2527" spans="1:12">
      <c r="A2527" s="20" t="s">
        <v>2055</v>
      </c>
    </row>
    <row r="2528" spans="1:12">
      <c r="A2528" s="20" t="s">
        <v>1270</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1190</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1219</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1193</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1494</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2056</v>
      </c>
      <c r="B2533" s="21" t="s">
        <v>1199</v>
      </c>
      <c r="C2533" s="21" t="s">
        <v>1231</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1205</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1360</v>
      </c>
      <c r="B2535" s="21" t="s">
        <v>1285</v>
      </c>
      <c r="C2535" s="21" t="s">
        <v>1216</v>
      </c>
      <c r="D2535" s="21" t="s">
        <v>1188</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2057</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154</v>
      </c>
      <c r="B2537" s="21" t="s">
        <v>1215</v>
      </c>
      <c r="C2537" s="21" t="s">
        <v>1218</v>
      </c>
      <c r="D2537" s="21" t="s">
        <v>1188</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1265</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1190</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2058</v>
      </c>
      <c r="B2540" s="21" t="s">
        <v>1202</v>
      </c>
      <c r="C2540" s="21" t="s">
        <v>1290</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1314</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1515</v>
      </c>
      <c r="B2542" s="21" t="s">
        <v>1212</v>
      </c>
      <c r="C2542" s="21" t="s">
        <v>1246</v>
      </c>
      <c r="D2542" s="21" t="s">
        <v>1188</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1194</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2057</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2059</v>
      </c>
      <c r="B2545" s="21" t="s">
        <v>1212</v>
      </c>
      <c r="C2545" s="21" t="s">
        <v>1196</v>
      </c>
      <c r="D2545" s="21" t="s">
        <v>1188</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1388</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453</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1257</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row>
    <row r="2550" spans="1:12">
      <c r="A2550" s="20" t="s">
        <v>2060</v>
      </c>
    </row>
    <row r="2551" spans="1:12">
      <c r="A2551" s="20" t="s">
        <v>1333</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1310</v>
      </c>
      <c r="B2552" s="21" t="s">
        <v>1248</v>
      </c>
      <c r="C2552" s="21" t="s">
        <v>1262</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1457</v>
      </c>
      <c r="B2553" s="21" t="s">
        <v>1245</v>
      </c>
      <c r="C2553" s="21" t="s">
        <v>1246</v>
      </c>
      <c r="D2553" s="21" t="s">
        <v>1188</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2061</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1278</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1193</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1895</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1310</v>
      </c>
      <c r="B2558" s="21" t="s">
        <v>1202</v>
      </c>
      <c r="C2558" s="21" t="s">
        <v>1262</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1226</v>
      </c>
      <c r="B2559" s="21" t="s">
        <v>1212</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1039</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1329</v>
      </c>
      <c r="B2561" s="21" t="s">
        <v>1199</v>
      </c>
      <c r="C2561" s="21" t="s">
        <v>1246</v>
      </c>
      <c r="D2561" s="21" t="s">
        <v>1188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2062</v>
      </c>
      <c r="B2562" s="21" t="s">
        <v>1212</v>
      </c>
      <c r="C2562" s="21" t="s">
        <v>1331</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292</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826</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row>
    <row r="2566" spans="1:12">
      <c r="A2566" s="20" t="s">
        <v>2063</v>
      </c>
    </row>
    <row r="2567" spans="1:12">
      <c r="A2567" s="20" t="s">
        <v>1253</v>
      </c>
      <c r="B2567" s="21" t="s">
        <v>1202</v>
      </c>
      <c r="C2567" s="21" t="s">
        <v>1246</v>
      </c>
      <c r="D2567" s="21" t="s">
        <v>1188</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1265</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1227</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1297</v>
      </c>
      <c r="B2570" s="21" t="s">
        <v>1199</v>
      </c>
      <c r="C2570" s="21" t="s">
        <v>1216</v>
      </c>
      <c r="D2570" s="21" t="s">
        <v>1188</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2064</v>
      </c>
      <c r="B2571" s="21" t="s">
        <v>1186</v>
      </c>
      <c r="C2571" s="21" t="s">
        <v>1218</v>
      </c>
      <c r="D2571" s="21" t="s">
        <v>1188</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2065</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1257</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row>
    <row r="2575" spans="1:12">
      <c r="A2575" s="20" t="s">
        <v>2066</v>
      </c>
    </row>
    <row r="2576" spans="1:12">
      <c r="A2576" s="20" t="s">
        <v>1294</v>
      </c>
      <c r="B2576" s="21" t="s">
        <v>1186</v>
      </c>
      <c r="C2576" s="21" t="s">
        <v>1203</v>
      </c>
      <c r="D2576" s="21" t="s">
        <v>1188</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1190</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1839</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1510</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1774</v>
      </c>
      <c r="B2580" s="21" t="s">
        <v>1248</v>
      </c>
      <c r="C2580" s="21" t="s">
        <v>1196</v>
      </c>
      <c r="D2580" s="21" t="s">
        <v>1188</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1265</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1190</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row>
    <row r="2584" spans="1:12">
      <c r="A2584" s="20" t="s">
        <v>2067</v>
      </c>
    </row>
    <row r="2585" spans="1:12">
      <c r="A2585" s="20" t="s">
        <v>1412</v>
      </c>
      <c r="B2585" s="21" t="s">
        <v>1202</v>
      </c>
      <c r="C2585" s="21" t="s">
        <v>1203</v>
      </c>
      <c r="D2585" s="21" t="s">
        <v>1188</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2068</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1205</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1570</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1816</v>
      </c>
      <c r="B2589" s="21" t="s">
        <v>1186</v>
      </c>
      <c r="C2589" s="21" t="s">
        <v>1240</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826</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row>
    <row r="2592" spans="1:12">
      <c r="A2592" s="20" t="s">
        <v>1369</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2069</v>
      </c>
    </row>
    <row r="2594" spans="1:12">
      <c r="A2594" s="20" t="s">
        <v>1412</v>
      </c>
      <c r="B2594" s="21" t="s">
        <v>1202</v>
      </c>
      <c r="C2594" s="21" t="s">
        <v>1203</v>
      </c>
      <c r="D2594" s="21" t="s">
        <v>1188</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2070</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1190</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1374</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1426</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57</v>
      </c>
      <c r="B2599" s="21" t="s">
        <v>1248</v>
      </c>
      <c r="C2599" s="21" t="s">
        <v>1203</v>
      </c>
      <c r="D2599" s="21" t="s">
        <v>1188</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1193</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1271</v>
      </c>
      <c r="B2601" s="21" t="s">
        <v>1311</v>
      </c>
      <c r="C2601" s="21" t="s">
        <v>1203</v>
      </c>
      <c r="D2601" s="21" t="s">
        <v>1188</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2071</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1193</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1271</v>
      </c>
      <c r="B2604" s="21" t="s">
        <v>1296</v>
      </c>
      <c r="C2604" s="21" t="s">
        <v>1203</v>
      </c>
      <c r="D2604" s="21" t="s">
        <v>1188</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2072</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1668</v>
      </c>
      <c r="B2606" s="21" t="s">
        <v>1296</v>
      </c>
      <c r="C2606" s="21" t="s">
        <v>1246</v>
      </c>
      <c r="D2606" s="21" t="s">
        <v>1188</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1321</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303</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826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row>
    <row r="2611" spans="1:12">
      <c r="A2611" s="20" t="s">
        <v>2073</v>
      </c>
    </row>
    <row r="2612" spans="1:12">
      <c r="A2612" s="20" t="s">
        <v>1801</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2074</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1271</v>
      </c>
      <c r="B2614" s="21" t="s">
        <v>1202</v>
      </c>
      <c r="C2614" s="21" t="s">
        <v>1203</v>
      </c>
      <c r="D2614" s="21" t="s">
        <v>1188</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2075</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2076</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826</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row>
    <row r="2619" spans="1:12">
      <c r="A2619" s="20" t="s">
        <v>2077</v>
      </c>
    </row>
    <row r="2620" spans="1:12">
      <c r="A2620" s="20" t="s">
        <v>1364</v>
      </c>
      <c r="B2620" s="21" t="s">
        <v>1202</v>
      </c>
      <c r="C2620" s="21" t="s">
        <v>1246</v>
      </c>
      <c r="D2620" s="21" t="s">
        <v>1188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478</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1668</v>
      </c>
      <c r="B2622" s="21" t="s">
        <v>1212</v>
      </c>
      <c r="C2622" s="21" t="s">
        <v>1246</v>
      </c>
      <c r="D2622" s="21" t="s">
        <v>1188</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2078</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1193</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185</v>
      </c>
      <c r="B2625" s="21" t="s">
        <v>1248</v>
      </c>
      <c r="C2625" s="21" t="s">
        <v>1203</v>
      </c>
      <c r="D2625" s="21" t="s">
        <v>1188</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1265</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1321</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1256</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1841</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826</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row>
    <row r="2632" spans="1:12">
      <c r="A2632" s="20" t="s">
        <v>1369</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2079</v>
      </c>
    </row>
    <row r="2634" spans="1:12">
      <c r="A2634" s="20" t="s">
        <v>1583</v>
      </c>
      <c r="B2634" s="21" t="s">
        <v>1199</v>
      </c>
      <c r="C2634" s="21" t="s">
        <v>1216</v>
      </c>
      <c r="D2634" s="21" t="s">
        <v>1188</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1702</v>
      </c>
      <c r="B2635" s="21" t="s">
        <v>1202</v>
      </c>
      <c r="C2635" s="21" t="s">
        <v>1218</v>
      </c>
      <c r="D2635" s="21" t="s">
        <v>1188</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670</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2080</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1502</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2081</v>
      </c>
      <c r="B2639" s="21" t="s">
        <v>1202</v>
      </c>
      <c r="C2639" s="21" t="s">
        <v>1196</v>
      </c>
      <c r="D2639" s="21" t="s">
        <v>1188</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130</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826</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1374</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row>
    <row r="2644" spans="1:12">
      <c r="A2644" s="20" t="s">
        <v>2082</v>
      </c>
    </row>
    <row r="2645" spans="1:12">
      <c r="A2645" s="20" t="s">
        <v>2083</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1816</v>
      </c>
      <c r="B2646" s="21" t="s">
        <v>1202</v>
      </c>
      <c r="C2646" s="21" t="s">
        <v>1240</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1341</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1841</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1193</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1662</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2084</v>
      </c>
      <c r="B2651" s="21" t="s">
        <v>1248</v>
      </c>
      <c r="C2651" s="21" t="s">
        <v>1203</v>
      </c>
      <c r="D2651" s="21" t="s">
        <v>1188</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1556</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2085</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1193</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1629</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2084</v>
      </c>
      <c r="B2656" s="21" t="s">
        <v>1245</v>
      </c>
      <c r="C2656" s="21" t="s">
        <v>1203</v>
      </c>
      <c r="D2656" s="21" t="s">
        <v>1188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1668</v>
      </c>
      <c r="B2657" s="21" t="s">
        <v>1248</v>
      </c>
      <c r="C2657" s="21" t="s">
        <v>1246</v>
      </c>
      <c r="D2657" s="21" t="s">
        <v>1188</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303</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2086</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826</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row>
    <row r="2662" spans="1:12">
      <c r="A2662" s="20" t="s">
        <v>2087</v>
      </c>
    </row>
    <row r="2663" spans="1:12">
      <c r="A2663" s="20" t="s">
        <v>2088</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2089</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1265</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185</v>
      </c>
      <c r="B2666" s="21" t="s">
        <v>1202</v>
      </c>
      <c r="C2666" s="21" t="s">
        <v>1203</v>
      </c>
      <c r="D2666" s="21" t="s">
        <v>1188</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1602</v>
      </c>
      <c r="B2667" s="21" t="s">
        <v>1186</v>
      </c>
      <c r="C2667" s="21" t="s">
        <v>1192</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2090</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2091</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2092</v>
      </c>
      <c r="B2670" s="21" t="s">
        <v>1186</v>
      </c>
      <c r="C2670" s="21" t="s">
        <v>1192</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1193</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1321</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1544</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1232</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1828</v>
      </c>
      <c r="B2675" s="21" t="s">
        <v>1186</v>
      </c>
      <c r="C2675" s="21" t="s">
        <v>1187</v>
      </c>
      <c r="D2675" s="21" t="s">
        <v>1188</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1193</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1937</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1039</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1232</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2093</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1355</v>
      </c>
      <c r="B2681" s="21" t="s">
        <v>1186</v>
      </c>
      <c r="C2681" s="21" t="s">
        <v>1192</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1302</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1232</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2094</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1355</v>
      </c>
      <c r="B2685" s="21" t="s">
        <v>1199</v>
      </c>
      <c r="C2685" s="21" t="s">
        <v>1192</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1232</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1206</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1390</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1336</v>
      </c>
      <c r="B2689" s="21" t="s">
        <v>1215</v>
      </c>
      <c r="C2689" s="21" t="s">
        <v>1196</v>
      </c>
      <c r="D2689" s="21" t="s">
        <v>1188</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826</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row>
    <row r="2692" spans="1:12">
      <c r="A2692" s="20" t="s">
        <v>2095</v>
      </c>
    </row>
    <row r="2693" spans="1:12">
      <c r="A2693" s="20" t="s">
        <v>1702</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1324</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1232</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1206</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2096</v>
      </c>
      <c r="B2697" s="21" t="s">
        <v>1186</v>
      </c>
      <c r="C2697" s="21" t="s">
        <v>1196</v>
      </c>
      <c r="D2697" s="21" t="s">
        <v>1188</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366</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1193</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1283</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2097</v>
      </c>
      <c r="B2701" s="21" t="s">
        <v>1245</v>
      </c>
      <c r="C2701" s="21" t="s">
        <v>1231</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1232</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1194</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2098</v>
      </c>
      <c r="B2704" s="21" t="s">
        <v>1199</v>
      </c>
      <c r="C2704" s="21" t="s">
        <v>1196</v>
      </c>
      <c r="D2704" s="21" t="s">
        <v>1188</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1337</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2099</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1302</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2013</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2100</v>
      </c>
      <c r="B2709" s="21" t="s">
        <v>1245</v>
      </c>
      <c r="C2709" s="21" t="s">
        <v>1240</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2101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2102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row>
    <row r="2713" spans="1:12">
      <c r="A2713" s="20" t="s">
        <v>2103</v>
      </c>
    </row>
    <row r="2714" spans="1:12">
      <c r="A2714" s="20" t="s">
        <v>1409</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2104</v>
      </c>
      <c r="B2715" s="21" t="s">
        <v>1212</v>
      </c>
      <c r="C2715" s="21" t="s">
        <v>1240</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1494</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2105</v>
      </c>
      <c r="B2717" s="21" t="s">
        <v>1212</v>
      </c>
      <c r="C2717" s="21" t="s">
        <v>1231</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1337</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495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2102</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row>
    <row r="2722" spans="1:12">
      <c r="A2722" s="20" t="s">
        <v>2106</v>
      </c>
    </row>
    <row r="2723" spans="1:12">
      <c r="A2723" s="20" t="s">
        <v>1702</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1324</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1232</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1206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2096</v>
      </c>
      <c r="B2727" s="21" t="s">
        <v>1186</v>
      </c>
      <c r="C2727" s="21" t="s">
        <v>1196</v>
      </c>
      <c r="D2727" s="21" t="s">
        <v>1188</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366</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1193</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2107</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680</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2108</v>
      </c>
      <c r="B2732" s="21" t="s">
        <v>1245</v>
      </c>
      <c r="C2732" s="21" t="s">
        <v>1231</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1337</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506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2102</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row>
    <row r="2737" spans="1:12">
      <c r="A2737" s="20" t="s">
        <v>2109</v>
      </c>
    </row>
    <row r="2738" spans="1:12">
      <c r="A2738" s="20" t="s">
        <v>1668</v>
      </c>
      <c r="B2738" s="21" t="s">
        <v>1202</v>
      </c>
      <c r="C2738" s="21" t="s">
        <v>1246</v>
      </c>
      <c r="D2738" s="21" t="s">
        <v>1188</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1324</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1300</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1268</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2110</v>
      </c>
      <c r="B2742" s="21" t="s">
        <v>1186</v>
      </c>
      <c r="C2742" s="21" t="s">
        <v>1196</v>
      </c>
      <c r="D2742" s="21" t="s">
        <v>1188</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502</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1530</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2102</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row>
    <row r="2747" spans="1:12">
      <c r="A2747" s="20" t="s">
        <v>2111</v>
      </c>
    </row>
    <row r="2748" spans="1:12">
      <c r="A2748" s="20" t="s">
        <v>1668</v>
      </c>
      <c r="B2748" s="21" t="s">
        <v>1202</v>
      </c>
      <c r="C2748" s="21" t="s">
        <v>1246</v>
      </c>
      <c r="D2748" s="21" t="s">
        <v>1188</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1324</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1226</v>
      </c>
      <c r="B2750" s="21" t="s">
        <v>1212</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680</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2112</v>
      </c>
      <c r="B2752" s="21" t="s">
        <v>1202</v>
      </c>
      <c r="C2752" s="21" t="s">
        <v>1231</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506</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1530</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1193</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1459</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1226</v>
      </c>
      <c r="B2757" s="21" t="s">
        <v>1245</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142</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1337</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1444</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1193</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1309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1360</v>
      </c>
      <c r="B2763" s="21" t="s">
        <v>1285</v>
      </c>
      <c r="C2763" s="21" t="s">
        <v>1216</v>
      </c>
      <c r="D2763" s="21" t="s">
        <v>1188</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2113</v>
      </c>
      <c r="B2764" s="21" t="s">
        <v>1311</v>
      </c>
      <c r="C2764" s="21" t="s">
        <v>1218</v>
      </c>
      <c r="D2764" s="21" t="s">
        <v>1188</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1359</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1494</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2114</v>
      </c>
      <c r="B2767" s="21" t="s">
        <v>1215</v>
      </c>
      <c r="C2767" s="21" t="s">
        <v>1231</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1206</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1345</v>
      </c>
      <c r="B2769" s="21" t="s">
        <v>1285</v>
      </c>
      <c r="C2769" s="21" t="s">
        <v>1196</v>
      </c>
      <c r="D2769" s="21" t="s">
        <v>1188</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2115</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670</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1193</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2116</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1321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2117</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2118</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1345</v>
      </c>
      <c r="B2777" s="21" t="s">
        <v>1215</v>
      </c>
      <c r="C2777" s="21" t="s">
        <v>1240</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1193</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2119</v>
      </c>
      <c r="B2779" s="21" t="s">
        <v>1285</v>
      </c>
      <c r="C2779" s="21" t="s">
        <v>1192</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1232</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1206</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1195</v>
      </c>
      <c r="B2782" s="21" t="s">
        <v>1298</v>
      </c>
      <c r="C2782" s="21" t="s">
        <v>1196</v>
      </c>
      <c r="D2782" s="21" t="s">
        <v>1188</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1193</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1309</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1668</v>
      </c>
      <c r="B2785" s="21" t="s">
        <v>1436</v>
      </c>
      <c r="C2785" s="21" t="s">
        <v>1246</v>
      </c>
      <c r="D2785" s="21" t="s">
        <v>1188</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2120</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670</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1193</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1302</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1309</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1668</v>
      </c>
      <c r="B2791" s="21" t="s">
        <v>1436</v>
      </c>
      <c r="C2791" s="21" t="s">
        <v>1246</v>
      </c>
      <c r="D2791" s="21" t="s">
        <v>1188</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1570</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2121</v>
      </c>
      <c r="B2793" s="21" t="s">
        <v>1437</v>
      </c>
      <c r="C2793" s="21" t="s">
        <v>1240</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2122</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826</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row>
    <row r="2797" spans="1:12">
      <c r="A2797" s="20" t="s">
        <v>2123</v>
      </c>
    </row>
    <row r="2798" spans="1:12">
      <c r="A2798" s="20" t="s">
        <v>1364</v>
      </c>
      <c r="B2798" s="21" t="s">
        <v>1202</v>
      </c>
      <c r="C2798" s="21" t="s">
        <v>1246</v>
      </c>
      <c r="D2798" s="21" t="s">
        <v>1188</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163</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680</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2124</v>
      </c>
      <c r="B2801" s="21" t="s">
        <v>1212</v>
      </c>
      <c r="C2801" s="21" t="s">
        <v>1231</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1205</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1883</v>
      </c>
      <c r="B2803" s="21" t="s">
        <v>1199</v>
      </c>
      <c r="C2803" s="21" t="s">
        <v>1192</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826</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row>
    <row r="2806" spans="1:12">
      <c r="A2806" s="20" t="s">
        <v>2125</v>
      </c>
    </row>
    <row r="2807" spans="1:12">
      <c r="A2807" s="20" t="s">
        <v>1405</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1613</v>
      </c>
      <c r="B2808" s="21" t="s">
        <v>1186</v>
      </c>
      <c r="C2808" s="21" t="s">
        <v>1192</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1359</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1283</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2126</v>
      </c>
      <c r="B2811" s="21" t="s">
        <v>1199</v>
      </c>
      <c r="C2811" s="21" t="s">
        <v>1231</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513</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427</v>
      </c>
      <c r="B2813" s="21" t="s">
        <v>1202</v>
      </c>
      <c r="C2813" s="21" t="s">
        <v>1246</v>
      </c>
      <c r="D2813" s="21" t="s">
        <v>1188</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1283</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2127</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2128</v>
      </c>
      <c r="B2816" s="21" t="s">
        <v>1245</v>
      </c>
      <c r="C2816" s="21" t="s">
        <v>1231</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1378</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1494</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1344</v>
      </c>
      <c r="B2819" s="21" t="s">
        <v>1245</v>
      </c>
      <c r="C2819" s="21" t="s">
        <v>1231</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1208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2128</v>
      </c>
      <c r="B2821" s="21" t="s">
        <v>1199</v>
      </c>
      <c r="C2821" s="21" t="s">
        <v>1192</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2129</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680</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2130</v>
      </c>
      <c r="B2824" s="21" t="s">
        <v>1199</v>
      </c>
      <c r="C2824" s="21" t="s">
        <v>1231</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1193</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1662</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427</v>
      </c>
      <c r="B2827" s="21" t="s">
        <v>1248</v>
      </c>
      <c r="C2827" s="21" t="s">
        <v>1246</v>
      </c>
      <c r="D2827" s="21" t="s">
        <v>1188</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2131</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1193</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1366</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2132</v>
      </c>
      <c r="B2831" s="21" t="s">
        <v>1313</v>
      </c>
      <c r="C2831" s="21" t="s">
        <v>1246</v>
      </c>
      <c r="D2831" s="21" t="s">
        <v>1188</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1337</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474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1193</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2133</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2134</v>
      </c>
      <c r="B2836" s="21" t="s">
        <v>1215</v>
      </c>
      <c r="C2836" s="21" t="s">
        <v>1240</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1193</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1317</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185</v>
      </c>
      <c r="B2839" s="21" t="s">
        <v>1436</v>
      </c>
      <c r="C2839" s="21" t="s">
        <v>1203</v>
      </c>
      <c r="D2839" s="21" t="s">
        <v>1188</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1520</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1194</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2135</v>
      </c>
      <c r="B2842" s="21" t="s">
        <v>1298</v>
      </c>
      <c r="C2842" s="21" t="s">
        <v>1196</v>
      </c>
      <c r="D2842" s="21" t="s">
        <v>1188</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2136</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2137</v>
      </c>
      <c r="B2844" s="21" t="s">
        <v>1499</v>
      </c>
      <c r="C2844" s="21" t="s">
        <v>1192</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1193</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1232</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1268</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1452</v>
      </c>
      <c r="B2848" s="21" t="s">
        <v>1500</v>
      </c>
      <c r="C2848" s="21" t="s">
        <v>1196</v>
      </c>
      <c r="D2848" s="21" t="s">
        <v>1188</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1302</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1459</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2051</v>
      </c>
      <c r="B2851" s="21" t="s">
        <v>1351</v>
      </c>
      <c r="C2851" s="21" t="s">
        <v>1192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1638</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1193</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2075</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1494</v>
      </c>
      <c r="B2855" s="21" t="s">
        <v>1436</v>
      </c>
      <c r="C2855" s="21" t="s">
        <v>1246</v>
      </c>
      <c r="D2855" s="21" t="s">
        <v>1188</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1337</v>
      </c>
      <c r="B2856" s="21" t="s">
        <v>1499</v>
      </c>
      <c r="C2856" s="21" t="s">
        <v>1262</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1819</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2138</v>
      </c>
      <c r="B2858" s="21" t="s">
        <v>1298</v>
      </c>
      <c r="C2858" s="21" t="s">
        <v>1192</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2139</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1193</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1427</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1366</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427</v>
      </c>
      <c r="B2863" s="21" t="s">
        <v>1919</v>
      </c>
      <c r="C2863" s="21" t="s">
        <v>1246</v>
      </c>
      <c r="D2863" s="21" t="s">
        <v>1188</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1318</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2140</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2141</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826</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row>
    <row r="2869" spans="1:12">
      <c r="A2869" s="20" t="s">
        <v>2142</v>
      </c>
    </row>
    <row r="2870" spans="1:12">
      <c r="A2870" s="20" t="s">
        <v>1270</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1190</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2143</v>
      </c>
      <c r="B2872" s="21" t="s">
        <v>1199</v>
      </c>
      <c r="C2872" s="21" t="s">
        <v>1262</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1702</v>
      </c>
      <c r="B2873" s="21" t="s">
        <v>1202</v>
      </c>
      <c r="C2873" s="21" t="s">
        <v>1331</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1341</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1527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1502</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1193</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1244</v>
      </c>
      <c r="B2878" s="21" t="s">
        <v>1313</v>
      </c>
      <c r="C2878" s="21" t="s">
        <v>1246</v>
      </c>
      <c r="D2878" s="21" t="s">
        <v>1188</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57</v>
      </c>
      <c r="B2879" s="21" t="s">
        <v>1311</v>
      </c>
      <c r="C2879" s="21" t="s">
        <v>1246</v>
      </c>
      <c r="D2879" s="21" t="s">
        <v>1188</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1443</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1399</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1193</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2144</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826</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row>
    <row r="2886" spans="1:12">
      <c r="A2886" s="20" t="s">
        <v>1369</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2145</v>
      </c>
    </row>
    <row r="2888" spans="1:12">
      <c r="A2888" s="20" t="s">
        <v>1201</v>
      </c>
      <c r="B2888" s="21" t="s">
        <v>1202</v>
      </c>
      <c r="C2888" s="21" t="s">
        <v>1203</v>
      </c>
      <c r="D2888" s="21" t="s">
        <v>1188</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1272</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2146</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680</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2147</v>
      </c>
      <c r="B2892" s="21" t="s">
        <v>1212</v>
      </c>
      <c r="C2892" s="21" t="s">
        <v>1231</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1208</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2148</v>
      </c>
      <c r="B2894" s="21" t="s">
        <v>1199</v>
      </c>
      <c r="C2894" s="21" t="s">
        <v>1187</v>
      </c>
      <c r="D2894" s="21" t="s">
        <v>1188</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2149</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1986</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1193</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1206</v>
      </c>
      <c r="B2898" s="21" t="s">
        <v>1311</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1922</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1190</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1374</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2150</v>
      </c>
      <c r="B2902" s="21" t="s">
        <v>1248</v>
      </c>
      <c r="C2902" s="21" t="s">
        <v>1187</v>
      </c>
      <c r="D2902" s="21" t="s">
        <v>1188</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2151</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1594</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680</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2152</v>
      </c>
      <c r="B2906" s="21" t="s">
        <v>1186</v>
      </c>
      <c r="C2906" s="21" t="s">
        <v>1231</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826</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row>
    <row r="2909" spans="1:12">
      <c r="A2909" s="20" t="s">
        <v>1369</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2153</v>
      </c>
    </row>
    <row r="2911" spans="1:12">
      <c r="A2911" s="20" t="s">
        <v>42</v>
      </c>
      <c r="B2911" s="21" t="s">
        <v>1202</v>
      </c>
      <c r="C2911" s="21" t="s">
        <v>1187</v>
      </c>
      <c r="D2911" s="21" t="s">
        <v>1188</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1220</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1265</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1206</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2154</v>
      </c>
      <c r="B2915" s="21" t="s">
        <v>1186</v>
      </c>
      <c r="C2915" s="21" t="s">
        <v>1196</v>
      </c>
      <c r="D2915" s="21" t="s">
        <v>1188</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1193</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1206</v>
      </c>
      <c r="B2917" s="21" t="s">
        <v>1248</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1268</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2155</v>
      </c>
      <c r="B2919" s="21" t="s">
        <v>1245</v>
      </c>
      <c r="C2919" s="21" t="s">
        <v>1196</v>
      </c>
      <c r="D2919" s="21" t="s">
        <v>1188</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1210</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2156</v>
      </c>
      <c r="B2921" s="21" t="s">
        <v>1245</v>
      </c>
      <c r="C2921" s="21" t="s">
        <v>1196</v>
      </c>
      <c r="D2921" s="21" t="s">
        <v>1188</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2157</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1278</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826</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1374</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row>
    <row r="2927" spans="1:12">
      <c r="A2927" s="20" t="s">
        <v>2158</v>
      </c>
    </row>
    <row r="2928" spans="1:12">
      <c r="A2928" s="20" t="s">
        <v>1235</v>
      </c>
      <c r="B2928" s="21" t="s">
        <v>1202</v>
      </c>
      <c r="C2928" s="21" t="s">
        <v>1203</v>
      </c>
      <c r="D2928" s="21" t="s">
        <v>1188</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2159</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1193</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57</v>
      </c>
      <c r="B2931" s="21" t="s">
        <v>1248</v>
      </c>
      <c r="C2931" s="21" t="s">
        <v>1203</v>
      </c>
      <c r="D2931" s="21" t="s">
        <v>1188</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2160</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1283</v>
      </c>
      <c r="B2933" s="21" t="s">
        <v>1245</v>
      </c>
      <c r="C2933" s="21" t="s">
        <v>1262</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1206</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2161</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2162</v>
      </c>
      <c r="B2936" s="21" t="s">
        <v>1245</v>
      </c>
      <c r="C2936" s="21" t="s">
        <v>1196</v>
      </c>
      <c r="D2936" s="21" t="s">
        <v>1188</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1197</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2163</v>
      </c>
      <c r="B2938" s="21" t="s">
        <v>1215</v>
      </c>
      <c r="C2938" s="21" t="s">
        <v>1196</v>
      </c>
      <c r="D2938" s="21" t="s">
        <v>1188</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1232</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1206</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1679</v>
      </c>
      <c r="B2941" s="21" t="s">
        <v>1285</v>
      </c>
      <c r="C2941" s="21" t="s">
        <v>1187</v>
      </c>
      <c r="D2941" s="21" t="s">
        <v>1188</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11</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1391</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2164</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826</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row>
    <row r="2947" spans="1:12">
      <c r="A2947" s="20" t="s">
        <v>2165</v>
      </c>
    </row>
    <row r="2948" spans="1:12">
      <c r="A2948" s="20" t="s">
        <v>1253</v>
      </c>
      <c r="B2948" s="21" t="s">
        <v>1212</v>
      </c>
      <c r="C2948" s="21" t="s">
        <v>1246</v>
      </c>
      <c r="D2948" s="21" t="s">
        <v>1188</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1292</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57</v>
      </c>
      <c r="B2950" s="21" t="s">
        <v>1202</v>
      </c>
      <c r="C2950" s="21" t="s">
        <v>1203</v>
      </c>
      <c r="D2950" s="21" t="s">
        <v>1188</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2166</v>
      </c>
      <c r="B2951" s="21" t="s">
        <v>1245</v>
      </c>
      <c r="C2951" s="21" t="s">
        <v>1192</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2167</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1193</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1194</v>
      </c>
      <c r="B2954" s="21" t="s">
        <v>1248</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1502</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215</v>
      </c>
      <c r="B2956" s="21" t="s">
        <v>1186</v>
      </c>
      <c r="C2956" s="21" t="s">
        <v>1218</v>
      </c>
      <c r="D2956" s="21" t="s">
        <v>1188</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1257</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row>
    <row r="2959" spans="1:12">
      <c r="A2959" s="20" t="s">
        <v>2168</v>
      </c>
    </row>
    <row r="2960" spans="1:12">
      <c r="A2960" s="20" t="s">
        <v>1294</v>
      </c>
      <c r="B2960" s="21" t="s">
        <v>1202</v>
      </c>
      <c r="C2960" s="21" t="s">
        <v>1187</v>
      </c>
      <c r="D2960" s="21" t="s">
        <v>1188</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1190</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2148</v>
      </c>
      <c r="B2962" s="21" t="s">
        <v>1199</v>
      </c>
      <c r="C2962" s="21" t="s">
        <v>1187</v>
      </c>
      <c r="D2962" s="21" t="s">
        <v>1188</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2149</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1265</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1494</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2169</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1878</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2170</v>
      </c>
      <c r="B2968" s="21" t="s">
        <v>1186</v>
      </c>
      <c r="C2968" s="21" t="s">
        <v>1231</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826</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row>
    <row r="2971" spans="1:12">
      <c r="A2971" s="20" t="s">
        <v>2171</v>
      </c>
    </row>
    <row r="2972" spans="1:12">
      <c r="A2972" s="20" t="s">
        <v>1222</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2172</v>
      </c>
      <c r="B2973" s="21" t="s">
        <v>1186</v>
      </c>
      <c r="C2973" s="21" t="s">
        <v>1192</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1224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2173</v>
      </c>
      <c r="B2975" s="21" t="s">
        <v>1186</v>
      </c>
      <c r="C2975" s="21" t="s">
        <v>1192</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826</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row>
    <row r="2978" spans="1:12">
      <c r="A2978" s="20" t="s">
        <v>2174</v>
      </c>
    </row>
    <row r="2979" spans="1:12">
      <c r="A2979" s="20" t="s">
        <v>1264</v>
      </c>
      <c r="B2979" s="21" t="s">
        <v>1248</v>
      </c>
      <c r="C2979" s="21" t="s">
        <v>1203</v>
      </c>
      <c r="D2979" s="21" t="s">
        <v>1188</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1265</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2175</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1193</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1662</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2176</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1193</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1427</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2150</v>
      </c>
      <c r="B2987" s="21" t="s">
        <v>1311</v>
      </c>
      <c r="C2987" s="21" t="s">
        <v>1187</v>
      </c>
      <c r="D2987" s="21" t="s">
        <v>1188</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2151</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1651</v>
      </c>
      <c r="B2989" s="21" t="s">
        <v>1313</v>
      </c>
      <c r="C2989" s="21" t="s">
        <v>1262</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2177</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2178</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2179</v>
      </c>
      <c r="B2992" s="21" t="s">
        <v>1285</v>
      </c>
      <c r="C2992" s="21" t="s">
        <v>1240</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2180</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1193</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1922</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2148</v>
      </c>
      <c r="B2996" s="21" t="s">
        <v>1202</v>
      </c>
      <c r="C2996" s="21" t="s">
        <v>1187</v>
      </c>
      <c r="D2996" s="21" t="s">
        <v>1188</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2149</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1193</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1366</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2181</v>
      </c>
      <c r="B3000" s="21" t="s">
        <v>1248</v>
      </c>
      <c r="C3000" s="21" t="s">
        <v>1203</v>
      </c>
      <c r="D3000" s="21" t="s">
        <v>1188</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1502</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2182</v>
      </c>
      <c r="B3002" s="21" t="s">
        <v>1245</v>
      </c>
      <c r="C3002" s="21" t="s">
        <v>1196</v>
      </c>
      <c r="D3002" s="21" t="s">
        <v>1188</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1359</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2183</v>
      </c>
      <c r="B3004" s="21" t="s">
        <v>1199</v>
      </c>
      <c r="C3004" s="21" t="s">
        <v>1192</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1232</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2184</v>
      </c>
      <c r="B3006" s="21" t="s">
        <v>1285</v>
      </c>
      <c r="C3006" s="21" t="s">
        <v>1262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1336</v>
      </c>
      <c r="B3007" s="21" t="s">
        <v>1215</v>
      </c>
      <c r="C3007" s="21" t="s">
        <v>1331</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2185</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1193</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1206</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2186</v>
      </c>
      <c r="B3011" s="21" t="s">
        <v>1311</v>
      </c>
      <c r="C3011" s="21" t="s">
        <v>1196</v>
      </c>
      <c r="D3011" s="21" t="s">
        <v>1188</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1372</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1232</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2187</v>
      </c>
      <c r="B3014" s="21" t="s">
        <v>1215</v>
      </c>
      <c r="C3014" s="21" t="s">
        <v>1192</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2188</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1302</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1194</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2189</v>
      </c>
      <c r="B3018" s="21" t="s">
        <v>1248</v>
      </c>
      <c r="C3018" s="21" t="s">
        <v>1196</v>
      </c>
      <c r="D3018" s="21" t="s">
        <v>1188</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1929</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2190</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1193</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1302</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2191</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2049</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2181</v>
      </c>
      <c r="B3025" s="21" t="s">
        <v>1248</v>
      </c>
      <c r="C3025" s="21" t="s">
        <v>1203</v>
      </c>
      <c r="D3025" s="21" t="s">
        <v>1188</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1193</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1502</v>
      </c>
      <c r="B3027" s="21" t="s">
        <v>1311</v>
      </c>
      <c r="C3027" s="21" t="s">
        <v>1216</v>
      </c>
      <c r="D3027" s="21" t="s">
        <v>1188</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1265</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680</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2152</v>
      </c>
      <c r="B3030" s="21" t="s">
        <v>1199</v>
      </c>
      <c r="C3030" s="21" t="s">
        <v>1231</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826</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row>
    <row r="3033" spans="1:12">
      <c r="A3033" s="20" t="s">
        <v>2192</v>
      </c>
    </row>
    <row r="3034" spans="1:12">
      <c r="A3034" s="20" t="s">
        <v>1364</v>
      </c>
      <c r="B3034" s="21" t="s">
        <v>1202</v>
      </c>
      <c r="C3034" s="21" t="s">
        <v>1246</v>
      </c>
      <c r="D3034" s="21" t="s">
        <v>1188</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1324</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2193</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2194</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366</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1250</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2195</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2196</v>
      </c>
      <c r="B3041" s="21" t="s">
        <v>1199</v>
      </c>
      <c r="C3041" s="21" t="s">
        <v>1192</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1208</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2197</v>
      </c>
      <c r="B3043" s="21" t="s">
        <v>1285</v>
      </c>
      <c r="C3043" s="21" t="s">
        <v>1262</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2198</v>
      </c>
      <c r="B3044" s="21" t="s">
        <v>1215</v>
      </c>
      <c r="C3044" s="21" t="s">
        <v>1216</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1193</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1244</v>
      </c>
      <c r="B3046" s="21" t="s">
        <v>1436</v>
      </c>
      <c r="C3046" s="21" t="s">
        <v>1246</v>
      </c>
      <c r="D3046" s="21" t="s">
        <v>1188</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1210</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1561</v>
      </c>
      <c r="B3048" s="21" t="s">
        <v>1437</v>
      </c>
      <c r="C3048" s="21" t="s">
        <v>1196</v>
      </c>
      <c r="D3048" s="21" t="s">
        <v>1188</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1359</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1194</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1531</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1532</v>
      </c>
      <c r="B3052" s="21" t="s">
        <v>1298</v>
      </c>
      <c r="C3052" s="21" t="s">
        <v>1196</v>
      </c>
      <c r="D3052" s="21" t="s">
        <v>1188</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2199</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826</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row>
    <row r="3056" spans="1:12">
      <c r="A3056" s="20" t="s">
        <v>2200</v>
      </c>
    </row>
    <row r="3057" spans="1:12">
      <c r="A3057" s="20" t="s">
        <v>1316</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2201</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1193</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1360</v>
      </c>
      <c r="B3060" s="21" t="s">
        <v>1215</v>
      </c>
      <c r="C3060" s="21" t="s">
        <v>1216</v>
      </c>
      <c r="D3060" s="21" t="s">
        <v>1188</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1702</v>
      </c>
      <c r="B3061" s="21" t="s">
        <v>1248</v>
      </c>
      <c r="C3061" s="21" t="s">
        <v>1218</v>
      </c>
      <c r="D3061" s="21" t="s">
        <v>1188</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976</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1193</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1244</v>
      </c>
      <c r="B3064" s="21" t="s">
        <v>1311</v>
      </c>
      <c r="C3064" s="21" t="s">
        <v>1246</v>
      </c>
      <c r="D3064" s="21" t="s">
        <v>1188</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1668</v>
      </c>
      <c r="B3065" s="21" t="s">
        <v>1313</v>
      </c>
      <c r="C3065" s="21" t="s">
        <v>1246</v>
      </c>
      <c r="D3065" s="21" t="s">
        <v>1188</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96</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826</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row>
    <row r="3069" spans="1:12">
      <c r="A3069" s="20" t="s">
        <v>2202</v>
      </c>
    </row>
    <row r="3070" spans="1:12">
      <c r="A3070" s="20" t="s">
        <v>1201</v>
      </c>
      <c r="B3070" s="21" t="s">
        <v>1202</v>
      </c>
      <c r="C3070" s="21" t="s">
        <v>1203</v>
      </c>
      <c r="D3070" s="21" t="s">
        <v>1188</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1372</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556</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1193</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1366</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1668</v>
      </c>
      <c r="B3075" s="21" t="s">
        <v>1248</v>
      </c>
      <c r="C3075" s="21" t="s">
        <v>1246</v>
      </c>
      <c r="D3075" s="21" t="s">
        <v>1188</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1494</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2203</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2204</v>
      </c>
      <c r="B3078" s="21" t="s">
        <v>1245</v>
      </c>
      <c r="C3078" s="21" t="s">
        <v>1231</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1205</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1194</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1531</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1532</v>
      </c>
      <c r="B3082" s="21" t="s">
        <v>1199</v>
      </c>
      <c r="C3082" s="21" t="s">
        <v>1196</v>
      </c>
      <c r="D3082" s="21" t="s">
        <v>1188</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163</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826</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row>
    <row r="3086" spans="1:12">
      <c r="A3086" s="20" t="s">
        <v>2205</v>
      </c>
    </row>
    <row r="3087" spans="1:12">
      <c r="A3087" s="20" t="s">
        <v>1552</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2206</v>
      </c>
      <c r="B3088" s="21" t="s">
        <v>1202</v>
      </c>
      <c r="C3088" s="21" t="s">
        <v>1196</v>
      </c>
      <c r="D3088" s="21" t="s">
        <v>1188</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1208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2166</v>
      </c>
      <c r="B3090" s="21" t="s">
        <v>1199</v>
      </c>
      <c r="C3090" s="21" t="s">
        <v>1192</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1309</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2148</v>
      </c>
      <c r="B3092" s="21" t="s">
        <v>1215</v>
      </c>
      <c r="C3092" s="21" t="s">
        <v>1187</v>
      </c>
      <c r="D3092" s="21" t="s">
        <v>1188</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2149</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560</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1321</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1337</v>
      </c>
      <c r="B3096" s="21" t="s">
        <v>1199</v>
      </c>
      <c r="C3096" s="21" t="s">
        <v>1262</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1206</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1532</v>
      </c>
      <c r="B3098" s="21" t="s">
        <v>1186</v>
      </c>
      <c r="C3098" s="21" t="s">
        <v>1196</v>
      </c>
      <c r="D3098" s="21" t="s">
        <v>1188</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1206</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2207</v>
      </c>
      <c r="B3100" s="21" t="s">
        <v>1199</v>
      </c>
      <c r="C3100" s="21" t="s">
        <v>1196</v>
      </c>
      <c r="D3100" s="21" t="s">
        <v>1188</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1250</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826</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row>
    <row r="3104" spans="1:12">
      <c r="A3104" s="20" t="s">
        <v>2208</v>
      </c>
    </row>
    <row r="3105" spans="1:12">
      <c r="A3105" s="20" t="s">
        <v>1320</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2209</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2210</v>
      </c>
      <c r="B3107" s="21" t="s">
        <v>1202</v>
      </c>
      <c r="C3107" s="21" t="s">
        <v>1196</v>
      </c>
      <c r="D3107" s="21" t="s">
        <v>1188</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2211</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1226</v>
      </c>
      <c r="B3109" s="21" t="s">
        <v>1212</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1321</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2212</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1300</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1268</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2213</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2210</v>
      </c>
      <c r="B3115" s="21" t="s">
        <v>1186</v>
      </c>
      <c r="C3115" s="21" t="s">
        <v>1196</v>
      </c>
      <c r="D3115" s="21" t="s">
        <v>1188</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826</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row>
    <row r="3118" spans="1:12">
      <c r="A3118" s="20" t="s">
        <v>2214</v>
      </c>
    </row>
    <row r="3119" spans="1:12">
      <c r="A3119" s="20" t="s">
        <v>1288</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1210</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2215</v>
      </c>
      <c r="B3121" s="21" t="s">
        <v>1186</v>
      </c>
      <c r="C3121" s="21" t="s">
        <v>1196</v>
      </c>
      <c r="D3121" s="21" t="s">
        <v>1188</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1337</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314</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1193</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2129</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1702</v>
      </c>
      <c r="B3126" s="21" t="s">
        <v>1186</v>
      </c>
      <c r="C3126" s="21" t="s">
        <v>1192</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1193</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1194</v>
      </c>
      <c r="B3128" s="21" t="s">
        <v>1311</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1321</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1462</v>
      </c>
      <c r="B3130" s="21" t="s">
        <v>1215</v>
      </c>
      <c r="C3130" s="21" t="s">
        <v>1304</v>
      </c>
      <c r="D3130" s="21" t="s">
        <v>1188</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2216</v>
      </c>
      <c r="B3131" s="21" t="s">
        <v>1199</v>
      </c>
      <c r="C3131" s="21" t="s">
        <v>1192</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1341</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1193</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1227</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2217</v>
      </c>
      <c r="B3135" s="21" t="s">
        <v>1215</v>
      </c>
      <c r="C3135" s="21" t="s">
        <v>1192</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1193</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1194</v>
      </c>
      <c r="B3137" s="21" t="s">
        <v>1436</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1329</v>
      </c>
      <c r="B3138" s="21" t="s">
        <v>1499</v>
      </c>
      <c r="C3138" s="21" t="s">
        <v>1246</v>
      </c>
      <c r="D3138" s="21" t="s">
        <v>1188</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2218</v>
      </c>
      <c r="B3139" s="21" t="s">
        <v>1437</v>
      </c>
      <c r="C3139" s="21" t="s">
        <v>1331</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2219</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1193</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1447</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1515</v>
      </c>
      <c r="B3143" s="21" t="s">
        <v>1245</v>
      </c>
      <c r="C3143" s="21" t="s">
        <v>1246</v>
      </c>
      <c r="D3143" s="21" t="s">
        <v>1188</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1329</v>
      </c>
      <c r="B3144" s="21" t="s">
        <v>1215</v>
      </c>
      <c r="C3144" s="21" t="s">
        <v>1246</v>
      </c>
      <c r="D3144" s="21" t="s">
        <v>1188</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1532</v>
      </c>
      <c r="B3145" s="21" t="s">
        <v>1248</v>
      </c>
      <c r="C3145" s="21" t="s">
        <v>1331</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1193</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1302</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1502</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2220</v>
      </c>
      <c r="B3149" s="21" t="s">
        <v>1186</v>
      </c>
      <c r="C3149" s="21" t="s">
        <v>1218</v>
      </c>
      <c r="D3149" s="21" t="s">
        <v>1188</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1337</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1193</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1578</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185</v>
      </c>
      <c r="B3153" s="21" t="s">
        <v>1311</v>
      </c>
      <c r="C3153" s="21" t="s">
        <v>1203</v>
      </c>
      <c r="D3153" s="21" t="s">
        <v>1188</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1232</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1268</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2221</v>
      </c>
      <c r="B3156" s="21" t="s">
        <v>1215</v>
      </c>
      <c r="C3156" s="21" t="s">
        <v>1187</v>
      </c>
      <c r="D3156" s="21" t="s">
        <v>1188</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1265</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1378</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1232</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1268</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1198</v>
      </c>
      <c r="B3161" s="21" t="s">
        <v>1215</v>
      </c>
      <c r="C3161" s="21" t="s">
        <v>1196</v>
      </c>
      <c r="D3161" s="21" t="s">
        <v>1188</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826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row>
    <row r="3164" spans="1:12">
      <c r="A3164" s="20" t="s">
        <v>2222</v>
      </c>
    </row>
    <row r="3165" spans="1:12">
      <c r="A3165" s="20" t="s">
        <v>1320</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1198</v>
      </c>
      <c r="B3166" s="21" t="s">
        <v>1202</v>
      </c>
      <c r="C3166" s="21" t="s">
        <v>1196</v>
      </c>
      <c r="D3166" s="21" t="s">
        <v>1188</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1265</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1321</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1206</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2223</v>
      </c>
      <c r="B3170" s="21" t="s">
        <v>1186</v>
      </c>
      <c r="C3170" s="21" t="s">
        <v>1196</v>
      </c>
      <c r="D3170" s="21" t="s">
        <v>1188</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826</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row>
    <row r="3173" spans="1:12">
      <c r="A3173" s="20" t="s">
        <v>2224</v>
      </c>
    </row>
    <row r="3174" spans="1:12">
      <c r="A3174" s="20" t="s">
        <v>2225</v>
      </c>
      <c r="B3174" s="21" t="s">
        <v>1199</v>
      </c>
      <c r="C3174" s="21" t="s">
        <v>1304</v>
      </c>
      <c r="D3174" s="21" t="s">
        <v>1188</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2226</v>
      </c>
      <c r="B3175" s="21" t="s">
        <v>1202</v>
      </c>
      <c r="C3175" s="21" t="s">
        <v>1192</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1265</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1321</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1206</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2223</v>
      </c>
      <c r="B3179" s="21" t="s">
        <v>1186</v>
      </c>
      <c r="C3179" s="21" t="s">
        <v>1196</v>
      </c>
      <c r="D3179" s="21" t="s">
        <v>1188</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826</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row>
    <row r="3182" spans="1:12">
      <c r="A3182" s="20" t="s">
        <v>2227</v>
      </c>
    </row>
    <row r="3183" spans="1:12">
      <c r="A3183" s="20" t="s">
        <v>2228</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578</v>
      </c>
      <c r="B3184" s="21" t="s">
        <v>1186</v>
      </c>
      <c r="C3184" s="21" t="s">
        <v>1192</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1193</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1735</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578</v>
      </c>
      <c r="B3187" s="21" t="s">
        <v>1186</v>
      </c>
      <c r="C3187" s="21" t="s">
        <v>1192</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1302</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2054</v>
      </c>
      <c r="B3189" s="21" t="s">
        <v>1199</v>
      </c>
      <c r="C3189" s="21" t="s">
        <v>1262</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1384</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578</v>
      </c>
      <c r="B3191" s="21" t="s">
        <v>1186</v>
      </c>
      <c r="C3191" s="21" t="s">
        <v>1192</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1581</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2229</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1341</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1602</v>
      </c>
      <c r="B3195" s="21" t="s">
        <v>1199</v>
      </c>
      <c r="C3195" s="21" t="s">
        <v>1192</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2090</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2230</v>
      </c>
      <c r="B3197" s="21" t="s">
        <v>1215</v>
      </c>
      <c r="C3197" s="21" t="s">
        <v>1192</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826</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row>
    <row r="3200" spans="1:12">
      <c r="A3200" s="20" t="s">
        <v>2231</v>
      </c>
    </row>
    <row r="3201" spans="1:12">
      <c r="A3201" s="20" t="s">
        <v>1607</v>
      </c>
      <c r="B3201" s="21" t="s">
        <v>1202</v>
      </c>
      <c r="C3201" s="21" t="s">
        <v>1203</v>
      </c>
      <c r="D3201" s="21" t="s">
        <v>1188</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1341</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1602</v>
      </c>
      <c r="B3203" s="21" t="s">
        <v>1186</v>
      </c>
      <c r="C3203" s="21" t="s">
        <v>1192</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2090</v>
      </c>
      <c r="B3204" s="21" t="s">
        <v>1199</v>
      </c>
      <c r="C3204" s="21" t="s">
        <v>1304</v>
      </c>
      <c r="D3204" s="21" t="s">
        <v>1188</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2232</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1336</v>
      </c>
      <c r="B3206" s="21" t="s">
        <v>1186</v>
      </c>
      <c r="C3206" s="21" t="s">
        <v>1192</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826</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row>
    <row r="3209" spans="1:12">
      <c r="A3209" s="20" t="s">
        <v>2233</v>
      </c>
    </row>
    <row r="3210" spans="1:12">
      <c r="A3210" s="20" t="s">
        <v>1264</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1447</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2234</v>
      </c>
      <c r="B3212" s="21" t="s">
        <v>1202</v>
      </c>
      <c r="C3212" s="21" t="s">
        <v>1192</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1206</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2235</v>
      </c>
      <c r="B3214" s="21" t="s">
        <v>1199</v>
      </c>
      <c r="C3214" s="21" t="s">
        <v>1196</v>
      </c>
      <c r="D3214" s="21" t="s">
        <v>1188</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1193</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1194</v>
      </c>
      <c r="B3216" s="21" t="s">
        <v>1296</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1515</v>
      </c>
      <c r="B3217" s="21" t="s">
        <v>1347</v>
      </c>
      <c r="C3217" s="21" t="s">
        <v>1246</v>
      </c>
      <c r="D3217" s="21" t="s">
        <v>1188</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2236</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826</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row>
    <row r="3221" spans="1:12">
      <c r="A3221" s="20" t="s">
        <v>2237</v>
      </c>
    </row>
    <row r="3222" spans="1:12">
      <c r="A3222" s="20" t="s">
        <v>1333</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427</v>
      </c>
      <c r="B3223" s="21" t="s">
        <v>1202</v>
      </c>
      <c r="C3223" s="21" t="s">
        <v>1246</v>
      </c>
      <c r="D3223" s="21" t="s">
        <v>1188</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1360</v>
      </c>
      <c r="B3224" s="21" t="s">
        <v>1212</v>
      </c>
      <c r="C3224" s="21" t="s">
        <v>1216</v>
      </c>
      <c r="D3224" s="21" t="s">
        <v>1188</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588</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1193</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1232</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1268</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427</v>
      </c>
      <c r="B3229" s="21" t="s">
        <v>1436</v>
      </c>
      <c r="C3229" s="21" t="s">
        <v>1246</v>
      </c>
      <c r="D3229" s="21" t="s">
        <v>1188</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1194</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2238</v>
      </c>
      <c r="B3231" s="21" t="s">
        <v>1437</v>
      </c>
      <c r="C3231" s="21" t="s">
        <v>1196</v>
      </c>
      <c r="D3231" s="21" t="s">
        <v>1188</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2239</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1193</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1194</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1532</v>
      </c>
      <c r="B3235" s="21" t="s">
        <v>1199</v>
      </c>
      <c r="C3235" s="21" t="s">
        <v>1196</v>
      </c>
      <c r="D3235" s="21" t="s">
        <v>1188</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1193</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1194</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2240</v>
      </c>
      <c r="B3238" s="21" t="s">
        <v>1212</v>
      </c>
      <c r="C3238" s="21" t="s">
        <v>1196</v>
      </c>
      <c r="D3238" s="21" t="s">
        <v>1188</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1193</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1208</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1455</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2241</v>
      </c>
      <c r="B3242" s="21" t="s">
        <v>1285</v>
      </c>
      <c r="C3242" s="21" t="s">
        <v>1192</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1302</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1381</v>
      </c>
      <c r="B3244" s="21" t="s">
        <v>1298</v>
      </c>
      <c r="C3244" s="21" t="s">
        <v>1192</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1232</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2184</v>
      </c>
      <c r="B3246" s="21" t="s">
        <v>1499</v>
      </c>
      <c r="C3246" s="21" t="s">
        <v>1262</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1336</v>
      </c>
      <c r="B3247" s="21" t="s">
        <v>1298</v>
      </c>
      <c r="C3247" s="21" t="s">
        <v>1331</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2242</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1193</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1366</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427</v>
      </c>
      <c r="B3251" s="21" t="s">
        <v>1296</v>
      </c>
      <c r="C3251" s="21" t="s">
        <v>1246</v>
      </c>
      <c r="D3251" s="21" t="s">
        <v>1188</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1668</v>
      </c>
      <c r="B3252" s="21" t="s">
        <v>1347</v>
      </c>
      <c r="C3252" s="21" t="s">
        <v>1246</v>
      </c>
      <c r="D3252" s="21" t="s">
        <v>1188</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2243</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826</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row>
    <row r="3256" spans="1:12">
      <c r="A3256" s="20" t="s">
        <v>2244</v>
      </c>
    </row>
    <row r="3257" spans="1:12">
      <c r="A3257" s="20" t="s">
        <v>1270</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1190</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1277</v>
      </c>
      <c r="B3259" s="21" t="s">
        <v>1202</v>
      </c>
      <c r="C3259" s="21" t="s">
        <v>1262</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1278</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1842</v>
      </c>
      <c r="B3261" s="21" t="s">
        <v>1212</v>
      </c>
      <c r="C3261" s="21" t="s">
        <v>1203</v>
      </c>
      <c r="D3261" s="21" t="s">
        <v>1188</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2245</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1193</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57</v>
      </c>
      <c r="B3264" s="21" t="s">
        <v>1248</v>
      </c>
      <c r="C3264" s="21" t="s">
        <v>1203</v>
      </c>
      <c r="D3264" s="21" t="s">
        <v>1188</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2160</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2246</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2247</v>
      </c>
      <c r="B3267" s="21" t="s">
        <v>1215</v>
      </c>
      <c r="C3267" s="21" t="s">
        <v>1331</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1415</v>
      </c>
      <c r="B3268" s="21" t="s">
        <v>1245</v>
      </c>
      <c r="C3268" s="21" t="s">
        <v>1192</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1770</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826</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row>
    <row r="3272" spans="1:12">
      <c r="A3272" s="20" t="s">
        <v>2248</v>
      </c>
    </row>
    <row r="3273" spans="1:12">
      <c r="A3273" s="20" t="s">
        <v>1264</v>
      </c>
      <c r="B3273" s="21" t="s">
        <v>1202</v>
      </c>
      <c r="C3273" s="21" t="s">
        <v>1203</v>
      </c>
      <c r="D3273" s="21" t="s">
        <v>1188</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2249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1193</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1427</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1609</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2250</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1544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680</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1273</v>
      </c>
      <c r="B3281" s="21" t="s">
        <v>1215</v>
      </c>
      <c r="C3281" s="21" t="s">
        <v>1262</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2251</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1227</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1417</v>
      </c>
      <c r="B3284" s="21" t="s">
        <v>1199</v>
      </c>
      <c r="C3284" s="21" t="s">
        <v>1192</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2252</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2253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826</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row>
    <row r="3289" spans="1:12">
      <c r="A3289" s="20" t="s">
        <v>2254</v>
      </c>
    </row>
    <row r="3290" spans="1:12">
      <c r="A3290" s="20" t="s">
        <v>2255</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185</v>
      </c>
      <c r="B3291" s="21" t="s">
        <v>1202</v>
      </c>
      <c r="C3291" s="21" t="s">
        <v>1203</v>
      </c>
      <c r="D3291" s="21" t="s">
        <v>1188</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2256</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1217</v>
      </c>
      <c r="B3293" s="21" t="s">
        <v>1212</v>
      </c>
      <c r="C3293" s="21" t="s">
        <v>1192</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134</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1257</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row>
    <row r="3297" spans="1:12">
      <c r="A3297" s="20" t="s">
        <v>2257</v>
      </c>
    </row>
    <row r="3298" spans="1:12">
      <c r="A3298" s="20" t="s">
        <v>1294</v>
      </c>
      <c r="B3298" s="21" t="s">
        <v>1186</v>
      </c>
      <c r="C3298" s="21" t="s">
        <v>1203</v>
      </c>
      <c r="D3298" s="21" t="s">
        <v>1188</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1190</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1264</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1960</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1205</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2258</v>
      </c>
      <c r="B3303" s="21" t="s">
        <v>1215</v>
      </c>
      <c r="C3303" s="21" t="s">
        <v>1262</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632</v>
      </c>
      <c r="B3304" s="21" t="s">
        <v>1199</v>
      </c>
      <c r="C3304" s="21" t="s">
        <v>1192</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2256</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1217</v>
      </c>
      <c r="B3306" s="21" t="s">
        <v>1245</v>
      </c>
      <c r="C3306" s="21" t="s">
        <v>1192</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134</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826</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row>
    <row r="3310" spans="1:12">
      <c r="A3310" s="20" t="s">
        <v>2259</v>
      </c>
    </row>
    <row r="3311" spans="1:12">
      <c r="A3311" s="20" t="s">
        <v>1264</v>
      </c>
      <c r="B3311" s="21" t="s">
        <v>1202</v>
      </c>
      <c r="C3311" s="21" t="s">
        <v>1203</v>
      </c>
      <c r="D3311" s="21" t="s">
        <v>1188</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1994</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1486</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1322</v>
      </c>
      <c r="B3314" s="21" t="s">
        <v>1186</v>
      </c>
      <c r="C3314" s="21" t="s">
        <v>1192</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1193</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1366</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1651</v>
      </c>
      <c r="B3317" s="21" t="s">
        <v>1311</v>
      </c>
      <c r="C3317" s="21" t="s">
        <v>1262</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1206</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2178</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2260</v>
      </c>
      <c r="B3320" s="21" t="s">
        <v>1285</v>
      </c>
      <c r="C3320" s="21" t="s">
        <v>1196</v>
      </c>
      <c r="D3320" s="21" t="s">
        <v>1188</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1597</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1397</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276</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670</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826</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row>
    <row r="3327" spans="1:12">
      <c r="A3327" s="20" t="s">
        <v>2261</v>
      </c>
    </row>
    <row r="3328" spans="1:12">
      <c r="A3328" s="20" t="s">
        <v>1270</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1190</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356</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1709</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2262</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1193</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1271</v>
      </c>
      <c r="B3334" s="21" t="s">
        <v>1202</v>
      </c>
      <c r="C3334" s="21" t="s">
        <v>1203</v>
      </c>
      <c r="D3334" s="21" t="s">
        <v>1188</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1204</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1842</v>
      </c>
      <c r="B3336" s="21" t="s">
        <v>1212</v>
      </c>
      <c r="C3336" s="21" t="s">
        <v>1203</v>
      </c>
      <c r="D3336" s="21" t="s">
        <v>1188</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1494</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1322</v>
      </c>
      <c r="B3338" s="21" t="s">
        <v>1212</v>
      </c>
      <c r="C3338" s="21" t="s">
        <v>1231</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610</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1337</v>
      </c>
      <c r="B3340" s="21" t="s">
        <v>1199</v>
      </c>
      <c r="C3340" s="21" t="s">
        <v>1262</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1297</v>
      </c>
      <c r="B3341" s="21" t="s">
        <v>1199</v>
      </c>
      <c r="C3341" s="21" t="s">
        <v>1216</v>
      </c>
      <c r="D3341" s="21" t="s">
        <v>1188</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2263</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2264</v>
      </c>
      <c r="B3343" s="21" t="s">
        <v>1186</v>
      </c>
      <c r="C3343" s="21" t="s">
        <v>1218</v>
      </c>
      <c r="D3343" s="21" t="s">
        <v>1188</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826</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row>
    <row r="3346" spans="1:12">
      <c r="A3346" s="20" t="s">
        <v>2265</v>
      </c>
    </row>
    <row r="3347" spans="1:12">
      <c r="A3347" s="20" t="s">
        <v>356</v>
      </c>
      <c r="B3347" s="21" t="s">
        <v>1202</v>
      </c>
      <c r="C3347" s="21" t="s">
        <v>1192</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1302</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2266</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1842</v>
      </c>
      <c r="B3350" s="21" t="s">
        <v>1186</v>
      </c>
      <c r="C3350" s="21" t="s">
        <v>1203</v>
      </c>
      <c r="D3350" s="21" t="s">
        <v>1188</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1367</v>
      </c>
      <c r="B3351" s="21" t="s">
        <v>1212</v>
      </c>
      <c r="C3351" s="21" t="s">
        <v>1216</v>
      </c>
      <c r="D3351" s="21" t="s">
        <v>1188</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1227</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826</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row>
    <row r="3355" spans="1:12">
      <c r="A3355" s="20" t="s">
        <v>2267</v>
      </c>
    </row>
    <row r="3356" spans="1:12">
      <c r="A3356" s="20" t="s">
        <v>2268</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1265</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1360</v>
      </c>
      <c r="B3358" s="21" t="s">
        <v>1199</v>
      </c>
      <c r="C3358" s="21" t="s">
        <v>1216</v>
      </c>
      <c r="D3358" s="21" t="s">
        <v>1188</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1391</v>
      </c>
      <c r="B3359" s="21" t="s">
        <v>1202</v>
      </c>
      <c r="C3359" s="21" t="s">
        <v>1218</v>
      </c>
      <c r="D3359" s="21" t="s">
        <v>1188</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1359</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1194</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2269</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11</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2270</v>
      </c>
      <c r="B3364" s="21" t="s">
        <v>1199</v>
      </c>
      <c r="C3364" s="21" t="s">
        <v>1196</v>
      </c>
      <c r="D3364" s="21" t="s">
        <v>1188</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1232</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1955</v>
      </c>
      <c r="B3366" s="21" t="s">
        <v>1285</v>
      </c>
      <c r="C3366" s="21" t="s">
        <v>1216</v>
      </c>
      <c r="D3366" s="21" t="s">
        <v>1188</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1750</v>
      </c>
      <c r="B3367" s="21" t="s">
        <v>1215</v>
      </c>
      <c r="C3367" s="21" t="s">
        <v>1218</v>
      </c>
      <c r="D3367" s="21" t="s">
        <v>1188</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1194</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2271</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618</v>
      </c>
      <c r="B3370" s="21" t="s">
        <v>1186</v>
      </c>
      <c r="C3370" s="21" t="s">
        <v>1196</v>
      </c>
      <c r="D3370" s="21" t="s">
        <v>1188</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1193</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1194</v>
      </c>
      <c r="B3372" s="21" t="s">
        <v>1248</v>
      </c>
      <c r="C3372" s="21" t="s">
        <v>1246</v>
      </c>
      <c r="D3372" s="21" t="s">
        <v>1188</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1668</v>
      </c>
      <c r="B3373" s="21" t="s">
        <v>1248</v>
      </c>
      <c r="C3373" s="21" t="s">
        <v>1246</v>
      </c>
      <c r="D3373" s="21" t="s">
        <v>1188</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1232</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1210</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1281</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1282</v>
      </c>
      <c r="B3377" s="21" t="s">
        <v>1199</v>
      </c>
      <c r="C3377" s="21" t="s">
        <v>1196</v>
      </c>
      <c r="D3377" s="21" t="s">
        <v>1188</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1986</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163</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826</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row>
    <row r="3382" spans="1:12">
      <c r="A3382" s="20" t="s">
        <v>1369</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2272</v>
      </c>
    </row>
    <row r="3384" spans="1:12">
      <c r="A3384" s="20" t="s">
        <v>1264</v>
      </c>
      <c r="B3384" s="21" t="s">
        <v>1202</v>
      </c>
      <c r="C3384" s="21" t="s">
        <v>1203</v>
      </c>
      <c r="D3384" s="21" t="s">
        <v>1188</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1638</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1520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680</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1586</v>
      </c>
      <c r="B3388" s="21" t="s">
        <v>1186</v>
      </c>
      <c r="C3388" s="21" t="s">
        <v>1231</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2273</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1374</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2274</v>
      </c>
      <c r="B3391" s="21" t="s">
        <v>1199</v>
      </c>
      <c r="C3391" s="21" t="s">
        <v>1187</v>
      </c>
      <c r="D3391" s="21" t="s">
        <v>1188</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1374</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826</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row>
    <row r="3395" spans="1:12">
      <c r="A3395" s="20" t="s">
        <v>2275</v>
      </c>
    </row>
    <row r="3396" spans="1:12">
      <c r="A3396" s="20" t="s">
        <v>2276</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57</v>
      </c>
      <c r="B3397" s="21" t="s">
        <v>1202</v>
      </c>
      <c r="C3397" s="21" t="s">
        <v>1203</v>
      </c>
      <c r="D3397" s="21" t="s">
        <v>1188</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1515</v>
      </c>
      <c r="B3398" s="21" t="s">
        <v>1245</v>
      </c>
      <c r="C3398" s="21" t="s">
        <v>1246</v>
      </c>
      <c r="D3398" s="21" t="s">
        <v>1188</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625</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1193</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1244</v>
      </c>
      <c r="B3401" s="21" t="s">
        <v>1248</v>
      </c>
      <c r="C3401" s="21" t="s">
        <v>1246</v>
      </c>
      <c r="D3401" s="21" t="s">
        <v>1188</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1502</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1265</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1257</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row>
    <row r="3406" spans="1:12">
      <c r="A3406" s="20" t="s">
        <v>2277</v>
      </c>
    </row>
    <row r="3407" spans="1:12">
      <c r="A3407" s="20" t="s">
        <v>1294</v>
      </c>
      <c r="B3407" s="21" t="s">
        <v>1186</v>
      </c>
      <c r="C3407" s="21" t="s">
        <v>1203</v>
      </c>
      <c r="D3407" s="21" t="s">
        <v>1188</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1190</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2274</v>
      </c>
      <c r="B3409" s="21" t="s">
        <v>1186</v>
      </c>
      <c r="C3409" s="21" t="s">
        <v>1187</v>
      </c>
      <c r="D3409" s="21" t="s">
        <v>1188</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1193</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2193</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826</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row>
    <row r="3414" spans="1:12">
      <c r="A3414" s="20" t="s">
        <v>2278</v>
      </c>
    </row>
    <row r="3415" spans="1:12">
      <c r="A3415" s="20" t="s">
        <v>2279</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680</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632</v>
      </c>
      <c r="B3417" s="21" t="s">
        <v>1186</v>
      </c>
      <c r="C3417" s="21" t="s">
        <v>1231</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1193</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2280</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1271</v>
      </c>
      <c r="B3420" s="21" t="s">
        <v>1248</v>
      </c>
      <c r="C3420" s="21" t="s">
        <v>1203</v>
      </c>
      <c r="D3420" s="21" t="s">
        <v>1188</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1206</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1402</v>
      </c>
      <c r="B3422" s="21" t="s">
        <v>1245</v>
      </c>
      <c r="C3422" s="21" t="s">
        <v>1187</v>
      </c>
      <c r="D3422" s="21" t="s">
        <v>1188</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1359</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2013</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2281</v>
      </c>
      <c r="B3425" s="21" t="s">
        <v>1199</v>
      </c>
      <c r="C3425" s="21" t="s">
        <v>1240</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2282</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826</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row>
    <row r="3429" spans="1:12">
      <c r="A3429" s="20" t="s">
        <v>2283</v>
      </c>
    </row>
    <row r="3430" spans="1:12">
      <c r="A3430" s="20" t="s">
        <v>1890</v>
      </c>
      <c r="B3430" s="21" t="s">
        <v>1199</v>
      </c>
      <c r="C3430" s="21" t="s">
        <v>1216</v>
      </c>
      <c r="D3430" s="21" t="s">
        <v>1188</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1586</v>
      </c>
      <c r="B3431" s="21" t="s">
        <v>1202</v>
      </c>
      <c r="C3431" s="21" t="s">
        <v>1218</v>
      </c>
      <c r="D3431" s="21" t="s">
        <v>1188</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1554</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2284</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1901</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2285</v>
      </c>
      <c r="B3435" s="21" t="s">
        <v>1186</v>
      </c>
      <c r="C3435" s="21" t="s">
        <v>1231</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1232</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1268</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1512</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2286</v>
      </c>
      <c r="B3439" s="21" t="s">
        <v>1186</v>
      </c>
      <c r="C3439" s="21" t="s">
        <v>1196</v>
      </c>
      <c r="D3439" s="21" t="s">
        <v>1188</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2287</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826</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row>
    <row r="3443" spans="1:12">
      <c r="A3443" s="20" t="s">
        <v>1369</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2288</v>
      </c>
    </row>
    <row r="3445" spans="1:12">
      <c r="A3445" s="20" t="s">
        <v>1320</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2289</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2290</v>
      </c>
      <c r="B3447" s="21" t="s">
        <v>1202</v>
      </c>
      <c r="C3447" s="21" t="s">
        <v>1196</v>
      </c>
      <c r="D3447" s="21" t="s">
        <v>1188</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1745</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1374</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2291</v>
      </c>
      <c r="B3450" s="21" t="s">
        <v>1186</v>
      </c>
      <c r="C3450" s="21" t="s">
        <v>1187</v>
      </c>
      <c r="D3450" s="21" t="s">
        <v>1188</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1374</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1193</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2284</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1901</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2292</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2293</v>
      </c>
      <c r="B3456" s="21" t="s">
        <v>1199</v>
      </c>
      <c r="C3456" s="21" t="s">
        <v>1231</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826</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row>
    <row r="3459" spans="1:12">
      <c r="A3459" s="20" t="s">
        <v>2294</v>
      </c>
    </row>
    <row r="3460" spans="1:12">
      <c r="A3460" s="20" t="s">
        <v>1201</v>
      </c>
      <c r="B3460" s="21" t="s">
        <v>1202</v>
      </c>
      <c r="C3460" s="21" t="s">
        <v>1203</v>
      </c>
      <c r="D3460" s="21" t="s">
        <v>1188</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1654</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1193</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1366</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1668</v>
      </c>
      <c r="B3464" s="21" t="s">
        <v>1248</v>
      </c>
      <c r="C3464" s="21" t="s">
        <v>1246</v>
      </c>
      <c r="D3464" s="21" t="s">
        <v>1188</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185</v>
      </c>
      <c r="B3465" s="21" t="s">
        <v>1245</v>
      </c>
      <c r="C3465" s="21" t="s">
        <v>1203</v>
      </c>
      <c r="D3465" s="21" t="s">
        <v>1188</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1382</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728</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1193</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1662</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1502</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1964</v>
      </c>
      <c r="B3471" s="21" t="s">
        <v>1311</v>
      </c>
      <c r="C3471" s="21" t="s">
        <v>1196</v>
      </c>
      <c r="D3471" s="21" t="s">
        <v>1188</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1462</v>
      </c>
      <c r="B3472" s="21" t="s">
        <v>1215</v>
      </c>
      <c r="C3472" s="21" t="s">
        <v>1304</v>
      </c>
      <c r="D3472" s="21" t="s">
        <v>1188</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1878</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2295</v>
      </c>
      <c r="B3474" s="21" t="s">
        <v>1199</v>
      </c>
      <c r="C3474" s="21" t="s">
        <v>1192</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1265</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826</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row>
    <row r="3478" spans="1:12">
      <c r="A3478" s="20" t="s">
        <v>2296</v>
      </c>
    </row>
    <row r="3479" spans="1:12">
      <c r="A3479" s="20" t="s">
        <v>1264</v>
      </c>
      <c r="B3479" s="21" t="s">
        <v>1202</v>
      </c>
      <c r="C3479" s="21" t="s">
        <v>1203</v>
      </c>
      <c r="D3479" s="21" t="s">
        <v>1188</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1341</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1683</v>
      </c>
      <c r="B3481" s="21" t="s">
        <v>1186</v>
      </c>
      <c r="C3481" s="21" t="s">
        <v>1192</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1193</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1300</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1455</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1194</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1402</v>
      </c>
      <c r="B3486" s="21" t="s">
        <v>1296</v>
      </c>
      <c r="C3486" s="21" t="s">
        <v>1187</v>
      </c>
      <c r="D3486" s="21" t="s">
        <v>1188</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2297</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2298</v>
      </c>
      <c r="B3488" s="21" t="s">
        <v>1248</v>
      </c>
      <c r="C3488" s="21" t="s">
        <v>1192</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1232</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1194</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2299</v>
      </c>
      <c r="B3491" s="21" t="s">
        <v>1199</v>
      </c>
      <c r="C3491" s="21" t="s">
        <v>1196</v>
      </c>
      <c r="D3491" s="21" t="s">
        <v>1188</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2300</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826</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row>
    <row r="3495" spans="1:12">
      <c r="A3495" s="20" t="s">
        <v>2301</v>
      </c>
    </row>
    <row r="3496" spans="1:12">
      <c r="A3496" s="20" t="s">
        <v>1607</v>
      </c>
      <c r="B3496" s="21" t="s">
        <v>1202</v>
      </c>
      <c r="C3496" s="21" t="s">
        <v>1203</v>
      </c>
      <c r="D3496" s="21" t="s">
        <v>1188</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96</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2298</v>
      </c>
      <c r="B3498" s="21" t="s">
        <v>1212</v>
      </c>
      <c r="C3498" s="21" t="s">
        <v>1192</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1193</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1366</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1367</v>
      </c>
      <c r="B3501" s="21" t="s">
        <v>1311</v>
      </c>
      <c r="C3501" s="21" t="s">
        <v>1216</v>
      </c>
      <c r="D3501" s="21" t="s">
        <v>1188</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2302</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2303</v>
      </c>
      <c r="B3503" s="21" t="s">
        <v>1199</v>
      </c>
      <c r="C3503" s="21" t="s">
        <v>1192</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1341</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826</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row>
    <row r="3507" spans="1:12">
      <c r="A3507" s="20" t="s">
        <v>1369</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2304</v>
      </c>
    </row>
    <row r="3509" spans="1:12">
      <c r="A3509" s="20" t="s">
        <v>1607</v>
      </c>
      <c r="B3509" s="21" t="s">
        <v>1202</v>
      </c>
      <c r="C3509" s="21" t="s">
        <v>1203</v>
      </c>
      <c r="D3509" s="21" t="s">
        <v>1188</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96</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1190</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1374</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1364</v>
      </c>
      <c r="B3513" s="21" t="s">
        <v>1248</v>
      </c>
      <c r="C3513" s="21" t="s">
        <v>1246</v>
      </c>
      <c r="D3513" s="21" t="s">
        <v>1188</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1444</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1300</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1842</v>
      </c>
      <c r="B3516" s="21" t="s">
        <v>1199</v>
      </c>
      <c r="C3516" s="21" t="s">
        <v>1203</v>
      </c>
      <c r="D3516" s="21" t="s">
        <v>1188</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2305</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1193</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1520</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1570</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2306</v>
      </c>
      <c r="B3521" s="21" t="s">
        <v>1313</v>
      </c>
      <c r="C3521" s="21" t="s">
        <v>1240</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2307</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826</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1374</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row>
    <row r="3526" spans="1:12">
      <c r="A3526" s="20" t="s">
        <v>2308</v>
      </c>
    </row>
    <row r="3527" spans="1:12">
      <c r="A3527" s="20" t="s">
        <v>1288</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2309</v>
      </c>
      <c r="B3528" s="21" t="s">
        <v>1186</v>
      </c>
      <c r="C3528" s="21" t="s">
        <v>1192</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134</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1668</v>
      </c>
      <c r="B3530" s="21" t="s">
        <v>1202</v>
      </c>
      <c r="C3530" s="21" t="s">
        <v>1246</v>
      </c>
      <c r="D3530" s="21" t="s">
        <v>1188</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1214</v>
      </c>
      <c r="B3531" s="21" t="s">
        <v>1199</v>
      </c>
      <c r="C3531" s="21" t="s">
        <v>1216</v>
      </c>
      <c r="D3531" s="21" t="s">
        <v>1188</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578</v>
      </c>
      <c r="B3532" s="21" t="s">
        <v>1212</v>
      </c>
      <c r="C3532" s="21" t="s">
        <v>1218</v>
      </c>
      <c r="D3532" s="21" t="s">
        <v>1188</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2310</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2311</v>
      </c>
      <c r="B3534" s="21" t="s">
        <v>1212</v>
      </c>
      <c r="C3534" s="21" t="s">
        <v>1192</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1193</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1194</v>
      </c>
      <c r="B3536" s="21" t="s">
        <v>1248</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1194</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1532</v>
      </c>
      <c r="B3538" s="21" t="s">
        <v>1245</v>
      </c>
      <c r="C3538" s="21" t="s">
        <v>1196</v>
      </c>
      <c r="D3538" s="21" t="s">
        <v>1188</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1643</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2306</v>
      </c>
      <c r="B3540" s="21" t="s">
        <v>1215</v>
      </c>
      <c r="C3540" s="21" t="s">
        <v>1240</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2312</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826</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row>
    <row r="3544" spans="1:12">
      <c r="A3544" s="20" t="s">
        <v>2313</v>
      </c>
    </row>
    <row r="3545" spans="1:12">
      <c r="A3545" s="20" t="s">
        <v>1607</v>
      </c>
      <c r="B3545" s="21" t="s">
        <v>1202</v>
      </c>
      <c r="C3545" s="21" t="s">
        <v>1203</v>
      </c>
      <c r="D3545" s="21" t="s">
        <v>1188</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658</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2314</v>
      </c>
      <c r="B3547" s="21" t="s">
        <v>1212</v>
      </c>
      <c r="C3547" s="21" t="s">
        <v>1192</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680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1193</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1194</v>
      </c>
      <c r="B3550" s="21" t="s">
        <v>1248</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1321</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1544</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1194</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1402</v>
      </c>
      <c r="B3554" s="21" t="s">
        <v>1248</v>
      </c>
      <c r="C3554" s="21" t="s">
        <v>1187</v>
      </c>
      <c r="D3554" s="21" t="s">
        <v>1188</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2315</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1260</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1193</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1937</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1383</v>
      </c>
      <c r="B3559" s="21" t="s">
        <v>1186</v>
      </c>
      <c r="C3559" s="21" t="s">
        <v>1262</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1193</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1206</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2316</v>
      </c>
      <c r="B3562" s="21" t="s">
        <v>1245</v>
      </c>
      <c r="C3562" s="21" t="s">
        <v>1196</v>
      </c>
      <c r="D3562" s="21" t="s">
        <v>1188</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1302</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2317</v>
      </c>
      <c r="B3564" s="21" t="s">
        <v>1215</v>
      </c>
      <c r="C3564" s="21" t="s">
        <v>1192</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1278</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1193</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1668</v>
      </c>
      <c r="B3567" s="21" t="s">
        <v>1248</v>
      </c>
      <c r="C3567" s="21" t="s">
        <v>1246</v>
      </c>
      <c r="D3567" s="21" t="s">
        <v>1188</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1337</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2318</v>
      </c>
      <c r="B3569" s="21" t="s">
        <v>1186</v>
      </c>
      <c r="C3569" s="21" t="s">
        <v>1192</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1302</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1337</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809</v>
      </c>
      <c r="B3572" s="21" t="s">
        <v>1199</v>
      </c>
      <c r="C3572" s="21" t="s">
        <v>1192</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1193</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1260</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1668</v>
      </c>
      <c r="B3575" s="21" t="s">
        <v>1248</v>
      </c>
      <c r="C3575" s="21" t="s">
        <v>1246</v>
      </c>
      <c r="D3575" s="21" t="s">
        <v>1188</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2319</v>
      </c>
      <c r="B3576" s="21" t="s">
        <v>1186</v>
      </c>
      <c r="C3576" s="21" t="s">
        <v>1192</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1193</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1520</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1226</v>
      </c>
      <c r="B3579" s="21" t="s">
        <v>1313</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1408</v>
      </c>
      <c r="B3580" s="21" t="s">
        <v>1313</v>
      </c>
      <c r="C3580" s="21" t="s">
        <v>1192</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1337</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2320</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1232</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1194</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2137</v>
      </c>
      <c r="B3585" s="21" t="s">
        <v>1199</v>
      </c>
      <c r="C3585" s="21" t="s">
        <v>1196</v>
      </c>
      <c r="D3585" s="21" t="s">
        <v>1188</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1206</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1336</v>
      </c>
      <c r="B3587" s="21" t="s">
        <v>1215</v>
      </c>
      <c r="C3587" s="21" t="s">
        <v>1196</v>
      </c>
      <c r="D3587" s="21" t="s">
        <v>1188</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826</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row>
    <row r="3590" spans="1:12">
      <c r="A3590" s="20" t="s">
        <v>2321</v>
      </c>
    </row>
    <row r="3591" spans="1:12">
      <c r="A3591" s="20" t="s">
        <v>1320</v>
      </c>
      <c r="B3591" s="21" t="s">
        <v>1202</v>
      </c>
      <c r="C3591" s="21" t="s">
        <v>1216</v>
      </c>
      <c r="D3591" s="21" t="s">
        <v>1188</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1265</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1256</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2322</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826</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row>
    <row r="3597" spans="1:12">
      <c r="A3597" s="20" t="s">
        <v>2323</v>
      </c>
    </row>
    <row r="3598" spans="1:12">
      <c r="A3598" s="20" t="s">
        <v>2324</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1317</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427</v>
      </c>
      <c r="B3600" s="21" t="s">
        <v>1248</v>
      </c>
      <c r="C3600" s="21" t="s">
        <v>1246</v>
      </c>
      <c r="D3600" s="21" t="s">
        <v>1188</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1039</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1544</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1283</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1862</v>
      </c>
      <c r="B3604" s="21" t="s">
        <v>1245</v>
      </c>
      <c r="C3604" s="21" t="s">
        <v>1231</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2325</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1193</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1317</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427</v>
      </c>
      <c r="B3608" s="21" t="s">
        <v>1311</v>
      </c>
      <c r="C3608" s="21" t="s">
        <v>1246</v>
      </c>
      <c r="D3608" s="21" t="s">
        <v>1188</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1502</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2326</v>
      </c>
      <c r="B3610" s="21" t="s">
        <v>1313</v>
      </c>
      <c r="C3610" s="21" t="s">
        <v>1196</v>
      </c>
      <c r="D3610" s="21" t="s">
        <v>1188</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1232</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1382</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1388</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1309</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1834</v>
      </c>
      <c r="B3615" s="21" t="s">
        <v>1215</v>
      </c>
      <c r="C3615" s="21" t="s">
        <v>1187</v>
      </c>
      <c r="D3615" s="21" t="s">
        <v>1188</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2325</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1193</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1502</v>
      </c>
      <c r="B3618" s="21" t="s">
        <v>1311</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680</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2327</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1964</v>
      </c>
      <c r="B3621" s="21" t="s">
        <v>1199</v>
      </c>
      <c r="C3621" s="21" t="s">
        <v>1231</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1197</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2328</v>
      </c>
      <c r="B3623" s="21" t="s">
        <v>1215</v>
      </c>
      <c r="C3623" s="21" t="s">
        <v>1196</v>
      </c>
      <c r="D3623" s="21" t="s">
        <v>1188</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2274</v>
      </c>
      <c r="B3624" s="21" t="s">
        <v>1285</v>
      </c>
      <c r="C3624" s="21" t="s">
        <v>1187</v>
      </c>
      <c r="D3624" s="21" t="s">
        <v>1188</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1594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1193</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670</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427</v>
      </c>
      <c r="B3628" s="21" t="s">
        <v>1202</v>
      </c>
      <c r="C3628" s="21" t="s">
        <v>1246</v>
      </c>
      <c r="D3628" s="21" t="s">
        <v>1188</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1232</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1901</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1336</v>
      </c>
      <c r="B3631" s="21" t="s">
        <v>1186</v>
      </c>
      <c r="C3631" s="21" t="s">
        <v>1231</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666</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1193</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1194</v>
      </c>
      <c r="B3634" s="21" t="s">
        <v>1248</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2329</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1764</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1963</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1265</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826</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row>
    <row r="3641" spans="1:12">
      <c r="A3641" s="20" t="s">
        <v>2330</v>
      </c>
    </row>
    <row r="3642" spans="1:12">
      <c r="A3642" s="20" t="s">
        <v>1364</v>
      </c>
      <c r="B3642" s="21" t="s">
        <v>1202</v>
      </c>
      <c r="C3642" s="21" t="s">
        <v>1246</v>
      </c>
      <c r="D3642" s="21" t="s">
        <v>1188</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670</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1491</v>
      </c>
      <c r="B3644" s="21" t="s">
        <v>1215</v>
      </c>
      <c r="C3644" s="21" t="s">
        <v>1246</v>
      </c>
      <c r="D3644" s="21" t="s">
        <v>1188</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2331</v>
      </c>
      <c r="B3645" s="21" t="s">
        <v>1245</v>
      </c>
      <c r="C3645" s="21" t="s">
        <v>1331</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1205</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1462</v>
      </c>
      <c r="B3647" s="21" t="s">
        <v>1285</v>
      </c>
      <c r="C3647" s="21" t="s">
        <v>1304</v>
      </c>
      <c r="D3647" s="21" t="s">
        <v>1188</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2332</v>
      </c>
      <c r="B3648" s="21" t="s">
        <v>1215</v>
      </c>
      <c r="C3648" s="21" t="s">
        <v>1192</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163</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1193</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427</v>
      </c>
      <c r="B3651" s="21" t="s">
        <v>1248</v>
      </c>
      <c r="C3651" s="21" t="s">
        <v>1246</v>
      </c>
      <c r="D3651" s="21" t="s">
        <v>1188</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670</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1491</v>
      </c>
      <c r="B3653" s="21" t="s">
        <v>1215</v>
      </c>
      <c r="C3653" s="21" t="s">
        <v>1246</v>
      </c>
      <c r="D3653" s="21" t="s">
        <v>1188</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1408</v>
      </c>
      <c r="B3654" s="21" t="s">
        <v>1245</v>
      </c>
      <c r="C3654" s="21" t="s">
        <v>1331</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1337</v>
      </c>
      <c r="B3655" s="21" t="s">
        <v>1285</v>
      </c>
      <c r="C3655" s="21" t="s">
        <v>1262</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1268</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2333</v>
      </c>
      <c r="B3657" s="21" t="s">
        <v>1215</v>
      </c>
      <c r="C3657" s="21" t="s">
        <v>1196</v>
      </c>
      <c r="D3657" s="21" t="s">
        <v>1188</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163</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1193</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1459</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1515</v>
      </c>
      <c r="B3661" s="21" t="s">
        <v>1245</v>
      </c>
      <c r="C3661" s="21" t="s">
        <v>1246</v>
      </c>
      <c r="D3661" s="21" t="s">
        <v>1188</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1527</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1702</v>
      </c>
      <c r="B3663" s="21" t="s">
        <v>1199</v>
      </c>
      <c r="C3663" s="21" t="s">
        <v>1192</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1337</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2334</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1193</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1194</v>
      </c>
      <c r="B3667" s="21" t="s">
        <v>1311</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1360</v>
      </c>
      <c r="B3668" s="21" t="s">
        <v>1285</v>
      </c>
      <c r="C3668" s="21" t="s">
        <v>1216</v>
      </c>
      <c r="D3668" s="21" t="s">
        <v>1188</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1796</v>
      </c>
      <c r="B3669" s="21" t="s">
        <v>1313</v>
      </c>
      <c r="C3669" s="21" t="s">
        <v>1218</v>
      </c>
      <c r="D3669" s="21" t="s">
        <v>1188</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1920</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1378</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1359</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2013</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2335</v>
      </c>
      <c r="B3674" s="21" t="s">
        <v>1285</v>
      </c>
      <c r="C3674" s="21" t="s">
        <v>1240</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2336</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2141</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826</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row>
    <row r="3679" spans="1:12">
      <c r="A3679" s="20" t="s">
        <v>2337</v>
      </c>
    </row>
    <row r="3680" spans="1:12">
      <c r="A3680" s="20" t="s">
        <v>1270</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1190</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959</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292</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2338</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1451</v>
      </c>
      <c r="B3685" s="21" t="s">
        <v>1202</v>
      </c>
      <c r="C3685" s="21" t="s">
        <v>1192</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1828</v>
      </c>
      <c r="B3686" s="21" t="s">
        <v>1199</v>
      </c>
      <c r="C3686" s="21" t="s">
        <v>1187</v>
      </c>
      <c r="D3686" s="21" t="s">
        <v>1188</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2339</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2340</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1359</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2341</v>
      </c>
      <c r="B3690" s="21" t="s">
        <v>1186</v>
      </c>
      <c r="C3690" s="21" t="s">
        <v>1192</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1208</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2342</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1836</v>
      </c>
      <c r="B3693" s="21" t="s">
        <v>1199</v>
      </c>
      <c r="C3693" s="21" t="s">
        <v>1192</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1257</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row>
    <row r="3696" spans="1:12">
      <c r="A3696" s="20" t="s">
        <v>2343</v>
      </c>
    </row>
    <row r="3697" spans="1:12">
      <c r="A3697" s="20" t="s">
        <v>1294</v>
      </c>
      <c r="B3697" s="21" t="s">
        <v>1186</v>
      </c>
      <c r="C3697" s="21" t="s">
        <v>1203</v>
      </c>
      <c r="D3697" s="21" t="s">
        <v>1188</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1190</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2344</v>
      </c>
      <c r="B3699" s="21" t="s">
        <v>1186</v>
      </c>
      <c r="C3699" s="21" t="s">
        <v>1187</v>
      </c>
      <c r="D3699" s="21" t="s">
        <v>1188</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826</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row>
    <row r="3702" spans="1:12">
      <c r="A3702" s="20" t="s">
        <v>2345</v>
      </c>
    </row>
    <row r="3703" spans="1:12">
      <c r="A3703" s="20" t="s">
        <v>2346</v>
      </c>
      <c r="B3703" s="21" t="s">
        <v>1186</v>
      </c>
      <c r="C3703" s="21" t="s">
        <v>1262</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1206</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2347</v>
      </c>
      <c r="B3705" s="21" t="s">
        <v>1186</v>
      </c>
      <c r="C3705" s="21" t="s">
        <v>1196</v>
      </c>
      <c r="D3705" s="21" t="s">
        <v>1188</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1193</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1656</v>
      </c>
      <c r="B3707" s="21" t="s">
        <v>1186</v>
      </c>
      <c r="C3707" s="21" t="s">
        <v>1262</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1206</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2348</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2349</v>
      </c>
      <c r="B3710" s="21" t="s">
        <v>1199</v>
      </c>
      <c r="C3710" s="21" t="s">
        <v>1196</v>
      </c>
      <c r="D3710" s="21" t="s">
        <v>1188</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1232</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1206</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2350</v>
      </c>
      <c r="B3713" s="21" t="s">
        <v>1199</v>
      </c>
      <c r="C3713" s="21" t="s">
        <v>1615</v>
      </c>
      <c r="D3713" s="21" t="s">
        <v>1188</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2284</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1268</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52</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826</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row>
    <row r="3719" spans="1:12">
      <c r="A3719" s="20" t="s">
        <v>2351</v>
      </c>
    </row>
    <row r="3720" spans="1:12">
      <c r="A3720" s="20" t="s">
        <v>2352</v>
      </c>
      <c r="B3720" s="21" t="s">
        <v>1202</v>
      </c>
      <c r="C3720" s="21" t="s">
        <v>1187</v>
      </c>
      <c r="D3720" s="21" t="s">
        <v>1188</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1265</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1194</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2353</v>
      </c>
      <c r="B3723" s="21" t="s">
        <v>1186</v>
      </c>
      <c r="C3723" s="21" t="s">
        <v>1196</v>
      </c>
      <c r="D3723" s="21" t="s">
        <v>1188</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1193</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1366</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1194</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1402</v>
      </c>
      <c r="B3727" s="21" t="s">
        <v>1248</v>
      </c>
      <c r="C3727" s="21" t="s">
        <v>1187</v>
      </c>
      <c r="D3727" s="21" t="s">
        <v>1188</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2080</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2212</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2354</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2355</v>
      </c>
      <c r="B3731" s="21" t="s">
        <v>1245</v>
      </c>
      <c r="C3731" s="21" t="s">
        <v>1331</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1740</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826</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row>
    <row r="3735" spans="1:12">
      <c r="A3735" s="20" t="s">
        <v>2356</v>
      </c>
    </row>
    <row r="3736" spans="1:12">
      <c r="A3736" s="20" t="s">
        <v>1607</v>
      </c>
      <c r="B3736" s="21" t="s">
        <v>1202</v>
      </c>
      <c r="C3736" s="21" t="s">
        <v>1203</v>
      </c>
      <c r="D3736" s="21" t="s">
        <v>1188</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2357</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2358</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1359</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2359</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2360</v>
      </c>
      <c r="B3741" s="21" t="s">
        <v>1186</v>
      </c>
      <c r="C3741" s="21" t="s">
        <v>1192</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1193</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1232</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1455</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185</v>
      </c>
      <c r="B3745" s="21" t="s">
        <v>1311</v>
      </c>
      <c r="C3745" s="21" t="s">
        <v>1203</v>
      </c>
      <c r="D3745" s="21" t="s">
        <v>1188</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1520</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2361</v>
      </c>
      <c r="B3747" s="21" t="s">
        <v>1215</v>
      </c>
      <c r="C3747" s="21" t="s">
        <v>1187</v>
      </c>
      <c r="D3747" s="21" t="s">
        <v>1188</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2362</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826</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row>
    <row r="3751" spans="1:12">
      <c r="A3751" s="20" t="s">
        <v>2363</v>
      </c>
    </row>
    <row r="3752" spans="1:12">
      <c r="A3752" s="20" t="s">
        <v>1316</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1668</v>
      </c>
      <c r="B3753" s="21" t="s">
        <v>1202</v>
      </c>
      <c r="C3753" s="21" t="s">
        <v>1246</v>
      </c>
      <c r="D3753" s="21" t="s">
        <v>1188</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2364</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1039</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2365</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2360</v>
      </c>
      <c r="B3757" s="21" t="s">
        <v>1212</v>
      </c>
      <c r="C3757" s="21" t="s">
        <v>1192</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826</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row>
    <row r="3760" spans="1:12">
      <c r="A3760" s="20" t="s">
        <v>2366</v>
      </c>
    </row>
    <row r="3761" spans="1:12">
      <c r="A3761" s="20" t="s">
        <v>2367</v>
      </c>
      <c r="B3761" s="21" t="s">
        <v>1202</v>
      </c>
      <c r="C3761" s="21" t="s">
        <v>1192</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1278</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1194</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1402</v>
      </c>
      <c r="B3764" s="21" t="s">
        <v>1202</v>
      </c>
      <c r="C3764" s="21" t="s">
        <v>1187</v>
      </c>
      <c r="D3764" s="21" t="s">
        <v>1188</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2368</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1194</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2369</v>
      </c>
      <c r="B3767" s="21" t="s">
        <v>1212</v>
      </c>
      <c r="C3767" s="21" t="s">
        <v>1196</v>
      </c>
      <c r="D3767" s="21" t="s">
        <v>1188</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1206</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2370</v>
      </c>
      <c r="B3769" s="21" t="s">
        <v>1212</v>
      </c>
      <c r="C3769" s="21" t="s">
        <v>1196</v>
      </c>
      <c r="D3769" s="21" t="s">
        <v>1188</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2371</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1193</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2372</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1208</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1268</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2373</v>
      </c>
      <c r="B3775" s="21" t="s">
        <v>1199</v>
      </c>
      <c r="C3775" s="21" t="s">
        <v>1196</v>
      </c>
      <c r="D3775" s="21" t="s">
        <v>1188</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1193</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1366</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2374</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2375</v>
      </c>
      <c r="B3779" s="21" t="s">
        <v>1296</v>
      </c>
      <c r="C3779" s="21" t="s">
        <v>1192</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2376</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2377</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1341</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826</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row>
    <row r="3785" spans="1:12">
      <c r="A3785" s="20" t="s">
        <v>2378</v>
      </c>
    </row>
    <row r="3786" spans="1:12">
      <c r="A3786" s="20" t="s">
        <v>1333</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427</v>
      </c>
      <c r="B3787" s="21" t="s">
        <v>1311</v>
      </c>
      <c r="C3787" s="21" t="s">
        <v>1246</v>
      </c>
      <c r="D3787" s="21" t="s">
        <v>1188</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680</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2379</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578</v>
      </c>
      <c r="B3790" s="21" t="s">
        <v>1313</v>
      </c>
      <c r="C3790" s="21" t="s">
        <v>1231</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2380</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1302</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2381</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2375</v>
      </c>
      <c r="B3794" s="21" t="s">
        <v>1347</v>
      </c>
      <c r="C3794" s="21" t="s">
        <v>1240</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280</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2102</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1317</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427</v>
      </c>
      <c r="B3798" s="21" t="s">
        <v>1248</v>
      </c>
      <c r="C3798" s="21" t="s">
        <v>1246</v>
      </c>
      <c r="D3798" s="21" t="s">
        <v>1188</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1494</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2134</v>
      </c>
      <c r="B3800" s="21" t="s">
        <v>1245</v>
      </c>
      <c r="C3800" s="21" t="s">
        <v>1231</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1232</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2382</v>
      </c>
      <c r="B3802" s="21" t="s">
        <v>1215</v>
      </c>
      <c r="C3802" s="21" t="s">
        <v>1187</v>
      </c>
      <c r="D3802" s="21" t="s">
        <v>1188</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2380</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1302</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2013</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2375</v>
      </c>
      <c r="B3806" s="21" t="s">
        <v>1313</v>
      </c>
      <c r="C3806" s="21" t="s">
        <v>1240</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280</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1193</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1419</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1265</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1502</v>
      </c>
      <c r="B3811" s="21" t="s">
        <v>1202</v>
      </c>
      <c r="C3811" s="21" t="s">
        <v>1246</v>
      </c>
      <c r="D3811" s="21" t="s">
        <v>1188</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1359</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1502</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2374</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1541</v>
      </c>
      <c r="B3815" s="21" t="s">
        <v>1186</v>
      </c>
      <c r="C3815" s="21" t="s">
        <v>1196</v>
      </c>
      <c r="D3815" s="21" t="s">
        <v>1188</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1764</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2383</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1193</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1427</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2384</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1193</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1366</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1194</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2385</v>
      </c>
      <c r="B3824" s="21" t="s">
        <v>1311</v>
      </c>
      <c r="C3824" s="21" t="s">
        <v>1196</v>
      </c>
      <c r="D3824" s="21" t="s">
        <v>1188</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1491</v>
      </c>
      <c r="B3825" s="21" t="s">
        <v>1285</v>
      </c>
      <c r="C3825" s="21" t="s">
        <v>1246</v>
      </c>
      <c r="D3825" s="21" t="s">
        <v>1188</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1408</v>
      </c>
      <c r="B3826" s="21" t="s">
        <v>1313</v>
      </c>
      <c r="C3826" s="21" t="s">
        <v>1331</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1337</v>
      </c>
      <c r="B3827" s="21" t="s">
        <v>1298</v>
      </c>
      <c r="C3827" s="21" t="s">
        <v>1262</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2386</v>
      </c>
      <c r="B3828" s="21" t="s">
        <v>1298</v>
      </c>
      <c r="C3828" s="21" t="s">
        <v>1304</v>
      </c>
      <c r="D3828" s="21" t="s">
        <v>1188</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2387</v>
      </c>
      <c r="B3829" s="21" t="s">
        <v>1285</v>
      </c>
      <c r="C3829" s="21" t="s">
        <v>1192</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163</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826</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row>
    <row r="3833" spans="1:12">
      <c r="A3833" s="20" t="s">
        <v>2388</v>
      </c>
    </row>
    <row r="3834" spans="1:12">
      <c r="A3834" s="20" t="s">
        <v>1801</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1537</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1668</v>
      </c>
      <c r="B3836" s="21" t="s">
        <v>1248</v>
      </c>
      <c r="C3836" s="21" t="s">
        <v>1246</v>
      </c>
      <c r="D3836" s="21" t="s">
        <v>1188</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1194</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1532</v>
      </c>
      <c r="B3838" s="21" t="s">
        <v>1245</v>
      </c>
      <c r="C3838" s="21" t="s">
        <v>1196</v>
      </c>
      <c r="D3838" s="21" t="s">
        <v>1188</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2090</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2137</v>
      </c>
      <c r="B3840" s="21" t="s">
        <v>1215</v>
      </c>
      <c r="C3840" s="21" t="s">
        <v>1192</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2312</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1193</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704</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1668</v>
      </c>
      <c r="B3844" s="21" t="s">
        <v>1202</v>
      </c>
      <c r="C3844" s="21" t="s">
        <v>1246</v>
      </c>
      <c r="D3844" s="21" t="s">
        <v>1188</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1321</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1544</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1194</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1336</v>
      </c>
      <c r="B3848" s="21" t="s">
        <v>1212</v>
      </c>
      <c r="C3848" s="21" t="s">
        <v>1196</v>
      </c>
      <c r="D3848" s="21" t="s">
        <v>1188</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1479</v>
      </c>
      <c r="B3849" s="21" t="s">
        <v>1199</v>
      </c>
      <c r="C3849" s="21" t="s">
        <v>1187</v>
      </c>
      <c r="D3849" s="21" t="s">
        <v>1188</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1241</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1193</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1668</v>
      </c>
      <c r="B3852" s="21" t="s">
        <v>1248</v>
      </c>
      <c r="C3852" s="21" t="s">
        <v>1246</v>
      </c>
      <c r="D3852" s="21" t="s">
        <v>1188</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1534</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1039</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1194</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1603</v>
      </c>
      <c r="B3856" s="21" t="s">
        <v>1245</v>
      </c>
      <c r="C3856" s="21" t="s">
        <v>1187</v>
      </c>
      <c r="D3856" s="21" t="s">
        <v>1188</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1205</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2389</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1807</v>
      </c>
      <c r="B3859" s="21" t="s">
        <v>1199</v>
      </c>
      <c r="C3859" s="21" t="s">
        <v>1192</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1193</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1662</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2390</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2391</v>
      </c>
      <c r="B3863" s="21" t="s">
        <v>1311</v>
      </c>
      <c r="C3863" s="21" t="s">
        <v>1192</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1194</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1613</v>
      </c>
      <c r="B3865" s="21" t="s">
        <v>1199</v>
      </c>
      <c r="C3865" s="21" t="s">
        <v>1196</v>
      </c>
      <c r="D3865" s="21" t="s">
        <v>1188</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2090</v>
      </c>
      <c r="B3866" s="21" t="s">
        <v>1285</v>
      </c>
      <c r="C3866" s="21" t="s">
        <v>1304</v>
      </c>
      <c r="D3866" s="21" t="s">
        <v>1188</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2226</v>
      </c>
      <c r="B3867" s="21" t="s">
        <v>1215</v>
      </c>
      <c r="C3867" s="21" t="s">
        <v>1192</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1265</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826</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row>
    <row r="3871" spans="1:12">
      <c r="A3871" s="20" t="s">
        <v>2392</v>
      </c>
    </row>
    <row r="3872" spans="1:12">
      <c r="A3872" s="20" t="s">
        <v>1333</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427</v>
      </c>
      <c r="B3873" s="21" t="s">
        <v>1248</v>
      </c>
      <c r="C3873" s="21" t="s">
        <v>1246</v>
      </c>
      <c r="D3873" s="21" t="s">
        <v>1188</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1502</v>
      </c>
      <c r="B3874" s="21" t="s">
        <v>1245</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2393</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2394</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1532</v>
      </c>
      <c r="B3877" s="21" t="s">
        <v>1199</v>
      </c>
      <c r="C3877" s="21" t="s">
        <v>1192</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1534</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1193</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670</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427</v>
      </c>
      <c r="B3881" s="21" t="s">
        <v>1202</v>
      </c>
      <c r="C3881" s="21" t="s">
        <v>1246</v>
      </c>
      <c r="D3881" s="21" t="s">
        <v>1188</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1205</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2119</v>
      </c>
      <c r="B3883" s="21" t="s">
        <v>1186</v>
      </c>
      <c r="C3883" s="21" t="s">
        <v>1192</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2089</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2395</v>
      </c>
      <c r="B3885" s="21" t="s">
        <v>1186</v>
      </c>
      <c r="C3885" s="21" t="s">
        <v>1308</v>
      </c>
      <c r="D3885" s="21" t="s">
        <v>1188</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708</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826</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row>
    <row r="3889" spans="1:12">
      <c r="A3889" s="20" t="s">
        <v>2396</v>
      </c>
    </row>
    <row r="3890" spans="1:12">
      <c r="A3890" s="20" t="s">
        <v>1270</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1190</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1316</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1194</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1402</v>
      </c>
      <c r="B3894" s="21" t="s">
        <v>1202</v>
      </c>
      <c r="C3894" s="21" t="s">
        <v>1187</v>
      </c>
      <c r="D3894" s="21" t="s">
        <v>1188</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1278</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1271</v>
      </c>
      <c r="B3896" s="21" t="s">
        <v>1202</v>
      </c>
      <c r="C3896" s="21" t="s">
        <v>1203</v>
      </c>
      <c r="D3896" s="21" t="s">
        <v>1188</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712</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1193</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1366</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185</v>
      </c>
      <c r="B3900" s="21" t="s">
        <v>1248</v>
      </c>
      <c r="C3900" s="21" t="s">
        <v>1203</v>
      </c>
      <c r="D3900" s="21" t="s">
        <v>1188</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1360</v>
      </c>
      <c r="B3901" s="21" t="s">
        <v>1215</v>
      </c>
      <c r="C3901" s="21" t="s">
        <v>1216</v>
      </c>
      <c r="D3901" s="21" t="s">
        <v>1188</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2397</v>
      </c>
      <c r="B3902" s="21" t="s">
        <v>1248</v>
      </c>
      <c r="C3902" s="21" t="s">
        <v>1218</v>
      </c>
      <c r="D3902" s="21" t="s">
        <v>1188</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1427</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1602</v>
      </c>
      <c r="B3904" s="21" t="s">
        <v>1199</v>
      </c>
      <c r="C3904" s="21" t="s">
        <v>1401</v>
      </c>
      <c r="D3904" s="21" t="s">
        <v>1188</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1206</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1679</v>
      </c>
      <c r="B3906" s="21" t="s">
        <v>1215</v>
      </c>
      <c r="C3906" s="21" t="s">
        <v>1187</v>
      </c>
      <c r="D3906" s="21" t="s">
        <v>1188</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11</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2398</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2129</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2399</v>
      </c>
      <c r="B3910" s="21" t="s">
        <v>1199</v>
      </c>
      <c r="C3910" s="21" t="s">
        <v>1192</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2400</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1265</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826</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row>
    <row r="3915" spans="1:12">
      <c r="A3915" s="20" t="s">
        <v>2401</v>
      </c>
    </row>
    <row r="3916" spans="1:12">
      <c r="A3916" s="20" t="s">
        <v>2402</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1265</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1502</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2403</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2404</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680</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2405</v>
      </c>
      <c r="B3922" s="21" t="s">
        <v>1186</v>
      </c>
      <c r="C3922" s="21" t="s">
        <v>1196</v>
      </c>
      <c r="D3922" s="21" t="s">
        <v>1188</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1193</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1206</v>
      </c>
      <c r="B3924" s="21" t="s">
        <v>1248</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1226</v>
      </c>
      <c r="B3925" s="21" t="s">
        <v>1245</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2406</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826</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row>
    <row r="3929" spans="1:12">
      <c r="A3929" s="20" t="s">
        <v>2407</v>
      </c>
    </row>
    <row r="3930" spans="1:12">
      <c r="A3930" s="20" t="s">
        <v>1294</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1190</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1333</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1310</v>
      </c>
      <c r="B3933" s="21" t="s">
        <v>1248</v>
      </c>
      <c r="C3933" s="21" t="s">
        <v>1262</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1226</v>
      </c>
      <c r="B3934" s="21" t="s">
        <v>1245</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1194</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2408</v>
      </c>
      <c r="B3936" s="21" t="s">
        <v>1248</v>
      </c>
      <c r="C3936" s="21" t="s">
        <v>1401</v>
      </c>
      <c r="D3936" s="21" t="s">
        <v>1188</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1297</v>
      </c>
      <c r="B3937" s="21" t="s">
        <v>1285</v>
      </c>
      <c r="C3937" s="21" t="s">
        <v>1216</v>
      </c>
      <c r="D3937" s="21" t="s">
        <v>1188</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1683</v>
      </c>
      <c r="B3938" s="21" t="s">
        <v>1215</v>
      </c>
      <c r="C3938" s="21" t="s">
        <v>1218</v>
      </c>
      <c r="D3938" s="21" t="s">
        <v>1188</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1250</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1268</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2409</v>
      </c>
      <c r="B3941" s="21" t="s">
        <v>1199</v>
      </c>
      <c r="C3941" s="21" t="s">
        <v>1196</v>
      </c>
      <c r="D3941" s="21" t="s">
        <v>1188</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1208</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2399</v>
      </c>
      <c r="B3943" s="21" t="s">
        <v>1215</v>
      </c>
      <c r="C3943" s="21" t="s">
        <v>1192</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2410</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1193</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1243</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1310</v>
      </c>
      <c r="B3947" s="21" t="s">
        <v>1202</v>
      </c>
      <c r="C3947" s="21" t="s">
        <v>1262</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1193</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1366</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185</v>
      </c>
      <c r="B3950" s="21" t="s">
        <v>1248</v>
      </c>
      <c r="C3950" s="21" t="s">
        <v>1203</v>
      </c>
      <c r="D3950" s="21" t="s">
        <v>1188</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2395</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1329</v>
      </c>
      <c r="B3952" s="21" t="s">
        <v>1215</v>
      </c>
      <c r="C3952" s="21" t="s">
        <v>1246</v>
      </c>
      <c r="D3952" s="21" t="s">
        <v>1188</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2411</v>
      </c>
      <c r="B3953" s="21" t="s">
        <v>1248</v>
      </c>
      <c r="C3953" s="21" t="s">
        <v>1331</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1447</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826</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row>
    <row r="3957" spans="1:12">
      <c r="A3957" s="20" t="s">
        <v>2412</v>
      </c>
    </row>
    <row r="3958" spans="1:12">
      <c r="A3958" s="20" t="s">
        <v>1607</v>
      </c>
      <c r="B3958" s="21" t="s">
        <v>1202</v>
      </c>
      <c r="C3958" s="21" t="s">
        <v>1203</v>
      </c>
      <c r="D3958" s="21" t="s">
        <v>1188</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1444</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1226</v>
      </c>
      <c r="B3960" s="21" t="s">
        <v>1212</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1321</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1205</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2413</v>
      </c>
      <c r="B3963" s="21" t="s">
        <v>1199</v>
      </c>
      <c r="C3963" s="21" t="s">
        <v>1304</v>
      </c>
      <c r="D3963" s="21" t="s">
        <v>1188</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2414</v>
      </c>
      <c r="B3964" s="21" t="s">
        <v>1186</v>
      </c>
      <c r="C3964" s="21" t="s">
        <v>1192</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724</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1193</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1662</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427</v>
      </c>
      <c r="B3968" s="21" t="s">
        <v>1248</v>
      </c>
      <c r="C3968" s="21" t="s">
        <v>1246</v>
      </c>
      <c r="D3968" s="21" t="s">
        <v>1188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1502</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1510</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2209</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2415</v>
      </c>
      <c r="B3972" s="21" t="s">
        <v>1245</v>
      </c>
      <c r="C3972" s="21" t="s">
        <v>1196</v>
      </c>
      <c r="D3972" s="21" t="s">
        <v>1188</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163</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826</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row>
    <row r="3976" spans="1:12">
      <c r="A3976" s="20" t="s">
        <v>2416</v>
      </c>
    </row>
    <row r="3977" spans="1:12">
      <c r="A3977" s="20" t="s">
        <v>1839</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1510</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2417</v>
      </c>
      <c r="B3979" s="21" t="s">
        <v>1202</v>
      </c>
      <c r="C3979" s="21" t="s">
        <v>1196</v>
      </c>
      <c r="D3979" s="21" t="s">
        <v>1188</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1193</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1206</v>
      </c>
      <c r="B3981" s="21" t="s">
        <v>1313</v>
      </c>
      <c r="C3981" s="21" t="s">
        <v>1246</v>
      </c>
      <c r="D3981" s="21" t="s">
        <v>1188</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1668</v>
      </c>
      <c r="B3982" s="21" t="s">
        <v>1311</v>
      </c>
      <c r="C3982" s="21" t="s">
        <v>1246</v>
      </c>
      <c r="D3982" s="21" t="s">
        <v>1188</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2418</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1206</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2419</v>
      </c>
      <c r="B3985" s="21" t="s">
        <v>1215</v>
      </c>
      <c r="C3985" s="21" t="s">
        <v>1196</v>
      </c>
      <c r="D3985" s="21" t="s">
        <v>1188</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2420</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1193</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2421</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1668</v>
      </c>
      <c r="B3989" s="21" t="s">
        <v>1202</v>
      </c>
      <c r="C3989" s="21" t="s">
        <v>1246</v>
      </c>
      <c r="D3989" s="21" t="s">
        <v>1188</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2422</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1683</v>
      </c>
      <c r="B3991" s="21" t="s">
        <v>1212</v>
      </c>
      <c r="C3991" s="21" t="s">
        <v>1192</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1302</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2423</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2424</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826</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row>
    <row r="3997" spans="1:12">
      <c r="A3997" s="20" t="s">
        <v>2425</v>
      </c>
    </row>
    <row r="3998" spans="1:12">
      <c r="A3998" s="20" t="s">
        <v>1839</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1488</v>
      </c>
      <c r="B3999" s="21" t="s">
        <v>1248</v>
      </c>
      <c r="C3999" s="21" t="s">
        <v>1196</v>
      </c>
      <c r="D3999" s="21" t="s">
        <v>1188</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1193</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1206</v>
      </c>
      <c r="B4001" s="21" t="s">
        <v>1296</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1232</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1214</v>
      </c>
      <c r="B4003" s="21" t="s">
        <v>1298</v>
      </c>
      <c r="C4003" s="21" t="s">
        <v>1216</v>
      </c>
      <c r="D4003" s="21" t="s">
        <v>1188</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2426</v>
      </c>
      <c r="B4004" s="21" t="s">
        <v>1285</v>
      </c>
      <c r="C4004" s="21" t="s">
        <v>1218</v>
      </c>
      <c r="D4004" s="21" t="s">
        <v>1188</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2427</v>
      </c>
      <c r="B4005" s="21" t="s">
        <v>1347</v>
      </c>
      <c r="C4005" s="21" t="s">
        <v>1192</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513</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1260</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1302</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2191</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1039</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2428</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1204</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1193</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1278</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1489</v>
      </c>
      <c r="B4015" s="21" t="s">
        <v>1212</v>
      </c>
      <c r="C4015" s="21" t="s">
        <v>1192</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2429</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1193</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1520</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185</v>
      </c>
      <c r="B4019" s="21" t="s">
        <v>1245</v>
      </c>
      <c r="C4019" s="21" t="s">
        <v>1203</v>
      </c>
      <c r="D4019" s="21" t="s">
        <v>1188</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1337</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2430</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826</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row>
    <row r="4024" spans="1:12">
      <c r="A4024" s="20" t="s">
        <v>2431</v>
      </c>
    </row>
    <row r="4025" spans="1:12">
      <c r="A4025" s="20" t="s">
        <v>2432</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2433</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2434</v>
      </c>
      <c r="B4027" s="21" t="s">
        <v>1212</v>
      </c>
      <c r="C4027" s="21" t="s">
        <v>1401</v>
      </c>
      <c r="D4027" s="21" t="s">
        <v>1188</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1197</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2435</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2436</v>
      </c>
      <c r="B4030" s="21" t="s">
        <v>1199</v>
      </c>
      <c r="C4030" s="21" t="s">
        <v>1187</v>
      </c>
      <c r="D4030" s="21" t="s">
        <v>1188</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1193</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1194</v>
      </c>
      <c r="B4032" s="21" t="s">
        <v>1296</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1538</v>
      </c>
      <c r="B4033" s="21" t="s">
        <v>1298</v>
      </c>
      <c r="C4033" s="21" t="s">
        <v>1262</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1502</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1414</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2437</v>
      </c>
      <c r="B4036" s="21" t="s">
        <v>1347</v>
      </c>
      <c r="C4036" s="21" t="s">
        <v>1196</v>
      </c>
      <c r="D4036" s="21" t="s">
        <v>1188</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2438</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163</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1193</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96</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1193</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1360</v>
      </c>
      <c r="B4042" s="21" t="s">
        <v>1285</v>
      </c>
      <c r="C4042" s="21" t="s">
        <v>1216</v>
      </c>
      <c r="D4042" s="21" t="s">
        <v>1188</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1683</v>
      </c>
      <c r="B4043" s="21" t="s">
        <v>1311</v>
      </c>
      <c r="C4043" s="21" t="s">
        <v>1218</v>
      </c>
      <c r="D4043" s="21" t="s">
        <v>1188</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163</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1556</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1039</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1544</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1283</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2439</v>
      </c>
      <c r="B4049" s="21" t="s">
        <v>1245</v>
      </c>
      <c r="C4049" s="21" t="s">
        <v>1231</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2440</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1193</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1206</v>
      </c>
      <c r="B4052" s="21" t="s">
        <v>1311</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1232</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1210</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1603</v>
      </c>
      <c r="B4055" s="21" t="s">
        <v>1215</v>
      </c>
      <c r="C4055" s="21" t="s">
        <v>1187</v>
      </c>
      <c r="D4055" s="21" t="s">
        <v>1188</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2441</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826</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row>
    <row r="4059" spans="1:12">
      <c r="A4059" s="20" t="s">
        <v>2442</v>
      </c>
    </row>
    <row r="4060" spans="1:12">
      <c r="A4060" s="20" t="s">
        <v>1801</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1265</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185</v>
      </c>
      <c r="B4062" s="21" t="s">
        <v>1202</v>
      </c>
      <c r="C4062" s="21" t="s">
        <v>1203</v>
      </c>
      <c r="D4062" s="21" t="s">
        <v>1188</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1256</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2399</v>
      </c>
      <c r="B4064" s="21" t="s">
        <v>1186</v>
      </c>
      <c r="C4064" s="21" t="s">
        <v>1192</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1193</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1210</v>
      </c>
      <c r="B4066" s="21" t="s">
        <v>1245</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427</v>
      </c>
      <c r="B4067" s="21" t="s">
        <v>1248</v>
      </c>
      <c r="C4067" s="21" t="s">
        <v>1246</v>
      </c>
      <c r="D4067" s="21" t="s">
        <v>1188</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2443</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1257</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row>
    <row r="4071" spans="1:12">
      <c r="A4071" s="20" t="s">
        <v>2444</v>
      </c>
    </row>
    <row r="4072" spans="1:12">
      <c r="A4072" s="20" t="s">
        <v>2445</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1360</v>
      </c>
      <c r="B4073" s="21" t="s">
        <v>1285</v>
      </c>
      <c r="C4073" s="21" t="s">
        <v>1216</v>
      </c>
      <c r="D4073" s="21" t="s">
        <v>1188</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1683</v>
      </c>
      <c r="B4074" s="21" t="s">
        <v>1311</v>
      </c>
      <c r="C4074" s="21" t="s">
        <v>1218</v>
      </c>
      <c r="D4074" s="21" t="s">
        <v>1188</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2446</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1283</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2447</v>
      </c>
      <c r="B4077" s="21" t="s">
        <v>1245</v>
      </c>
      <c r="C4077" s="21" t="s">
        <v>1231</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1257</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row>
    <row r="4080" spans="1:12">
      <c r="A4080" s="20" t="s">
        <v>2448</v>
      </c>
    </row>
    <row r="4081" spans="1:12">
      <c r="A4081" s="20" t="s">
        <v>1201</v>
      </c>
      <c r="B4081" s="21" t="s">
        <v>1202</v>
      </c>
      <c r="C4081" s="21" t="s">
        <v>1203</v>
      </c>
      <c r="D4081" s="21" t="s">
        <v>1188</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2449</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2450</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1193</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1302</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1039</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1261</v>
      </c>
      <c r="B4087" s="21" t="s">
        <v>1215</v>
      </c>
      <c r="C4087" s="21" t="s">
        <v>1262</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2451</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2452</v>
      </c>
      <c r="B4089" s="21" t="s">
        <v>1248</v>
      </c>
      <c r="C4089" s="21" t="s">
        <v>1331</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1206</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1512</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1345</v>
      </c>
      <c r="B4092" s="21" t="s">
        <v>1215</v>
      </c>
      <c r="C4092" s="21" t="s">
        <v>1196</v>
      </c>
      <c r="D4092" s="21" t="s">
        <v>1188</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96</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2450</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826</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row>
    <row r="4097" spans="1:12">
      <c r="A4097" s="20" t="s">
        <v>2453</v>
      </c>
    </row>
    <row r="4098" spans="1:12">
      <c r="A4098" s="20" t="s">
        <v>1270</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1190</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2454</v>
      </c>
      <c r="B4100" s="21" t="s">
        <v>1202</v>
      </c>
      <c r="C4100" s="21" t="s">
        <v>1187</v>
      </c>
      <c r="D4100" s="21" t="s">
        <v>1188</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57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1193</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185</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1447</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1283</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2455</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2456</v>
      </c>
      <c r="B4107" s="21" t="s">
        <v>1212</v>
      </c>
      <c r="C4107" s="21" t="s">
        <v>1231</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1359</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1668</v>
      </c>
      <c r="B4109" s="21" t="s">
        <v>1199</v>
      </c>
      <c r="C4109" s="21" t="s">
        <v>1246</v>
      </c>
      <c r="D4109" s="21" t="s">
        <v>1188</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1427</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1210</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2215</v>
      </c>
      <c r="B4112" s="21" t="s">
        <v>1199</v>
      </c>
      <c r="C4112" s="21" t="s">
        <v>1196</v>
      </c>
      <c r="D4112" s="21" t="s">
        <v>1188</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2129</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1210</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2457</v>
      </c>
      <c r="B4115" s="21" t="s">
        <v>1215</v>
      </c>
      <c r="C4115" s="21" t="s">
        <v>1196</v>
      </c>
      <c r="D4115" s="21" t="s">
        <v>1188</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1257</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row>
    <row r="4118" spans="1:12">
      <c r="A4118" s="20" t="s">
        <v>2458</v>
      </c>
    </row>
    <row r="4119" spans="1:12">
      <c r="A4119" s="20" t="s">
        <v>1294</v>
      </c>
      <c r="B4119" s="21" t="s">
        <v>1186</v>
      </c>
      <c r="C4119" s="21" t="s">
        <v>1203</v>
      </c>
      <c r="D4119" s="21" t="s">
        <v>1188</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1190</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2459</v>
      </c>
      <c r="B4121" s="21" t="s">
        <v>1186</v>
      </c>
      <c r="C4121" s="21" t="s">
        <v>1192</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1193</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1271</v>
      </c>
      <c r="B4123" s="21" t="s">
        <v>1311</v>
      </c>
      <c r="C4123" s="21" t="s">
        <v>1203</v>
      </c>
      <c r="D4123" s="21" t="s">
        <v>1188</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2460</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1275</v>
      </c>
      <c r="B4125" s="21" t="s">
        <v>1313</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1321</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2461</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826</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row>
    <row r="4130" spans="1:12">
      <c r="A4130" s="20" t="s">
        <v>2462</v>
      </c>
    </row>
    <row r="4131" spans="1:12">
      <c r="A4131" s="20" t="s">
        <v>1589</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57</v>
      </c>
      <c r="B4132" s="21" t="s">
        <v>1202</v>
      </c>
      <c r="C4132" s="21" t="s">
        <v>1203</v>
      </c>
      <c r="D4132" s="21" t="s">
        <v>1188</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1502</v>
      </c>
      <c r="B4133" s="21" t="s">
        <v>1212</v>
      </c>
      <c r="C4133" s="21" t="s">
        <v>1216</v>
      </c>
      <c r="D4133" s="21" t="s">
        <v>1188</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755</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1257</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row>
    <row r="4137" spans="1:12">
      <c r="A4137" s="20" t="s">
        <v>2463</v>
      </c>
    </row>
    <row r="4138" spans="1:12">
      <c r="A4138" s="20" t="s">
        <v>1270</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1190</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2464</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826</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row>
    <row r="4143" spans="1:12">
      <c r="A4143" s="20" t="s">
        <v>2465</v>
      </c>
    </row>
    <row r="4144" spans="1:12">
      <c r="A4144" s="20" t="s">
        <v>2454</v>
      </c>
      <c r="B4144" s="21" t="s">
        <v>1202</v>
      </c>
      <c r="C4144" s="21" t="s">
        <v>1187</v>
      </c>
      <c r="D4144" s="21" t="s">
        <v>1188</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57</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1193</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185</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1447</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1283</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2025</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1193</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2466</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2456</v>
      </c>
      <c r="B4153" s="21" t="s">
        <v>1212</v>
      </c>
      <c r="C4153" s="21" t="s">
        <v>1231</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1294</v>
      </c>
      <c r="B4154" s="21" t="s">
        <v>1199</v>
      </c>
      <c r="C4154" s="21" t="s">
        <v>1203</v>
      </c>
      <c r="D4154" s="21" t="s">
        <v>1188</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1190</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2467</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826</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row>
    <row r="4159" spans="1:12">
      <c r="A4159" s="20" t="s">
        <v>2468</v>
      </c>
    </row>
    <row r="4160" spans="1:12">
      <c r="A4160" s="20" t="s">
        <v>272</v>
      </c>
      <c r="B4160" s="21" t="s">
        <v>1202</v>
      </c>
      <c r="C4160" s="21" t="s">
        <v>1192</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1766</v>
      </c>
      <c r="B4161" s="21" t="s">
        <v>1199</v>
      </c>
      <c r="C4161" s="21" t="s">
        <v>1187</v>
      </c>
      <c r="D4161" s="21" t="s">
        <v>1188</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1265</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2399</v>
      </c>
      <c r="B4163" s="21" t="s">
        <v>1186</v>
      </c>
      <c r="C4163" s="21" t="s">
        <v>1192</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2212</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1502</v>
      </c>
      <c r="B4165" s="21" t="s">
        <v>1248</v>
      </c>
      <c r="C4165" s="21" t="s">
        <v>1246</v>
      </c>
      <c r="D4165" s="21" t="s">
        <v>1188</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2469</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1193</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1244</v>
      </c>
      <c r="B4168" s="21" t="s">
        <v>1248</v>
      </c>
      <c r="C4168" s="21" t="s">
        <v>1246</v>
      </c>
      <c r="D4168" s="21" t="s">
        <v>1188</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427</v>
      </c>
      <c r="B4169" s="21" t="s">
        <v>1248</v>
      </c>
      <c r="C4169" s="21" t="s">
        <v>1246</v>
      </c>
      <c r="D4169" s="21" t="s">
        <v>1188</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1232</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1206</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1336</v>
      </c>
      <c r="B4172" s="21" t="s">
        <v>1199</v>
      </c>
      <c r="C4172" s="21" t="s">
        <v>1196</v>
      </c>
      <c r="D4172" s="21" t="s">
        <v>1188</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1206</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2470</v>
      </c>
      <c r="B4174" s="21" t="s">
        <v>1215</v>
      </c>
      <c r="C4174" s="21" t="s">
        <v>1196</v>
      </c>
      <c r="D4174" s="21" t="s">
        <v>1188</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1494</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2471</v>
      </c>
      <c r="B4176" s="21" t="s">
        <v>1245</v>
      </c>
      <c r="C4176" s="21" t="s">
        <v>1231</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728</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1929</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826</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row>
    <row r="4181" spans="1:12">
      <c r="A4181" s="20" t="s">
        <v>2472</v>
      </c>
    </row>
    <row r="4182" spans="1:12">
      <c r="A4182" s="20" t="s">
        <v>2399</v>
      </c>
      <c r="B4182" s="21" t="s">
        <v>1202</v>
      </c>
      <c r="C4182" s="21" t="s">
        <v>1192</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1265</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1388</v>
      </c>
      <c r="B4184" s="21" t="s">
        <v>1186</v>
      </c>
      <c r="C4184" s="21" t="s">
        <v>1262</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1193</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1502</v>
      </c>
      <c r="B4186" s="21" t="s">
        <v>1248</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1494</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2473</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2056</v>
      </c>
      <c r="B4189" s="21" t="s">
        <v>1245</v>
      </c>
      <c r="C4189" s="21" t="s">
        <v>1231</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2474</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1193</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1194</v>
      </c>
      <c r="B4192" s="21" t="s">
        <v>1311</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185</v>
      </c>
      <c r="B4193" s="21" t="s">
        <v>1313</v>
      </c>
      <c r="C4193" s="21" t="s">
        <v>1203</v>
      </c>
      <c r="D4193" s="21" t="s">
        <v>1188</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2166</v>
      </c>
      <c r="B4194" s="21" t="s">
        <v>1313</v>
      </c>
      <c r="C4194" s="21" t="s">
        <v>1192</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2475</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1193</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1502</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2476</v>
      </c>
      <c r="B4198" s="21" t="s">
        <v>1347</v>
      </c>
      <c r="C4198" s="21" t="s">
        <v>1196</v>
      </c>
      <c r="D4198" s="21" t="s">
        <v>1188</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1208</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2477</v>
      </c>
      <c r="B4200" s="21" t="s">
        <v>1298</v>
      </c>
      <c r="C4200" s="21" t="s">
        <v>1192</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1302</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1465</v>
      </c>
      <c r="B4202" s="21" t="s">
        <v>1499</v>
      </c>
      <c r="C4202" s="21" t="s">
        <v>1192</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1337</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2478</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1193</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1455</v>
      </c>
      <c r="B4206" s="21" t="s">
        <v>1313</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1668</v>
      </c>
      <c r="B4207" s="21" t="s">
        <v>1311</v>
      </c>
      <c r="C4207" s="21" t="s">
        <v>1246</v>
      </c>
      <c r="D4207" s="21" t="s">
        <v>1188</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2479</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1321</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2480</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1929</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826</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row>
    <row r="4214" spans="1:12">
      <c r="A4214" s="20" t="s">
        <v>2481</v>
      </c>
    </row>
    <row r="4215" spans="1:12">
      <c r="A4215" s="20" t="s">
        <v>1730</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1683</v>
      </c>
      <c r="B4216" s="21" t="s">
        <v>1186</v>
      </c>
      <c r="C4216" s="21" t="s">
        <v>1192</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1193</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1194</v>
      </c>
      <c r="B4218" s="21" t="s">
        <v>1311</v>
      </c>
      <c r="C4218" s="21" t="s">
        <v>1246</v>
      </c>
      <c r="D4218" s="21" t="s">
        <v>1188</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2274</v>
      </c>
      <c r="B4219" s="21" t="s">
        <v>1313</v>
      </c>
      <c r="C4219" s="21" t="s">
        <v>1187</v>
      </c>
      <c r="D4219" s="21" t="s">
        <v>1188</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1378</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2291</v>
      </c>
      <c r="B4221" s="21" t="s">
        <v>1285</v>
      </c>
      <c r="C4221" s="21" t="s">
        <v>1187</v>
      </c>
      <c r="D4221" s="21" t="s">
        <v>1188</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2482</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1193</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2041</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1194</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1402</v>
      </c>
      <c r="B4226" s="21" t="s">
        <v>1202</v>
      </c>
      <c r="C4226" s="21" t="s">
        <v>1187</v>
      </c>
      <c r="D4226" s="21" t="s">
        <v>1188</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1939</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1232</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1210</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2483</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11</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1429</v>
      </c>
      <c r="B4232" s="21" t="s">
        <v>1186</v>
      </c>
      <c r="C4232" s="21" t="s">
        <v>1196</v>
      </c>
      <c r="D4232" s="21" t="s">
        <v>1188</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1520</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2484</v>
      </c>
      <c r="B4234" s="21" t="s">
        <v>1186</v>
      </c>
      <c r="C4234" s="21" t="s">
        <v>1192</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826</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row>
    <row r="4237" spans="1:12">
      <c r="A4237" s="20" t="s">
        <v>2485</v>
      </c>
    </row>
    <row r="4238" spans="1:12">
      <c r="A4238" s="20" t="s">
        <v>1607</v>
      </c>
      <c r="B4238" s="21" t="s">
        <v>1202</v>
      </c>
      <c r="C4238" s="21" t="s">
        <v>1203</v>
      </c>
      <c r="D4238" s="21" t="s">
        <v>1188</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2041</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1502</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2486</v>
      </c>
      <c r="B4241" s="21" t="s">
        <v>1212</v>
      </c>
      <c r="C4241" s="21" t="s">
        <v>1196</v>
      </c>
      <c r="D4241" s="21" t="s">
        <v>1188</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1193</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1226</v>
      </c>
      <c r="B4243" s="21" t="s">
        <v>1313</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1250</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1268</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1488</v>
      </c>
      <c r="B4246" s="21" t="s">
        <v>1215</v>
      </c>
      <c r="C4246" s="21" t="s">
        <v>1196</v>
      </c>
      <c r="D4246" s="21" t="s">
        <v>1188</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2395</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2487</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826</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row>
    <row r="4251" spans="1:12">
      <c r="A4251" s="20" t="s">
        <v>2488</v>
      </c>
    </row>
    <row r="4252" spans="1:12">
      <c r="A4252" s="20" t="s">
        <v>959</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1502</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2486</v>
      </c>
      <c r="B4254" s="21" t="s">
        <v>1202</v>
      </c>
      <c r="C4254" s="21" t="s">
        <v>1187</v>
      </c>
      <c r="D4254" s="21" t="s">
        <v>1188</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2489</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1226</v>
      </c>
      <c r="B4256" s="21" t="s">
        <v>1212</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1250</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1268</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1488</v>
      </c>
      <c r="B4259" s="21" t="s">
        <v>1186</v>
      </c>
      <c r="C4259" s="21" t="s">
        <v>1196</v>
      </c>
      <c r="D4259" s="21" t="s">
        <v>1188</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2395</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680</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826</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row>
    <row r="4264" spans="1:12">
      <c r="A4264" s="20" t="s">
        <v>2490</v>
      </c>
    </row>
    <row r="4265" spans="1:12">
      <c r="A4265" s="20" t="s">
        <v>1316</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1206</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1488</v>
      </c>
      <c r="B4267" s="21" t="s">
        <v>1202</v>
      </c>
      <c r="C4267" s="21" t="s">
        <v>1196</v>
      </c>
      <c r="D4267" s="21" t="s">
        <v>1188</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1302</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1502</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2374</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1541</v>
      </c>
      <c r="B4271" s="21" t="s">
        <v>1199</v>
      </c>
      <c r="C4271" s="21" t="s">
        <v>1196</v>
      </c>
      <c r="D4271" s="21" t="s">
        <v>1188</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1608</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2450</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826</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row>
    <row r="4276" spans="1:12">
      <c r="A4276" s="20" t="s">
        <v>2491</v>
      </c>
    </row>
    <row r="4277" spans="1:12">
      <c r="A4277" s="20" t="s">
        <v>1607</v>
      </c>
      <c r="B4277" s="21" t="s">
        <v>1202</v>
      </c>
      <c r="C4277" s="21" t="s">
        <v>1203</v>
      </c>
      <c r="D4277" s="21" t="s">
        <v>1188</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1608</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1193</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185</v>
      </c>
      <c r="B4280" s="21" t="s">
        <v>1311</v>
      </c>
      <c r="C4280" s="21" t="s">
        <v>1203</v>
      </c>
      <c r="D4280" s="21" t="s">
        <v>1188</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1794</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1502</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1503</v>
      </c>
      <c r="B4283" s="21" t="s">
        <v>1245</v>
      </c>
      <c r="C4283" s="21" t="s">
        <v>1196</v>
      </c>
      <c r="D4283" s="21" t="s">
        <v>1188</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1359</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1462</v>
      </c>
      <c r="B4285" s="21" t="s">
        <v>1285</v>
      </c>
      <c r="C4285" s="21" t="s">
        <v>1304</v>
      </c>
      <c r="D4285" s="21" t="s">
        <v>1188</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2226</v>
      </c>
      <c r="B4286" s="21" t="s">
        <v>1215</v>
      </c>
      <c r="C4286" s="21" t="s">
        <v>1192</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1321</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2400</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826</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row>
    <row r="4291" spans="1:12">
      <c r="A4291" s="20" t="s">
        <v>2492</v>
      </c>
    </row>
    <row r="4292" spans="1:12">
      <c r="A4292" s="20" t="s">
        <v>1607</v>
      </c>
      <c r="B4292" s="21" t="s">
        <v>1202</v>
      </c>
      <c r="C4292" s="21" t="s">
        <v>1203</v>
      </c>
      <c r="D4292" s="21" t="s">
        <v>1188</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1608</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1193</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1206</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1561</v>
      </c>
      <c r="B4296" s="21" t="s">
        <v>1248</v>
      </c>
      <c r="C4296" s="21" t="s">
        <v>1187</v>
      </c>
      <c r="D4296" s="21" t="s">
        <v>1188</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1359</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1194</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2230</v>
      </c>
      <c r="B4299" s="21" t="s">
        <v>1215</v>
      </c>
      <c r="C4299" s="21" t="s">
        <v>1196</v>
      </c>
      <c r="D4299" s="21" t="s">
        <v>1188</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1794</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1337</v>
      </c>
      <c r="B4301" s="21" t="s">
        <v>1199</v>
      </c>
      <c r="C4301" s="21" t="s">
        <v>1262</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2493</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1193</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1520</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1210</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1476</v>
      </c>
      <c r="B4306" s="21" t="s">
        <v>1313</v>
      </c>
      <c r="C4306" s="21" t="s">
        <v>1196</v>
      </c>
      <c r="D4306" s="21" t="s">
        <v>1188</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1337</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2494</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826</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row>
    <row r="4311" spans="1:12">
      <c r="A4311" s="20" t="s">
        <v>2495</v>
      </c>
    </row>
    <row r="4312" spans="1:12">
      <c r="A4312" s="20" t="s">
        <v>1316</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427</v>
      </c>
      <c r="B4313" s="21" t="s">
        <v>1202</v>
      </c>
      <c r="C4313" s="21" t="s">
        <v>1246</v>
      </c>
      <c r="D4313" s="21" t="s">
        <v>1188</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163</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1232</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1206</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2316</v>
      </c>
      <c r="B4317" s="21" t="s">
        <v>1186</v>
      </c>
      <c r="C4317" s="21" t="s">
        <v>1615</v>
      </c>
      <c r="D4317" s="21" t="s">
        <v>1188</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2284</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1268</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52</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826</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row>
    <row r="4323" spans="1:12">
      <c r="A4323" s="20" t="s">
        <v>2496</v>
      </c>
    </row>
    <row r="4324" spans="1:12">
      <c r="A4324" s="20" t="s">
        <v>2352</v>
      </c>
      <c r="B4324" s="21" t="s">
        <v>1186</v>
      </c>
      <c r="C4324" s="21" t="s">
        <v>1187</v>
      </c>
      <c r="D4324" s="21" t="s">
        <v>1188</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1365</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1193</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1366</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1668</v>
      </c>
      <c r="B4328" s="21" t="s">
        <v>1248</v>
      </c>
      <c r="C4328" s="21" t="s">
        <v>1246</v>
      </c>
      <c r="D4328" s="21" t="s">
        <v>1188</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1337</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1206</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2497</v>
      </c>
      <c r="B4331" s="21" t="s">
        <v>1199</v>
      </c>
      <c r="C4331" s="21" t="s">
        <v>1196</v>
      </c>
      <c r="D4331" s="21" t="s">
        <v>1188</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2498</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1302</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1210</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2399</v>
      </c>
      <c r="B4335" s="21" t="s">
        <v>1313</v>
      </c>
      <c r="C4335" s="21" t="s">
        <v>1196</v>
      </c>
      <c r="D4335" s="21" t="s">
        <v>1188</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1427</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2499</v>
      </c>
      <c r="B4337" s="21" t="s">
        <v>1215</v>
      </c>
      <c r="C4337" s="21" t="s">
        <v>1192</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2500</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1193</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1520</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1194</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1683</v>
      </c>
      <c r="B4342" s="21" t="s">
        <v>1313</v>
      </c>
      <c r="C4342" s="21" t="s">
        <v>1196</v>
      </c>
      <c r="D4342" s="21" t="s">
        <v>1188</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1232</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1268</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1452</v>
      </c>
      <c r="B4345" s="21" t="s">
        <v>1285</v>
      </c>
      <c r="C4345" s="21" t="s">
        <v>1196</v>
      </c>
      <c r="D4345" s="21" t="s">
        <v>1188</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1337</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2501</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1193</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1459</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1210</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1488</v>
      </c>
      <c r="B4351" s="21" t="s">
        <v>1215</v>
      </c>
      <c r="C4351" s="21" t="s">
        <v>1196</v>
      </c>
      <c r="D4351" s="21" t="s">
        <v>1188</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1337</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142</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1193</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1459</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1502</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2374</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1541</v>
      </c>
      <c r="B4358" s="21" t="s">
        <v>1248</v>
      </c>
      <c r="C4358" s="21" t="s">
        <v>1196</v>
      </c>
      <c r="D4358" s="21" t="s">
        <v>1188</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1337</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142</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1193</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1302</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185</v>
      </c>
      <c r="B4363" s="21" t="s">
        <v>1248</v>
      </c>
      <c r="C4363" s="21" t="s">
        <v>1203</v>
      </c>
      <c r="D4363" s="21" t="s">
        <v>1188</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1265</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1360</v>
      </c>
      <c r="B4365" s="21" t="s">
        <v>1199</v>
      </c>
      <c r="C4365" s="21" t="s">
        <v>1216</v>
      </c>
      <c r="D4365" s="21" t="s">
        <v>1188</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1344</v>
      </c>
      <c r="B4366" s="21" t="s">
        <v>1186</v>
      </c>
      <c r="C4366" s="21" t="s">
        <v>1218</v>
      </c>
      <c r="D4366" s="21" t="s">
        <v>1188</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1208</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1345</v>
      </c>
      <c r="B4368" s="21" t="s">
        <v>1199</v>
      </c>
      <c r="C4368" s="21" t="s">
        <v>1192</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1213</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2502</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2503</v>
      </c>
      <c r="B4371" s="21" t="s">
        <v>1215</v>
      </c>
      <c r="C4371" s="21" t="s">
        <v>1192</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1193</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1658</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1206</v>
      </c>
      <c r="B4374" s="21" t="s">
        <v>1215</v>
      </c>
      <c r="C4374" s="21" t="s">
        <v>1246</v>
      </c>
      <c r="D4374" s="21" t="s">
        <v>1188</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427</v>
      </c>
      <c r="B4375" s="21" t="s">
        <v>1311</v>
      </c>
      <c r="C4375" s="21" t="s">
        <v>1246</v>
      </c>
      <c r="D4375" s="21" t="s">
        <v>1188</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1515</v>
      </c>
      <c r="B4376" s="21" t="s">
        <v>1313</v>
      </c>
      <c r="C4376" s="21" t="s">
        <v>1246</v>
      </c>
      <c r="D4376" s="21" t="s">
        <v>1188</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926</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1444</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1193</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1662</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1668</v>
      </c>
      <c r="B4381" s="21" t="s">
        <v>1296</v>
      </c>
      <c r="C4381" s="21" t="s">
        <v>1246</v>
      </c>
      <c r="D4381" s="21" t="s">
        <v>1188</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1462</v>
      </c>
      <c r="B4382" s="21" t="s">
        <v>1298</v>
      </c>
      <c r="C4382" s="21" t="s">
        <v>1304</v>
      </c>
      <c r="D4382" s="21" t="s">
        <v>1188</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1532</v>
      </c>
      <c r="B4383" s="21" t="s">
        <v>1347</v>
      </c>
      <c r="C4383" s="21" t="s">
        <v>1192</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2504</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1302</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1491</v>
      </c>
      <c r="B4386" s="21" t="s">
        <v>1499</v>
      </c>
      <c r="C4386" s="21" t="s">
        <v>1246</v>
      </c>
      <c r="D4386" s="21" t="s">
        <v>1188</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2505</v>
      </c>
      <c r="B4387" s="21" t="s">
        <v>1437</v>
      </c>
      <c r="C4387" s="21" t="s">
        <v>1331</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2506</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826</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row>
    <row r="4391" spans="1:12">
      <c r="A4391" s="20" t="s">
        <v>2507</v>
      </c>
    </row>
    <row r="4392" spans="1:12">
      <c r="A4392" s="20" t="s">
        <v>1270</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1190</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2508</v>
      </c>
      <c r="B4394" s="21" t="s">
        <v>1202</v>
      </c>
      <c r="C4394" s="21" t="s">
        <v>1187</v>
      </c>
      <c r="D4394" s="21" t="s">
        <v>1188</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57</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1283</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798</v>
      </c>
      <c r="B4397" s="21" t="s">
        <v>1186</v>
      </c>
      <c r="C4397" s="21" t="s">
        <v>1231</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1300</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1301</v>
      </c>
      <c r="B4399" s="21" t="s">
        <v>1186</v>
      </c>
      <c r="C4399" s="21" t="s">
        <v>1203</v>
      </c>
      <c r="D4399" s="21" t="s">
        <v>1188</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1257</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row>
    <row r="4402" spans="1:12">
      <c r="A4402" s="20" t="s">
        <v>2509</v>
      </c>
    </row>
    <row r="4403" spans="1:12">
      <c r="A4403" s="20" t="s">
        <v>1201</v>
      </c>
      <c r="B4403" s="21" t="s">
        <v>1202</v>
      </c>
      <c r="C4403" s="21" t="s">
        <v>1203</v>
      </c>
      <c r="D4403" s="21" t="s">
        <v>1188</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1272</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1494</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1388</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2510</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1322</v>
      </c>
      <c r="B4408" s="21" t="s">
        <v>1212</v>
      </c>
      <c r="C4408" s="21" t="s">
        <v>1231</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1227</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1275</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826</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row>
    <row r="4413" spans="1:12">
      <c r="A4413" s="20" t="s">
        <v>2511</v>
      </c>
    </row>
    <row r="4414" spans="1:12">
      <c r="A4414" s="20" t="s">
        <v>2512</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427</v>
      </c>
      <c r="B4415" s="21" t="s">
        <v>1202</v>
      </c>
      <c r="C4415" s="21" t="s">
        <v>1246</v>
      </c>
      <c r="D4415" s="21" t="s">
        <v>1188</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2513</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1208</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2457</v>
      </c>
      <c r="B4418" s="21" t="s">
        <v>1186</v>
      </c>
      <c r="C4418" s="21" t="s">
        <v>1192</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805</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1190</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row>
    <row r="4422" spans="1:12">
      <c r="A4422" s="20" t="s">
        <v>2514</v>
      </c>
    </row>
    <row r="4423" spans="1:12">
      <c r="A4423" s="20" t="s">
        <v>1552</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2515</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1702</v>
      </c>
      <c r="B4425" s="21" t="s">
        <v>1202</v>
      </c>
      <c r="C4425" s="21" t="s">
        <v>1196</v>
      </c>
      <c r="D4425" s="21" t="s">
        <v>1188</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809</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1570</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2516</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2517</v>
      </c>
      <c r="B4429" s="21" t="s">
        <v>1212</v>
      </c>
      <c r="C4429" s="21" t="s">
        <v>1240</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1232</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1233</v>
      </c>
      <c r="B4431" s="21" t="s">
        <v>1199</v>
      </c>
      <c r="C4431" s="21" t="s">
        <v>1187</v>
      </c>
      <c r="D4431" s="21" t="s">
        <v>1188</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2518</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2519</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826</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row>
    <row r="4436" spans="1:12">
      <c r="A4436" s="20" t="s">
        <v>2520</v>
      </c>
    </row>
    <row r="4437" spans="1:12">
      <c r="A4437" s="20" t="s">
        <v>1412</v>
      </c>
      <c r="B4437" s="21" t="s">
        <v>1202</v>
      </c>
      <c r="C4437" s="21" t="s">
        <v>1203</v>
      </c>
      <c r="D4437" s="21" t="s">
        <v>1188</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1399</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2521</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1986</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1193</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2522</v>
      </c>
      <c r="B4442" s="21" t="s">
        <v>1215</v>
      </c>
      <c r="C4442" s="21" t="s">
        <v>1246</v>
      </c>
      <c r="D4442" s="21" t="s">
        <v>1188</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2523</v>
      </c>
      <c r="B4443" s="21" t="s">
        <v>1248</v>
      </c>
      <c r="C4443" s="21" t="s">
        <v>1192</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2524</v>
      </c>
      <c r="B4444" s="21" t="s">
        <v>1215</v>
      </c>
      <c r="C4444" s="21" t="s">
        <v>1187</v>
      </c>
      <c r="D4444" s="21" t="s">
        <v>1188</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2525</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2526</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1265</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1193</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2527</v>
      </c>
      <c r="B4449" s="21" t="s">
        <v>1186</v>
      </c>
      <c r="C4449" s="21" t="s">
        <v>1187</v>
      </c>
      <c r="D4449" s="21" t="s">
        <v>1188</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2525</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1193</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1309</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1668</v>
      </c>
      <c r="B4453" s="21" t="s">
        <v>1311</v>
      </c>
      <c r="C4453" s="21" t="s">
        <v>1246</v>
      </c>
      <c r="D4453" s="21" t="s">
        <v>1188</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1573</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1745</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826</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row>
    <row r="4458" spans="1:12">
      <c r="A4458" s="20" t="s">
        <v>2528</v>
      </c>
    </row>
    <row r="4459" spans="1:12">
      <c r="A4459" s="20" t="s">
        <v>1600</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2529</v>
      </c>
      <c r="B4460" s="21" t="s">
        <v>1202</v>
      </c>
      <c r="C4460" s="21" t="s">
        <v>1231</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1205</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2530</v>
      </c>
      <c r="B4462" s="21" t="s">
        <v>1199</v>
      </c>
      <c r="C4462" s="21" t="s">
        <v>1187</v>
      </c>
      <c r="D4462" s="21" t="s">
        <v>1188</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2531</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1193</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185</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1447</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1702</v>
      </c>
      <c r="B4467" s="21" t="s">
        <v>1248</v>
      </c>
      <c r="C4467" s="21" t="s">
        <v>1192</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1232</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1206</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2532</v>
      </c>
      <c r="B4470" s="21" t="s">
        <v>1199</v>
      </c>
      <c r="C4470" s="21" t="s">
        <v>1196</v>
      </c>
      <c r="D4470" s="21" t="s">
        <v>1188</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1194</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1275</v>
      </c>
      <c r="B4472" s="21" t="s">
        <v>1311</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2533</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38</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2534</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826</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row>
    <row r="4478" spans="1:12">
      <c r="A4478" s="20" t="s">
        <v>2535</v>
      </c>
    </row>
    <row r="4479" spans="1:12">
      <c r="A4479" s="20" t="s">
        <v>1471</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2536</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57</v>
      </c>
      <c r="B4481" s="21" t="s">
        <v>1202</v>
      </c>
      <c r="C4481" s="21" t="s">
        <v>1203</v>
      </c>
      <c r="D4481" s="21" t="s">
        <v>1188</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1307</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1520</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1257</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row>
    <row r="4486" spans="1:12">
      <c r="A4486" s="20" t="s">
        <v>2537</v>
      </c>
    </row>
    <row r="4487" spans="1:12">
      <c r="A4487" s="20" t="s">
        <v>1471</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2536</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57</v>
      </c>
      <c r="B4489" s="21" t="s">
        <v>1202</v>
      </c>
      <c r="C4489" s="21" t="s">
        <v>1203</v>
      </c>
      <c r="D4489" s="21" t="s">
        <v>1188</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1300</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1206</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2538</v>
      </c>
      <c r="B4492" s="21" t="s">
        <v>1186</v>
      </c>
      <c r="C4492" s="21" t="s">
        <v>1196</v>
      </c>
      <c r="D4492" s="21" t="s">
        <v>1188</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1520</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1257</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row>
    <row r="4496" spans="1:12">
      <c r="A4496" s="20" t="s">
        <v>2539</v>
      </c>
    </row>
    <row r="4497" spans="1:12">
      <c r="A4497" s="20" t="s">
        <v>1294</v>
      </c>
      <c r="B4497" s="21" t="s">
        <v>1202</v>
      </c>
      <c r="C4497" s="21" t="s">
        <v>1203</v>
      </c>
      <c r="D4497" s="21" t="s">
        <v>1188</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1190</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1264</v>
      </c>
      <c r="B4499" s="21" t="s">
        <v>1311</v>
      </c>
      <c r="C4499" s="21" t="s">
        <v>1203</v>
      </c>
      <c r="D4499" s="21" t="s">
        <v>1188</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1265</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2540</v>
      </c>
      <c r="B4501" s="21" t="s">
        <v>1215</v>
      </c>
      <c r="C4501" s="21" t="s">
        <v>1246</v>
      </c>
      <c r="D4501" s="21" t="s">
        <v>1188</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2541</v>
      </c>
      <c r="B4502" s="21" t="s">
        <v>1199</v>
      </c>
      <c r="C4502" s="21" t="s">
        <v>1331</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1193</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1366</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185</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1581</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2229</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2183</v>
      </c>
      <c r="B4508" s="21" t="s">
        <v>1296</v>
      </c>
      <c r="C4508" s="21" t="s">
        <v>1192</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1447</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1193</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1194</v>
      </c>
      <c r="B4511" s="21" t="s">
        <v>1436</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1312</v>
      </c>
      <c r="B4512" s="21" t="s">
        <v>1437</v>
      </c>
      <c r="C4512" s="21" t="s">
        <v>1203</v>
      </c>
      <c r="D4512" s="21" t="s">
        <v>1188</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2533</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38</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2534</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826</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row>
    <row r="4518" spans="1:12">
      <c r="A4518" s="20" t="s">
        <v>2542</v>
      </c>
    </row>
    <row r="4519" spans="1:12">
      <c r="A4519" s="20" t="s">
        <v>1201</v>
      </c>
      <c r="B4519" s="21" t="s">
        <v>1202</v>
      </c>
      <c r="C4519" s="21" t="s">
        <v>1203</v>
      </c>
      <c r="D4519" s="21" t="s">
        <v>1188</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1272</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2212</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1302</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2212</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2543</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2544</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1193</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1366</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1271</v>
      </c>
      <c r="B4528" s="21" t="s">
        <v>1248</v>
      </c>
      <c r="C4528" s="21" t="s">
        <v>1203</v>
      </c>
      <c r="D4528" s="21" t="s">
        <v>1188</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2258</v>
      </c>
      <c r="B4529" s="21" t="s">
        <v>1215</v>
      </c>
      <c r="C4529" s="21" t="s">
        <v>1262</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2545</v>
      </c>
      <c r="B4530" s="21" t="s">
        <v>1245</v>
      </c>
      <c r="C4530" s="21" t="s">
        <v>1192</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1193</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1317</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1271</v>
      </c>
      <c r="B4533" s="21" t="s">
        <v>1296</v>
      </c>
      <c r="C4533" s="21" t="s">
        <v>1203</v>
      </c>
      <c r="D4533" s="21" t="s">
        <v>1188</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2546</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2547</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1193</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1318</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1319</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1193</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1244</v>
      </c>
      <c r="B4540" s="21" t="s">
        <v>1245</v>
      </c>
      <c r="C4540" s="21" t="s">
        <v>1246</v>
      </c>
      <c r="D4540" s="21" t="s">
        <v>1188</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1271</v>
      </c>
      <c r="B4541" s="21" t="s">
        <v>1248</v>
      </c>
      <c r="C4541" s="21" t="s">
        <v>1203</v>
      </c>
      <c r="D4541" s="21" t="s">
        <v>1188</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1359</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1502</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2374</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1541</v>
      </c>
      <c r="B4545" s="21" t="s">
        <v>1199</v>
      </c>
      <c r="C4545" s="21" t="s">
        <v>1196</v>
      </c>
      <c r="D4545" s="21" t="s">
        <v>1188</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130</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1260</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826</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row>
    <row r="4550" spans="1:12">
      <c r="A4550" s="20" t="s">
        <v>2548</v>
      </c>
    </row>
    <row r="4551" spans="1:12">
      <c r="A4551" s="20" t="s">
        <v>1201</v>
      </c>
      <c r="B4551" s="21" t="s">
        <v>1202</v>
      </c>
      <c r="C4551" s="21" t="s">
        <v>1203</v>
      </c>
      <c r="D4551" s="21" t="s">
        <v>1188</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1204</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1303</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1345</v>
      </c>
      <c r="B4554" s="21" t="s">
        <v>1212</v>
      </c>
      <c r="C4554" s="21" t="s">
        <v>1240</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1321</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834</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826</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row>
    <row r="4559" spans="1:12">
      <c r="A4559" s="20" t="s">
        <v>1369</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2549</v>
      </c>
    </row>
    <row r="4561" spans="1:12">
      <c r="A4561" s="20" t="s">
        <v>1201</v>
      </c>
      <c r="B4561" s="21" t="s">
        <v>1202</v>
      </c>
      <c r="C4561" s="21" t="s">
        <v>1203</v>
      </c>
      <c r="D4561" s="21" t="s">
        <v>1188</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1204</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1303</v>
      </c>
      <c r="B4563" s="21" t="s">
        <v>1199</v>
      </c>
      <c r="C4563" s="21" t="s">
        <v>1304</v>
      </c>
      <c r="D4563" s="21" t="s">
        <v>1188</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1345</v>
      </c>
      <c r="B4564" s="21" t="s">
        <v>1212</v>
      </c>
      <c r="C4564" s="21" t="s">
        <v>1192</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838</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1193</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1478</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1194</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1935</v>
      </c>
      <c r="B4569" s="21" t="s">
        <v>1199</v>
      </c>
      <c r="C4569" s="21" t="s">
        <v>1196</v>
      </c>
      <c r="D4569" s="21" t="s">
        <v>1188</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1193</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1366</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1668</v>
      </c>
      <c r="B4572" s="21" t="s">
        <v>1296</v>
      </c>
      <c r="C4572" s="21" t="s">
        <v>1246</v>
      </c>
      <c r="D4572" s="21" t="s">
        <v>1188</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2550</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1265</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1193</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1194</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2551</v>
      </c>
      <c r="B4577" s="21" t="s">
        <v>1437</v>
      </c>
      <c r="C4577" s="21" t="s">
        <v>1196</v>
      </c>
      <c r="D4577" s="21" t="s">
        <v>1188</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2552</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1337</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2553</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1193</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1366</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1668</v>
      </c>
      <c r="B4583" s="21" t="s">
        <v>1296</v>
      </c>
      <c r="C4583" s="21" t="s">
        <v>1246</v>
      </c>
      <c r="D4583" s="21" t="s">
        <v>1188</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2550</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1265</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1193</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1733</v>
      </c>
      <c r="B4587" s="21" t="s">
        <v>1437</v>
      </c>
      <c r="C4587" s="21" t="s">
        <v>1262</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2554</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1337</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625</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1193</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1459</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2555</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680</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2556</v>
      </c>
      <c r="B4595" s="21" t="s">
        <v>1533</v>
      </c>
      <c r="C4595" s="21" t="s">
        <v>1231</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1337</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38</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1193</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1502</v>
      </c>
      <c r="B4599" s="21" t="s">
        <v>1296</v>
      </c>
      <c r="C4599" s="21" t="s">
        <v>1216</v>
      </c>
      <c r="D4599" s="21" t="s">
        <v>1188</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1341</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1435</v>
      </c>
      <c r="B4601" s="21" t="s">
        <v>1215</v>
      </c>
      <c r="C4601" s="21" t="s">
        <v>1192</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1193</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2129</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1194</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427</v>
      </c>
      <c r="B4605" s="21" t="s">
        <v>1436</v>
      </c>
      <c r="C4605" s="21" t="s">
        <v>1246</v>
      </c>
      <c r="D4605" s="21" t="s">
        <v>1188</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1515</v>
      </c>
      <c r="B4606" s="21" t="s">
        <v>1437</v>
      </c>
      <c r="C4606" s="21" t="s">
        <v>1246</v>
      </c>
      <c r="D4606" s="21" t="s">
        <v>1188</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1817</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1444</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1427</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2230</v>
      </c>
      <c r="B4610" s="21" t="s">
        <v>1298</v>
      </c>
      <c r="C4610" s="21" t="s">
        <v>1192</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1193</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1302</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96</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1190</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1374</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2557</v>
      </c>
      <c r="B4616" s="21" t="s">
        <v>1248</v>
      </c>
      <c r="C4616" s="21" t="s">
        <v>1187</v>
      </c>
      <c r="D4616" s="21" t="s">
        <v>1188</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1193</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1367</v>
      </c>
      <c r="B4618" s="21" t="s">
        <v>1296</v>
      </c>
      <c r="C4618" s="21" t="s">
        <v>1216</v>
      </c>
      <c r="D4618" s="21" t="s">
        <v>1188</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1265</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1321</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2558</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826</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1374</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row>
    <row r="4625" spans="1:12">
      <c r="A4625" s="20" t="s">
        <v>2559</v>
      </c>
    </row>
    <row r="4626" spans="1:12">
      <c r="A4626" s="20" t="s">
        <v>1364</v>
      </c>
      <c r="B4626" s="21" t="s">
        <v>1202</v>
      </c>
      <c r="C4626" s="21" t="s">
        <v>1246</v>
      </c>
      <c r="D4626" s="21" t="s">
        <v>1188</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1324</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2560</v>
      </c>
      <c r="B4628" s="21" t="s">
        <v>1202</v>
      </c>
      <c r="C4628" s="21" t="s">
        <v>1192</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1321</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842</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826</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row>
    <row r="4633" spans="1:12">
      <c r="A4633" s="20" t="s">
        <v>2561</v>
      </c>
    </row>
    <row r="4634" spans="1:12">
      <c r="A4634" s="20" t="s">
        <v>1364</v>
      </c>
      <c r="B4634" s="21" t="s">
        <v>1202</v>
      </c>
      <c r="C4634" s="21" t="s">
        <v>1246</v>
      </c>
      <c r="D4634" s="21" t="s">
        <v>1188</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1324</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2562</v>
      </c>
      <c r="B4636" s="21" t="s">
        <v>1202</v>
      </c>
      <c r="C4636" s="21" t="s">
        <v>1192</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1321</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846</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826</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row>
    <row r="4641" spans="1:12">
      <c r="A4641" s="20" t="s">
        <v>2563</v>
      </c>
    </row>
    <row r="4642" spans="1:12">
      <c r="A4642" s="20" t="s">
        <v>1253</v>
      </c>
      <c r="B4642" s="21" t="s">
        <v>1347</v>
      </c>
      <c r="C4642" s="21" t="s">
        <v>1246</v>
      </c>
      <c r="D4642" s="21" t="s">
        <v>1188</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1039</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2212</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1271</v>
      </c>
      <c r="B4645" s="21" t="s">
        <v>1296</v>
      </c>
      <c r="C4645" s="21" t="s">
        <v>1203</v>
      </c>
      <c r="D4645" s="21" t="s">
        <v>1188</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130</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1260</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1193</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1520</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1502</v>
      </c>
      <c r="B4650" s="21" t="s">
        <v>1437</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1337</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2564</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1193</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2565</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1271</v>
      </c>
      <c r="B4655" s="21" t="s">
        <v>1311</v>
      </c>
      <c r="C4655" s="21" t="s">
        <v>1203</v>
      </c>
      <c r="D4655" s="21" t="s">
        <v>1188</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2566</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1193</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850</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1206</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1479</v>
      </c>
      <c r="B4660" s="21" t="s">
        <v>1212</v>
      </c>
      <c r="C4660" s="21" t="s">
        <v>1196</v>
      </c>
      <c r="D4660" s="21" t="s">
        <v>1188</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826</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row>
    <row r="4663" spans="1:12">
      <c r="A4663" s="20" t="s">
        <v>2567</v>
      </c>
    </row>
    <row r="4664" spans="1:12">
      <c r="A4664" s="20" t="s">
        <v>1270</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1190</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1201</v>
      </c>
      <c r="B4666" s="21" t="s">
        <v>1202</v>
      </c>
      <c r="C4666" s="21" t="s">
        <v>1203</v>
      </c>
      <c r="D4666" s="21" t="s">
        <v>1188</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1204</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1227</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1297</v>
      </c>
      <c r="B4669" s="21" t="s">
        <v>1215</v>
      </c>
      <c r="C4669" s="21" t="s">
        <v>1216</v>
      </c>
      <c r="D4669" s="21" t="s">
        <v>1188</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1644</v>
      </c>
      <c r="B4670" s="21" t="s">
        <v>1199</v>
      </c>
      <c r="C4670" s="21" t="s">
        <v>1218</v>
      </c>
      <c r="D4670" s="21" t="s">
        <v>1188</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1520</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2568</v>
      </c>
      <c r="B4672" s="21" t="s">
        <v>1212</v>
      </c>
      <c r="C4672" s="21" t="s">
        <v>1192</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1241</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1268</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2569</v>
      </c>
      <c r="B4675" s="21" t="s">
        <v>1186</v>
      </c>
      <c r="C4675" s="21" t="s">
        <v>1196</v>
      </c>
      <c r="D4675" s="21" t="s">
        <v>1188</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772</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1193</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1662</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1271</v>
      </c>
      <c r="B4679" s="21" t="s">
        <v>1248</v>
      </c>
      <c r="C4679" s="21" t="s">
        <v>1203</v>
      </c>
      <c r="D4679" s="21" t="s">
        <v>1188</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1577</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1193</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1366</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185</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1914</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2570</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2571</v>
      </c>
      <c r="B4686" s="21" t="s">
        <v>1311</v>
      </c>
      <c r="C4686" s="21" t="s">
        <v>1192</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1205</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42</v>
      </c>
      <c r="B4688" s="21" t="s">
        <v>1285</v>
      </c>
      <c r="C4688" s="21" t="s">
        <v>1246</v>
      </c>
      <c r="D4688" s="21" t="s">
        <v>1188</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1220</v>
      </c>
      <c r="B4689" s="21" t="s">
        <v>1215</v>
      </c>
      <c r="C4689" s="21" t="s">
        <v>1192</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1447</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826</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row>
    <row r="4693" spans="1:12">
      <c r="A4693" s="20" t="s">
        <v>2572</v>
      </c>
    </row>
    <row r="4694" spans="1:12">
      <c r="A4694" s="20" t="s">
        <v>2573</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1607</v>
      </c>
      <c r="B4695" s="21" t="s">
        <v>1202</v>
      </c>
      <c r="C4695" s="21" t="s">
        <v>1203</v>
      </c>
      <c r="D4695" s="21" t="s">
        <v>1188</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1682</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1194</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2574</v>
      </c>
      <c r="B4698" s="21" t="s">
        <v>1245</v>
      </c>
      <c r="C4698" s="21" t="s">
        <v>1196</v>
      </c>
      <c r="D4698" s="21" t="s">
        <v>1188</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1352</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2354</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2575</v>
      </c>
      <c r="B4701" s="21" t="s">
        <v>1199</v>
      </c>
      <c r="C4701" s="21" t="s">
        <v>1331</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1190</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1607</v>
      </c>
      <c r="B4703" s="21" t="s">
        <v>1248</v>
      </c>
      <c r="C4703" s="21" t="s">
        <v>1203</v>
      </c>
      <c r="D4703" s="21" t="s">
        <v>1188</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2141</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1502</v>
      </c>
      <c r="B4705" s="21" t="s">
        <v>1248</v>
      </c>
      <c r="C4705" s="21" t="s">
        <v>1246</v>
      </c>
      <c r="D4705" s="21" t="s">
        <v>1188</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1193</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1244</v>
      </c>
      <c r="B4707" s="21" t="s">
        <v>1245</v>
      </c>
      <c r="C4707" s="21" t="s">
        <v>1246</v>
      </c>
      <c r="D4707" s="21" t="s">
        <v>1188</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2181</v>
      </c>
      <c r="B4708" s="21" t="s">
        <v>1248</v>
      </c>
      <c r="C4708" s="21" t="s">
        <v>1203</v>
      </c>
      <c r="D4708" s="21" t="s">
        <v>1188</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1443</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1278</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1193</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1427</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1232</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1268</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2576</v>
      </c>
      <c r="B4715" s="21" t="s">
        <v>1215</v>
      </c>
      <c r="C4715" s="21" t="s">
        <v>1196</v>
      </c>
      <c r="D4715" s="21" t="s">
        <v>1188</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2577</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2578</v>
      </c>
      <c r="B4717" s="21" t="s">
        <v>1313</v>
      </c>
      <c r="C4717" s="21" t="s">
        <v>1192</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38</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1193</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1194</v>
      </c>
      <c r="B4720" s="21" t="s">
        <v>1296</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1194</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1603</v>
      </c>
      <c r="B4722" s="21" t="s">
        <v>1347</v>
      </c>
      <c r="C4722" s="21" t="s">
        <v>1187</v>
      </c>
      <c r="D4722" s="21" t="s">
        <v>1188</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1232</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2579</v>
      </c>
      <c r="B4724" s="21" t="s">
        <v>1285</v>
      </c>
      <c r="C4724" s="21" t="s">
        <v>1192</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1550</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1278</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1193</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1378</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1607</v>
      </c>
      <c r="B4729" s="21" t="s">
        <v>1436</v>
      </c>
      <c r="C4729" s="21" t="s">
        <v>1203</v>
      </c>
      <c r="D4729" s="21" t="s">
        <v>1188</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1530</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185</v>
      </c>
      <c r="B4731" s="21" t="s">
        <v>1436</v>
      </c>
      <c r="C4731" s="21" t="s">
        <v>1203</v>
      </c>
      <c r="D4731" s="21" t="s">
        <v>1188</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1232</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1268</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2576</v>
      </c>
      <c r="B4734" s="21" t="s">
        <v>1298</v>
      </c>
      <c r="C4734" s="21" t="s">
        <v>1196</v>
      </c>
      <c r="D4734" s="21" t="s">
        <v>1188</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1427</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2580</v>
      </c>
      <c r="B4736" s="21" t="s">
        <v>1499</v>
      </c>
      <c r="C4736" s="21" t="s">
        <v>1192</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38</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1193</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1194</v>
      </c>
      <c r="B4739" s="21" t="s">
        <v>1919</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1210</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1603</v>
      </c>
      <c r="B4741" s="21" t="s">
        <v>1533</v>
      </c>
      <c r="C4741" s="21" t="s">
        <v>1187</v>
      </c>
      <c r="D4741" s="21" t="s">
        <v>1188</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1302</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1302</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1206</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1336</v>
      </c>
      <c r="B4745" s="21" t="s">
        <v>1500</v>
      </c>
      <c r="C4745" s="21" t="s">
        <v>1196</v>
      </c>
      <c r="D4745" s="21" t="s">
        <v>1188</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2581</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1337</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1268</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2582</v>
      </c>
      <c r="B4749" s="21" t="s">
        <v>1499</v>
      </c>
      <c r="C4749" s="21" t="s">
        <v>1196</v>
      </c>
      <c r="D4749" s="21" t="s">
        <v>1188</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2583</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1960</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1257</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row>
    <row r="4754" spans="1:12">
      <c r="A4754" s="20" t="s">
        <v>2584</v>
      </c>
    </row>
    <row r="4755" spans="1:12">
      <c r="A4755" s="20" t="s">
        <v>1701</v>
      </c>
      <c r="B4755" s="21" t="s">
        <v>1202</v>
      </c>
      <c r="C4755" s="21" t="s">
        <v>1216</v>
      </c>
      <c r="D4755" s="21" t="s">
        <v>1188</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1341</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2585</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2586</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2575</v>
      </c>
      <c r="B4759" s="21" t="s">
        <v>1186</v>
      </c>
      <c r="C4759" s="21" t="s">
        <v>1615</v>
      </c>
      <c r="D4759" s="21" t="s">
        <v>1188</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1193</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1194</v>
      </c>
      <c r="B4761" s="21" t="s">
        <v>1245</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1271</v>
      </c>
      <c r="B4762" s="21" t="s">
        <v>1248</v>
      </c>
      <c r="C4762" s="21" t="s">
        <v>1203</v>
      </c>
      <c r="D4762" s="21" t="s">
        <v>1188</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1926</v>
      </c>
      <c r="B4763" s="21" t="s">
        <v>1245</v>
      </c>
      <c r="C4763" s="21" t="s">
        <v>1203</v>
      </c>
      <c r="D4763" s="21" t="s">
        <v>1188</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2587</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826</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row>
    <row r="4767" spans="1:12">
      <c r="A4767" s="20" t="s">
        <v>2588</v>
      </c>
    </row>
    <row r="4768" spans="1:12">
      <c r="A4768" s="20" t="s">
        <v>1201</v>
      </c>
      <c r="B4768" s="21" t="s">
        <v>1202</v>
      </c>
      <c r="C4768" s="21" t="s">
        <v>1203</v>
      </c>
      <c r="D4768" s="21" t="s">
        <v>1188</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1327</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2589</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1193</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1337</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38</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1193</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2590</v>
      </c>
      <c r="B4775" s="21" t="s">
        <v>1311</v>
      </c>
      <c r="C4775" s="21" t="s">
        <v>1290</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2550</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1265</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1193</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1194</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1510</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2591</v>
      </c>
      <c r="B4781" s="21" t="s">
        <v>1347</v>
      </c>
      <c r="C4781" s="21" t="s">
        <v>1196</v>
      </c>
      <c r="D4781" s="21" t="s">
        <v>1188</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1337</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882</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1193</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1366</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185</v>
      </c>
      <c r="B4786" s="21" t="s">
        <v>1436</v>
      </c>
      <c r="C4786" s="21" t="s">
        <v>1203</v>
      </c>
      <c r="D4786" s="21" t="s">
        <v>1188</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1494</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2577</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2592</v>
      </c>
      <c r="B4789" s="21" t="s">
        <v>1285</v>
      </c>
      <c r="C4789" s="21" t="s">
        <v>1231</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1594</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826</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row>
    <row r="4793" spans="1:12">
      <c r="A4793" s="20" t="s">
        <v>2593</v>
      </c>
    </row>
    <row r="4794" spans="1:12">
      <c r="A4794" s="20" t="s">
        <v>1450</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207</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680</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1273</v>
      </c>
      <c r="B4797" s="21" t="s">
        <v>1199</v>
      </c>
      <c r="C4797" s="21" t="s">
        <v>1262</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2594</v>
      </c>
      <c r="B4798" s="21" t="s">
        <v>1202</v>
      </c>
      <c r="C4798" s="21" t="s">
        <v>1231</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944</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826</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row>
    <row r="4802" spans="1:12">
      <c r="A4802" s="20" t="s">
        <v>2595</v>
      </c>
    </row>
    <row r="4803" spans="1:12">
      <c r="A4803" s="20" t="s">
        <v>2143</v>
      </c>
      <c r="B4803" s="21" t="s">
        <v>1199</v>
      </c>
      <c r="C4803" s="21" t="s">
        <v>1262</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2594</v>
      </c>
      <c r="B4804" s="21" t="s">
        <v>1202</v>
      </c>
      <c r="C4804" s="21" t="s">
        <v>1331</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207</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944</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826</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row>
    <row r="4809" spans="1:12">
      <c r="A4809" s="20" t="s">
        <v>2596</v>
      </c>
    </row>
    <row r="4810" spans="1:12">
      <c r="A4810" s="20" t="s">
        <v>1264</v>
      </c>
      <c r="B4810" s="21" t="s">
        <v>1202</v>
      </c>
      <c r="C4810" s="21" t="s">
        <v>1203</v>
      </c>
      <c r="D4810" s="21" t="s">
        <v>1188</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1265</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2597</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1193</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2381</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2098</v>
      </c>
      <c r="B4815" s="21" t="s">
        <v>1245</v>
      </c>
      <c r="C4815" s="21" t="s">
        <v>1240</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1337</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2598</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1193</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1317</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1206</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1211</v>
      </c>
      <c r="B4821" s="21" t="s">
        <v>1248</v>
      </c>
      <c r="C4821" s="21" t="s">
        <v>1196</v>
      </c>
      <c r="D4821" s="21" t="s">
        <v>1188</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1742</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1709</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1994</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1193</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1478</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1271</v>
      </c>
      <c r="B4827" s="21" t="s">
        <v>1311</v>
      </c>
      <c r="C4827" s="21" t="s">
        <v>1203</v>
      </c>
      <c r="D4827" s="21" t="s">
        <v>1188</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2599</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1668</v>
      </c>
      <c r="B4829" s="21" t="s">
        <v>1313</v>
      </c>
      <c r="C4829" s="21" t="s">
        <v>1246</v>
      </c>
      <c r="D4829" s="21" t="s">
        <v>1188</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826</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row>
    <row r="4832" spans="1:12">
      <c r="A4832" s="20" t="s">
        <v>2600</v>
      </c>
    </row>
    <row r="4833" spans="1:12">
      <c r="A4833" s="20" t="s">
        <v>1294</v>
      </c>
      <c r="B4833" s="21" t="s">
        <v>1186</v>
      </c>
      <c r="C4833" s="21" t="s">
        <v>1203</v>
      </c>
      <c r="D4833" s="21" t="s">
        <v>1188</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1190</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1201</v>
      </c>
      <c r="B4835" s="21" t="s">
        <v>1248</v>
      </c>
      <c r="C4835" s="21" t="s">
        <v>1203</v>
      </c>
      <c r="D4835" s="21" t="s">
        <v>1188</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1260</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2601</v>
      </c>
      <c r="B4837" s="21" t="s">
        <v>1248</v>
      </c>
      <c r="C4837" s="21" t="s">
        <v>1203</v>
      </c>
      <c r="D4837" s="21" t="s">
        <v>1188</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38</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826</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row>
    <row r="4841" spans="1:12">
      <c r="A4841" s="20" t="s">
        <v>2602</v>
      </c>
    </row>
    <row r="4842" spans="1:12">
      <c r="A4842" s="20" t="s">
        <v>1270</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1190</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959</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2590</v>
      </c>
      <c r="B4845" s="21" t="s">
        <v>1202</v>
      </c>
      <c r="C4845" s="21" t="s">
        <v>1290</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2603</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1194</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2604</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2591</v>
      </c>
      <c r="B4849" s="21" t="s">
        <v>1212</v>
      </c>
      <c r="C4849" s="21" t="s">
        <v>1196</v>
      </c>
      <c r="D4849" s="21" t="s">
        <v>1188</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1193</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1366</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1367</v>
      </c>
      <c r="B4852" s="21" t="s">
        <v>1248</v>
      </c>
      <c r="C4852" s="21" t="s">
        <v>1216</v>
      </c>
      <c r="D4852" s="21" t="s">
        <v>1188</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1232</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1268</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2605</v>
      </c>
      <c r="B4855" s="21" t="s">
        <v>1199</v>
      </c>
      <c r="C4855" s="21" t="s">
        <v>1196</v>
      </c>
      <c r="D4855" s="21" t="s">
        <v>1188</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1494</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2580</v>
      </c>
      <c r="B4857" s="21" t="s">
        <v>1186</v>
      </c>
      <c r="C4857" s="21" t="s">
        <v>1231</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1265</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1257</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row>
    <row r="4861" spans="1:12">
      <c r="A4861" s="20" t="s">
        <v>2606</v>
      </c>
    </row>
    <row r="4862" spans="1:12">
      <c r="A4862" s="20" t="s">
        <v>1222</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2607</v>
      </c>
      <c r="B4863" s="21" t="s">
        <v>1199</v>
      </c>
      <c r="C4863" s="21" t="s">
        <v>1192</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1224</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1201</v>
      </c>
      <c r="B4865" s="21" t="s">
        <v>1202</v>
      </c>
      <c r="C4865" s="21" t="s">
        <v>1203</v>
      </c>
      <c r="D4865" s="21" t="s">
        <v>1188</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1654</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1193</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1581</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2357</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1434</v>
      </c>
      <c r="B4870" s="21" t="s">
        <v>1186</v>
      </c>
      <c r="C4870" s="21" t="s">
        <v>1246</v>
      </c>
      <c r="D4870" s="21" t="s">
        <v>1188</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1193</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1194</v>
      </c>
      <c r="B4872" s="21" t="s">
        <v>1248</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2013</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2098</v>
      </c>
      <c r="B4874" s="21" t="s">
        <v>1245</v>
      </c>
      <c r="C4874" s="21" t="s">
        <v>1240</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1321</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2608</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163</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1302</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1194</v>
      </c>
      <c r="B4879" s="21" t="s">
        <v>1215</v>
      </c>
      <c r="C4879" s="21" t="s">
        <v>1246</v>
      </c>
      <c r="D4879" s="21" t="s">
        <v>1188</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1193</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1309</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1271</v>
      </c>
      <c r="B4882" s="21" t="s">
        <v>1296</v>
      </c>
      <c r="C4882" s="21" t="s">
        <v>1203</v>
      </c>
      <c r="D4882" s="21" t="s">
        <v>1188</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2071</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1193</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1527</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1755</v>
      </c>
      <c r="B4886" s="21" t="s">
        <v>1285</v>
      </c>
      <c r="C4886" s="21" t="s">
        <v>1216</v>
      </c>
      <c r="D4886" s="21" t="s">
        <v>1188</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2609</v>
      </c>
      <c r="B4887" s="21" t="s">
        <v>1215</v>
      </c>
      <c r="C4887" s="21" t="s">
        <v>1218</v>
      </c>
      <c r="D4887" s="21" t="s">
        <v>1188</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1397</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2610</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1193</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1662</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1194</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154</v>
      </c>
      <c r="B4893" s="21" t="s">
        <v>1296</v>
      </c>
      <c r="C4893" s="21" t="s">
        <v>1196</v>
      </c>
      <c r="D4893" s="21" t="s">
        <v>1188</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1520</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1275</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1193</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1309</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1301</v>
      </c>
      <c r="B4898" s="21" t="s">
        <v>1347</v>
      </c>
      <c r="C4898" s="21" t="s">
        <v>1203</v>
      </c>
      <c r="D4898" s="21" t="s">
        <v>1188</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2249</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1193</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1321</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1352</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2611</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2612</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2613</v>
      </c>
      <c r="B4905" s="21" t="s">
        <v>1298</v>
      </c>
      <c r="C4905" s="21" t="s">
        <v>1192</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2614</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826</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row>
    <row r="4909" spans="1:12">
      <c r="A4909" s="20" t="s">
        <v>2615</v>
      </c>
    </row>
    <row r="4910" spans="1:12">
      <c r="A4910" s="20" t="s">
        <v>1264</v>
      </c>
      <c r="B4910" s="21" t="s">
        <v>1202</v>
      </c>
      <c r="C4910" s="21" t="s">
        <v>1203</v>
      </c>
      <c r="D4910" s="21" t="s">
        <v>1188</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1638</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1321</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1520</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2616</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1378</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2617</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1193</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185</v>
      </c>
      <c r="B4918" s="21" t="s">
        <v>1248</v>
      </c>
      <c r="C4918" s="21" t="s">
        <v>1203</v>
      </c>
      <c r="D4918" s="21" t="s">
        <v>1188</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1638</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1321</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1256</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2618</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1193</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1578</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57</v>
      </c>
      <c r="B4925" s="21" t="s">
        <v>1186</v>
      </c>
      <c r="C4925" s="21" t="s">
        <v>1203</v>
      </c>
      <c r="D4925" s="21" t="s">
        <v>1188</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1978</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1345</v>
      </c>
      <c r="B4927" s="21" t="s">
        <v>1199</v>
      </c>
      <c r="C4927" s="21" t="s">
        <v>1192</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1193</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2619</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1633</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1193</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1378</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1321</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1544</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2618</v>
      </c>
      <c r="B4935" s="21" t="s">
        <v>1199</v>
      </c>
      <c r="C4935" s="21" t="s">
        <v>1308</v>
      </c>
      <c r="D4935" s="21" t="s">
        <v>1188</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826</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row>
    <row r="4938" spans="1:12">
      <c r="A4938" s="20" t="s">
        <v>2620</v>
      </c>
    </row>
    <row r="4939" spans="1:12">
      <c r="A4939" s="20" t="s">
        <v>1600</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2621</v>
      </c>
      <c r="B4940" s="21" t="s">
        <v>1202</v>
      </c>
      <c r="C4940" s="21" t="s">
        <v>1231</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1506</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1265</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2622</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1494</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2623</v>
      </c>
      <c r="B4945" s="21" t="s">
        <v>1186</v>
      </c>
      <c r="C4945" s="21" t="s">
        <v>1231</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826</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row>
    <row r="4948" spans="1:12">
      <c r="A4948" s="20" t="s">
        <v>2624</v>
      </c>
    </row>
    <row r="4949" spans="1:12">
      <c r="A4949" s="20" t="s">
        <v>1412</v>
      </c>
      <c r="B4949" s="21" t="s">
        <v>1202</v>
      </c>
      <c r="C4949" s="21" t="s">
        <v>1203</v>
      </c>
      <c r="D4949" s="21" t="s">
        <v>1188</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2625</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1901</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2626</v>
      </c>
      <c r="B4952" s="21" t="s">
        <v>1212</v>
      </c>
      <c r="C4952" s="21" t="s">
        <v>1231</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1227</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1193</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1194</v>
      </c>
      <c r="B4955" s="21" t="s">
        <v>1248</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1300</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1268</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1198</v>
      </c>
      <c r="B4958" s="21" t="s">
        <v>1199</v>
      </c>
      <c r="C4958" s="21" t="s">
        <v>1196</v>
      </c>
      <c r="D4958" s="21" t="s">
        <v>1188</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2627</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1265</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826</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row>
    <row r="4963" spans="1:12">
      <c r="A4963" s="20" t="s">
        <v>2628</v>
      </c>
    </row>
    <row r="4964" spans="1:12">
      <c r="A4964" s="20" t="s">
        <v>1264</v>
      </c>
      <c r="B4964" s="21" t="s">
        <v>1202</v>
      </c>
      <c r="C4964" s="21" t="s">
        <v>1203</v>
      </c>
      <c r="D4964" s="21" t="s">
        <v>1188</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2249</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2629</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1193</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1427</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1372</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185</v>
      </c>
      <c r="B4970" s="21" t="s">
        <v>1245</v>
      </c>
      <c r="C4970" s="21" t="s">
        <v>1203</v>
      </c>
      <c r="D4970" s="21" t="s">
        <v>1188</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1275</v>
      </c>
      <c r="B4971" s="21" t="s">
        <v>1245</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2630</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2631</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1193</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1317</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57</v>
      </c>
      <c r="B4976" s="21" t="s">
        <v>1311</v>
      </c>
      <c r="C4976" s="21" t="s">
        <v>1203</v>
      </c>
      <c r="D4976" s="21" t="s">
        <v>1188</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2632</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1193</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1309</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1388</v>
      </c>
      <c r="B4980" s="21" t="s">
        <v>1311</v>
      </c>
      <c r="C4980" s="21" t="s">
        <v>1246</v>
      </c>
      <c r="D4980" s="21" t="s">
        <v>1188</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1443</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1960</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1193</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1208</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1268</v>
      </c>
      <c r="B4985" s="21" t="s">
        <v>1199</v>
      </c>
      <c r="C4985" s="21" t="s">
        <v>1246</v>
      </c>
      <c r="D4985" s="21" t="s">
        <v>1188</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57</v>
      </c>
      <c r="B4986" s="21" t="s">
        <v>1248</v>
      </c>
      <c r="C4986" s="21" t="s">
        <v>1203</v>
      </c>
      <c r="D4986" s="21" t="s">
        <v>1188</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2633</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1193</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1366</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185</v>
      </c>
      <c r="B4990" s="21" t="s">
        <v>1311</v>
      </c>
      <c r="C4990" s="21" t="s">
        <v>1203</v>
      </c>
      <c r="D4990" s="21" t="s">
        <v>1188</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1268</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1198</v>
      </c>
      <c r="B4992" s="21" t="s">
        <v>1313</v>
      </c>
      <c r="C4992" s="21" t="s">
        <v>1196</v>
      </c>
      <c r="D4992" s="21" t="s">
        <v>1188</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834</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1960</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826</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row>
    <row r="4997" spans="1:12">
      <c r="A4997" s="20" t="s">
        <v>2634</v>
      </c>
    </row>
    <row r="4998" spans="1:12">
      <c r="A4998" s="20" t="s">
        <v>2635</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1581</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1388</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2636</v>
      </c>
      <c r="B5001" s="21" t="s">
        <v>1186</v>
      </c>
      <c r="C5001" s="21" t="s">
        <v>1308</v>
      </c>
      <c r="D5001" s="21" t="s">
        <v>1188</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1257</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row>
    <row r="5004" spans="1:12">
      <c r="A5004" s="20" t="s">
        <v>2637</v>
      </c>
    </row>
    <row r="5005" spans="1:12">
      <c r="A5005" s="20" t="s">
        <v>1294</v>
      </c>
      <c r="B5005" s="21" t="s">
        <v>1202</v>
      </c>
      <c r="C5005" s="21" t="s">
        <v>1203</v>
      </c>
      <c r="D5005" s="21" t="s">
        <v>1188</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1190</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1320</v>
      </c>
      <c r="B5007" s="21" t="s">
        <v>1248</v>
      </c>
      <c r="C5007" s="21" t="s">
        <v>1216</v>
      </c>
      <c r="D5007" s="21" t="s">
        <v>1188</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1265</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1382</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1193</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2638</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57</v>
      </c>
      <c r="B5012" s="21" t="s">
        <v>1202</v>
      </c>
      <c r="C5012" s="21" t="s">
        <v>1203</v>
      </c>
      <c r="D5012" s="21" t="s">
        <v>1188</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11</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1320</v>
      </c>
      <c r="B5014" s="21" t="s">
        <v>1215</v>
      </c>
      <c r="C5014" s="21" t="s">
        <v>1216</v>
      </c>
      <c r="D5014" s="21" t="s">
        <v>1188</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1265</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1914</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2639</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826</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row>
    <row r="5020" spans="1:12">
      <c r="A5020" s="20" t="s">
        <v>2640</v>
      </c>
    </row>
    <row r="5021" spans="1:12">
      <c r="A5021" s="20" t="s">
        <v>1264</v>
      </c>
      <c r="B5021" s="21" t="s">
        <v>1202</v>
      </c>
      <c r="C5021" s="21" t="s">
        <v>1203</v>
      </c>
      <c r="D5021" s="21" t="s">
        <v>1188</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1265</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1329</v>
      </c>
      <c r="B5023" s="21" t="s">
        <v>1186</v>
      </c>
      <c r="C5023" s="21" t="s">
        <v>1246</v>
      </c>
      <c r="D5023" s="21" t="s">
        <v>1188</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1322</v>
      </c>
      <c r="B5024" s="21" t="s">
        <v>1186</v>
      </c>
      <c r="C5024" s="21" t="s">
        <v>1331</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1208</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2616</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1378</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2617</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826</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row>
    <row r="5031" spans="1:12">
      <c r="A5031" s="20" t="s">
        <v>1369</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2641</v>
      </c>
    </row>
    <row r="5033" spans="1:12">
      <c r="A5033" s="20" t="s">
        <v>2225</v>
      </c>
      <c r="B5033" s="21" t="s">
        <v>1186</v>
      </c>
      <c r="C5033" s="21" t="s">
        <v>1304</v>
      </c>
      <c r="D5033" s="21" t="s">
        <v>1188</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2642</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2643</v>
      </c>
      <c r="B5035" s="21" t="s">
        <v>1186</v>
      </c>
      <c r="C5035" s="21" t="s">
        <v>1192</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1193</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1302</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1317</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1271</v>
      </c>
      <c r="B5039" s="21" t="s">
        <v>1248</v>
      </c>
      <c r="C5039" s="21" t="s">
        <v>1203</v>
      </c>
      <c r="D5039" s="21" t="s">
        <v>1188</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1374</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1462</v>
      </c>
      <c r="B5041" s="21" t="s">
        <v>1199</v>
      </c>
      <c r="C5041" s="21" t="s">
        <v>1304</v>
      </c>
      <c r="D5041" s="21" t="s">
        <v>1188</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1374</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2449</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1193</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1539</v>
      </c>
      <c r="B5045" s="21" t="s">
        <v>1199</v>
      </c>
      <c r="C5045" s="21" t="s">
        <v>1304</v>
      </c>
      <c r="D5045" s="21" t="s">
        <v>1188</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1271</v>
      </c>
      <c r="B5046" s="21" t="s">
        <v>1248</v>
      </c>
      <c r="C5046" s="21" t="s">
        <v>1203</v>
      </c>
      <c r="D5046" s="21" t="s">
        <v>1188</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1321</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1544</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1380</v>
      </c>
      <c r="B5049" s="21" t="s">
        <v>1186</v>
      </c>
      <c r="C5049" s="21" t="s">
        <v>1192</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1193</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1271</v>
      </c>
      <c r="B5051" s="21" t="s">
        <v>1248</v>
      </c>
      <c r="C5051" s="21" t="s">
        <v>1203</v>
      </c>
      <c r="D5051" s="21" t="s">
        <v>1188</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1539</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1702</v>
      </c>
      <c r="B5053" s="21" t="s">
        <v>1248</v>
      </c>
      <c r="C5053" s="21" t="s">
        <v>1240</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2644</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1232</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1206</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1336</v>
      </c>
      <c r="B5057" s="21" t="s">
        <v>1215</v>
      </c>
      <c r="C5057" s="21" t="s">
        <v>1196</v>
      </c>
      <c r="D5057" s="21" t="s">
        <v>1188</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1193</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1341</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1329</v>
      </c>
      <c r="B5060" s="21" t="s">
        <v>1199</v>
      </c>
      <c r="C5060" s="21" t="s">
        <v>1246</v>
      </c>
      <c r="D5060" s="21" t="s">
        <v>1188</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1322</v>
      </c>
      <c r="B5061" s="21" t="s">
        <v>1186</v>
      </c>
      <c r="C5061" s="21" t="s">
        <v>1331</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1206</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2645</v>
      </c>
      <c r="B5063" s="21" t="s">
        <v>1199</v>
      </c>
      <c r="C5063" s="21" t="s">
        <v>1196</v>
      </c>
      <c r="D5063" s="21" t="s">
        <v>1188</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826</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row>
    <row r="5066" spans="1:12">
      <c r="A5066" s="20" t="s">
        <v>2646</v>
      </c>
    </row>
    <row r="5067" spans="1:12">
      <c r="A5067" s="20" t="s">
        <v>1264</v>
      </c>
      <c r="B5067" s="21" t="s">
        <v>1202</v>
      </c>
      <c r="C5067" s="21" t="s">
        <v>1203</v>
      </c>
      <c r="D5067" s="21" t="s">
        <v>1188</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1341</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1194</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1435</v>
      </c>
      <c r="B5070" s="21" t="s">
        <v>1186</v>
      </c>
      <c r="C5070" s="21" t="s">
        <v>1196</v>
      </c>
      <c r="D5070" s="21" t="s">
        <v>1188</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1193</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1227</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1194</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1261</v>
      </c>
      <c r="B5074" s="21" t="s">
        <v>1215</v>
      </c>
      <c r="C5074" s="21" t="s">
        <v>1262</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1353</v>
      </c>
      <c r="B5075" s="21" t="s">
        <v>1245</v>
      </c>
      <c r="C5075" s="21" t="s">
        <v>1196</v>
      </c>
      <c r="D5075" s="21" t="s">
        <v>1188</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976</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1193</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1302</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185</v>
      </c>
      <c r="B5079" s="21" t="s">
        <v>1248</v>
      </c>
      <c r="C5079" s="21" t="s">
        <v>1203</v>
      </c>
      <c r="D5079" s="21" t="s">
        <v>1188</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2647</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1227</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1515</v>
      </c>
      <c r="B5082" s="21" t="s">
        <v>1199</v>
      </c>
      <c r="C5082" s="21" t="s">
        <v>1246</v>
      </c>
      <c r="D5082" s="21" t="s">
        <v>1188</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1193</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1668</v>
      </c>
      <c r="B5084" s="21" t="s">
        <v>1248</v>
      </c>
      <c r="C5084" s="21" t="s">
        <v>1246</v>
      </c>
      <c r="D5084" s="21" t="s">
        <v>1188</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1337</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926</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1193</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1227</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1455</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1193</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1194</v>
      </c>
      <c r="B5091" s="21" t="s">
        <v>1248</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680</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2648</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1302</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2649</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1198</v>
      </c>
      <c r="B5096" s="21" t="s">
        <v>1245</v>
      </c>
      <c r="C5096" s="21" t="s">
        <v>1231</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1365</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1302</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2650</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163</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826</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row>
    <row r="5103" spans="1:12">
      <c r="A5103" s="20" t="s">
        <v>2651</v>
      </c>
    </row>
    <row r="5104" spans="1:12">
      <c r="A5104" s="20" t="s">
        <v>1264</v>
      </c>
      <c r="B5104" s="21" t="s">
        <v>1202</v>
      </c>
      <c r="C5104" s="21" t="s">
        <v>1203</v>
      </c>
      <c r="D5104" s="21" t="s">
        <v>1188</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2647</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1227</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1515</v>
      </c>
      <c r="B5107" s="21" t="s">
        <v>1186</v>
      </c>
      <c r="C5107" s="21" t="s">
        <v>1246</v>
      </c>
      <c r="D5107" s="21" t="s">
        <v>1188</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1193</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1360</v>
      </c>
      <c r="B5109" s="21" t="s">
        <v>1215</v>
      </c>
      <c r="C5109" s="21" t="s">
        <v>1216</v>
      </c>
      <c r="D5109" s="21" t="s">
        <v>1188</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914</v>
      </c>
      <c r="B5110" s="21" t="s">
        <v>1245</v>
      </c>
      <c r="C5110" s="21" t="s">
        <v>1218</v>
      </c>
      <c r="D5110" s="21" t="s">
        <v>1188</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1337</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1014</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1193</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1307</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1194</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1887</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2626</v>
      </c>
      <c r="B5117" s="21" t="s">
        <v>1311</v>
      </c>
      <c r="C5117" s="21" t="s">
        <v>1196</v>
      </c>
      <c r="D5117" s="21" t="s">
        <v>1188</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1232</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1409</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2652</v>
      </c>
      <c r="B5120" s="21" t="s">
        <v>1215</v>
      </c>
      <c r="C5120" s="21" t="s">
        <v>1240</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1953</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826</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row>
    <row r="5124" spans="1:12">
      <c r="A5124" s="20" t="s">
        <v>2653</v>
      </c>
    </row>
    <row r="5125" spans="1:12">
      <c r="A5125" s="20" t="s">
        <v>1333</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427</v>
      </c>
      <c r="B5126" s="21" t="s">
        <v>1248</v>
      </c>
      <c r="C5126" s="21" t="s">
        <v>1246</v>
      </c>
      <c r="D5126" s="21" t="s">
        <v>1188</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1194</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1435</v>
      </c>
      <c r="B5128" s="21" t="s">
        <v>1245</v>
      </c>
      <c r="C5128" s="21" t="s">
        <v>1196</v>
      </c>
      <c r="D5128" s="21" t="s">
        <v>1188</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1321</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2654</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1193</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1317</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427</v>
      </c>
      <c r="B5133" s="21" t="s">
        <v>1311</v>
      </c>
      <c r="C5133" s="21" t="s">
        <v>1246</v>
      </c>
      <c r="D5133" s="21" t="s">
        <v>1188</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1321</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1194</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2655</v>
      </c>
      <c r="B5136" s="21" t="s">
        <v>1311</v>
      </c>
      <c r="C5136" s="21" t="s">
        <v>1196</v>
      </c>
      <c r="D5136" s="21" t="s">
        <v>1188</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2656</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1193</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1520</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1360</v>
      </c>
      <c r="B5140" s="21" t="s">
        <v>1298</v>
      </c>
      <c r="C5140" s="21" t="s">
        <v>1216</v>
      </c>
      <c r="D5140" s="21" t="s">
        <v>1188</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2657</v>
      </c>
      <c r="B5141" s="21" t="s">
        <v>1347</v>
      </c>
      <c r="C5141" s="21" t="s">
        <v>1218</v>
      </c>
      <c r="D5141" s="21" t="s">
        <v>1188</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1337</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2564</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11</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427</v>
      </c>
      <c r="B5145" s="21" t="s">
        <v>1202</v>
      </c>
      <c r="C5145" s="21" t="s">
        <v>1246</v>
      </c>
      <c r="D5145" s="21" t="s">
        <v>1188</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1444</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1502</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1198</v>
      </c>
      <c r="B5148" s="21" t="s">
        <v>1212</v>
      </c>
      <c r="C5148" s="21" t="s">
        <v>1196</v>
      </c>
      <c r="D5148" s="21" t="s">
        <v>1188</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926</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1193</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1321</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1544</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1359</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1515</v>
      </c>
      <c r="B5154" s="21" t="s">
        <v>1186</v>
      </c>
      <c r="C5154" s="21" t="s">
        <v>1246</v>
      </c>
      <c r="D5154" s="21" t="s">
        <v>1188</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1193</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1937</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1359</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1261</v>
      </c>
      <c r="B5158" s="21" t="s">
        <v>1186</v>
      </c>
      <c r="C5158" s="21" t="s">
        <v>1262</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11</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670</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427</v>
      </c>
      <c r="B5161" s="21" t="s">
        <v>1248</v>
      </c>
      <c r="C5161" s="21" t="s">
        <v>1246</v>
      </c>
      <c r="D5161" s="21" t="s">
        <v>1188</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185</v>
      </c>
      <c r="B5162" s="21" t="s">
        <v>1245</v>
      </c>
      <c r="C5162" s="21" t="s">
        <v>1203</v>
      </c>
      <c r="D5162" s="21" t="s">
        <v>1188</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2325</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1193</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1320</v>
      </c>
      <c r="B5165" s="21" t="s">
        <v>1311</v>
      </c>
      <c r="C5165" s="21" t="s">
        <v>1246</v>
      </c>
      <c r="D5165" s="21" t="s">
        <v>1188</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1563</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680</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2658</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2659</v>
      </c>
      <c r="B5169" s="21" t="s">
        <v>1245</v>
      </c>
      <c r="C5169" s="21" t="s">
        <v>1401</v>
      </c>
      <c r="D5169" s="21" t="s">
        <v>1188</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1193</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1321</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1544</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1359</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1515</v>
      </c>
      <c r="B5174" s="21" t="s">
        <v>1215</v>
      </c>
      <c r="C5174" s="21" t="s">
        <v>1246</v>
      </c>
      <c r="D5174" s="21" t="s">
        <v>1188</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1193</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1937</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1359</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1194</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1336</v>
      </c>
      <c r="B5179" s="21" t="s">
        <v>1215</v>
      </c>
      <c r="C5179" s="21" t="s">
        <v>1196</v>
      </c>
      <c r="D5179" s="21" t="s">
        <v>1188</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826</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row>
    <row r="5182" spans="1:12">
      <c r="A5182" s="20" t="s">
        <v>2660</v>
      </c>
    </row>
    <row r="5183" spans="1:12">
      <c r="A5183" s="20" t="s">
        <v>1270</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1190</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1201</v>
      </c>
      <c r="B5185" s="21" t="s">
        <v>1202</v>
      </c>
      <c r="C5185" s="21" t="s">
        <v>1203</v>
      </c>
      <c r="D5185" s="21" t="s">
        <v>1188</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1272</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2661</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2662</v>
      </c>
      <c r="B5188" s="21" t="s">
        <v>1202</v>
      </c>
      <c r="C5188" s="21" t="s">
        <v>1192</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2146</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1208</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1268</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2663</v>
      </c>
      <c r="B5192" s="21" t="s">
        <v>1186</v>
      </c>
      <c r="C5192" s="21" t="s">
        <v>1401</v>
      </c>
      <c r="D5192" s="21" t="s">
        <v>1188</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1197</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2664</v>
      </c>
      <c r="B5194" s="21" t="s">
        <v>1199</v>
      </c>
      <c r="C5194" s="21" t="s">
        <v>1187</v>
      </c>
      <c r="D5194" s="21" t="s">
        <v>1188</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11</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2665</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11</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2666</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1986</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1193</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1206</v>
      </c>
      <c r="B5201" s="21" t="s">
        <v>1248</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1193</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2071</v>
      </c>
      <c r="B5203" s="21" t="s">
        <v>1186</v>
      </c>
      <c r="C5203" s="21" t="s">
        <v>1401</v>
      </c>
      <c r="D5203" s="21" t="s">
        <v>1188</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1271</v>
      </c>
      <c r="B5204" s="21" t="s">
        <v>1248</v>
      </c>
      <c r="C5204" s="21" t="s">
        <v>1203</v>
      </c>
      <c r="D5204" s="21" t="s">
        <v>1188</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1193</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1461</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1250</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1515</v>
      </c>
      <c r="B5208" s="21" t="s">
        <v>1199</v>
      </c>
      <c r="C5208" s="21" t="s">
        <v>1246</v>
      </c>
      <c r="D5208" s="21" t="s">
        <v>1188</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1265</v>
      </c>
      <c r="B5209" s="21" t="s">
        <v>1199</v>
      </c>
      <c r="C5209" s="21" t="s">
        <v>1187</v>
      </c>
      <c r="D5209" s="21" t="s">
        <v>1188</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1190</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2667</v>
      </c>
      <c r="B5211" s="21" t="s">
        <v>1186</v>
      </c>
      <c r="C5211" s="21" t="s">
        <v>1187</v>
      </c>
      <c r="D5211" s="21" t="s">
        <v>1188</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933</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2668</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11</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2669</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826</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row>
    <row r="5218" spans="1:12">
      <c r="A5218" s="20" t="s">
        <v>2670</v>
      </c>
    </row>
    <row r="5219" spans="1:12">
      <c r="A5219" s="20" t="s">
        <v>933</v>
      </c>
      <c r="B5219" s="21" t="s">
        <v>1186</v>
      </c>
      <c r="C5219" s="21" t="s">
        <v>1187</v>
      </c>
      <c r="D5219" s="21" t="s">
        <v>1188</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1193</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2671</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57</v>
      </c>
      <c r="B5222" s="21" t="s">
        <v>1248</v>
      </c>
      <c r="C5222" s="21" t="s">
        <v>1203</v>
      </c>
      <c r="D5222" s="21" t="s">
        <v>1188</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2672</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1302</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1388</v>
      </c>
      <c r="B5225" s="21" t="s">
        <v>1245</v>
      </c>
      <c r="C5225" s="21" t="s">
        <v>1262</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96</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1257</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row>
    <row r="5229" spans="1:12">
      <c r="A5229" s="20" t="s">
        <v>2673</v>
      </c>
    </row>
    <row r="5230" spans="1:12">
      <c r="A5230" s="20" t="s">
        <v>2445</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427</v>
      </c>
      <c r="B5231" s="21" t="s">
        <v>1202</v>
      </c>
      <c r="C5231" s="21" t="s">
        <v>1246</v>
      </c>
      <c r="D5231" s="21" t="s">
        <v>1188</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680</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937</v>
      </c>
      <c r="B5233" s="21" t="s">
        <v>1186</v>
      </c>
      <c r="C5233" s="21" t="s">
        <v>1231</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1359</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933</v>
      </c>
      <c r="B5235" s="21" t="s">
        <v>1186</v>
      </c>
      <c r="C5235" s="21" t="s">
        <v>1187</v>
      </c>
      <c r="D5235" s="21" t="s">
        <v>1188</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1257</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row>
    <row r="5238" spans="1:12">
      <c r="A5238" s="20" t="s">
        <v>2674</v>
      </c>
    </row>
    <row r="5239" spans="1:12">
      <c r="A5239" s="20" t="s">
        <v>933</v>
      </c>
      <c r="B5239" s="21" t="s">
        <v>1186</v>
      </c>
      <c r="C5239" s="21" t="s">
        <v>1187</v>
      </c>
      <c r="D5239" s="21" t="s">
        <v>1188</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1193</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1566</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1275</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1337</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38</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826</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row>
    <row r="5247" spans="1:12">
      <c r="A5247" s="20" t="s">
        <v>2675</v>
      </c>
    </row>
    <row r="5248" spans="1:12">
      <c r="A5248" s="20" t="s">
        <v>356</v>
      </c>
      <c r="B5248" s="21" t="s">
        <v>1202</v>
      </c>
      <c r="C5248" s="21" t="s">
        <v>1192</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2676</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944</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826</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row>
    <row r="5253" spans="1:12">
      <c r="A5253" s="20" t="s">
        <v>2677</v>
      </c>
    </row>
    <row r="5254" spans="1:12">
      <c r="A5254" s="20" t="s">
        <v>2678</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1193</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1232</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2679</v>
      </c>
      <c r="B5257" s="21" t="s">
        <v>1199</v>
      </c>
      <c r="C5257" s="21" t="s">
        <v>1290</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2680</v>
      </c>
      <c r="B5258" s="21" t="s">
        <v>1186</v>
      </c>
      <c r="C5258" s="21" t="s">
        <v>1192</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1633</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57</v>
      </c>
      <c r="B5260" s="21" t="s">
        <v>1186</v>
      </c>
      <c r="C5260" s="21" t="s">
        <v>1203</v>
      </c>
      <c r="D5260" s="21" t="s">
        <v>1188</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1257</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row>
    <row r="5263" spans="1:12">
      <c r="A5263" s="20" t="s">
        <v>2681</v>
      </c>
    </row>
    <row r="5264" spans="1:12">
      <c r="A5264" s="20" t="s">
        <v>952</v>
      </c>
      <c r="B5264" s="21" t="s">
        <v>1186</v>
      </c>
      <c r="C5264" s="21" t="s">
        <v>1192</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1378</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1375</v>
      </c>
      <c r="B5266" s="21" t="s">
        <v>1186</v>
      </c>
      <c r="C5266" s="21" t="s">
        <v>1192</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1257</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row>
    <row r="5269" spans="1:12">
      <c r="A5269" s="20" t="s">
        <v>1369</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2682</v>
      </c>
    </row>
    <row r="5271" spans="1:12">
      <c r="A5271" s="20" t="s">
        <v>1201</v>
      </c>
      <c r="B5271" s="21" t="s">
        <v>1202</v>
      </c>
      <c r="C5271" s="21" t="s">
        <v>1203</v>
      </c>
      <c r="D5271" s="21" t="s">
        <v>1188</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1272</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1494</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2683</v>
      </c>
      <c r="B5274" s="21" t="s">
        <v>1212</v>
      </c>
      <c r="C5274" s="21" t="s">
        <v>1231</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1193</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1478</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1625</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933</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2668</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11</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2669</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1190</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1201</v>
      </c>
      <c r="B5283" s="21" t="s">
        <v>1248</v>
      </c>
      <c r="C5283" s="21" t="s">
        <v>1203</v>
      </c>
      <c r="D5283" s="21" t="s">
        <v>1188</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1272</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1205</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1360</v>
      </c>
      <c r="B5286" s="21" t="s">
        <v>1215</v>
      </c>
      <c r="C5286" s="21" t="s">
        <v>1216</v>
      </c>
      <c r="D5286" s="21" t="s">
        <v>1188</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1322</v>
      </c>
      <c r="B5287" s="21" t="s">
        <v>1199</v>
      </c>
      <c r="C5287" s="21" t="s">
        <v>1218</v>
      </c>
      <c r="D5287" s="21" t="s">
        <v>1188</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2684</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2685</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2686</v>
      </c>
      <c r="B5290" s="21" t="s">
        <v>1245</v>
      </c>
      <c r="C5290" s="21" t="s">
        <v>1192</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2003</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1193</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1478</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1374</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1375</v>
      </c>
      <c r="B5295" s="21" t="s">
        <v>1199</v>
      </c>
      <c r="C5295" s="21" t="s">
        <v>1192</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1374</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1193</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1317</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1271</v>
      </c>
      <c r="B5299" s="21" t="s">
        <v>1311</v>
      </c>
      <c r="C5299" s="21" t="s">
        <v>1203</v>
      </c>
      <c r="D5299" s="21" t="s">
        <v>1188</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1352</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1214</v>
      </c>
      <c r="B5301" s="21" t="s">
        <v>1215</v>
      </c>
      <c r="C5301" s="21" t="s">
        <v>1216</v>
      </c>
      <c r="D5301" s="21" t="s">
        <v>1188</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2586</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882</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1895</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826</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row>
    <row r="5307" spans="1:12">
      <c r="A5307" s="20" t="s">
        <v>2687</v>
      </c>
    </row>
    <row r="5308" spans="1:12">
      <c r="A5308" s="20" t="s">
        <v>1270</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1190</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959</v>
      </c>
      <c r="B5310" s="21" t="s">
        <v>1186</v>
      </c>
      <c r="C5310" s="21" t="s">
        <v>1187</v>
      </c>
      <c r="D5310" s="21" t="s">
        <v>1188</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1219</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1193</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1271</v>
      </c>
      <c r="B5313" s="21" t="s">
        <v>1248</v>
      </c>
      <c r="C5313" s="21" t="s">
        <v>1203</v>
      </c>
      <c r="D5313" s="21" t="s">
        <v>1188</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1654</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1193</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57</v>
      </c>
      <c r="B5316" s="21" t="s">
        <v>1296</v>
      </c>
      <c r="C5316" s="21" t="s">
        <v>1203</v>
      </c>
      <c r="D5316" s="21" t="s">
        <v>1188</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1399</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1210</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2688</v>
      </c>
      <c r="B5319" s="21" t="s">
        <v>1347</v>
      </c>
      <c r="C5319" s="21" t="s">
        <v>1196</v>
      </c>
      <c r="D5319" s="21" t="s">
        <v>1188</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2689</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1193</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1208</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1268</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2667</v>
      </c>
      <c r="B5324" s="21" t="s">
        <v>1215</v>
      </c>
      <c r="C5324" s="21" t="s">
        <v>1187</v>
      </c>
      <c r="D5324" s="21" t="s">
        <v>1188</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933</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2690</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1278</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1193</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1527</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1494</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2691</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2692</v>
      </c>
      <c r="B5332" s="21" t="s">
        <v>1215</v>
      </c>
      <c r="C5332" s="21" t="s">
        <v>1187</v>
      </c>
      <c r="D5332" s="21" t="s">
        <v>1188</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2693</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1193</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1520</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1502</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1198</v>
      </c>
      <c r="B5337" s="21" t="s">
        <v>1437</v>
      </c>
      <c r="C5337" s="21" t="s">
        <v>1196</v>
      </c>
      <c r="D5337" s="21" t="s">
        <v>1188</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2694</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826</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row>
    <row r="5341" spans="1:12">
      <c r="A5341" s="20" t="s">
        <v>2695</v>
      </c>
    </row>
    <row r="5342" spans="1:12">
      <c r="A5342" s="20" t="s">
        <v>2635</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1502</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1388</v>
      </c>
      <c r="B5344" s="21" t="s">
        <v>1186</v>
      </c>
      <c r="C5344" s="21" t="s">
        <v>1246</v>
      </c>
      <c r="D5344" s="21" t="s">
        <v>1188</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1193</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1502</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2696</v>
      </c>
      <c r="B5347" s="21" t="s">
        <v>1311</v>
      </c>
      <c r="C5347" s="21" t="s">
        <v>1196</v>
      </c>
      <c r="D5347" s="21" t="s">
        <v>1188</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2697</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1257</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row>
    <row r="5351" spans="1:12">
      <c r="A5351" s="20" t="s">
        <v>2343</v>
      </c>
    </row>
    <row r="5352" spans="1:12">
      <c r="A5352" s="20" t="s">
        <v>1294</v>
      </c>
      <c r="B5352" s="21" t="s">
        <v>1186</v>
      </c>
      <c r="C5352" s="21" t="s">
        <v>1203</v>
      </c>
      <c r="D5352" s="21" t="s">
        <v>1188</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1190</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2344</v>
      </c>
      <c r="B5354" s="21" t="s">
        <v>1186</v>
      </c>
      <c r="C5354" s="21" t="s">
        <v>1187</v>
      </c>
      <c r="D5354" s="21" t="s">
        <v>1188</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826</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row>
    <row r="5357" spans="1:12">
      <c r="A5357" s="20" t="s">
        <v>2698</v>
      </c>
    </row>
    <row r="5358" spans="1:12">
      <c r="A5358" s="20" t="s">
        <v>2699</v>
      </c>
      <c r="B5358" s="21" t="s">
        <v>1199</v>
      </c>
      <c r="C5358" s="21" t="s">
        <v>1304</v>
      </c>
      <c r="D5358" s="21" t="s">
        <v>1188</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2626</v>
      </c>
      <c r="B5359" s="21" t="s">
        <v>1202</v>
      </c>
      <c r="C5359" s="21" t="s">
        <v>1192</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1625</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1201</v>
      </c>
      <c r="B5361" s="21" t="s">
        <v>1248</v>
      </c>
      <c r="C5361" s="21" t="s">
        <v>1203</v>
      </c>
      <c r="D5361" s="21" t="s">
        <v>1188</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1327</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1321</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1544</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1300</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2062</v>
      </c>
      <c r="B5366" s="21" t="s">
        <v>1199</v>
      </c>
      <c r="C5366" s="21" t="s">
        <v>1192</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1527</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1502</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1198</v>
      </c>
      <c r="B5369" s="21" t="s">
        <v>1186</v>
      </c>
      <c r="C5369" s="21" t="s">
        <v>1196</v>
      </c>
      <c r="D5369" s="21" t="s">
        <v>1188</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2627</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1193</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1271</v>
      </c>
      <c r="B5372" s="21" t="s">
        <v>1248</v>
      </c>
      <c r="C5372" s="21" t="s">
        <v>1203</v>
      </c>
      <c r="D5372" s="21" t="s">
        <v>1188</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1327</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1232</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1268</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1198</v>
      </c>
      <c r="B5376" s="21" t="s">
        <v>1199</v>
      </c>
      <c r="C5376" s="21" t="s">
        <v>1196</v>
      </c>
      <c r="D5376" s="21" t="s">
        <v>1188</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2627</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1193</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1302</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1653</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1271</v>
      </c>
      <c r="B5381" s="21" t="s">
        <v>1248</v>
      </c>
      <c r="C5381" s="21" t="s">
        <v>1203</v>
      </c>
      <c r="D5381" s="21" t="s">
        <v>1188</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1556</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2700</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2701</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1193</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1194</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2702</v>
      </c>
      <c r="B5387" s="21" t="s">
        <v>1245</v>
      </c>
      <c r="C5387" s="21" t="s">
        <v>1196</v>
      </c>
      <c r="D5387" s="21" t="s">
        <v>1188</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1337</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163</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1193</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185</v>
      </c>
      <c r="B5391" s="21" t="s">
        <v>1311</v>
      </c>
      <c r="C5391" s="21" t="s">
        <v>1203</v>
      </c>
      <c r="D5391" s="21" t="s">
        <v>1188</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1205</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1494</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1382</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2703</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1302</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2704</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1344</v>
      </c>
      <c r="B5398" s="21" t="s">
        <v>1245</v>
      </c>
      <c r="C5398" s="21" t="s">
        <v>1231</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1302</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1807</v>
      </c>
      <c r="B5400" s="21" t="s">
        <v>1215</v>
      </c>
      <c r="C5400" s="21" t="s">
        <v>1192</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1337</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2705</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1302</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185</v>
      </c>
      <c r="B5404" s="21" t="s">
        <v>1313</v>
      </c>
      <c r="C5404" s="21" t="s">
        <v>1203</v>
      </c>
      <c r="D5404" s="21" t="s">
        <v>1188</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1205</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1382</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2706</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1807</v>
      </c>
      <c r="B5408" s="21" t="s">
        <v>1215</v>
      </c>
      <c r="C5408" s="21" t="s">
        <v>1192</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2629</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1309</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680</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2707</v>
      </c>
      <c r="B5412" s="21" t="s">
        <v>1215</v>
      </c>
      <c r="C5412" s="21" t="s">
        <v>1231</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1337</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2708</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826</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row>
    <row r="5417" spans="1:12">
      <c r="A5417" s="20" t="s">
        <v>2709</v>
      </c>
    </row>
    <row r="5418" spans="1:12">
      <c r="A5418" s="20" t="s">
        <v>1264</v>
      </c>
      <c r="B5418" s="21" t="s">
        <v>1202</v>
      </c>
      <c r="C5418" s="21" t="s">
        <v>1203</v>
      </c>
      <c r="D5418" s="21" t="s">
        <v>1188</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1265</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1388</v>
      </c>
      <c r="B5420" s="21" t="s">
        <v>1186</v>
      </c>
      <c r="C5420" s="21" t="s">
        <v>1262</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2710</v>
      </c>
      <c r="B5421" s="21" t="s">
        <v>1186</v>
      </c>
      <c r="C5421" s="21" t="s">
        <v>1331</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1227</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1206</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1935</v>
      </c>
      <c r="B5424" s="21" t="s">
        <v>1186</v>
      </c>
      <c r="C5424" s="21" t="s">
        <v>1196</v>
      </c>
      <c r="D5424" s="21" t="s">
        <v>1188</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1193</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1366</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1901</v>
      </c>
      <c r="B5427" s="21" t="s">
        <v>1311</v>
      </c>
      <c r="C5427" s="21" t="s">
        <v>1262</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1206</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2711</v>
      </c>
      <c r="B5429" s="21" t="s">
        <v>1285</v>
      </c>
      <c r="C5429" s="21" t="s">
        <v>1196</v>
      </c>
      <c r="D5429" s="21" t="s">
        <v>1188</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1197</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1198</v>
      </c>
      <c r="B5431" s="21" t="s">
        <v>1298</v>
      </c>
      <c r="C5431" s="21" t="s">
        <v>1196</v>
      </c>
      <c r="D5431" s="21" t="s">
        <v>1188</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1268</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1198</v>
      </c>
      <c r="B5433" s="21" t="s">
        <v>1347</v>
      </c>
      <c r="C5433" s="21" t="s">
        <v>1196</v>
      </c>
      <c r="D5433" s="21" t="s">
        <v>1188</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1382</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2712</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2713</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1265</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2393</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1494</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2714</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2715</v>
      </c>
      <c r="B5441" s="21" t="s">
        <v>1215</v>
      </c>
      <c r="C5441" s="21" t="s">
        <v>1231</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826</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row>
    <row r="5444" spans="1:12">
      <c r="A5444" s="20" t="s">
        <v>2716</v>
      </c>
    </row>
    <row r="5445" spans="1:12">
      <c r="A5445" s="20" t="s">
        <v>1201</v>
      </c>
      <c r="B5445" s="21" t="s">
        <v>1202</v>
      </c>
      <c r="C5445" s="21" t="s">
        <v>1203</v>
      </c>
      <c r="D5445" s="21" t="s">
        <v>1188</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2071</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1193</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1494</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2692</v>
      </c>
      <c r="B5449" s="21" t="s">
        <v>1248</v>
      </c>
      <c r="C5449" s="21" t="s">
        <v>1187</v>
      </c>
      <c r="D5449" s="21" t="s">
        <v>1188</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2693</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1359</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1502</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1198</v>
      </c>
      <c r="B5453" s="21" t="s">
        <v>1215</v>
      </c>
      <c r="C5453" s="21" t="s">
        <v>1196</v>
      </c>
      <c r="D5453" s="21" t="s">
        <v>1188</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1265</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2717</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1193</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1244</v>
      </c>
      <c r="B5457" s="21" t="s">
        <v>1313</v>
      </c>
      <c r="C5457" s="21" t="s">
        <v>1246</v>
      </c>
      <c r="D5457" s="21" t="s">
        <v>1188</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427</v>
      </c>
      <c r="B5458" s="21" t="s">
        <v>1311</v>
      </c>
      <c r="C5458" s="21" t="s">
        <v>1246</v>
      </c>
      <c r="D5458" s="21" t="s">
        <v>1188</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303</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826</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row>
    <row r="5462" spans="1:12">
      <c r="A5462" s="20" t="s">
        <v>2718</v>
      </c>
    </row>
    <row r="5463" spans="1:12">
      <c r="A5463" s="20" t="s">
        <v>1364</v>
      </c>
      <c r="B5463" s="21" t="s">
        <v>1202</v>
      </c>
      <c r="C5463" s="21" t="s">
        <v>1246</v>
      </c>
      <c r="D5463" s="21" t="s">
        <v>1188</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1444</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1462</v>
      </c>
      <c r="B5465" s="21" t="s">
        <v>1199</v>
      </c>
      <c r="C5465" s="21" t="s">
        <v>1304</v>
      </c>
      <c r="D5465" s="21" t="s">
        <v>1188</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2719</v>
      </c>
      <c r="B5466" s="21" t="s">
        <v>1202</v>
      </c>
      <c r="C5466" s="21" t="s">
        <v>1192</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980</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1321</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1544</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1232</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1291</v>
      </c>
      <c r="B5471" s="21" t="s">
        <v>1186</v>
      </c>
      <c r="C5471" s="21" t="s">
        <v>1192</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1193</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1937</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1232</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1206</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2720</v>
      </c>
      <c r="B5476" s="21" t="s">
        <v>1186</v>
      </c>
      <c r="C5476" s="21" t="s">
        <v>1196</v>
      </c>
      <c r="D5476" s="21" t="s">
        <v>1188</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1197</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1198</v>
      </c>
      <c r="B5478" s="21" t="s">
        <v>1199</v>
      </c>
      <c r="C5478" s="21" t="s">
        <v>1196</v>
      </c>
      <c r="D5478" s="21" t="s">
        <v>1188</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826</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row>
    <row r="5481" spans="1:12">
      <c r="A5481" s="20" t="s">
        <v>2721</v>
      </c>
    </row>
    <row r="5482" spans="1:12">
      <c r="A5482" s="20" t="s">
        <v>1264</v>
      </c>
      <c r="B5482" s="21" t="s">
        <v>1202</v>
      </c>
      <c r="C5482" s="21" t="s">
        <v>1203</v>
      </c>
      <c r="D5482" s="21" t="s">
        <v>1188</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1265</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1388</v>
      </c>
      <c r="B5484" s="21" t="s">
        <v>1186</v>
      </c>
      <c r="C5484" s="21" t="s">
        <v>1262</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1193</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1205</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1502</v>
      </c>
      <c r="B5487" s="21" t="s">
        <v>1199</v>
      </c>
      <c r="C5487" s="21" t="s">
        <v>1216</v>
      </c>
      <c r="D5487" s="21" t="s">
        <v>1188</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1271</v>
      </c>
      <c r="B5488" s="21" t="s">
        <v>1248</v>
      </c>
      <c r="C5488" s="21" t="s">
        <v>1203</v>
      </c>
      <c r="D5488" s="21" t="s">
        <v>1188</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2722</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826</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row>
    <row r="5492" spans="1:12">
      <c r="A5492" s="20" t="s">
        <v>2723</v>
      </c>
    </row>
    <row r="5493" spans="1:12">
      <c r="A5493" s="20" t="s">
        <v>1201</v>
      </c>
      <c r="B5493" s="21" t="s">
        <v>1202</v>
      </c>
      <c r="C5493" s="21" t="s">
        <v>1203</v>
      </c>
      <c r="D5493" s="21" t="s">
        <v>1188</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987</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2258</v>
      </c>
      <c r="B5495" s="21" t="s">
        <v>1212</v>
      </c>
      <c r="C5495" s="21" t="s">
        <v>1262</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1232</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1268</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1269</v>
      </c>
      <c r="B5498" s="21" t="s">
        <v>1199</v>
      </c>
      <c r="C5498" s="21" t="s">
        <v>1196</v>
      </c>
      <c r="D5498" s="21" t="s">
        <v>1188</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1193</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1321</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1544</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1709</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1232</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2724</v>
      </c>
      <c r="B5504" s="21" t="s">
        <v>1186</v>
      </c>
      <c r="C5504" s="21" t="s">
        <v>1187</v>
      </c>
      <c r="D5504" s="21" t="s">
        <v>1188</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1193</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1937</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1232</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1206</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1390</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1336</v>
      </c>
      <c r="B5510" s="21" t="s">
        <v>1186</v>
      </c>
      <c r="C5510" s="21" t="s">
        <v>1196</v>
      </c>
      <c r="D5510" s="21" t="s">
        <v>1188</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680</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1193</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1226</v>
      </c>
      <c r="B5513" s="21" t="s">
        <v>1245</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2725</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1302</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t="s">
        <v>2726</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826</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row>
    <row r="5519" spans="1:12">
      <c r="A5519" s="20" t="s">
        <v>2727</v>
      </c>
    </row>
    <row r="5520" spans="1:12">
      <c r="A5520" s="20" t="s">
        <v>1270</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1190</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2728</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57</v>
      </c>
      <c r="B5523" s="21" t="s">
        <v>1202</v>
      </c>
      <c r="C5523" s="21" t="s">
        <v>1203</v>
      </c>
      <c r="D5523" s="21" t="s">
        <v>1188</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1494</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1322</v>
      </c>
      <c r="B5525" s="21" t="s">
        <v>1212</v>
      </c>
      <c r="C5525" s="21" t="s">
        <v>1231</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1227</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1219</v>
      </c>
      <c r="B5527" s="21" t="s">
        <v>1199</v>
      </c>
      <c r="C5527" s="21" t="s">
        <v>1187</v>
      </c>
      <c r="D5527" s="21" t="s">
        <v>1188</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1257</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2729</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1190</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2432</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1274</v>
      </c>
      <c r="B5532" s="21" t="s">
        <v>1313</v>
      </c>
      <c r="C5532" s="21" t="s">
        <v>1331</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1190</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1494</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2730</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1322</v>
      </c>
      <c r="B5536" s="21" t="s">
        <v>1285</v>
      </c>
      <c r="C5536" s="21" t="s">
        <v>1231</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1625</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t="s">
        <v>1270</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1190</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1219</v>
      </c>
      <c r="B5540" s="21" t="s">
        <v>1285</v>
      </c>
      <c r="C5540" s="21" t="s">
        <v>1187</v>
      </c>
      <c r="D5540" s="21" t="s">
        <v>1188</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1193</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1254</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57</v>
      </c>
      <c r="B5543" s="21" t="s">
        <v>1311</v>
      </c>
      <c r="C5543" s="21" t="s">
        <v>1203</v>
      </c>
      <c r="D5543" s="21" t="s">
        <v>1188</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t="s">
        <v>1515</v>
      </c>
      <c r="B5544" s="21" t="s">
        <v>1347</v>
      </c>
      <c r="C5544" s="21" t="s">
        <v>1246</v>
      </c>
      <c r="D5544" s="21" t="s">
        <v>1188</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1397</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2461</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1257</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row>
    <row r="5549" spans="1:12">
      <c r="A5549" s="20" t="s">
        <v>2731</v>
      </c>
    </row>
    <row r="5550" spans="1:12">
      <c r="A5550" s="20" t="s">
        <v>1294</v>
      </c>
      <c r="B5550" s="21" t="s">
        <v>1186</v>
      </c>
      <c r="C5550" s="21" t="s">
        <v>1203</v>
      </c>
      <c r="D5550" s="21" t="s">
        <v>1188</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1190</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2467</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1193</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1271</v>
      </c>
      <c r="B5554" s="21" t="s">
        <v>1248</v>
      </c>
      <c r="C5554" s="21" t="s">
        <v>1203</v>
      </c>
      <c r="D5554" s="21" t="s">
        <v>1188</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1260</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1275</v>
      </c>
      <c r="B5556" s="21" t="s">
        <v>1245</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2461</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826</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row>
    <row r="5560" spans="1:12">
      <c r="A5560" s="20" t="s">
        <v>2732</v>
      </c>
    </row>
    <row r="5561" spans="1:12">
      <c r="A5561" s="20" t="s">
        <v>1270</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1190</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1235</v>
      </c>
      <c r="B5563" s="21" t="s">
        <v>1202</v>
      </c>
      <c r="C5563" s="21" t="s">
        <v>1203</v>
      </c>
      <c r="D5563" s="21" t="s">
        <v>1188</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1265</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2543</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1581</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826</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row>
    <row r="5569" spans="1:12">
      <c r="A5569" s="20" t="s">
        <v>2733</v>
      </c>
    </row>
    <row r="5570" spans="1:12">
      <c r="A5570" s="20" t="s">
        <v>2729</v>
      </c>
      <c r="B5570" s="21" t="s">
        <v>1202</v>
      </c>
      <c r="C5570" s="21" t="s">
        <v>1187</v>
      </c>
      <c r="D5570" s="21" t="s">
        <v>1188</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1190</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1552</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2734</v>
      </c>
      <c r="B5573" s="21" t="s">
        <v>1199</v>
      </c>
      <c r="C5573" s="21" t="s">
        <v>1196</v>
      </c>
      <c r="D5573" s="21" t="s">
        <v>1188</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1227</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2118</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2735</v>
      </c>
      <c r="B5576" s="21" t="s">
        <v>1215</v>
      </c>
      <c r="C5576" s="21" t="s">
        <v>1240</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1740</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1359</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1283</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798</v>
      </c>
      <c r="B5580" s="21" t="s">
        <v>1186</v>
      </c>
      <c r="C5580" s="21" t="s">
        <v>1231</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2736</v>
      </c>
      <c r="B5581" s="21" t="s">
        <v>1199</v>
      </c>
      <c r="C5581" s="21" t="s">
        <v>1187</v>
      </c>
      <c r="D5581" s="21" t="s">
        <v>1188</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826</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row>
    <row r="5584" spans="1:12">
      <c r="A5584" s="20" t="s">
        <v>2737</v>
      </c>
    </row>
    <row r="5585" spans="1:12">
      <c r="A5585" s="20" t="s">
        <v>1222</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53</v>
      </c>
      <c r="B5586" s="21" t="s">
        <v>1186</v>
      </c>
      <c r="C5586" s="21" t="s">
        <v>1187</v>
      </c>
      <c r="D5586" s="21" t="s">
        <v>1188</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1224</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1294</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1190</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1264</v>
      </c>
      <c r="B5590" s="21" t="s">
        <v>1248</v>
      </c>
      <c r="C5590" s="21" t="s">
        <v>1203</v>
      </c>
      <c r="D5590" s="21" t="s">
        <v>1188</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1265</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680</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2738</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1402</v>
      </c>
      <c r="B5594" s="21" t="s">
        <v>1186</v>
      </c>
      <c r="C5594" s="21" t="s">
        <v>1187</v>
      </c>
      <c r="D5594" s="21" t="s">
        <v>1188</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t="s">
        <v>11</v>
      </c>
      <c r="E5595" s="22">
        <f>IF(D5595="?OLD","!!!","")</f>
        <v/>
      </c>
      <c r="F5595" s="23" t="str">
        <f>IF(OR(E5595="",E5595="!!!"),"",IF(NOT(ISNA(VLOOKUP(E5595,E$1:E5594,1,FALSE()))),"OLD",IF(AND(E5595&lt;&gt;"",E5595&lt;&gt;"!!!"),"NEW","")))</f>
        <v> </v>
      </c>
      <c r="G5595" s="24" t="str">
        <f>IF(OR(E5595="",E5595="!!!"),"",IF(OR(J5595=0,AND(J5595=1,K5595=1),AND(J5595=1,I5595="SBJ"),AND(J5595=1,I5595=0)),"?IN_FOCUS",IF(J5595&lt;=2,"?ACTIVATED",IF(J5595&lt;&gt;"","?FAMILIAR",IF(F5595="NEW",IF(ISNA(VLOOKUP(E5595,#REF!,1,FALSE())),"?TYPE_IDENTIFIABLE","?REFERENTIAL"),"_")))))</f>
        <v> </v>
      </c>
      <c r="H5595" s="25" t="str">
        <f>IF(J5595&lt;&gt;1,"",IF(I5595="SBJ","CB","?"))</f>
        <v> </v>
      </c>
      <c r="I5595" s="26" t="str">
        <f>IF(OR(E5595="",E5595="!!!",F5595="NEW"),"",INDEX(B5594:B$2,-1+SUMPRODUCT(MAX(ROW(E5594:E$2)*(E5595=E5594:E$2)))))</f>
        <v> </v>
      </c>
      <c r="J5595" s="26" t="str">
        <f>IF(OR(E5595="",E5595="!!!",F5595="NEW"),"",COUNTBLANK(OFFSET(A$1,,,SUMPRODUCT(MAX(ROW(E$2:E5595)*(E5595=E$2:E5595)))))-COUNTBLANK(OFFSET(A$1,,,SUMPRODUCT(MAX(ROW(E$1:E5594)*(E2=E$1:E5594))))))</f>
        <v> </v>
      </c>
      <c r="K5595" s="26" t="str">
        <f>IF(OR(E5595="",E5595="!!!",F5595="NEW"),"",INDEX(J$1:J5594,SUMPRODUCT(MAX(ROW(E$1:E5594)*(E5595=E$1:E5594)))))</f>
        <v> </v>
      </c>
      <c r="L5595" s="27"/>
    </row>
    <row r="5596" spans="1:12">
      <c r="A5596" s="20" t="s">
        <v>2739</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826</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row>
    <row r="5599" spans="1:12">
      <c r="A5599" s="20" t="s">
        <v>2740</v>
      </c>
    </row>
    <row r="5600" spans="1:12">
      <c r="A5600" s="20" t="s">
        <v>2729</v>
      </c>
      <c r="B5600" s="21" t="s">
        <v>1202</v>
      </c>
      <c r="C5600" s="21" t="s">
        <v>1187</v>
      </c>
      <c r="D5600" s="21" t="s">
        <v>1188</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1190</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1333</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427</v>
      </c>
      <c r="B5603" s="21" t="s">
        <v>1202</v>
      </c>
      <c r="C5603" s="21" t="s">
        <v>1246</v>
      </c>
      <c r="D5603" s="21" t="s">
        <v>1188</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1208</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1210</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105</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1429</v>
      </c>
      <c r="B5607" s="21" t="s">
        <v>1186</v>
      </c>
      <c r="C5607" s="21" t="s">
        <v>1615</v>
      </c>
      <c r="D5607" s="21" t="s">
        <v>1188</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1283</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t="s">
        <v>2741</v>
      </c>
      <c r="B5609" s="21" t="s">
        <v>1212</v>
      </c>
      <c r="C5609" s="21" t="s">
        <v>1231</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1007</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1302</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2610</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1193</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1244</v>
      </c>
      <c r="B5614" s="21" t="s">
        <v>1311</v>
      </c>
      <c r="C5614" s="21" t="s">
        <v>1246</v>
      </c>
      <c r="D5614" s="21" t="s">
        <v>1188</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2633</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57</v>
      </c>
      <c r="B5616" s="21" t="s">
        <v>1248</v>
      </c>
      <c r="C5616" s="21" t="s">
        <v>1203</v>
      </c>
      <c r="D5616" s="21" t="s">
        <v>1188</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1193</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t="s">
        <v>1563</v>
      </c>
      <c r="E5618" s="22">
        <f>IF(D5618="?OLD","!!!","")</f>
        <v/>
      </c>
      <c r="F5618" s="23" t="str">
        <f>IF(OR(E5618="",E5618="!!!"),"",IF(NOT(ISNA(VLOOKUP(E5618,E$1:E5617,1,FALSE()))),"OLD",IF(AND(E5618&lt;&gt;"",E5618&lt;&gt;"!!!"),"NEW","")))</f>
        <v> </v>
      </c>
      <c r="G5618" s="24" t="str">
        <f>IF(OR(E5618="",E5618="!!!"),"",IF(OR(J5618=0,AND(J5618=1,K5618=1),AND(J5618=1,I5618="SBJ"),AND(J5618=1,I5618=0)),"?IN_FOCUS",IF(J5618&lt;=2,"?ACTIVATED",IF(J5618&lt;&gt;"","?FAMILIAR",IF(F5618="NEW",IF(ISNA(VLOOKUP(E5618,#REF!,1,FALSE())),"?TYPE_IDENTIFIABLE","?REFERENTIAL"),"_")))))</f>
        <v> </v>
      </c>
      <c r="H5618" s="25" t="str">
        <f>IF(J5618&lt;&gt;1,"",IF(I5618="SBJ","CB","?"))</f>
        <v> </v>
      </c>
      <c r="I5618" s="26" t="str">
        <f>IF(OR(E5618="",E5618="!!!",F5618="NEW"),"",INDEX(B5617:B$2,-1+SUMPRODUCT(MAX(ROW(E5617:E$2)*(E5618=E5617:E$2)))))</f>
        <v> </v>
      </c>
      <c r="J5618" s="26" t="str">
        <f>IF(OR(E5618="",E5618="!!!",F5618="NEW"),"",COUNTBLANK(OFFSET(A$1,,,SUMPRODUCT(MAX(ROW(E$2:E5618)*(E5618=E$2:E5618)))))-COUNTBLANK(OFFSET(A$1,,,SUMPRODUCT(MAX(ROW(E$1:E5617)*(E2=E$1:E5617))))))</f>
        <v> </v>
      </c>
      <c r="K5618" s="26" t="str">
        <f>IF(OR(E5618="",E5618="!!!",F5618="NEW"),"",INDEX(J$1:J5617,SUMPRODUCT(MAX(ROW(E$1:E5617)*(E5618=E$1:E5617)))))</f>
        <v> </v>
      </c>
      <c r="L5618" s="27"/>
    </row>
    <row r="5619" spans="1:12">
      <c r="A5619" s="20" t="s">
        <v>1502</v>
      </c>
      <c r="E5619" s="22">
        <f>IF(D5619="?OLD","!!!","")</f>
        <v/>
      </c>
      <c r="F5619" s="23" t="str">
        <f>IF(OR(E5619="",E5619="!!!"),"",IF(NOT(ISNA(VLOOKUP(E5619,E$1:E5618,1,FALSE()))),"OLD",IF(AND(E5619&lt;&gt;"",E5619&lt;&gt;"!!!"),"NEW","")))</f>
        <v> </v>
      </c>
      <c r="G5619" s="24" t="str">
        <f>IF(OR(E5619="",E5619="!!!"),"",IF(OR(J5619=0,AND(J5619=1,K5619=1),AND(J5619=1,I5619="SBJ"),AND(J5619=1,I5619=0)),"?IN_FOCUS",IF(J5619&lt;=2,"?ACTIVATED",IF(J5619&lt;&gt;"","?FAMILIAR",IF(F5619="NEW",IF(ISNA(VLOOKUP(E5619,#REF!,1,FALSE())),"?TYPE_IDENTIFIABLE","?REFERENTIAL"),"_")))))</f>
        <v> </v>
      </c>
      <c r="H5619" s="25" t="str">
        <f>IF(J5619&lt;&gt;1,"",IF(I5619="SBJ","CB","?"))</f>
        <v> </v>
      </c>
      <c r="I5619" s="26" t="str">
        <f>IF(OR(E5619="",E5619="!!!",F5619="NEW"),"",INDEX(B5618:B$2,-1+SUMPRODUCT(MAX(ROW(E5618:E$2)*(E5619=E5618:E$2)))))</f>
        <v> </v>
      </c>
      <c r="J5619" s="26" t="str">
        <f>IF(OR(E5619="",E5619="!!!",F5619="NEW"),"",COUNTBLANK(OFFSET(A$1,,,SUMPRODUCT(MAX(ROW(E$2:E5619)*(E5619=E$2:E5619)))))-COUNTBLANK(OFFSET(A$1,,,SUMPRODUCT(MAX(ROW(E$1:E5618)*(E2=E$1:E5618))))))</f>
        <v> </v>
      </c>
      <c r="K5619" s="26" t="str">
        <f>IF(OR(E5619="",E5619="!!!",F5619="NEW"),"",INDEX(J$1:J5618,SUMPRODUCT(MAX(ROW(E$1:E5618)*(E5619=E$1:E5618)))))</f>
        <v> </v>
      </c>
      <c r="L5619" s="27"/>
    </row>
    <row r="5620" spans="1:12">
      <c r="A5620" s="20" t="s">
        <v>2742</v>
      </c>
      <c r="B5620" s="21" t="s">
        <v>1186</v>
      </c>
      <c r="C5620" s="21" t="s">
        <v>1218</v>
      </c>
      <c r="D5620" s="21" t="s">
        <v>1188</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1193</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1244</v>
      </c>
      <c r="B5622" s="21" t="s">
        <v>1313</v>
      </c>
      <c r="C5622" s="21" t="s">
        <v>1246</v>
      </c>
      <c r="D5622" s="21" t="s">
        <v>1188</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427</v>
      </c>
      <c r="B5623" s="21" t="s">
        <v>1311</v>
      </c>
      <c r="C5623" s="21" t="s">
        <v>1246</v>
      </c>
      <c r="D5623" s="21" t="s">
        <v>1188</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2564</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2141</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1193</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1241</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1538</v>
      </c>
      <c r="B5628" s="21" t="s">
        <v>1199</v>
      </c>
      <c r="C5628" s="21" t="s">
        <v>1262</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1210</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2743</v>
      </c>
      <c r="B5630" s="21" t="s">
        <v>1186</v>
      </c>
      <c r="C5630" s="21" t="s">
        <v>1196</v>
      </c>
      <c r="D5630" s="21" t="s">
        <v>1188</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1193</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1194</v>
      </c>
      <c r="B5632" s="21" t="s">
        <v>1313</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427</v>
      </c>
      <c r="B5633" s="21" t="s">
        <v>1311</v>
      </c>
      <c r="C5633" s="21" t="s">
        <v>1246</v>
      </c>
      <c r="D5633" s="21" t="s">
        <v>1188</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1527</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1502</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2744</v>
      </c>
      <c r="B5636" s="21" t="s">
        <v>1215</v>
      </c>
      <c r="C5636" s="21" t="s">
        <v>1196</v>
      </c>
      <c r="D5636" s="21" t="s">
        <v>1188</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118</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1193</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1502</v>
      </c>
      <c r="B5639" s="21" t="s">
        <v>1313</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427</v>
      </c>
      <c r="B5640" s="21" t="s">
        <v>1311</v>
      </c>
      <c r="C5640" s="21" t="s">
        <v>1246</v>
      </c>
      <c r="D5640" s="21" t="s">
        <v>1188</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163</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1346</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1257</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row>
    <row r="5645" spans="1:12">
      <c r="A5645" s="20" t="s">
        <v>2745</v>
      </c>
    </row>
    <row r="5646" spans="1:12">
      <c r="A5646" s="20" t="s">
        <v>1294</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1190</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1333</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427</v>
      </c>
      <c r="B5649" s="21" t="s">
        <v>1248</v>
      </c>
      <c r="C5649" s="21" t="s">
        <v>1246</v>
      </c>
      <c r="D5649" s="21" t="s">
        <v>1188</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1318</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2610</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1193</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1244</v>
      </c>
      <c r="B5653" s="21" t="s">
        <v>1313</v>
      </c>
      <c r="C5653" s="21" t="s">
        <v>1246</v>
      </c>
      <c r="D5653" s="21" t="s">
        <v>1188</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427</v>
      </c>
      <c r="B5654" s="21" t="s">
        <v>1311</v>
      </c>
      <c r="C5654" s="21" t="s">
        <v>1246</v>
      </c>
      <c r="D5654" s="21" t="s">
        <v>1188</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2564</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1530</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1193</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1419</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1193</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1654</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1271</v>
      </c>
      <c r="B5661" s="21" t="s">
        <v>1202</v>
      </c>
      <c r="C5661" s="21" t="s">
        <v>1203</v>
      </c>
      <c r="D5661" s="21" t="s">
        <v>1188</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1193</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1960</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1502</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1544</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2746</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2393</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t="s">
        <v>1502</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1193</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1244</v>
      </c>
      <c r="B5670" s="21" t="s">
        <v>1533</v>
      </c>
      <c r="C5670" s="21" t="s">
        <v>1246</v>
      </c>
      <c r="D5670" s="21" t="s">
        <v>1188</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427</v>
      </c>
      <c r="B5671" s="21" t="s">
        <v>1919</v>
      </c>
      <c r="C5671" s="21" t="s">
        <v>1246</v>
      </c>
      <c r="D5671" s="21" t="s">
        <v>1188</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2550</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1341</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1193</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2747</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1201</v>
      </c>
      <c r="B5676" s="21" t="s">
        <v>1436</v>
      </c>
      <c r="C5676" s="21" t="s">
        <v>1203</v>
      </c>
      <c r="D5676" s="21" t="s">
        <v>1188</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1654</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1193</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1502</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1198</v>
      </c>
      <c r="B5680" s="21" t="s">
        <v>1437</v>
      </c>
      <c r="C5680" s="21" t="s">
        <v>1196</v>
      </c>
      <c r="D5680" s="21" t="s">
        <v>1188</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1193</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1232</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t="s">
        <v>2748</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2652</v>
      </c>
      <c r="B5684" s="21" t="s">
        <v>1500</v>
      </c>
      <c r="C5684" s="21" t="s">
        <v>1218</v>
      </c>
      <c r="D5684" s="21" t="s">
        <v>1188</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427</v>
      </c>
      <c r="B5685" s="21" t="s">
        <v>1348</v>
      </c>
      <c r="C5685" s="21" t="s">
        <v>1246</v>
      </c>
      <c r="D5685" s="21" t="s">
        <v>1188</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1232</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1206</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2749</v>
      </c>
      <c r="B5688" s="21" t="s">
        <v>1500</v>
      </c>
      <c r="C5688" s="21" t="s">
        <v>1196</v>
      </c>
      <c r="D5688" s="21" t="s">
        <v>1188</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2713</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1341</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1193</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1265</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2717</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1502</v>
      </c>
      <c r="B5694" s="21" t="s">
        <v>1215</v>
      </c>
      <c r="C5694" s="21" t="s">
        <v>1246</v>
      </c>
      <c r="D5694" s="21" t="s">
        <v>1188</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1193</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1244</v>
      </c>
      <c r="B5696" s="21" t="s">
        <v>1533</v>
      </c>
      <c r="C5696" s="21" t="s">
        <v>1246</v>
      </c>
      <c r="D5696" s="21" t="s">
        <v>1188</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427</v>
      </c>
      <c r="B5697" s="21" t="s">
        <v>1919</v>
      </c>
      <c r="C5697" s="21" t="s">
        <v>1246</v>
      </c>
      <c r="D5697" s="21" t="s">
        <v>1188</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11</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1321</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1544</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1427</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2207</v>
      </c>
      <c r="B5702" s="21" t="s">
        <v>1436</v>
      </c>
      <c r="C5702" s="21" t="s">
        <v>1192</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1193</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1937</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1427</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680</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1541</v>
      </c>
      <c r="B5707" s="21" t="s">
        <v>1499</v>
      </c>
      <c r="C5707" s="21" t="s">
        <v>1231</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1232</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2184</v>
      </c>
      <c r="B5709" s="21" t="s">
        <v>1351</v>
      </c>
      <c r="C5709" s="21" t="s">
        <v>1262</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t="s">
        <v>1336</v>
      </c>
      <c r="B5710" s="21" t="s">
        <v>1500</v>
      </c>
      <c r="C5710" s="21" t="s">
        <v>1331</v>
      </c>
      <c r="E5710" s="22">
        <f>IF(D5710="?OLD","!!!","")</f>
        <v/>
      </c>
      <c r="F5710" s="23" t="str">
        <f>IF(OR(E5710="",E5710="!!!"),"",IF(NOT(ISNA(VLOOKUP(E5710,E$1:E5709,1,FALSE()))),"OLD",IF(AND(E5710&lt;&gt;"",E5710&lt;&gt;"!!!"),"NEW","")))</f>
        <v> </v>
      </c>
      <c r="G5710" s="24" t="str">
        <f>IF(OR(E5710="",E5710="!!!"),"",IF(OR(J5710=0,AND(J5710=1,K5710=1),AND(J5710=1,I5710="SBJ"),AND(J5710=1,I5710=0)),"?IN_FOCUS",IF(J5710&lt;=2,"?ACTIVATED",IF(J5710&lt;&gt;"","?FAMILIAR",IF(F5710="NEW",IF(ISNA(VLOOKUP(E5710,#REF!,1,FALSE())),"?TYPE_IDENTIFIABLE","?REFERENTIAL"),"_")))))</f>
        <v> </v>
      </c>
      <c r="H5710" s="25" t="str">
        <f>IF(J5710&lt;&gt;1,"",IF(I5710="SBJ","CB","?"))</f>
        <v> </v>
      </c>
      <c r="I5710" s="26" t="str">
        <f>IF(OR(E5710="",E5710="!!!",F5710="NEW"),"",INDEX(B5709:B$2,-1+SUMPRODUCT(MAX(ROW(E5709:E$2)*(E5710=E5709:E$2)))))</f>
        <v> </v>
      </c>
      <c r="J5710" s="26" t="str">
        <f>IF(OR(E5710="",E5710="!!!",F5710="NEW"),"",COUNTBLANK(OFFSET(A$1,,,SUMPRODUCT(MAX(ROW(E$2:E5710)*(E5710=E$2:E5710)))))-COUNTBLANK(OFFSET(A$1,,,SUMPRODUCT(MAX(ROW(E$1:E5709)*(E2=E$1:E5709))))))</f>
        <v> </v>
      </c>
      <c r="K5710" s="26" t="str">
        <f>IF(OR(E5710="",E5710="!!!",F5710="NEW"),"",INDEX(J$1:J5709,SUMPRODUCT(MAX(ROW(E$1:E5709)*(E5710=E$1:E5709)))))</f>
        <v> </v>
      </c>
      <c r="L5710" s="27"/>
    </row>
    <row r="5711" spans="1:12">
      <c r="A5711" s="20" t="s">
        <v>11</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303</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1302</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1502</v>
      </c>
      <c r="B5714" s="21" t="s">
        <v>1533</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427</v>
      </c>
      <c r="B5715" s="21" t="s">
        <v>1919</v>
      </c>
      <c r="C5715" s="21" t="s">
        <v>1246</v>
      </c>
      <c r="D5715" s="21" t="s">
        <v>1188</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2705</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1444</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1193</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1537</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427</v>
      </c>
      <c r="B5720" s="21" t="s">
        <v>1919</v>
      </c>
      <c r="C5720" s="21" t="s">
        <v>1246</v>
      </c>
      <c r="D5720" s="21" t="s">
        <v>1188</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1808</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1193</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1537</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427</v>
      </c>
      <c r="B5724" s="21" t="s">
        <v>1348</v>
      </c>
      <c r="C5724" s="21" t="s">
        <v>1246</v>
      </c>
      <c r="D5724" s="21" t="s">
        <v>1188</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1321</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1544</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1194</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2750</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2751</v>
      </c>
      <c r="B5729" s="21" t="s">
        <v>1349</v>
      </c>
      <c r="C5729" s="21" t="s">
        <v>1196</v>
      </c>
      <c r="D5729" s="21" t="s">
        <v>1188</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2752</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1193</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1937</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1193</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1309</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57</v>
      </c>
      <c r="B5735" s="21" t="s">
        <v>1351</v>
      </c>
      <c r="C5735" s="21" t="s">
        <v>1203</v>
      </c>
      <c r="D5735" s="21" t="s">
        <v>1188</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2753</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1193</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1194</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1814</v>
      </c>
      <c r="B5739" s="21" t="s">
        <v>1298</v>
      </c>
      <c r="C5739" s="21" t="s">
        <v>1196</v>
      </c>
      <c r="D5739" s="21" t="s">
        <v>1188</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1193</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1194</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1702</v>
      </c>
      <c r="B5742" s="21" t="s">
        <v>1298</v>
      </c>
      <c r="C5742" s="21" t="s">
        <v>1196</v>
      </c>
      <c r="D5742" s="21" t="s">
        <v>1188</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1232</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2184</v>
      </c>
      <c r="B5744" s="21" t="s">
        <v>1500</v>
      </c>
      <c r="C5744" s="21" t="s">
        <v>1262</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1336</v>
      </c>
      <c r="B5745" s="21" t="s">
        <v>1499</v>
      </c>
      <c r="C5745" s="21" t="s">
        <v>1331</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1193</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1194</v>
      </c>
      <c r="B5747" s="21" t="s">
        <v>1992</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2754</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2393</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1502</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t="s">
        <v>1198</v>
      </c>
      <c r="B5751" s="21" t="s">
        <v>1351</v>
      </c>
      <c r="C5751" s="21" t="s">
        <v>1196</v>
      </c>
      <c r="D5751" s="21" t="s">
        <v>1188</v>
      </c>
      <c r="E5751" s="22">
        <f>IF(D5751="?OLD","!!!","")</f>
        <v/>
      </c>
      <c r="F5751" s="23" t="str">
        <f>IF(OR(E5751="",E5751="!!!"),"",IF(NOT(ISNA(VLOOKUP(E5751,E$1:E5750,1,FALSE()))),"OLD",IF(AND(E5751&lt;&gt;"",E5751&lt;&gt;"!!!"),"NEW","")))</f>
        <v> </v>
      </c>
      <c r="G5751" s="24" t="str">
        <f>IF(OR(E5751="",E5751="!!!"),"",IF(OR(J5751=0,AND(J5751=1,K5751=1),AND(J5751=1,I5751="SBJ"),AND(J5751=1,I5751=0)),"?IN_FOCUS",IF(J5751&lt;=2,"?ACTIVATED",IF(J5751&lt;&gt;"","?FAMILIAR",IF(F5751="NEW",IF(ISNA(VLOOKUP(E5751,#REF!,1,FALSE())),"?TYPE_IDENTIFIABLE","?REFERENTIAL"),"_")))))</f>
        <v> </v>
      </c>
      <c r="H5751" s="25" t="str">
        <f>IF(J5751&lt;&gt;1,"",IF(I5751="SBJ","CB","?"))</f>
        <v> </v>
      </c>
      <c r="I5751" s="26" t="str">
        <f>IF(OR(E5751="",E5751="!!!",F5751="NEW"),"",INDEX(B5750:B$2,-1+SUMPRODUCT(MAX(ROW(E5750:E$2)*(E5751=E5750:E$2)))))</f>
        <v> </v>
      </c>
      <c r="J5751" s="26" t="str">
        <f>IF(OR(E5751="",E5751="!!!",F5751="NEW"),"",COUNTBLANK(OFFSET(A$1,,,SUMPRODUCT(MAX(ROW(E$2:E5751)*(E5751=E$2:E5751)))))-COUNTBLANK(OFFSET(A$1,,,SUMPRODUCT(MAX(ROW(E$1:E5750)*(E2=E$1:E5750))))))</f>
        <v> </v>
      </c>
      <c r="K5751" s="26" t="str">
        <f>IF(OR(E5751="",E5751="!!!",F5751="NEW"),"",INDEX(J$1:J5750,SUMPRODUCT(MAX(ROW(E$1:E5750)*(E5751=E$1:E5750)))))</f>
        <v> </v>
      </c>
      <c r="L5751" s="27"/>
    </row>
    <row r="5752" spans="1:12">
      <c r="A5752" s="20" t="s">
        <v>1193</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2393</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2755</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2756</v>
      </c>
      <c r="B5755" s="21" t="s">
        <v>1354</v>
      </c>
      <c r="C5755" s="21" t="s">
        <v>1192</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1193</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1194</v>
      </c>
      <c r="B5757" s="21" t="s">
        <v>2006</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1544</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2284</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1268</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2757</v>
      </c>
      <c r="B5761" s="21" t="s">
        <v>1998</v>
      </c>
      <c r="C5761" s="21" t="s">
        <v>1196</v>
      </c>
      <c r="D5761" s="21" t="s">
        <v>1188</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38</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1193</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t="s">
        <v>1194</v>
      </c>
      <c r="B5764" s="21" t="s">
        <v>2008</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2076</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1427</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2758</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1602</v>
      </c>
      <c r="B5768" s="21" t="s">
        <v>2759</v>
      </c>
      <c r="C5768" s="21" t="s">
        <v>1192</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2760</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2761</v>
      </c>
      <c r="B5770" s="21" t="s">
        <v>2007</v>
      </c>
      <c r="C5770" s="21" t="s">
        <v>1240</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2762</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1341</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826</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row>
    <row r="5775" spans="1:12">
      <c r="A5775" s="20" t="s">
        <v>2763</v>
      </c>
    </row>
    <row r="5776" spans="1:12">
      <c r="A5776" s="20" t="s">
        <v>1364</v>
      </c>
      <c r="B5776" s="21" t="s">
        <v>1202</v>
      </c>
      <c r="C5776" s="21" t="s">
        <v>1246</v>
      </c>
      <c r="D5776" s="21" t="s">
        <v>1188</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1014</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1321</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1544</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t="s">
        <v>1502</v>
      </c>
      <c r="E5780" s="22">
        <f>IF(D5780="?OLD","!!!","")</f>
        <v/>
      </c>
      <c r="F5780" s="23" t="str">
        <f>IF(OR(E5780="",E5780="!!!"),"",IF(NOT(ISNA(VLOOKUP(E5780,E$1:E5779,1,FALSE()))),"OLD",IF(AND(E5780&lt;&gt;"",E5780&lt;&gt;"!!!"),"NEW","")))</f>
        <v> </v>
      </c>
      <c r="G5780" s="24" t="str">
        <f>IF(OR(E5780="",E5780="!!!"),"",IF(OR(J5780=0,AND(J5780=1,K5780=1),AND(J5780=1,I5780="SBJ"),AND(J5780=1,I5780=0)),"?IN_FOCUS",IF(J5780&lt;=2,"?ACTIVATED",IF(J5780&lt;&gt;"","?FAMILIAR",IF(F5780="NEW",IF(ISNA(VLOOKUP(E5780,#REF!,1,FALSE())),"?TYPE_IDENTIFIABLE","?REFERENTIAL"),"_")))))</f>
        <v> </v>
      </c>
      <c r="H5780" s="25" t="str">
        <f>IF(J5780&lt;&gt;1,"",IF(I5780="SBJ","CB","?"))</f>
        <v> </v>
      </c>
      <c r="I5780" s="26" t="str">
        <f>IF(OR(E5780="",E5780="!!!",F5780="NEW"),"",INDEX(B5779:B$2,-1+SUMPRODUCT(MAX(ROW(E5779:E$2)*(E5780=E5779:E$2)))))</f>
        <v> </v>
      </c>
      <c r="J5780" s="26" t="str">
        <f>IF(OR(E5780="",E5780="!!!",F5780="NEW"),"",COUNTBLANK(OFFSET(A$1,,,SUMPRODUCT(MAX(ROW(E$2:E5780)*(E5780=E$2:E5780)))))-COUNTBLANK(OFFSET(A$1,,,SUMPRODUCT(MAX(ROW(E$1:E5779)*(E2=E$1:E5779))))))</f>
        <v> </v>
      </c>
      <c r="K5780" s="26" t="str">
        <f>IF(OR(E5780="",E5780="!!!",F5780="NEW"),"",INDEX(J$1:J5779,SUMPRODUCT(MAX(ROW(E$1:E5779)*(E5780=E$1:E5779)))))</f>
        <v> </v>
      </c>
      <c r="L5780" s="27"/>
    </row>
    <row r="5781" spans="1:12">
      <c r="A5781" s="20" t="s">
        <v>1198</v>
      </c>
      <c r="B5781" s="21" t="s">
        <v>1212</v>
      </c>
      <c r="C5781" s="21" t="s">
        <v>1196</v>
      </c>
      <c r="D5781" s="21" t="s">
        <v>1188</v>
      </c>
      <c r="E5781" s="22">
        <f>IF(D5781="?OLD","!!!","")</f>
        <v/>
      </c>
      <c r="F5781" s="23" t="str">
        <f>IF(OR(E5781="",E5781="!!!"),"",IF(NOT(ISNA(VLOOKUP(E5781,E$1:E5780,1,FALSE()))),"OLD",IF(AND(E5781&lt;&gt;"",E5781&lt;&gt;"!!!"),"NEW","")))</f>
        <v> </v>
      </c>
      <c r="G5781" s="24" t="str">
        <f>IF(OR(E5781="",E5781="!!!"),"",IF(OR(J5781=0,AND(J5781=1,K5781=1),AND(J5781=1,I5781="SBJ"),AND(J5781=1,I5781=0)),"?IN_FOCUS",IF(J5781&lt;=2,"?ACTIVATED",IF(J5781&lt;&gt;"","?FAMILIAR",IF(F5781="NEW",IF(ISNA(VLOOKUP(E5781,#REF!,1,FALSE())),"?TYPE_IDENTIFIABLE","?REFERENTIAL"),"_")))))</f>
        <v> </v>
      </c>
      <c r="H5781" s="25" t="str">
        <f>IF(J5781&lt;&gt;1,"",IF(I5781="SBJ","CB","?"))</f>
        <v> </v>
      </c>
      <c r="I5781" s="26" t="str">
        <f>IF(OR(E5781="",E5781="!!!",F5781="NEW"),"",INDEX(B5780:B$2,-1+SUMPRODUCT(MAX(ROW(E5780:E$2)*(E5781=E5780:E$2)))))</f>
        <v> </v>
      </c>
      <c r="J5781" s="26" t="str">
        <f>IF(OR(E5781="",E5781="!!!",F5781="NEW"),"",COUNTBLANK(OFFSET(A$1,,,SUMPRODUCT(MAX(ROW(E$2:E5781)*(E5781=E$2:E5781)))))-COUNTBLANK(OFFSET(A$1,,,SUMPRODUCT(MAX(ROW(E$1:E5780)*(E2=E$1:E5780))))))</f>
        <v> </v>
      </c>
      <c r="K5781" s="26" t="str">
        <f>IF(OR(E5781="",E5781="!!!",F5781="NEW"),"",INDEX(J$1:J5780,SUMPRODUCT(MAX(ROW(E$1:E5780)*(E5781=E$1:E5780)))))</f>
        <v> </v>
      </c>
      <c r="L5781" s="27"/>
    </row>
    <row r="5782" spans="1:12">
      <c r="A5782" s="20" t="s">
        <v>1193</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1502</v>
      </c>
      <c r="B5783" s="21" t="s">
        <v>1313</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427</v>
      </c>
      <c r="B5784" s="21" t="s">
        <v>1311</v>
      </c>
      <c r="C5784" s="21" t="s">
        <v>1246</v>
      </c>
      <c r="D5784" s="21" t="s">
        <v>1188</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1547</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1193</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1937</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680</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2764</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1198</v>
      </c>
      <c r="B5790" s="21" t="s">
        <v>1215</v>
      </c>
      <c r="C5790" s="21" t="s">
        <v>1231</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1193</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680</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2764</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2765</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t="s">
        <v>1193</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1388</v>
      </c>
      <c r="B5796" s="21" t="s">
        <v>1298</v>
      </c>
      <c r="C5796" s="21" t="s">
        <v>1262</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1193</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1502</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427</v>
      </c>
      <c r="B5799" s="21" t="s">
        <v>1436</v>
      </c>
      <c r="C5799" s="21" t="s">
        <v>1246</v>
      </c>
      <c r="D5799" s="21" t="s">
        <v>1188</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2319</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1530</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1193</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1520</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1494</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1195</v>
      </c>
      <c r="B5805" s="21" t="s">
        <v>1533</v>
      </c>
      <c r="C5805" s="21" t="s">
        <v>1231</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2766</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1193</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1194</v>
      </c>
      <c r="B5808" s="21" t="s">
        <v>1436</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1321</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1544</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2767</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366</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1960</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1193</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1427</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427</v>
      </c>
      <c r="B5816" s="21" t="s">
        <v>1919</v>
      </c>
      <c r="C5816" s="21" t="s">
        <v>1246</v>
      </c>
      <c r="D5816" s="21" t="s">
        <v>1188</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2768</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1193</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1937</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2767</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1193</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t="s">
        <v>1427</v>
      </c>
      <c r="E5822" s="22">
        <f>IF(D5822="?OLD","!!!","")</f>
        <v/>
      </c>
      <c r="F5822" s="23" t="str">
        <f>IF(OR(E5822="",E5822="!!!"),"",IF(NOT(ISNA(VLOOKUP(E5822,E$1:E5821,1,FALSE()))),"OLD",IF(AND(E5822&lt;&gt;"",E5822&lt;&gt;"!!!"),"NEW","")))</f>
        <v> </v>
      </c>
      <c r="G5822" s="24" t="str">
        <f>IF(OR(E5822="",E5822="!!!"),"",IF(OR(J5822=0,AND(J5822=1,K5822=1),AND(J5822=1,I5822="SBJ"),AND(J5822=1,I5822=0)),"?IN_FOCUS",IF(J5822&lt;=2,"?ACTIVATED",IF(J5822&lt;&gt;"","?FAMILIAR",IF(F5822="NEW",IF(ISNA(VLOOKUP(E5822,#REF!,1,FALSE())),"?TYPE_IDENTIFIABLE","?REFERENTIAL"),"_")))))</f>
        <v> </v>
      </c>
      <c r="H5822" s="25" t="str">
        <f>IF(J5822&lt;&gt;1,"",IF(I5822="SBJ","CB","?"))</f>
        <v> </v>
      </c>
      <c r="I5822" s="26" t="str">
        <f>IF(OR(E5822="",E5822="!!!",F5822="NEW"),"",INDEX(B5821:B$2,-1+SUMPRODUCT(MAX(ROW(E5821:E$2)*(E5822=E5821:E$2)))))</f>
        <v> </v>
      </c>
      <c r="J5822" s="26" t="str">
        <f>IF(OR(E5822="",E5822="!!!",F5822="NEW"),"",COUNTBLANK(OFFSET(A$1,,,SUMPRODUCT(MAX(ROW(E$2:E5822)*(E5822=E$2:E5822)))))-COUNTBLANK(OFFSET(A$1,,,SUMPRODUCT(MAX(ROW(E$1:E5821)*(E2=E$1:E5821))))))</f>
        <v> </v>
      </c>
      <c r="K5822" s="26" t="str">
        <f>IF(OR(E5822="",E5822="!!!",F5822="NEW"),"",INDEX(J$1:J5821,SUMPRODUCT(MAX(ROW(E$1:E5821)*(E5822=E$1:E5821)))))</f>
        <v> </v>
      </c>
      <c r="L5822" s="27"/>
    </row>
    <row r="5823" spans="1:12">
      <c r="A5823" s="20" t="s">
        <v>427</v>
      </c>
      <c r="B5823" s="21" t="s">
        <v>1992</v>
      </c>
      <c r="C5823" s="21" t="s">
        <v>1246</v>
      </c>
      <c r="D5823" s="21" t="s">
        <v>1188</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1515</v>
      </c>
      <c r="B5824" s="21" t="s">
        <v>2769</v>
      </c>
      <c r="C5824" s="21" t="s">
        <v>1246</v>
      </c>
      <c r="D5824" s="21" t="s">
        <v>1188</v>
      </c>
      <c r="E5824" s="22">
        <f>IF(D5824="?OLD","!!!","")</f>
        <v/>
      </c>
      <c r="F5824" s="23" t="str">
        <f>IF(OR(E5824="",E5824="!!!"),"",IF(NOT(ISNA(VLOOKUP(E5824,E$1:E5823,1,FALSE()))),"OLD",IF(AND(E5824&lt;&gt;"",E5824&lt;&gt;"!!!"),"NEW","")))</f>
        <v> </v>
      </c>
      <c r="G5824" s="24" t="str">
        <f>IF(OR(E5824="",E5824="!!!"),"",IF(OR(J5824=0,AND(J5824=1,K5824=1),AND(J5824=1,I5824="SBJ"),AND(J5824=1,I5824=0)),"?IN_FOCUS",IF(J5824&lt;=2,"?ACTIVATED",IF(J5824&lt;&gt;"","?FAMILIAR",IF(F5824="NEW",IF(ISNA(VLOOKUP(E5824,#REF!,1,FALSE())),"?TYPE_IDENTIFIABLE","?REFERENTIAL"),"_")))))</f>
        <v> </v>
      </c>
      <c r="H5824" s="25" t="str">
        <f>IF(J5824&lt;&gt;1,"",IF(I5824="SBJ","CB","?"))</f>
        <v> </v>
      </c>
      <c r="I5824" s="26" t="str">
        <f>IF(OR(E5824="",E5824="!!!",F5824="NEW"),"",INDEX(B5823:B$2,-1+SUMPRODUCT(MAX(ROW(E5823:E$2)*(E5824=E5823:E$2)))))</f>
        <v> </v>
      </c>
      <c r="J5824" s="26" t="str">
        <f>IF(OR(E5824="",E5824="!!!",F5824="NEW"),"",COUNTBLANK(OFFSET(A$1,,,SUMPRODUCT(MAX(ROW(E$2:E5824)*(E5824=E$2:E5824)))))-COUNTBLANK(OFFSET(A$1,,,SUMPRODUCT(MAX(ROW(E$1:E5823)*(E2=E$1:E5823))))))</f>
        <v> </v>
      </c>
      <c r="K5824" s="26" t="str">
        <f>IF(OR(E5824="",E5824="!!!",F5824="NEW"),"",INDEX(J$1:J5823,SUMPRODUCT(MAX(ROW(E$1:E5823)*(E5824=E$1:E5823)))))</f>
        <v> </v>
      </c>
      <c r="L5824" s="27"/>
    </row>
    <row r="5825" spans="1:12">
      <c r="A5825" s="20" t="s">
        <v>2770</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1530</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826</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row>
    <row r="5829" spans="1:12">
      <c r="A5829" s="20" t="s">
        <v>2771</v>
      </c>
    </row>
    <row r="5830" spans="1:12">
      <c r="A5830" s="20" t="s">
        <v>1270</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1190</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1394</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125</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1429</v>
      </c>
      <c r="B5834" s="21" t="s">
        <v>1186</v>
      </c>
      <c r="C5834" s="21" t="s">
        <v>1331</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1554</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1209</v>
      </c>
      <c r="B5836" s="21" t="s">
        <v>1202</v>
      </c>
      <c r="C5836" s="21" t="s">
        <v>1187</v>
      </c>
      <c r="D5836" s="21" t="s">
        <v>1188</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2772</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1193</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1845</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826</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row>
    <row r="5842" spans="1:12">
      <c r="A5842" s="20" t="s">
        <v>2773</v>
      </c>
    </row>
    <row r="5843" spans="1:12">
      <c r="A5843" s="20" t="s">
        <v>2774</v>
      </c>
      <c r="B5843" s="21" t="s">
        <v>1199</v>
      </c>
      <c r="C5843" s="21" t="s">
        <v>1246</v>
      </c>
      <c r="D5843" s="21" t="s">
        <v>1188</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1678</v>
      </c>
      <c r="B5844" s="21" t="s">
        <v>1202</v>
      </c>
      <c r="C5844" s="21" t="s">
        <v>1331</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1272</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1226</v>
      </c>
      <c r="B5846" s="21" t="s">
        <v>1212</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2775</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2618</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2776</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1193</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1366</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2777</v>
      </c>
      <c r="B5852" s="21" t="s">
        <v>1248</v>
      </c>
      <c r="C5852" s="21" t="s">
        <v>1187</v>
      </c>
      <c r="D5852" s="21" t="s">
        <v>1188</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2778</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1226</v>
      </c>
      <c r="B5854" s="21" t="s">
        <v>1245</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2779</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1278</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826</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row>
    <row r="5859" spans="1:12">
      <c r="A5859" s="20" t="s">
        <v>2780</v>
      </c>
    </row>
    <row r="5860" spans="1:12">
      <c r="A5860" s="20" t="s">
        <v>1264</v>
      </c>
      <c r="B5860" s="21" t="s">
        <v>1202</v>
      </c>
      <c r="C5860" s="21" t="s">
        <v>1203</v>
      </c>
      <c r="D5860" s="21" t="s">
        <v>1188</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1265</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1321</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1206</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2781</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2782</v>
      </c>
      <c r="B5865" s="21" t="s">
        <v>1186</v>
      </c>
      <c r="C5865" s="21" t="s">
        <v>1196</v>
      </c>
      <c r="D5865" s="21" t="s">
        <v>1188</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1193</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1206</v>
      </c>
      <c r="B5867" s="21" t="s">
        <v>1248</v>
      </c>
      <c r="C5867" s="21" t="s">
        <v>1246</v>
      </c>
      <c r="D5867" s="21" t="s">
        <v>1188</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1515</v>
      </c>
      <c r="B5868" s="21" t="s">
        <v>1245</v>
      </c>
      <c r="C5868" s="21" t="s">
        <v>1246</v>
      </c>
      <c r="D5868" s="21" t="s">
        <v>1188</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2783</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826</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row>
    <row r="5872" spans="1:12">
      <c r="A5872" s="20" t="s">
        <v>2784</v>
      </c>
    </row>
    <row r="5873" spans="1:12">
      <c r="A5873" s="20" t="s">
        <v>1364</v>
      </c>
      <c r="B5873" s="21" t="s">
        <v>1202</v>
      </c>
      <c r="C5873" s="21" t="s">
        <v>1246</v>
      </c>
      <c r="D5873" s="21" t="s">
        <v>1188</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1193</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2785</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1206</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2786</v>
      </c>
      <c r="B5877" s="21" t="s">
        <v>1212</v>
      </c>
      <c r="C5877" s="21" t="s">
        <v>1196</v>
      </c>
      <c r="D5877" s="21" t="s">
        <v>1188</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1197</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2787</v>
      </c>
      <c r="B5879" s="21" t="s">
        <v>1199</v>
      </c>
      <c r="C5879" s="21" t="s">
        <v>1196</v>
      </c>
      <c r="D5879" s="21" t="s">
        <v>1188</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1302</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t="s">
        <v>1206</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2788</v>
      </c>
      <c r="B5882" s="21" t="s">
        <v>1215</v>
      </c>
      <c r="C5882" s="21" t="s">
        <v>1196</v>
      </c>
      <c r="D5882" s="21" t="s">
        <v>1188</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1193</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1920</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t="s">
        <v>2191</v>
      </c>
      <c r="E5885" s="22">
        <f>IF(D5885="?OLD","!!!","")</f>
        <v/>
      </c>
      <c r="F5885" s="23" t="str">
        <f>IF(OR(E5885="",E5885="!!!"),"",IF(NOT(ISNA(VLOOKUP(E5885,E$1:E5884,1,FALSE()))),"OLD",IF(AND(E5885&lt;&gt;"",E5885&lt;&gt;"!!!"),"NEW","")))</f>
        <v> </v>
      </c>
      <c r="G5885" s="24" t="str">
        <f>IF(OR(E5885="",E5885="!!!"),"",IF(OR(J5885=0,AND(J5885=1,K5885=1),AND(J5885=1,I5885="SBJ"),AND(J5885=1,I5885=0)),"?IN_FOCUS",IF(J5885&lt;=2,"?ACTIVATED",IF(J5885&lt;&gt;"","?FAMILIAR",IF(F5885="NEW",IF(ISNA(VLOOKUP(E5885,#REF!,1,FALSE())),"?TYPE_IDENTIFIABLE","?REFERENTIAL"),"_")))))</f>
        <v> </v>
      </c>
      <c r="H5885" s="25" t="str">
        <f>IF(J5885&lt;&gt;1,"",IF(I5885="SBJ","CB","?"))</f>
        <v> </v>
      </c>
      <c r="I5885" s="26" t="str">
        <f>IF(OR(E5885="",E5885="!!!",F5885="NEW"),"",INDEX(B5884:B$2,-1+SUMPRODUCT(MAX(ROW(E5884:E$2)*(E5885=E5884:E$2)))))</f>
        <v> </v>
      </c>
      <c r="J5885" s="26" t="str">
        <f>IF(OR(E5885="",E5885="!!!",F5885="NEW"),"",COUNTBLANK(OFFSET(A$1,,,SUMPRODUCT(MAX(ROW(E$2:E5885)*(E5885=E$2:E5885)))))-COUNTBLANK(OFFSET(A$1,,,SUMPRODUCT(MAX(ROW(E$1:E5884)*(E2=E$1:E5884))))))</f>
        <v> </v>
      </c>
      <c r="K5885" s="26" t="str">
        <f>IF(OR(E5885="",E5885="!!!",F5885="NEW"),"",INDEX(J$1:J5884,SUMPRODUCT(MAX(ROW(E$1:E5884)*(E5885=E$1:E5884)))))</f>
        <v> </v>
      </c>
      <c r="L5885" s="27"/>
    </row>
    <row r="5886" spans="1:12">
      <c r="A5886" s="20" t="s">
        <v>1210</v>
      </c>
      <c r="E5886" s="22">
        <f>IF(D5886="?OLD","!!!","")</f>
        <v/>
      </c>
      <c r="F5886" s="23" t="str">
        <f>IF(OR(E5886="",E5886="!!!"),"",IF(NOT(ISNA(VLOOKUP(E5886,E$1:E5885,1,FALSE()))),"OLD",IF(AND(E5886&lt;&gt;"",E5886&lt;&gt;"!!!"),"NEW","")))</f>
        <v> </v>
      </c>
      <c r="G5886" s="24" t="str">
        <f>IF(OR(E5886="",E5886="!!!"),"",IF(OR(J5886=0,AND(J5886=1,K5886=1),AND(J5886=1,I5886="SBJ"),AND(J5886=1,I5886=0)),"?IN_FOCUS",IF(J5886&lt;=2,"?ACTIVATED",IF(J5886&lt;&gt;"","?FAMILIAR",IF(F5886="NEW",IF(ISNA(VLOOKUP(E5886,#REF!,1,FALSE())),"?TYPE_IDENTIFIABLE","?REFERENTIAL"),"_")))))</f>
        <v> </v>
      </c>
      <c r="H5886" s="25" t="str">
        <f>IF(J5886&lt;&gt;1,"",IF(I5886="SBJ","CB","?"))</f>
        <v> </v>
      </c>
      <c r="I5886" s="26" t="str">
        <f>IF(OR(E5886="",E5886="!!!",F5886="NEW"),"",INDEX(B5885:B$2,-1+SUMPRODUCT(MAX(ROW(E5885:E$2)*(E5886=E5885:E$2)))))</f>
        <v> </v>
      </c>
      <c r="J5886" s="26" t="str">
        <f>IF(OR(E5886="",E5886="!!!",F5886="NEW"),"",COUNTBLANK(OFFSET(A$1,,,SUMPRODUCT(MAX(ROW(E$2:E5886)*(E5886=E$2:E5886)))))-COUNTBLANK(OFFSET(A$1,,,SUMPRODUCT(MAX(ROW(E$1:E5885)*(E2=E$1:E5885))))))</f>
        <v> </v>
      </c>
      <c r="K5886" s="26" t="str">
        <f>IF(OR(E5886="",E5886="!!!",F5886="NEW"),"",INDEX(J$1:J5885,SUMPRODUCT(MAX(ROW(E$1:E5885)*(E5886=E$1:E5885)))))</f>
        <v> </v>
      </c>
      <c r="L5886" s="27"/>
    </row>
    <row r="5887" spans="1:12">
      <c r="A5887" s="20" t="s">
        <v>2789</v>
      </c>
      <c r="E5887" s="22">
        <f>IF(D5887="?OLD","!!!","")</f>
        <v/>
      </c>
      <c r="F5887" s="23" t="str">
        <f>IF(OR(E5887="",E5887="!!!"),"",IF(NOT(ISNA(VLOOKUP(E5887,E$1:E5886,1,FALSE()))),"OLD",IF(AND(E5887&lt;&gt;"",E5887&lt;&gt;"!!!"),"NEW","")))</f>
        <v> </v>
      </c>
      <c r="G5887" s="24" t="str">
        <f>IF(OR(E5887="",E5887="!!!"),"",IF(OR(J5887=0,AND(J5887=1,K5887=1),AND(J5887=1,I5887="SBJ"),AND(J5887=1,I5887=0)),"?IN_FOCUS",IF(J5887&lt;=2,"?ACTIVATED",IF(J5887&lt;&gt;"","?FAMILIAR",IF(F5887="NEW",IF(ISNA(VLOOKUP(E5887,#REF!,1,FALSE())),"?TYPE_IDENTIFIABLE","?REFERENTIAL"),"_")))))</f>
        <v> </v>
      </c>
      <c r="H5887" s="25" t="str">
        <f>IF(J5887&lt;&gt;1,"",IF(I5887="SBJ","CB","?"))</f>
        <v> </v>
      </c>
      <c r="I5887" s="26" t="str">
        <f>IF(OR(E5887="",E5887="!!!",F5887="NEW"),"",INDEX(B5886:B$2,-1+SUMPRODUCT(MAX(ROW(E5886:E$2)*(E5887=E5886:E$2)))))</f>
        <v> </v>
      </c>
      <c r="J5887" s="26" t="str">
        <f>IF(OR(E5887="",E5887="!!!",F5887="NEW"),"",COUNTBLANK(OFFSET(A$1,,,SUMPRODUCT(MAX(ROW(E$2:E5887)*(E5887=E$2:E5887)))))-COUNTBLANK(OFFSET(A$1,,,SUMPRODUCT(MAX(ROW(E$1:E5886)*(E2=E$1:E5886))))))</f>
        <v> </v>
      </c>
      <c r="K5887" s="26" t="str">
        <f>IF(OR(E5887="",E5887="!!!",F5887="NEW"),"",INDEX(J$1:J5886,SUMPRODUCT(MAX(ROW(E$1:E5886)*(E5887=E$1:E5886)))))</f>
        <v> </v>
      </c>
      <c r="L5887" s="27"/>
    </row>
    <row r="5888" spans="1:12">
      <c r="A5888" s="20" t="s">
        <v>2782</v>
      </c>
      <c r="B5888" s="21" t="s">
        <v>1245</v>
      </c>
      <c r="C5888" s="21" t="s">
        <v>1196</v>
      </c>
      <c r="D5888" s="21" t="s">
        <v>1188</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826</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row>
    <row r="5891" spans="1:12">
      <c r="A5891" s="20" t="s">
        <v>2790</v>
      </c>
    </row>
    <row r="5892" spans="1:12">
      <c r="A5892" s="20" t="s">
        <v>2791</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1217</v>
      </c>
      <c r="B5893" s="21" t="s">
        <v>1248</v>
      </c>
      <c r="C5893" s="21" t="s">
        <v>1240</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163</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1283</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2792</v>
      </c>
      <c r="B5896" s="21" t="s">
        <v>1212</v>
      </c>
      <c r="C5896" s="21" t="s">
        <v>1231</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2393</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1502</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2793</v>
      </c>
      <c r="B5899" s="21" t="s">
        <v>1186</v>
      </c>
      <c r="C5899" s="21" t="s">
        <v>1196</v>
      </c>
      <c r="D5899" s="21" t="s">
        <v>1188</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1297</v>
      </c>
      <c r="B5900" s="21" t="s">
        <v>1215</v>
      </c>
      <c r="C5900" s="21" t="s">
        <v>1216</v>
      </c>
      <c r="D5900" s="21" t="s">
        <v>1188</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2518</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2794</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2204</v>
      </c>
      <c r="B5903" s="21" t="s">
        <v>1199</v>
      </c>
      <c r="C5903" s="21" t="s">
        <v>1218</v>
      </c>
      <c r="D5903" s="21" t="s">
        <v>1188</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2795</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1193</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1478</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57</v>
      </c>
      <c r="B5907" s="21" t="s">
        <v>1186</v>
      </c>
      <c r="C5907" s="21" t="s">
        <v>1203</v>
      </c>
      <c r="D5907" s="21" t="s">
        <v>1188</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2796</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2797</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1193</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1366</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185</v>
      </c>
      <c r="B5912" s="21" t="s">
        <v>1248</v>
      </c>
      <c r="C5912" s="21" t="s">
        <v>1203</v>
      </c>
      <c r="D5912" s="21" t="s">
        <v>1188</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1283</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2798</v>
      </c>
      <c r="B5914" s="21" t="s">
        <v>1245</v>
      </c>
      <c r="C5914" s="21" t="s">
        <v>1231</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1447</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1193</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1388</v>
      </c>
      <c r="B5917" s="21" t="s">
        <v>1313</v>
      </c>
      <c r="C5917" s="21" t="s">
        <v>1262</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t="s">
        <v>2799</v>
      </c>
      <c r="E5918" s="22">
        <f>IF(D5918="?OLD","!!!","")</f>
        <v/>
      </c>
      <c r="F5918" s="23" t="str">
        <f>IF(OR(E5918="",E5918="!!!"),"",IF(NOT(ISNA(VLOOKUP(E5918,E$1:E5917,1,FALSE()))),"OLD",IF(AND(E5918&lt;&gt;"",E5918&lt;&gt;"!!!"),"NEW","")))</f>
        <v> </v>
      </c>
      <c r="G5918" s="24" t="str">
        <f>IF(OR(E5918="",E5918="!!!"),"",IF(OR(J5918=0,AND(J5918=1,K5918=1),AND(J5918=1,I5918="SBJ"),AND(J5918=1,I5918=0)),"?IN_FOCUS",IF(J5918&lt;=2,"?ACTIVATED",IF(J5918&lt;&gt;"","?FAMILIAR",IF(F5918="NEW",IF(ISNA(VLOOKUP(E5918,#REF!,1,FALSE())),"?TYPE_IDENTIFIABLE","?REFERENTIAL"),"_")))))</f>
        <v> </v>
      </c>
      <c r="H5918" s="25" t="str">
        <f>IF(J5918&lt;&gt;1,"",IF(I5918="SBJ","CB","?"))</f>
        <v> </v>
      </c>
      <c r="I5918" s="26" t="str">
        <f>IF(OR(E5918="",E5918="!!!",F5918="NEW"),"",INDEX(B5917:B$2,-1+SUMPRODUCT(MAX(ROW(E5917:E$2)*(E5918=E5917:E$2)))))</f>
        <v> </v>
      </c>
      <c r="J5918" s="26" t="str">
        <f>IF(OR(E5918="",E5918="!!!",F5918="NEW"),"",COUNTBLANK(OFFSET(A$1,,,SUMPRODUCT(MAX(ROW(E$2:E5918)*(E5918=E$2:E5918)))))-COUNTBLANK(OFFSET(A$1,,,SUMPRODUCT(MAX(ROW(E$1:E5917)*(E2=E$1:E5917))))))</f>
        <v> </v>
      </c>
      <c r="K5918" s="26" t="str">
        <f>IF(OR(E5918="",E5918="!!!",F5918="NEW"),"",INDEX(J$1:J5917,SUMPRODUCT(MAX(ROW(E$1:E5917)*(E5918=E$1:E5917)))))</f>
        <v> </v>
      </c>
      <c r="L5918" s="27"/>
    </row>
    <row r="5919" spans="1:12">
      <c r="A5919" s="20" t="s">
        <v>1337</v>
      </c>
      <c r="E5919" s="22">
        <f>IF(D5919="?OLD","!!!","")</f>
        <v/>
      </c>
      <c r="F5919" s="23" t="str">
        <f>IF(OR(E5919="",E5919="!!!"),"",IF(NOT(ISNA(VLOOKUP(E5919,E$1:E5918,1,FALSE()))),"OLD",IF(AND(E5919&lt;&gt;"",E5919&lt;&gt;"!!!"),"NEW","")))</f>
        <v> </v>
      </c>
      <c r="G5919" s="24" t="str">
        <f>IF(OR(E5919="",E5919="!!!"),"",IF(OR(J5919=0,AND(J5919=1,K5919=1),AND(J5919=1,I5919="SBJ"),AND(J5919=1,I5919=0)),"?IN_FOCUS",IF(J5919&lt;=2,"?ACTIVATED",IF(J5919&lt;&gt;"","?FAMILIAR",IF(F5919="NEW",IF(ISNA(VLOOKUP(E5919,#REF!,1,FALSE())),"?TYPE_IDENTIFIABLE","?REFERENTIAL"),"_")))))</f>
        <v> </v>
      </c>
      <c r="H5919" s="25" t="str">
        <f>IF(J5919&lt;&gt;1,"",IF(I5919="SBJ","CB","?"))</f>
        <v> </v>
      </c>
      <c r="I5919" s="26" t="str">
        <f>IF(OR(E5919="",E5919="!!!",F5919="NEW"),"",INDEX(B5918:B$2,-1+SUMPRODUCT(MAX(ROW(E5918:E$2)*(E5919=E5918:E$2)))))</f>
        <v> </v>
      </c>
      <c r="J5919" s="26" t="str">
        <f>IF(OR(E5919="",E5919="!!!",F5919="NEW"),"",COUNTBLANK(OFFSET(A$1,,,SUMPRODUCT(MAX(ROW(E$2:E5919)*(E5919=E$2:E5919)))))-COUNTBLANK(OFFSET(A$1,,,SUMPRODUCT(MAX(ROW(E$1:E5918)*(E2=E$1:E5918))))))</f>
        <v> </v>
      </c>
      <c r="K5919" s="26" t="str">
        <f>IF(OR(E5919="",E5919="!!!",F5919="NEW"),"",INDEX(J$1:J5918,SUMPRODUCT(MAX(ROW(E$1:E5918)*(E5919=E$1:E5918)))))</f>
        <v> </v>
      </c>
      <c r="L5919" s="27"/>
    </row>
    <row r="5920" spans="1:12">
      <c r="A5920" s="20" t="s">
        <v>130</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t="s">
        <v>826</v>
      </c>
      <c r="E5921" s="22">
        <f>IF(D5921="?OLD","!!!","")</f>
        <v/>
      </c>
      <c r="F5921" s="23" t="str">
        <f>IF(OR(E5921="",E5921="!!!"),"",IF(NOT(ISNA(VLOOKUP(E5921,E$1:E5920,1,FALSE()))),"OLD",IF(AND(E5921&lt;&gt;"",E5921&lt;&gt;"!!!"),"NEW","")))</f>
        <v> </v>
      </c>
      <c r="G5921" s="24" t="str">
        <f>IF(OR(E5921="",E5921="!!!"),"",IF(OR(J5921=0,AND(J5921=1,K5921=1),AND(J5921=1,I5921="SBJ"),AND(J5921=1,I5921=0)),"?IN_FOCUS",IF(J5921&lt;=2,"?ACTIVATED",IF(J5921&lt;&gt;"","?FAMILIAR",IF(F5921="NEW",IF(ISNA(VLOOKUP(E5921,#REF!,1,FALSE())),"?TYPE_IDENTIFIABLE","?REFERENTIAL"),"_")))))</f>
        <v> </v>
      </c>
      <c r="H5921" s="25" t="str">
        <f>IF(J5921&lt;&gt;1,"",IF(I5921="SBJ","CB","?"))</f>
        <v> </v>
      </c>
      <c r="I5921" s="26" t="str">
        <f>IF(OR(E5921="",E5921="!!!",F5921="NEW"),"",INDEX(B5920:B$2,-1+SUMPRODUCT(MAX(ROW(E5920:E$2)*(E5921=E5920:E$2)))))</f>
        <v> </v>
      </c>
      <c r="J5921" s="26" t="str">
        <f>IF(OR(E5921="",E5921="!!!",F5921="NEW"),"",COUNTBLANK(OFFSET(A$1,,,SUMPRODUCT(MAX(ROW(E$2:E5921)*(E5921=E$2:E5921)))))-COUNTBLANK(OFFSET(A$1,,,SUMPRODUCT(MAX(ROW(E$1:E5920)*(E2=E$1:E5920))))))</f>
        <v> </v>
      </c>
      <c r="K5921" s="26" t="str">
        <f>IF(OR(E5921="",E5921="!!!",F5921="NEW"),"",INDEX(J$1:J5920,SUMPRODUCT(MAX(ROW(E$1:E5920)*(E5921=E$1:E5920)))))</f>
        <v> </v>
      </c>
      <c r="L5921" s="27"/>
    </row>
    <row r="5922" spans="1:12">
      <c r="A5922" s="20"/>
    </row>
    <row r="5923" spans="1:12">
      <c r="A5923" s="20" t="s">
        <v>2800</v>
      </c>
    </row>
    <row r="5924" spans="1:12">
      <c r="A5924" s="20" t="s">
        <v>959</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1502</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2801</v>
      </c>
      <c r="B5926" s="21" t="s">
        <v>1202</v>
      </c>
      <c r="C5926" s="21" t="s">
        <v>1187</v>
      </c>
      <c r="D5926" s="21" t="s">
        <v>1188</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57</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1039</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826</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row>
    <row r="5931" spans="1:12">
      <c r="A5931" s="20" t="s">
        <v>2802</v>
      </c>
    </row>
    <row r="5932" spans="1:12">
      <c r="A5932" s="20" t="s">
        <v>1294</v>
      </c>
      <c r="B5932" s="21" t="s">
        <v>1186</v>
      </c>
      <c r="C5932" s="21" t="s">
        <v>1203</v>
      </c>
      <c r="D5932" s="21" t="s">
        <v>1188</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1190</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2803</v>
      </c>
      <c r="B5934" s="21" t="s">
        <v>1186</v>
      </c>
      <c r="C5934" s="21" t="s">
        <v>1187</v>
      </c>
      <c r="D5934" s="21" t="s">
        <v>1188</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826</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row>
    <row r="5937" spans="1:12">
      <c r="A5937" s="20" t="s">
        <v>2804</v>
      </c>
    </row>
    <row r="5938" spans="1:12">
      <c r="A5938" s="20" t="s">
        <v>1277</v>
      </c>
      <c r="B5938" s="21" t="s">
        <v>1202</v>
      </c>
      <c r="C5938" s="21" t="s">
        <v>1262</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1260</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1046</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t="s">
        <v>1193</v>
      </c>
      <c r="E5941" s="22">
        <f>IF(D5941="?OLD","!!!","")</f>
        <v/>
      </c>
      <c r="F5941" s="23" t="str">
        <f>IF(OR(E5941="",E5941="!!!"),"",IF(NOT(ISNA(VLOOKUP(E5941,E$1:E5940,1,FALSE()))),"OLD",IF(AND(E5941&lt;&gt;"",E5941&lt;&gt;"!!!"),"NEW","")))</f>
        <v> </v>
      </c>
      <c r="G5941" s="24" t="str">
        <f>IF(OR(E5941="",E5941="!!!"),"",IF(OR(J5941=0,AND(J5941=1,K5941=1),AND(J5941=1,I5941="SBJ"),AND(J5941=1,I5941=0)),"?IN_FOCUS",IF(J5941&lt;=2,"?ACTIVATED",IF(J5941&lt;&gt;"","?FAMILIAR",IF(F5941="NEW",IF(ISNA(VLOOKUP(E5941,#REF!,1,FALSE())),"?TYPE_IDENTIFIABLE","?REFERENTIAL"),"_")))))</f>
        <v> </v>
      </c>
      <c r="H5941" s="25" t="str">
        <f>IF(J5941&lt;&gt;1,"",IF(I5941="SBJ","CB","?"))</f>
        <v> </v>
      </c>
      <c r="I5941" s="26" t="str">
        <f>IF(OR(E5941="",E5941="!!!",F5941="NEW"),"",INDEX(B5940:B$2,-1+SUMPRODUCT(MAX(ROW(E5940:E$2)*(E5941=E5940:E$2)))))</f>
        <v> </v>
      </c>
      <c r="J5941" s="26" t="str">
        <f>IF(OR(E5941="",E5941="!!!",F5941="NEW"),"",COUNTBLANK(OFFSET(A$1,,,SUMPRODUCT(MAX(ROW(E$2:E5941)*(E5941=E$2:E5941)))))-COUNTBLANK(OFFSET(A$1,,,SUMPRODUCT(MAX(ROW(E$1:E5940)*(E2=E$1:E5940))))))</f>
        <v> </v>
      </c>
      <c r="K5941" s="26" t="str">
        <f>IF(OR(E5941="",E5941="!!!",F5941="NEW"),"",INDEX(J$1:J5940,SUMPRODUCT(MAX(ROW(E$1:E5940)*(E5941=E$1:E5940)))))</f>
        <v> </v>
      </c>
      <c r="L5941" s="27"/>
    </row>
    <row r="5942" spans="1:12">
      <c r="A5942" s="20" t="s">
        <v>1366</v>
      </c>
      <c r="E5942" s="22">
        <f>IF(D5942="?OLD","!!!","")</f>
        <v/>
      </c>
      <c r="F5942" s="23" t="str">
        <f>IF(OR(E5942="",E5942="!!!"),"",IF(NOT(ISNA(VLOOKUP(E5942,E$1:E5941,1,FALSE()))),"OLD",IF(AND(E5942&lt;&gt;"",E5942&lt;&gt;"!!!"),"NEW","")))</f>
        <v> </v>
      </c>
      <c r="G5942" s="24" t="str">
        <f>IF(OR(E5942="",E5942="!!!"),"",IF(OR(J5942=0,AND(J5942=1,K5942=1),AND(J5942=1,I5942="SBJ"),AND(J5942=1,I5942=0)),"?IN_FOCUS",IF(J5942&lt;=2,"?ACTIVATED",IF(J5942&lt;&gt;"","?FAMILIAR",IF(F5942="NEW",IF(ISNA(VLOOKUP(E5942,#REF!,1,FALSE())),"?TYPE_IDENTIFIABLE","?REFERENTIAL"),"_")))))</f>
        <v> </v>
      </c>
      <c r="H5942" s="25" t="str">
        <f>IF(J5942&lt;&gt;1,"",IF(I5942="SBJ","CB","?"))</f>
        <v> </v>
      </c>
      <c r="I5942" s="26" t="str">
        <f>IF(OR(E5942="",E5942="!!!",F5942="NEW"),"",INDEX(B5941:B$2,-1+SUMPRODUCT(MAX(ROW(E5941:E$2)*(E5942=E5941:E$2)))))</f>
        <v> </v>
      </c>
      <c r="J5942" s="26" t="str">
        <f>IF(OR(E5942="",E5942="!!!",F5942="NEW"),"",COUNTBLANK(OFFSET(A$1,,,SUMPRODUCT(MAX(ROW(E$2:E5942)*(E5942=E$2:E5942)))))-COUNTBLANK(OFFSET(A$1,,,SUMPRODUCT(MAX(ROW(E$1:E5941)*(E2=E$1:E5941))))))</f>
        <v> </v>
      </c>
      <c r="K5942" s="26" t="str">
        <f>IF(OR(E5942="",E5942="!!!",F5942="NEW"),"",INDEX(J$1:J5941,SUMPRODUCT(MAX(ROW(E$1:E5941)*(E5942=E$1:E5941)))))</f>
        <v> </v>
      </c>
      <c r="L5942" s="27"/>
    </row>
    <row r="5943" spans="1:12">
      <c r="A5943" s="20" t="s">
        <v>1194</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2805</v>
      </c>
      <c r="B5944" s="21" t="s">
        <v>1248</v>
      </c>
      <c r="C5944" s="21" t="s">
        <v>1401</v>
      </c>
      <c r="D5944" s="21" t="s">
        <v>1188</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1197</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t="s">
        <v>2789</v>
      </c>
      <c r="E5946" s="22">
        <f>IF(D5946="?OLD","!!!","")</f>
        <v/>
      </c>
      <c r="F5946" s="23" t="str">
        <f>IF(OR(E5946="",E5946="!!!"),"",IF(NOT(ISNA(VLOOKUP(E5946,E$1:E5945,1,FALSE()))),"OLD",IF(AND(E5946&lt;&gt;"",E5946&lt;&gt;"!!!"),"NEW","")))</f>
        <v> </v>
      </c>
      <c r="G5946" s="24" t="str">
        <f>IF(OR(E5946="",E5946="!!!"),"",IF(OR(J5946=0,AND(J5946=1,K5946=1),AND(J5946=1,I5946="SBJ"),AND(J5946=1,I5946=0)),"?IN_FOCUS",IF(J5946&lt;=2,"?ACTIVATED",IF(J5946&lt;&gt;"","?FAMILIAR",IF(F5946="NEW",IF(ISNA(VLOOKUP(E5946,#REF!,1,FALSE())),"?TYPE_IDENTIFIABLE","?REFERENTIAL"),"_")))))</f>
        <v> </v>
      </c>
      <c r="H5946" s="25" t="str">
        <f>IF(J5946&lt;&gt;1,"",IF(I5946="SBJ","CB","?"))</f>
        <v> </v>
      </c>
      <c r="I5946" s="26" t="str">
        <f>IF(OR(E5946="",E5946="!!!",F5946="NEW"),"",INDEX(B5945:B$2,-1+SUMPRODUCT(MAX(ROW(E5945:E$2)*(E5946=E5945:E$2)))))</f>
        <v> </v>
      </c>
      <c r="J5946" s="26" t="str">
        <f>IF(OR(E5946="",E5946="!!!",F5946="NEW"),"",COUNTBLANK(OFFSET(A$1,,,SUMPRODUCT(MAX(ROW(E$2:E5946)*(E5946=E$2:E5946)))))-COUNTBLANK(OFFSET(A$1,,,SUMPRODUCT(MAX(ROW(E$1:E5945)*(E2=E$1:E5945))))))</f>
        <v> </v>
      </c>
      <c r="K5946" s="26" t="str">
        <f>IF(OR(E5946="",E5946="!!!",F5946="NEW"),"",INDEX(J$1:J5945,SUMPRODUCT(MAX(ROW(E$1:E5945)*(E5946=E$1:E5945)))))</f>
        <v> </v>
      </c>
      <c r="L5946" s="27"/>
    </row>
    <row r="5947" spans="1:12">
      <c r="A5947" s="20" t="s">
        <v>2806</v>
      </c>
      <c r="B5947" s="21" t="s">
        <v>1215</v>
      </c>
      <c r="C5947" s="21" t="s">
        <v>1187</v>
      </c>
      <c r="D5947" s="21" t="s">
        <v>1188</v>
      </c>
      <c r="E5947" s="22">
        <f>IF(D5947="?OLD","!!!","")</f>
        <v/>
      </c>
      <c r="F5947" s="23" t="str">
        <f>IF(OR(E5947="",E5947="!!!"),"",IF(NOT(ISNA(VLOOKUP(E5947,E$1:E5946,1,FALSE()))),"OLD",IF(AND(E5947&lt;&gt;"",E5947&lt;&gt;"!!!"),"NEW","")))</f>
        <v> </v>
      </c>
      <c r="G5947" s="24" t="str">
        <f>IF(OR(E5947="",E5947="!!!"),"",IF(OR(J5947=0,AND(J5947=1,K5947=1),AND(J5947=1,I5947="SBJ"),AND(J5947=1,I5947=0)),"?IN_FOCUS",IF(J5947&lt;=2,"?ACTIVATED",IF(J5947&lt;&gt;"","?FAMILIAR",IF(F5947="NEW",IF(ISNA(VLOOKUP(E5947,#REF!,1,FALSE())),"?TYPE_IDENTIFIABLE","?REFERENTIAL"),"_")))))</f>
        <v> </v>
      </c>
      <c r="H5947" s="25" t="str">
        <f>IF(J5947&lt;&gt;1,"",IF(I5947="SBJ","CB","?"))</f>
        <v> </v>
      </c>
      <c r="I5947" s="26" t="str">
        <f>IF(OR(E5947="",E5947="!!!",F5947="NEW"),"",INDEX(B5946:B$2,-1+SUMPRODUCT(MAX(ROW(E5946:E$2)*(E5947=E5946:E$2)))))</f>
        <v> </v>
      </c>
      <c r="J5947" s="26" t="str">
        <f>IF(OR(E5947="",E5947="!!!",F5947="NEW"),"",COUNTBLANK(OFFSET(A$1,,,SUMPRODUCT(MAX(ROW(E$2:E5947)*(E5947=E$2:E5947)))))-COUNTBLANK(OFFSET(A$1,,,SUMPRODUCT(MAX(ROW(E$1:E5946)*(E2=E$1:E5946))))))</f>
        <v> </v>
      </c>
      <c r="K5947" s="26" t="str">
        <f>IF(OR(E5947="",E5947="!!!",F5947="NEW"),"",INDEX(J$1:J5946,SUMPRODUCT(MAX(ROW(E$1:E5946)*(E5947=E$1:E5946)))))</f>
        <v> </v>
      </c>
      <c r="L5947" s="27"/>
    </row>
    <row r="5948" spans="1:12">
      <c r="A5948" s="20" t="s">
        <v>2807</v>
      </c>
      <c r="E5948" s="22">
        <f>IF(D5948="?OLD","!!!","")</f>
        <v/>
      </c>
      <c r="F5948" s="23" t="str">
        <f>IF(OR(E5948="",E5948="!!!"),"",IF(NOT(ISNA(VLOOKUP(E5948,E$1:E5947,1,FALSE()))),"OLD",IF(AND(E5948&lt;&gt;"",E5948&lt;&gt;"!!!"),"NEW","")))</f>
        <v> </v>
      </c>
      <c r="G5948" s="24" t="str">
        <f>IF(OR(E5948="",E5948="!!!"),"",IF(OR(J5948=0,AND(J5948=1,K5948=1),AND(J5948=1,I5948="SBJ"),AND(J5948=1,I5948=0)),"?IN_FOCUS",IF(J5948&lt;=2,"?ACTIVATED",IF(J5948&lt;&gt;"","?FAMILIAR",IF(F5948="NEW",IF(ISNA(VLOOKUP(E5948,#REF!,1,FALSE())),"?TYPE_IDENTIFIABLE","?REFERENTIAL"),"_")))))</f>
        <v> </v>
      </c>
      <c r="H5948" s="25" t="str">
        <f>IF(J5948&lt;&gt;1,"",IF(I5948="SBJ","CB","?"))</f>
        <v> </v>
      </c>
      <c r="I5948" s="26" t="str">
        <f>IF(OR(E5948="",E5948="!!!",F5948="NEW"),"",INDEX(B5947:B$2,-1+SUMPRODUCT(MAX(ROW(E5947:E$2)*(E5948=E5947:E$2)))))</f>
        <v> </v>
      </c>
      <c r="J5948" s="26" t="str">
        <f>IF(OR(E5948="",E5948="!!!",F5948="NEW"),"",COUNTBLANK(OFFSET(A$1,,,SUMPRODUCT(MAX(ROW(E$2:E5948)*(E5948=E$2:E5948)))))-COUNTBLANK(OFFSET(A$1,,,SUMPRODUCT(MAX(ROW(E$1:E5947)*(E2=E$1:E5947))))))</f>
        <v> </v>
      </c>
      <c r="K5948" s="26" t="str">
        <f>IF(OR(E5948="",E5948="!!!",F5948="NEW"),"",INDEX(J$1:J5947,SUMPRODUCT(MAX(ROW(E$1:E5947)*(E5948=E$1:E5947)))))</f>
        <v> </v>
      </c>
      <c r="L5948" s="27"/>
    </row>
    <row r="5949" spans="1:12">
      <c r="A5949" s="20" t="s">
        <v>2808</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163</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826</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row>
    <row r="5953" spans="1:12">
      <c r="A5953" s="20" t="s">
        <v>2809</v>
      </c>
    </row>
    <row r="5954" spans="1:12">
      <c r="A5954" s="20" t="s">
        <v>1264</v>
      </c>
      <c r="B5954" s="21" t="s">
        <v>1202</v>
      </c>
      <c r="C5954" s="21" t="s">
        <v>1203</v>
      </c>
      <c r="D5954" s="21" t="s">
        <v>1188</v>
      </c>
      <c r="E5954" s="22">
        <f>IF(D5954="?OLD","!!!","")</f>
        <v/>
      </c>
      <c r="F5954" s="23" t="str">
        <f>IF(OR(E5954="",E5954="!!!"),"",IF(NOT(ISNA(VLOOKUP(E5954,E$1:E5953,1,FALSE()))),"OLD",IF(AND(E5954&lt;&gt;"",E5954&lt;&gt;"!!!"),"NEW","")))</f>
        <v> </v>
      </c>
      <c r="G5954" s="24" t="str">
        <f>IF(OR(E5954="",E5954="!!!"),"",IF(OR(J5954=0,AND(J5954=1,K5954=1),AND(J5954=1,I5954="SBJ"),AND(J5954=1,I5954=0)),"?IN_FOCUS",IF(J5954&lt;=2,"?ACTIVATED",IF(J5954&lt;&gt;"","?FAMILIAR",IF(F5954="NEW",IF(ISNA(VLOOKUP(E5954,#REF!,1,FALSE())),"?TYPE_IDENTIFIABLE","?REFERENTIAL"),"_")))))</f>
        <v> </v>
      </c>
      <c r="H5954" s="25" t="str">
        <f>IF(J5954&lt;&gt;1,"",IF(I5954="SBJ","CB","?"))</f>
        <v> </v>
      </c>
      <c r="I5954" s="26" t="str">
        <f>IF(OR(E5954="",E5954="!!!",F5954="NEW"),"",INDEX(B5953:B$2,-1+SUMPRODUCT(MAX(ROW(E5953:E$2)*(E5954=E5953:E$2)))))</f>
        <v> </v>
      </c>
      <c r="J5954" s="26" t="str">
        <f>IF(OR(E5954="",E5954="!!!",F5954="NEW"),"",COUNTBLANK(OFFSET(A$1,,,SUMPRODUCT(MAX(ROW(E$2:E5954)*(E5954=E$2:E5954)))))-COUNTBLANK(OFFSET(A$1,,,SUMPRODUCT(MAX(ROW(E$1:E5953)*(E2=E$1:E5953))))))</f>
        <v> </v>
      </c>
      <c r="K5954" s="26" t="str">
        <f>IF(OR(E5954="",E5954="!!!",F5954="NEW"),"",INDEX(J$1:J5953,SUMPRODUCT(MAX(ROW(E$1:E5953)*(E5954=E$1:E5953)))))</f>
        <v> </v>
      </c>
      <c r="L5954" s="27"/>
    </row>
    <row r="5955" spans="1:12">
      <c r="A5955" s="20" t="s">
        <v>1490</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2146</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1283</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2810</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2811</v>
      </c>
      <c r="B5959" s="21" t="s">
        <v>1212</v>
      </c>
      <c r="C5959" s="21" t="s">
        <v>1231</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t="s">
        <v>1232</v>
      </c>
      <c r="E5960" s="22">
        <f>IF(D5960="?OLD","!!!","")</f>
        <v/>
      </c>
      <c r="F5960" s="23" t="str">
        <f>IF(OR(E5960="",E5960="!!!"),"",IF(NOT(ISNA(VLOOKUP(E5960,E$1:E5959,1,FALSE()))),"OLD",IF(AND(E5960&lt;&gt;"",E5960&lt;&gt;"!!!"),"NEW","")))</f>
        <v> </v>
      </c>
      <c r="G5960" s="24" t="str">
        <f>IF(OR(E5960="",E5960="!!!"),"",IF(OR(J5960=0,AND(J5960=1,K5960=1),AND(J5960=1,I5960="SBJ"),AND(J5960=1,I5960=0)),"?IN_FOCUS",IF(J5960&lt;=2,"?ACTIVATED",IF(J5960&lt;&gt;"","?FAMILIAR",IF(F5960="NEW",IF(ISNA(VLOOKUP(E5960,#REF!,1,FALSE())),"?TYPE_IDENTIFIABLE","?REFERENTIAL"),"_")))))</f>
        <v> </v>
      </c>
      <c r="H5960" s="25" t="str">
        <f>IF(J5960&lt;&gt;1,"",IF(I5960="SBJ","CB","?"))</f>
        <v> </v>
      </c>
      <c r="I5960" s="26" t="str">
        <f>IF(OR(E5960="",E5960="!!!",F5960="NEW"),"",INDEX(B5959:B$2,-1+SUMPRODUCT(MAX(ROW(E5959:E$2)*(E5960=E5959:E$2)))))</f>
        <v> </v>
      </c>
      <c r="J5960" s="26" t="str">
        <f>IF(OR(E5960="",E5960="!!!",F5960="NEW"),"",COUNTBLANK(OFFSET(A$1,,,SUMPRODUCT(MAX(ROW(E$2:E5960)*(E5960=E$2:E5960)))))-COUNTBLANK(OFFSET(A$1,,,SUMPRODUCT(MAX(ROW(E$1:E5959)*(E2=E$1:E5959))))))</f>
        <v> </v>
      </c>
      <c r="K5960" s="26" t="str">
        <f>IF(OR(E5960="",E5960="!!!",F5960="NEW"),"",INDEX(J$1:J5959,SUMPRODUCT(MAX(ROW(E$1:E5959)*(E5960=E$1:E5959)))))</f>
        <v> </v>
      </c>
      <c r="L5960" s="27"/>
    </row>
    <row r="5961" spans="1:12">
      <c r="A5961" s="20" t="s">
        <v>2812</v>
      </c>
      <c r="B5961" s="21" t="s">
        <v>1199</v>
      </c>
      <c r="C5961" s="21" t="s">
        <v>1187</v>
      </c>
      <c r="D5961" s="21" t="s">
        <v>1188</v>
      </c>
      <c r="E5961" s="22">
        <f>IF(D5961="?OLD","!!!","")</f>
        <v/>
      </c>
      <c r="F5961" s="23" t="str">
        <f>IF(OR(E5961="",E5961="!!!"),"",IF(NOT(ISNA(VLOOKUP(E5961,E$1:E5960,1,FALSE()))),"OLD",IF(AND(E5961&lt;&gt;"",E5961&lt;&gt;"!!!"),"NEW","")))</f>
        <v> </v>
      </c>
      <c r="G5961" s="24" t="str">
        <f>IF(OR(E5961="",E5961="!!!"),"",IF(OR(J5961=0,AND(J5961=1,K5961=1),AND(J5961=1,I5961="SBJ"),AND(J5961=1,I5961=0)),"?IN_FOCUS",IF(J5961&lt;=2,"?ACTIVATED",IF(J5961&lt;&gt;"","?FAMILIAR",IF(F5961="NEW",IF(ISNA(VLOOKUP(E5961,#REF!,1,FALSE())),"?TYPE_IDENTIFIABLE","?REFERENTIAL"),"_")))))</f>
        <v> </v>
      </c>
      <c r="H5961" s="25" t="str">
        <f>IF(J5961&lt;&gt;1,"",IF(I5961="SBJ","CB","?"))</f>
        <v> </v>
      </c>
      <c r="I5961" s="26" t="str">
        <f>IF(OR(E5961="",E5961="!!!",F5961="NEW"),"",INDEX(B5960:B$2,-1+SUMPRODUCT(MAX(ROW(E5960:E$2)*(E5961=E5960:E$2)))))</f>
        <v> </v>
      </c>
      <c r="J5961" s="26" t="str">
        <f>IF(OR(E5961="",E5961="!!!",F5961="NEW"),"",COUNTBLANK(OFFSET(A$1,,,SUMPRODUCT(MAX(ROW(E$2:E5961)*(E5961=E$2:E5961)))))-COUNTBLANK(OFFSET(A$1,,,SUMPRODUCT(MAX(ROW(E$1:E5960)*(E2=E$1:E5960))))))</f>
        <v> </v>
      </c>
      <c r="K5961" s="26" t="str">
        <f>IF(OR(E5961="",E5961="!!!",F5961="NEW"),"",INDEX(J$1:J5960,SUMPRODUCT(MAX(ROW(E$1:E5960)*(E5961=E$1:E5960)))))</f>
        <v> </v>
      </c>
      <c r="L5961" s="27"/>
    </row>
    <row r="5962" spans="1:12">
      <c r="A5962" s="20" t="s">
        <v>1193</v>
      </c>
      <c r="E5962" s="22">
        <f>IF(D5962="?OLD","!!!","")</f>
        <v/>
      </c>
      <c r="F5962" s="23" t="str">
        <f>IF(OR(E5962="",E5962="!!!"),"",IF(NOT(ISNA(VLOOKUP(E5962,E$1:E5961,1,FALSE()))),"OLD",IF(AND(E5962&lt;&gt;"",E5962&lt;&gt;"!!!"),"NEW","")))</f>
        <v> </v>
      </c>
      <c r="G5962" s="24" t="str">
        <f>IF(OR(E5962="",E5962="!!!"),"",IF(OR(J5962=0,AND(J5962=1,K5962=1),AND(J5962=1,I5962="SBJ"),AND(J5962=1,I5962=0)),"?IN_FOCUS",IF(J5962&lt;=2,"?ACTIVATED",IF(J5962&lt;&gt;"","?FAMILIAR",IF(F5962="NEW",IF(ISNA(VLOOKUP(E5962,#REF!,1,FALSE())),"?TYPE_IDENTIFIABLE","?REFERENTIAL"),"_")))))</f>
        <v> </v>
      </c>
      <c r="H5962" s="25" t="str">
        <f>IF(J5962&lt;&gt;1,"",IF(I5962="SBJ","CB","?"))</f>
        <v> </v>
      </c>
      <c r="I5962" s="26" t="str">
        <f>IF(OR(E5962="",E5962="!!!",F5962="NEW"),"",INDEX(B5961:B$2,-1+SUMPRODUCT(MAX(ROW(E5961:E$2)*(E5962=E5961:E$2)))))</f>
        <v> </v>
      </c>
      <c r="J5962" s="26" t="str">
        <f>IF(OR(E5962="",E5962="!!!",F5962="NEW"),"",COUNTBLANK(OFFSET(A$1,,,SUMPRODUCT(MAX(ROW(E$2:E5962)*(E5962=E$2:E5962)))))-COUNTBLANK(OFFSET(A$1,,,SUMPRODUCT(MAX(ROW(E$1:E5961)*(E2=E$1:E5961))))))</f>
        <v> </v>
      </c>
      <c r="K5962" s="26" t="str">
        <f>IF(OR(E5962="",E5962="!!!",F5962="NEW"),"",INDEX(J$1:J5961,SUMPRODUCT(MAX(ROW(E$1:E5961)*(E5962=E$1:E5961)))))</f>
        <v> </v>
      </c>
      <c r="L5962" s="27"/>
    </row>
    <row r="5963" spans="1:12">
      <c r="A5963" s="20" t="s">
        <v>1206</v>
      </c>
      <c r="B5963" s="21" t="s">
        <v>1296</v>
      </c>
      <c r="E5963" s="22">
        <f>IF(D5963="?OLD","!!!","")</f>
        <v/>
      </c>
      <c r="F5963" s="23" t="str">
        <f>IF(OR(E5963="",E5963="!!!"),"",IF(NOT(ISNA(VLOOKUP(E5963,E$1:E5962,1,FALSE()))),"OLD",IF(AND(E5963&lt;&gt;"",E5963&lt;&gt;"!!!"),"NEW","")))</f>
        <v> </v>
      </c>
      <c r="G5963" s="24" t="str">
        <f>IF(OR(E5963="",E5963="!!!"),"",IF(OR(J5963=0,AND(J5963=1,K5963=1),AND(J5963=1,I5963="SBJ"),AND(J5963=1,I5963=0)),"?IN_FOCUS",IF(J5963&lt;=2,"?ACTIVATED",IF(J5963&lt;&gt;"","?FAMILIAR",IF(F5963="NEW",IF(ISNA(VLOOKUP(E5963,#REF!,1,FALSE())),"?TYPE_IDENTIFIABLE","?REFERENTIAL"),"_")))))</f>
        <v> </v>
      </c>
      <c r="H5963" s="25" t="str">
        <f>IF(J5963&lt;&gt;1,"",IF(I5963="SBJ","CB","?"))</f>
        <v> </v>
      </c>
      <c r="I5963" s="26" t="str">
        <f>IF(OR(E5963="",E5963="!!!",F5963="NEW"),"",INDEX(B5962:B$2,-1+SUMPRODUCT(MAX(ROW(E5962:E$2)*(E5963=E5962:E$2)))))</f>
        <v> </v>
      </c>
      <c r="J5963" s="26" t="str">
        <f>IF(OR(E5963="",E5963="!!!",F5963="NEW"),"",COUNTBLANK(OFFSET(A$1,,,SUMPRODUCT(MAX(ROW(E$2:E5963)*(E5963=E$2:E5963)))))-COUNTBLANK(OFFSET(A$1,,,SUMPRODUCT(MAX(ROW(E$1:E5962)*(E2=E$1:E5962))))))</f>
        <v> </v>
      </c>
      <c r="K5963" s="26" t="str">
        <f>IF(OR(E5963="",E5963="!!!",F5963="NEW"),"",INDEX(J$1:J5962,SUMPRODUCT(MAX(ROW(E$1:E5962)*(E5963=E$1:E5962)))))</f>
        <v> </v>
      </c>
      <c r="L5963" s="27"/>
    </row>
    <row r="5964" spans="1:12">
      <c r="A5964" s="20" t="s">
        <v>1502</v>
      </c>
      <c r="E5964" s="22">
        <f>IF(D5964="?OLD","!!!","")</f>
        <v/>
      </c>
      <c r="F5964" s="23" t="str">
        <f>IF(OR(E5964="",E5964="!!!"),"",IF(NOT(ISNA(VLOOKUP(E5964,E$1:E5963,1,FALSE()))),"OLD",IF(AND(E5964&lt;&gt;"",E5964&lt;&gt;"!!!"),"NEW","")))</f>
        <v> </v>
      </c>
      <c r="G5964" s="24" t="str">
        <f>IF(OR(E5964="",E5964="!!!"),"",IF(OR(J5964=0,AND(J5964=1,K5964=1),AND(J5964=1,I5964="SBJ"),AND(J5964=1,I5964=0)),"?IN_FOCUS",IF(J5964&lt;=2,"?ACTIVATED",IF(J5964&lt;&gt;"","?FAMILIAR",IF(F5964="NEW",IF(ISNA(VLOOKUP(E5964,#REF!,1,FALSE())),"?TYPE_IDENTIFIABLE","?REFERENTIAL"),"_")))))</f>
        <v> </v>
      </c>
      <c r="H5964" s="25" t="str">
        <f>IF(J5964&lt;&gt;1,"",IF(I5964="SBJ","CB","?"))</f>
        <v> </v>
      </c>
      <c r="I5964" s="26" t="str">
        <f>IF(OR(E5964="",E5964="!!!",F5964="NEW"),"",INDEX(B5963:B$2,-1+SUMPRODUCT(MAX(ROW(E5963:E$2)*(E5964=E5963:E$2)))))</f>
        <v> </v>
      </c>
      <c r="J5964" s="26" t="str">
        <f>IF(OR(E5964="",E5964="!!!",F5964="NEW"),"",COUNTBLANK(OFFSET(A$1,,,SUMPRODUCT(MAX(ROW(E$2:E5964)*(E5964=E$2:E5964)))))-COUNTBLANK(OFFSET(A$1,,,SUMPRODUCT(MAX(ROW(E$1:E5963)*(E2=E$1:E5963))))))</f>
        <v> </v>
      </c>
      <c r="K5964" s="26" t="str">
        <f>IF(OR(E5964="",E5964="!!!",F5964="NEW"),"",INDEX(J$1:J5963,SUMPRODUCT(MAX(ROW(E$1:E5963)*(E5964=E$1:E5963)))))</f>
        <v> </v>
      </c>
      <c r="L5964" s="27"/>
    </row>
    <row r="5965" spans="1:12">
      <c r="A5965" s="20" t="s">
        <v>2813</v>
      </c>
      <c r="E5965" s="22">
        <f>IF(D5965="?OLD","!!!","")</f>
        <v/>
      </c>
      <c r="F5965" s="23" t="str">
        <f>IF(OR(E5965="",E5965="!!!"),"",IF(NOT(ISNA(VLOOKUP(E5965,E$1:E5964,1,FALSE()))),"OLD",IF(AND(E5965&lt;&gt;"",E5965&lt;&gt;"!!!"),"NEW","")))</f>
        <v> </v>
      </c>
      <c r="G5965" s="24" t="str">
        <f>IF(OR(E5965="",E5965="!!!"),"",IF(OR(J5965=0,AND(J5965=1,K5965=1),AND(J5965=1,I5965="SBJ"),AND(J5965=1,I5965=0)),"?IN_FOCUS",IF(J5965&lt;=2,"?ACTIVATED",IF(J5965&lt;&gt;"","?FAMILIAR",IF(F5965="NEW",IF(ISNA(VLOOKUP(E5965,#REF!,1,FALSE())),"?TYPE_IDENTIFIABLE","?REFERENTIAL"),"_")))))</f>
        <v> </v>
      </c>
      <c r="H5965" s="25" t="str">
        <f>IF(J5965&lt;&gt;1,"",IF(I5965="SBJ","CB","?"))</f>
        <v> </v>
      </c>
      <c r="I5965" s="26" t="str">
        <f>IF(OR(E5965="",E5965="!!!",F5965="NEW"),"",INDEX(B5964:B$2,-1+SUMPRODUCT(MAX(ROW(E5964:E$2)*(E5965=E5964:E$2)))))</f>
        <v> </v>
      </c>
      <c r="J5965" s="26" t="str">
        <f>IF(OR(E5965="",E5965="!!!",F5965="NEW"),"",COUNTBLANK(OFFSET(A$1,,,SUMPRODUCT(MAX(ROW(E$2:E5965)*(E5965=E$2:E5965)))))-COUNTBLANK(OFFSET(A$1,,,SUMPRODUCT(MAX(ROW(E$1:E5964)*(E2=E$1:E5964))))))</f>
        <v> </v>
      </c>
      <c r="K5965" s="26" t="str">
        <f>IF(OR(E5965="",E5965="!!!",F5965="NEW"),"",INDEX(J$1:J5964,SUMPRODUCT(MAX(ROW(E$1:E5964)*(E5965=E$1:E5964)))))</f>
        <v> </v>
      </c>
      <c r="L5965" s="27"/>
    </row>
    <row r="5966" spans="1:12">
      <c r="A5966" s="20" t="s">
        <v>2814</v>
      </c>
      <c r="B5966" s="21" t="s">
        <v>1347</v>
      </c>
      <c r="C5966" s="21" t="s">
        <v>1187</v>
      </c>
      <c r="D5966" s="21" t="s">
        <v>1188</v>
      </c>
      <c r="E5966" s="22">
        <f>IF(D5966="?OLD","!!!","")</f>
        <v/>
      </c>
      <c r="F5966" s="23" t="str">
        <f>IF(OR(E5966="",E5966="!!!"),"",IF(NOT(ISNA(VLOOKUP(E5966,E$1:E5965,1,FALSE()))),"OLD",IF(AND(E5966&lt;&gt;"",E5966&lt;&gt;"!!!"),"NEW","")))</f>
        <v> </v>
      </c>
      <c r="G5966" s="24" t="str">
        <f>IF(OR(E5966="",E5966="!!!"),"",IF(OR(J5966=0,AND(J5966=1,K5966=1),AND(J5966=1,I5966="SBJ"),AND(J5966=1,I5966=0)),"?IN_FOCUS",IF(J5966&lt;=2,"?ACTIVATED",IF(J5966&lt;&gt;"","?FAMILIAR",IF(F5966="NEW",IF(ISNA(VLOOKUP(E5966,#REF!,1,FALSE())),"?TYPE_IDENTIFIABLE","?REFERENTIAL"),"_")))))</f>
        <v> </v>
      </c>
      <c r="H5966" s="25" t="str">
        <f>IF(J5966&lt;&gt;1,"",IF(I5966="SBJ","CB","?"))</f>
        <v> </v>
      </c>
      <c r="I5966" s="26" t="str">
        <f>IF(OR(E5966="",E5966="!!!",F5966="NEW"),"",INDEX(B5965:B$2,-1+SUMPRODUCT(MAX(ROW(E5965:E$2)*(E5966=E5965:E$2)))))</f>
        <v> </v>
      </c>
      <c r="J5966" s="26" t="str">
        <f>IF(OR(E5966="",E5966="!!!",F5966="NEW"),"",COUNTBLANK(OFFSET(A$1,,,SUMPRODUCT(MAX(ROW(E$2:E5966)*(E5966=E$2:E5966)))))-COUNTBLANK(OFFSET(A$1,,,SUMPRODUCT(MAX(ROW(E$1:E5965)*(E2=E$1:E5965))))))</f>
        <v> </v>
      </c>
      <c r="K5966" s="26" t="str">
        <f>IF(OR(E5966="",E5966="!!!",F5966="NEW"),"",INDEX(J$1:J5965,SUMPRODUCT(MAX(ROW(E$1:E5965)*(E5966=E$1:E5965)))))</f>
        <v> </v>
      </c>
      <c r="L5966" s="27"/>
    </row>
    <row r="5967" spans="1:12">
      <c r="A5967" s="20" t="s">
        <v>11</v>
      </c>
      <c r="E5967" s="22">
        <f>IF(D5967="?OLD","!!!","")</f>
        <v/>
      </c>
      <c r="F5967" s="23" t="str">
        <f>IF(OR(E5967="",E5967="!!!"),"",IF(NOT(ISNA(VLOOKUP(E5967,E$1:E5966,1,FALSE()))),"OLD",IF(AND(E5967&lt;&gt;"",E5967&lt;&gt;"!!!"),"NEW","")))</f>
        <v> </v>
      </c>
      <c r="G5967" s="24" t="str">
        <f>IF(OR(E5967="",E5967="!!!"),"",IF(OR(J5967=0,AND(J5967=1,K5967=1),AND(J5967=1,I5967="SBJ"),AND(J5967=1,I5967=0)),"?IN_FOCUS",IF(J5967&lt;=2,"?ACTIVATED",IF(J5967&lt;&gt;"","?FAMILIAR",IF(F5967="NEW",IF(ISNA(VLOOKUP(E5967,#REF!,1,FALSE())),"?TYPE_IDENTIFIABLE","?REFERENTIAL"),"_")))))</f>
        <v> </v>
      </c>
      <c r="H5967" s="25" t="str">
        <f>IF(J5967&lt;&gt;1,"",IF(I5967="SBJ","CB","?"))</f>
        <v> </v>
      </c>
      <c r="I5967" s="26" t="str">
        <f>IF(OR(E5967="",E5967="!!!",F5967="NEW"),"",INDEX(B5966:B$2,-1+SUMPRODUCT(MAX(ROW(E5966:E$2)*(E5967=E5966:E$2)))))</f>
        <v> </v>
      </c>
      <c r="J5967" s="26" t="str">
        <f>IF(OR(E5967="",E5967="!!!",F5967="NEW"),"",COUNTBLANK(OFFSET(A$1,,,SUMPRODUCT(MAX(ROW(E$2:E5967)*(E5967=E$2:E5967)))))-COUNTBLANK(OFFSET(A$1,,,SUMPRODUCT(MAX(ROW(E$1:E5966)*(E2=E$1:E5966))))))</f>
        <v> </v>
      </c>
      <c r="K5967" s="26" t="str">
        <f>IF(OR(E5967="",E5967="!!!",F5967="NEW"),"",INDEX(J$1:J5966,SUMPRODUCT(MAX(ROW(E$1:E5966)*(E5967=E$1:E5966)))))</f>
        <v> </v>
      </c>
      <c r="L5967" s="27"/>
    </row>
    <row r="5968" spans="1:12">
      <c r="A5968" s="20" t="s">
        <v>2815</v>
      </c>
      <c r="E5968" s="22">
        <f>IF(D5968="?OLD","!!!","")</f>
        <v/>
      </c>
      <c r="F5968" s="23" t="str">
        <f>IF(OR(E5968="",E5968="!!!"),"",IF(NOT(ISNA(VLOOKUP(E5968,E$1:E5967,1,FALSE()))),"OLD",IF(AND(E5968&lt;&gt;"",E5968&lt;&gt;"!!!"),"NEW","")))</f>
        <v> </v>
      </c>
      <c r="G5968" s="24" t="str">
        <f>IF(OR(E5968="",E5968="!!!"),"",IF(OR(J5968=0,AND(J5968=1,K5968=1),AND(J5968=1,I5968="SBJ"),AND(J5968=1,I5968=0)),"?IN_FOCUS",IF(J5968&lt;=2,"?ACTIVATED",IF(J5968&lt;&gt;"","?FAMILIAR",IF(F5968="NEW",IF(ISNA(VLOOKUP(E5968,#REF!,1,FALSE())),"?TYPE_IDENTIFIABLE","?REFERENTIAL"),"_")))))</f>
        <v> </v>
      </c>
      <c r="H5968" s="25" t="str">
        <f>IF(J5968&lt;&gt;1,"",IF(I5968="SBJ","CB","?"))</f>
        <v> </v>
      </c>
      <c r="I5968" s="26" t="str">
        <f>IF(OR(E5968="",E5968="!!!",F5968="NEW"),"",INDEX(B5967:B$2,-1+SUMPRODUCT(MAX(ROW(E5967:E$2)*(E5968=E5967:E$2)))))</f>
        <v> </v>
      </c>
      <c r="J5968" s="26" t="str">
        <f>IF(OR(E5968="",E5968="!!!",F5968="NEW"),"",COUNTBLANK(OFFSET(A$1,,,SUMPRODUCT(MAX(ROW(E$2:E5968)*(E5968=E$2:E5968)))))-COUNTBLANK(OFFSET(A$1,,,SUMPRODUCT(MAX(ROW(E$1:E5967)*(E2=E$1:E5967))))))</f>
        <v> </v>
      </c>
      <c r="K5968" s="26" t="str">
        <f>IF(OR(E5968="",E5968="!!!",F5968="NEW"),"",INDEX(J$1:J5967,SUMPRODUCT(MAX(ROW(E$1:E5967)*(E5968=E$1:E5967)))))</f>
        <v> </v>
      </c>
      <c r="L5968" s="27"/>
    </row>
    <row r="5969" spans="1:12">
      <c r="A5969" s="20" t="s">
        <v>11</v>
      </c>
      <c r="E5969" s="22">
        <f>IF(D5969="?OLD","!!!","")</f>
        <v/>
      </c>
      <c r="F5969" s="23" t="str">
        <f>IF(OR(E5969="",E5969="!!!"),"",IF(NOT(ISNA(VLOOKUP(E5969,E$1:E5968,1,FALSE()))),"OLD",IF(AND(E5969&lt;&gt;"",E5969&lt;&gt;"!!!"),"NEW","")))</f>
        <v> </v>
      </c>
      <c r="G5969" s="24" t="str">
        <f>IF(OR(E5969="",E5969="!!!"),"",IF(OR(J5969=0,AND(J5969=1,K5969=1),AND(J5969=1,I5969="SBJ"),AND(J5969=1,I5969=0)),"?IN_FOCUS",IF(J5969&lt;=2,"?ACTIVATED",IF(J5969&lt;&gt;"","?FAMILIAR",IF(F5969="NEW",IF(ISNA(VLOOKUP(E5969,#REF!,1,FALSE())),"?TYPE_IDENTIFIABLE","?REFERENTIAL"),"_")))))</f>
        <v> </v>
      </c>
      <c r="H5969" s="25" t="str">
        <f>IF(J5969&lt;&gt;1,"",IF(I5969="SBJ","CB","?"))</f>
        <v> </v>
      </c>
      <c r="I5969" s="26" t="str">
        <f>IF(OR(E5969="",E5969="!!!",F5969="NEW"),"",INDEX(B5968:B$2,-1+SUMPRODUCT(MAX(ROW(E5968:E$2)*(E5969=E5968:E$2)))))</f>
        <v> </v>
      </c>
      <c r="J5969" s="26" t="str">
        <f>IF(OR(E5969="",E5969="!!!",F5969="NEW"),"",COUNTBLANK(OFFSET(A$1,,,SUMPRODUCT(MAX(ROW(E$2:E5969)*(E5969=E$2:E5969)))))-COUNTBLANK(OFFSET(A$1,,,SUMPRODUCT(MAX(ROW(E$1:E5968)*(E2=E$1:E5968))))))</f>
        <v> </v>
      </c>
      <c r="K5969" s="26" t="str">
        <f>IF(OR(E5969="",E5969="!!!",F5969="NEW"),"",INDEX(J$1:J5968,SUMPRODUCT(MAX(ROW(E$1:E5968)*(E5969=E$1:E5968)))))</f>
        <v> </v>
      </c>
      <c r="L5969" s="27"/>
    </row>
    <row r="5970" spans="1:12">
      <c r="A5970" s="20" t="s">
        <v>2373</v>
      </c>
      <c r="E5970" s="22">
        <f>IF(D5970="?OLD","!!!","")</f>
        <v/>
      </c>
      <c r="F5970" s="23" t="str">
        <f>IF(OR(E5970="",E5970="!!!"),"",IF(NOT(ISNA(VLOOKUP(E5970,E$1:E5969,1,FALSE()))),"OLD",IF(AND(E5970&lt;&gt;"",E5970&lt;&gt;"!!!"),"NEW","")))</f>
        <v> </v>
      </c>
      <c r="G5970" s="24" t="str">
        <f>IF(OR(E5970="",E5970="!!!"),"",IF(OR(J5970=0,AND(J5970=1,K5970=1),AND(J5970=1,I5970="SBJ"),AND(J5970=1,I5970=0)),"?IN_FOCUS",IF(J5970&lt;=2,"?ACTIVATED",IF(J5970&lt;&gt;"","?FAMILIAR",IF(F5970="NEW",IF(ISNA(VLOOKUP(E5970,#REF!,1,FALSE())),"?TYPE_IDENTIFIABLE","?REFERENTIAL"),"_")))))</f>
        <v> </v>
      </c>
      <c r="H5970" s="25" t="str">
        <f>IF(J5970&lt;&gt;1,"",IF(I5970="SBJ","CB","?"))</f>
        <v> </v>
      </c>
      <c r="I5970" s="26" t="str">
        <f>IF(OR(E5970="",E5970="!!!",F5970="NEW"),"",INDEX(B5969:B$2,-1+SUMPRODUCT(MAX(ROW(E5969:E$2)*(E5970=E5969:E$2)))))</f>
        <v> </v>
      </c>
      <c r="J5970" s="26" t="str">
        <f>IF(OR(E5970="",E5970="!!!",F5970="NEW"),"",COUNTBLANK(OFFSET(A$1,,,SUMPRODUCT(MAX(ROW(E$2:E5970)*(E5970=E$2:E5970)))))-COUNTBLANK(OFFSET(A$1,,,SUMPRODUCT(MAX(ROW(E$1:E5969)*(E2=E$1:E5969))))))</f>
        <v> </v>
      </c>
      <c r="K5970" s="26" t="str">
        <f>IF(OR(E5970="",E5970="!!!",F5970="NEW"),"",INDEX(J$1:J5969,SUMPRODUCT(MAX(ROW(E$1:E5969)*(E5970=E$1:E5969)))))</f>
        <v> </v>
      </c>
      <c r="L5970" s="27"/>
    </row>
    <row r="5971" spans="1:12">
      <c r="A5971" s="20" t="s">
        <v>2816</v>
      </c>
      <c r="E5971" s="22">
        <f>IF(D5971="?OLD","!!!","")</f>
        <v/>
      </c>
      <c r="F5971" s="23" t="str">
        <f>IF(OR(E5971="",E5971="!!!"),"",IF(NOT(ISNA(VLOOKUP(E5971,E$1:E5970,1,FALSE()))),"OLD",IF(AND(E5971&lt;&gt;"",E5971&lt;&gt;"!!!"),"NEW","")))</f>
        <v> </v>
      </c>
      <c r="G5971" s="24" t="str">
        <f>IF(OR(E5971="",E5971="!!!"),"",IF(OR(J5971=0,AND(J5971=1,K5971=1),AND(J5971=1,I5971="SBJ"),AND(J5971=1,I5971=0)),"?IN_FOCUS",IF(J5971&lt;=2,"?ACTIVATED",IF(J5971&lt;&gt;"","?FAMILIAR",IF(F5971="NEW",IF(ISNA(VLOOKUP(E5971,#REF!,1,FALSE())),"?TYPE_IDENTIFIABLE","?REFERENTIAL"),"_")))))</f>
        <v> </v>
      </c>
      <c r="H5971" s="25" t="str">
        <f>IF(J5971&lt;&gt;1,"",IF(I5971="SBJ","CB","?"))</f>
        <v> </v>
      </c>
      <c r="I5971" s="26" t="str">
        <f>IF(OR(E5971="",E5971="!!!",F5971="NEW"),"",INDEX(B5970:B$2,-1+SUMPRODUCT(MAX(ROW(E5970:E$2)*(E5971=E5970:E$2)))))</f>
        <v> </v>
      </c>
      <c r="J5971" s="26" t="str">
        <f>IF(OR(E5971="",E5971="!!!",F5971="NEW"),"",COUNTBLANK(OFFSET(A$1,,,SUMPRODUCT(MAX(ROW(E$2:E5971)*(E5971=E$2:E5971)))))-COUNTBLANK(OFFSET(A$1,,,SUMPRODUCT(MAX(ROW(E$1:E5970)*(E2=E$1:E5970))))))</f>
        <v> </v>
      </c>
      <c r="K5971" s="26" t="str">
        <f>IF(OR(E5971="",E5971="!!!",F5971="NEW"),"",INDEX(J$1:J5970,SUMPRODUCT(MAX(ROW(E$1:E5970)*(E5971=E$1:E5970)))))</f>
        <v> </v>
      </c>
      <c r="L5971" s="27"/>
    </row>
    <row r="5972" spans="1:12">
      <c r="A5972" s="20" t="s">
        <v>826</v>
      </c>
      <c r="E5972" s="22">
        <f>IF(D5972="?OLD","!!!","")</f>
        <v/>
      </c>
      <c r="F5972" s="23" t="str">
        <f>IF(OR(E5972="",E5972="!!!"),"",IF(NOT(ISNA(VLOOKUP(E5972,E$1:E5971,1,FALSE()))),"OLD",IF(AND(E5972&lt;&gt;"",E5972&lt;&gt;"!!!"),"NEW","")))</f>
        <v> </v>
      </c>
      <c r="G5972" s="24" t="str">
        <f>IF(OR(E5972="",E5972="!!!"),"",IF(OR(J5972=0,AND(J5972=1,K5972=1),AND(J5972=1,I5972="SBJ"),AND(J5972=1,I5972=0)),"?IN_FOCUS",IF(J5972&lt;=2,"?ACTIVATED",IF(J5972&lt;&gt;"","?FAMILIAR",IF(F5972="NEW",IF(ISNA(VLOOKUP(E5972,#REF!,1,FALSE())),"?TYPE_IDENTIFIABLE","?REFERENTIAL"),"_")))))</f>
        <v> </v>
      </c>
      <c r="H5972" s="25" t="str">
        <f>IF(J5972&lt;&gt;1,"",IF(I5972="SBJ","CB","?"))</f>
        <v> </v>
      </c>
      <c r="I5972" s="26" t="str">
        <f>IF(OR(E5972="",E5972="!!!",F5972="NEW"),"",INDEX(B5971:B$2,-1+SUMPRODUCT(MAX(ROW(E5971:E$2)*(E5972=E5971:E$2)))))</f>
        <v> </v>
      </c>
      <c r="J5972" s="26" t="str">
        <f>IF(OR(E5972="",E5972="!!!",F5972="NEW"),"",COUNTBLANK(OFFSET(A$1,,,SUMPRODUCT(MAX(ROW(E$2:E5972)*(E5972=E$2:E5972)))))-COUNTBLANK(OFFSET(A$1,,,SUMPRODUCT(MAX(ROW(E$1:E5971)*(E2=E$1:E5971))))))</f>
        <v> </v>
      </c>
      <c r="K5972" s="26" t="str">
        <f>IF(OR(E5972="",E5972="!!!",F5972="NEW"),"",INDEX(J$1:J5971,SUMPRODUCT(MAX(ROW(E$1:E5971)*(E5972=E$1:E5971)))))</f>
        <v> </v>
      </c>
      <c r="L5972" s="27"/>
    </row>
    <row r="5973" spans="1:12">
      <c r="A5973" s="20"/>
    </row>
    <row r="5974" spans="1:12">
      <c r="A5974" s="20" t="s">
        <v>2817</v>
      </c>
    </row>
    <row r="5975" spans="1:12">
      <c r="A5975" s="20" t="s">
        <v>1264</v>
      </c>
      <c r="E5975" s="22">
        <f>IF(D5975="?OLD","!!!","")</f>
        <v/>
      </c>
      <c r="F5975" s="23" t="str">
        <f>IF(OR(E5975="",E5975="!!!"),"",IF(NOT(ISNA(VLOOKUP(E5975,E$1:E5974,1,FALSE()))),"OLD",IF(AND(E5975&lt;&gt;"",E5975&lt;&gt;"!!!"),"NEW","")))</f>
        <v> </v>
      </c>
      <c r="G5975" s="24" t="str">
        <f>IF(OR(E5975="",E5975="!!!"),"",IF(OR(J5975=0,AND(J5975=1,K5975=1),AND(J5975=1,I5975="SBJ"),AND(J5975=1,I5975=0)),"?IN_FOCUS",IF(J5975&lt;=2,"?ACTIVATED",IF(J5975&lt;&gt;"","?FAMILIAR",IF(F5975="NEW",IF(ISNA(VLOOKUP(E5975,#REF!,1,FALSE())),"?TYPE_IDENTIFIABLE","?REFERENTIAL"),"_")))))</f>
        <v> </v>
      </c>
      <c r="H5975" s="25" t="str">
        <f>IF(J5975&lt;&gt;1,"",IF(I5975="SBJ","CB","?"))</f>
        <v> </v>
      </c>
      <c r="I5975" s="26" t="str">
        <f>IF(OR(E5975="",E5975="!!!",F5975="NEW"),"",INDEX(B5974:B$2,-1+SUMPRODUCT(MAX(ROW(E5974:E$2)*(E5975=E5974:E$2)))))</f>
        <v> </v>
      </c>
      <c r="J5975" s="26" t="str">
        <f>IF(OR(E5975="",E5975="!!!",F5975="NEW"),"",COUNTBLANK(OFFSET(A$1,,,SUMPRODUCT(MAX(ROW(E$2:E5975)*(E5975=E$2:E5975)))))-COUNTBLANK(OFFSET(A$1,,,SUMPRODUCT(MAX(ROW(E$1:E5974)*(E2=E$1:E5974))))))</f>
        <v> </v>
      </c>
      <c r="K5975" s="26" t="str">
        <f>IF(OR(E5975="",E5975="!!!",F5975="NEW"),"",INDEX(J$1:J5974,SUMPRODUCT(MAX(ROW(E$1:E5974)*(E5975=E$1:E5974)))))</f>
        <v> </v>
      </c>
      <c r="L5975" s="27"/>
    </row>
    <row r="5976" spans="1:12">
      <c r="A5976" s="20" t="s">
        <v>1952</v>
      </c>
      <c r="E5976" s="22">
        <f>IF(D5976="?OLD","!!!","")</f>
        <v/>
      </c>
      <c r="F5976" s="23" t="str">
        <f>IF(OR(E5976="",E5976="!!!"),"",IF(NOT(ISNA(VLOOKUP(E5976,E$1:E5975,1,FALSE()))),"OLD",IF(AND(E5976&lt;&gt;"",E5976&lt;&gt;"!!!"),"NEW","")))</f>
        <v> </v>
      </c>
      <c r="G5976" s="24" t="str">
        <f>IF(OR(E5976="",E5976="!!!"),"",IF(OR(J5976=0,AND(J5976=1,K5976=1),AND(J5976=1,I5976="SBJ"),AND(J5976=1,I5976=0)),"?IN_FOCUS",IF(J5976&lt;=2,"?ACTIVATED",IF(J5976&lt;&gt;"","?FAMILIAR",IF(F5976="NEW",IF(ISNA(VLOOKUP(E5976,#REF!,1,FALSE())),"?TYPE_IDENTIFIABLE","?REFERENTIAL"),"_")))))</f>
        <v> </v>
      </c>
      <c r="H5976" s="25" t="str">
        <f>IF(J5976&lt;&gt;1,"",IF(I5976="SBJ","CB","?"))</f>
        <v> </v>
      </c>
      <c r="I5976" s="26" t="str">
        <f>IF(OR(E5976="",E5976="!!!",F5976="NEW"),"",INDEX(B5975:B$2,-1+SUMPRODUCT(MAX(ROW(E5975:E$2)*(E5976=E5975:E$2)))))</f>
        <v> </v>
      </c>
      <c r="J5976" s="26" t="str">
        <f>IF(OR(E5976="",E5976="!!!",F5976="NEW"),"",COUNTBLANK(OFFSET(A$1,,,SUMPRODUCT(MAX(ROW(E$2:E5976)*(E5976=E$2:E5976)))))-COUNTBLANK(OFFSET(A$1,,,SUMPRODUCT(MAX(ROW(E$1:E5975)*(E2=E$1:E5975))))))</f>
        <v> </v>
      </c>
      <c r="K5976" s="26" t="str">
        <f>IF(OR(E5976="",E5976="!!!",F5976="NEW"),"",INDEX(J$1:J5975,SUMPRODUCT(MAX(ROW(E$1:E5975)*(E5976=E$1:E5975)))))</f>
        <v> </v>
      </c>
      <c r="L5976" s="27"/>
    </row>
    <row r="5977" spans="1:12">
      <c r="A5977" s="20" t="s">
        <v>1193</v>
      </c>
      <c r="E5977" s="22">
        <f>IF(D5977="?OLD","!!!","")</f>
        <v/>
      </c>
      <c r="F5977" s="23" t="str">
        <f>IF(OR(E5977="",E5977="!!!"),"",IF(NOT(ISNA(VLOOKUP(E5977,E$1:E5976,1,FALSE()))),"OLD",IF(AND(E5977&lt;&gt;"",E5977&lt;&gt;"!!!"),"NEW","")))</f>
        <v> </v>
      </c>
      <c r="G5977" s="24" t="str">
        <f>IF(OR(E5977="",E5977="!!!"),"",IF(OR(J5977=0,AND(J5977=1,K5977=1),AND(J5977=1,I5977="SBJ"),AND(J5977=1,I5977=0)),"?IN_FOCUS",IF(J5977&lt;=2,"?ACTIVATED",IF(J5977&lt;&gt;"","?FAMILIAR",IF(F5977="NEW",IF(ISNA(VLOOKUP(E5977,#REF!,1,FALSE())),"?TYPE_IDENTIFIABLE","?REFERENTIAL"),"_")))))</f>
        <v> </v>
      </c>
      <c r="H5977" s="25" t="str">
        <f>IF(J5977&lt;&gt;1,"",IF(I5977="SBJ","CB","?"))</f>
        <v> </v>
      </c>
      <c r="I5977" s="26" t="str">
        <f>IF(OR(E5977="",E5977="!!!",F5977="NEW"),"",INDEX(B5976:B$2,-1+SUMPRODUCT(MAX(ROW(E5976:E$2)*(E5977=E5976:E$2)))))</f>
        <v> </v>
      </c>
      <c r="J5977" s="26" t="str">
        <f>IF(OR(E5977="",E5977="!!!",F5977="NEW"),"",COUNTBLANK(OFFSET(A$1,,,SUMPRODUCT(MAX(ROW(E$2:E5977)*(E5977=E$2:E5977)))))-COUNTBLANK(OFFSET(A$1,,,SUMPRODUCT(MAX(ROW(E$1:E5976)*(E2=E$1:E5976))))))</f>
        <v> </v>
      </c>
      <c r="K5977" s="26" t="str">
        <f>IF(OR(E5977="",E5977="!!!",F5977="NEW"),"",INDEX(J$1:J5976,SUMPRODUCT(MAX(ROW(E$1:E5976)*(E5977=E$1:E5976)))))</f>
        <v> </v>
      </c>
      <c r="L5977" s="27"/>
    </row>
    <row r="5978" spans="1:12">
      <c r="A5978" s="20" t="s">
        <v>1366</v>
      </c>
      <c r="E5978" s="22">
        <f>IF(D5978="?OLD","!!!","")</f>
        <v/>
      </c>
      <c r="F5978" s="23" t="str">
        <f>IF(OR(E5978="",E5978="!!!"),"",IF(NOT(ISNA(VLOOKUP(E5978,E$1:E5977,1,FALSE()))),"OLD",IF(AND(E5978&lt;&gt;"",E5978&lt;&gt;"!!!"),"NEW","")))</f>
        <v> </v>
      </c>
      <c r="G5978" s="24" t="str">
        <f>IF(OR(E5978="",E5978="!!!"),"",IF(OR(J5978=0,AND(J5978=1,K5978=1),AND(J5978=1,I5978="SBJ"),AND(J5978=1,I5978=0)),"?IN_FOCUS",IF(J5978&lt;=2,"?ACTIVATED",IF(J5978&lt;&gt;"","?FAMILIAR",IF(F5978="NEW",IF(ISNA(VLOOKUP(E5978,#REF!,1,FALSE())),"?TYPE_IDENTIFIABLE","?REFERENTIAL"),"_")))))</f>
        <v> </v>
      </c>
      <c r="H5978" s="25" t="str">
        <f>IF(J5978&lt;&gt;1,"",IF(I5978="SBJ","CB","?"))</f>
        <v> </v>
      </c>
      <c r="I5978" s="26" t="str">
        <f>IF(OR(E5978="",E5978="!!!",F5978="NEW"),"",INDEX(B5977:B$2,-1+SUMPRODUCT(MAX(ROW(E5977:E$2)*(E5978=E5977:E$2)))))</f>
        <v> </v>
      </c>
      <c r="J5978" s="26" t="str">
        <f>IF(OR(E5978="",E5978="!!!",F5978="NEW"),"",COUNTBLANK(OFFSET(A$1,,,SUMPRODUCT(MAX(ROW(E$2:E5978)*(E5978=E$2:E5978)))))-COUNTBLANK(OFFSET(A$1,,,SUMPRODUCT(MAX(ROW(E$1:E5977)*(E2=E$1:E5977))))))</f>
        <v> </v>
      </c>
      <c r="K5978" s="26" t="str">
        <f>IF(OR(E5978="",E5978="!!!",F5978="NEW"),"",INDEX(J$1:J5977,SUMPRODUCT(MAX(ROW(E$1:E5977)*(E5978=E$1:E5977)))))</f>
        <v> </v>
      </c>
      <c r="L5978" s="27"/>
    </row>
    <row r="5979" spans="1:12">
      <c r="A5979" s="20" t="s">
        <v>2818</v>
      </c>
      <c r="B5979" s="21" t="s">
        <v>1215</v>
      </c>
      <c r="C5979" s="21" t="s">
        <v>1304</v>
      </c>
      <c r="D5979" s="21" t="s">
        <v>1188</v>
      </c>
      <c r="E5979" s="22">
        <f>IF(D5979="?OLD","!!!","")</f>
        <v/>
      </c>
      <c r="F5979" s="23" t="str">
        <f>IF(OR(E5979="",E5979="!!!"),"",IF(NOT(ISNA(VLOOKUP(E5979,E$1:E5978,1,FALSE()))),"OLD",IF(AND(E5979&lt;&gt;"",E5979&lt;&gt;"!!!"),"NEW","")))</f>
        <v> </v>
      </c>
      <c r="G5979" s="24" t="str">
        <f>IF(OR(E5979="",E5979="!!!"),"",IF(OR(J5979=0,AND(J5979=1,K5979=1),AND(J5979=1,I5979="SBJ"),AND(J5979=1,I5979=0)),"?IN_FOCUS",IF(J5979&lt;=2,"?ACTIVATED",IF(J5979&lt;&gt;"","?FAMILIAR",IF(F5979="NEW",IF(ISNA(VLOOKUP(E5979,#REF!,1,FALSE())),"?TYPE_IDENTIFIABLE","?REFERENTIAL"),"_")))))</f>
        <v> </v>
      </c>
      <c r="H5979" s="25" t="str">
        <f>IF(J5979&lt;&gt;1,"",IF(I5979="SBJ","CB","?"))</f>
        <v> </v>
      </c>
      <c r="I5979" s="26" t="str">
        <f>IF(OR(E5979="",E5979="!!!",F5979="NEW"),"",INDEX(B5978:B$2,-1+SUMPRODUCT(MAX(ROW(E5978:E$2)*(E5979=E5978:E$2)))))</f>
        <v> </v>
      </c>
      <c r="J5979" s="26" t="str">
        <f>IF(OR(E5979="",E5979="!!!",F5979="NEW"),"",COUNTBLANK(OFFSET(A$1,,,SUMPRODUCT(MAX(ROW(E$2:E5979)*(E5979=E$2:E5979)))))-COUNTBLANK(OFFSET(A$1,,,SUMPRODUCT(MAX(ROW(E$1:E5978)*(E2=E$1:E5978))))))</f>
        <v> </v>
      </c>
      <c r="K5979" s="26" t="str">
        <f>IF(OR(E5979="",E5979="!!!",F5979="NEW"),"",INDEX(J$1:J5978,SUMPRODUCT(MAX(ROW(E$1:E5978)*(E5979=E$1:E5978)))))</f>
        <v> </v>
      </c>
      <c r="L5979" s="27"/>
    </row>
    <row r="5980" spans="1:12">
      <c r="A5980" s="20" t="s">
        <v>2819</v>
      </c>
      <c r="B5980" s="21" t="s">
        <v>1248</v>
      </c>
      <c r="C5980" s="21" t="s">
        <v>1192</v>
      </c>
      <c r="E5980" s="22">
        <f>IF(D5980="?OLD","!!!","")</f>
        <v/>
      </c>
      <c r="F5980" s="23" t="str">
        <f>IF(OR(E5980="",E5980="!!!"),"",IF(NOT(ISNA(VLOOKUP(E5980,E$1:E5979,1,FALSE()))),"OLD",IF(AND(E5980&lt;&gt;"",E5980&lt;&gt;"!!!"),"NEW","")))</f>
        <v> </v>
      </c>
      <c r="G5980" s="24" t="str">
        <f>IF(OR(E5980="",E5980="!!!"),"",IF(OR(J5980=0,AND(J5980=1,K5980=1),AND(J5980=1,I5980="SBJ"),AND(J5980=1,I5980=0)),"?IN_FOCUS",IF(J5980&lt;=2,"?ACTIVATED",IF(J5980&lt;&gt;"","?FAMILIAR",IF(F5980="NEW",IF(ISNA(VLOOKUP(E5980,#REF!,1,FALSE())),"?TYPE_IDENTIFIABLE","?REFERENTIAL"),"_")))))</f>
        <v> </v>
      </c>
      <c r="H5980" s="25" t="str">
        <f>IF(J5980&lt;&gt;1,"",IF(I5980="SBJ","CB","?"))</f>
        <v> </v>
      </c>
      <c r="I5980" s="26" t="str">
        <f>IF(OR(E5980="",E5980="!!!",F5980="NEW"),"",INDEX(B5979:B$2,-1+SUMPRODUCT(MAX(ROW(E5979:E$2)*(E5980=E5979:E$2)))))</f>
        <v> </v>
      </c>
      <c r="J5980" s="26" t="str">
        <f>IF(OR(E5980="",E5980="!!!",F5980="NEW"),"",COUNTBLANK(OFFSET(A$1,,,SUMPRODUCT(MAX(ROW(E$2:E5980)*(E5980=E$2:E5980)))))-COUNTBLANK(OFFSET(A$1,,,SUMPRODUCT(MAX(ROW(E$1:E5979)*(E2=E$1:E5979))))))</f>
        <v> </v>
      </c>
      <c r="K5980" s="26" t="str">
        <f>IF(OR(E5980="",E5980="!!!",F5980="NEW"),"",INDEX(J$1:J5979,SUMPRODUCT(MAX(ROW(E$1:E5979)*(E5980=E$1:E5979)))))</f>
        <v> </v>
      </c>
      <c r="L5980" s="27"/>
    </row>
    <row r="5981" spans="1:12">
      <c r="A5981" s="20" t="s">
        <v>1205</v>
      </c>
      <c r="E5981" s="22">
        <f>IF(D5981="?OLD","!!!","")</f>
        <v/>
      </c>
      <c r="F5981" s="23" t="str">
        <f>IF(OR(E5981="",E5981="!!!"),"",IF(NOT(ISNA(VLOOKUP(E5981,E$1:E5980,1,FALSE()))),"OLD",IF(AND(E5981&lt;&gt;"",E5981&lt;&gt;"!!!"),"NEW","")))</f>
        <v> </v>
      </c>
      <c r="G5981" s="24" t="str">
        <f>IF(OR(E5981="",E5981="!!!"),"",IF(OR(J5981=0,AND(J5981=1,K5981=1),AND(J5981=1,I5981="SBJ"),AND(J5981=1,I5981=0)),"?IN_FOCUS",IF(J5981&lt;=2,"?ACTIVATED",IF(J5981&lt;&gt;"","?FAMILIAR",IF(F5981="NEW",IF(ISNA(VLOOKUP(E5981,#REF!,1,FALSE())),"?TYPE_IDENTIFIABLE","?REFERENTIAL"),"_")))))</f>
        <v> </v>
      </c>
      <c r="H5981" s="25" t="str">
        <f>IF(J5981&lt;&gt;1,"",IF(I5981="SBJ","CB","?"))</f>
        <v> </v>
      </c>
      <c r="I5981" s="26" t="str">
        <f>IF(OR(E5981="",E5981="!!!",F5981="NEW"),"",INDEX(B5980:B$2,-1+SUMPRODUCT(MAX(ROW(E5980:E$2)*(E5981=E5980:E$2)))))</f>
        <v> </v>
      </c>
      <c r="J5981" s="26" t="str">
        <f>IF(OR(E5981="",E5981="!!!",F5981="NEW"),"",COUNTBLANK(OFFSET(A$1,,,SUMPRODUCT(MAX(ROW(E$2:E5981)*(E5981=E$2:E5981)))))-COUNTBLANK(OFFSET(A$1,,,SUMPRODUCT(MAX(ROW(E$1:E5980)*(E2=E$1:E5980))))))</f>
        <v> </v>
      </c>
      <c r="K5981" s="26" t="str">
        <f>IF(OR(E5981="",E5981="!!!",F5981="NEW"),"",INDEX(J$1:J5980,SUMPRODUCT(MAX(ROW(E$1:E5980)*(E5981=E$1:E5980)))))</f>
        <v> </v>
      </c>
      <c r="L5981" s="27"/>
    </row>
    <row r="5982" spans="1:12">
      <c r="A5982" s="20" t="s">
        <v>1883</v>
      </c>
      <c r="B5982" s="21" t="s">
        <v>1199</v>
      </c>
      <c r="C5982" s="21" t="s">
        <v>1192</v>
      </c>
      <c r="E5982" s="22">
        <f>IF(D5982="?OLD","!!!","")</f>
        <v/>
      </c>
      <c r="F5982" s="23" t="str">
        <f>IF(OR(E5982="",E5982="!!!"),"",IF(NOT(ISNA(VLOOKUP(E5982,E$1:E5981,1,FALSE()))),"OLD",IF(AND(E5982&lt;&gt;"",E5982&lt;&gt;"!!!"),"NEW","")))</f>
        <v> </v>
      </c>
      <c r="G5982" s="24" t="str">
        <f>IF(OR(E5982="",E5982="!!!"),"",IF(OR(J5982=0,AND(J5982=1,K5982=1),AND(J5982=1,I5982="SBJ"),AND(J5982=1,I5982=0)),"?IN_FOCUS",IF(J5982&lt;=2,"?ACTIVATED",IF(J5982&lt;&gt;"","?FAMILIAR",IF(F5982="NEW",IF(ISNA(VLOOKUP(E5982,#REF!,1,FALSE())),"?TYPE_IDENTIFIABLE","?REFERENTIAL"),"_")))))</f>
        <v> </v>
      </c>
      <c r="H5982" s="25" t="str">
        <f>IF(J5982&lt;&gt;1,"",IF(I5982="SBJ","CB","?"))</f>
        <v> </v>
      </c>
      <c r="I5982" s="26" t="str">
        <f>IF(OR(E5982="",E5982="!!!",F5982="NEW"),"",INDEX(B5981:B$2,-1+SUMPRODUCT(MAX(ROW(E5981:E$2)*(E5982=E5981:E$2)))))</f>
        <v> </v>
      </c>
      <c r="J5982" s="26" t="str">
        <f>IF(OR(E5982="",E5982="!!!",F5982="NEW"),"",COUNTBLANK(OFFSET(A$1,,,SUMPRODUCT(MAX(ROW(E$2:E5982)*(E5982=E$2:E5982)))))-COUNTBLANK(OFFSET(A$1,,,SUMPRODUCT(MAX(ROW(E$1:E5981)*(E2=E$1:E5981))))))</f>
        <v> </v>
      </c>
      <c r="K5982" s="26" t="str">
        <f>IF(OR(E5982="",E5982="!!!",F5982="NEW"),"",INDEX(J$1:J5981,SUMPRODUCT(MAX(ROW(E$1:E5981)*(E5982=E$1:E5981)))))</f>
        <v> </v>
      </c>
      <c r="L5982" s="27"/>
    </row>
    <row r="5983" spans="1:12">
      <c r="A5983" s="20" t="s">
        <v>1979</v>
      </c>
      <c r="E5983" s="22">
        <f>IF(D5983="?OLD","!!!","")</f>
        <v/>
      </c>
      <c r="F5983" s="23" t="str">
        <f>IF(OR(E5983="",E5983="!!!"),"",IF(NOT(ISNA(VLOOKUP(E5983,E$1:E5982,1,FALSE()))),"OLD",IF(AND(E5983&lt;&gt;"",E5983&lt;&gt;"!!!"),"NEW","")))</f>
        <v> </v>
      </c>
      <c r="G5983" s="24" t="str">
        <f>IF(OR(E5983="",E5983="!!!"),"",IF(OR(J5983=0,AND(J5983=1,K5983=1),AND(J5983=1,I5983="SBJ"),AND(J5983=1,I5983=0)),"?IN_FOCUS",IF(J5983&lt;=2,"?ACTIVATED",IF(J5983&lt;&gt;"","?FAMILIAR",IF(F5983="NEW",IF(ISNA(VLOOKUP(E5983,#REF!,1,FALSE())),"?TYPE_IDENTIFIABLE","?REFERENTIAL"),"_")))))</f>
        <v> </v>
      </c>
      <c r="H5983" s="25" t="str">
        <f>IF(J5983&lt;&gt;1,"",IF(I5983="SBJ","CB","?"))</f>
        <v> </v>
      </c>
      <c r="I5983" s="26" t="str">
        <f>IF(OR(E5983="",E5983="!!!",F5983="NEW"),"",INDEX(B5982:B$2,-1+SUMPRODUCT(MAX(ROW(E5982:E$2)*(E5983=E5982:E$2)))))</f>
        <v> </v>
      </c>
      <c r="J5983" s="26" t="str">
        <f>IF(OR(E5983="",E5983="!!!",F5983="NEW"),"",COUNTBLANK(OFFSET(A$1,,,SUMPRODUCT(MAX(ROW(E$2:E5983)*(E5983=E$2:E5983)))))-COUNTBLANK(OFFSET(A$1,,,SUMPRODUCT(MAX(ROW(E$1:E5982)*(E2=E$1:E5982))))))</f>
        <v> </v>
      </c>
      <c r="K5983" s="26" t="str">
        <f>IF(OR(E5983="",E5983="!!!",F5983="NEW"),"",INDEX(J$1:J5982,SUMPRODUCT(MAX(ROW(E$1:E5982)*(E5983=E$1:E5982)))))</f>
        <v> </v>
      </c>
      <c r="L5983" s="27"/>
    </row>
    <row r="5984" spans="1:12">
      <c r="A5984" s="20" t="s">
        <v>1960</v>
      </c>
      <c r="E5984" s="22">
        <f>IF(D5984="?OLD","!!!","")</f>
        <v/>
      </c>
      <c r="F5984" s="23" t="str">
        <f>IF(OR(E5984="",E5984="!!!"),"",IF(NOT(ISNA(VLOOKUP(E5984,E$1:E5983,1,FALSE()))),"OLD",IF(AND(E5984&lt;&gt;"",E5984&lt;&gt;"!!!"),"NEW","")))</f>
        <v> </v>
      </c>
      <c r="G5984" s="24" t="str">
        <f>IF(OR(E5984="",E5984="!!!"),"",IF(OR(J5984=0,AND(J5984=1,K5984=1),AND(J5984=1,I5984="SBJ"),AND(J5984=1,I5984=0)),"?IN_FOCUS",IF(J5984&lt;=2,"?ACTIVATED",IF(J5984&lt;&gt;"","?FAMILIAR",IF(F5984="NEW",IF(ISNA(VLOOKUP(E5984,#REF!,1,FALSE())),"?TYPE_IDENTIFIABLE","?REFERENTIAL"),"_")))))</f>
        <v> </v>
      </c>
      <c r="H5984" s="25" t="str">
        <f>IF(J5984&lt;&gt;1,"",IF(I5984="SBJ","CB","?"))</f>
        <v> </v>
      </c>
      <c r="I5984" s="26" t="str">
        <f>IF(OR(E5984="",E5984="!!!",F5984="NEW"),"",INDEX(B5983:B$2,-1+SUMPRODUCT(MAX(ROW(E5983:E$2)*(E5984=E5983:E$2)))))</f>
        <v> </v>
      </c>
      <c r="J5984" s="26" t="str">
        <f>IF(OR(E5984="",E5984="!!!",F5984="NEW"),"",COUNTBLANK(OFFSET(A$1,,,SUMPRODUCT(MAX(ROW(E$2:E5984)*(E5984=E$2:E5984)))))-COUNTBLANK(OFFSET(A$1,,,SUMPRODUCT(MAX(ROW(E$1:E5983)*(E2=E$1:E5983))))))</f>
        <v> </v>
      </c>
      <c r="K5984" s="26" t="str">
        <f>IF(OR(E5984="",E5984="!!!",F5984="NEW"),"",INDEX(J$1:J5983,SUMPRODUCT(MAX(ROW(E$1:E5983)*(E5984=E$1:E5983)))))</f>
        <v> </v>
      </c>
      <c r="L5984" s="27"/>
    </row>
    <row r="5985" spans="1:12">
      <c r="A5985" s="20" t="s">
        <v>1193</v>
      </c>
      <c r="E5985" s="22">
        <f>IF(D5985="?OLD","!!!","")</f>
        <v/>
      </c>
      <c r="F5985" s="23" t="str">
        <f>IF(OR(E5985="",E5985="!!!"),"",IF(NOT(ISNA(VLOOKUP(E5985,E$1:E5984,1,FALSE()))),"OLD",IF(AND(E5985&lt;&gt;"",E5985&lt;&gt;"!!!"),"NEW","")))</f>
        <v> </v>
      </c>
      <c r="G5985" s="24" t="str">
        <f>IF(OR(E5985="",E5985="!!!"),"",IF(OR(J5985=0,AND(J5985=1,K5985=1),AND(J5985=1,I5985="SBJ"),AND(J5985=1,I5985=0)),"?IN_FOCUS",IF(J5985&lt;=2,"?ACTIVATED",IF(J5985&lt;&gt;"","?FAMILIAR",IF(F5985="NEW",IF(ISNA(VLOOKUP(E5985,#REF!,1,FALSE())),"?TYPE_IDENTIFIABLE","?REFERENTIAL"),"_")))))</f>
        <v> </v>
      </c>
      <c r="H5985" s="25" t="str">
        <f>IF(J5985&lt;&gt;1,"",IF(I5985="SBJ","CB","?"))</f>
        <v> </v>
      </c>
      <c r="I5985" s="26" t="str">
        <f>IF(OR(E5985="",E5985="!!!",F5985="NEW"),"",INDEX(B5984:B$2,-1+SUMPRODUCT(MAX(ROW(E5984:E$2)*(E5985=E5984:E$2)))))</f>
        <v> </v>
      </c>
      <c r="J5985" s="26" t="str">
        <f>IF(OR(E5985="",E5985="!!!",F5985="NEW"),"",COUNTBLANK(OFFSET(A$1,,,SUMPRODUCT(MAX(ROW(E$2:E5985)*(E5985=E$2:E5985)))))-COUNTBLANK(OFFSET(A$1,,,SUMPRODUCT(MAX(ROW(E$1:E5984)*(E2=E$1:E5984))))))</f>
        <v> </v>
      </c>
      <c r="K5985" s="26" t="str">
        <f>IF(OR(E5985="",E5985="!!!",F5985="NEW"),"",INDEX(J$1:J5984,SUMPRODUCT(MAX(ROW(E$1:E5984)*(E5985=E$1:E5984)))))</f>
        <v> </v>
      </c>
      <c r="L5985" s="27"/>
    </row>
    <row r="5986" spans="1:12">
      <c r="A5986" s="20" t="s">
        <v>1317</v>
      </c>
      <c r="E5986" s="22">
        <f>IF(D5986="?OLD","!!!","")</f>
        <v/>
      </c>
      <c r="F5986" s="23" t="str">
        <f>IF(OR(E5986="",E5986="!!!"),"",IF(NOT(ISNA(VLOOKUP(E5986,E$1:E5985,1,FALSE()))),"OLD",IF(AND(E5986&lt;&gt;"",E5986&lt;&gt;"!!!"),"NEW","")))</f>
        <v> </v>
      </c>
      <c r="G5986" s="24" t="str">
        <f>IF(OR(E5986="",E5986="!!!"),"",IF(OR(J5986=0,AND(J5986=1,K5986=1),AND(J5986=1,I5986="SBJ"),AND(J5986=1,I5986=0)),"?IN_FOCUS",IF(J5986&lt;=2,"?ACTIVATED",IF(J5986&lt;&gt;"","?FAMILIAR",IF(F5986="NEW",IF(ISNA(VLOOKUP(E5986,#REF!,1,FALSE())),"?TYPE_IDENTIFIABLE","?REFERENTIAL"),"_")))))</f>
        <v> </v>
      </c>
      <c r="H5986" s="25" t="str">
        <f>IF(J5986&lt;&gt;1,"",IF(I5986="SBJ","CB","?"))</f>
        <v> </v>
      </c>
      <c r="I5986" s="26" t="str">
        <f>IF(OR(E5986="",E5986="!!!",F5986="NEW"),"",INDEX(B5985:B$2,-1+SUMPRODUCT(MAX(ROW(E5985:E$2)*(E5986=E5985:E$2)))))</f>
        <v> </v>
      </c>
      <c r="J5986" s="26" t="str">
        <f>IF(OR(E5986="",E5986="!!!",F5986="NEW"),"",COUNTBLANK(OFFSET(A$1,,,SUMPRODUCT(MAX(ROW(E$2:E5986)*(E5986=E$2:E5986)))))-COUNTBLANK(OFFSET(A$1,,,SUMPRODUCT(MAX(ROW(E$1:E5985)*(E2=E$1:E5985))))))</f>
        <v> </v>
      </c>
      <c r="K5986" s="26" t="str">
        <f>IF(OR(E5986="",E5986="!!!",F5986="NEW"),"",INDEX(J$1:J5985,SUMPRODUCT(MAX(ROW(E$1:E5985)*(E5986=E$1:E5985)))))</f>
        <v> </v>
      </c>
      <c r="L5986" s="27"/>
    </row>
    <row r="5987" spans="1:12">
      <c r="A5987" s="20" t="s">
        <v>1194</v>
      </c>
      <c r="E5987" s="22">
        <f>IF(D5987="?OLD","!!!","")</f>
        <v/>
      </c>
      <c r="F5987" s="23" t="str">
        <f>IF(OR(E5987="",E5987="!!!"),"",IF(NOT(ISNA(VLOOKUP(E5987,E$1:E5986,1,FALSE()))),"OLD",IF(AND(E5987&lt;&gt;"",E5987&lt;&gt;"!!!"),"NEW","")))</f>
        <v> </v>
      </c>
      <c r="G5987" s="24" t="str">
        <f>IF(OR(E5987="",E5987="!!!"),"",IF(OR(J5987=0,AND(J5987=1,K5987=1),AND(J5987=1,I5987="SBJ"),AND(J5987=1,I5987=0)),"?IN_FOCUS",IF(J5987&lt;=2,"?ACTIVATED",IF(J5987&lt;&gt;"","?FAMILIAR",IF(F5987="NEW",IF(ISNA(VLOOKUP(E5987,#REF!,1,FALSE())),"?TYPE_IDENTIFIABLE","?REFERENTIAL"),"_")))))</f>
        <v> </v>
      </c>
      <c r="H5987" s="25" t="str">
        <f>IF(J5987&lt;&gt;1,"",IF(I5987="SBJ","CB","?"))</f>
        <v> </v>
      </c>
      <c r="I5987" s="26" t="str">
        <f>IF(OR(E5987="",E5987="!!!",F5987="NEW"),"",INDEX(B5986:B$2,-1+SUMPRODUCT(MAX(ROW(E5986:E$2)*(E5987=E5986:E$2)))))</f>
        <v> </v>
      </c>
      <c r="J5987" s="26" t="str">
        <f>IF(OR(E5987="",E5987="!!!",F5987="NEW"),"",COUNTBLANK(OFFSET(A$1,,,SUMPRODUCT(MAX(ROW(E$2:E5987)*(E5987=E$2:E5987)))))-COUNTBLANK(OFFSET(A$1,,,SUMPRODUCT(MAX(ROW(E$1:E5986)*(E2=E$1:E5986))))))</f>
        <v> </v>
      </c>
      <c r="K5987" s="26" t="str">
        <f>IF(OR(E5987="",E5987="!!!",F5987="NEW"),"",INDEX(J$1:J5986,SUMPRODUCT(MAX(ROW(E$1:E5986)*(E5987=E$1:E5986)))))</f>
        <v> </v>
      </c>
      <c r="L5987" s="27"/>
    </row>
    <row r="5988" spans="1:12">
      <c r="A5988" s="20" t="s">
        <v>2820</v>
      </c>
      <c r="B5988" s="21" t="s">
        <v>1311</v>
      </c>
      <c r="C5988" s="21" t="s">
        <v>1196</v>
      </c>
      <c r="D5988" s="21" t="s">
        <v>1188</v>
      </c>
      <c r="E5988" s="22">
        <f>IF(D5988="?OLD","!!!","")</f>
        <v/>
      </c>
      <c r="F5988" s="23" t="str">
        <f>IF(OR(E5988="",E5988="!!!"),"",IF(NOT(ISNA(VLOOKUP(E5988,E$1:E5987,1,FALSE()))),"OLD",IF(AND(E5988&lt;&gt;"",E5988&lt;&gt;"!!!"),"NEW","")))</f>
        <v> </v>
      </c>
      <c r="G5988" s="24" t="str">
        <f>IF(OR(E5988="",E5988="!!!"),"",IF(OR(J5988=0,AND(J5988=1,K5988=1),AND(J5988=1,I5988="SBJ"),AND(J5988=1,I5988=0)),"?IN_FOCUS",IF(J5988&lt;=2,"?ACTIVATED",IF(J5988&lt;&gt;"","?FAMILIAR",IF(F5988="NEW",IF(ISNA(VLOOKUP(E5988,#REF!,1,FALSE())),"?TYPE_IDENTIFIABLE","?REFERENTIAL"),"_")))))</f>
        <v> </v>
      </c>
      <c r="H5988" s="25" t="str">
        <f>IF(J5988&lt;&gt;1,"",IF(I5988="SBJ","CB","?"))</f>
        <v> </v>
      </c>
      <c r="I5988" s="26" t="str">
        <f>IF(OR(E5988="",E5988="!!!",F5988="NEW"),"",INDEX(B5987:B$2,-1+SUMPRODUCT(MAX(ROW(E5987:E$2)*(E5988=E5987:E$2)))))</f>
        <v> </v>
      </c>
      <c r="J5988" s="26" t="str">
        <f>IF(OR(E5988="",E5988="!!!",F5988="NEW"),"",COUNTBLANK(OFFSET(A$1,,,SUMPRODUCT(MAX(ROW(E$2:E5988)*(E5988=E$2:E5988)))))-COUNTBLANK(OFFSET(A$1,,,SUMPRODUCT(MAX(ROW(E$1:E5987)*(E2=E$1:E5987))))))</f>
        <v> </v>
      </c>
      <c r="K5988" s="26" t="str">
        <f>IF(OR(E5988="",E5988="!!!",F5988="NEW"),"",INDEX(J$1:J5987,SUMPRODUCT(MAX(ROW(E$1:E5987)*(E5988=E$1:E5987)))))</f>
        <v> </v>
      </c>
      <c r="L5988" s="27"/>
    </row>
    <row r="5989" spans="1:12">
      <c r="A5989" s="20" t="s">
        <v>2821</v>
      </c>
      <c r="E5989" s="22">
        <f>IF(D5989="?OLD","!!!","")</f>
        <v/>
      </c>
      <c r="F5989" s="23" t="str">
        <f>IF(OR(E5989="",E5989="!!!"),"",IF(NOT(ISNA(VLOOKUP(E5989,E$1:E5988,1,FALSE()))),"OLD",IF(AND(E5989&lt;&gt;"",E5989&lt;&gt;"!!!"),"NEW","")))</f>
        <v> </v>
      </c>
      <c r="G5989" s="24" t="str">
        <f>IF(OR(E5989="",E5989="!!!"),"",IF(OR(J5989=0,AND(J5989=1,K5989=1),AND(J5989=1,I5989="SBJ"),AND(J5989=1,I5989=0)),"?IN_FOCUS",IF(J5989&lt;=2,"?ACTIVATED",IF(J5989&lt;&gt;"","?FAMILIAR",IF(F5989="NEW",IF(ISNA(VLOOKUP(E5989,#REF!,1,FALSE())),"?TYPE_IDENTIFIABLE","?REFERENTIAL"),"_")))))</f>
        <v> </v>
      </c>
      <c r="H5989" s="25" t="str">
        <f>IF(J5989&lt;&gt;1,"",IF(I5989="SBJ","CB","?"))</f>
        <v> </v>
      </c>
      <c r="I5989" s="26" t="str">
        <f>IF(OR(E5989="",E5989="!!!",F5989="NEW"),"",INDEX(B5988:B$2,-1+SUMPRODUCT(MAX(ROW(E5988:E$2)*(E5989=E5988:E$2)))))</f>
        <v> </v>
      </c>
      <c r="J5989" s="26" t="str">
        <f>IF(OR(E5989="",E5989="!!!",F5989="NEW"),"",COUNTBLANK(OFFSET(A$1,,,SUMPRODUCT(MAX(ROW(E$2:E5989)*(E5989=E$2:E5989)))))-COUNTBLANK(OFFSET(A$1,,,SUMPRODUCT(MAX(ROW(E$1:E5988)*(E2=E$1:E5988))))))</f>
        <v> </v>
      </c>
      <c r="K5989" s="26" t="str">
        <f>IF(OR(E5989="",E5989="!!!",F5989="NEW"),"",INDEX(J$1:J5988,SUMPRODUCT(MAX(ROW(E$1:E5988)*(E5989=E$1:E5988)))))</f>
        <v> </v>
      </c>
      <c r="L5989" s="27"/>
    </row>
    <row r="5990" spans="1:12">
      <c r="A5990" s="20" t="s">
        <v>2059</v>
      </c>
      <c r="B5990" s="21" t="s">
        <v>1285</v>
      </c>
      <c r="C5990" s="21" t="s">
        <v>1192</v>
      </c>
      <c r="E5990" s="22">
        <f>IF(D5990="?OLD","!!!","")</f>
        <v/>
      </c>
      <c r="F5990" s="23" t="str">
        <f>IF(OR(E5990="",E5990="!!!"),"",IF(NOT(ISNA(VLOOKUP(E5990,E$1:E5989,1,FALSE()))),"OLD",IF(AND(E5990&lt;&gt;"",E5990&lt;&gt;"!!!"),"NEW","")))</f>
        <v> </v>
      </c>
      <c r="G5990" s="24" t="str">
        <f>IF(OR(E5990="",E5990="!!!"),"",IF(OR(J5990=0,AND(J5990=1,K5990=1),AND(J5990=1,I5990="SBJ"),AND(J5990=1,I5990=0)),"?IN_FOCUS",IF(J5990&lt;=2,"?ACTIVATED",IF(J5990&lt;&gt;"","?FAMILIAR",IF(F5990="NEW",IF(ISNA(VLOOKUP(E5990,#REF!,1,FALSE())),"?TYPE_IDENTIFIABLE","?REFERENTIAL"),"_")))))</f>
        <v> </v>
      </c>
      <c r="H5990" s="25" t="str">
        <f>IF(J5990&lt;&gt;1,"",IF(I5990="SBJ","CB","?"))</f>
        <v> </v>
      </c>
      <c r="I5990" s="26" t="str">
        <f>IF(OR(E5990="",E5990="!!!",F5990="NEW"),"",INDEX(B5989:B$2,-1+SUMPRODUCT(MAX(ROW(E5989:E$2)*(E5990=E5989:E$2)))))</f>
        <v> </v>
      </c>
      <c r="J5990" s="26" t="str">
        <f>IF(OR(E5990="",E5990="!!!",F5990="NEW"),"",COUNTBLANK(OFFSET(A$1,,,SUMPRODUCT(MAX(ROW(E$2:E5990)*(E5990=E$2:E5990)))))-COUNTBLANK(OFFSET(A$1,,,SUMPRODUCT(MAX(ROW(E$1:E5989)*(E2=E$1:E5989))))))</f>
        <v> </v>
      </c>
      <c r="K5990" s="26" t="str">
        <f>IF(OR(E5990="",E5990="!!!",F5990="NEW"),"",INDEX(J$1:J5989,SUMPRODUCT(MAX(ROW(E$1:E5989)*(E5990=E$1:E5989)))))</f>
        <v> </v>
      </c>
      <c r="L5990" s="27"/>
    </row>
    <row r="5991" spans="1:12">
      <c r="A5991" s="20" t="s">
        <v>1520</v>
      </c>
      <c r="E5991" s="22">
        <f>IF(D5991="?OLD","!!!","")</f>
        <v/>
      </c>
      <c r="F5991" s="23" t="str">
        <f>IF(OR(E5991="",E5991="!!!"),"",IF(NOT(ISNA(VLOOKUP(E5991,E$1:E5990,1,FALSE()))),"OLD",IF(AND(E5991&lt;&gt;"",E5991&lt;&gt;"!!!"),"NEW","")))</f>
        <v> </v>
      </c>
      <c r="G5991" s="24" t="str">
        <f>IF(OR(E5991="",E5991="!!!"),"",IF(OR(J5991=0,AND(J5991=1,K5991=1),AND(J5991=1,I5991="SBJ"),AND(J5991=1,I5991=0)),"?IN_FOCUS",IF(J5991&lt;=2,"?ACTIVATED",IF(J5991&lt;&gt;"","?FAMILIAR",IF(F5991="NEW",IF(ISNA(VLOOKUP(E5991,#REF!,1,FALSE())),"?TYPE_IDENTIFIABLE","?REFERENTIAL"),"_")))))</f>
        <v> </v>
      </c>
      <c r="H5991" s="25" t="str">
        <f>IF(J5991&lt;&gt;1,"",IF(I5991="SBJ","CB","?"))</f>
        <v> </v>
      </c>
      <c r="I5991" s="26" t="str">
        <f>IF(OR(E5991="",E5991="!!!",F5991="NEW"),"",INDEX(B5990:B$2,-1+SUMPRODUCT(MAX(ROW(E5990:E$2)*(E5991=E5990:E$2)))))</f>
        <v> </v>
      </c>
      <c r="J5991" s="26" t="str">
        <f>IF(OR(E5991="",E5991="!!!",F5991="NEW"),"",COUNTBLANK(OFFSET(A$1,,,SUMPRODUCT(MAX(ROW(E$2:E5991)*(E5991=E$2:E5991)))))-COUNTBLANK(OFFSET(A$1,,,SUMPRODUCT(MAX(ROW(E$1:E5990)*(E2=E$1:E5990))))))</f>
        <v> </v>
      </c>
      <c r="K5991" s="26" t="str">
        <f>IF(OR(E5991="",E5991="!!!",F5991="NEW"),"",INDEX(J$1:J5990,SUMPRODUCT(MAX(ROW(E$1:E5990)*(E5991=E$1:E5990)))))</f>
        <v> </v>
      </c>
      <c r="L5991" s="27"/>
    </row>
    <row r="5992" spans="1:12">
      <c r="A5992" s="20" t="s">
        <v>1283</v>
      </c>
      <c r="E5992" s="22">
        <f>IF(D5992="?OLD","!!!","")</f>
        <v/>
      </c>
      <c r="F5992" s="23" t="str">
        <f>IF(OR(E5992="",E5992="!!!"),"",IF(NOT(ISNA(VLOOKUP(E5992,E$1:E5991,1,FALSE()))),"OLD",IF(AND(E5992&lt;&gt;"",E5992&lt;&gt;"!!!"),"NEW","")))</f>
        <v> </v>
      </c>
      <c r="G5992" s="24" t="str">
        <f>IF(OR(E5992="",E5992="!!!"),"",IF(OR(J5992=0,AND(J5992=1,K5992=1),AND(J5992=1,I5992="SBJ"),AND(J5992=1,I5992=0)),"?IN_FOCUS",IF(J5992&lt;=2,"?ACTIVATED",IF(J5992&lt;&gt;"","?FAMILIAR",IF(F5992="NEW",IF(ISNA(VLOOKUP(E5992,#REF!,1,FALSE())),"?TYPE_IDENTIFIABLE","?REFERENTIAL"),"_")))))</f>
        <v> </v>
      </c>
      <c r="H5992" s="25" t="str">
        <f>IF(J5992&lt;&gt;1,"",IF(I5992="SBJ","CB","?"))</f>
        <v> </v>
      </c>
      <c r="I5992" s="26" t="str">
        <f>IF(OR(E5992="",E5992="!!!",F5992="NEW"),"",INDEX(B5991:B$2,-1+SUMPRODUCT(MAX(ROW(E5991:E$2)*(E5992=E5991:E$2)))))</f>
        <v> </v>
      </c>
      <c r="J5992" s="26" t="str">
        <f>IF(OR(E5992="",E5992="!!!",F5992="NEW"),"",COUNTBLANK(OFFSET(A$1,,,SUMPRODUCT(MAX(ROW(E$2:E5992)*(E5992=E$2:E5992)))))-COUNTBLANK(OFFSET(A$1,,,SUMPRODUCT(MAX(ROW(E$1:E5991)*(E2=E$1:E5991))))))</f>
        <v> </v>
      </c>
      <c r="K5992" s="26" t="str">
        <f>IF(OR(E5992="",E5992="!!!",F5992="NEW"),"",INDEX(J$1:J5991,SUMPRODUCT(MAX(ROW(E$1:E5991)*(E5992=E$1:E5991)))))</f>
        <v> </v>
      </c>
      <c r="L5992" s="27"/>
    </row>
    <row r="5993" spans="1:12">
      <c r="A5993" s="20" t="s">
        <v>2822</v>
      </c>
      <c r="B5993" s="21" t="s">
        <v>1215</v>
      </c>
      <c r="C5993" s="21" t="s">
        <v>1231</v>
      </c>
      <c r="E5993" s="22">
        <f>IF(D5993="?OLD","!!!","")</f>
        <v/>
      </c>
      <c r="F5993" s="23" t="str">
        <f>IF(OR(E5993="",E5993="!!!"),"",IF(NOT(ISNA(VLOOKUP(E5993,E$1:E5992,1,FALSE()))),"OLD",IF(AND(E5993&lt;&gt;"",E5993&lt;&gt;"!!!"),"NEW","")))</f>
        <v> </v>
      </c>
      <c r="G5993" s="24" t="str">
        <f>IF(OR(E5993="",E5993="!!!"),"",IF(OR(J5993=0,AND(J5993=1,K5993=1),AND(J5993=1,I5993="SBJ"),AND(J5993=1,I5993=0)),"?IN_FOCUS",IF(J5993&lt;=2,"?ACTIVATED",IF(J5993&lt;&gt;"","?FAMILIAR",IF(F5993="NEW",IF(ISNA(VLOOKUP(E5993,#REF!,1,FALSE())),"?TYPE_IDENTIFIABLE","?REFERENTIAL"),"_")))))</f>
        <v> </v>
      </c>
      <c r="H5993" s="25" t="str">
        <f>IF(J5993&lt;&gt;1,"",IF(I5993="SBJ","CB","?"))</f>
        <v> </v>
      </c>
      <c r="I5993" s="26" t="str">
        <f>IF(OR(E5993="",E5993="!!!",F5993="NEW"),"",INDEX(B5992:B$2,-1+SUMPRODUCT(MAX(ROW(E5992:E$2)*(E5993=E5992:E$2)))))</f>
        <v> </v>
      </c>
      <c r="J5993" s="26" t="str">
        <f>IF(OR(E5993="",E5993="!!!",F5993="NEW"),"",COUNTBLANK(OFFSET(A$1,,,SUMPRODUCT(MAX(ROW(E$2:E5993)*(E5993=E$2:E5993)))))-COUNTBLANK(OFFSET(A$1,,,SUMPRODUCT(MAX(ROW(E$1:E5992)*(E2=E$1:E5992))))))</f>
        <v> </v>
      </c>
      <c r="K5993" s="26" t="str">
        <f>IF(OR(E5993="",E5993="!!!",F5993="NEW"),"",INDEX(J$1:J5992,SUMPRODUCT(MAX(ROW(E$1:E5992)*(E5993=E$1:E5992)))))</f>
        <v> </v>
      </c>
      <c r="L5993" s="27"/>
    </row>
    <row r="5994" spans="1:12">
      <c r="A5994" s="20" t="s">
        <v>2823</v>
      </c>
      <c r="B5994" s="21" t="s">
        <v>1311</v>
      </c>
      <c r="E5994" s="22">
        <f>IF(D5994="?OLD","!!!","")</f>
        <v/>
      </c>
      <c r="F5994" s="23" t="str">
        <f>IF(OR(E5994="",E5994="!!!"),"",IF(NOT(ISNA(VLOOKUP(E5994,E$1:E5993,1,FALSE()))),"OLD",IF(AND(E5994&lt;&gt;"",E5994&lt;&gt;"!!!"),"NEW","")))</f>
        <v> </v>
      </c>
      <c r="G5994" s="24" t="str">
        <f>IF(OR(E5994="",E5994="!!!"),"",IF(OR(J5994=0,AND(J5994=1,K5994=1),AND(J5994=1,I5994="SBJ"),AND(J5994=1,I5994=0)),"?IN_FOCUS",IF(J5994&lt;=2,"?ACTIVATED",IF(J5994&lt;&gt;"","?FAMILIAR",IF(F5994="NEW",IF(ISNA(VLOOKUP(E5994,#REF!,1,FALSE())),"?TYPE_IDENTIFIABLE","?REFERENTIAL"),"_")))))</f>
        <v> </v>
      </c>
      <c r="H5994" s="25" t="str">
        <f>IF(J5994&lt;&gt;1,"",IF(I5994="SBJ","CB","?"))</f>
        <v> </v>
      </c>
      <c r="I5994" s="26" t="str">
        <f>IF(OR(E5994="",E5994="!!!",F5994="NEW"),"",INDEX(B5993:B$2,-1+SUMPRODUCT(MAX(ROW(E5993:E$2)*(E5994=E5993:E$2)))))</f>
        <v> </v>
      </c>
      <c r="J5994" s="26" t="str">
        <f>IF(OR(E5994="",E5994="!!!",F5994="NEW"),"",COUNTBLANK(OFFSET(A$1,,,SUMPRODUCT(MAX(ROW(E$2:E5994)*(E5994=E$2:E5994)))))-COUNTBLANK(OFFSET(A$1,,,SUMPRODUCT(MAX(ROW(E$1:E5993)*(E2=E$1:E5993))))))</f>
        <v> </v>
      </c>
      <c r="K5994" s="26" t="str">
        <f>IF(OR(E5994="",E5994="!!!",F5994="NEW"),"",INDEX(J$1:J5993,SUMPRODUCT(MAX(ROW(E$1:E5993)*(E5994=E$1:E5993)))))</f>
        <v> </v>
      </c>
      <c r="L5994" s="27"/>
    </row>
    <row r="5995" spans="1:12">
      <c r="A5995" s="20" t="s">
        <v>2824</v>
      </c>
      <c r="E5995" s="22">
        <f>IF(D5995="?OLD","!!!","")</f>
        <v/>
      </c>
      <c r="F5995" s="23" t="str">
        <f>IF(OR(E5995="",E5995="!!!"),"",IF(NOT(ISNA(VLOOKUP(E5995,E$1:E5994,1,FALSE()))),"OLD",IF(AND(E5995&lt;&gt;"",E5995&lt;&gt;"!!!"),"NEW","")))</f>
        <v> </v>
      </c>
      <c r="G5995" s="24" t="str">
        <f>IF(OR(E5995="",E5995="!!!"),"",IF(OR(J5995=0,AND(J5995=1,K5995=1),AND(J5995=1,I5995="SBJ"),AND(J5995=1,I5995=0)),"?IN_FOCUS",IF(J5995&lt;=2,"?ACTIVATED",IF(J5995&lt;&gt;"","?FAMILIAR",IF(F5995="NEW",IF(ISNA(VLOOKUP(E5995,#REF!,1,FALSE())),"?TYPE_IDENTIFIABLE","?REFERENTIAL"),"_")))))</f>
        <v> </v>
      </c>
      <c r="H5995" s="25" t="str">
        <f>IF(J5995&lt;&gt;1,"",IF(I5995="SBJ","CB","?"))</f>
        <v> </v>
      </c>
      <c r="I5995" s="26" t="str">
        <f>IF(OR(E5995="",E5995="!!!",F5995="NEW"),"",INDEX(B5994:B$2,-1+SUMPRODUCT(MAX(ROW(E5994:E$2)*(E5995=E5994:E$2)))))</f>
        <v> </v>
      </c>
      <c r="J5995" s="26" t="str">
        <f>IF(OR(E5995="",E5995="!!!",F5995="NEW"),"",COUNTBLANK(OFFSET(A$1,,,SUMPRODUCT(MAX(ROW(E$2:E5995)*(E5995=E$2:E5995)))))-COUNTBLANK(OFFSET(A$1,,,SUMPRODUCT(MAX(ROW(E$1:E5994)*(E2=E$1:E5994))))))</f>
        <v> </v>
      </c>
      <c r="K5995" s="26" t="str">
        <f>IF(OR(E5995="",E5995="!!!",F5995="NEW"),"",INDEX(J$1:J5994,SUMPRODUCT(MAX(ROW(E$1:E5994)*(E5995=E$1:E5994)))))</f>
        <v> </v>
      </c>
      <c r="L5995" s="27"/>
    </row>
    <row r="5996" spans="1:12">
      <c r="A5996" s="20" t="s">
        <v>2825</v>
      </c>
      <c r="E5996" s="22">
        <f>IF(D5996="?OLD","!!!","")</f>
        <v/>
      </c>
      <c r="F5996" s="23" t="str">
        <f>IF(OR(E5996="",E5996="!!!"),"",IF(NOT(ISNA(VLOOKUP(E5996,E$1:E5995,1,FALSE()))),"OLD",IF(AND(E5996&lt;&gt;"",E5996&lt;&gt;"!!!"),"NEW","")))</f>
        <v> </v>
      </c>
      <c r="G5996" s="24" t="str">
        <f>IF(OR(E5996="",E5996="!!!"),"",IF(OR(J5996=0,AND(J5996=1,K5996=1),AND(J5996=1,I5996="SBJ"),AND(J5996=1,I5996=0)),"?IN_FOCUS",IF(J5996&lt;=2,"?ACTIVATED",IF(J5996&lt;&gt;"","?FAMILIAR",IF(F5996="NEW",IF(ISNA(VLOOKUP(E5996,#REF!,1,FALSE())),"?TYPE_IDENTIFIABLE","?REFERENTIAL"),"_")))))</f>
        <v> </v>
      </c>
      <c r="H5996" s="25" t="str">
        <f>IF(J5996&lt;&gt;1,"",IF(I5996="SBJ","CB","?"))</f>
        <v> </v>
      </c>
      <c r="I5996" s="26" t="str">
        <f>IF(OR(E5996="",E5996="!!!",F5996="NEW"),"",INDEX(B5995:B$2,-1+SUMPRODUCT(MAX(ROW(E5995:E$2)*(E5996=E5995:E$2)))))</f>
        <v> </v>
      </c>
      <c r="J5996" s="26" t="str">
        <f>IF(OR(E5996="",E5996="!!!",F5996="NEW"),"",COUNTBLANK(OFFSET(A$1,,,SUMPRODUCT(MAX(ROW(E$2:E5996)*(E5996=E$2:E5996)))))-COUNTBLANK(OFFSET(A$1,,,SUMPRODUCT(MAX(ROW(E$1:E5995)*(E2=E$1:E5995))))))</f>
        <v> </v>
      </c>
      <c r="K5996" s="26" t="str">
        <f>IF(OR(E5996="",E5996="!!!",F5996="NEW"),"",INDEX(J$1:J5995,SUMPRODUCT(MAX(ROW(E$1:E5995)*(E5996=E$1:E5995)))))</f>
        <v> </v>
      </c>
      <c r="L5996" s="27"/>
    </row>
    <row r="5997" spans="1:12">
      <c r="A5997" s="20" t="s">
        <v>1341</v>
      </c>
      <c r="E5997" s="22">
        <f>IF(D5997="?OLD","!!!","")</f>
        <v/>
      </c>
      <c r="F5997" s="23" t="str">
        <f>IF(OR(E5997="",E5997="!!!"),"",IF(NOT(ISNA(VLOOKUP(E5997,E$1:E5996,1,FALSE()))),"OLD",IF(AND(E5997&lt;&gt;"",E5997&lt;&gt;"!!!"),"NEW","")))</f>
        <v> </v>
      </c>
      <c r="G5997" s="24" t="str">
        <f>IF(OR(E5997="",E5997="!!!"),"",IF(OR(J5997=0,AND(J5997=1,K5997=1),AND(J5997=1,I5997="SBJ"),AND(J5997=1,I5997=0)),"?IN_FOCUS",IF(J5997&lt;=2,"?ACTIVATED",IF(J5997&lt;&gt;"","?FAMILIAR",IF(F5997="NEW",IF(ISNA(VLOOKUP(E5997,#REF!,1,FALSE())),"?TYPE_IDENTIFIABLE","?REFERENTIAL"),"_")))))</f>
        <v> </v>
      </c>
      <c r="H5997" s="25" t="str">
        <f>IF(J5997&lt;&gt;1,"",IF(I5997="SBJ","CB","?"))</f>
        <v> </v>
      </c>
      <c r="I5997" s="26" t="str">
        <f>IF(OR(E5997="",E5997="!!!",F5997="NEW"),"",INDEX(B5996:B$2,-1+SUMPRODUCT(MAX(ROW(E5996:E$2)*(E5997=E5996:E$2)))))</f>
        <v> </v>
      </c>
      <c r="J5997" s="26" t="str">
        <f>IF(OR(E5997="",E5997="!!!",F5997="NEW"),"",COUNTBLANK(OFFSET(A$1,,,SUMPRODUCT(MAX(ROW(E$2:E5997)*(E5997=E$2:E5997)))))-COUNTBLANK(OFFSET(A$1,,,SUMPRODUCT(MAX(ROW(E$1:E5996)*(E2=E$1:E5996))))))</f>
        <v> </v>
      </c>
      <c r="K5997" s="26" t="str">
        <f>IF(OR(E5997="",E5997="!!!",F5997="NEW"),"",INDEX(J$1:J5996,SUMPRODUCT(MAX(ROW(E$1:E5996)*(E5997=E$1:E5996)))))</f>
        <v> </v>
      </c>
      <c r="L5997" s="27"/>
    </row>
    <row r="5998" spans="1:12">
      <c r="A5998" s="20" t="s">
        <v>826</v>
      </c>
      <c r="E5998" s="22">
        <f>IF(D5998="?OLD","!!!","")</f>
        <v/>
      </c>
      <c r="F5998" s="23" t="str">
        <f>IF(OR(E5998="",E5998="!!!"),"",IF(NOT(ISNA(VLOOKUP(E5998,E$1:E5997,1,FALSE()))),"OLD",IF(AND(E5998&lt;&gt;"",E5998&lt;&gt;"!!!"),"NEW","")))</f>
        <v> </v>
      </c>
      <c r="G5998" s="24" t="str">
        <f>IF(OR(E5998="",E5998="!!!"),"",IF(OR(J5998=0,AND(J5998=1,K5998=1),AND(J5998=1,I5998="SBJ"),AND(J5998=1,I5998=0)),"?IN_FOCUS",IF(J5998&lt;=2,"?ACTIVATED",IF(J5998&lt;&gt;"","?FAMILIAR",IF(F5998="NEW",IF(ISNA(VLOOKUP(E5998,#REF!,1,FALSE())),"?TYPE_IDENTIFIABLE","?REFERENTIAL"),"_")))))</f>
        <v> </v>
      </c>
      <c r="H5998" s="25" t="str">
        <f>IF(J5998&lt;&gt;1,"",IF(I5998="SBJ","CB","?"))</f>
        <v> </v>
      </c>
      <c r="I5998" s="26" t="str">
        <f>IF(OR(E5998="",E5998="!!!",F5998="NEW"),"",INDEX(B5997:B$2,-1+SUMPRODUCT(MAX(ROW(E5997:E$2)*(E5998=E5997:E$2)))))</f>
        <v> </v>
      </c>
      <c r="J5998" s="26" t="str">
        <f>IF(OR(E5998="",E5998="!!!",F5998="NEW"),"",COUNTBLANK(OFFSET(A$1,,,SUMPRODUCT(MAX(ROW(E$2:E5998)*(E5998=E$2:E5998)))))-COUNTBLANK(OFFSET(A$1,,,SUMPRODUCT(MAX(ROW(E$1:E5997)*(E2=E$1:E5997))))))</f>
        <v> </v>
      </c>
      <c r="K5998" s="26" t="str">
        <f>IF(OR(E5998="",E5998="!!!",F5998="NEW"),"",INDEX(J$1:J5997,SUMPRODUCT(MAX(ROW(E$1:E5997)*(E5998=E$1:E5997)))))</f>
        <v> </v>
      </c>
      <c r="L5998" s="27"/>
    </row>
    <row r="5999" spans="1:12">
      <c r="A5999" s="20"/>
    </row>
    <row r="6000" spans="1:12">
      <c r="A6000" s="20" t="s">
        <v>2826</v>
      </c>
    </row>
    <row r="6001" spans="1:12">
      <c r="A6001" s="20" t="s">
        <v>1759</v>
      </c>
      <c r="B6001" s="21" t="s">
        <v>1199</v>
      </c>
      <c r="C6001" s="21" t="s">
        <v>1262</v>
      </c>
      <c r="E6001" s="22">
        <f>IF(D6001="?OLD","!!!","")</f>
        <v/>
      </c>
      <c r="F6001" s="23" t="str">
        <f>IF(OR(E6001="",E6001="!!!"),"",IF(NOT(ISNA(VLOOKUP(E6001,E$1:E6000,1,FALSE()))),"OLD",IF(AND(E6001&lt;&gt;"",E6001&lt;&gt;"!!!"),"NEW","")))</f>
        <v> </v>
      </c>
      <c r="G6001" s="24" t="str">
        <f>IF(OR(E6001="",E6001="!!!"),"",IF(OR(J6001=0,AND(J6001=1,K6001=1),AND(J6001=1,I6001="SBJ"),AND(J6001=1,I6001=0)),"?IN_FOCUS",IF(J6001&lt;=2,"?ACTIVATED",IF(J6001&lt;&gt;"","?FAMILIAR",IF(F6001="NEW",IF(ISNA(VLOOKUP(E6001,#REF!,1,FALSE())),"?TYPE_IDENTIFIABLE","?REFERENTIAL"),"_")))))</f>
        <v> </v>
      </c>
      <c r="H6001" s="25" t="str">
        <f>IF(J6001&lt;&gt;1,"",IF(I6001="SBJ","CB","?"))</f>
        <v> </v>
      </c>
      <c r="I6001" s="26" t="str">
        <f>IF(OR(E6001="",E6001="!!!",F6001="NEW"),"",INDEX(B6000:B$2,-1+SUMPRODUCT(MAX(ROW(E6000:E$2)*(E6001=E6000:E$2)))))</f>
        <v> </v>
      </c>
      <c r="J6001" s="26" t="str">
        <f>IF(OR(E6001="",E6001="!!!",F6001="NEW"),"",COUNTBLANK(OFFSET(A$1,,,SUMPRODUCT(MAX(ROW(E$2:E6001)*(E6001=E$2:E6001)))))-COUNTBLANK(OFFSET(A$1,,,SUMPRODUCT(MAX(ROW(E$1:E6000)*(E2=E$1:E6000))))))</f>
        <v> </v>
      </c>
      <c r="K6001" s="26" t="str">
        <f>IF(OR(E6001="",E6001="!!!",F6001="NEW"),"",INDEX(J$1:J6000,SUMPRODUCT(MAX(ROW(E$1:E6000)*(E6001=E$1:E6000)))))</f>
        <v> </v>
      </c>
      <c r="L6001" s="27"/>
    </row>
    <row r="6002" spans="1:12">
      <c r="A6002" s="20" t="s">
        <v>2827</v>
      </c>
      <c r="B6002" s="21" t="s">
        <v>1186</v>
      </c>
      <c r="C6002" s="21" t="s">
        <v>1192</v>
      </c>
      <c r="E6002" s="22">
        <f>IF(D6002="?OLD","!!!","")</f>
        <v/>
      </c>
      <c r="F6002" s="23" t="str">
        <f>IF(OR(E6002="",E6002="!!!"),"",IF(NOT(ISNA(VLOOKUP(E6002,E$1:E6001,1,FALSE()))),"OLD",IF(AND(E6002&lt;&gt;"",E6002&lt;&gt;"!!!"),"NEW","")))</f>
        <v> </v>
      </c>
      <c r="G6002" s="24" t="str">
        <f>IF(OR(E6002="",E6002="!!!"),"",IF(OR(J6002=0,AND(J6002=1,K6002=1),AND(J6002=1,I6002="SBJ"),AND(J6002=1,I6002=0)),"?IN_FOCUS",IF(J6002&lt;=2,"?ACTIVATED",IF(J6002&lt;&gt;"","?FAMILIAR",IF(F6002="NEW",IF(ISNA(VLOOKUP(E6002,#REF!,1,FALSE())),"?TYPE_IDENTIFIABLE","?REFERENTIAL"),"_")))))</f>
        <v> </v>
      </c>
      <c r="H6002" s="25" t="str">
        <f>IF(J6002&lt;&gt;1,"",IF(I6002="SBJ","CB","?"))</f>
        <v> </v>
      </c>
      <c r="I6002" s="26" t="str">
        <f>IF(OR(E6002="",E6002="!!!",F6002="NEW"),"",INDEX(B6001:B$2,-1+SUMPRODUCT(MAX(ROW(E6001:E$2)*(E6002=E6001:E$2)))))</f>
        <v> </v>
      </c>
      <c r="J6002" s="26" t="str">
        <f>IF(OR(E6002="",E6002="!!!",F6002="NEW"),"",COUNTBLANK(OFFSET(A$1,,,SUMPRODUCT(MAX(ROW(E$2:E6002)*(E6002=E$2:E6002)))))-COUNTBLANK(OFFSET(A$1,,,SUMPRODUCT(MAX(ROW(E$1:E6001)*(E2=E$1:E6001))))))</f>
        <v> </v>
      </c>
      <c r="K6002" s="26" t="str">
        <f>IF(OR(E6002="",E6002="!!!",F6002="NEW"),"",INDEX(J$1:J6001,SUMPRODUCT(MAX(ROW(E$1:E6001)*(E6002=E$1:E6001)))))</f>
        <v> </v>
      </c>
      <c r="L6002" s="27"/>
    </row>
    <row r="6003" spans="1:12">
      <c r="A6003" s="20" t="s">
        <v>1193</v>
      </c>
      <c r="E6003" s="22">
        <f>IF(D6003="?OLD","!!!","")</f>
        <v/>
      </c>
      <c r="F6003" s="23" t="str">
        <f>IF(OR(E6003="",E6003="!!!"),"",IF(NOT(ISNA(VLOOKUP(E6003,E$1:E6002,1,FALSE()))),"OLD",IF(AND(E6003&lt;&gt;"",E6003&lt;&gt;"!!!"),"NEW","")))</f>
        <v> </v>
      </c>
      <c r="G6003" s="24" t="str">
        <f>IF(OR(E6003="",E6003="!!!"),"",IF(OR(J6003=0,AND(J6003=1,K6003=1),AND(J6003=1,I6003="SBJ"),AND(J6003=1,I6003=0)),"?IN_FOCUS",IF(J6003&lt;=2,"?ACTIVATED",IF(J6003&lt;&gt;"","?FAMILIAR",IF(F6003="NEW",IF(ISNA(VLOOKUP(E6003,#REF!,1,FALSE())),"?TYPE_IDENTIFIABLE","?REFERENTIAL"),"_")))))</f>
        <v> </v>
      </c>
      <c r="H6003" s="25" t="str">
        <f>IF(J6003&lt;&gt;1,"",IF(I6003="SBJ","CB","?"))</f>
        <v> </v>
      </c>
      <c r="I6003" s="26" t="str">
        <f>IF(OR(E6003="",E6003="!!!",F6003="NEW"),"",INDEX(B6002:B$2,-1+SUMPRODUCT(MAX(ROW(E6002:E$2)*(E6003=E6002:E$2)))))</f>
        <v> </v>
      </c>
      <c r="J6003" s="26" t="str">
        <f>IF(OR(E6003="",E6003="!!!",F6003="NEW"),"",COUNTBLANK(OFFSET(A$1,,,SUMPRODUCT(MAX(ROW(E$2:E6003)*(E6003=E$2:E6003)))))-COUNTBLANK(OFFSET(A$1,,,SUMPRODUCT(MAX(ROW(E$1:E6002)*(E2=E$1:E6002))))))</f>
        <v> </v>
      </c>
      <c r="K6003" s="26" t="str">
        <f>IF(OR(E6003="",E6003="!!!",F6003="NEW"),"",INDEX(J$1:J6002,SUMPRODUCT(MAX(ROW(E$1:E6002)*(E6003=E$1:E6002)))))</f>
        <v> </v>
      </c>
      <c r="L6003" s="27"/>
    </row>
    <row r="6004" spans="1:12">
      <c r="A6004" s="20" t="s">
        <v>1317</v>
      </c>
      <c r="E6004" s="22">
        <f>IF(D6004="?OLD","!!!","")</f>
        <v/>
      </c>
      <c r="F6004" s="23" t="str">
        <f>IF(OR(E6004="",E6004="!!!"),"",IF(NOT(ISNA(VLOOKUP(E6004,E$1:E6003,1,FALSE()))),"OLD",IF(AND(E6004&lt;&gt;"",E6004&lt;&gt;"!!!"),"NEW","")))</f>
        <v> </v>
      </c>
      <c r="G6004" s="24" t="str">
        <f>IF(OR(E6004="",E6004="!!!"),"",IF(OR(J6004=0,AND(J6004=1,K6004=1),AND(J6004=1,I6004="SBJ"),AND(J6004=1,I6004=0)),"?IN_FOCUS",IF(J6004&lt;=2,"?ACTIVATED",IF(J6004&lt;&gt;"","?FAMILIAR",IF(F6004="NEW",IF(ISNA(VLOOKUP(E6004,#REF!,1,FALSE())),"?TYPE_IDENTIFIABLE","?REFERENTIAL"),"_")))))</f>
        <v> </v>
      </c>
      <c r="H6004" s="25" t="str">
        <f>IF(J6004&lt;&gt;1,"",IF(I6004="SBJ","CB","?"))</f>
        <v> </v>
      </c>
      <c r="I6004" s="26" t="str">
        <f>IF(OR(E6004="",E6004="!!!",F6004="NEW"),"",INDEX(B6003:B$2,-1+SUMPRODUCT(MAX(ROW(E6003:E$2)*(E6004=E6003:E$2)))))</f>
        <v> </v>
      </c>
      <c r="J6004" s="26" t="str">
        <f>IF(OR(E6004="",E6004="!!!",F6004="NEW"),"",COUNTBLANK(OFFSET(A$1,,,SUMPRODUCT(MAX(ROW(E$2:E6004)*(E6004=E$2:E6004)))))-COUNTBLANK(OFFSET(A$1,,,SUMPRODUCT(MAX(ROW(E$1:E6003)*(E2=E$1:E6003))))))</f>
        <v> </v>
      </c>
      <c r="K6004" s="26" t="str">
        <f>IF(OR(E6004="",E6004="!!!",F6004="NEW"),"",INDEX(J$1:J6003,SUMPRODUCT(MAX(ROW(E$1:E6003)*(E6004=E$1:E6003)))))</f>
        <v> </v>
      </c>
      <c r="L6004" s="27"/>
    </row>
    <row r="6005" spans="1:12">
      <c r="A6005" s="20" t="s">
        <v>1502</v>
      </c>
      <c r="B6005" s="21" t="s">
        <v>1248</v>
      </c>
      <c r="C6005" s="21" t="s">
        <v>1216</v>
      </c>
      <c r="D6005" s="21" t="s">
        <v>1188</v>
      </c>
      <c r="E6005" s="22">
        <f>IF(D6005="?OLD","!!!","")</f>
        <v/>
      </c>
      <c r="F6005" s="23" t="str">
        <f>IF(OR(E6005="",E6005="!!!"),"",IF(NOT(ISNA(VLOOKUP(E6005,E$1:E6004,1,FALSE()))),"OLD",IF(AND(E6005&lt;&gt;"",E6005&lt;&gt;"!!!"),"NEW","")))</f>
        <v> </v>
      </c>
      <c r="G6005" s="24" t="str">
        <f>IF(OR(E6005="",E6005="!!!"),"",IF(OR(J6005=0,AND(J6005=1,K6005=1),AND(J6005=1,I6005="SBJ"),AND(J6005=1,I6005=0)),"?IN_FOCUS",IF(J6005&lt;=2,"?ACTIVATED",IF(J6005&lt;&gt;"","?FAMILIAR",IF(F6005="NEW",IF(ISNA(VLOOKUP(E6005,#REF!,1,FALSE())),"?TYPE_IDENTIFIABLE","?REFERENTIAL"),"_")))))</f>
        <v> </v>
      </c>
      <c r="H6005" s="25" t="str">
        <f>IF(J6005&lt;&gt;1,"",IF(I6005="SBJ","CB","?"))</f>
        <v> </v>
      </c>
      <c r="I6005" s="26" t="str">
        <f>IF(OR(E6005="",E6005="!!!",F6005="NEW"),"",INDEX(B6004:B$2,-1+SUMPRODUCT(MAX(ROW(E6004:E$2)*(E6005=E6004:E$2)))))</f>
        <v> </v>
      </c>
      <c r="J6005" s="26" t="str">
        <f>IF(OR(E6005="",E6005="!!!",F6005="NEW"),"",COUNTBLANK(OFFSET(A$1,,,SUMPRODUCT(MAX(ROW(E$2:E6005)*(E6005=E$2:E6005)))))-COUNTBLANK(OFFSET(A$1,,,SUMPRODUCT(MAX(ROW(E$1:E6004)*(E2=E$1:E6004))))))</f>
        <v> </v>
      </c>
      <c r="K6005" s="26" t="str">
        <f>IF(OR(E6005="",E6005="!!!",F6005="NEW"),"",INDEX(J$1:J6004,SUMPRODUCT(MAX(ROW(E$1:E6004)*(E6005=E$1:E6004)))))</f>
        <v> </v>
      </c>
      <c r="L6005" s="27"/>
    </row>
    <row r="6006" spans="1:12">
      <c r="A6006" s="20" t="s">
        <v>2828</v>
      </c>
      <c r="E6006" s="22">
        <f>IF(D6006="?OLD","!!!","")</f>
        <v/>
      </c>
      <c r="F6006" s="23" t="str">
        <f>IF(OR(E6006="",E6006="!!!"),"",IF(NOT(ISNA(VLOOKUP(E6006,E$1:E6005,1,FALSE()))),"OLD",IF(AND(E6006&lt;&gt;"",E6006&lt;&gt;"!!!"),"NEW","")))</f>
        <v> </v>
      </c>
      <c r="G6006" s="24" t="str">
        <f>IF(OR(E6006="",E6006="!!!"),"",IF(OR(J6006=0,AND(J6006=1,K6006=1),AND(J6006=1,I6006="SBJ"),AND(J6006=1,I6006=0)),"?IN_FOCUS",IF(J6006&lt;=2,"?ACTIVATED",IF(J6006&lt;&gt;"","?FAMILIAR",IF(F6006="NEW",IF(ISNA(VLOOKUP(E6006,#REF!,1,FALSE())),"?TYPE_IDENTIFIABLE","?REFERENTIAL"),"_")))))</f>
        <v> </v>
      </c>
      <c r="H6006" s="25" t="str">
        <f>IF(J6006&lt;&gt;1,"",IF(I6006="SBJ","CB","?"))</f>
        <v> </v>
      </c>
      <c r="I6006" s="26" t="str">
        <f>IF(OR(E6006="",E6006="!!!",F6006="NEW"),"",INDEX(B6005:B$2,-1+SUMPRODUCT(MAX(ROW(E6005:E$2)*(E6006=E6005:E$2)))))</f>
        <v> </v>
      </c>
      <c r="J6006" s="26" t="str">
        <f>IF(OR(E6006="",E6006="!!!",F6006="NEW"),"",COUNTBLANK(OFFSET(A$1,,,SUMPRODUCT(MAX(ROW(E$2:E6006)*(E6006=E$2:E6006)))))-COUNTBLANK(OFFSET(A$1,,,SUMPRODUCT(MAX(ROW(E$1:E6005)*(E2=E$1:E6005))))))</f>
        <v> </v>
      </c>
      <c r="K6006" s="26" t="str">
        <f>IF(OR(E6006="",E6006="!!!",F6006="NEW"),"",INDEX(J$1:J6005,SUMPRODUCT(MAX(ROW(E$1:E6005)*(E6006=E$1:E6005)))))</f>
        <v> </v>
      </c>
      <c r="L6006" s="27"/>
    </row>
    <row r="6007" spans="1:12">
      <c r="A6007" s="20" t="s">
        <v>1193</v>
      </c>
      <c r="E6007" s="22">
        <f>IF(D6007="?OLD","!!!","")</f>
        <v/>
      </c>
      <c r="F6007" s="23" t="str">
        <f>IF(OR(E6007="",E6007="!!!"),"",IF(NOT(ISNA(VLOOKUP(E6007,E$1:E6006,1,FALSE()))),"OLD",IF(AND(E6007&lt;&gt;"",E6007&lt;&gt;"!!!"),"NEW","")))</f>
        <v> </v>
      </c>
      <c r="G6007" s="24" t="str">
        <f>IF(OR(E6007="",E6007="!!!"),"",IF(OR(J6007=0,AND(J6007=1,K6007=1),AND(J6007=1,I6007="SBJ"),AND(J6007=1,I6007=0)),"?IN_FOCUS",IF(J6007&lt;=2,"?ACTIVATED",IF(J6007&lt;&gt;"","?FAMILIAR",IF(F6007="NEW",IF(ISNA(VLOOKUP(E6007,#REF!,1,FALSE())),"?TYPE_IDENTIFIABLE","?REFERENTIAL"),"_")))))</f>
        <v> </v>
      </c>
      <c r="H6007" s="25" t="str">
        <f>IF(J6007&lt;&gt;1,"",IF(I6007="SBJ","CB","?"))</f>
        <v> </v>
      </c>
      <c r="I6007" s="26" t="str">
        <f>IF(OR(E6007="",E6007="!!!",F6007="NEW"),"",INDEX(B6006:B$2,-1+SUMPRODUCT(MAX(ROW(E6006:E$2)*(E6007=E6006:E$2)))))</f>
        <v> </v>
      </c>
      <c r="J6007" s="26" t="str">
        <f>IF(OR(E6007="",E6007="!!!",F6007="NEW"),"",COUNTBLANK(OFFSET(A$1,,,SUMPRODUCT(MAX(ROW(E$2:E6007)*(E6007=E$2:E6007)))))-COUNTBLANK(OFFSET(A$1,,,SUMPRODUCT(MAX(ROW(E$1:E6006)*(E2=E$1:E6006))))))</f>
        <v> </v>
      </c>
      <c r="K6007" s="26" t="str">
        <f>IF(OR(E6007="",E6007="!!!",F6007="NEW"),"",INDEX(J$1:J6006,SUMPRODUCT(MAX(ROW(E$1:E6006)*(E6007=E$1:E6006)))))</f>
        <v> </v>
      </c>
      <c r="L6007" s="27"/>
    </row>
    <row r="6008" spans="1:12">
      <c r="A6008" s="20" t="s">
        <v>1444</v>
      </c>
      <c r="E6008" s="22">
        <f>IF(D6008="?OLD","!!!","")</f>
        <v/>
      </c>
      <c r="F6008" s="23" t="str">
        <f>IF(OR(E6008="",E6008="!!!"),"",IF(NOT(ISNA(VLOOKUP(E6008,E$1:E6007,1,FALSE()))),"OLD",IF(AND(E6008&lt;&gt;"",E6008&lt;&gt;"!!!"),"NEW","")))</f>
        <v> </v>
      </c>
      <c r="G6008" s="24" t="str">
        <f>IF(OR(E6008="",E6008="!!!"),"",IF(OR(J6008=0,AND(J6008=1,K6008=1),AND(J6008=1,I6008="SBJ"),AND(J6008=1,I6008=0)),"?IN_FOCUS",IF(J6008&lt;=2,"?ACTIVATED",IF(J6008&lt;&gt;"","?FAMILIAR",IF(F6008="NEW",IF(ISNA(VLOOKUP(E6008,#REF!,1,FALSE())),"?TYPE_IDENTIFIABLE","?REFERENTIAL"),"_")))))</f>
        <v> </v>
      </c>
      <c r="H6008" s="25" t="str">
        <f>IF(J6008&lt;&gt;1,"",IF(I6008="SBJ","CB","?"))</f>
        <v> </v>
      </c>
      <c r="I6008" s="26" t="str">
        <f>IF(OR(E6008="",E6008="!!!",F6008="NEW"),"",INDEX(B6007:B$2,-1+SUMPRODUCT(MAX(ROW(E6007:E$2)*(E6008=E6007:E$2)))))</f>
        <v> </v>
      </c>
      <c r="J6008" s="26" t="str">
        <f>IF(OR(E6008="",E6008="!!!",F6008="NEW"),"",COUNTBLANK(OFFSET(A$1,,,SUMPRODUCT(MAX(ROW(E$2:E6008)*(E6008=E$2:E6008)))))-COUNTBLANK(OFFSET(A$1,,,SUMPRODUCT(MAX(ROW(E$1:E6007)*(E2=E$1:E6007))))))</f>
        <v> </v>
      </c>
      <c r="K6008" s="26" t="str">
        <f>IF(OR(E6008="",E6008="!!!",F6008="NEW"),"",INDEX(J$1:J6007,SUMPRODUCT(MAX(ROW(E$1:E6007)*(E6008=E$1:E6007)))))</f>
        <v> </v>
      </c>
      <c r="L6008" s="27"/>
    </row>
    <row r="6009" spans="1:12">
      <c r="A6009" s="20" t="s">
        <v>427</v>
      </c>
      <c r="B6009" s="21" t="s">
        <v>1202</v>
      </c>
      <c r="C6009" s="21" t="s">
        <v>1246</v>
      </c>
      <c r="D6009" s="21" t="s">
        <v>1188</v>
      </c>
      <c r="E6009" s="22">
        <f>IF(D6009="?OLD","!!!","")</f>
        <v/>
      </c>
      <c r="F6009" s="23" t="str">
        <f>IF(OR(E6009="",E6009="!!!"),"",IF(NOT(ISNA(VLOOKUP(E6009,E$1:E6008,1,FALSE()))),"OLD",IF(AND(E6009&lt;&gt;"",E6009&lt;&gt;"!!!"),"NEW","")))</f>
        <v> </v>
      </c>
      <c r="G6009" s="24" t="str">
        <f>IF(OR(E6009="",E6009="!!!"),"",IF(OR(J6009=0,AND(J6009=1,K6009=1),AND(J6009=1,I6009="SBJ"),AND(J6009=1,I6009=0)),"?IN_FOCUS",IF(J6009&lt;=2,"?ACTIVATED",IF(J6009&lt;&gt;"","?FAMILIAR",IF(F6009="NEW",IF(ISNA(VLOOKUP(E6009,#REF!,1,FALSE())),"?TYPE_IDENTIFIABLE","?REFERENTIAL"),"_")))))</f>
        <v> </v>
      </c>
      <c r="H6009" s="25" t="str">
        <f>IF(J6009&lt;&gt;1,"",IF(I6009="SBJ","CB","?"))</f>
        <v> </v>
      </c>
      <c r="I6009" s="26" t="str">
        <f>IF(OR(E6009="",E6009="!!!",F6009="NEW"),"",INDEX(B6008:B$2,-1+SUMPRODUCT(MAX(ROW(E6008:E$2)*(E6009=E6008:E$2)))))</f>
        <v> </v>
      </c>
      <c r="J6009" s="26" t="str">
        <f>IF(OR(E6009="",E6009="!!!",F6009="NEW"),"",COUNTBLANK(OFFSET(A$1,,,SUMPRODUCT(MAX(ROW(E$2:E6009)*(E6009=E$2:E6009)))))-COUNTBLANK(OFFSET(A$1,,,SUMPRODUCT(MAX(ROW(E$1:E6008)*(E2=E$1:E6008))))))</f>
        <v> </v>
      </c>
      <c r="K6009" s="26" t="str">
        <f>IF(OR(E6009="",E6009="!!!",F6009="NEW"),"",INDEX(J$1:J6008,SUMPRODUCT(MAX(ROW(E$1:E6008)*(E6009=E$1:E6008)))))</f>
        <v> </v>
      </c>
      <c r="L6009" s="27"/>
    </row>
    <row r="6010" spans="1:12">
      <c r="A6010" s="20" t="s">
        <v>1515</v>
      </c>
      <c r="B6010" s="21" t="s">
        <v>1212</v>
      </c>
      <c r="C6010" s="21" t="s">
        <v>1246</v>
      </c>
      <c r="D6010" s="21" t="s">
        <v>1188</v>
      </c>
      <c r="E6010" s="22">
        <f>IF(D6010="?OLD","!!!","")</f>
        <v/>
      </c>
      <c r="F6010" s="23" t="str">
        <f>IF(OR(E6010="",E6010="!!!"),"",IF(NOT(ISNA(VLOOKUP(E6010,E$1:E6009,1,FALSE()))),"OLD",IF(AND(E6010&lt;&gt;"",E6010&lt;&gt;"!!!"),"NEW","")))</f>
        <v> </v>
      </c>
      <c r="G6010" s="24" t="str">
        <f>IF(OR(E6010="",E6010="!!!"),"",IF(OR(J6010=0,AND(J6010=1,K6010=1),AND(J6010=1,I6010="SBJ"),AND(J6010=1,I6010=0)),"?IN_FOCUS",IF(J6010&lt;=2,"?ACTIVATED",IF(J6010&lt;&gt;"","?FAMILIAR",IF(F6010="NEW",IF(ISNA(VLOOKUP(E6010,#REF!,1,FALSE())),"?TYPE_IDENTIFIABLE","?REFERENTIAL"),"_")))))</f>
        <v> </v>
      </c>
      <c r="H6010" s="25" t="str">
        <f>IF(J6010&lt;&gt;1,"",IF(I6010="SBJ","CB","?"))</f>
        <v> </v>
      </c>
      <c r="I6010" s="26" t="str">
        <f>IF(OR(E6010="",E6010="!!!",F6010="NEW"),"",INDEX(B6009:B$2,-1+SUMPRODUCT(MAX(ROW(E6009:E$2)*(E6010=E6009:E$2)))))</f>
        <v> </v>
      </c>
      <c r="J6010" s="26" t="str">
        <f>IF(OR(E6010="",E6010="!!!",F6010="NEW"),"",COUNTBLANK(OFFSET(A$1,,,SUMPRODUCT(MAX(ROW(E$2:E6010)*(E6010=E$2:E6010)))))-COUNTBLANK(OFFSET(A$1,,,SUMPRODUCT(MAX(ROW(E$1:E6009)*(E2=E$1:E6009))))))</f>
        <v> </v>
      </c>
      <c r="K6010" s="26" t="str">
        <f>IF(OR(E6010="",E6010="!!!",F6010="NEW"),"",INDEX(J$1:J6009,SUMPRODUCT(MAX(ROW(E$1:E6009)*(E6010=E$1:E6009)))))</f>
        <v> </v>
      </c>
      <c r="L6010" s="27"/>
    </row>
    <row r="6011" spans="1:12">
      <c r="A6011" s="20" t="s">
        <v>1205</v>
      </c>
      <c r="E6011" s="22">
        <f>IF(D6011="?OLD","!!!","")</f>
        <v/>
      </c>
      <c r="F6011" s="23" t="str">
        <f>IF(OR(E6011="",E6011="!!!"),"",IF(NOT(ISNA(VLOOKUP(E6011,E$1:E6010,1,FALSE()))),"OLD",IF(AND(E6011&lt;&gt;"",E6011&lt;&gt;"!!!"),"NEW","")))</f>
        <v> </v>
      </c>
      <c r="G6011" s="24" t="str">
        <f>IF(OR(E6011="",E6011="!!!"),"",IF(OR(J6011=0,AND(J6011=1,K6011=1),AND(J6011=1,I6011="SBJ"),AND(J6011=1,I6011=0)),"?IN_FOCUS",IF(J6011&lt;=2,"?ACTIVATED",IF(J6011&lt;&gt;"","?FAMILIAR",IF(F6011="NEW",IF(ISNA(VLOOKUP(E6011,#REF!,1,FALSE())),"?TYPE_IDENTIFIABLE","?REFERENTIAL"),"_")))))</f>
        <v> </v>
      </c>
      <c r="H6011" s="25" t="str">
        <f>IF(J6011&lt;&gt;1,"",IF(I6011="SBJ","CB","?"))</f>
        <v> </v>
      </c>
      <c r="I6011" s="26" t="str">
        <f>IF(OR(E6011="",E6011="!!!",F6011="NEW"),"",INDEX(B6010:B$2,-1+SUMPRODUCT(MAX(ROW(E6010:E$2)*(E6011=E6010:E$2)))))</f>
        <v> </v>
      </c>
      <c r="J6011" s="26" t="str">
        <f>IF(OR(E6011="",E6011="!!!",F6011="NEW"),"",COUNTBLANK(OFFSET(A$1,,,SUMPRODUCT(MAX(ROW(E$2:E6011)*(E6011=E$2:E6011)))))-COUNTBLANK(OFFSET(A$1,,,SUMPRODUCT(MAX(ROW(E$1:E6010)*(E2=E$1:E6010))))))</f>
        <v> </v>
      </c>
      <c r="K6011" s="26" t="str">
        <f>IF(OR(E6011="",E6011="!!!",F6011="NEW"),"",INDEX(J$1:J6010,SUMPRODUCT(MAX(ROW(E$1:E6010)*(E6011=E$1:E6010)))))</f>
        <v> </v>
      </c>
      <c r="L6011" s="27"/>
    </row>
    <row r="6012" spans="1:12">
      <c r="A6012" s="20" t="s">
        <v>1502</v>
      </c>
      <c r="E6012" s="22">
        <f>IF(D6012="?OLD","!!!","")</f>
        <v/>
      </c>
      <c r="F6012" s="23" t="str">
        <f>IF(OR(E6012="",E6012="!!!"),"",IF(NOT(ISNA(VLOOKUP(E6012,E$1:E6011,1,FALSE()))),"OLD",IF(AND(E6012&lt;&gt;"",E6012&lt;&gt;"!!!"),"NEW","")))</f>
        <v> </v>
      </c>
      <c r="G6012" s="24" t="str">
        <f>IF(OR(E6012="",E6012="!!!"),"",IF(OR(J6012=0,AND(J6012=1,K6012=1),AND(J6012=1,I6012="SBJ"),AND(J6012=1,I6012=0)),"?IN_FOCUS",IF(J6012&lt;=2,"?ACTIVATED",IF(J6012&lt;&gt;"","?FAMILIAR",IF(F6012="NEW",IF(ISNA(VLOOKUP(E6012,#REF!,1,FALSE())),"?TYPE_IDENTIFIABLE","?REFERENTIAL"),"_")))))</f>
        <v> </v>
      </c>
      <c r="H6012" s="25" t="str">
        <f>IF(J6012&lt;&gt;1,"",IF(I6012="SBJ","CB","?"))</f>
        <v> </v>
      </c>
      <c r="I6012" s="26" t="str">
        <f>IF(OR(E6012="",E6012="!!!",F6012="NEW"),"",INDEX(B6011:B$2,-1+SUMPRODUCT(MAX(ROW(E6011:E$2)*(E6012=E6011:E$2)))))</f>
        <v> </v>
      </c>
      <c r="J6012" s="26" t="str">
        <f>IF(OR(E6012="",E6012="!!!",F6012="NEW"),"",COUNTBLANK(OFFSET(A$1,,,SUMPRODUCT(MAX(ROW(E$2:E6012)*(E6012=E$2:E6012)))))-COUNTBLANK(OFFSET(A$1,,,SUMPRODUCT(MAX(ROW(E$1:E6011)*(E2=E$1:E6011))))))</f>
        <v> </v>
      </c>
      <c r="K6012" s="26" t="str">
        <f>IF(OR(E6012="",E6012="!!!",F6012="NEW"),"",INDEX(J$1:J6011,SUMPRODUCT(MAX(ROW(E$1:E6011)*(E6012=E$1:E6011)))))</f>
        <v> </v>
      </c>
      <c r="L6012" s="27"/>
    </row>
    <row r="6013" spans="1:12">
      <c r="A6013" s="20" t="s">
        <v>2829</v>
      </c>
      <c r="B6013" s="21" t="s">
        <v>1186</v>
      </c>
      <c r="C6013" s="21" t="s">
        <v>1196</v>
      </c>
      <c r="D6013" s="21" t="s">
        <v>1188</v>
      </c>
      <c r="E6013" s="22">
        <f>IF(D6013="?OLD","!!!","")</f>
        <v/>
      </c>
      <c r="F6013" s="23" t="str">
        <f>IF(OR(E6013="",E6013="!!!"),"",IF(NOT(ISNA(VLOOKUP(E6013,E$1:E6012,1,FALSE()))),"OLD",IF(AND(E6013&lt;&gt;"",E6013&lt;&gt;"!!!"),"NEW","")))</f>
        <v> </v>
      </c>
      <c r="G6013" s="24" t="str">
        <f>IF(OR(E6013="",E6013="!!!"),"",IF(OR(J6013=0,AND(J6013=1,K6013=1),AND(J6013=1,I6013="SBJ"),AND(J6013=1,I6013=0)),"?IN_FOCUS",IF(J6013&lt;=2,"?ACTIVATED",IF(J6013&lt;&gt;"","?FAMILIAR",IF(F6013="NEW",IF(ISNA(VLOOKUP(E6013,#REF!,1,FALSE())),"?TYPE_IDENTIFIABLE","?REFERENTIAL"),"_")))))</f>
        <v> </v>
      </c>
      <c r="H6013" s="25" t="str">
        <f>IF(J6013&lt;&gt;1,"",IF(I6013="SBJ","CB","?"))</f>
        <v> </v>
      </c>
      <c r="I6013" s="26" t="str">
        <f>IF(OR(E6013="",E6013="!!!",F6013="NEW"),"",INDEX(B6012:B$2,-1+SUMPRODUCT(MAX(ROW(E6012:E$2)*(E6013=E6012:E$2)))))</f>
        <v> </v>
      </c>
      <c r="J6013" s="26" t="str">
        <f>IF(OR(E6013="",E6013="!!!",F6013="NEW"),"",COUNTBLANK(OFFSET(A$1,,,SUMPRODUCT(MAX(ROW(E$2:E6013)*(E6013=E$2:E6013)))))-COUNTBLANK(OFFSET(A$1,,,SUMPRODUCT(MAX(ROW(E$1:E6012)*(E2=E$1:E6012))))))</f>
        <v> </v>
      </c>
      <c r="K6013" s="26" t="str">
        <f>IF(OR(E6013="",E6013="!!!",F6013="NEW"),"",INDEX(J$1:J6012,SUMPRODUCT(MAX(ROW(E$1:E6012)*(E6013=E$1:E6012)))))</f>
        <v> </v>
      </c>
      <c r="L6013" s="27"/>
    </row>
    <row r="6014" spans="1:12">
      <c r="A6014" s="20" t="s">
        <v>1300</v>
      </c>
      <c r="E6014" s="22">
        <f>IF(D6014="?OLD","!!!","")</f>
        <v/>
      </c>
      <c r="F6014" s="23" t="str">
        <f>IF(OR(E6014="",E6014="!!!"),"",IF(NOT(ISNA(VLOOKUP(E6014,E$1:E6013,1,FALSE()))),"OLD",IF(AND(E6014&lt;&gt;"",E6014&lt;&gt;"!!!"),"NEW","")))</f>
        <v> </v>
      </c>
      <c r="G6014" s="24" t="str">
        <f>IF(OR(E6014="",E6014="!!!"),"",IF(OR(J6014=0,AND(J6014=1,K6014=1),AND(J6014=1,I6014="SBJ"),AND(J6014=1,I6014=0)),"?IN_FOCUS",IF(J6014&lt;=2,"?ACTIVATED",IF(J6014&lt;&gt;"","?FAMILIAR",IF(F6014="NEW",IF(ISNA(VLOOKUP(E6014,#REF!,1,FALSE())),"?TYPE_IDENTIFIABLE","?REFERENTIAL"),"_")))))</f>
        <v> </v>
      </c>
      <c r="H6014" s="25" t="str">
        <f>IF(J6014&lt;&gt;1,"",IF(I6014="SBJ","CB","?"))</f>
        <v> </v>
      </c>
      <c r="I6014" s="26" t="str">
        <f>IF(OR(E6014="",E6014="!!!",F6014="NEW"),"",INDEX(B6013:B$2,-1+SUMPRODUCT(MAX(ROW(E6013:E$2)*(E6014=E6013:E$2)))))</f>
        <v> </v>
      </c>
      <c r="J6014" s="26" t="str">
        <f>IF(OR(E6014="",E6014="!!!",F6014="NEW"),"",COUNTBLANK(OFFSET(A$1,,,SUMPRODUCT(MAX(ROW(E$2:E6014)*(E6014=E$2:E6014)))))-COUNTBLANK(OFFSET(A$1,,,SUMPRODUCT(MAX(ROW(E$1:E6013)*(E2=E$1:E6013))))))</f>
        <v> </v>
      </c>
      <c r="K6014" s="26" t="str">
        <f>IF(OR(E6014="",E6014="!!!",F6014="NEW"),"",INDEX(J$1:J6013,SUMPRODUCT(MAX(ROW(E$1:E6013)*(E6014=E$1:E6013)))))</f>
        <v> </v>
      </c>
      <c r="L6014" s="27"/>
    </row>
    <row r="6015" spans="1:12">
      <c r="A6015" s="20" t="s">
        <v>2830</v>
      </c>
      <c r="B6015" s="21" t="s">
        <v>1215</v>
      </c>
      <c r="C6015" s="21" t="s">
        <v>1304</v>
      </c>
      <c r="D6015" s="21" t="s">
        <v>1188</v>
      </c>
      <c r="E6015" s="22">
        <f>IF(D6015="?OLD","!!!","")</f>
        <v/>
      </c>
      <c r="F6015" s="23" t="str">
        <f>IF(OR(E6015="",E6015="!!!"),"",IF(NOT(ISNA(VLOOKUP(E6015,E$1:E6014,1,FALSE()))),"OLD",IF(AND(E6015&lt;&gt;"",E6015&lt;&gt;"!!!"),"NEW","")))</f>
        <v> </v>
      </c>
      <c r="G6015" s="24" t="str">
        <f>IF(OR(E6015="",E6015="!!!"),"",IF(OR(J6015=0,AND(J6015=1,K6015=1),AND(J6015=1,I6015="SBJ"),AND(J6015=1,I6015=0)),"?IN_FOCUS",IF(J6015&lt;=2,"?ACTIVATED",IF(J6015&lt;&gt;"","?FAMILIAR",IF(F6015="NEW",IF(ISNA(VLOOKUP(E6015,#REF!,1,FALSE())),"?TYPE_IDENTIFIABLE","?REFERENTIAL"),"_")))))</f>
        <v> </v>
      </c>
      <c r="H6015" s="25" t="str">
        <f>IF(J6015&lt;&gt;1,"",IF(I6015="SBJ","CB","?"))</f>
        <v> </v>
      </c>
      <c r="I6015" s="26" t="str">
        <f>IF(OR(E6015="",E6015="!!!",F6015="NEW"),"",INDEX(B6014:B$2,-1+SUMPRODUCT(MAX(ROW(E6014:E$2)*(E6015=E6014:E$2)))))</f>
        <v> </v>
      </c>
      <c r="J6015" s="26" t="str">
        <f>IF(OR(E6015="",E6015="!!!",F6015="NEW"),"",COUNTBLANK(OFFSET(A$1,,,SUMPRODUCT(MAX(ROW(E$2:E6015)*(E6015=E$2:E6015)))))-COUNTBLANK(OFFSET(A$1,,,SUMPRODUCT(MAX(ROW(E$1:E6014)*(E2=E$1:E6014))))))</f>
        <v> </v>
      </c>
      <c r="K6015" s="26" t="str">
        <f>IF(OR(E6015="",E6015="!!!",F6015="NEW"),"",INDEX(J$1:J6014,SUMPRODUCT(MAX(ROW(E$1:E6014)*(E6015=E$1:E6014)))))</f>
        <v> </v>
      </c>
      <c r="L6015" s="27"/>
    </row>
    <row r="6016" spans="1:12">
      <c r="A6016" s="20" t="s">
        <v>2124</v>
      </c>
      <c r="B6016" s="21" t="s">
        <v>1199</v>
      </c>
      <c r="C6016" s="21" t="s">
        <v>1192</v>
      </c>
      <c r="E6016" s="22">
        <f>IF(D6016="?OLD","!!!","")</f>
        <v/>
      </c>
      <c r="F6016" s="23" t="str">
        <f>IF(OR(E6016="",E6016="!!!"),"",IF(NOT(ISNA(VLOOKUP(E6016,E$1:E6015,1,FALSE()))),"OLD",IF(AND(E6016&lt;&gt;"",E6016&lt;&gt;"!!!"),"NEW","")))</f>
        <v> </v>
      </c>
      <c r="G6016" s="24" t="str">
        <f>IF(OR(E6016="",E6016="!!!"),"",IF(OR(J6016=0,AND(J6016=1,K6016=1),AND(J6016=1,I6016="SBJ"),AND(J6016=1,I6016=0)),"?IN_FOCUS",IF(J6016&lt;=2,"?ACTIVATED",IF(J6016&lt;&gt;"","?FAMILIAR",IF(F6016="NEW",IF(ISNA(VLOOKUP(E6016,#REF!,1,FALSE())),"?TYPE_IDENTIFIABLE","?REFERENTIAL"),"_")))))</f>
        <v> </v>
      </c>
      <c r="H6016" s="25" t="str">
        <f>IF(J6016&lt;&gt;1,"",IF(I6016="SBJ","CB","?"))</f>
        <v> </v>
      </c>
      <c r="I6016" s="26" t="str">
        <f>IF(OR(E6016="",E6016="!!!",F6016="NEW"),"",INDEX(B6015:B$2,-1+SUMPRODUCT(MAX(ROW(E6015:E$2)*(E6016=E6015:E$2)))))</f>
        <v> </v>
      </c>
      <c r="J6016" s="26" t="str">
        <f>IF(OR(E6016="",E6016="!!!",F6016="NEW"),"",COUNTBLANK(OFFSET(A$1,,,SUMPRODUCT(MAX(ROW(E$2:E6016)*(E6016=E$2:E6016)))))-COUNTBLANK(OFFSET(A$1,,,SUMPRODUCT(MAX(ROW(E$1:E6015)*(E2=E$1:E6015))))))</f>
        <v> </v>
      </c>
      <c r="K6016" s="26" t="str">
        <f>IF(OR(E6016="",E6016="!!!",F6016="NEW"),"",INDEX(J$1:J6015,SUMPRODUCT(MAX(ROW(E$1:E6015)*(E6016=E$1:E6015)))))</f>
        <v> </v>
      </c>
      <c r="L6016" s="27"/>
    </row>
    <row r="6017" spans="1:12">
      <c r="A6017" s="20" t="s">
        <v>1205</v>
      </c>
      <c r="E6017" s="22">
        <f>IF(D6017="?OLD","!!!","")</f>
        <v/>
      </c>
      <c r="F6017" s="23" t="str">
        <f>IF(OR(E6017="",E6017="!!!"),"",IF(NOT(ISNA(VLOOKUP(E6017,E$1:E6016,1,FALSE()))),"OLD",IF(AND(E6017&lt;&gt;"",E6017&lt;&gt;"!!!"),"NEW","")))</f>
        <v> </v>
      </c>
      <c r="G6017" s="24" t="str">
        <f>IF(OR(E6017="",E6017="!!!"),"",IF(OR(J6017=0,AND(J6017=1,K6017=1),AND(J6017=1,I6017="SBJ"),AND(J6017=1,I6017=0)),"?IN_FOCUS",IF(J6017&lt;=2,"?ACTIVATED",IF(J6017&lt;&gt;"","?FAMILIAR",IF(F6017="NEW",IF(ISNA(VLOOKUP(E6017,#REF!,1,FALSE())),"?TYPE_IDENTIFIABLE","?REFERENTIAL"),"_")))))</f>
        <v> </v>
      </c>
      <c r="H6017" s="25" t="str">
        <f>IF(J6017&lt;&gt;1,"",IF(I6017="SBJ","CB","?"))</f>
        <v> </v>
      </c>
      <c r="I6017" s="26" t="str">
        <f>IF(OR(E6017="",E6017="!!!",F6017="NEW"),"",INDEX(B6016:B$2,-1+SUMPRODUCT(MAX(ROW(E6016:E$2)*(E6017=E6016:E$2)))))</f>
        <v> </v>
      </c>
      <c r="J6017" s="26" t="str">
        <f>IF(OR(E6017="",E6017="!!!",F6017="NEW"),"",COUNTBLANK(OFFSET(A$1,,,SUMPRODUCT(MAX(ROW(E$2:E6017)*(E6017=E$2:E6017)))))-COUNTBLANK(OFFSET(A$1,,,SUMPRODUCT(MAX(ROW(E$1:E6016)*(E2=E$1:E6016))))))</f>
        <v> </v>
      </c>
      <c r="K6017" s="26" t="str">
        <f>IF(OR(E6017="",E6017="!!!",F6017="NEW"),"",INDEX(J$1:J6016,SUMPRODUCT(MAX(ROW(E$1:E6016)*(E6017=E$1:E6016)))))</f>
        <v> </v>
      </c>
      <c r="L6017" s="27"/>
    </row>
    <row r="6018" spans="1:12">
      <c r="A6018" s="20" t="s">
        <v>2831</v>
      </c>
      <c r="B6018" s="21" t="s">
        <v>1186</v>
      </c>
      <c r="C6018" s="21" t="s">
        <v>1192</v>
      </c>
      <c r="E6018" s="22">
        <f>IF(D6018="?OLD","!!!","")</f>
        <v/>
      </c>
      <c r="F6018" s="23" t="str">
        <f>IF(OR(E6018="",E6018="!!!"),"",IF(NOT(ISNA(VLOOKUP(E6018,E$1:E6017,1,FALSE()))),"OLD",IF(AND(E6018&lt;&gt;"",E6018&lt;&gt;"!!!"),"NEW","")))</f>
        <v> </v>
      </c>
      <c r="G6018" s="24" t="str">
        <f>IF(OR(E6018="",E6018="!!!"),"",IF(OR(J6018=0,AND(J6018=1,K6018=1),AND(J6018=1,I6018="SBJ"),AND(J6018=1,I6018=0)),"?IN_FOCUS",IF(J6018&lt;=2,"?ACTIVATED",IF(J6018&lt;&gt;"","?FAMILIAR",IF(F6018="NEW",IF(ISNA(VLOOKUP(E6018,#REF!,1,FALSE())),"?TYPE_IDENTIFIABLE","?REFERENTIAL"),"_")))))</f>
        <v> </v>
      </c>
      <c r="H6018" s="25" t="str">
        <f>IF(J6018&lt;&gt;1,"",IF(I6018="SBJ","CB","?"))</f>
        <v> </v>
      </c>
      <c r="I6018" s="26" t="str">
        <f>IF(OR(E6018="",E6018="!!!",F6018="NEW"),"",INDEX(B6017:B$2,-1+SUMPRODUCT(MAX(ROW(E6017:E$2)*(E6018=E6017:E$2)))))</f>
        <v> </v>
      </c>
      <c r="J6018" s="26" t="str">
        <f>IF(OR(E6018="",E6018="!!!",F6018="NEW"),"",COUNTBLANK(OFFSET(A$1,,,SUMPRODUCT(MAX(ROW(E$2:E6018)*(E6018=E$2:E6018)))))-COUNTBLANK(OFFSET(A$1,,,SUMPRODUCT(MAX(ROW(E$1:E6017)*(E2=E$1:E6017))))))</f>
        <v> </v>
      </c>
      <c r="K6018" s="26" t="str">
        <f>IF(OR(E6018="",E6018="!!!",F6018="NEW"),"",INDEX(J$1:J6017,SUMPRODUCT(MAX(ROW(E$1:E6017)*(E6018=E$1:E6017)))))</f>
        <v> </v>
      </c>
      <c r="L6018" s="27"/>
    </row>
    <row r="6019" spans="1:12">
      <c r="A6019" s="20" t="s">
        <v>65</v>
      </c>
      <c r="E6019" s="22">
        <f>IF(D6019="?OLD","!!!","")</f>
        <v/>
      </c>
      <c r="F6019" s="23" t="str">
        <f>IF(OR(E6019="",E6019="!!!"),"",IF(NOT(ISNA(VLOOKUP(E6019,E$1:E6018,1,FALSE()))),"OLD",IF(AND(E6019&lt;&gt;"",E6019&lt;&gt;"!!!"),"NEW","")))</f>
        <v> </v>
      </c>
      <c r="G6019" s="24" t="str">
        <f>IF(OR(E6019="",E6019="!!!"),"",IF(OR(J6019=0,AND(J6019=1,K6019=1),AND(J6019=1,I6019="SBJ"),AND(J6019=1,I6019=0)),"?IN_FOCUS",IF(J6019&lt;=2,"?ACTIVATED",IF(J6019&lt;&gt;"","?FAMILIAR",IF(F6019="NEW",IF(ISNA(VLOOKUP(E6019,#REF!,1,FALSE())),"?TYPE_IDENTIFIABLE","?REFERENTIAL"),"_")))))</f>
        <v> </v>
      </c>
      <c r="H6019" s="25" t="str">
        <f>IF(J6019&lt;&gt;1,"",IF(I6019="SBJ","CB","?"))</f>
        <v> </v>
      </c>
      <c r="I6019" s="26" t="str">
        <f>IF(OR(E6019="",E6019="!!!",F6019="NEW"),"",INDEX(B6018:B$2,-1+SUMPRODUCT(MAX(ROW(E6018:E$2)*(E6019=E6018:E$2)))))</f>
        <v> </v>
      </c>
      <c r="J6019" s="26" t="str">
        <f>IF(OR(E6019="",E6019="!!!",F6019="NEW"),"",COUNTBLANK(OFFSET(A$1,,,SUMPRODUCT(MAX(ROW(E$2:E6019)*(E6019=E$2:E6019)))))-COUNTBLANK(OFFSET(A$1,,,SUMPRODUCT(MAX(ROW(E$1:E6018)*(E2=E$1:E6018))))))</f>
        <v> </v>
      </c>
      <c r="K6019" s="26" t="str">
        <f>IF(OR(E6019="",E6019="!!!",F6019="NEW"),"",INDEX(J$1:J6018,SUMPRODUCT(MAX(ROW(E$1:E6018)*(E6019=E$1:E6018)))))</f>
        <v> </v>
      </c>
      <c r="L6019" s="27"/>
    </row>
    <row r="6020" spans="1:12">
      <c r="A6020" s="20" t="s">
        <v>1302</v>
      </c>
      <c r="E6020" s="22">
        <f>IF(D6020="?OLD","!!!","")</f>
        <v/>
      </c>
      <c r="F6020" s="23" t="str">
        <f>IF(OR(E6020="",E6020="!!!"),"",IF(NOT(ISNA(VLOOKUP(E6020,E$1:E6019,1,FALSE()))),"OLD",IF(AND(E6020&lt;&gt;"",E6020&lt;&gt;"!!!"),"NEW","")))</f>
        <v> </v>
      </c>
      <c r="G6020" s="24" t="str">
        <f>IF(OR(E6020="",E6020="!!!"),"",IF(OR(J6020=0,AND(J6020=1,K6020=1),AND(J6020=1,I6020="SBJ"),AND(J6020=1,I6020=0)),"?IN_FOCUS",IF(J6020&lt;=2,"?ACTIVATED",IF(J6020&lt;&gt;"","?FAMILIAR",IF(F6020="NEW",IF(ISNA(VLOOKUP(E6020,#REF!,1,FALSE())),"?TYPE_IDENTIFIABLE","?REFERENTIAL"),"_")))))</f>
        <v> </v>
      </c>
      <c r="H6020" s="25" t="str">
        <f>IF(J6020&lt;&gt;1,"",IF(I6020="SBJ","CB","?"))</f>
        <v> </v>
      </c>
      <c r="I6020" s="26" t="str">
        <f>IF(OR(E6020="",E6020="!!!",F6020="NEW"),"",INDEX(B6019:B$2,-1+SUMPRODUCT(MAX(ROW(E6019:E$2)*(E6020=E6019:E$2)))))</f>
        <v> </v>
      </c>
      <c r="J6020" s="26" t="str">
        <f>IF(OR(E6020="",E6020="!!!",F6020="NEW"),"",COUNTBLANK(OFFSET(A$1,,,SUMPRODUCT(MAX(ROW(E$2:E6020)*(E6020=E$2:E6020)))))-COUNTBLANK(OFFSET(A$1,,,SUMPRODUCT(MAX(ROW(E$1:E6019)*(E2=E$1:E6019))))))</f>
        <v> </v>
      </c>
      <c r="K6020" s="26" t="str">
        <f>IF(OR(E6020="",E6020="!!!",F6020="NEW"),"",INDEX(J$1:J6019,SUMPRODUCT(MAX(ROW(E$1:E6019)*(E6020=E$1:E6019)))))</f>
        <v> </v>
      </c>
      <c r="L6020" s="27"/>
    </row>
    <row r="6021" spans="1:12">
      <c r="A6021" s="20" t="s">
        <v>185</v>
      </c>
      <c r="B6021" s="21" t="s">
        <v>1245</v>
      </c>
      <c r="C6021" s="21" t="s">
        <v>1203</v>
      </c>
      <c r="D6021" s="21" t="s">
        <v>1188</v>
      </c>
      <c r="E6021" s="22">
        <f>IF(D6021="?OLD","!!!","")</f>
        <v/>
      </c>
      <c r="F6021" s="23" t="str">
        <f>IF(OR(E6021="",E6021="!!!"),"",IF(NOT(ISNA(VLOOKUP(E6021,E$1:E6020,1,FALSE()))),"OLD",IF(AND(E6021&lt;&gt;"",E6021&lt;&gt;"!!!"),"NEW","")))</f>
        <v> </v>
      </c>
      <c r="G6021" s="24" t="str">
        <f>IF(OR(E6021="",E6021="!!!"),"",IF(OR(J6021=0,AND(J6021=1,K6021=1),AND(J6021=1,I6021="SBJ"),AND(J6021=1,I6021=0)),"?IN_FOCUS",IF(J6021&lt;=2,"?ACTIVATED",IF(J6021&lt;&gt;"","?FAMILIAR",IF(F6021="NEW",IF(ISNA(VLOOKUP(E6021,#REF!,1,FALSE())),"?TYPE_IDENTIFIABLE","?REFERENTIAL"),"_")))))</f>
        <v> </v>
      </c>
      <c r="H6021" s="25" t="str">
        <f>IF(J6021&lt;&gt;1,"",IF(I6021="SBJ","CB","?"))</f>
        <v> </v>
      </c>
      <c r="I6021" s="26" t="str">
        <f>IF(OR(E6021="",E6021="!!!",F6021="NEW"),"",INDEX(B6020:B$2,-1+SUMPRODUCT(MAX(ROW(E6020:E$2)*(E6021=E6020:E$2)))))</f>
        <v> </v>
      </c>
      <c r="J6021" s="26" t="str">
        <f>IF(OR(E6021="",E6021="!!!",F6021="NEW"),"",COUNTBLANK(OFFSET(A$1,,,SUMPRODUCT(MAX(ROW(E$2:E6021)*(E6021=E$2:E6021)))))-COUNTBLANK(OFFSET(A$1,,,SUMPRODUCT(MAX(ROW(E$1:E6020)*(E2=E$1:E6020))))))</f>
        <v> </v>
      </c>
      <c r="K6021" s="26" t="str">
        <f>IF(OR(E6021="",E6021="!!!",F6021="NEW"),"",INDEX(J$1:J6020,SUMPRODUCT(MAX(ROW(E$1:E6020)*(E6021=E$1:E6020)))))</f>
        <v> </v>
      </c>
      <c r="L6021" s="27"/>
    </row>
    <row r="6022" spans="1:12">
      <c r="A6022" s="20" t="s">
        <v>2832</v>
      </c>
      <c r="E6022" s="22">
        <f>IF(D6022="?OLD","!!!","")</f>
        <v/>
      </c>
      <c r="F6022" s="23" t="str">
        <f>IF(OR(E6022="",E6022="!!!"),"",IF(NOT(ISNA(VLOOKUP(E6022,E$1:E6021,1,FALSE()))),"OLD",IF(AND(E6022&lt;&gt;"",E6022&lt;&gt;"!!!"),"NEW","")))</f>
        <v> </v>
      </c>
      <c r="G6022" s="24" t="str">
        <f>IF(OR(E6022="",E6022="!!!"),"",IF(OR(J6022=0,AND(J6022=1,K6022=1),AND(J6022=1,I6022="SBJ"),AND(J6022=1,I6022=0)),"?IN_FOCUS",IF(J6022&lt;=2,"?ACTIVATED",IF(J6022&lt;&gt;"","?FAMILIAR",IF(F6022="NEW",IF(ISNA(VLOOKUP(E6022,#REF!,1,FALSE())),"?TYPE_IDENTIFIABLE","?REFERENTIAL"),"_")))))</f>
        <v> </v>
      </c>
      <c r="H6022" s="25" t="str">
        <f>IF(J6022&lt;&gt;1,"",IF(I6022="SBJ","CB","?"))</f>
        <v> </v>
      </c>
      <c r="I6022" s="26" t="str">
        <f>IF(OR(E6022="",E6022="!!!",F6022="NEW"),"",INDEX(B6021:B$2,-1+SUMPRODUCT(MAX(ROW(E6021:E$2)*(E6022=E6021:E$2)))))</f>
        <v> </v>
      </c>
      <c r="J6022" s="26" t="str">
        <f>IF(OR(E6022="",E6022="!!!",F6022="NEW"),"",COUNTBLANK(OFFSET(A$1,,,SUMPRODUCT(MAX(ROW(E$2:E6022)*(E6022=E$2:E6022)))))-COUNTBLANK(OFFSET(A$1,,,SUMPRODUCT(MAX(ROW(E$1:E6021)*(E2=E$1:E6021))))))</f>
        <v> </v>
      </c>
      <c r="K6022" s="26" t="str">
        <f>IF(OR(E6022="",E6022="!!!",F6022="NEW"),"",INDEX(J$1:J6021,SUMPRODUCT(MAX(ROW(E$1:E6021)*(E6022=E$1:E6021)))))</f>
        <v> </v>
      </c>
      <c r="L6022" s="27"/>
    </row>
    <row r="6023" spans="1:12">
      <c r="A6023" s="20" t="s">
        <v>826</v>
      </c>
      <c r="E6023" s="22">
        <f>IF(D6023="?OLD","!!!","")</f>
        <v/>
      </c>
      <c r="F6023" s="23" t="str">
        <f>IF(OR(E6023="",E6023="!!!"),"",IF(NOT(ISNA(VLOOKUP(E6023,E$1:E6022,1,FALSE()))),"OLD",IF(AND(E6023&lt;&gt;"",E6023&lt;&gt;"!!!"),"NEW","")))</f>
        <v> </v>
      </c>
      <c r="G6023" s="24" t="str">
        <f>IF(OR(E6023="",E6023="!!!"),"",IF(OR(J6023=0,AND(J6023=1,K6023=1),AND(J6023=1,I6023="SBJ"),AND(J6023=1,I6023=0)),"?IN_FOCUS",IF(J6023&lt;=2,"?ACTIVATED",IF(J6023&lt;&gt;"","?FAMILIAR",IF(F6023="NEW",IF(ISNA(VLOOKUP(E6023,#REF!,1,FALSE())),"?TYPE_IDENTIFIABLE","?REFERENTIAL"),"_")))))</f>
        <v> </v>
      </c>
      <c r="H6023" s="25" t="str">
        <f>IF(J6023&lt;&gt;1,"",IF(I6023="SBJ","CB","?"))</f>
        <v> </v>
      </c>
      <c r="I6023" s="26" t="str">
        <f>IF(OR(E6023="",E6023="!!!",F6023="NEW"),"",INDEX(B6022:B$2,-1+SUMPRODUCT(MAX(ROW(E6022:E$2)*(E6023=E6022:E$2)))))</f>
        <v> </v>
      </c>
      <c r="J6023" s="26" t="str">
        <f>IF(OR(E6023="",E6023="!!!",F6023="NEW"),"",COUNTBLANK(OFFSET(A$1,,,SUMPRODUCT(MAX(ROW(E$2:E6023)*(E6023=E$2:E6023)))))-COUNTBLANK(OFFSET(A$1,,,SUMPRODUCT(MAX(ROW(E$1:E6022)*(E2=E$1:E6022))))))</f>
        <v> </v>
      </c>
      <c r="K6023" s="26" t="str">
        <f>IF(OR(E6023="",E6023="!!!",F6023="NEW"),"",INDEX(J$1:J6022,SUMPRODUCT(MAX(ROW(E$1:E6022)*(E6023=E$1:E6022)))))</f>
        <v> </v>
      </c>
      <c r="L6023" s="27"/>
    </row>
    <row r="6024" spans="1:12">
      <c r="A6024" s="20"/>
    </row>
    <row r="6025" spans="1:12">
      <c r="A6025" s="20" t="s">
        <v>2833</v>
      </c>
    </row>
    <row r="6026" spans="1:12">
      <c r="A6026" s="20" t="s">
        <v>2834</v>
      </c>
      <c r="E6026" s="22">
        <f>IF(D6026="?OLD","!!!","")</f>
        <v/>
      </c>
      <c r="F6026" s="23" t="str">
        <f>IF(OR(E6026="",E6026="!!!"),"",IF(NOT(ISNA(VLOOKUP(E6026,E$1:E6025,1,FALSE()))),"OLD",IF(AND(E6026&lt;&gt;"",E6026&lt;&gt;"!!!"),"NEW","")))</f>
        <v> </v>
      </c>
      <c r="G6026" s="24" t="str">
        <f>IF(OR(E6026="",E6026="!!!"),"",IF(OR(J6026=0,AND(J6026=1,K6026=1),AND(J6026=1,I6026="SBJ"),AND(J6026=1,I6026=0)),"?IN_FOCUS",IF(J6026&lt;=2,"?ACTIVATED",IF(J6026&lt;&gt;"","?FAMILIAR",IF(F6026="NEW",IF(ISNA(VLOOKUP(E6026,#REF!,1,FALSE())),"?TYPE_IDENTIFIABLE","?REFERENTIAL"),"_")))))</f>
        <v> </v>
      </c>
      <c r="H6026" s="25" t="str">
        <f>IF(J6026&lt;&gt;1,"",IF(I6026="SBJ","CB","?"))</f>
        <v> </v>
      </c>
      <c r="I6026" s="26" t="str">
        <f>IF(OR(E6026="",E6026="!!!",F6026="NEW"),"",INDEX(B6025:B$2,-1+SUMPRODUCT(MAX(ROW(E6025:E$2)*(E6026=E6025:E$2)))))</f>
        <v> </v>
      </c>
      <c r="J6026" s="26" t="str">
        <f>IF(OR(E6026="",E6026="!!!",F6026="NEW"),"",COUNTBLANK(OFFSET(A$1,,,SUMPRODUCT(MAX(ROW(E$2:E6026)*(E6026=E$2:E6026)))))-COUNTBLANK(OFFSET(A$1,,,SUMPRODUCT(MAX(ROW(E$1:E6025)*(E2=E$1:E6025))))))</f>
        <v> </v>
      </c>
      <c r="K6026" s="26" t="str">
        <f>IF(OR(E6026="",E6026="!!!",F6026="NEW"),"",INDEX(J$1:J6025,SUMPRODUCT(MAX(ROW(E$1:E6025)*(E6026=E$1:E6025)))))</f>
        <v> </v>
      </c>
      <c r="L6026" s="27"/>
    </row>
    <row r="6027" spans="1:12">
      <c r="A6027" s="20" t="s">
        <v>1265</v>
      </c>
      <c r="E6027" s="22">
        <f>IF(D6027="?OLD","!!!","")</f>
        <v/>
      </c>
      <c r="F6027" s="23" t="str">
        <f>IF(OR(E6027="",E6027="!!!"),"",IF(NOT(ISNA(VLOOKUP(E6027,E$1:E6026,1,FALSE()))),"OLD",IF(AND(E6027&lt;&gt;"",E6027&lt;&gt;"!!!"),"NEW","")))</f>
        <v> </v>
      </c>
      <c r="G6027" s="24" t="str">
        <f>IF(OR(E6027="",E6027="!!!"),"",IF(OR(J6027=0,AND(J6027=1,K6027=1),AND(J6027=1,I6027="SBJ"),AND(J6027=1,I6027=0)),"?IN_FOCUS",IF(J6027&lt;=2,"?ACTIVATED",IF(J6027&lt;&gt;"","?FAMILIAR",IF(F6027="NEW",IF(ISNA(VLOOKUP(E6027,#REF!,1,FALSE())),"?TYPE_IDENTIFIABLE","?REFERENTIAL"),"_")))))</f>
        <v> </v>
      </c>
      <c r="H6027" s="25" t="str">
        <f>IF(J6027&lt;&gt;1,"",IF(I6027="SBJ","CB","?"))</f>
        <v> </v>
      </c>
      <c r="I6027" s="26" t="str">
        <f>IF(OR(E6027="",E6027="!!!",F6027="NEW"),"",INDEX(B6026:B$2,-1+SUMPRODUCT(MAX(ROW(E6026:E$2)*(E6027=E6026:E$2)))))</f>
        <v> </v>
      </c>
      <c r="J6027" s="26" t="str">
        <f>IF(OR(E6027="",E6027="!!!",F6027="NEW"),"",COUNTBLANK(OFFSET(A$1,,,SUMPRODUCT(MAX(ROW(E$2:E6027)*(E6027=E$2:E6027)))))-COUNTBLANK(OFFSET(A$1,,,SUMPRODUCT(MAX(ROW(E$1:E6026)*(E2=E$1:E6026))))))</f>
        <v> </v>
      </c>
      <c r="K6027" s="26" t="str">
        <f>IF(OR(E6027="",E6027="!!!",F6027="NEW"),"",INDEX(J$1:J6026,SUMPRODUCT(MAX(ROW(E$1:E6026)*(E6027=E$1:E6026)))))</f>
        <v> </v>
      </c>
      <c r="L6027" s="27"/>
    </row>
    <row r="6028" spans="1:12">
      <c r="A6028" s="20" t="s">
        <v>1502</v>
      </c>
      <c r="B6028" s="21" t="s">
        <v>1202</v>
      </c>
      <c r="C6028" s="21" t="s">
        <v>1246</v>
      </c>
      <c r="D6028" s="21" t="s">
        <v>1188</v>
      </c>
      <c r="E6028" s="22">
        <f>IF(D6028="?OLD","!!!","")</f>
        <v/>
      </c>
      <c r="F6028" s="23" t="str">
        <f>IF(OR(E6028="",E6028="!!!"),"",IF(NOT(ISNA(VLOOKUP(E6028,E$1:E6027,1,FALSE()))),"OLD",IF(AND(E6028&lt;&gt;"",E6028&lt;&gt;"!!!"),"NEW","")))</f>
        <v> </v>
      </c>
      <c r="G6028" s="24" t="str">
        <f>IF(OR(E6028="",E6028="!!!"),"",IF(OR(J6028=0,AND(J6028=1,K6028=1),AND(J6028=1,I6028="SBJ"),AND(J6028=1,I6028=0)),"?IN_FOCUS",IF(J6028&lt;=2,"?ACTIVATED",IF(J6028&lt;&gt;"","?FAMILIAR",IF(F6028="NEW",IF(ISNA(VLOOKUP(E6028,#REF!,1,FALSE())),"?TYPE_IDENTIFIABLE","?REFERENTIAL"),"_")))))</f>
        <v> </v>
      </c>
      <c r="H6028" s="25" t="str">
        <f>IF(J6028&lt;&gt;1,"",IF(I6028="SBJ","CB","?"))</f>
        <v> </v>
      </c>
      <c r="I6028" s="26" t="str">
        <f>IF(OR(E6028="",E6028="!!!",F6028="NEW"),"",INDEX(B6027:B$2,-1+SUMPRODUCT(MAX(ROW(E6027:E$2)*(E6028=E6027:E$2)))))</f>
        <v> </v>
      </c>
      <c r="J6028" s="26" t="str">
        <f>IF(OR(E6028="",E6028="!!!",F6028="NEW"),"",COUNTBLANK(OFFSET(A$1,,,SUMPRODUCT(MAX(ROW(E$2:E6028)*(E6028=E$2:E6028)))))-COUNTBLANK(OFFSET(A$1,,,SUMPRODUCT(MAX(ROW(E$1:E6027)*(E2=E$1:E6027))))))</f>
        <v> </v>
      </c>
      <c r="K6028" s="26" t="str">
        <f>IF(OR(E6028="",E6028="!!!",F6028="NEW"),"",INDEX(J$1:J6027,SUMPRODUCT(MAX(ROW(E$1:E6027)*(E6028=E$1:E6027)))))</f>
        <v> </v>
      </c>
      <c r="L6028" s="27"/>
    </row>
    <row r="6029" spans="1:12">
      <c r="A6029" s="20" t="s">
        <v>1321</v>
      </c>
      <c r="E6029" s="22">
        <f>IF(D6029="?OLD","!!!","")</f>
        <v/>
      </c>
      <c r="F6029" s="23" t="str">
        <f>IF(OR(E6029="",E6029="!!!"),"",IF(NOT(ISNA(VLOOKUP(E6029,E$1:E6028,1,FALSE()))),"OLD",IF(AND(E6029&lt;&gt;"",E6029&lt;&gt;"!!!"),"NEW","")))</f>
        <v> </v>
      </c>
      <c r="G6029" s="24" t="str">
        <f>IF(OR(E6029="",E6029="!!!"),"",IF(OR(J6029=0,AND(J6029=1,K6029=1),AND(J6029=1,I6029="SBJ"),AND(J6029=1,I6029=0)),"?IN_FOCUS",IF(J6029&lt;=2,"?ACTIVATED",IF(J6029&lt;&gt;"","?FAMILIAR",IF(F6029="NEW",IF(ISNA(VLOOKUP(E6029,#REF!,1,FALSE())),"?TYPE_IDENTIFIABLE","?REFERENTIAL"),"_")))))</f>
        <v> </v>
      </c>
      <c r="H6029" s="25" t="str">
        <f>IF(J6029&lt;&gt;1,"",IF(I6029="SBJ","CB","?"))</f>
        <v> </v>
      </c>
      <c r="I6029" s="26" t="str">
        <f>IF(OR(E6029="",E6029="!!!",F6029="NEW"),"",INDEX(B6028:B$2,-1+SUMPRODUCT(MAX(ROW(E6028:E$2)*(E6029=E6028:E$2)))))</f>
        <v> </v>
      </c>
      <c r="J6029" s="26" t="str">
        <f>IF(OR(E6029="",E6029="!!!",F6029="NEW"),"",COUNTBLANK(OFFSET(A$1,,,SUMPRODUCT(MAX(ROW(E$2:E6029)*(E6029=E$2:E6029)))))-COUNTBLANK(OFFSET(A$1,,,SUMPRODUCT(MAX(ROW(E$1:E6028)*(E2=E$1:E6028))))))</f>
        <v> </v>
      </c>
      <c r="K6029" s="26" t="str">
        <f>IF(OR(E6029="",E6029="!!!",F6029="NEW"),"",INDEX(J$1:J6028,SUMPRODUCT(MAX(ROW(E$1:E6028)*(E6029=E$1:E6028)))))</f>
        <v> </v>
      </c>
      <c r="L6029" s="27"/>
    </row>
    <row r="6030" spans="1:12">
      <c r="A6030" s="20" t="s">
        <v>1958</v>
      </c>
      <c r="E6030" s="22">
        <f>IF(D6030="?OLD","!!!","")</f>
        <v/>
      </c>
      <c r="F6030" s="23" t="str">
        <f>IF(OR(E6030="",E6030="!!!"),"",IF(NOT(ISNA(VLOOKUP(E6030,E$1:E6029,1,FALSE()))),"OLD",IF(AND(E6030&lt;&gt;"",E6030&lt;&gt;"!!!"),"NEW","")))</f>
        <v> </v>
      </c>
      <c r="G6030" s="24" t="str">
        <f>IF(OR(E6030="",E6030="!!!"),"",IF(OR(J6030=0,AND(J6030=1,K6030=1),AND(J6030=1,I6030="SBJ"),AND(J6030=1,I6030=0)),"?IN_FOCUS",IF(J6030&lt;=2,"?ACTIVATED",IF(J6030&lt;&gt;"","?FAMILIAR",IF(F6030="NEW",IF(ISNA(VLOOKUP(E6030,#REF!,1,FALSE())),"?TYPE_IDENTIFIABLE","?REFERENTIAL"),"_")))))</f>
        <v> </v>
      </c>
      <c r="H6030" s="25" t="str">
        <f>IF(J6030&lt;&gt;1,"",IF(I6030="SBJ","CB","?"))</f>
        <v> </v>
      </c>
      <c r="I6030" s="26" t="str">
        <f>IF(OR(E6030="",E6030="!!!",F6030="NEW"),"",INDEX(B6029:B$2,-1+SUMPRODUCT(MAX(ROW(E6029:E$2)*(E6030=E6029:E$2)))))</f>
        <v> </v>
      </c>
      <c r="J6030" s="26" t="str">
        <f>IF(OR(E6030="",E6030="!!!",F6030="NEW"),"",COUNTBLANK(OFFSET(A$1,,,SUMPRODUCT(MAX(ROW(E$2:E6030)*(E6030=E$2:E6030)))))-COUNTBLANK(OFFSET(A$1,,,SUMPRODUCT(MAX(ROW(E$1:E6029)*(E2=E$1:E6029))))))</f>
        <v> </v>
      </c>
      <c r="K6030" s="26" t="str">
        <f>IF(OR(E6030="",E6030="!!!",F6030="NEW"),"",INDEX(J$1:J6029,SUMPRODUCT(MAX(ROW(E$1:E6029)*(E6030=E$1:E6029)))))</f>
        <v> </v>
      </c>
      <c r="L6030" s="27"/>
    </row>
    <row r="6031" spans="1:12">
      <c r="A6031" s="20" t="s">
        <v>2835</v>
      </c>
      <c r="E6031" s="22">
        <f>IF(D6031="?OLD","!!!","")</f>
        <v/>
      </c>
      <c r="F6031" s="23" t="str">
        <f>IF(OR(E6031="",E6031="!!!"),"",IF(NOT(ISNA(VLOOKUP(E6031,E$1:E6030,1,FALSE()))),"OLD",IF(AND(E6031&lt;&gt;"",E6031&lt;&gt;"!!!"),"NEW","")))</f>
        <v> </v>
      </c>
      <c r="G6031" s="24" t="str">
        <f>IF(OR(E6031="",E6031="!!!"),"",IF(OR(J6031=0,AND(J6031=1,K6031=1),AND(J6031=1,I6031="SBJ"),AND(J6031=1,I6031=0)),"?IN_FOCUS",IF(J6031&lt;=2,"?ACTIVATED",IF(J6031&lt;&gt;"","?FAMILIAR",IF(F6031="NEW",IF(ISNA(VLOOKUP(E6031,#REF!,1,FALSE())),"?TYPE_IDENTIFIABLE","?REFERENTIAL"),"_")))))</f>
        <v> </v>
      </c>
      <c r="H6031" s="25" t="str">
        <f>IF(J6031&lt;&gt;1,"",IF(I6031="SBJ","CB","?"))</f>
        <v> </v>
      </c>
      <c r="I6031" s="26" t="str">
        <f>IF(OR(E6031="",E6031="!!!",F6031="NEW"),"",INDEX(B6030:B$2,-1+SUMPRODUCT(MAX(ROW(E6030:E$2)*(E6031=E6030:E$2)))))</f>
        <v> </v>
      </c>
      <c r="J6031" s="26" t="str">
        <f>IF(OR(E6031="",E6031="!!!",F6031="NEW"),"",COUNTBLANK(OFFSET(A$1,,,SUMPRODUCT(MAX(ROW(E$2:E6031)*(E6031=E$2:E6031)))))-COUNTBLANK(OFFSET(A$1,,,SUMPRODUCT(MAX(ROW(E$1:E6030)*(E2=E$1:E6030))))))</f>
        <v> </v>
      </c>
      <c r="K6031" s="26" t="str">
        <f>IF(OR(E6031="",E6031="!!!",F6031="NEW"),"",INDEX(J$1:J6030,SUMPRODUCT(MAX(ROW(E$1:E6030)*(E6031=E$1:E6030)))))</f>
        <v> </v>
      </c>
      <c r="L6031" s="27"/>
    </row>
    <row r="6032" spans="1:12">
      <c r="A6032" s="20" t="s">
        <v>1193</v>
      </c>
      <c r="E6032" s="22">
        <f>IF(D6032="?OLD","!!!","")</f>
        <v/>
      </c>
      <c r="F6032" s="23" t="str">
        <f>IF(OR(E6032="",E6032="!!!"),"",IF(NOT(ISNA(VLOOKUP(E6032,E$1:E6031,1,FALSE()))),"OLD",IF(AND(E6032&lt;&gt;"",E6032&lt;&gt;"!!!"),"NEW","")))</f>
        <v> </v>
      </c>
      <c r="G6032" s="24" t="str">
        <f>IF(OR(E6032="",E6032="!!!"),"",IF(OR(J6032=0,AND(J6032=1,K6032=1),AND(J6032=1,I6032="SBJ"),AND(J6032=1,I6032=0)),"?IN_FOCUS",IF(J6032&lt;=2,"?ACTIVATED",IF(J6032&lt;&gt;"","?FAMILIAR",IF(F6032="NEW",IF(ISNA(VLOOKUP(E6032,#REF!,1,FALSE())),"?TYPE_IDENTIFIABLE","?REFERENTIAL"),"_")))))</f>
        <v> </v>
      </c>
      <c r="H6032" s="25" t="str">
        <f>IF(J6032&lt;&gt;1,"",IF(I6032="SBJ","CB","?"))</f>
        <v> </v>
      </c>
      <c r="I6032" s="26" t="str">
        <f>IF(OR(E6032="",E6032="!!!",F6032="NEW"),"",INDEX(B6031:B$2,-1+SUMPRODUCT(MAX(ROW(E6031:E$2)*(E6032=E6031:E$2)))))</f>
        <v> </v>
      </c>
      <c r="J6032" s="26" t="str">
        <f>IF(OR(E6032="",E6032="!!!",F6032="NEW"),"",COUNTBLANK(OFFSET(A$1,,,SUMPRODUCT(MAX(ROW(E$2:E6032)*(E6032=E$2:E6032)))))-COUNTBLANK(OFFSET(A$1,,,SUMPRODUCT(MAX(ROW(E$1:E6031)*(E2=E$1:E6031))))))</f>
        <v> </v>
      </c>
      <c r="K6032" s="26" t="str">
        <f>IF(OR(E6032="",E6032="!!!",F6032="NEW"),"",INDEX(J$1:J6031,SUMPRODUCT(MAX(ROW(E$1:E6031)*(E6032=E$1:E6031)))))</f>
        <v> </v>
      </c>
      <c r="L6032" s="27"/>
    </row>
    <row r="6033" spans="1:12">
      <c r="A6033" s="20" t="s">
        <v>2836</v>
      </c>
      <c r="E6033" s="22">
        <f>IF(D6033="?OLD","!!!","")</f>
        <v/>
      </c>
      <c r="F6033" s="23" t="str">
        <f>IF(OR(E6033="",E6033="!!!"),"",IF(NOT(ISNA(VLOOKUP(E6033,E$1:E6032,1,FALSE()))),"OLD",IF(AND(E6033&lt;&gt;"",E6033&lt;&gt;"!!!"),"NEW","")))</f>
        <v> </v>
      </c>
      <c r="G6033" s="24" t="str">
        <f>IF(OR(E6033="",E6033="!!!"),"",IF(OR(J6033=0,AND(J6033=1,K6033=1),AND(J6033=1,I6033="SBJ"),AND(J6033=1,I6033=0)),"?IN_FOCUS",IF(J6033&lt;=2,"?ACTIVATED",IF(J6033&lt;&gt;"","?FAMILIAR",IF(F6033="NEW",IF(ISNA(VLOOKUP(E6033,#REF!,1,FALSE())),"?TYPE_IDENTIFIABLE","?REFERENTIAL"),"_")))))</f>
        <v> </v>
      </c>
      <c r="H6033" s="25" t="str">
        <f>IF(J6033&lt;&gt;1,"",IF(I6033="SBJ","CB","?"))</f>
        <v> </v>
      </c>
      <c r="I6033" s="26" t="str">
        <f>IF(OR(E6033="",E6033="!!!",F6033="NEW"),"",INDEX(B6032:B$2,-1+SUMPRODUCT(MAX(ROW(E6032:E$2)*(E6033=E6032:E$2)))))</f>
        <v> </v>
      </c>
      <c r="J6033" s="26" t="str">
        <f>IF(OR(E6033="",E6033="!!!",F6033="NEW"),"",COUNTBLANK(OFFSET(A$1,,,SUMPRODUCT(MAX(ROW(E$2:E6033)*(E6033=E$2:E6033)))))-COUNTBLANK(OFFSET(A$1,,,SUMPRODUCT(MAX(ROW(E$1:E6032)*(E2=E$1:E6032))))))</f>
        <v> </v>
      </c>
      <c r="K6033" s="26" t="str">
        <f>IF(OR(E6033="",E6033="!!!",F6033="NEW"),"",INDEX(J$1:J6032,SUMPRODUCT(MAX(ROW(E$1:E6032)*(E6033=E$1:E6032)))))</f>
        <v> </v>
      </c>
      <c r="L6033" s="27"/>
    </row>
    <row r="6034" spans="1:12">
      <c r="A6034" s="20" t="s">
        <v>1194</v>
      </c>
      <c r="E6034" s="22">
        <f>IF(D6034="?OLD","!!!","")</f>
        <v/>
      </c>
      <c r="F6034" s="23" t="str">
        <f>IF(OR(E6034="",E6034="!!!"),"",IF(NOT(ISNA(VLOOKUP(E6034,E$1:E6033,1,FALSE()))),"OLD",IF(AND(E6034&lt;&gt;"",E6034&lt;&gt;"!!!"),"NEW","")))</f>
        <v> </v>
      </c>
      <c r="G6034" s="24" t="str">
        <f>IF(OR(E6034="",E6034="!!!"),"",IF(OR(J6034=0,AND(J6034=1,K6034=1),AND(J6034=1,I6034="SBJ"),AND(J6034=1,I6034=0)),"?IN_FOCUS",IF(J6034&lt;=2,"?ACTIVATED",IF(J6034&lt;&gt;"","?FAMILIAR",IF(F6034="NEW",IF(ISNA(VLOOKUP(E6034,#REF!,1,FALSE())),"?TYPE_IDENTIFIABLE","?REFERENTIAL"),"_")))))</f>
        <v> </v>
      </c>
      <c r="H6034" s="25" t="str">
        <f>IF(J6034&lt;&gt;1,"",IF(I6034="SBJ","CB","?"))</f>
        <v> </v>
      </c>
      <c r="I6034" s="26" t="str">
        <f>IF(OR(E6034="",E6034="!!!",F6034="NEW"),"",INDEX(B6033:B$2,-1+SUMPRODUCT(MAX(ROW(E6033:E$2)*(E6034=E6033:E$2)))))</f>
        <v> </v>
      </c>
      <c r="J6034" s="26" t="str">
        <f>IF(OR(E6034="",E6034="!!!",F6034="NEW"),"",COUNTBLANK(OFFSET(A$1,,,SUMPRODUCT(MAX(ROW(E$2:E6034)*(E6034=E$2:E6034)))))-COUNTBLANK(OFFSET(A$1,,,SUMPRODUCT(MAX(ROW(E$1:E6033)*(E2=E$1:E6033))))))</f>
        <v> </v>
      </c>
      <c r="K6034" s="26" t="str">
        <f>IF(OR(E6034="",E6034="!!!",F6034="NEW"),"",INDEX(J$1:J6033,SUMPRODUCT(MAX(ROW(E$1:E6033)*(E6034=E$1:E6033)))))</f>
        <v> </v>
      </c>
      <c r="L6034" s="27"/>
    </row>
    <row r="6035" spans="1:12">
      <c r="A6035" s="20" t="s">
        <v>2837</v>
      </c>
      <c r="B6035" s="21" t="s">
        <v>1248</v>
      </c>
      <c r="C6035" s="21" t="s">
        <v>1196</v>
      </c>
      <c r="D6035" s="21" t="s">
        <v>1188</v>
      </c>
      <c r="E6035" s="22">
        <f>IF(D6035="?OLD","!!!","")</f>
        <v/>
      </c>
      <c r="F6035" s="23" t="str">
        <f>IF(OR(E6035="",E6035="!!!"),"",IF(NOT(ISNA(VLOOKUP(E6035,E$1:E6034,1,FALSE()))),"OLD",IF(AND(E6035&lt;&gt;"",E6035&lt;&gt;"!!!"),"NEW","")))</f>
        <v> </v>
      </c>
      <c r="G6035" s="24" t="str">
        <f>IF(OR(E6035="",E6035="!!!"),"",IF(OR(J6035=0,AND(J6035=1,K6035=1),AND(J6035=1,I6035="SBJ"),AND(J6035=1,I6035=0)),"?IN_FOCUS",IF(J6035&lt;=2,"?ACTIVATED",IF(J6035&lt;&gt;"","?FAMILIAR",IF(F6035="NEW",IF(ISNA(VLOOKUP(E6035,#REF!,1,FALSE())),"?TYPE_IDENTIFIABLE","?REFERENTIAL"),"_")))))</f>
        <v> </v>
      </c>
      <c r="H6035" s="25" t="str">
        <f>IF(J6035&lt;&gt;1,"",IF(I6035="SBJ","CB","?"))</f>
        <v> </v>
      </c>
      <c r="I6035" s="26" t="str">
        <f>IF(OR(E6035="",E6035="!!!",F6035="NEW"),"",INDEX(B6034:B$2,-1+SUMPRODUCT(MAX(ROW(E6034:E$2)*(E6035=E6034:E$2)))))</f>
        <v> </v>
      </c>
      <c r="J6035" s="26" t="str">
        <f>IF(OR(E6035="",E6035="!!!",F6035="NEW"),"",COUNTBLANK(OFFSET(A$1,,,SUMPRODUCT(MAX(ROW(E$2:E6035)*(E6035=E$2:E6035)))))-COUNTBLANK(OFFSET(A$1,,,SUMPRODUCT(MAX(ROW(E$1:E6034)*(E2=E$1:E6034))))))</f>
        <v> </v>
      </c>
      <c r="K6035" s="26" t="str">
        <f>IF(OR(E6035="",E6035="!!!",F6035="NEW"),"",INDEX(J$1:J6034,SUMPRODUCT(MAX(ROW(E$1:E6034)*(E6035=E$1:E6034)))))</f>
        <v> </v>
      </c>
      <c r="L6035" s="27"/>
    </row>
    <row r="6036" spans="1:12">
      <c r="A6036" s="20" t="s">
        <v>1206</v>
      </c>
      <c r="E6036" s="22">
        <f>IF(D6036="?OLD","!!!","")</f>
        <v/>
      </c>
      <c r="F6036" s="23" t="str">
        <f>IF(OR(E6036="",E6036="!!!"),"",IF(NOT(ISNA(VLOOKUP(E6036,E$1:E6035,1,FALSE()))),"OLD",IF(AND(E6036&lt;&gt;"",E6036&lt;&gt;"!!!"),"NEW","")))</f>
        <v> </v>
      </c>
      <c r="G6036" s="24" t="str">
        <f>IF(OR(E6036="",E6036="!!!"),"",IF(OR(J6036=0,AND(J6036=1,K6036=1),AND(J6036=1,I6036="SBJ"),AND(J6036=1,I6036=0)),"?IN_FOCUS",IF(J6036&lt;=2,"?ACTIVATED",IF(J6036&lt;&gt;"","?FAMILIAR",IF(F6036="NEW",IF(ISNA(VLOOKUP(E6036,#REF!,1,FALSE())),"?TYPE_IDENTIFIABLE","?REFERENTIAL"),"_")))))</f>
        <v> </v>
      </c>
      <c r="H6036" s="25" t="str">
        <f>IF(J6036&lt;&gt;1,"",IF(I6036="SBJ","CB","?"))</f>
        <v> </v>
      </c>
      <c r="I6036" s="26" t="str">
        <f>IF(OR(E6036="",E6036="!!!",F6036="NEW"),"",INDEX(B6035:B$2,-1+SUMPRODUCT(MAX(ROW(E6035:E$2)*(E6036=E6035:E$2)))))</f>
        <v> </v>
      </c>
      <c r="J6036" s="26" t="str">
        <f>IF(OR(E6036="",E6036="!!!",F6036="NEW"),"",COUNTBLANK(OFFSET(A$1,,,SUMPRODUCT(MAX(ROW(E$2:E6036)*(E6036=E$2:E6036)))))-COUNTBLANK(OFFSET(A$1,,,SUMPRODUCT(MAX(ROW(E$1:E6035)*(E2=E$1:E6035))))))</f>
        <v> </v>
      </c>
      <c r="K6036" s="26" t="str">
        <f>IF(OR(E6036="",E6036="!!!",F6036="NEW"),"",INDEX(J$1:J6035,SUMPRODUCT(MAX(ROW(E$1:E6035)*(E6036=E$1:E6035)))))</f>
        <v> </v>
      </c>
      <c r="L6036" s="27"/>
    </row>
    <row r="6037" spans="1:12">
      <c r="A6037" s="20" t="s">
        <v>1345</v>
      </c>
      <c r="B6037" s="21" t="s">
        <v>1215</v>
      </c>
      <c r="C6037" s="21" t="s">
        <v>1196</v>
      </c>
      <c r="D6037" s="21" t="s">
        <v>1188</v>
      </c>
      <c r="E6037" s="22">
        <f>IF(D6037="?OLD","!!!","")</f>
        <v/>
      </c>
      <c r="F6037" s="23" t="str">
        <f>IF(OR(E6037="",E6037="!!!"),"",IF(NOT(ISNA(VLOOKUP(E6037,E$1:E6036,1,FALSE()))),"OLD",IF(AND(E6037&lt;&gt;"",E6037&lt;&gt;"!!!"),"NEW","")))</f>
        <v> </v>
      </c>
      <c r="G6037" s="24" t="str">
        <f>IF(OR(E6037="",E6037="!!!"),"",IF(OR(J6037=0,AND(J6037=1,K6037=1),AND(J6037=1,I6037="SBJ"),AND(J6037=1,I6037=0)),"?IN_FOCUS",IF(J6037&lt;=2,"?ACTIVATED",IF(J6037&lt;&gt;"","?FAMILIAR",IF(F6037="NEW",IF(ISNA(VLOOKUP(E6037,#REF!,1,FALSE())),"?TYPE_IDENTIFIABLE","?REFERENTIAL"),"_")))))</f>
        <v> </v>
      </c>
      <c r="H6037" s="25" t="str">
        <f>IF(J6037&lt;&gt;1,"",IF(I6037="SBJ","CB","?"))</f>
        <v> </v>
      </c>
      <c r="I6037" s="26" t="str">
        <f>IF(OR(E6037="",E6037="!!!",F6037="NEW"),"",INDEX(B6036:B$2,-1+SUMPRODUCT(MAX(ROW(E6036:E$2)*(E6037=E6036:E$2)))))</f>
        <v> </v>
      </c>
      <c r="J6037" s="26" t="str">
        <f>IF(OR(E6037="",E6037="!!!",F6037="NEW"),"",COUNTBLANK(OFFSET(A$1,,,SUMPRODUCT(MAX(ROW(E$2:E6037)*(E6037=E$2:E6037)))))-COUNTBLANK(OFFSET(A$1,,,SUMPRODUCT(MAX(ROW(E$1:E6036)*(E2=E$1:E6036))))))</f>
        <v> </v>
      </c>
      <c r="K6037" s="26" t="str">
        <f>IF(OR(E6037="",E6037="!!!",F6037="NEW"),"",INDEX(J$1:J6036,SUMPRODUCT(MAX(ROW(E$1:E6036)*(E6037=E$1:E6036)))))</f>
        <v> </v>
      </c>
      <c r="L6037" s="27"/>
    </row>
    <row r="6038" spans="1:12">
      <c r="A6038" s="20" t="s">
        <v>1520</v>
      </c>
      <c r="E6038" s="22">
        <f>IF(D6038="?OLD","!!!","")</f>
        <v/>
      </c>
      <c r="F6038" s="23" t="str">
        <f>IF(OR(E6038="",E6038="!!!"),"",IF(NOT(ISNA(VLOOKUP(E6038,E$1:E6037,1,FALSE()))),"OLD",IF(AND(E6038&lt;&gt;"",E6038&lt;&gt;"!!!"),"NEW","")))</f>
        <v> </v>
      </c>
      <c r="G6038" s="24" t="str">
        <f>IF(OR(E6038="",E6038="!!!"),"",IF(OR(J6038=0,AND(J6038=1,K6038=1),AND(J6038=1,I6038="SBJ"),AND(J6038=1,I6038=0)),"?IN_FOCUS",IF(J6038&lt;=2,"?ACTIVATED",IF(J6038&lt;&gt;"","?FAMILIAR",IF(F6038="NEW",IF(ISNA(VLOOKUP(E6038,#REF!,1,FALSE())),"?TYPE_IDENTIFIABLE","?REFERENTIAL"),"_")))))</f>
        <v> </v>
      </c>
      <c r="H6038" s="25" t="str">
        <f>IF(J6038&lt;&gt;1,"",IF(I6038="SBJ","CB","?"))</f>
        <v> </v>
      </c>
      <c r="I6038" s="26" t="str">
        <f>IF(OR(E6038="",E6038="!!!",F6038="NEW"),"",INDEX(B6037:B$2,-1+SUMPRODUCT(MAX(ROW(E6037:E$2)*(E6038=E6037:E$2)))))</f>
        <v> </v>
      </c>
      <c r="J6038" s="26" t="str">
        <f>IF(OR(E6038="",E6038="!!!",F6038="NEW"),"",COUNTBLANK(OFFSET(A$1,,,SUMPRODUCT(MAX(ROW(E$2:E6038)*(E6038=E$2:E6038)))))-COUNTBLANK(OFFSET(A$1,,,SUMPRODUCT(MAX(ROW(E$1:E6037)*(E2=E$1:E6037))))))</f>
        <v> </v>
      </c>
      <c r="K6038" s="26" t="str">
        <f>IF(OR(E6038="",E6038="!!!",F6038="NEW"),"",INDEX(J$1:J6037,SUMPRODUCT(MAX(ROW(E$1:E6037)*(E6038=E$1:E6037)))))</f>
        <v> </v>
      </c>
      <c r="L6038" s="27"/>
    </row>
    <row r="6039" spans="1:12">
      <c r="A6039" s="20" t="s">
        <v>680</v>
      </c>
      <c r="E6039" s="22">
        <f>IF(D6039="?OLD","!!!","")</f>
        <v/>
      </c>
      <c r="F6039" s="23" t="str">
        <f>IF(OR(E6039="",E6039="!!!"),"",IF(NOT(ISNA(VLOOKUP(E6039,E$1:E6038,1,FALSE()))),"OLD",IF(AND(E6039&lt;&gt;"",E6039&lt;&gt;"!!!"),"NEW","")))</f>
        <v> </v>
      </c>
      <c r="G6039" s="24" t="str">
        <f>IF(OR(E6039="",E6039="!!!"),"",IF(OR(J6039=0,AND(J6039=1,K6039=1),AND(J6039=1,I6039="SBJ"),AND(J6039=1,I6039=0)),"?IN_FOCUS",IF(J6039&lt;=2,"?ACTIVATED",IF(J6039&lt;&gt;"","?FAMILIAR",IF(F6039="NEW",IF(ISNA(VLOOKUP(E6039,#REF!,1,FALSE())),"?TYPE_IDENTIFIABLE","?REFERENTIAL"),"_")))))</f>
        <v> </v>
      </c>
      <c r="H6039" s="25" t="str">
        <f>IF(J6039&lt;&gt;1,"",IF(I6039="SBJ","CB","?"))</f>
        <v> </v>
      </c>
      <c r="I6039" s="26" t="str">
        <f>IF(OR(E6039="",E6039="!!!",F6039="NEW"),"",INDEX(B6038:B$2,-1+SUMPRODUCT(MAX(ROW(E6038:E$2)*(E6039=E6038:E$2)))))</f>
        <v> </v>
      </c>
      <c r="J6039" s="26" t="str">
        <f>IF(OR(E6039="",E6039="!!!",F6039="NEW"),"",COUNTBLANK(OFFSET(A$1,,,SUMPRODUCT(MAX(ROW(E$2:E6039)*(E6039=E$2:E6039)))))-COUNTBLANK(OFFSET(A$1,,,SUMPRODUCT(MAX(ROW(E$1:E6038)*(E2=E$1:E6038))))))</f>
        <v> </v>
      </c>
      <c r="K6039" s="26" t="str">
        <f>IF(OR(E6039="",E6039="!!!",F6039="NEW"),"",INDEX(J$1:J6038,SUMPRODUCT(MAX(ROW(E$1:E6038)*(E6039=E$1:E6038)))))</f>
        <v> </v>
      </c>
      <c r="L6039" s="27"/>
    </row>
    <row r="6040" spans="1:12">
      <c r="A6040" s="20" t="s">
        <v>2838</v>
      </c>
      <c r="B6040" s="21" t="s">
        <v>1245</v>
      </c>
      <c r="C6040" s="21" t="s">
        <v>1231</v>
      </c>
      <c r="E6040" s="22">
        <f>IF(D6040="?OLD","!!!","")</f>
        <v/>
      </c>
      <c r="F6040" s="23" t="str">
        <f>IF(OR(E6040="",E6040="!!!"),"",IF(NOT(ISNA(VLOOKUP(E6040,E$1:E6039,1,FALSE()))),"OLD",IF(AND(E6040&lt;&gt;"",E6040&lt;&gt;"!!!"),"NEW","")))</f>
        <v> </v>
      </c>
      <c r="G6040" s="24" t="str">
        <f>IF(OR(E6040="",E6040="!!!"),"",IF(OR(J6040=0,AND(J6040=1,K6040=1),AND(J6040=1,I6040="SBJ"),AND(J6040=1,I6040=0)),"?IN_FOCUS",IF(J6040&lt;=2,"?ACTIVATED",IF(J6040&lt;&gt;"","?FAMILIAR",IF(F6040="NEW",IF(ISNA(VLOOKUP(E6040,#REF!,1,FALSE())),"?TYPE_IDENTIFIABLE","?REFERENTIAL"),"_")))))</f>
        <v> </v>
      </c>
      <c r="H6040" s="25" t="str">
        <f>IF(J6040&lt;&gt;1,"",IF(I6040="SBJ","CB","?"))</f>
        <v> </v>
      </c>
      <c r="I6040" s="26" t="str">
        <f>IF(OR(E6040="",E6040="!!!",F6040="NEW"),"",INDEX(B6039:B$2,-1+SUMPRODUCT(MAX(ROW(E6039:E$2)*(E6040=E6039:E$2)))))</f>
        <v> </v>
      </c>
      <c r="J6040" s="26" t="str">
        <f>IF(OR(E6040="",E6040="!!!",F6040="NEW"),"",COUNTBLANK(OFFSET(A$1,,,SUMPRODUCT(MAX(ROW(E$2:E6040)*(E6040=E$2:E6040)))))-COUNTBLANK(OFFSET(A$1,,,SUMPRODUCT(MAX(ROW(E$1:E6039)*(E2=E$1:E6039))))))</f>
        <v> </v>
      </c>
      <c r="K6040" s="26" t="str">
        <f>IF(OR(E6040="",E6040="!!!",F6040="NEW"),"",INDEX(J$1:J6039,SUMPRODUCT(MAX(ROW(E$1:E6039)*(E6040=E$1:E6039)))))</f>
        <v> </v>
      </c>
      <c r="L6040" s="27"/>
    </row>
    <row r="6041" spans="1:12">
      <c r="A6041" s="20" t="s">
        <v>1197</v>
      </c>
      <c r="E6041" s="22">
        <f>IF(D6041="?OLD","!!!","")</f>
        <v/>
      </c>
      <c r="F6041" s="23" t="str">
        <f>IF(OR(E6041="",E6041="!!!"),"",IF(NOT(ISNA(VLOOKUP(E6041,E$1:E6040,1,FALSE()))),"OLD",IF(AND(E6041&lt;&gt;"",E6041&lt;&gt;"!!!"),"NEW","")))</f>
        <v> </v>
      </c>
      <c r="G6041" s="24" t="str">
        <f>IF(OR(E6041="",E6041="!!!"),"",IF(OR(J6041=0,AND(J6041=1,K6041=1),AND(J6041=1,I6041="SBJ"),AND(J6041=1,I6041=0)),"?IN_FOCUS",IF(J6041&lt;=2,"?ACTIVATED",IF(J6041&lt;&gt;"","?FAMILIAR",IF(F6041="NEW",IF(ISNA(VLOOKUP(E6041,#REF!,1,FALSE())),"?TYPE_IDENTIFIABLE","?REFERENTIAL"),"_")))))</f>
        <v> </v>
      </c>
      <c r="H6041" s="25" t="str">
        <f>IF(J6041&lt;&gt;1,"",IF(I6041="SBJ","CB","?"))</f>
        <v> </v>
      </c>
      <c r="I6041" s="26" t="str">
        <f>IF(OR(E6041="",E6041="!!!",F6041="NEW"),"",INDEX(B6040:B$2,-1+SUMPRODUCT(MAX(ROW(E6040:E$2)*(E6041=E6040:E$2)))))</f>
        <v> </v>
      </c>
      <c r="J6041" s="26" t="str">
        <f>IF(OR(E6041="",E6041="!!!",F6041="NEW"),"",COUNTBLANK(OFFSET(A$1,,,SUMPRODUCT(MAX(ROW(E$2:E6041)*(E6041=E$2:E6041)))))-COUNTBLANK(OFFSET(A$1,,,SUMPRODUCT(MAX(ROW(E$1:E6040)*(E2=E$1:E6040))))))</f>
        <v> </v>
      </c>
      <c r="K6041" s="26" t="str">
        <f>IF(OR(E6041="",E6041="!!!",F6041="NEW"),"",INDEX(J$1:J6040,SUMPRODUCT(MAX(ROW(E$1:E6040)*(E6041=E$1:E6040)))))</f>
        <v> </v>
      </c>
      <c r="L6041" s="27"/>
    </row>
    <row r="6042" spans="1:12">
      <c r="A6042" s="20" t="s">
        <v>2839</v>
      </c>
      <c r="B6042" s="21" t="s">
        <v>1215</v>
      </c>
      <c r="C6042" s="21" t="s">
        <v>1615</v>
      </c>
      <c r="D6042" s="21" t="s">
        <v>1188</v>
      </c>
      <c r="E6042" s="22">
        <f>IF(D6042="?OLD","!!!","")</f>
        <v/>
      </c>
      <c r="F6042" s="23" t="str">
        <f>IF(OR(E6042="",E6042="!!!"),"",IF(NOT(ISNA(VLOOKUP(E6042,E$1:E6041,1,FALSE()))),"OLD",IF(AND(E6042&lt;&gt;"",E6042&lt;&gt;"!!!"),"NEW","")))</f>
        <v> </v>
      </c>
      <c r="G6042" s="24" t="str">
        <f>IF(OR(E6042="",E6042="!!!"),"",IF(OR(J6042=0,AND(J6042=1,K6042=1),AND(J6042=1,I6042="SBJ"),AND(J6042=1,I6042=0)),"?IN_FOCUS",IF(J6042&lt;=2,"?ACTIVATED",IF(J6042&lt;&gt;"","?FAMILIAR",IF(F6042="NEW",IF(ISNA(VLOOKUP(E6042,#REF!,1,FALSE())),"?TYPE_IDENTIFIABLE","?REFERENTIAL"),"_")))))</f>
        <v> </v>
      </c>
      <c r="H6042" s="25" t="str">
        <f>IF(J6042&lt;&gt;1,"",IF(I6042="SBJ","CB","?"))</f>
        <v> </v>
      </c>
      <c r="I6042" s="26" t="str">
        <f>IF(OR(E6042="",E6042="!!!",F6042="NEW"),"",INDEX(B6041:B$2,-1+SUMPRODUCT(MAX(ROW(E6041:E$2)*(E6042=E6041:E$2)))))</f>
        <v> </v>
      </c>
      <c r="J6042" s="26" t="str">
        <f>IF(OR(E6042="",E6042="!!!",F6042="NEW"),"",COUNTBLANK(OFFSET(A$1,,,SUMPRODUCT(MAX(ROW(E$2:E6042)*(E6042=E$2:E6042)))))-COUNTBLANK(OFFSET(A$1,,,SUMPRODUCT(MAX(ROW(E$1:E6041)*(E2=E$1:E6041))))))</f>
        <v> </v>
      </c>
      <c r="K6042" s="26" t="str">
        <f>IF(OR(E6042="",E6042="!!!",F6042="NEW"),"",INDEX(J$1:J6041,SUMPRODUCT(MAX(ROW(E$1:E6041)*(E6042=E$1:E6041)))))</f>
        <v> </v>
      </c>
      <c r="L6042" s="27"/>
    </row>
    <row r="6043" spans="1:12">
      <c r="A6043" s="20" t="s">
        <v>2823</v>
      </c>
      <c r="E6043" s="22">
        <f>IF(D6043="?OLD","!!!","")</f>
        <v/>
      </c>
      <c r="F6043" s="23" t="str">
        <f>IF(OR(E6043="",E6043="!!!"),"",IF(NOT(ISNA(VLOOKUP(E6043,E$1:E6042,1,FALSE()))),"OLD",IF(AND(E6043&lt;&gt;"",E6043&lt;&gt;"!!!"),"NEW","")))</f>
        <v> </v>
      </c>
      <c r="G6043" s="24" t="str">
        <f>IF(OR(E6043="",E6043="!!!"),"",IF(OR(J6043=0,AND(J6043=1,K6043=1),AND(J6043=1,I6043="SBJ"),AND(J6043=1,I6043=0)),"?IN_FOCUS",IF(J6043&lt;=2,"?ACTIVATED",IF(J6043&lt;&gt;"","?FAMILIAR",IF(F6043="NEW",IF(ISNA(VLOOKUP(E6043,#REF!,1,FALSE())),"?TYPE_IDENTIFIABLE","?REFERENTIAL"),"_")))))</f>
        <v> </v>
      </c>
      <c r="H6043" s="25" t="str">
        <f>IF(J6043&lt;&gt;1,"",IF(I6043="SBJ","CB","?"))</f>
        <v> </v>
      </c>
      <c r="I6043" s="26" t="str">
        <f>IF(OR(E6043="",E6043="!!!",F6043="NEW"),"",INDEX(B6042:B$2,-1+SUMPRODUCT(MAX(ROW(E6042:E$2)*(E6043=E6042:E$2)))))</f>
        <v> </v>
      </c>
      <c r="J6043" s="26" t="str">
        <f>IF(OR(E6043="",E6043="!!!",F6043="NEW"),"",COUNTBLANK(OFFSET(A$1,,,SUMPRODUCT(MAX(ROW(E$2:E6043)*(E6043=E$2:E6043)))))-COUNTBLANK(OFFSET(A$1,,,SUMPRODUCT(MAX(ROW(E$1:E6042)*(E2=E$1:E6042))))))</f>
        <v> </v>
      </c>
      <c r="K6043" s="26" t="str">
        <f>IF(OR(E6043="",E6043="!!!",F6043="NEW"),"",INDEX(J$1:J6042,SUMPRODUCT(MAX(ROW(E$1:E6042)*(E6043=E$1:E6042)))))</f>
        <v> </v>
      </c>
      <c r="L6043" s="27"/>
    </row>
    <row r="6044" spans="1:12">
      <c r="A6044" s="20" t="s">
        <v>2808</v>
      </c>
      <c r="E6044" s="22">
        <f>IF(D6044="?OLD","!!!","")</f>
        <v/>
      </c>
      <c r="F6044" s="23" t="str">
        <f>IF(OR(E6044="",E6044="!!!"),"",IF(NOT(ISNA(VLOOKUP(E6044,E$1:E6043,1,FALSE()))),"OLD",IF(AND(E6044&lt;&gt;"",E6044&lt;&gt;"!!!"),"NEW","")))</f>
        <v> </v>
      </c>
      <c r="G6044" s="24" t="str">
        <f>IF(OR(E6044="",E6044="!!!"),"",IF(OR(J6044=0,AND(J6044=1,K6044=1),AND(J6044=1,I6044="SBJ"),AND(J6044=1,I6044=0)),"?IN_FOCUS",IF(J6044&lt;=2,"?ACTIVATED",IF(J6044&lt;&gt;"","?FAMILIAR",IF(F6044="NEW",IF(ISNA(VLOOKUP(E6044,#REF!,1,FALSE())),"?TYPE_IDENTIFIABLE","?REFERENTIAL"),"_")))))</f>
        <v> </v>
      </c>
      <c r="H6044" s="25" t="str">
        <f>IF(J6044&lt;&gt;1,"",IF(I6044="SBJ","CB","?"))</f>
        <v> </v>
      </c>
      <c r="I6044" s="26" t="str">
        <f>IF(OR(E6044="",E6044="!!!",F6044="NEW"),"",INDEX(B6043:B$2,-1+SUMPRODUCT(MAX(ROW(E6043:E$2)*(E6044=E6043:E$2)))))</f>
        <v> </v>
      </c>
      <c r="J6044" s="26" t="str">
        <f>IF(OR(E6044="",E6044="!!!",F6044="NEW"),"",COUNTBLANK(OFFSET(A$1,,,SUMPRODUCT(MAX(ROW(E$2:E6044)*(E6044=E$2:E6044)))))-COUNTBLANK(OFFSET(A$1,,,SUMPRODUCT(MAX(ROW(E$1:E6043)*(E2=E$1:E6043))))))</f>
        <v> </v>
      </c>
      <c r="K6044" s="26" t="str">
        <f>IF(OR(E6044="",E6044="!!!",F6044="NEW"),"",INDEX(J$1:J6043,SUMPRODUCT(MAX(ROW(E$1:E6043)*(E6044=E$1:E6043)))))</f>
        <v> </v>
      </c>
      <c r="L6044" s="27"/>
    </row>
    <row r="6045" spans="1:12">
      <c r="A6045" s="20" t="s">
        <v>163</v>
      </c>
      <c r="E6045" s="22">
        <f>IF(D6045="?OLD","!!!","")</f>
        <v/>
      </c>
      <c r="F6045" s="23" t="str">
        <f>IF(OR(E6045="",E6045="!!!"),"",IF(NOT(ISNA(VLOOKUP(E6045,E$1:E6044,1,FALSE()))),"OLD",IF(AND(E6045&lt;&gt;"",E6045&lt;&gt;"!!!"),"NEW","")))</f>
        <v> </v>
      </c>
      <c r="G6045" s="24" t="str">
        <f>IF(OR(E6045="",E6045="!!!"),"",IF(OR(J6045=0,AND(J6045=1,K6045=1),AND(J6045=1,I6045="SBJ"),AND(J6045=1,I6045=0)),"?IN_FOCUS",IF(J6045&lt;=2,"?ACTIVATED",IF(J6045&lt;&gt;"","?FAMILIAR",IF(F6045="NEW",IF(ISNA(VLOOKUP(E6045,#REF!,1,FALSE())),"?TYPE_IDENTIFIABLE","?REFERENTIAL"),"_")))))</f>
        <v> </v>
      </c>
      <c r="H6045" s="25" t="str">
        <f>IF(J6045&lt;&gt;1,"",IF(I6045="SBJ","CB","?"))</f>
        <v> </v>
      </c>
      <c r="I6045" s="26" t="str">
        <f>IF(OR(E6045="",E6045="!!!",F6045="NEW"),"",INDEX(B6044:B$2,-1+SUMPRODUCT(MAX(ROW(E6044:E$2)*(E6045=E6044:E$2)))))</f>
        <v> </v>
      </c>
      <c r="J6045" s="26" t="str">
        <f>IF(OR(E6045="",E6045="!!!",F6045="NEW"),"",COUNTBLANK(OFFSET(A$1,,,SUMPRODUCT(MAX(ROW(E$2:E6045)*(E6045=E$2:E6045)))))-COUNTBLANK(OFFSET(A$1,,,SUMPRODUCT(MAX(ROW(E$1:E6044)*(E2=E$1:E6044))))))</f>
        <v> </v>
      </c>
      <c r="K6045" s="26" t="str">
        <f>IF(OR(E6045="",E6045="!!!",F6045="NEW"),"",INDEX(J$1:J6044,SUMPRODUCT(MAX(ROW(E$1:E6044)*(E6045=E$1:E6044)))))</f>
        <v> </v>
      </c>
      <c r="L6045" s="27"/>
    </row>
    <row r="6046" spans="1:12">
      <c r="A6046" s="20" t="s">
        <v>1193</v>
      </c>
      <c r="E6046" s="22">
        <f>IF(D6046="?OLD","!!!","")</f>
        <v/>
      </c>
      <c r="F6046" s="23" t="str">
        <f>IF(OR(E6046="",E6046="!!!"),"",IF(NOT(ISNA(VLOOKUP(E6046,E$1:E6045,1,FALSE()))),"OLD",IF(AND(E6046&lt;&gt;"",E6046&lt;&gt;"!!!"),"NEW","")))</f>
        <v> </v>
      </c>
      <c r="G6046" s="24" t="str">
        <f>IF(OR(E6046="",E6046="!!!"),"",IF(OR(J6046=0,AND(J6046=1,K6046=1),AND(J6046=1,I6046="SBJ"),AND(J6046=1,I6046=0)),"?IN_FOCUS",IF(J6046&lt;=2,"?ACTIVATED",IF(J6046&lt;&gt;"","?FAMILIAR",IF(F6046="NEW",IF(ISNA(VLOOKUP(E6046,#REF!,1,FALSE())),"?TYPE_IDENTIFIABLE","?REFERENTIAL"),"_")))))</f>
        <v> </v>
      </c>
      <c r="H6046" s="25" t="str">
        <f>IF(J6046&lt;&gt;1,"",IF(I6046="SBJ","CB","?"))</f>
        <v> </v>
      </c>
      <c r="I6046" s="26" t="str">
        <f>IF(OR(E6046="",E6046="!!!",F6046="NEW"),"",INDEX(B6045:B$2,-1+SUMPRODUCT(MAX(ROW(E6045:E$2)*(E6046=E6045:E$2)))))</f>
        <v> </v>
      </c>
      <c r="J6046" s="26" t="str">
        <f>IF(OR(E6046="",E6046="!!!",F6046="NEW"),"",COUNTBLANK(OFFSET(A$1,,,SUMPRODUCT(MAX(ROW(E$2:E6046)*(E6046=E$2:E6046)))))-COUNTBLANK(OFFSET(A$1,,,SUMPRODUCT(MAX(ROW(E$1:E6045)*(E2=E$1:E6045))))))</f>
        <v> </v>
      </c>
      <c r="K6046" s="26" t="str">
        <f>IF(OR(E6046="",E6046="!!!",F6046="NEW"),"",INDEX(J$1:J6045,SUMPRODUCT(MAX(ROW(E$1:E6045)*(E6046=E$1:E6045)))))</f>
        <v> </v>
      </c>
      <c r="L6046" s="27"/>
    </row>
    <row r="6047" spans="1:12">
      <c r="A6047" s="20" t="s">
        <v>1302</v>
      </c>
      <c r="E6047" s="22">
        <f>IF(D6047="?OLD","!!!","")</f>
        <v/>
      </c>
      <c r="F6047" s="23" t="str">
        <f>IF(OR(E6047="",E6047="!!!"),"",IF(NOT(ISNA(VLOOKUP(E6047,E$1:E6046,1,FALSE()))),"OLD",IF(AND(E6047&lt;&gt;"",E6047&lt;&gt;"!!!"),"NEW","")))</f>
        <v> </v>
      </c>
      <c r="G6047" s="24" t="str">
        <f>IF(OR(E6047="",E6047="!!!"),"",IF(OR(J6047=0,AND(J6047=1,K6047=1),AND(J6047=1,I6047="SBJ"),AND(J6047=1,I6047=0)),"?IN_FOCUS",IF(J6047&lt;=2,"?ACTIVATED",IF(J6047&lt;&gt;"","?FAMILIAR",IF(F6047="NEW",IF(ISNA(VLOOKUP(E6047,#REF!,1,FALSE())),"?TYPE_IDENTIFIABLE","?REFERENTIAL"),"_")))))</f>
        <v> </v>
      </c>
      <c r="H6047" s="25" t="str">
        <f>IF(J6047&lt;&gt;1,"",IF(I6047="SBJ","CB","?"))</f>
        <v> </v>
      </c>
      <c r="I6047" s="26" t="str">
        <f>IF(OR(E6047="",E6047="!!!",F6047="NEW"),"",INDEX(B6046:B$2,-1+SUMPRODUCT(MAX(ROW(E6046:E$2)*(E6047=E6046:E$2)))))</f>
        <v> </v>
      </c>
      <c r="J6047" s="26" t="str">
        <f>IF(OR(E6047="",E6047="!!!",F6047="NEW"),"",COUNTBLANK(OFFSET(A$1,,,SUMPRODUCT(MAX(ROW(E$2:E6047)*(E6047=E$2:E6047)))))-COUNTBLANK(OFFSET(A$1,,,SUMPRODUCT(MAX(ROW(E$1:E6046)*(E2=E$1:E6046))))))</f>
        <v> </v>
      </c>
      <c r="K6047" s="26" t="str">
        <f>IF(OR(E6047="",E6047="!!!",F6047="NEW"),"",INDEX(J$1:J6046,SUMPRODUCT(MAX(ROW(E$1:E6046)*(E6047=E$1:E6046)))))</f>
        <v> </v>
      </c>
      <c r="L6047" s="27"/>
    </row>
    <row r="6048" spans="1:12">
      <c r="A6048" s="20" t="s">
        <v>1564</v>
      </c>
      <c r="E6048" s="22">
        <f>IF(D6048="?OLD","!!!","")</f>
        <v/>
      </c>
      <c r="F6048" s="23" t="str">
        <f>IF(OR(E6048="",E6048="!!!"),"",IF(NOT(ISNA(VLOOKUP(E6048,E$1:E6047,1,FALSE()))),"OLD",IF(AND(E6048&lt;&gt;"",E6048&lt;&gt;"!!!"),"NEW","")))</f>
        <v> </v>
      </c>
      <c r="G6048" s="24" t="str">
        <f>IF(OR(E6048="",E6048="!!!"),"",IF(OR(J6048=0,AND(J6048=1,K6048=1),AND(J6048=1,I6048="SBJ"),AND(J6048=1,I6048=0)),"?IN_FOCUS",IF(J6048&lt;=2,"?ACTIVATED",IF(J6048&lt;&gt;"","?FAMILIAR",IF(F6048="NEW",IF(ISNA(VLOOKUP(E6048,#REF!,1,FALSE())),"?TYPE_IDENTIFIABLE","?REFERENTIAL"),"_")))))</f>
        <v> </v>
      </c>
      <c r="H6048" s="25" t="str">
        <f>IF(J6048&lt;&gt;1,"",IF(I6048="SBJ","CB","?"))</f>
        <v> </v>
      </c>
      <c r="I6048" s="26" t="str">
        <f>IF(OR(E6048="",E6048="!!!",F6048="NEW"),"",INDEX(B6047:B$2,-1+SUMPRODUCT(MAX(ROW(E6047:E$2)*(E6048=E6047:E$2)))))</f>
        <v> </v>
      </c>
      <c r="J6048" s="26" t="str">
        <f>IF(OR(E6048="",E6048="!!!",F6048="NEW"),"",COUNTBLANK(OFFSET(A$1,,,SUMPRODUCT(MAX(ROW(E$2:E6048)*(E6048=E$2:E6048)))))-COUNTBLANK(OFFSET(A$1,,,SUMPRODUCT(MAX(ROW(E$1:E6047)*(E2=E$1:E6047))))))</f>
        <v> </v>
      </c>
      <c r="K6048" s="26" t="str">
        <f>IF(OR(E6048="",E6048="!!!",F6048="NEW"),"",INDEX(J$1:J6047,SUMPRODUCT(MAX(ROW(E$1:E6047)*(E6048=E$1:E6047)))))</f>
        <v> </v>
      </c>
      <c r="L6048" s="27"/>
    </row>
    <row r="6049" spans="1:12">
      <c r="A6049" s="20" t="s">
        <v>2840</v>
      </c>
      <c r="E6049" s="22">
        <f>IF(D6049="?OLD","!!!","")</f>
        <v/>
      </c>
      <c r="F6049" s="23" t="str">
        <f>IF(OR(E6049="",E6049="!!!"),"",IF(NOT(ISNA(VLOOKUP(E6049,E$1:E6048,1,FALSE()))),"OLD",IF(AND(E6049&lt;&gt;"",E6049&lt;&gt;"!!!"),"NEW","")))</f>
        <v> </v>
      </c>
      <c r="G6049" s="24" t="str">
        <f>IF(OR(E6049="",E6049="!!!"),"",IF(OR(J6049=0,AND(J6049=1,K6049=1),AND(J6049=1,I6049="SBJ"),AND(J6049=1,I6049=0)),"?IN_FOCUS",IF(J6049&lt;=2,"?ACTIVATED",IF(J6049&lt;&gt;"","?FAMILIAR",IF(F6049="NEW",IF(ISNA(VLOOKUP(E6049,#REF!,1,FALSE())),"?TYPE_IDENTIFIABLE","?REFERENTIAL"),"_")))))</f>
        <v> </v>
      </c>
      <c r="H6049" s="25" t="str">
        <f>IF(J6049&lt;&gt;1,"",IF(I6049="SBJ","CB","?"))</f>
        <v> </v>
      </c>
      <c r="I6049" s="26" t="str">
        <f>IF(OR(E6049="",E6049="!!!",F6049="NEW"),"",INDEX(B6048:B$2,-1+SUMPRODUCT(MAX(ROW(E6048:E$2)*(E6049=E6048:E$2)))))</f>
        <v> </v>
      </c>
      <c r="J6049" s="26" t="str">
        <f>IF(OR(E6049="",E6049="!!!",F6049="NEW"),"",COUNTBLANK(OFFSET(A$1,,,SUMPRODUCT(MAX(ROW(E$2:E6049)*(E6049=E$2:E6049)))))-COUNTBLANK(OFFSET(A$1,,,SUMPRODUCT(MAX(ROW(E$1:E6048)*(E2=E$1:E6048))))))</f>
        <v> </v>
      </c>
      <c r="K6049" s="26" t="str">
        <f>IF(OR(E6049="",E6049="!!!",F6049="NEW"),"",INDEX(J$1:J6048,SUMPRODUCT(MAX(ROW(E$1:E6048)*(E6049=E$1:E6048)))))</f>
        <v> </v>
      </c>
      <c r="L6049" s="27"/>
    </row>
    <row r="6050" spans="1:12">
      <c r="A6050" s="20" t="s">
        <v>427</v>
      </c>
      <c r="B6050" s="21" t="s">
        <v>1248</v>
      </c>
      <c r="C6050" s="21" t="s">
        <v>1246</v>
      </c>
      <c r="D6050" s="21" t="s">
        <v>1188</v>
      </c>
      <c r="E6050" s="22">
        <f>IF(D6050="?OLD","!!!","")</f>
        <v/>
      </c>
      <c r="F6050" s="23" t="str">
        <f>IF(OR(E6050="",E6050="!!!"),"",IF(NOT(ISNA(VLOOKUP(E6050,E$1:E6049,1,FALSE()))),"OLD",IF(AND(E6050&lt;&gt;"",E6050&lt;&gt;"!!!"),"NEW","")))</f>
        <v> </v>
      </c>
      <c r="G6050" s="24" t="str">
        <f>IF(OR(E6050="",E6050="!!!"),"",IF(OR(J6050=0,AND(J6050=1,K6050=1),AND(J6050=1,I6050="SBJ"),AND(J6050=1,I6050=0)),"?IN_FOCUS",IF(J6050&lt;=2,"?ACTIVATED",IF(J6050&lt;&gt;"","?FAMILIAR",IF(F6050="NEW",IF(ISNA(VLOOKUP(E6050,#REF!,1,FALSE())),"?TYPE_IDENTIFIABLE","?REFERENTIAL"),"_")))))</f>
        <v> </v>
      </c>
      <c r="H6050" s="25" t="str">
        <f>IF(J6050&lt;&gt;1,"",IF(I6050="SBJ","CB","?"))</f>
        <v> </v>
      </c>
      <c r="I6050" s="26" t="str">
        <f>IF(OR(E6050="",E6050="!!!",F6050="NEW"),"",INDEX(B6049:B$2,-1+SUMPRODUCT(MAX(ROW(E6049:E$2)*(E6050=E6049:E$2)))))</f>
        <v> </v>
      </c>
      <c r="J6050" s="26" t="str">
        <f>IF(OR(E6050="",E6050="!!!",F6050="NEW"),"",COUNTBLANK(OFFSET(A$1,,,SUMPRODUCT(MAX(ROW(E$2:E6050)*(E6050=E$2:E6050)))))-COUNTBLANK(OFFSET(A$1,,,SUMPRODUCT(MAX(ROW(E$1:E6049)*(E2=E$1:E6049))))))</f>
        <v> </v>
      </c>
      <c r="K6050" s="26" t="str">
        <f>IF(OR(E6050="",E6050="!!!",F6050="NEW"),"",INDEX(J$1:J6049,SUMPRODUCT(MAX(ROW(E$1:E6049)*(E6050=E$1:E6049)))))</f>
        <v> </v>
      </c>
      <c r="L6050" s="27"/>
    </row>
    <row r="6051" spans="1:12">
      <c r="A6051" s="20" t="s">
        <v>1232</v>
      </c>
      <c r="E6051" s="22">
        <f>IF(D6051="?OLD","!!!","")</f>
        <v/>
      </c>
      <c r="F6051" s="23" t="str">
        <f>IF(OR(E6051="",E6051="!!!"),"",IF(NOT(ISNA(VLOOKUP(E6051,E$1:E6050,1,FALSE()))),"OLD",IF(AND(E6051&lt;&gt;"",E6051&lt;&gt;"!!!"),"NEW","")))</f>
        <v> </v>
      </c>
      <c r="G6051" s="24" t="str">
        <f>IF(OR(E6051="",E6051="!!!"),"",IF(OR(J6051=0,AND(J6051=1,K6051=1),AND(J6051=1,I6051="SBJ"),AND(J6051=1,I6051=0)),"?IN_FOCUS",IF(J6051&lt;=2,"?ACTIVATED",IF(J6051&lt;&gt;"","?FAMILIAR",IF(F6051="NEW",IF(ISNA(VLOOKUP(E6051,#REF!,1,FALSE())),"?TYPE_IDENTIFIABLE","?REFERENTIAL"),"_")))))</f>
        <v> </v>
      </c>
      <c r="H6051" s="25" t="str">
        <f>IF(J6051&lt;&gt;1,"",IF(I6051="SBJ","CB","?"))</f>
        <v> </v>
      </c>
      <c r="I6051" s="26" t="str">
        <f>IF(OR(E6051="",E6051="!!!",F6051="NEW"),"",INDEX(B6050:B$2,-1+SUMPRODUCT(MAX(ROW(E6050:E$2)*(E6051=E6050:E$2)))))</f>
        <v> </v>
      </c>
      <c r="J6051" s="26" t="str">
        <f>IF(OR(E6051="",E6051="!!!",F6051="NEW"),"",COUNTBLANK(OFFSET(A$1,,,SUMPRODUCT(MAX(ROW(E$2:E6051)*(E6051=E$2:E6051)))))-COUNTBLANK(OFFSET(A$1,,,SUMPRODUCT(MAX(ROW(E$1:E6050)*(E2=E$1:E6050))))))</f>
        <v> </v>
      </c>
      <c r="K6051" s="26" t="str">
        <f>IF(OR(E6051="",E6051="!!!",F6051="NEW"),"",INDEX(J$1:J6050,SUMPRODUCT(MAX(ROW(E$1:E6050)*(E6051=E$1:E6050)))))</f>
        <v> </v>
      </c>
      <c r="L6051" s="27"/>
    </row>
    <row r="6052" spans="1:12">
      <c r="A6052" s="20" t="s">
        <v>1210</v>
      </c>
      <c r="E6052" s="22">
        <f>IF(D6052="?OLD","!!!","")</f>
        <v/>
      </c>
      <c r="F6052" s="23" t="str">
        <f>IF(OR(E6052="",E6052="!!!"),"",IF(NOT(ISNA(VLOOKUP(E6052,E$1:E6051,1,FALSE()))),"OLD",IF(AND(E6052&lt;&gt;"",E6052&lt;&gt;"!!!"),"NEW","")))</f>
        <v> </v>
      </c>
      <c r="G6052" s="24" t="str">
        <f>IF(OR(E6052="",E6052="!!!"),"",IF(OR(J6052=0,AND(J6052=1,K6052=1),AND(J6052=1,I6052="SBJ"),AND(J6052=1,I6052=0)),"?IN_FOCUS",IF(J6052&lt;=2,"?ACTIVATED",IF(J6052&lt;&gt;"","?FAMILIAR",IF(F6052="NEW",IF(ISNA(VLOOKUP(E6052,#REF!,1,FALSE())),"?TYPE_IDENTIFIABLE","?REFERENTIAL"),"_")))))</f>
        <v> </v>
      </c>
      <c r="H6052" s="25" t="str">
        <f>IF(J6052&lt;&gt;1,"",IF(I6052="SBJ","CB","?"))</f>
        <v> </v>
      </c>
      <c r="I6052" s="26" t="str">
        <f>IF(OR(E6052="",E6052="!!!",F6052="NEW"),"",INDEX(B6051:B$2,-1+SUMPRODUCT(MAX(ROW(E6051:E$2)*(E6052=E6051:E$2)))))</f>
        <v> </v>
      </c>
      <c r="J6052" s="26" t="str">
        <f>IF(OR(E6052="",E6052="!!!",F6052="NEW"),"",COUNTBLANK(OFFSET(A$1,,,SUMPRODUCT(MAX(ROW(E$2:E6052)*(E6052=E$2:E6052)))))-COUNTBLANK(OFFSET(A$1,,,SUMPRODUCT(MAX(ROW(E$1:E6051)*(E2=E$1:E6051))))))</f>
        <v> </v>
      </c>
      <c r="K6052" s="26" t="str">
        <f>IF(OR(E6052="",E6052="!!!",F6052="NEW"),"",INDEX(J$1:J6051,SUMPRODUCT(MAX(ROW(E$1:E6051)*(E6052=E$1:E6051)))))</f>
        <v> </v>
      </c>
      <c r="L6052" s="27"/>
    </row>
    <row r="6053" spans="1:12">
      <c r="A6053" s="20" t="s">
        <v>2841</v>
      </c>
      <c r="E6053" s="22">
        <f>IF(D6053="?OLD","!!!","")</f>
        <v/>
      </c>
      <c r="F6053" s="23" t="str">
        <f>IF(OR(E6053="",E6053="!!!"),"",IF(NOT(ISNA(VLOOKUP(E6053,E$1:E6052,1,FALSE()))),"OLD",IF(AND(E6053&lt;&gt;"",E6053&lt;&gt;"!!!"),"NEW","")))</f>
        <v> </v>
      </c>
      <c r="G6053" s="24" t="str">
        <f>IF(OR(E6053="",E6053="!!!"),"",IF(OR(J6053=0,AND(J6053=1,K6053=1),AND(J6053=1,I6053="SBJ"),AND(J6053=1,I6053=0)),"?IN_FOCUS",IF(J6053&lt;=2,"?ACTIVATED",IF(J6053&lt;&gt;"","?FAMILIAR",IF(F6053="NEW",IF(ISNA(VLOOKUP(E6053,#REF!,1,FALSE())),"?TYPE_IDENTIFIABLE","?REFERENTIAL"),"_")))))</f>
        <v> </v>
      </c>
      <c r="H6053" s="25" t="str">
        <f>IF(J6053&lt;&gt;1,"",IF(I6053="SBJ","CB","?"))</f>
        <v> </v>
      </c>
      <c r="I6053" s="26" t="str">
        <f>IF(OR(E6053="",E6053="!!!",F6053="NEW"),"",INDEX(B6052:B$2,-1+SUMPRODUCT(MAX(ROW(E6052:E$2)*(E6053=E6052:E$2)))))</f>
        <v> </v>
      </c>
      <c r="J6053" s="26" t="str">
        <f>IF(OR(E6053="",E6053="!!!",F6053="NEW"),"",COUNTBLANK(OFFSET(A$1,,,SUMPRODUCT(MAX(ROW(E$2:E6053)*(E6053=E$2:E6053)))))-COUNTBLANK(OFFSET(A$1,,,SUMPRODUCT(MAX(ROW(E$1:E6052)*(E2=E$1:E6052))))))</f>
        <v> </v>
      </c>
      <c r="K6053" s="26" t="str">
        <f>IF(OR(E6053="",E6053="!!!",F6053="NEW"),"",INDEX(J$1:J6052,SUMPRODUCT(MAX(ROW(E$1:E6052)*(E6053=E$1:E6052)))))</f>
        <v> </v>
      </c>
      <c r="L6053" s="27"/>
    </row>
    <row r="6054" spans="1:12">
      <c r="A6054" s="20" t="s">
        <v>2842</v>
      </c>
      <c r="B6054" s="21" t="s">
        <v>1199</v>
      </c>
      <c r="C6054" s="21" t="s">
        <v>1196</v>
      </c>
      <c r="D6054" s="21" t="s">
        <v>1188</v>
      </c>
      <c r="E6054" s="22">
        <f>IF(D6054="?OLD","!!!","")</f>
        <v/>
      </c>
      <c r="F6054" s="23" t="str">
        <f>IF(OR(E6054="",E6054="!!!"),"",IF(NOT(ISNA(VLOOKUP(E6054,E$1:E6053,1,FALSE()))),"OLD",IF(AND(E6054&lt;&gt;"",E6054&lt;&gt;"!!!"),"NEW","")))</f>
        <v> </v>
      </c>
      <c r="G6054" s="24" t="str">
        <f>IF(OR(E6054="",E6054="!!!"),"",IF(OR(J6054=0,AND(J6054=1,K6054=1),AND(J6054=1,I6054="SBJ"),AND(J6054=1,I6054=0)),"?IN_FOCUS",IF(J6054&lt;=2,"?ACTIVATED",IF(J6054&lt;&gt;"","?FAMILIAR",IF(F6054="NEW",IF(ISNA(VLOOKUP(E6054,#REF!,1,FALSE())),"?TYPE_IDENTIFIABLE","?REFERENTIAL"),"_")))))</f>
        <v> </v>
      </c>
      <c r="H6054" s="25" t="str">
        <f>IF(J6054&lt;&gt;1,"",IF(I6054="SBJ","CB","?"))</f>
        <v> </v>
      </c>
      <c r="I6054" s="26" t="str">
        <f>IF(OR(E6054="",E6054="!!!",F6054="NEW"),"",INDEX(B6053:B$2,-1+SUMPRODUCT(MAX(ROW(E6053:E$2)*(E6054=E6053:E$2)))))</f>
        <v> </v>
      </c>
      <c r="J6054" s="26" t="str">
        <f>IF(OR(E6054="",E6054="!!!",F6054="NEW"),"",COUNTBLANK(OFFSET(A$1,,,SUMPRODUCT(MAX(ROW(E$2:E6054)*(E6054=E$2:E6054)))))-COUNTBLANK(OFFSET(A$1,,,SUMPRODUCT(MAX(ROW(E$1:E6053)*(E2=E$1:E6053))))))</f>
        <v> </v>
      </c>
      <c r="K6054" s="26" t="str">
        <f>IF(OR(E6054="",E6054="!!!",F6054="NEW"),"",INDEX(J$1:J6053,SUMPRODUCT(MAX(ROW(E$1:E6053)*(E6054=E$1:E6053)))))</f>
        <v> </v>
      </c>
      <c r="L6054" s="27"/>
    </row>
    <row r="6055" spans="1:12">
      <c r="A6055" s="20" t="s">
        <v>826</v>
      </c>
      <c r="E6055" s="22">
        <f>IF(D6055="?OLD","!!!","")</f>
        <v/>
      </c>
      <c r="F6055" s="23" t="str">
        <f>IF(OR(E6055="",E6055="!!!"),"",IF(NOT(ISNA(VLOOKUP(E6055,E$1:E6054,1,FALSE()))),"OLD",IF(AND(E6055&lt;&gt;"",E6055&lt;&gt;"!!!"),"NEW","")))</f>
        <v> </v>
      </c>
      <c r="G6055" s="24" t="str">
        <f>IF(OR(E6055="",E6055="!!!"),"",IF(OR(J6055=0,AND(J6055=1,K6055=1),AND(J6055=1,I6055="SBJ"),AND(J6055=1,I6055=0)),"?IN_FOCUS",IF(J6055&lt;=2,"?ACTIVATED",IF(J6055&lt;&gt;"","?FAMILIAR",IF(F6055="NEW",IF(ISNA(VLOOKUP(E6055,#REF!,1,FALSE())),"?TYPE_IDENTIFIABLE","?REFERENTIAL"),"_")))))</f>
        <v> </v>
      </c>
      <c r="H6055" s="25" t="str">
        <f>IF(J6055&lt;&gt;1,"",IF(I6055="SBJ","CB","?"))</f>
        <v> </v>
      </c>
      <c r="I6055" s="26" t="str">
        <f>IF(OR(E6055="",E6055="!!!",F6055="NEW"),"",INDEX(B6054:B$2,-1+SUMPRODUCT(MAX(ROW(E6054:E$2)*(E6055=E6054:E$2)))))</f>
        <v> </v>
      </c>
      <c r="J6055" s="26" t="str">
        <f>IF(OR(E6055="",E6055="!!!",F6055="NEW"),"",COUNTBLANK(OFFSET(A$1,,,SUMPRODUCT(MAX(ROW(E$2:E6055)*(E6055=E$2:E6055)))))-COUNTBLANK(OFFSET(A$1,,,SUMPRODUCT(MAX(ROW(E$1:E6054)*(E2=E$1:E6054))))))</f>
        <v> </v>
      </c>
      <c r="K6055" s="26" t="str">
        <f>IF(OR(E6055="",E6055="!!!",F6055="NEW"),"",INDEX(J$1:J6054,SUMPRODUCT(MAX(ROW(E$1:E6054)*(E6055=E$1:E6054)))))</f>
        <v> </v>
      </c>
      <c r="L6055" s="27"/>
    </row>
    <row r="6056" spans="1:12">
      <c r="A6056" s="20"/>
    </row>
    <row r="6057" spans="1:12">
      <c r="A6057" s="20" t="s">
        <v>2843</v>
      </c>
    </row>
    <row r="6058" spans="1:12">
      <c r="A6058" s="20" t="s">
        <v>1316</v>
      </c>
      <c r="E6058" s="22">
        <f>IF(D6058="?OLD","!!!","")</f>
        <v/>
      </c>
      <c r="F6058" s="23" t="str">
        <f>IF(OR(E6058="",E6058="!!!"),"",IF(NOT(ISNA(VLOOKUP(E6058,E$1:E6057,1,FALSE()))),"OLD",IF(AND(E6058&lt;&gt;"",E6058&lt;&gt;"!!!"),"NEW","")))</f>
        <v> </v>
      </c>
      <c r="G6058" s="24" t="str">
        <f>IF(OR(E6058="",E6058="!!!"),"",IF(OR(J6058=0,AND(J6058=1,K6058=1),AND(J6058=1,I6058="SBJ"),AND(J6058=1,I6058=0)),"?IN_FOCUS",IF(J6058&lt;=2,"?ACTIVATED",IF(J6058&lt;&gt;"","?FAMILIAR",IF(F6058="NEW",IF(ISNA(VLOOKUP(E6058,#REF!,1,FALSE())),"?TYPE_IDENTIFIABLE","?REFERENTIAL"),"_")))))</f>
        <v> </v>
      </c>
      <c r="H6058" s="25" t="str">
        <f>IF(J6058&lt;&gt;1,"",IF(I6058="SBJ","CB","?"))</f>
        <v> </v>
      </c>
      <c r="I6058" s="26" t="str">
        <f>IF(OR(E6058="",E6058="!!!",F6058="NEW"),"",INDEX(B6057:B$2,-1+SUMPRODUCT(MAX(ROW(E6057:E$2)*(E6058=E6057:E$2)))))</f>
        <v> </v>
      </c>
      <c r="J6058" s="26" t="str">
        <f>IF(OR(E6058="",E6058="!!!",F6058="NEW"),"",COUNTBLANK(OFFSET(A$1,,,SUMPRODUCT(MAX(ROW(E$2:E6058)*(E6058=E$2:E6058)))))-COUNTBLANK(OFFSET(A$1,,,SUMPRODUCT(MAX(ROW(E$1:E6057)*(E2=E$1:E6057))))))</f>
        <v> </v>
      </c>
      <c r="K6058" s="26" t="str">
        <f>IF(OR(E6058="",E6058="!!!",F6058="NEW"),"",INDEX(J$1:J6057,SUMPRODUCT(MAX(ROW(E$1:E6057)*(E6058=E$1:E6057)))))</f>
        <v> </v>
      </c>
      <c r="L6058" s="27"/>
    </row>
    <row r="6059" spans="1:12">
      <c r="A6059" s="20" t="s">
        <v>185</v>
      </c>
      <c r="B6059" s="21" t="s">
        <v>1202</v>
      </c>
      <c r="C6059" s="21" t="s">
        <v>1203</v>
      </c>
      <c r="D6059" s="21" t="s">
        <v>1188</v>
      </c>
      <c r="E6059" s="22">
        <f>IF(D6059="?OLD","!!!","")</f>
        <v/>
      </c>
      <c r="F6059" s="23" t="str">
        <f>IF(OR(E6059="",E6059="!!!"),"",IF(NOT(ISNA(VLOOKUP(E6059,E$1:E6058,1,FALSE()))),"OLD",IF(AND(E6059&lt;&gt;"",E6059&lt;&gt;"!!!"),"NEW","")))</f>
        <v> </v>
      </c>
      <c r="G6059" s="24" t="str">
        <f>IF(OR(E6059="",E6059="!!!"),"",IF(OR(J6059=0,AND(J6059=1,K6059=1),AND(J6059=1,I6059="SBJ"),AND(J6059=1,I6059=0)),"?IN_FOCUS",IF(J6059&lt;=2,"?ACTIVATED",IF(J6059&lt;&gt;"","?FAMILIAR",IF(F6059="NEW",IF(ISNA(VLOOKUP(E6059,#REF!,1,FALSE())),"?TYPE_IDENTIFIABLE","?REFERENTIAL"),"_")))))</f>
        <v> </v>
      </c>
      <c r="H6059" s="25" t="str">
        <f>IF(J6059&lt;&gt;1,"",IF(I6059="SBJ","CB","?"))</f>
        <v> </v>
      </c>
      <c r="I6059" s="26" t="str">
        <f>IF(OR(E6059="",E6059="!!!",F6059="NEW"),"",INDEX(B6058:B$2,-1+SUMPRODUCT(MAX(ROW(E6058:E$2)*(E6059=E6058:E$2)))))</f>
        <v> </v>
      </c>
      <c r="J6059" s="26" t="str">
        <f>IF(OR(E6059="",E6059="!!!",F6059="NEW"),"",COUNTBLANK(OFFSET(A$1,,,SUMPRODUCT(MAX(ROW(E$2:E6059)*(E6059=E$2:E6059)))))-COUNTBLANK(OFFSET(A$1,,,SUMPRODUCT(MAX(ROW(E$1:E6058)*(E2=E$1:E6058))))))</f>
        <v> </v>
      </c>
      <c r="K6059" s="26" t="str">
        <f>IF(OR(E6059="",E6059="!!!",F6059="NEW"),"",INDEX(J$1:J6058,SUMPRODUCT(MAX(ROW(E$1:E6058)*(E6059=E$1:E6058)))))</f>
        <v> </v>
      </c>
      <c r="L6059" s="27"/>
    </row>
    <row r="6060" spans="1:12">
      <c r="A6060" s="20" t="s">
        <v>1447</v>
      </c>
      <c r="E6060" s="22">
        <f>IF(D6060="?OLD","!!!","")</f>
        <v/>
      </c>
      <c r="F6060" s="23" t="str">
        <f>IF(OR(E6060="",E6060="!!!"),"",IF(NOT(ISNA(VLOOKUP(E6060,E$1:E6059,1,FALSE()))),"OLD",IF(AND(E6060&lt;&gt;"",E6060&lt;&gt;"!!!"),"NEW","")))</f>
        <v> </v>
      </c>
      <c r="G6060" s="24" t="str">
        <f>IF(OR(E6060="",E6060="!!!"),"",IF(OR(J6060=0,AND(J6060=1,K6060=1),AND(J6060=1,I6060="SBJ"),AND(J6060=1,I6060=0)),"?IN_FOCUS",IF(J6060&lt;=2,"?ACTIVATED",IF(J6060&lt;&gt;"","?FAMILIAR",IF(F6060="NEW",IF(ISNA(VLOOKUP(E6060,#REF!,1,FALSE())),"?TYPE_IDENTIFIABLE","?REFERENTIAL"),"_")))))</f>
        <v> </v>
      </c>
      <c r="H6060" s="25" t="str">
        <f>IF(J6060&lt;&gt;1,"",IF(I6060="SBJ","CB","?"))</f>
        <v> </v>
      </c>
      <c r="I6060" s="26" t="str">
        <f>IF(OR(E6060="",E6060="!!!",F6060="NEW"),"",INDEX(B6059:B$2,-1+SUMPRODUCT(MAX(ROW(E6059:E$2)*(E6060=E6059:E$2)))))</f>
        <v> </v>
      </c>
      <c r="J6060" s="26" t="str">
        <f>IF(OR(E6060="",E6060="!!!",F6060="NEW"),"",COUNTBLANK(OFFSET(A$1,,,SUMPRODUCT(MAX(ROW(E$2:E6060)*(E6060=E$2:E6060)))))-COUNTBLANK(OFFSET(A$1,,,SUMPRODUCT(MAX(ROW(E$1:E6059)*(E2=E$1:E6059))))))</f>
        <v> </v>
      </c>
      <c r="K6060" s="26" t="str">
        <f>IF(OR(E6060="",E6060="!!!",F6060="NEW"),"",INDEX(J$1:J6059,SUMPRODUCT(MAX(ROW(E$1:E6059)*(E6060=E$1:E6059)))))</f>
        <v> </v>
      </c>
      <c r="L6060" s="27"/>
    </row>
    <row r="6061" spans="1:12">
      <c r="A6061" s="20" t="s">
        <v>2212</v>
      </c>
      <c r="E6061" s="22">
        <f>IF(D6061="?OLD","!!!","")</f>
        <v/>
      </c>
      <c r="F6061" s="23" t="str">
        <f>IF(OR(E6061="",E6061="!!!"),"",IF(NOT(ISNA(VLOOKUP(E6061,E$1:E6060,1,FALSE()))),"OLD",IF(AND(E6061&lt;&gt;"",E6061&lt;&gt;"!!!"),"NEW","")))</f>
        <v> </v>
      </c>
      <c r="G6061" s="24" t="str">
        <f>IF(OR(E6061="",E6061="!!!"),"",IF(OR(J6061=0,AND(J6061=1,K6061=1),AND(J6061=1,I6061="SBJ"),AND(J6061=1,I6061=0)),"?IN_FOCUS",IF(J6061&lt;=2,"?ACTIVATED",IF(J6061&lt;&gt;"","?FAMILIAR",IF(F6061="NEW",IF(ISNA(VLOOKUP(E6061,#REF!,1,FALSE())),"?TYPE_IDENTIFIABLE","?REFERENTIAL"),"_")))))</f>
        <v> </v>
      </c>
      <c r="H6061" s="25" t="str">
        <f>IF(J6061&lt;&gt;1,"",IF(I6061="SBJ","CB","?"))</f>
        <v> </v>
      </c>
      <c r="I6061" s="26" t="str">
        <f>IF(OR(E6061="",E6061="!!!",F6061="NEW"),"",INDEX(B6060:B$2,-1+SUMPRODUCT(MAX(ROW(E6060:E$2)*(E6061=E6060:E$2)))))</f>
        <v> </v>
      </c>
      <c r="J6061" s="26" t="str">
        <f>IF(OR(E6061="",E6061="!!!",F6061="NEW"),"",COUNTBLANK(OFFSET(A$1,,,SUMPRODUCT(MAX(ROW(E$2:E6061)*(E6061=E$2:E6061)))))-COUNTBLANK(OFFSET(A$1,,,SUMPRODUCT(MAX(ROW(E$1:E6060)*(E2=E$1:E6060))))))</f>
        <v> </v>
      </c>
      <c r="K6061" s="26" t="str">
        <f>IF(OR(E6061="",E6061="!!!",F6061="NEW"),"",INDEX(J$1:J6060,SUMPRODUCT(MAX(ROW(E$1:E6060)*(E6061=E$1:E6060)))))</f>
        <v> </v>
      </c>
      <c r="L6061" s="27"/>
    </row>
    <row r="6062" spans="1:12">
      <c r="A6062" s="20" t="s">
        <v>1397</v>
      </c>
      <c r="E6062" s="22">
        <f>IF(D6062="?OLD","!!!","")</f>
        <v/>
      </c>
      <c r="F6062" s="23" t="str">
        <f>IF(OR(E6062="",E6062="!!!"),"",IF(NOT(ISNA(VLOOKUP(E6062,E$1:E6061,1,FALSE()))),"OLD",IF(AND(E6062&lt;&gt;"",E6062&lt;&gt;"!!!"),"NEW","")))</f>
        <v> </v>
      </c>
      <c r="G6062" s="24" t="str">
        <f>IF(OR(E6062="",E6062="!!!"),"",IF(OR(J6062=0,AND(J6062=1,K6062=1),AND(J6062=1,I6062="SBJ"),AND(J6062=1,I6062=0)),"?IN_FOCUS",IF(J6062&lt;=2,"?ACTIVATED",IF(J6062&lt;&gt;"","?FAMILIAR",IF(F6062="NEW",IF(ISNA(VLOOKUP(E6062,#REF!,1,FALSE())),"?TYPE_IDENTIFIABLE","?REFERENTIAL"),"_")))))</f>
        <v> </v>
      </c>
      <c r="H6062" s="25" t="str">
        <f>IF(J6062&lt;&gt;1,"",IF(I6062="SBJ","CB","?"))</f>
        <v> </v>
      </c>
      <c r="I6062" s="26" t="str">
        <f>IF(OR(E6062="",E6062="!!!",F6062="NEW"),"",INDEX(B6061:B$2,-1+SUMPRODUCT(MAX(ROW(E6061:E$2)*(E6062=E6061:E$2)))))</f>
        <v> </v>
      </c>
      <c r="J6062" s="26" t="str">
        <f>IF(OR(E6062="",E6062="!!!",F6062="NEW"),"",COUNTBLANK(OFFSET(A$1,,,SUMPRODUCT(MAX(ROW(E$2:E6062)*(E6062=E$2:E6062)))))-COUNTBLANK(OFFSET(A$1,,,SUMPRODUCT(MAX(ROW(E$1:E6061)*(E2=E$1:E6061))))))</f>
        <v> </v>
      </c>
      <c r="K6062" s="26" t="str">
        <f>IF(OR(E6062="",E6062="!!!",F6062="NEW"),"",INDEX(J$1:J6061,SUMPRODUCT(MAX(ROW(E$1:E6061)*(E6062=E$1:E6061)))))</f>
        <v> </v>
      </c>
      <c r="L6062" s="27"/>
    </row>
    <row r="6063" spans="1:12">
      <c r="A6063" s="20" t="s">
        <v>2844</v>
      </c>
      <c r="B6063" s="21" t="s">
        <v>1212</v>
      </c>
      <c r="C6063" s="21" t="s">
        <v>1192</v>
      </c>
      <c r="E6063" s="22">
        <f>IF(D6063="?OLD","!!!","")</f>
        <v/>
      </c>
      <c r="F6063" s="23" t="str">
        <f>IF(OR(E6063="",E6063="!!!"),"",IF(NOT(ISNA(VLOOKUP(E6063,E$1:E6062,1,FALSE()))),"OLD",IF(AND(E6063&lt;&gt;"",E6063&lt;&gt;"!!!"),"NEW","")))</f>
        <v> </v>
      </c>
      <c r="G6063" s="24" t="str">
        <f>IF(OR(E6063="",E6063="!!!"),"",IF(OR(J6063=0,AND(J6063=1,K6063=1),AND(J6063=1,I6063="SBJ"),AND(J6063=1,I6063=0)),"?IN_FOCUS",IF(J6063&lt;=2,"?ACTIVATED",IF(J6063&lt;&gt;"","?FAMILIAR",IF(F6063="NEW",IF(ISNA(VLOOKUP(E6063,#REF!,1,FALSE())),"?TYPE_IDENTIFIABLE","?REFERENTIAL"),"_")))))</f>
        <v> </v>
      </c>
      <c r="H6063" s="25" t="str">
        <f>IF(J6063&lt;&gt;1,"",IF(I6063="SBJ","CB","?"))</f>
        <v> </v>
      </c>
      <c r="I6063" s="26" t="str">
        <f>IF(OR(E6063="",E6063="!!!",F6063="NEW"),"",INDEX(B6062:B$2,-1+SUMPRODUCT(MAX(ROW(E6062:E$2)*(E6063=E6062:E$2)))))</f>
        <v> </v>
      </c>
      <c r="J6063" s="26" t="str">
        <f>IF(OR(E6063="",E6063="!!!",F6063="NEW"),"",COUNTBLANK(OFFSET(A$1,,,SUMPRODUCT(MAX(ROW(E$2:E6063)*(E6063=E$2:E6063)))))-COUNTBLANK(OFFSET(A$1,,,SUMPRODUCT(MAX(ROW(E$1:E6062)*(E2=E$1:E6062))))))</f>
        <v> </v>
      </c>
      <c r="K6063" s="26" t="str">
        <f>IF(OR(E6063="",E6063="!!!",F6063="NEW"),"",INDEX(J$1:J6062,SUMPRODUCT(MAX(ROW(E$1:E6062)*(E6063=E$1:E6062)))))</f>
        <v> </v>
      </c>
      <c r="L6063" s="27"/>
    </row>
    <row r="6064" spans="1:12">
      <c r="A6064" s="20" t="s">
        <v>1193</v>
      </c>
      <c r="E6064" s="22">
        <f>IF(D6064="?OLD","!!!","")</f>
        <v/>
      </c>
      <c r="F6064" s="23" t="str">
        <f>IF(OR(E6064="",E6064="!!!"),"",IF(NOT(ISNA(VLOOKUP(E6064,E$1:E6063,1,FALSE()))),"OLD",IF(AND(E6064&lt;&gt;"",E6064&lt;&gt;"!!!"),"NEW","")))</f>
        <v> </v>
      </c>
      <c r="G6064" s="24" t="str">
        <f>IF(OR(E6064="",E6064="!!!"),"",IF(OR(J6064=0,AND(J6064=1,K6064=1),AND(J6064=1,I6064="SBJ"),AND(J6064=1,I6064=0)),"?IN_FOCUS",IF(J6064&lt;=2,"?ACTIVATED",IF(J6064&lt;&gt;"","?FAMILIAR",IF(F6064="NEW",IF(ISNA(VLOOKUP(E6064,#REF!,1,FALSE())),"?TYPE_IDENTIFIABLE","?REFERENTIAL"),"_")))))</f>
        <v> </v>
      </c>
      <c r="H6064" s="25" t="str">
        <f>IF(J6064&lt;&gt;1,"",IF(I6064="SBJ","CB","?"))</f>
        <v> </v>
      </c>
      <c r="I6064" s="26" t="str">
        <f>IF(OR(E6064="",E6064="!!!",F6064="NEW"),"",INDEX(B6063:B$2,-1+SUMPRODUCT(MAX(ROW(E6063:E$2)*(E6064=E6063:E$2)))))</f>
        <v> </v>
      </c>
      <c r="J6064" s="26" t="str">
        <f>IF(OR(E6064="",E6064="!!!",F6064="NEW"),"",COUNTBLANK(OFFSET(A$1,,,SUMPRODUCT(MAX(ROW(E$2:E6064)*(E6064=E$2:E6064)))))-COUNTBLANK(OFFSET(A$1,,,SUMPRODUCT(MAX(ROW(E$1:E6063)*(E2=E$1:E6063))))))</f>
        <v> </v>
      </c>
      <c r="K6064" s="26" t="str">
        <f>IF(OR(E6064="",E6064="!!!",F6064="NEW"),"",INDEX(J$1:J6063,SUMPRODUCT(MAX(ROW(E$1:E6063)*(E6064=E$1:E6063)))))</f>
        <v> </v>
      </c>
      <c r="L6064" s="27"/>
    </row>
    <row r="6065" spans="1:12">
      <c r="A6065" s="20" t="s">
        <v>1662</v>
      </c>
      <c r="E6065" s="22">
        <f>IF(D6065="?OLD","!!!","")</f>
        <v/>
      </c>
      <c r="F6065" s="23" t="str">
        <f>IF(OR(E6065="",E6065="!!!"),"",IF(NOT(ISNA(VLOOKUP(E6065,E$1:E6064,1,FALSE()))),"OLD",IF(AND(E6065&lt;&gt;"",E6065&lt;&gt;"!!!"),"NEW","")))</f>
        <v> </v>
      </c>
      <c r="G6065" s="24" t="str">
        <f>IF(OR(E6065="",E6065="!!!"),"",IF(OR(J6065=0,AND(J6065=1,K6065=1),AND(J6065=1,I6065="SBJ"),AND(J6065=1,I6065=0)),"?IN_FOCUS",IF(J6065&lt;=2,"?ACTIVATED",IF(J6065&lt;&gt;"","?FAMILIAR",IF(F6065="NEW",IF(ISNA(VLOOKUP(E6065,#REF!,1,FALSE())),"?TYPE_IDENTIFIABLE","?REFERENTIAL"),"_")))))</f>
        <v> </v>
      </c>
      <c r="H6065" s="25" t="str">
        <f>IF(J6065&lt;&gt;1,"",IF(I6065="SBJ","CB","?"))</f>
        <v> </v>
      </c>
      <c r="I6065" s="26" t="str">
        <f>IF(OR(E6065="",E6065="!!!",F6065="NEW"),"",INDEX(B6064:B$2,-1+SUMPRODUCT(MAX(ROW(E6064:E$2)*(E6065=E6064:E$2)))))</f>
        <v> </v>
      </c>
      <c r="J6065" s="26" t="str">
        <f>IF(OR(E6065="",E6065="!!!",F6065="NEW"),"",COUNTBLANK(OFFSET(A$1,,,SUMPRODUCT(MAX(ROW(E$2:E6065)*(E6065=E$2:E6065)))))-COUNTBLANK(OFFSET(A$1,,,SUMPRODUCT(MAX(ROW(E$1:E6064)*(E2=E$1:E6064))))))</f>
        <v> </v>
      </c>
      <c r="K6065" s="26" t="str">
        <f>IF(OR(E6065="",E6065="!!!",F6065="NEW"),"",INDEX(J$1:J6064,SUMPRODUCT(MAX(ROW(E$1:E6064)*(E6065=E$1:E6064)))))</f>
        <v> </v>
      </c>
      <c r="L6065" s="27"/>
    </row>
    <row r="6066" spans="1:12">
      <c r="A6066" s="20" t="s">
        <v>1039</v>
      </c>
      <c r="E6066" s="22">
        <f>IF(D6066="?OLD","!!!","")</f>
        <v/>
      </c>
      <c r="F6066" s="23" t="str">
        <f>IF(OR(E6066="",E6066="!!!"),"",IF(NOT(ISNA(VLOOKUP(E6066,E$1:E6065,1,FALSE()))),"OLD",IF(AND(E6066&lt;&gt;"",E6066&lt;&gt;"!!!"),"NEW","")))</f>
        <v> </v>
      </c>
      <c r="G6066" s="24" t="str">
        <f>IF(OR(E6066="",E6066="!!!"),"",IF(OR(J6066=0,AND(J6066=1,K6066=1),AND(J6066=1,I6066="SBJ"),AND(J6066=1,I6066=0)),"?IN_FOCUS",IF(J6066&lt;=2,"?ACTIVATED",IF(J6066&lt;&gt;"","?FAMILIAR",IF(F6066="NEW",IF(ISNA(VLOOKUP(E6066,#REF!,1,FALSE())),"?TYPE_IDENTIFIABLE","?REFERENTIAL"),"_")))))</f>
        <v> </v>
      </c>
      <c r="H6066" s="25" t="str">
        <f>IF(J6066&lt;&gt;1,"",IF(I6066="SBJ","CB","?"))</f>
        <v> </v>
      </c>
      <c r="I6066" s="26" t="str">
        <f>IF(OR(E6066="",E6066="!!!",F6066="NEW"),"",INDEX(B6065:B$2,-1+SUMPRODUCT(MAX(ROW(E6065:E$2)*(E6066=E6065:E$2)))))</f>
        <v> </v>
      </c>
      <c r="J6066" s="26" t="str">
        <f>IF(OR(E6066="",E6066="!!!",F6066="NEW"),"",COUNTBLANK(OFFSET(A$1,,,SUMPRODUCT(MAX(ROW(E$2:E6066)*(E6066=E$2:E6066)))))-COUNTBLANK(OFFSET(A$1,,,SUMPRODUCT(MAX(ROW(E$1:E6065)*(E2=E$1:E6065))))))</f>
        <v> </v>
      </c>
      <c r="K6066" s="26" t="str">
        <f>IF(OR(E6066="",E6066="!!!",F6066="NEW"),"",INDEX(J$1:J6065,SUMPRODUCT(MAX(ROW(E$1:E6065)*(E6066=E$1:E6065)))))</f>
        <v> </v>
      </c>
      <c r="L6066" s="27"/>
    </row>
    <row r="6067" spans="1:12">
      <c r="A6067" s="20" t="s">
        <v>1194</v>
      </c>
      <c r="E6067" s="22">
        <f>IF(D6067="?OLD","!!!","")</f>
        <v/>
      </c>
      <c r="F6067" s="23" t="str">
        <f>IF(OR(E6067="",E6067="!!!"),"",IF(NOT(ISNA(VLOOKUP(E6067,E$1:E6066,1,FALSE()))),"OLD",IF(AND(E6067&lt;&gt;"",E6067&lt;&gt;"!!!"),"NEW","")))</f>
        <v> </v>
      </c>
      <c r="G6067" s="24" t="str">
        <f>IF(OR(E6067="",E6067="!!!"),"",IF(OR(J6067=0,AND(J6067=1,K6067=1),AND(J6067=1,I6067="SBJ"),AND(J6067=1,I6067=0)),"?IN_FOCUS",IF(J6067&lt;=2,"?ACTIVATED",IF(J6067&lt;&gt;"","?FAMILIAR",IF(F6067="NEW",IF(ISNA(VLOOKUP(E6067,#REF!,1,FALSE())),"?TYPE_IDENTIFIABLE","?REFERENTIAL"),"_")))))</f>
        <v> </v>
      </c>
      <c r="H6067" s="25" t="str">
        <f>IF(J6067&lt;&gt;1,"",IF(I6067="SBJ","CB","?"))</f>
        <v> </v>
      </c>
      <c r="I6067" s="26" t="str">
        <f>IF(OR(E6067="",E6067="!!!",F6067="NEW"),"",INDEX(B6066:B$2,-1+SUMPRODUCT(MAX(ROW(E6066:E$2)*(E6067=E6066:E$2)))))</f>
        <v> </v>
      </c>
      <c r="J6067" s="26" t="str">
        <f>IF(OR(E6067="",E6067="!!!",F6067="NEW"),"",COUNTBLANK(OFFSET(A$1,,,SUMPRODUCT(MAX(ROW(E$2:E6067)*(E6067=E$2:E6067)))))-COUNTBLANK(OFFSET(A$1,,,SUMPRODUCT(MAX(ROW(E$1:E6066)*(E2=E$1:E6066))))))</f>
        <v> </v>
      </c>
      <c r="K6067" s="26" t="str">
        <f>IF(OR(E6067="",E6067="!!!",F6067="NEW"),"",INDEX(J$1:J6066,SUMPRODUCT(MAX(ROW(E$1:E6066)*(E6067=E$1:E6066)))))</f>
        <v> </v>
      </c>
      <c r="L6067" s="27"/>
    </row>
    <row r="6068" spans="1:12">
      <c r="A6068" s="20" t="s">
        <v>2786</v>
      </c>
      <c r="B6068" s="21" t="s">
        <v>1313</v>
      </c>
      <c r="C6068" s="21" t="s">
        <v>1196</v>
      </c>
      <c r="D6068" s="21" t="s">
        <v>1188</v>
      </c>
      <c r="E6068" s="22">
        <f>IF(D6068="?OLD","!!!","")</f>
        <v/>
      </c>
      <c r="F6068" s="23" t="str">
        <f>IF(OR(E6068="",E6068="!!!"),"",IF(NOT(ISNA(VLOOKUP(E6068,E$1:E6067,1,FALSE()))),"OLD",IF(AND(E6068&lt;&gt;"",E6068&lt;&gt;"!!!"),"NEW","")))</f>
        <v> </v>
      </c>
      <c r="G6068" s="24" t="str">
        <f>IF(OR(E6068="",E6068="!!!"),"",IF(OR(J6068=0,AND(J6068=1,K6068=1),AND(J6068=1,I6068="SBJ"),AND(J6068=1,I6068=0)),"?IN_FOCUS",IF(J6068&lt;=2,"?ACTIVATED",IF(J6068&lt;&gt;"","?FAMILIAR",IF(F6068="NEW",IF(ISNA(VLOOKUP(E6068,#REF!,1,FALSE())),"?TYPE_IDENTIFIABLE","?REFERENTIAL"),"_")))))</f>
        <v> </v>
      </c>
      <c r="H6068" s="25" t="str">
        <f>IF(J6068&lt;&gt;1,"",IF(I6068="SBJ","CB","?"))</f>
        <v> </v>
      </c>
      <c r="I6068" s="26" t="str">
        <f>IF(OR(E6068="",E6068="!!!",F6068="NEW"),"",INDEX(B6067:B$2,-1+SUMPRODUCT(MAX(ROW(E6067:E$2)*(E6068=E6067:E$2)))))</f>
        <v> </v>
      </c>
      <c r="J6068" s="26" t="str">
        <f>IF(OR(E6068="",E6068="!!!",F6068="NEW"),"",COUNTBLANK(OFFSET(A$1,,,SUMPRODUCT(MAX(ROW(E$2:E6068)*(E6068=E$2:E6068)))))-COUNTBLANK(OFFSET(A$1,,,SUMPRODUCT(MAX(ROW(E$1:E6067)*(E2=E$1:E6067))))))</f>
        <v> </v>
      </c>
      <c r="K6068" s="26" t="str">
        <f>IF(OR(E6068="",E6068="!!!",F6068="NEW"),"",INDEX(J$1:J6067,SUMPRODUCT(MAX(ROW(E$1:E6067)*(E6068=E$1:E6067)))))</f>
        <v> </v>
      </c>
      <c r="L6068" s="27"/>
    </row>
    <row r="6069" spans="1:12">
      <c r="A6069" s="20" t="s">
        <v>1197</v>
      </c>
      <c r="E6069" s="22">
        <f>IF(D6069="?OLD","!!!","")</f>
        <v/>
      </c>
      <c r="F6069" s="23" t="str">
        <f>IF(OR(E6069="",E6069="!!!"),"",IF(NOT(ISNA(VLOOKUP(E6069,E$1:E6068,1,FALSE()))),"OLD",IF(AND(E6069&lt;&gt;"",E6069&lt;&gt;"!!!"),"NEW","")))</f>
        <v> </v>
      </c>
      <c r="G6069" s="24" t="str">
        <f>IF(OR(E6069="",E6069="!!!"),"",IF(OR(J6069=0,AND(J6069=1,K6069=1),AND(J6069=1,I6069="SBJ"),AND(J6069=1,I6069=0)),"?IN_FOCUS",IF(J6069&lt;=2,"?ACTIVATED",IF(J6069&lt;&gt;"","?FAMILIAR",IF(F6069="NEW",IF(ISNA(VLOOKUP(E6069,#REF!,1,FALSE())),"?TYPE_IDENTIFIABLE","?REFERENTIAL"),"_")))))</f>
        <v> </v>
      </c>
      <c r="H6069" s="25" t="str">
        <f>IF(J6069&lt;&gt;1,"",IF(I6069="SBJ","CB","?"))</f>
        <v> </v>
      </c>
      <c r="I6069" s="26" t="str">
        <f>IF(OR(E6069="",E6069="!!!",F6069="NEW"),"",INDEX(B6068:B$2,-1+SUMPRODUCT(MAX(ROW(E6068:E$2)*(E6069=E6068:E$2)))))</f>
        <v> </v>
      </c>
      <c r="J6069" s="26" t="str">
        <f>IF(OR(E6069="",E6069="!!!",F6069="NEW"),"",COUNTBLANK(OFFSET(A$1,,,SUMPRODUCT(MAX(ROW(E$2:E6069)*(E6069=E$2:E6069)))))-COUNTBLANK(OFFSET(A$1,,,SUMPRODUCT(MAX(ROW(E$1:E6068)*(E2=E$1:E6068))))))</f>
        <v> </v>
      </c>
      <c r="K6069" s="26" t="str">
        <f>IF(OR(E6069="",E6069="!!!",F6069="NEW"),"",INDEX(J$1:J6068,SUMPRODUCT(MAX(ROW(E$1:E6068)*(E6069=E$1:E6068)))))</f>
        <v> </v>
      </c>
      <c r="L6069" s="27"/>
    </row>
    <row r="6070" spans="1:12">
      <c r="A6070" s="20" t="s">
        <v>2845</v>
      </c>
      <c r="B6070" s="21" t="s">
        <v>1285</v>
      </c>
      <c r="C6070" s="21" t="s">
        <v>1196</v>
      </c>
      <c r="D6070" s="21" t="s">
        <v>1188</v>
      </c>
      <c r="E6070" s="22">
        <f>IF(D6070="?OLD","!!!","")</f>
        <v/>
      </c>
      <c r="F6070" s="23" t="str">
        <f>IF(OR(E6070="",E6070="!!!"),"",IF(NOT(ISNA(VLOOKUP(E6070,E$1:E6069,1,FALSE()))),"OLD",IF(AND(E6070&lt;&gt;"",E6070&lt;&gt;"!!!"),"NEW","")))</f>
        <v> </v>
      </c>
      <c r="G6070" s="24" t="str">
        <f>IF(OR(E6070="",E6070="!!!"),"",IF(OR(J6070=0,AND(J6070=1,K6070=1),AND(J6070=1,I6070="SBJ"),AND(J6070=1,I6070=0)),"?IN_FOCUS",IF(J6070&lt;=2,"?ACTIVATED",IF(J6070&lt;&gt;"","?FAMILIAR",IF(F6070="NEW",IF(ISNA(VLOOKUP(E6070,#REF!,1,FALSE())),"?TYPE_IDENTIFIABLE","?REFERENTIAL"),"_")))))</f>
        <v> </v>
      </c>
      <c r="H6070" s="25" t="str">
        <f>IF(J6070&lt;&gt;1,"",IF(I6070="SBJ","CB","?"))</f>
        <v> </v>
      </c>
      <c r="I6070" s="26" t="str">
        <f>IF(OR(E6070="",E6070="!!!",F6070="NEW"),"",INDEX(B6069:B$2,-1+SUMPRODUCT(MAX(ROW(E6069:E$2)*(E6070=E6069:E$2)))))</f>
        <v> </v>
      </c>
      <c r="J6070" s="26" t="str">
        <f>IF(OR(E6070="",E6070="!!!",F6070="NEW"),"",COUNTBLANK(OFFSET(A$1,,,SUMPRODUCT(MAX(ROW(E$2:E6070)*(E6070=E$2:E6070)))))-COUNTBLANK(OFFSET(A$1,,,SUMPRODUCT(MAX(ROW(E$1:E6069)*(E2=E$1:E6069))))))</f>
        <v> </v>
      </c>
      <c r="K6070" s="26" t="str">
        <f>IF(OR(E6070="",E6070="!!!",F6070="NEW"),"",INDEX(J$1:J6069,SUMPRODUCT(MAX(ROW(E$1:E6069)*(E6070=E$1:E6069)))))</f>
        <v> </v>
      </c>
      <c r="L6070" s="27"/>
    </row>
    <row r="6071" spans="1:12">
      <c r="A6071" s="20" t="s">
        <v>2393</v>
      </c>
      <c r="E6071" s="22">
        <f>IF(D6071="?OLD","!!!","")</f>
        <v/>
      </c>
      <c r="F6071" s="23" t="str">
        <f>IF(OR(E6071="",E6071="!!!"),"",IF(NOT(ISNA(VLOOKUP(E6071,E$1:E6070,1,FALSE()))),"OLD",IF(AND(E6071&lt;&gt;"",E6071&lt;&gt;"!!!"),"NEW","")))</f>
        <v> </v>
      </c>
      <c r="G6071" s="24" t="str">
        <f>IF(OR(E6071="",E6071="!!!"),"",IF(OR(J6071=0,AND(J6071=1,K6071=1),AND(J6071=1,I6071="SBJ"),AND(J6071=1,I6071=0)),"?IN_FOCUS",IF(J6071&lt;=2,"?ACTIVATED",IF(J6071&lt;&gt;"","?FAMILIAR",IF(F6071="NEW",IF(ISNA(VLOOKUP(E6071,#REF!,1,FALSE())),"?TYPE_IDENTIFIABLE","?REFERENTIAL"),"_")))))</f>
        <v> </v>
      </c>
      <c r="H6071" s="25" t="str">
        <f>IF(J6071&lt;&gt;1,"",IF(I6071="SBJ","CB","?"))</f>
        <v> </v>
      </c>
      <c r="I6071" s="26" t="str">
        <f>IF(OR(E6071="",E6071="!!!",F6071="NEW"),"",INDEX(B6070:B$2,-1+SUMPRODUCT(MAX(ROW(E6070:E$2)*(E6071=E6070:E$2)))))</f>
        <v> </v>
      </c>
      <c r="J6071" s="26" t="str">
        <f>IF(OR(E6071="",E6071="!!!",F6071="NEW"),"",COUNTBLANK(OFFSET(A$1,,,SUMPRODUCT(MAX(ROW(E$2:E6071)*(E6071=E$2:E6071)))))-COUNTBLANK(OFFSET(A$1,,,SUMPRODUCT(MAX(ROW(E$1:E6070)*(E2=E$1:E6070))))))</f>
        <v> </v>
      </c>
      <c r="K6071" s="26" t="str">
        <f>IF(OR(E6071="",E6071="!!!",F6071="NEW"),"",INDEX(J$1:J6070,SUMPRODUCT(MAX(ROW(E$1:E6070)*(E6071=E$1:E6070)))))</f>
        <v> </v>
      </c>
      <c r="L6071" s="27"/>
    </row>
    <row r="6072" spans="1:12">
      <c r="A6072" s="20" t="s">
        <v>1713</v>
      </c>
      <c r="B6072" s="21" t="s">
        <v>1215</v>
      </c>
      <c r="C6072" s="21" t="s">
        <v>1192</v>
      </c>
      <c r="E6072" s="22">
        <f>IF(D6072="?OLD","!!!","")</f>
        <v/>
      </c>
      <c r="F6072" s="23" t="str">
        <f>IF(OR(E6072="",E6072="!!!"),"",IF(NOT(ISNA(VLOOKUP(E6072,E$1:E6071,1,FALSE()))),"OLD",IF(AND(E6072&lt;&gt;"",E6072&lt;&gt;"!!!"),"NEW","")))</f>
        <v> </v>
      </c>
      <c r="G6072" s="24" t="str">
        <f>IF(OR(E6072="",E6072="!!!"),"",IF(OR(J6072=0,AND(J6072=1,K6072=1),AND(J6072=1,I6072="SBJ"),AND(J6072=1,I6072=0)),"?IN_FOCUS",IF(J6072&lt;=2,"?ACTIVATED",IF(J6072&lt;&gt;"","?FAMILIAR",IF(F6072="NEW",IF(ISNA(VLOOKUP(E6072,#REF!,1,FALSE())),"?TYPE_IDENTIFIABLE","?REFERENTIAL"),"_")))))</f>
        <v> </v>
      </c>
      <c r="H6072" s="25" t="str">
        <f>IF(J6072&lt;&gt;1,"",IF(I6072="SBJ","CB","?"))</f>
        <v> </v>
      </c>
      <c r="I6072" s="26" t="str">
        <f>IF(OR(E6072="",E6072="!!!",F6072="NEW"),"",INDEX(B6071:B$2,-1+SUMPRODUCT(MAX(ROW(E6071:E$2)*(E6072=E6071:E$2)))))</f>
        <v> </v>
      </c>
      <c r="J6072" s="26" t="str">
        <f>IF(OR(E6072="",E6072="!!!",F6072="NEW"),"",COUNTBLANK(OFFSET(A$1,,,SUMPRODUCT(MAX(ROW(E$2:E6072)*(E6072=E$2:E6072)))))-COUNTBLANK(OFFSET(A$1,,,SUMPRODUCT(MAX(ROW(E$1:E6071)*(E2=E$1:E6071))))))</f>
        <v> </v>
      </c>
      <c r="K6072" s="26" t="str">
        <f>IF(OR(E6072="",E6072="!!!",F6072="NEW"),"",INDEX(J$1:J6071,SUMPRODUCT(MAX(ROW(E$1:E6071)*(E6072=E$1:E6071)))))</f>
        <v> </v>
      </c>
      <c r="L6072" s="27"/>
    </row>
    <row r="6073" spans="1:12">
      <c r="A6073" s="20" t="s">
        <v>2808</v>
      </c>
      <c r="E6073" s="22">
        <f>IF(D6073="?OLD","!!!","")</f>
        <v/>
      </c>
      <c r="F6073" s="23" t="str">
        <f>IF(OR(E6073="",E6073="!!!"),"",IF(NOT(ISNA(VLOOKUP(E6073,E$1:E6072,1,FALSE()))),"OLD",IF(AND(E6073&lt;&gt;"",E6073&lt;&gt;"!!!"),"NEW","")))</f>
        <v> </v>
      </c>
      <c r="G6073" s="24" t="str">
        <f>IF(OR(E6073="",E6073="!!!"),"",IF(OR(J6073=0,AND(J6073=1,K6073=1),AND(J6073=1,I6073="SBJ"),AND(J6073=1,I6073=0)),"?IN_FOCUS",IF(J6073&lt;=2,"?ACTIVATED",IF(J6073&lt;&gt;"","?FAMILIAR",IF(F6073="NEW",IF(ISNA(VLOOKUP(E6073,#REF!,1,FALSE())),"?TYPE_IDENTIFIABLE","?REFERENTIAL"),"_")))))</f>
        <v> </v>
      </c>
      <c r="H6073" s="25" t="str">
        <f>IF(J6073&lt;&gt;1,"",IF(I6073="SBJ","CB","?"))</f>
        <v> </v>
      </c>
      <c r="I6073" s="26" t="str">
        <f>IF(OR(E6073="",E6073="!!!",F6073="NEW"),"",INDEX(B6072:B$2,-1+SUMPRODUCT(MAX(ROW(E6072:E$2)*(E6073=E6072:E$2)))))</f>
        <v> </v>
      </c>
      <c r="J6073" s="26" t="str">
        <f>IF(OR(E6073="",E6073="!!!",F6073="NEW"),"",COUNTBLANK(OFFSET(A$1,,,SUMPRODUCT(MAX(ROW(E$2:E6073)*(E6073=E$2:E6073)))))-COUNTBLANK(OFFSET(A$1,,,SUMPRODUCT(MAX(ROW(E$1:E6072)*(E2=E$1:E6072))))))</f>
        <v> </v>
      </c>
      <c r="K6073" s="26" t="str">
        <f>IF(OR(E6073="",E6073="!!!",F6073="NEW"),"",INDEX(J$1:J6072,SUMPRODUCT(MAX(ROW(E$1:E6072)*(E6073=E$1:E6072)))))</f>
        <v> </v>
      </c>
      <c r="L6073" s="27"/>
    </row>
    <row r="6074" spans="1:12">
      <c r="A6074" s="20" t="s">
        <v>1278</v>
      </c>
      <c r="E6074" s="22">
        <f>IF(D6074="?OLD","!!!","")</f>
        <v/>
      </c>
      <c r="F6074" s="23" t="str">
        <f>IF(OR(E6074="",E6074="!!!"),"",IF(NOT(ISNA(VLOOKUP(E6074,E$1:E6073,1,FALSE()))),"OLD",IF(AND(E6074&lt;&gt;"",E6074&lt;&gt;"!!!"),"NEW","")))</f>
        <v> </v>
      </c>
      <c r="G6074" s="24" t="str">
        <f>IF(OR(E6074="",E6074="!!!"),"",IF(OR(J6074=0,AND(J6074=1,K6074=1),AND(J6074=1,I6074="SBJ"),AND(J6074=1,I6074=0)),"?IN_FOCUS",IF(J6074&lt;=2,"?ACTIVATED",IF(J6074&lt;&gt;"","?FAMILIAR",IF(F6074="NEW",IF(ISNA(VLOOKUP(E6074,#REF!,1,FALSE())),"?TYPE_IDENTIFIABLE","?REFERENTIAL"),"_")))))</f>
        <v> </v>
      </c>
      <c r="H6074" s="25" t="str">
        <f>IF(J6074&lt;&gt;1,"",IF(I6074="SBJ","CB","?"))</f>
        <v> </v>
      </c>
      <c r="I6074" s="26" t="str">
        <f>IF(OR(E6074="",E6074="!!!",F6074="NEW"),"",INDEX(B6073:B$2,-1+SUMPRODUCT(MAX(ROW(E6073:E$2)*(E6074=E6073:E$2)))))</f>
        <v> </v>
      </c>
      <c r="J6074" s="26" t="str">
        <f>IF(OR(E6074="",E6074="!!!",F6074="NEW"),"",COUNTBLANK(OFFSET(A$1,,,SUMPRODUCT(MAX(ROW(E$2:E6074)*(E6074=E$2:E6074)))))-COUNTBLANK(OFFSET(A$1,,,SUMPRODUCT(MAX(ROW(E$1:E6073)*(E2=E$1:E6073))))))</f>
        <v> </v>
      </c>
      <c r="K6074" s="26" t="str">
        <f>IF(OR(E6074="",E6074="!!!",F6074="NEW"),"",INDEX(J$1:J6073,SUMPRODUCT(MAX(ROW(E$1:E6073)*(E6074=E$1:E6073)))))</f>
        <v> </v>
      </c>
      <c r="L6074" s="27"/>
    </row>
    <row r="6075" spans="1:12">
      <c r="A6075" s="20" t="s">
        <v>826</v>
      </c>
      <c r="E6075" s="22">
        <f>IF(D6075="?OLD","!!!","")</f>
        <v/>
      </c>
      <c r="F6075" s="23" t="str">
        <f>IF(OR(E6075="",E6075="!!!"),"",IF(NOT(ISNA(VLOOKUP(E6075,E$1:E6074,1,FALSE()))),"OLD",IF(AND(E6075&lt;&gt;"",E6075&lt;&gt;"!!!"),"NEW","")))</f>
        <v> </v>
      </c>
      <c r="G6075" s="24" t="str">
        <f>IF(OR(E6075="",E6075="!!!"),"",IF(OR(J6075=0,AND(J6075=1,K6075=1),AND(J6075=1,I6075="SBJ"),AND(J6075=1,I6075=0)),"?IN_FOCUS",IF(J6075&lt;=2,"?ACTIVATED",IF(J6075&lt;&gt;"","?FAMILIAR",IF(F6075="NEW",IF(ISNA(VLOOKUP(E6075,#REF!,1,FALSE())),"?TYPE_IDENTIFIABLE","?REFERENTIAL"),"_")))))</f>
        <v> </v>
      </c>
      <c r="H6075" s="25" t="str">
        <f>IF(J6075&lt;&gt;1,"",IF(I6075="SBJ","CB","?"))</f>
        <v> </v>
      </c>
      <c r="I6075" s="26" t="str">
        <f>IF(OR(E6075="",E6075="!!!",F6075="NEW"),"",INDEX(B6074:B$2,-1+SUMPRODUCT(MAX(ROW(E6074:E$2)*(E6075=E6074:E$2)))))</f>
        <v> </v>
      </c>
      <c r="J6075" s="26" t="str">
        <f>IF(OR(E6075="",E6075="!!!",F6075="NEW"),"",COUNTBLANK(OFFSET(A$1,,,SUMPRODUCT(MAX(ROW(E$2:E6075)*(E6075=E$2:E6075)))))-COUNTBLANK(OFFSET(A$1,,,SUMPRODUCT(MAX(ROW(E$1:E6074)*(E2=E$1:E6074))))))</f>
        <v> </v>
      </c>
      <c r="K6075" s="26" t="str">
        <f>IF(OR(E6075="",E6075="!!!",F6075="NEW"),"",INDEX(J$1:J6074,SUMPRODUCT(MAX(ROW(E$1:E6074)*(E6075=E$1:E6074)))))</f>
        <v> </v>
      </c>
      <c r="L6075" s="27"/>
    </row>
    <row r="6076" spans="1:12">
      <c r="A6076" s="20"/>
    </row>
    <row r="6077" spans="1:12">
      <c r="A6077" s="20" t="s">
        <v>2846</v>
      </c>
    </row>
    <row r="6078" spans="1:12">
      <c r="A6078" s="20" t="s">
        <v>1201</v>
      </c>
      <c r="B6078" s="21" t="s">
        <v>1202</v>
      </c>
      <c r="C6078" s="21" t="s">
        <v>1203</v>
      </c>
      <c r="D6078" s="21" t="s">
        <v>1188</v>
      </c>
      <c r="E6078" s="22">
        <f>IF(D6078="?OLD","!!!","")</f>
        <v/>
      </c>
      <c r="F6078" s="23" t="str">
        <f>IF(OR(E6078="",E6078="!!!"),"",IF(NOT(ISNA(VLOOKUP(E6078,E$1:E6077,1,FALSE()))),"OLD",IF(AND(E6078&lt;&gt;"",E6078&lt;&gt;"!!!"),"NEW","")))</f>
        <v> </v>
      </c>
      <c r="G6078" s="24" t="str">
        <f>IF(OR(E6078="",E6078="!!!"),"",IF(OR(J6078=0,AND(J6078=1,K6078=1),AND(J6078=1,I6078="SBJ"),AND(J6078=1,I6078=0)),"?IN_FOCUS",IF(J6078&lt;=2,"?ACTIVATED",IF(J6078&lt;&gt;"","?FAMILIAR",IF(F6078="NEW",IF(ISNA(VLOOKUP(E6078,#REF!,1,FALSE())),"?TYPE_IDENTIFIABLE","?REFERENTIAL"),"_")))))</f>
        <v> </v>
      </c>
      <c r="H6078" s="25" t="str">
        <f>IF(J6078&lt;&gt;1,"",IF(I6078="SBJ","CB","?"))</f>
        <v> </v>
      </c>
      <c r="I6078" s="26" t="str">
        <f>IF(OR(E6078="",E6078="!!!",F6078="NEW"),"",INDEX(B6077:B$2,-1+SUMPRODUCT(MAX(ROW(E6077:E$2)*(E6078=E6077:E$2)))))</f>
        <v> </v>
      </c>
      <c r="J6078" s="26" t="str">
        <f>IF(OR(E6078="",E6078="!!!",F6078="NEW"),"",COUNTBLANK(OFFSET(A$1,,,SUMPRODUCT(MAX(ROW(E$2:E6078)*(E6078=E$2:E6078)))))-COUNTBLANK(OFFSET(A$1,,,SUMPRODUCT(MAX(ROW(E$1:E6077)*(E2=E$1:E6077))))))</f>
        <v> </v>
      </c>
      <c r="K6078" s="26" t="str">
        <f>IF(OR(E6078="",E6078="!!!",F6078="NEW"),"",INDEX(J$1:J6077,SUMPRODUCT(MAX(ROW(E$1:E6077)*(E6078=E$1:E6077)))))</f>
        <v> </v>
      </c>
      <c r="L6078" s="27"/>
    </row>
    <row r="6079" spans="1:12">
      <c r="A6079" s="20" t="s">
        <v>1327</v>
      </c>
      <c r="E6079" s="22">
        <f>IF(D6079="?OLD","!!!","")</f>
        <v/>
      </c>
      <c r="F6079" s="23" t="str">
        <f>IF(OR(E6079="",E6079="!!!"),"",IF(NOT(ISNA(VLOOKUP(E6079,E$1:E6078,1,FALSE()))),"OLD",IF(AND(E6079&lt;&gt;"",E6079&lt;&gt;"!!!"),"NEW","")))</f>
        <v> </v>
      </c>
      <c r="G6079" s="24" t="str">
        <f>IF(OR(E6079="",E6079="!!!"),"",IF(OR(J6079=0,AND(J6079=1,K6079=1),AND(J6079=1,I6079="SBJ"),AND(J6079=1,I6079=0)),"?IN_FOCUS",IF(J6079&lt;=2,"?ACTIVATED",IF(J6079&lt;&gt;"","?FAMILIAR",IF(F6079="NEW",IF(ISNA(VLOOKUP(E6079,#REF!,1,FALSE())),"?TYPE_IDENTIFIABLE","?REFERENTIAL"),"_")))))</f>
        <v> </v>
      </c>
      <c r="H6079" s="25" t="str">
        <f>IF(J6079&lt;&gt;1,"",IF(I6079="SBJ","CB","?"))</f>
        <v> </v>
      </c>
      <c r="I6079" s="26" t="str">
        <f>IF(OR(E6079="",E6079="!!!",F6079="NEW"),"",INDEX(B6078:B$2,-1+SUMPRODUCT(MAX(ROW(E6078:E$2)*(E6079=E6078:E$2)))))</f>
        <v> </v>
      </c>
      <c r="J6079" s="26" t="str">
        <f>IF(OR(E6079="",E6079="!!!",F6079="NEW"),"",COUNTBLANK(OFFSET(A$1,,,SUMPRODUCT(MAX(ROW(E$2:E6079)*(E6079=E$2:E6079)))))-COUNTBLANK(OFFSET(A$1,,,SUMPRODUCT(MAX(ROW(E$1:E6078)*(E2=E$1:E6078))))))</f>
        <v> </v>
      </c>
      <c r="K6079" s="26" t="str">
        <f>IF(OR(E6079="",E6079="!!!",F6079="NEW"),"",INDEX(J$1:J6078,SUMPRODUCT(MAX(ROW(E$1:E6078)*(E6079=E$1:E6078)))))</f>
        <v> </v>
      </c>
      <c r="L6079" s="27"/>
    </row>
    <row r="6080" spans="1:12">
      <c r="A6080" s="20" t="s">
        <v>1206</v>
      </c>
      <c r="E6080" s="22">
        <f>IF(D6080="?OLD","!!!","")</f>
        <v/>
      </c>
      <c r="F6080" s="23" t="str">
        <f>IF(OR(E6080="",E6080="!!!"),"",IF(NOT(ISNA(VLOOKUP(E6080,E$1:E6079,1,FALSE()))),"OLD",IF(AND(E6080&lt;&gt;"",E6080&lt;&gt;"!!!"),"NEW","")))</f>
        <v> </v>
      </c>
      <c r="G6080" s="24" t="str">
        <f>IF(OR(E6080="",E6080="!!!"),"",IF(OR(J6080=0,AND(J6080=1,K6080=1),AND(J6080=1,I6080="SBJ"),AND(J6080=1,I6080=0)),"?IN_FOCUS",IF(J6080&lt;=2,"?ACTIVATED",IF(J6080&lt;&gt;"","?FAMILIAR",IF(F6080="NEW",IF(ISNA(VLOOKUP(E6080,#REF!,1,FALSE())),"?TYPE_IDENTIFIABLE","?REFERENTIAL"),"_")))))</f>
        <v> </v>
      </c>
      <c r="H6080" s="25" t="str">
        <f>IF(J6080&lt;&gt;1,"",IF(I6080="SBJ","CB","?"))</f>
        <v> </v>
      </c>
      <c r="I6080" s="26" t="str">
        <f>IF(OR(E6080="",E6080="!!!",F6080="NEW"),"",INDEX(B6079:B$2,-1+SUMPRODUCT(MAX(ROW(E6079:E$2)*(E6080=E6079:E$2)))))</f>
        <v> </v>
      </c>
      <c r="J6080" s="26" t="str">
        <f>IF(OR(E6080="",E6080="!!!",F6080="NEW"),"",COUNTBLANK(OFFSET(A$1,,,SUMPRODUCT(MAX(ROW(E$2:E6080)*(E6080=E$2:E6080)))))-COUNTBLANK(OFFSET(A$1,,,SUMPRODUCT(MAX(ROW(E$1:E6079)*(E2=E$1:E6079))))))</f>
        <v> </v>
      </c>
      <c r="K6080" s="26" t="str">
        <f>IF(OR(E6080="",E6080="!!!",F6080="NEW"),"",INDEX(J$1:J6079,SUMPRODUCT(MAX(ROW(E$1:E6079)*(E6080=E$1:E6079)))))</f>
        <v> </v>
      </c>
      <c r="L6080" s="27"/>
    </row>
    <row r="6081" spans="1:12">
      <c r="A6081" s="20" t="s">
        <v>2847</v>
      </c>
      <c r="E6081" s="22">
        <f>IF(D6081="?OLD","!!!","")</f>
        <v/>
      </c>
      <c r="F6081" s="23" t="str">
        <f>IF(OR(E6081="",E6081="!!!"),"",IF(NOT(ISNA(VLOOKUP(E6081,E$1:E6080,1,FALSE()))),"OLD",IF(AND(E6081&lt;&gt;"",E6081&lt;&gt;"!!!"),"NEW","")))</f>
        <v> </v>
      </c>
      <c r="G6081" s="24" t="str">
        <f>IF(OR(E6081="",E6081="!!!"),"",IF(OR(J6081=0,AND(J6081=1,K6081=1),AND(J6081=1,I6081="SBJ"),AND(J6081=1,I6081=0)),"?IN_FOCUS",IF(J6081&lt;=2,"?ACTIVATED",IF(J6081&lt;&gt;"","?FAMILIAR",IF(F6081="NEW",IF(ISNA(VLOOKUP(E6081,#REF!,1,FALSE())),"?TYPE_IDENTIFIABLE","?REFERENTIAL"),"_")))))</f>
        <v> </v>
      </c>
      <c r="H6081" s="25" t="str">
        <f>IF(J6081&lt;&gt;1,"",IF(I6081="SBJ","CB","?"))</f>
        <v> </v>
      </c>
      <c r="I6081" s="26" t="str">
        <f>IF(OR(E6081="",E6081="!!!",F6081="NEW"),"",INDEX(B6080:B$2,-1+SUMPRODUCT(MAX(ROW(E6080:E$2)*(E6081=E6080:E$2)))))</f>
        <v> </v>
      </c>
      <c r="J6081" s="26" t="str">
        <f>IF(OR(E6081="",E6081="!!!",F6081="NEW"),"",COUNTBLANK(OFFSET(A$1,,,SUMPRODUCT(MAX(ROW(E$2:E6081)*(E6081=E$2:E6081)))))-COUNTBLANK(OFFSET(A$1,,,SUMPRODUCT(MAX(ROW(E$1:E6080)*(E2=E$1:E6080))))))</f>
        <v> </v>
      </c>
      <c r="K6081" s="26" t="str">
        <f>IF(OR(E6081="",E6081="!!!",F6081="NEW"),"",INDEX(J$1:J6080,SUMPRODUCT(MAX(ROW(E$1:E6080)*(E6081=E$1:E6080)))))</f>
        <v> </v>
      </c>
      <c r="L6081" s="27"/>
    </row>
    <row r="6082" spans="1:12">
      <c r="A6082" s="20" t="s">
        <v>2848</v>
      </c>
      <c r="B6082" s="21" t="s">
        <v>1186</v>
      </c>
      <c r="C6082" s="21" t="s">
        <v>1196</v>
      </c>
      <c r="D6082" s="21" t="s">
        <v>1188</v>
      </c>
      <c r="E6082" s="22">
        <f>IF(D6082="?OLD","!!!","")</f>
        <v/>
      </c>
      <c r="F6082" s="23" t="str">
        <f>IF(OR(E6082="",E6082="!!!"),"",IF(NOT(ISNA(VLOOKUP(E6082,E$1:E6081,1,FALSE()))),"OLD",IF(AND(E6082&lt;&gt;"",E6082&lt;&gt;"!!!"),"NEW","")))</f>
        <v> </v>
      </c>
      <c r="G6082" s="24" t="str">
        <f>IF(OR(E6082="",E6082="!!!"),"",IF(OR(J6082=0,AND(J6082=1,K6082=1),AND(J6082=1,I6082="SBJ"),AND(J6082=1,I6082=0)),"?IN_FOCUS",IF(J6082&lt;=2,"?ACTIVATED",IF(J6082&lt;&gt;"","?FAMILIAR",IF(F6082="NEW",IF(ISNA(VLOOKUP(E6082,#REF!,1,FALSE())),"?TYPE_IDENTIFIABLE","?REFERENTIAL"),"_")))))</f>
        <v> </v>
      </c>
      <c r="H6082" s="25" t="str">
        <f>IF(J6082&lt;&gt;1,"",IF(I6082="SBJ","CB","?"))</f>
        <v> </v>
      </c>
      <c r="I6082" s="26" t="str">
        <f>IF(OR(E6082="",E6082="!!!",F6082="NEW"),"",INDEX(B6081:B$2,-1+SUMPRODUCT(MAX(ROW(E6081:E$2)*(E6082=E6081:E$2)))))</f>
        <v> </v>
      </c>
      <c r="J6082" s="26" t="str">
        <f>IF(OR(E6082="",E6082="!!!",F6082="NEW"),"",COUNTBLANK(OFFSET(A$1,,,SUMPRODUCT(MAX(ROW(E$2:E6082)*(E6082=E$2:E6082)))))-COUNTBLANK(OFFSET(A$1,,,SUMPRODUCT(MAX(ROW(E$1:E6081)*(E2=E$1:E6081))))))</f>
        <v> </v>
      </c>
      <c r="K6082" s="26" t="str">
        <f>IF(OR(E6082="",E6082="!!!",F6082="NEW"),"",INDEX(J$1:J6081,SUMPRODUCT(MAX(ROW(E$1:E6081)*(E6082=E$1:E6081)))))</f>
        <v> </v>
      </c>
      <c r="L6082" s="27"/>
    </row>
    <row r="6083" spans="1:12">
      <c r="A6083" s="20" t="s">
        <v>1193</v>
      </c>
      <c r="E6083" s="22">
        <f>IF(D6083="?OLD","!!!","")</f>
        <v/>
      </c>
      <c r="F6083" s="23" t="str">
        <f>IF(OR(E6083="",E6083="!!!"),"",IF(NOT(ISNA(VLOOKUP(E6083,E$1:E6082,1,FALSE()))),"OLD",IF(AND(E6083&lt;&gt;"",E6083&lt;&gt;"!!!"),"NEW","")))</f>
        <v> </v>
      </c>
      <c r="G6083" s="24" t="str">
        <f>IF(OR(E6083="",E6083="!!!"),"",IF(OR(J6083=0,AND(J6083=1,K6083=1),AND(J6083=1,I6083="SBJ"),AND(J6083=1,I6083=0)),"?IN_FOCUS",IF(J6083&lt;=2,"?ACTIVATED",IF(J6083&lt;&gt;"","?FAMILIAR",IF(F6083="NEW",IF(ISNA(VLOOKUP(E6083,#REF!,1,FALSE())),"?TYPE_IDENTIFIABLE","?REFERENTIAL"),"_")))))</f>
        <v> </v>
      </c>
      <c r="H6083" s="25" t="str">
        <f>IF(J6083&lt;&gt;1,"",IF(I6083="SBJ","CB","?"))</f>
        <v> </v>
      </c>
      <c r="I6083" s="26" t="str">
        <f>IF(OR(E6083="",E6083="!!!",F6083="NEW"),"",INDEX(B6082:B$2,-1+SUMPRODUCT(MAX(ROW(E6082:E$2)*(E6083=E6082:E$2)))))</f>
        <v> </v>
      </c>
      <c r="J6083" s="26" t="str">
        <f>IF(OR(E6083="",E6083="!!!",F6083="NEW"),"",COUNTBLANK(OFFSET(A$1,,,SUMPRODUCT(MAX(ROW(E$2:E6083)*(E6083=E$2:E6083)))))-COUNTBLANK(OFFSET(A$1,,,SUMPRODUCT(MAX(ROW(E$1:E6082)*(E2=E$1:E6082))))))</f>
        <v> </v>
      </c>
      <c r="K6083" s="26" t="str">
        <f>IF(OR(E6083="",E6083="!!!",F6083="NEW"),"",INDEX(J$1:J6082,SUMPRODUCT(MAX(ROW(E$1:E6082)*(E6083=E$1:E6082)))))</f>
        <v> </v>
      </c>
      <c r="L6083" s="27"/>
    </row>
    <row r="6084" spans="1:12">
      <c r="A6084" s="20" t="s">
        <v>1366</v>
      </c>
      <c r="E6084" s="22">
        <f>IF(D6084="?OLD","!!!","")</f>
        <v/>
      </c>
      <c r="F6084" s="23" t="str">
        <f>IF(OR(E6084="",E6084="!!!"),"",IF(NOT(ISNA(VLOOKUP(E6084,E$1:E6083,1,FALSE()))),"OLD",IF(AND(E6084&lt;&gt;"",E6084&lt;&gt;"!!!"),"NEW","")))</f>
        <v> </v>
      </c>
      <c r="G6084" s="24" t="str">
        <f>IF(OR(E6084="",E6084="!!!"),"",IF(OR(J6084=0,AND(J6084=1,K6084=1),AND(J6084=1,I6084="SBJ"),AND(J6084=1,I6084=0)),"?IN_FOCUS",IF(J6084&lt;=2,"?ACTIVATED",IF(J6084&lt;&gt;"","?FAMILIAR",IF(F6084="NEW",IF(ISNA(VLOOKUP(E6084,#REF!,1,FALSE())),"?TYPE_IDENTIFIABLE","?REFERENTIAL"),"_")))))</f>
        <v> </v>
      </c>
      <c r="H6084" s="25" t="str">
        <f>IF(J6084&lt;&gt;1,"",IF(I6084="SBJ","CB","?"))</f>
        <v> </v>
      </c>
      <c r="I6084" s="26" t="str">
        <f>IF(OR(E6084="",E6084="!!!",F6084="NEW"),"",INDEX(B6083:B$2,-1+SUMPRODUCT(MAX(ROW(E6083:E$2)*(E6084=E6083:E$2)))))</f>
        <v> </v>
      </c>
      <c r="J6084" s="26" t="str">
        <f>IF(OR(E6084="",E6084="!!!",F6084="NEW"),"",COUNTBLANK(OFFSET(A$1,,,SUMPRODUCT(MAX(ROW(E$2:E6084)*(E6084=E$2:E6084)))))-COUNTBLANK(OFFSET(A$1,,,SUMPRODUCT(MAX(ROW(E$1:E6083)*(E2=E$1:E6083))))))</f>
        <v> </v>
      </c>
      <c r="K6084" s="26" t="str">
        <f>IF(OR(E6084="",E6084="!!!",F6084="NEW"),"",INDEX(J$1:J6083,SUMPRODUCT(MAX(ROW(E$1:E6083)*(E6084=E$1:E6083)))))</f>
        <v> </v>
      </c>
      <c r="L6084" s="27"/>
    </row>
    <row r="6085" spans="1:12">
      <c r="A6085" s="20" t="s">
        <v>680</v>
      </c>
      <c r="E6085" s="22">
        <f>IF(D6085="?OLD","!!!","")</f>
        <v/>
      </c>
      <c r="F6085" s="23" t="str">
        <f>IF(OR(E6085="",E6085="!!!"),"",IF(NOT(ISNA(VLOOKUP(E6085,E$1:E6084,1,FALSE()))),"OLD",IF(AND(E6085&lt;&gt;"",E6085&lt;&gt;"!!!"),"NEW","")))</f>
        <v> </v>
      </c>
      <c r="G6085" s="24" t="str">
        <f>IF(OR(E6085="",E6085="!!!"),"",IF(OR(J6085=0,AND(J6085=1,K6085=1),AND(J6085=1,I6085="SBJ"),AND(J6085=1,I6085=0)),"?IN_FOCUS",IF(J6085&lt;=2,"?ACTIVATED",IF(J6085&lt;&gt;"","?FAMILIAR",IF(F6085="NEW",IF(ISNA(VLOOKUP(E6085,#REF!,1,FALSE())),"?TYPE_IDENTIFIABLE","?REFERENTIAL"),"_")))))</f>
        <v> </v>
      </c>
      <c r="H6085" s="25" t="str">
        <f>IF(J6085&lt;&gt;1,"",IF(I6085="SBJ","CB","?"))</f>
        <v> </v>
      </c>
      <c r="I6085" s="26" t="str">
        <f>IF(OR(E6085="",E6085="!!!",F6085="NEW"),"",INDEX(B6084:B$2,-1+SUMPRODUCT(MAX(ROW(E6084:E$2)*(E6085=E6084:E$2)))))</f>
        <v> </v>
      </c>
      <c r="J6085" s="26" t="str">
        <f>IF(OR(E6085="",E6085="!!!",F6085="NEW"),"",COUNTBLANK(OFFSET(A$1,,,SUMPRODUCT(MAX(ROW(E$2:E6085)*(E6085=E$2:E6085)))))-COUNTBLANK(OFFSET(A$1,,,SUMPRODUCT(MAX(ROW(E$1:E6084)*(E2=E$1:E6084))))))</f>
        <v> </v>
      </c>
      <c r="K6085" s="26" t="str">
        <f>IF(OR(E6085="",E6085="!!!",F6085="NEW"),"",INDEX(J$1:J6084,SUMPRODUCT(MAX(ROW(E$1:E6084)*(E6085=E$1:E6084)))))</f>
        <v> </v>
      </c>
      <c r="L6085" s="27"/>
    </row>
    <row r="6086" spans="1:12">
      <c r="A6086" s="20" t="s">
        <v>2849</v>
      </c>
      <c r="B6086" s="21" t="s">
        <v>1248</v>
      </c>
      <c r="C6086" s="21" t="s">
        <v>1231</v>
      </c>
      <c r="E6086" s="22">
        <f>IF(D6086="?OLD","!!!","")</f>
        <v/>
      </c>
      <c r="F6086" s="23" t="str">
        <f>IF(OR(E6086="",E6086="!!!"),"",IF(NOT(ISNA(VLOOKUP(E6086,E$1:E6085,1,FALSE()))),"OLD",IF(AND(E6086&lt;&gt;"",E6086&lt;&gt;"!!!"),"NEW","")))</f>
        <v> </v>
      </c>
      <c r="G6086" s="24" t="str">
        <f>IF(OR(E6086="",E6086="!!!"),"",IF(OR(J6086=0,AND(J6086=1,K6086=1),AND(J6086=1,I6086="SBJ"),AND(J6086=1,I6086=0)),"?IN_FOCUS",IF(J6086&lt;=2,"?ACTIVATED",IF(J6086&lt;&gt;"","?FAMILIAR",IF(F6086="NEW",IF(ISNA(VLOOKUP(E6086,#REF!,1,FALSE())),"?TYPE_IDENTIFIABLE","?REFERENTIAL"),"_")))))</f>
        <v> </v>
      </c>
      <c r="H6086" s="25" t="str">
        <f>IF(J6086&lt;&gt;1,"",IF(I6086="SBJ","CB","?"))</f>
        <v> </v>
      </c>
      <c r="I6086" s="26" t="str">
        <f>IF(OR(E6086="",E6086="!!!",F6086="NEW"),"",INDEX(B6085:B$2,-1+SUMPRODUCT(MAX(ROW(E6085:E$2)*(E6086=E6085:E$2)))))</f>
        <v> </v>
      </c>
      <c r="J6086" s="26" t="str">
        <f>IF(OR(E6086="",E6086="!!!",F6086="NEW"),"",COUNTBLANK(OFFSET(A$1,,,SUMPRODUCT(MAX(ROW(E$2:E6086)*(E6086=E$2:E6086)))))-COUNTBLANK(OFFSET(A$1,,,SUMPRODUCT(MAX(ROW(E$1:E6085)*(E2=E$1:E6085))))))</f>
        <v> </v>
      </c>
      <c r="K6086" s="26" t="str">
        <f>IF(OR(E6086="",E6086="!!!",F6086="NEW"),"",INDEX(J$1:J6085,SUMPRODUCT(MAX(ROW(E$1:E6085)*(E6086=E$1:E6085)))))</f>
        <v> </v>
      </c>
      <c r="L6086" s="27"/>
    </row>
    <row r="6087" spans="1:12">
      <c r="A6087" s="20" t="s">
        <v>1210</v>
      </c>
      <c r="E6087" s="22">
        <f>IF(D6087="?OLD","!!!","")</f>
        <v/>
      </c>
      <c r="F6087" s="23" t="str">
        <f>IF(OR(E6087="",E6087="!!!"),"",IF(NOT(ISNA(VLOOKUP(E6087,E$1:E6086,1,FALSE()))),"OLD",IF(AND(E6087&lt;&gt;"",E6087&lt;&gt;"!!!"),"NEW","")))</f>
        <v> </v>
      </c>
      <c r="G6087" s="24" t="str">
        <f>IF(OR(E6087="",E6087="!!!"),"",IF(OR(J6087=0,AND(J6087=1,K6087=1),AND(J6087=1,I6087="SBJ"),AND(J6087=1,I6087=0)),"?IN_FOCUS",IF(J6087&lt;=2,"?ACTIVATED",IF(J6087&lt;&gt;"","?FAMILIAR",IF(F6087="NEW",IF(ISNA(VLOOKUP(E6087,#REF!,1,FALSE())),"?TYPE_IDENTIFIABLE","?REFERENTIAL"),"_")))))</f>
        <v> </v>
      </c>
      <c r="H6087" s="25" t="str">
        <f>IF(J6087&lt;&gt;1,"",IF(I6087="SBJ","CB","?"))</f>
        <v> </v>
      </c>
      <c r="I6087" s="26" t="str">
        <f>IF(OR(E6087="",E6087="!!!",F6087="NEW"),"",INDEX(B6086:B$2,-1+SUMPRODUCT(MAX(ROW(E6086:E$2)*(E6087=E6086:E$2)))))</f>
        <v> </v>
      </c>
      <c r="J6087" s="26" t="str">
        <f>IF(OR(E6087="",E6087="!!!",F6087="NEW"),"",COUNTBLANK(OFFSET(A$1,,,SUMPRODUCT(MAX(ROW(E$2:E6087)*(E6087=E$2:E6087)))))-COUNTBLANK(OFFSET(A$1,,,SUMPRODUCT(MAX(ROW(E$1:E6086)*(E2=E$1:E6086))))))</f>
        <v> </v>
      </c>
      <c r="K6087" s="26" t="str">
        <f>IF(OR(E6087="",E6087="!!!",F6087="NEW"),"",INDEX(J$1:J6086,SUMPRODUCT(MAX(ROW(E$1:E6086)*(E6087=E$1:E6086)))))</f>
        <v> </v>
      </c>
      <c r="L6087" s="27"/>
    </row>
    <row r="6088" spans="1:12">
      <c r="A6088" s="20" t="s">
        <v>2850</v>
      </c>
      <c r="E6088" s="22">
        <f>IF(D6088="?OLD","!!!","")</f>
        <v/>
      </c>
      <c r="F6088" s="23" t="str">
        <f>IF(OR(E6088="",E6088="!!!"),"",IF(NOT(ISNA(VLOOKUP(E6088,E$1:E6087,1,FALSE()))),"OLD",IF(AND(E6088&lt;&gt;"",E6088&lt;&gt;"!!!"),"NEW","")))</f>
        <v> </v>
      </c>
      <c r="G6088" s="24" t="str">
        <f>IF(OR(E6088="",E6088="!!!"),"",IF(OR(J6088=0,AND(J6088=1,K6088=1),AND(J6088=1,I6088="SBJ"),AND(J6088=1,I6088=0)),"?IN_FOCUS",IF(J6088&lt;=2,"?ACTIVATED",IF(J6088&lt;&gt;"","?FAMILIAR",IF(F6088="NEW",IF(ISNA(VLOOKUP(E6088,#REF!,1,FALSE())),"?TYPE_IDENTIFIABLE","?REFERENTIAL"),"_")))))</f>
        <v> </v>
      </c>
      <c r="H6088" s="25" t="str">
        <f>IF(J6088&lt;&gt;1,"",IF(I6088="SBJ","CB","?"))</f>
        <v> </v>
      </c>
      <c r="I6088" s="26" t="str">
        <f>IF(OR(E6088="",E6088="!!!",F6088="NEW"),"",INDEX(B6087:B$2,-1+SUMPRODUCT(MAX(ROW(E6087:E$2)*(E6088=E6087:E$2)))))</f>
        <v> </v>
      </c>
      <c r="J6088" s="26" t="str">
        <f>IF(OR(E6088="",E6088="!!!",F6088="NEW"),"",COUNTBLANK(OFFSET(A$1,,,SUMPRODUCT(MAX(ROW(E$2:E6088)*(E6088=E$2:E6088)))))-COUNTBLANK(OFFSET(A$1,,,SUMPRODUCT(MAX(ROW(E$1:E6087)*(E2=E$1:E6087))))))</f>
        <v> </v>
      </c>
      <c r="K6088" s="26" t="str">
        <f>IF(OR(E6088="",E6088="!!!",F6088="NEW"),"",INDEX(J$1:J6087,SUMPRODUCT(MAX(ROW(E$1:E6087)*(E6088=E$1:E6087)))))</f>
        <v> </v>
      </c>
      <c r="L6088" s="27"/>
    </row>
    <row r="6089" spans="1:12">
      <c r="A6089" s="20" t="s">
        <v>2851</v>
      </c>
      <c r="B6089" s="21" t="s">
        <v>1245</v>
      </c>
      <c r="C6089" s="21" t="s">
        <v>1196</v>
      </c>
      <c r="D6089" s="21" t="s">
        <v>1188</v>
      </c>
      <c r="E6089" s="22">
        <f>IF(D6089="?OLD","!!!","")</f>
        <v/>
      </c>
      <c r="F6089" s="23" t="str">
        <f>IF(OR(E6089="",E6089="!!!"),"",IF(NOT(ISNA(VLOOKUP(E6089,E$1:E6088,1,FALSE()))),"OLD",IF(AND(E6089&lt;&gt;"",E6089&lt;&gt;"!!!"),"NEW","")))</f>
        <v> </v>
      </c>
      <c r="G6089" s="24" t="str">
        <f>IF(OR(E6089="",E6089="!!!"),"",IF(OR(J6089=0,AND(J6089=1,K6089=1),AND(J6089=1,I6089="SBJ"),AND(J6089=1,I6089=0)),"?IN_FOCUS",IF(J6089&lt;=2,"?ACTIVATED",IF(J6089&lt;&gt;"","?FAMILIAR",IF(F6089="NEW",IF(ISNA(VLOOKUP(E6089,#REF!,1,FALSE())),"?TYPE_IDENTIFIABLE","?REFERENTIAL"),"_")))))</f>
        <v> </v>
      </c>
      <c r="H6089" s="25" t="str">
        <f>IF(J6089&lt;&gt;1,"",IF(I6089="SBJ","CB","?"))</f>
        <v> </v>
      </c>
      <c r="I6089" s="26" t="str">
        <f>IF(OR(E6089="",E6089="!!!",F6089="NEW"),"",INDEX(B6088:B$2,-1+SUMPRODUCT(MAX(ROW(E6088:E$2)*(E6089=E6088:E$2)))))</f>
        <v> </v>
      </c>
      <c r="J6089" s="26" t="str">
        <f>IF(OR(E6089="",E6089="!!!",F6089="NEW"),"",COUNTBLANK(OFFSET(A$1,,,SUMPRODUCT(MAX(ROW(E$2:E6089)*(E6089=E$2:E6089)))))-COUNTBLANK(OFFSET(A$1,,,SUMPRODUCT(MAX(ROW(E$1:E6088)*(E2=E$1:E6088))))))</f>
        <v> </v>
      </c>
      <c r="K6089" s="26" t="str">
        <f>IF(OR(E6089="",E6089="!!!",F6089="NEW"),"",INDEX(J$1:J6088,SUMPRODUCT(MAX(ROW(E$1:E6088)*(E6089=E$1:E6088)))))</f>
        <v> </v>
      </c>
      <c r="L6089" s="27"/>
    </row>
    <row r="6090" spans="1:12">
      <c r="A6090" s="20" t="s">
        <v>1194</v>
      </c>
      <c r="E6090" s="22">
        <f>IF(D6090="?OLD","!!!","")</f>
        <v/>
      </c>
      <c r="F6090" s="23" t="str">
        <f>IF(OR(E6090="",E6090="!!!"),"",IF(NOT(ISNA(VLOOKUP(E6090,E$1:E6089,1,FALSE()))),"OLD",IF(AND(E6090&lt;&gt;"",E6090&lt;&gt;"!!!"),"NEW","")))</f>
        <v> </v>
      </c>
      <c r="G6090" s="24" t="str">
        <f>IF(OR(E6090="",E6090="!!!"),"",IF(OR(J6090=0,AND(J6090=1,K6090=1),AND(J6090=1,I6090="SBJ"),AND(J6090=1,I6090=0)),"?IN_FOCUS",IF(J6090&lt;=2,"?ACTIVATED",IF(J6090&lt;&gt;"","?FAMILIAR",IF(F6090="NEW",IF(ISNA(VLOOKUP(E6090,#REF!,1,FALSE())),"?TYPE_IDENTIFIABLE","?REFERENTIAL"),"_")))))</f>
        <v> </v>
      </c>
      <c r="H6090" s="25" t="str">
        <f>IF(J6090&lt;&gt;1,"",IF(I6090="SBJ","CB","?"))</f>
        <v> </v>
      </c>
      <c r="I6090" s="26" t="str">
        <f>IF(OR(E6090="",E6090="!!!",F6090="NEW"),"",INDEX(B6089:B$2,-1+SUMPRODUCT(MAX(ROW(E6089:E$2)*(E6090=E6089:E$2)))))</f>
        <v> </v>
      </c>
      <c r="J6090" s="26" t="str">
        <f>IF(OR(E6090="",E6090="!!!",F6090="NEW"),"",COUNTBLANK(OFFSET(A$1,,,SUMPRODUCT(MAX(ROW(E$2:E6090)*(E6090=E$2:E6090)))))-COUNTBLANK(OFFSET(A$1,,,SUMPRODUCT(MAX(ROW(E$1:E6089)*(E2=E$1:E6089))))))</f>
        <v> </v>
      </c>
      <c r="K6090" s="26" t="str">
        <f>IF(OR(E6090="",E6090="!!!",F6090="NEW"),"",INDEX(J$1:J6089,SUMPRODUCT(MAX(ROW(E$1:E6089)*(E6090=E$1:E6089)))))</f>
        <v> </v>
      </c>
      <c r="L6090" s="27"/>
    </row>
    <row r="6091" spans="1:12">
      <c r="A6091" s="20" t="s">
        <v>2655</v>
      </c>
      <c r="B6091" s="21" t="s">
        <v>1245</v>
      </c>
      <c r="C6091" s="21" t="s">
        <v>1196</v>
      </c>
      <c r="D6091" s="21" t="s">
        <v>1188</v>
      </c>
      <c r="E6091" s="22">
        <f>IF(D6091="?OLD","!!!","")</f>
        <v/>
      </c>
      <c r="F6091" s="23" t="str">
        <f>IF(OR(E6091="",E6091="!!!"),"",IF(NOT(ISNA(VLOOKUP(E6091,E$1:E6090,1,FALSE()))),"OLD",IF(AND(E6091&lt;&gt;"",E6091&lt;&gt;"!!!"),"NEW","")))</f>
        <v> </v>
      </c>
      <c r="G6091" s="24" t="str">
        <f>IF(OR(E6091="",E6091="!!!"),"",IF(OR(J6091=0,AND(J6091=1,K6091=1),AND(J6091=1,I6091="SBJ"),AND(J6091=1,I6091=0)),"?IN_FOCUS",IF(J6091&lt;=2,"?ACTIVATED",IF(J6091&lt;&gt;"","?FAMILIAR",IF(F6091="NEW",IF(ISNA(VLOOKUP(E6091,#REF!,1,FALSE())),"?TYPE_IDENTIFIABLE","?REFERENTIAL"),"_")))))</f>
        <v> </v>
      </c>
      <c r="H6091" s="25" t="str">
        <f>IF(J6091&lt;&gt;1,"",IF(I6091="SBJ","CB","?"))</f>
        <v> </v>
      </c>
      <c r="I6091" s="26" t="str">
        <f>IF(OR(E6091="",E6091="!!!",F6091="NEW"),"",INDEX(B6090:B$2,-1+SUMPRODUCT(MAX(ROW(E6090:E$2)*(E6091=E6090:E$2)))))</f>
        <v> </v>
      </c>
      <c r="J6091" s="26" t="str">
        <f>IF(OR(E6091="",E6091="!!!",F6091="NEW"),"",COUNTBLANK(OFFSET(A$1,,,SUMPRODUCT(MAX(ROW(E$2:E6091)*(E6091=E$2:E6091)))))-COUNTBLANK(OFFSET(A$1,,,SUMPRODUCT(MAX(ROW(E$1:E6090)*(E2=E$1:E6090))))))</f>
        <v> </v>
      </c>
      <c r="K6091" s="26" t="str">
        <f>IF(OR(E6091="",E6091="!!!",F6091="NEW"),"",INDEX(J$1:J6090,SUMPRODUCT(MAX(ROW(E$1:E6090)*(E6091=E$1:E6090)))))</f>
        <v> </v>
      </c>
      <c r="L6091" s="27"/>
    </row>
    <row r="6092" spans="1:12">
      <c r="A6092" s="20" t="s">
        <v>2656</v>
      </c>
      <c r="E6092" s="22">
        <f>IF(D6092="?OLD","!!!","")</f>
        <v/>
      </c>
      <c r="F6092" s="23" t="str">
        <f>IF(OR(E6092="",E6092="!!!"),"",IF(NOT(ISNA(VLOOKUP(E6092,E$1:E6091,1,FALSE()))),"OLD",IF(AND(E6092&lt;&gt;"",E6092&lt;&gt;"!!!"),"NEW","")))</f>
        <v> </v>
      </c>
      <c r="G6092" s="24" t="str">
        <f>IF(OR(E6092="",E6092="!!!"),"",IF(OR(J6092=0,AND(J6092=1,K6092=1),AND(J6092=1,I6092="SBJ"),AND(J6092=1,I6092=0)),"?IN_FOCUS",IF(J6092&lt;=2,"?ACTIVATED",IF(J6092&lt;&gt;"","?FAMILIAR",IF(F6092="NEW",IF(ISNA(VLOOKUP(E6092,#REF!,1,FALSE())),"?TYPE_IDENTIFIABLE","?REFERENTIAL"),"_")))))</f>
        <v> </v>
      </c>
      <c r="H6092" s="25" t="str">
        <f>IF(J6092&lt;&gt;1,"",IF(I6092="SBJ","CB","?"))</f>
        <v> </v>
      </c>
      <c r="I6092" s="26" t="str">
        <f>IF(OR(E6092="",E6092="!!!",F6092="NEW"),"",INDEX(B6091:B$2,-1+SUMPRODUCT(MAX(ROW(E6091:E$2)*(E6092=E6091:E$2)))))</f>
        <v> </v>
      </c>
      <c r="J6092" s="26" t="str">
        <f>IF(OR(E6092="",E6092="!!!",F6092="NEW"),"",COUNTBLANK(OFFSET(A$1,,,SUMPRODUCT(MAX(ROW(E$2:E6092)*(E6092=E$2:E6092)))))-COUNTBLANK(OFFSET(A$1,,,SUMPRODUCT(MAX(ROW(E$1:E6091)*(E2=E$1:E6091))))))</f>
        <v> </v>
      </c>
      <c r="K6092" s="26" t="str">
        <f>IF(OR(E6092="",E6092="!!!",F6092="NEW"),"",INDEX(J$1:J6091,SUMPRODUCT(MAX(ROW(E$1:E6091)*(E6092=E$1:E6091)))))</f>
        <v> </v>
      </c>
      <c r="L6092" s="27"/>
    </row>
    <row r="6093" spans="1:12">
      <c r="A6093" s="20" t="s">
        <v>1260</v>
      </c>
      <c r="E6093" s="22">
        <f>IF(D6093="?OLD","!!!","")</f>
        <v/>
      </c>
      <c r="F6093" s="23" t="str">
        <f>IF(OR(E6093="",E6093="!!!"),"",IF(NOT(ISNA(VLOOKUP(E6093,E$1:E6092,1,FALSE()))),"OLD",IF(AND(E6093&lt;&gt;"",E6093&lt;&gt;"!!!"),"NEW","")))</f>
        <v> </v>
      </c>
      <c r="G6093" s="24" t="str">
        <f>IF(OR(E6093="",E6093="!!!"),"",IF(OR(J6093=0,AND(J6093=1,K6093=1),AND(J6093=1,I6093="SBJ"),AND(J6093=1,I6093=0)),"?IN_FOCUS",IF(J6093&lt;=2,"?ACTIVATED",IF(J6093&lt;&gt;"","?FAMILIAR",IF(F6093="NEW",IF(ISNA(VLOOKUP(E6093,#REF!,1,FALSE())),"?TYPE_IDENTIFIABLE","?REFERENTIAL"),"_")))))</f>
        <v> </v>
      </c>
      <c r="H6093" s="25" t="str">
        <f>IF(J6093&lt;&gt;1,"",IF(I6093="SBJ","CB","?"))</f>
        <v> </v>
      </c>
      <c r="I6093" s="26" t="str">
        <f>IF(OR(E6093="",E6093="!!!",F6093="NEW"),"",INDEX(B6092:B$2,-1+SUMPRODUCT(MAX(ROW(E6092:E$2)*(E6093=E6092:E$2)))))</f>
        <v> </v>
      </c>
      <c r="J6093" s="26" t="str">
        <f>IF(OR(E6093="",E6093="!!!",F6093="NEW"),"",COUNTBLANK(OFFSET(A$1,,,SUMPRODUCT(MAX(ROW(E$2:E6093)*(E6093=E$2:E6093)))))-COUNTBLANK(OFFSET(A$1,,,SUMPRODUCT(MAX(ROW(E$1:E6092)*(E2=E$1:E6092))))))</f>
        <v> </v>
      </c>
      <c r="K6093" s="26" t="str">
        <f>IF(OR(E6093="",E6093="!!!",F6093="NEW"),"",INDEX(J$1:J6092,SUMPRODUCT(MAX(ROW(E$1:E6092)*(E6093=E$1:E6092)))))</f>
        <v> </v>
      </c>
      <c r="L6093" s="27"/>
    </row>
    <row r="6094" spans="1:12">
      <c r="A6094" s="20" t="s">
        <v>1193</v>
      </c>
      <c r="E6094" s="22">
        <f>IF(D6094="?OLD","!!!","")</f>
        <v/>
      </c>
      <c r="F6094" s="23" t="str">
        <f>IF(OR(E6094="",E6094="!!!"),"",IF(NOT(ISNA(VLOOKUP(E6094,E$1:E6093,1,FALSE()))),"OLD",IF(AND(E6094&lt;&gt;"",E6094&lt;&gt;"!!!"),"NEW","")))</f>
        <v> </v>
      </c>
      <c r="G6094" s="24" t="str">
        <f>IF(OR(E6094="",E6094="!!!"),"",IF(OR(J6094=0,AND(J6094=1,K6094=1),AND(J6094=1,I6094="SBJ"),AND(J6094=1,I6094=0)),"?IN_FOCUS",IF(J6094&lt;=2,"?ACTIVATED",IF(J6094&lt;&gt;"","?FAMILIAR",IF(F6094="NEW",IF(ISNA(VLOOKUP(E6094,#REF!,1,FALSE())),"?TYPE_IDENTIFIABLE","?REFERENTIAL"),"_")))))</f>
        <v> </v>
      </c>
      <c r="H6094" s="25" t="str">
        <f>IF(J6094&lt;&gt;1,"",IF(I6094="SBJ","CB","?"))</f>
        <v> </v>
      </c>
      <c r="I6094" s="26" t="str">
        <f>IF(OR(E6094="",E6094="!!!",F6094="NEW"),"",INDEX(B6093:B$2,-1+SUMPRODUCT(MAX(ROW(E6093:E$2)*(E6094=E6093:E$2)))))</f>
        <v> </v>
      </c>
      <c r="J6094" s="26" t="str">
        <f>IF(OR(E6094="",E6094="!!!",F6094="NEW"),"",COUNTBLANK(OFFSET(A$1,,,SUMPRODUCT(MAX(ROW(E$2:E6094)*(E6094=E$2:E6094)))))-COUNTBLANK(OFFSET(A$1,,,SUMPRODUCT(MAX(ROW(E$1:E6093)*(E2=E$1:E6093))))))</f>
        <v> </v>
      </c>
      <c r="K6094" s="26" t="str">
        <f>IF(OR(E6094="",E6094="!!!",F6094="NEW"),"",INDEX(J$1:J6093,SUMPRODUCT(MAX(ROW(E$1:E6093)*(E6094=E$1:E6093)))))</f>
        <v> </v>
      </c>
      <c r="L6094" s="27"/>
    </row>
    <row r="6095" spans="1:12">
      <c r="A6095" s="20" t="s">
        <v>1210</v>
      </c>
      <c r="E6095" s="22">
        <f>IF(D6095="?OLD","!!!","")</f>
        <v/>
      </c>
      <c r="F6095" s="23" t="str">
        <f>IF(OR(E6095="",E6095="!!!"),"",IF(NOT(ISNA(VLOOKUP(E6095,E$1:E6094,1,FALSE()))),"OLD",IF(AND(E6095&lt;&gt;"",E6095&lt;&gt;"!!!"),"NEW","")))</f>
        <v> </v>
      </c>
      <c r="G6095" s="24" t="str">
        <f>IF(OR(E6095="",E6095="!!!"),"",IF(OR(J6095=0,AND(J6095=1,K6095=1),AND(J6095=1,I6095="SBJ"),AND(J6095=1,I6095=0)),"?IN_FOCUS",IF(J6095&lt;=2,"?ACTIVATED",IF(J6095&lt;&gt;"","?FAMILIAR",IF(F6095="NEW",IF(ISNA(VLOOKUP(E6095,#REF!,1,FALSE())),"?TYPE_IDENTIFIABLE","?REFERENTIAL"),"_")))))</f>
        <v> </v>
      </c>
      <c r="H6095" s="25" t="str">
        <f>IF(J6095&lt;&gt;1,"",IF(I6095="SBJ","CB","?"))</f>
        <v> </v>
      </c>
      <c r="I6095" s="26" t="str">
        <f>IF(OR(E6095="",E6095="!!!",F6095="NEW"),"",INDEX(B6094:B$2,-1+SUMPRODUCT(MAX(ROW(E6094:E$2)*(E6095=E6094:E$2)))))</f>
        <v> </v>
      </c>
      <c r="J6095" s="26" t="str">
        <f>IF(OR(E6095="",E6095="!!!",F6095="NEW"),"",COUNTBLANK(OFFSET(A$1,,,SUMPRODUCT(MAX(ROW(E$2:E6095)*(E6095=E$2:E6095)))))-COUNTBLANK(OFFSET(A$1,,,SUMPRODUCT(MAX(ROW(E$1:E6094)*(E2=E$1:E6094))))))</f>
        <v> </v>
      </c>
      <c r="K6095" s="26" t="str">
        <f>IF(OR(E6095="",E6095="!!!",F6095="NEW"),"",INDEX(J$1:J6094,SUMPRODUCT(MAX(ROW(E$1:E6094)*(E6095=E$1:E6094)))))</f>
        <v> </v>
      </c>
      <c r="L6095" s="27"/>
    </row>
    <row r="6096" spans="1:12">
      <c r="A6096" s="20" t="s">
        <v>2850</v>
      </c>
      <c r="E6096" s="22">
        <f>IF(D6096="?OLD","!!!","")</f>
        <v/>
      </c>
      <c r="F6096" s="23" t="str">
        <f>IF(OR(E6096="",E6096="!!!"),"",IF(NOT(ISNA(VLOOKUP(E6096,E$1:E6095,1,FALSE()))),"OLD",IF(AND(E6096&lt;&gt;"",E6096&lt;&gt;"!!!"),"NEW","")))</f>
        <v> </v>
      </c>
      <c r="G6096" s="24" t="str">
        <f>IF(OR(E6096="",E6096="!!!"),"",IF(OR(J6096=0,AND(J6096=1,K6096=1),AND(J6096=1,I6096="SBJ"),AND(J6096=1,I6096=0)),"?IN_FOCUS",IF(J6096&lt;=2,"?ACTIVATED",IF(J6096&lt;&gt;"","?FAMILIAR",IF(F6096="NEW",IF(ISNA(VLOOKUP(E6096,#REF!,1,FALSE())),"?TYPE_IDENTIFIABLE","?REFERENTIAL"),"_")))))</f>
        <v> </v>
      </c>
      <c r="H6096" s="25" t="str">
        <f>IF(J6096&lt;&gt;1,"",IF(I6096="SBJ","CB","?"))</f>
        <v> </v>
      </c>
      <c r="I6096" s="26" t="str">
        <f>IF(OR(E6096="",E6096="!!!",F6096="NEW"),"",INDEX(B6095:B$2,-1+SUMPRODUCT(MAX(ROW(E6095:E$2)*(E6096=E6095:E$2)))))</f>
        <v> </v>
      </c>
      <c r="J6096" s="26" t="str">
        <f>IF(OR(E6096="",E6096="!!!",F6096="NEW"),"",COUNTBLANK(OFFSET(A$1,,,SUMPRODUCT(MAX(ROW(E$2:E6096)*(E6096=E$2:E6096)))))-COUNTBLANK(OFFSET(A$1,,,SUMPRODUCT(MAX(ROW(E$1:E6095)*(E2=E$1:E6095))))))</f>
        <v> </v>
      </c>
      <c r="K6096" s="26" t="str">
        <f>IF(OR(E6096="",E6096="!!!",F6096="NEW"),"",INDEX(J$1:J6095,SUMPRODUCT(MAX(ROW(E$1:E6095)*(E6096=E$1:E6095)))))</f>
        <v> </v>
      </c>
      <c r="L6096" s="27"/>
    </row>
    <row r="6097" spans="1:12">
      <c r="A6097" s="20" t="s">
        <v>1442</v>
      </c>
      <c r="B6097" s="21" t="s">
        <v>1245</v>
      </c>
      <c r="C6097" s="21" t="s">
        <v>1196</v>
      </c>
      <c r="D6097" s="21" t="s">
        <v>1188</v>
      </c>
      <c r="E6097" s="22">
        <f>IF(D6097="?OLD","!!!","")</f>
        <v/>
      </c>
      <c r="F6097" s="23" t="str">
        <f>IF(OR(E6097="",E6097="!!!"),"",IF(NOT(ISNA(VLOOKUP(E6097,E$1:E6096,1,FALSE()))),"OLD",IF(AND(E6097&lt;&gt;"",E6097&lt;&gt;"!!!"),"NEW","")))</f>
        <v> </v>
      </c>
      <c r="G6097" s="24" t="str">
        <f>IF(OR(E6097="",E6097="!!!"),"",IF(OR(J6097=0,AND(J6097=1,K6097=1),AND(J6097=1,I6097="SBJ"),AND(J6097=1,I6097=0)),"?IN_FOCUS",IF(J6097&lt;=2,"?ACTIVATED",IF(J6097&lt;&gt;"","?FAMILIAR",IF(F6097="NEW",IF(ISNA(VLOOKUP(E6097,#REF!,1,FALSE())),"?TYPE_IDENTIFIABLE","?REFERENTIAL"),"_")))))</f>
        <v> </v>
      </c>
      <c r="H6097" s="25" t="str">
        <f>IF(J6097&lt;&gt;1,"",IF(I6097="SBJ","CB","?"))</f>
        <v> </v>
      </c>
      <c r="I6097" s="26" t="str">
        <f>IF(OR(E6097="",E6097="!!!",F6097="NEW"),"",INDEX(B6096:B$2,-1+SUMPRODUCT(MAX(ROW(E6096:E$2)*(E6097=E6096:E$2)))))</f>
        <v> </v>
      </c>
      <c r="J6097" s="26" t="str">
        <f>IF(OR(E6097="",E6097="!!!",F6097="NEW"),"",COUNTBLANK(OFFSET(A$1,,,SUMPRODUCT(MAX(ROW(E$2:E6097)*(E6097=E$2:E6097)))))-COUNTBLANK(OFFSET(A$1,,,SUMPRODUCT(MAX(ROW(E$1:E6096)*(E2=E$1:E6096))))))</f>
        <v> </v>
      </c>
      <c r="K6097" s="26" t="str">
        <f>IF(OR(E6097="",E6097="!!!",F6097="NEW"),"",INDEX(J$1:J6096,SUMPRODUCT(MAX(ROW(E$1:E6096)*(E6097=E$1:E6096)))))</f>
        <v> </v>
      </c>
      <c r="L6097" s="27"/>
    </row>
    <row r="6098" spans="1:12">
      <c r="A6098" s="20" t="s">
        <v>1206</v>
      </c>
      <c r="E6098" s="22">
        <f>IF(D6098="?OLD","!!!","")</f>
        <v/>
      </c>
      <c r="F6098" s="23" t="str">
        <f>IF(OR(E6098="",E6098="!!!"),"",IF(NOT(ISNA(VLOOKUP(E6098,E$1:E6097,1,FALSE()))),"OLD",IF(AND(E6098&lt;&gt;"",E6098&lt;&gt;"!!!"),"NEW","")))</f>
        <v> </v>
      </c>
      <c r="G6098" s="24" t="str">
        <f>IF(OR(E6098="",E6098="!!!"),"",IF(OR(J6098=0,AND(J6098=1,K6098=1),AND(J6098=1,I6098="SBJ"),AND(J6098=1,I6098=0)),"?IN_FOCUS",IF(J6098&lt;=2,"?ACTIVATED",IF(J6098&lt;&gt;"","?FAMILIAR",IF(F6098="NEW",IF(ISNA(VLOOKUP(E6098,#REF!,1,FALSE())),"?TYPE_IDENTIFIABLE","?REFERENTIAL"),"_")))))</f>
        <v> </v>
      </c>
      <c r="H6098" s="25" t="str">
        <f>IF(J6098&lt;&gt;1,"",IF(I6098="SBJ","CB","?"))</f>
        <v> </v>
      </c>
      <c r="I6098" s="26" t="str">
        <f>IF(OR(E6098="",E6098="!!!",F6098="NEW"),"",INDEX(B6097:B$2,-1+SUMPRODUCT(MAX(ROW(E6097:E$2)*(E6098=E6097:E$2)))))</f>
        <v> </v>
      </c>
      <c r="J6098" s="26" t="str">
        <f>IF(OR(E6098="",E6098="!!!",F6098="NEW"),"",COUNTBLANK(OFFSET(A$1,,,SUMPRODUCT(MAX(ROW(E$2:E6098)*(E6098=E$2:E6098)))))-COUNTBLANK(OFFSET(A$1,,,SUMPRODUCT(MAX(ROW(E$1:E6097)*(E2=E$1:E6097))))))</f>
        <v> </v>
      </c>
      <c r="K6098" s="26" t="str">
        <f>IF(OR(E6098="",E6098="!!!",F6098="NEW"),"",INDEX(J$1:J6097,SUMPRODUCT(MAX(ROW(E$1:E6097)*(E6098=E$1:E6097)))))</f>
        <v> </v>
      </c>
      <c r="L6098" s="27"/>
    </row>
    <row r="6099" spans="1:12">
      <c r="A6099" s="20" t="s">
        <v>1336</v>
      </c>
      <c r="B6099" s="21" t="s">
        <v>1215</v>
      </c>
      <c r="C6099" s="21" t="s">
        <v>1196</v>
      </c>
      <c r="D6099" s="21" t="s">
        <v>1188</v>
      </c>
      <c r="E6099" s="22">
        <f>IF(D6099="?OLD","!!!","")</f>
        <v/>
      </c>
      <c r="F6099" s="23" t="str">
        <f>IF(OR(E6099="",E6099="!!!"),"",IF(NOT(ISNA(VLOOKUP(E6099,E$1:E6098,1,FALSE()))),"OLD",IF(AND(E6099&lt;&gt;"",E6099&lt;&gt;"!!!"),"NEW","")))</f>
        <v> </v>
      </c>
      <c r="G6099" s="24" t="str">
        <f>IF(OR(E6099="",E6099="!!!"),"",IF(OR(J6099=0,AND(J6099=1,K6099=1),AND(J6099=1,I6099="SBJ"),AND(J6099=1,I6099=0)),"?IN_FOCUS",IF(J6099&lt;=2,"?ACTIVATED",IF(J6099&lt;&gt;"","?FAMILIAR",IF(F6099="NEW",IF(ISNA(VLOOKUP(E6099,#REF!,1,FALSE())),"?TYPE_IDENTIFIABLE","?REFERENTIAL"),"_")))))</f>
        <v> </v>
      </c>
      <c r="H6099" s="25" t="str">
        <f>IF(J6099&lt;&gt;1,"",IF(I6099="SBJ","CB","?"))</f>
        <v> </v>
      </c>
      <c r="I6099" s="26" t="str">
        <f>IF(OR(E6099="",E6099="!!!",F6099="NEW"),"",INDEX(B6098:B$2,-1+SUMPRODUCT(MAX(ROW(E6098:E$2)*(E6099=E6098:E$2)))))</f>
        <v> </v>
      </c>
      <c r="J6099" s="26" t="str">
        <f>IF(OR(E6099="",E6099="!!!",F6099="NEW"),"",COUNTBLANK(OFFSET(A$1,,,SUMPRODUCT(MAX(ROW(E$2:E6099)*(E6099=E$2:E6099)))))-COUNTBLANK(OFFSET(A$1,,,SUMPRODUCT(MAX(ROW(E$1:E6098)*(E2=E$1:E6098))))))</f>
        <v> </v>
      </c>
      <c r="K6099" s="26" t="str">
        <f>IF(OR(E6099="",E6099="!!!",F6099="NEW"),"",INDEX(J$1:J6098,SUMPRODUCT(MAX(ROW(E$1:E6098)*(E6099=E$1:E6098)))))</f>
        <v> </v>
      </c>
      <c r="L6099" s="27"/>
    </row>
    <row r="6100" spans="1:12">
      <c r="A6100" s="20" t="s">
        <v>1193</v>
      </c>
      <c r="E6100" s="22">
        <f>IF(D6100="?OLD","!!!","")</f>
        <v/>
      </c>
      <c r="F6100" s="23" t="str">
        <f>IF(OR(E6100="",E6100="!!!"),"",IF(NOT(ISNA(VLOOKUP(E6100,E$1:E6099,1,FALSE()))),"OLD",IF(AND(E6100&lt;&gt;"",E6100&lt;&gt;"!!!"),"NEW","")))</f>
        <v> </v>
      </c>
      <c r="G6100" s="24" t="str">
        <f>IF(OR(E6100="",E6100="!!!"),"",IF(OR(J6100=0,AND(J6100=1,K6100=1),AND(J6100=1,I6100="SBJ"),AND(J6100=1,I6100=0)),"?IN_FOCUS",IF(J6100&lt;=2,"?ACTIVATED",IF(J6100&lt;&gt;"","?FAMILIAR",IF(F6100="NEW",IF(ISNA(VLOOKUP(E6100,#REF!,1,FALSE())),"?TYPE_IDENTIFIABLE","?REFERENTIAL"),"_")))))</f>
        <v> </v>
      </c>
      <c r="H6100" s="25" t="str">
        <f>IF(J6100&lt;&gt;1,"",IF(I6100="SBJ","CB","?"))</f>
        <v> </v>
      </c>
      <c r="I6100" s="26" t="str">
        <f>IF(OR(E6100="",E6100="!!!",F6100="NEW"),"",INDEX(B6099:B$2,-1+SUMPRODUCT(MAX(ROW(E6099:E$2)*(E6100=E6099:E$2)))))</f>
        <v> </v>
      </c>
      <c r="J6100" s="26" t="str">
        <f>IF(OR(E6100="",E6100="!!!",F6100="NEW"),"",COUNTBLANK(OFFSET(A$1,,,SUMPRODUCT(MAX(ROW(E$2:E6100)*(E6100=E$2:E6100)))))-COUNTBLANK(OFFSET(A$1,,,SUMPRODUCT(MAX(ROW(E$1:E6099)*(E2=E$1:E6099))))))</f>
        <v> </v>
      </c>
      <c r="K6100" s="26" t="str">
        <f>IF(OR(E6100="",E6100="!!!",F6100="NEW"),"",INDEX(J$1:J6099,SUMPRODUCT(MAX(ROW(E$1:E6099)*(E6100=E$1:E6099)))))</f>
        <v> </v>
      </c>
      <c r="L6100" s="27"/>
    </row>
    <row r="6101" spans="1:12">
      <c r="A6101" s="20" t="s">
        <v>1302</v>
      </c>
      <c r="E6101" s="22">
        <f>IF(D6101="?OLD","!!!","")</f>
        <v/>
      </c>
      <c r="F6101" s="23" t="str">
        <f>IF(OR(E6101="",E6101="!!!"),"",IF(NOT(ISNA(VLOOKUP(E6101,E$1:E6100,1,FALSE()))),"OLD",IF(AND(E6101&lt;&gt;"",E6101&lt;&gt;"!!!"),"NEW","")))</f>
        <v> </v>
      </c>
      <c r="G6101" s="24" t="str">
        <f>IF(OR(E6101="",E6101="!!!"),"",IF(OR(J6101=0,AND(J6101=1,K6101=1),AND(J6101=1,I6101="SBJ"),AND(J6101=1,I6101=0)),"?IN_FOCUS",IF(J6101&lt;=2,"?ACTIVATED",IF(J6101&lt;&gt;"","?FAMILIAR",IF(F6101="NEW",IF(ISNA(VLOOKUP(E6101,#REF!,1,FALSE())),"?TYPE_IDENTIFIABLE","?REFERENTIAL"),"_")))))</f>
        <v> </v>
      </c>
      <c r="H6101" s="25" t="str">
        <f>IF(J6101&lt;&gt;1,"",IF(I6101="SBJ","CB","?"))</f>
        <v> </v>
      </c>
      <c r="I6101" s="26" t="str">
        <f>IF(OR(E6101="",E6101="!!!",F6101="NEW"),"",INDEX(B6100:B$2,-1+SUMPRODUCT(MAX(ROW(E6100:E$2)*(E6101=E6100:E$2)))))</f>
        <v> </v>
      </c>
      <c r="J6101" s="26" t="str">
        <f>IF(OR(E6101="",E6101="!!!",F6101="NEW"),"",COUNTBLANK(OFFSET(A$1,,,SUMPRODUCT(MAX(ROW(E$2:E6101)*(E6101=E$2:E6101)))))-COUNTBLANK(OFFSET(A$1,,,SUMPRODUCT(MAX(ROW(E$1:E6100)*(E2=E$1:E6100))))))</f>
        <v> </v>
      </c>
      <c r="K6101" s="26" t="str">
        <f>IF(OR(E6101="",E6101="!!!",F6101="NEW"),"",INDEX(J$1:J6100,SUMPRODUCT(MAX(ROW(E$1:E6100)*(E6101=E$1:E6100)))))</f>
        <v> </v>
      </c>
      <c r="L6101" s="27"/>
    </row>
    <row r="6102" spans="1:12">
      <c r="A6102" s="20" t="s">
        <v>2852</v>
      </c>
      <c r="E6102" s="22">
        <f>IF(D6102="?OLD","!!!","")</f>
        <v/>
      </c>
      <c r="F6102" s="23" t="str">
        <f>IF(OR(E6102="",E6102="!!!"),"",IF(NOT(ISNA(VLOOKUP(E6102,E$1:E6101,1,FALSE()))),"OLD",IF(AND(E6102&lt;&gt;"",E6102&lt;&gt;"!!!"),"NEW","")))</f>
        <v> </v>
      </c>
      <c r="G6102" s="24" t="str">
        <f>IF(OR(E6102="",E6102="!!!"),"",IF(OR(J6102=0,AND(J6102=1,K6102=1),AND(J6102=1,I6102="SBJ"),AND(J6102=1,I6102=0)),"?IN_FOCUS",IF(J6102&lt;=2,"?ACTIVATED",IF(J6102&lt;&gt;"","?FAMILIAR",IF(F6102="NEW",IF(ISNA(VLOOKUP(E6102,#REF!,1,FALSE())),"?TYPE_IDENTIFIABLE","?REFERENTIAL"),"_")))))</f>
        <v> </v>
      </c>
      <c r="H6102" s="25" t="str">
        <f>IF(J6102&lt;&gt;1,"",IF(I6102="SBJ","CB","?"))</f>
        <v> </v>
      </c>
      <c r="I6102" s="26" t="str">
        <f>IF(OR(E6102="",E6102="!!!",F6102="NEW"),"",INDEX(B6101:B$2,-1+SUMPRODUCT(MAX(ROW(E6101:E$2)*(E6102=E6101:E$2)))))</f>
        <v> </v>
      </c>
      <c r="J6102" s="26" t="str">
        <f>IF(OR(E6102="",E6102="!!!",F6102="NEW"),"",COUNTBLANK(OFFSET(A$1,,,SUMPRODUCT(MAX(ROW(E$2:E6102)*(E6102=E$2:E6102)))))-COUNTBLANK(OFFSET(A$1,,,SUMPRODUCT(MAX(ROW(E$1:E6101)*(E2=E$1:E6101))))))</f>
        <v> </v>
      </c>
      <c r="K6102" s="26" t="str">
        <f>IF(OR(E6102="",E6102="!!!",F6102="NEW"),"",INDEX(J$1:J6101,SUMPRODUCT(MAX(ROW(E$1:E6101)*(E6102=E$1:E6101)))))</f>
        <v> </v>
      </c>
      <c r="L6102" s="27"/>
    </row>
    <row r="6103" spans="1:12">
      <c r="A6103" s="20" t="s">
        <v>1260</v>
      </c>
      <c r="E6103" s="22">
        <f>IF(D6103="?OLD","!!!","")</f>
        <v/>
      </c>
      <c r="F6103" s="23" t="str">
        <f>IF(OR(E6103="",E6103="!!!"),"",IF(NOT(ISNA(VLOOKUP(E6103,E$1:E6102,1,FALSE()))),"OLD",IF(AND(E6103&lt;&gt;"",E6103&lt;&gt;"!!!"),"NEW","")))</f>
        <v> </v>
      </c>
      <c r="G6103" s="24" t="str">
        <f>IF(OR(E6103="",E6103="!!!"),"",IF(OR(J6103=0,AND(J6103=1,K6103=1),AND(J6103=1,I6103="SBJ"),AND(J6103=1,I6103=0)),"?IN_FOCUS",IF(J6103&lt;=2,"?ACTIVATED",IF(J6103&lt;&gt;"","?FAMILIAR",IF(F6103="NEW",IF(ISNA(VLOOKUP(E6103,#REF!,1,FALSE())),"?TYPE_IDENTIFIABLE","?REFERENTIAL"),"_")))))</f>
        <v> </v>
      </c>
      <c r="H6103" s="25" t="str">
        <f>IF(J6103&lt;&gt;1,"",IF(I6103="SBJ","CB","?"))</f>
        <v> </v>
      </c>
      <c r="I6103" s="26" t="str">
        <f>IF(OR(E6103="",E6103="!!!",F6103="NEW"),"",INDEX(B6102:B$2,-1+SUMPRODUCT(MAX(ROW(E6102:E$2)*(E6103=E6102:E$2)))))</f>
        <v> </v>
      </c>
      <c r="J6103" s="26" t="str">
        <f>IF(OR(E6103="",E6103="!!!",F6103="NEW"),"",COUNTBLANK(OFFSET(A$1,,,SUMPRODUCT(MAX(ROW(E$2:E6103)*(E6103=E$2:E6103)))))-COUNTBLANK(OFFSET(A$1,,,SUMPRODUCT(MAX(ROW(E$1:E6102)*(E2=E$1:E6102))))))</f>
        <v> </v>
      </c>
      <c r="K6103" s="26" t="str">
        <f>IF(OR(E6103="",E6103="!!!",F6103="NEW"),"",INDEX(J$1:J6102,SUMPRODUCT(MAX(ROW(E$1:E6102)*(E6103=E$1:E6102)))))</f>
        <v> </v>
      </c>
      <c r="L6103" s="27"/>
    </row>
    <row r="6104" spans="1:12">
      <c r="A6104" s="20" t="s">
        <v>826</v>
      </c>
      <c r="E6104" s="22">
        <f>IF(D6104="?OLD","!!!","")</f>
        <v/>
      </c>
      <c r="F6104" s="23" t="str">
        <f>IF(OR(E6104="",E6104="!!!"),"",IF(NOT(ISNA(VLOOKUP(E6104,E$1:E6103,1,FALSE()))),"OLD",IF(AND(E6104&lt;&gt;"",E6104&lt;&gt;"!!!"),"NEW","")))</f>
        <v> </v>
      </c>
      <c r="G6104" s="24" t="str">
        <f>IF(OR(E6104="",E6104="!!!"),"",IF(OR(J6104=0,AND(J6104=1,K6104=1),AND(J6104=1,I6104="SBJ"),AND(J6104=1,I6104=0)),"?IN_FOCUS",IF(J6104&lt;=2,"?ACTIVATED",IF(J6104&lt;&gt;"","?FAMILIAR",IF(F6104="NEW",IF(ISNA(VLOOKUP(E6104,#REF!,1,FALSE())),"?TYPE_IDENTIFIABLE","?REFERENTIAL"),"_")))))</f>
        <v> </v>
      </c>
      <c r="H6104" s="25" t="str">
        <f>IF(J6104&lt;&gt;1,"",IF(I6104="SBJ","CB","?"))</f>
        <v> </v>
      </c>
      <c r="I6104" s="26" t="str">
        <f>IF(OR(E6104="",E6104="!!!",F6104="NEW"),"",INDEX(B6103:B$2,-1+SUMPRODUCT(MAX(ROW(E6103:E$2)*(E6104=E6103:E$2)))))</f>
        <v> </v>
      </c>
      <c r="J6104" s="26" t="str">
        <f>IF(OR(E6104="",E6104="!!!",F6104="NEW"),"",COUNTBLANK(OFFSET(A$1,,,SUMPRODUCT(MAX(ROW(E$2:E6104)*(E6104=E$2:E6104)))))-COUNTBLANK(OFFSET(A$1,,,SUMPRODUCT(MAX(ROW(E$1:E6103)*(E2=E$1:E6103))))))</f>
        <v> </v>
      </c>
      <c r="K6104" s="26" t="str">
        <f>IF(OR(E6104="",E6104="!!!",F6104="NEW"),"",INDEX(J$1:J6103,SUMPRODUCT(MAX(ROW(E$1:E6103)*(E6104=E$1:E6103)))))</f>
        <v> </v>
      </c>
      <c r="L6104" s="27"/>
    </row>
    <row r="6105" spans="1:12">
      <c r="A6105" s="20"/>
    </row>
    <row r="6106" spans="1:12">
      <c r="A6106" s="20" t="s">
        <v>2853</v>
      </c>
    </row>
    <row r="6107" spans="1:12">
      <c r="A6107" s="20" t="s">
        <v>1320</v>
      </c>
      <c r="B6107" s="21" t="s">
        <v>1202</v>
      </c>
      <c r="C6107" s="21" t="s">
        <v>1216</v>
      </c>
      <c r="D6107" s="21" t="s">
        <v>1188</v>
      </c>
      <c r="E6107" s="22">
        <f>IF(D6107="?OLD","!!!","")</f>
        <v/>
      </c>
      <c r="F6107" s="23" t="str">
        <f>IF(OR(E6107="",E6107="!!!"),"",IF(NOT(ISNA(VLOOKUP(E6107,E$1:E6106,1,FALSE()))),"OLD",IF(AND(E6107&lt;&gt;"",E6107&lt;&gt;"!!!"),"NEW","")))</f>
        <v> </v>
      </c>
      <c r="G6107" s="24" t="str">
        <f>IF(OR(E6107="",E6107="!!!"),"",IF(OR(J6107=0,AND(J6107=1,K6107=1),AND(J6107=1,I6107="SBJ"),AND(J6107=1,I6107=0)),"?IN_FOCUS",IF(J6107&lt;=2,"?ACTIVATED",IF(J6107&lt;&gt;"","?FAMILIAR",IF(F6107="NEW",IF(ISNA(VLOOKUP(E6107,#REF!,1,FALSE())),"?TYPE_IDENTIFIABLE","?REFERENTIAL"),"_")))))</f>
        <v> </v>
      </c>
      <c r="H6107" s="25" t="str">
        <f>IF(J6107&lt;&gt;1,"",IF(I6107="SBJ","CB","?"))</f>
        <v> </v>
      </c>
      <c r="I6107" s="26" t="str">
        <f>IF(OR(E6107="",E6107="!!!",F6107="NEW"),"",INDEX(B6106:B$2,-1+SUMPRODUCT(MAX(ROW(E6106:E$2)*(E6107=E6106:E$2)))))</f>
        <v> </v>
      </c>
      <c r="J6107" s="26" t="str">
        <f>IF(OR(E6107="",E6107="!!!",F6107="NEW"),"",COUNTBLANK(OFFSET(A$1,,,SUMPRODUCT(MAX(ROW(E$2:E6107)*(E6107=E$2:E6107)))))-COUNTBLANK(OFFSET(A$1,,,SUMPRODUCT(MAX(ROW(E$1:E6106)*(E2=E$1:E6106))))))</f>
        <v> </v>
      </c>
      <c r="K6107" s="26" t="str">
        <f>IF(OR(E6107="",E6107="!!!",F6107="NEW"),"",INDEX(J$1:J6106,SUMPRODUCT(MAX(ROW(E$1:E6106)*(E6107=E$1:E6106)))))</f>
        <v> </v>
      </c>
      <c r="L6107" s="27"/>
    </row>
    <row r="6108" spans="1:12">
      <c r="A6108" s="20" t="s">
        <v>1265</v>
      </c>
      <c r="E6108" s="22">
        <f>IF(D6108="?OLD","!!!","")</f>
        <v/>
      </c>
      <c r="F6108" s="23" t="str">
        <f>IF(OR(E6108="",E6108="!!!"),"",IF(NOT(ISNA(VLOOKUP(E6108,E$1:E6107,1,FALSE()))),"OLD",IF(AND(E6108&lt;&gt;"",E6108&lt;&gt;"!!!"),"NEW","")))</f>
        <v> </v>
      </c>
      <c r="G6108" s="24" t="str">
        <f>IF(OR(E6108="",E6108="!!!"),"",IF(OR(J6108=0,AND(J6108=1,K6108=1),AND(J6108=1,I6108="SBJ"),AND(J6108=1,I6108=0)),"?IN_FOCUS",IF(J6108&lt;=2,"?ACTIVATED",IF(J6108&lt;&gt;"","?FAMILIAR",IF(F6108="NEW",IF(ISNA(VLOOKUP(E6108,#REF!,1,FALSE())),"?TYPE_IDENTIFIABLE","?REFERENTIAL"),"_")))))</f>
        <v> </v>
      </c>
      <c r="H6108" s="25" t="str">
        <f>IF(J6108&lt;&gt;1,"",IF(I6108="SBJ","CB","?"))</f>
        <v> </v>
      </c>
      <c r="I6108" s="26" t="str">
        <f>IF(OR(E6108="",E6108="!!!",F6108="NEW"),"",INDEX(B6107:B$2,-1+SUMPRODUCT(MAX(ROW(E6107:E$2)*(E6108=E6107:E$2)))))</f>
        <v> </v>
      </c>
      <c r="J6108" s="26" t="str">
        <f>IF(OR(E6108="",E6108="!!!",F6108="NEW"),"",COUNTBLANK(OFFSET(A$1,,,SUMPRODUCT(MAX(ROW(E$2:E6108)*(E6108=E$2:E6108)))))-COUNTBLANK(OFFSET(A$1,,,SUMPRODUCT(MAX(ROW(E$1:E6107)*(E2=E$1:E6107))))))</f>
        <v> </v>
      </c>
      <c r="K6108" s="26" t="str">
        <f>IF(OR(E6108="",E6108="!!!",F6108="NEW"),"",INDEX(J$1:J6107,SUMPRODUCT(MAX(ROW(E$1:E6107)*(E6108=E$1:E6107)))))</f>
        <v> </v>
      </c>
      <c r="L6108" s="27"/>
    </row>
    <row r="6109" spans="1:12">
      <c r="A6109" s="20" t="s">
        <v>1388</v>
      </c>
      <c r="B6109" s="21" t="s">
        <v>1186</v>
      </c>
      <c r="C6109" s="21" t="s">
        <v>1262</v>
      </c>
      <c r="E6109" s="22">
        <f>IF(D6109="?OLD","!!!","")</f>
        <v/>
      </c>
      <c r="F6109" s="23" t="str">
        <f>IF(OR(E6109="",E6109="!!!"),"",IF(NOT(ISNA(VLOOKUP(E6109,E$1:E6108,1,FALSE()))),"OLD",IF(AND(E6109&lt;&gt;"",E6109&lt;&gt;"!!!"),"NEW","")))</f>
        <v> </v>
      </c>
      <c r="G6109" s="24" t="str">
        <f>IF(OR(E6109="",E6109="!!!"),"",IF(OR(J6109=0,AND(J6109=1,K6109=1),AND(J6109=1,I6109="SBJ"),AND(J6109=1,I6109=0)),"?IN_FOCUS",IF(J6109&lt;=2,"?ACTIVATED",IF(J6109&lt;&gt;"","?FAMILIAR",IF(F6109="NEW",IF(ISNA(VLOOKUP(E6109,#REF!,1,FALSE())),"?TYPE_IDENTIFIABLE","?REFERENTIAL"),"_")))))</f>
        <v> </v>
      </c>
      <c r="H6109" s="25" t="str">
        <f>IF(J6109&lt;&gt;1,"",IF(I6109="SBJ","CB","?"))</f>
        <v> </v>
      </c>
      <c r="I6109" s="26" t="str">
        <f>IF(OR(E6109="",E6109="!!!",F6109="NEW"),"",INDEX(B6108:B$2,-1+SUMPRODUCT(MAX(ROW(E6108:E$2)*(E6109=E6108:E$2)))))</f>
        <v> </v>
      </c>
      <c r="J6109" s="26" t="str">
        <f>IF(OR(E6109="",E6109="!!!",F6109="NEW"),"",COUNTBLANK(OFFSET(A$1,,,SUMPRODUCT(MAX(ROW(E$2:E6109)*(E6109=E$2:E6109)))))-COUNTBLANK(OFFSET(A$1,,,SUMPRODUCT(MAX(ROW(E$1:E6108)*(E2=E$1:E6108))))))</f>
        <v> </v>
      </c>
      <c r="K6109" s="26" t="str">
        <f>IF(OR(E6109="",E6109="!!!",F6109="NEW"),"",INDEX(J$1:J6108,SUMPRODUCT(MAX(ROW(E$1:E6108)*(E6109=E$1:E6108)))))</f>
        <v> </v>
      </c>
      <c r="L6109" s="27"/>
    </row>
    <row r="6110" spans="1:12">
      <c r="A6110" s="20" t="s">
        <v>1193</v>
      </c>
      <c r="E6110" s="22">
        <f>IF(D6110="?OLD","!!!","")</f>
        <v/>
      </c>
      <c r="F6110" s="23" t="str">
        <f>IF(OR(E6110="",E6110="!!!"),"",IF(NOT(ISNA(VLOOKUP(E6110,E$1:E6109,1,FALSE()))),"OLD",IF(AND(E6110&lt;&gt;"",E6110&lt;&gt;"!!!"),"NEW","")))</f>
        <v> </v>
      </c>
      <c r="G6110" s="24" t="str">
        <f>IF(OR(E6110="",E6110="!!!"),"",IF(OR(J6110=0,AND(J6110=1,K6110=1),AND(J6110=1,I6110="SBJ"),AND(J6110=1,I6110=0)),"?IN_FOCUS",IF(J6110&lt;=2,"?ACTIVATED",IF(J6110&lt;&gt;"","?FAMILIAR",IF(F6110="NEW",IF(ISNA(VLOOKUP(E6110,#REF!,1,FALSE())),"?TYPE_IDENTIFIABLE","?REFERENTIAL"),"_")))))</f>
        <v> </v>
      </c>
      <c r="H6110" s="25" t="str">
        <f>IF(J6110&lt;&gt;1,"",IF(I6110="SBJ","CB","?"))</f>
        <v> </v>
      </c>
      <c r="I6110" s="26" t="str">
        <f>IF(OR(E6110="",E6110="!!!",F6110="NEW"),"",INDEX(B6109:B$2,-1+SUMPRODUCT(MAX(ROW(E6109:E$2)*(E6110=E6109:E$2)))))</f>
        <v> </v>
      </c>
      <c r="J6110" s="26" t="str">
        <f>IF(OR(E6110="",E6110="!!!",F6110="NEW"),"",COUNTBLANK(OFFSET(A$1,,,SUMPRODUCT(MAX(ROW(E$2:E6110)*(E6110=E$2:E6110)))))-COUNTBLANK(OFFSET(A$1,,,SUMPRODUCT(MAX(ROW(E$1:E6109)*(E2=E$1:E6109))))))</f>
        <v> </v>
      </c>
      <c r="K6110" s="26" t="str">
        <f>IF(OR(E6110="",E6110="!!!",F6110="NEW"),"",INDEX(J$1:J6109,SUMPRODUCT(MAX(ROW(E$1:E6109)*(E6110=E$1:E6109)))))</f>
        <v> </v>
      </c>
      <c r="L6110" s="27"/>
    </row>
    <row r="6111" spans="1:12">
      <c r="A6111" s="20" t="s">
        <v>1502</v>
      </c>
      <c r="B6111" s="21" t="s">
        <v>1245</v>
      </c>
      <c r="E6111" s="22">
        <f>IF(D6111="?OLD","!!!","")</f>
        <v/>
      </c>
      <c r="F6111" s="23" t="str">
        <f>IF(OR(E6111="",E6111="!!!"),"",IF(NOT(ISNA(VLOOKUP(E6111,E$1:E6110,1,FALSE()))),"OLD",IF(AND(E6111&lt;&gt;"",E6111&lt;&gt;"!!!"),"NEW","")))</f>
        <v> </v>
      </c>
      <c r="G6111" s="24" t="str">
        <f>IF(OR(E6111="",E6111="!!!"),"",IF(OR(J6111=0,AND(J6111=1,K6111=1),AND(J6111=1,I6111="SBJ"),AND(J6111=1,I6111=0)),"?IN_FOCUS",IF(J6111&lt;=2,"?ACTIVATED",IF(J6111&lt;&gt;"","?FAMILIAR",IF(F6111="NEW",IF(ISNA(VLOOKUP(E6111,#REF!,1,FALSE())),"?TYPE_IDENTIFIABLE","?REFERENTIAL"),"_")))))</f>
        <v> </v>
      </c>
      <c r="H6111" s="25" t="str">
        <f>IF(J6111&lt;&gt;1,"",IF(I6111="SBJ","CB","?"))</f>
        <v> </v>
      </c>
      <c r="I6111" s="26" t="str">
        <f>IF(OR(E6111="",E6111="!!!",F6111="NEW"),"",INDEX(B6110:B$2,-1+SUMPRODUCT(MAX(ROW(E6110:E$2)*(E6111=E6110:E$2)))))</f>
        <v> </v>
      </c>
      <c r="J6111" s="26" t="str">
        <f>IF(OR(E6111="",E6111="!!!",F6111="NEW"),"",COUNTBLANK(OFFSET(A$1,,,SUMPRODUCT(MAX(ROW(E$2:E6111)*(E6111=E$2:E6111)))))-COUNTBLANK(OFFSET(A$1,,,SUMPRODUCT(MAX(ROW(E$1:E6110)*(E2=E$1:E6110))))))</f>
        <v> </v>
      </c>
      <c r="K6111" s="26" t="str">
        <f>IF(OR(E6111="",E6111="!!!",F6111="NEW"),"",INDEX(J$1:J6110,SUMPRODUCT(MAX(ROW(E$1:E6110)*(E6111=E$1:E6110)))))</f>
        <v> </v>
      </c>
      <c r="L6111" s="27"/>
    </row>
    <row r="6112" spans="1:12">
      <c r="A6112" s="20" t="s">
        <v>427</v>
      </c>
      <c r="B6112" s="21" t="s">
        <v>1248</v>
      </c>
      <c r="C6112" s="21" t="s">
        <v>1246</v>
      </c>
      <c r="D6112" s="21" t="s">
        <v>1188</v>
      </c>
      <c r="E6112" s="22">
        <f>IF(D6112="?OLD","!!!","")</f>
        <v/>
      </c>
      <c r="F6112" s="23" t="str">
        <f>IF(OR(E6112="",E6112="!!!"),"",IF(NOT(ISNA(VLOOKUP(E6112,E$1:E6111,1,FALSE()))),"OLD",IF(AND(E6112&lt;&gt;"",E6112&lt;&gt;"!!!"),"NEW","")))</f>
        <v> </v>
      </c>
      <c r="G6112" s="24" t="str">
        <f>IF(OR(E6112="",E6112="!!!"),"",IF(OR(J6112=0,AND(J6112=1,K6112=1),AND(J6112=1,I6112="SBJ"),AND(J6112=1,I6112=0)),"?IN_FOCUS",IF(J6112&lt;=2,"?ACTIVATED",IF(J6112&lt;&gt;"","?FAMILIAR",IF(F6112="NEW",IF(ISNA(VLOOKUP(E6112,#REF!,1,FALSE())),"?TYPE_IDENTIFIABLE","?REFERENTIAL"),"_")))))</f>
        <v> </v>
      </c>
      <c r="H6112" s="25" t="str">
        <f>IF(J6112&lt;&gt;1,"",IF(I6112="SBJ","CB","?"))</f>
        <v> </v>
      </c>
      <c r="I6112" s="26" t="str">
        <f>IF(OR(E6112="",E6112="!!!",F6112="NEW"),"",INDEX(B6111:B$2,-1+SUMPRODUCT(MAX(ROW(E6111:E$2)*(E6112=E6111:E$2)))))</f>
        <v> </v>
      </c>
      <c r="J6112" s="26" t="str">
        <f>IF(OR(E6112="",E6112="!!!",F6112="NEW"),"",COUNTBLANK(OFFSET(A$1,,,SUMPRODUCT(MAX(ROW(E$2:E6112)*(E6112=E$2:E6112)))))-COUNTBLANK(OFFSET(A$1,,,SUMPRODUCT(MAX(ROW(E$1:E6111)*(E2=E$1:E6111))))))</f>
        <v> </v>
      </c>
      <c r="K6112" s="26" t="str">
        <f>IF(OR(E6112="",E6112="!!!",F6112="NEW"),"",INDEX(J$1:J6111,SUMPRODUCT(MAX(ROW(E$1:E6111)*(E6112=E$1:E6111)))))</f>
        <v> </v>
      </c>
      <c r="L6112" s="27"/>
    </row>
    <row r="6113" spans="1:12">
      <c r="A6113" s="20" t="s">
        <v>303</v>
      </c>
      <c r="E6113" s="22">
        <f>IF(D6113="?OLD","!!!","")</f>
        <v/>
      </c>
      <c r="F6113" s="23" t="str">
        <f>IF(OR(E6113="",E6113="!!!"),"",IF(NOT(ISNA(VLOOKUP(E6113,E$1:E6112,1,FALSE()))),"OLD",IF(AND(E6113&lt;&gt;"",E6113&lt;&gt;"!!!"),"NEW","")))</f>
        <v> </v>
      </c>
      <c r="G6113" s="24" t="str">
        <f>IF(OR(E6113="",E6113="!!!"),"",IF(OR(J6113=0,AND(J6113=1,K6113=1),AND(J6113=1,I6113="SBJ"),AND(J6113=1,I6113=0)),"?IN_FOCUS",IF(J6113&lt;=2,"?ACTIVATED",IF(J6113&lt;&gt;"","?FAMILIAR",IF(F6113="NEW",IF(ISNA(VLOOKUP(E6113,#REF!,1,FALSE())),"?TYPE_IDENTIFIABLE","?REFERENTIAL"),"_")))))</f>
        <v> </v>
      </c>
      <c r="H6113" s="25" t="str">
        <f>IF(J6113&lt;&gt;1,"",IF(I6113="SBJ","CB","?"))</f>
        <v> </v>
      </c>
      <c r="I6113" s="26" t="str">
        <f>IF(OR(E6113="",E6113="!!!",F6113="NEW"),"",INDEX(B6112:B$2,-1+SUMPRODUCT(MAX(ROW(E6112:E$2)*(E6113=E6112:E$2)))))</f>
        <v> </v>
      </c>
      <c r="J6113" s="26" t="str">
        <f>IF(OR(E6113="",E6113="!!!",F6113="NEW"),"",COUNTBLANK(OFFSET(A$1,,,SUMPRODUCT(MAX(ROW(E$2:E6113)*(E6113=E$2:E6113)))))-COUNTBLANK(OFFSET(A$1,,,SUMPRODUCT(MAX(ROW(E$1:E6112)*(E2=E$1:E6112))))))</f>
        <v> </v>
      </c>
      <c r="K6113" s="26" t="str">
        <f>IF(OR(E6113="",E6113="!!!",F6113="NEW"),"",INDEX(J$1:J6112,SUMPRODUCT(MAX(ROW(E$1:E6112)*(E6113=E$1:E6112)))))</f>
        <v> </v>
      </c>
      <c r="L6113" s="27"/>
    </row>
    <row r="6114" spans="1:12">
      <c r="A6114" s="20" t="s">
        <v>1193</v>
      </c>
      <c r="E6114" s="22">
        <f>IF(D6114="?OLD","!!!","")</f>
        <v/>
      </c>
      <c r="F6114" s="23" t="str">
        <f>IF(OR(E6114="",E6114="!!!"),"",IF(NOT(ISNA(VLOOKUP(E6114,E$1:E6113,1,FALSE()))),"OLD",IF(AND(E6114&lt;&gt;"",E6114&lt;&gt;"!!!"),"NEW","")))</f>
        <v> </v>
      </c>
      <c r="G6114" s="24" t="str">
        <f>IF(OR(E6114="",E6114="!!!"),"",IF(OR(J6114=0,AND(J6114=1,K6114=1),AND(J6114=1,I6114="SBJ"),AND(J6114=1,I6114=0)),"?IN_FOCUS",IF(J6114&lt;=2,"?ACTIVATED",IF(J6114&lt;&gt;"","?FAMILIAR",IF(F6114="NEW",IF(ISNA(VLOOKUP(E6114,#REF!,1,FALSE())),"?TYPE_IDENTIFIABLE","?REFERENTIAL"),"_")))))</f>
        <v> </v>
      </c>
      <c r="H6114" s="25" t="str">
        <f>IF(J6114&lt;&gt;1,"",IF(I6114="SBJ","CB","?"))</f>
        <v> </v>
      </c>
      <c r="I6114" s="26" t="str">
        <f>IF(OR(E6114="",E6114="!!!",F6114="NEW"),"",INDEX(B6113:B$2,-1+SUMPRODUCT(MAX(ROW(E6113:E$2)*(E6114=E6113:E$2)))))</f>
        <v> </v>
      </c>
      <c r="J6114" s="26" t="str">
        <f>IF(OR(E6114="",E6114="!!!",F6114="NEW"),"",COUNTBLANK(OFFSET(A$1,,,SUMPRODUCT(MAX(ROW(E$2:E6114)*(E6114=E$2:E6114)))))-COUNTBLANK(OFFSET(A$1,,,SUMPRODUCT(MAX(ROW(E$1:E6113)*(E2=E$1:E6113))))))</f>
        <v> </v>
      </c>
      <c r="K6114" s="26" t="str">
        <f>IF(OR(E6114="",E6114="!!!",F6114="NEW"),"",INDEX(J$1:J6113,SUMPRODUCT(MAX(ROW(E$1:E6113)*(E6114=E$1:E6113)))))</f>
        <v> </v>
      </c>
      <c r="L6114" s="27"/>
    </row>
    <row r="6115" spans="1:12">
      <c r="A6115" s="20" t="s">
        <v>1520</v>
      </c>
      <c r="E6115" s="22">
        <f>IF(D6115="?OLD","!!!","")</f>
        <v/>
      </c>
      <c r="F6115" s="23" t="str">
        <f>IF(OR(E6115="",E6115="!!!"),"",IF(NOT(ISNA(VLOOKUP(E6115,E$1:E6114,1,FALSE()))),"OLD",IF(AND(E6115&lt;&gt;"",E6115&lt;&gt;"!!!"),"NEW","")))</f>
        <v> </v>
      </c>
      <c r="G6115" s="24" t="str">
        <f>IF(OR(E6115="",E6115="!!!"),"",IF(OR(J6115=0,AND(J6115=1,K6115=1),AND(J6115=1,I6115="SBJ"),AND(J6115=1,I6115=0)),"?IN_FOCUS",IF(J6115&lt;=2,"?ACTIVATED",IF(J6115&lt;&gt;"","?FAMILIAR",IF(F6115="NEW",IF(ISNA(VLOOKUP(E6115,#REF!,1,FALSE())),"?TYPE_IDENTIFIABLE","?REFERENTIAL"),"_")))))</f>
        <v> </v>
      </c>
      <c r="H6115" s="25" t="str">
        <f>IF(J6115&lt;&gt;1,"",IF(I6115="SBJ","CB","?"))</f>
        <v> </v>
      </c>
      <c r="I6115" s="26" t="str">
        <f>IF(OR(E6115="",E6115="!!!",F6115="NEW"),"",INDEX(B6114:B$2,-1+SUMPRODUCT(MAX(ROW(E6114:E$2)*(E6115=E6114:E$2)))))</f>
        <v> </v>
      </c>
      <c r="J6115" s="26" t="str">
        <f>IF(OR(E6115="",E6115="!!!",F6115="NEW"),"",COUNTBLANK(OFFSET(A$1,,,SUMPRODUCT(MAX(ROW(E$2:E6115)*(E6115=E$2:E6115)))))-COUNTBLANK(OFFSET(A$1,,,SUMPRODUCT(MAX(ROW(E$1:E6114)*(E2=E$1:E6114))))))</f>
        <v> </v>
      </c>
      <c r="K6115" s="26" t="str">
        <f>IF(OR(E6115="",E6115="!!!",F6115="NEW"),"",INDEX(J$1:J6114,SUMPRODUCT(MAX(ROW(E$1:E6114)*(E6115=E$1:E6114)))))</f>
        <v> </v>
      </c>
      <c r="L6115" s="27"/>
    </row>
    <row r="6116" spans="1:12">
      <c r="A6116" s="20" t="s">
        <v>2854</v>
      </c>
      <c r="E6116" s="22">
        <f>IF(D6116="?OLD","!!!","")</f>
        <v/>
      </c>
      <c r="F6116" s="23" t="str">
        <f>IF(OR(E6116="",E6116="!!!"),"",IF(NOT(ISNA(VLOOKUP(E6116,E$1:E6115,1,FALSE()))),"OLD",IF(AND(E6116&lt;&gt;"",E6116&lt;&gt;"!!!"),"NEW","")))</f>
        <v> </v>
      </c>
      <c r="G6116" s="24" t="str">
        <f>IF(OR(E6116="",E6116="!!!"),"",IF(OR(J6116=0,AND(J6116=1,K6116=1),AND(J6116=1,I6116="SBJ"),AND(J6116=1,I6116=0)),"?IN_FOCUS",IF(J6116&lt;=2,"?ACTIVATED",IF(J6116&lt;&gt;"","?FAMILIAR",IF(F6116="NEW",IF(ISNA(VLOOKUP(E6116,#REF!,1,FALSE())),"?TYPE_IDENTIFIABLE","?REFERENTIAL"),"_")))))</f>
        <v> </v>
      </c>
      <c r="H6116" s="25" t="str">
        <f>IF(J6116&lt;&gt;1,"",IF(I6116="SBJ","CB","?"))</f>
        <v> </v>
      </c>
      <c r="I6116" s="26" t="str">
        <f>IF(OR(E6116="",E6116="!!!",F6116="NEW"),"",INDEX(B6115:B$2,-1+SUMPRODUCT(MAX(ROW(E6115:E$2)*(E6116=E6115:E$2)))))</f>
        <v> </v>
      </c>
      <c r="J6116" s="26" t="str">
        <f>IF(OR(E6116="",E6116="!!!",F6116="NEW"),"",COUNTBLANK(OFFSET(A$1,,,SUMPRODUCT(MAX(ROW(E$2:E6116)*(E6116=E$2:E6116)))))-COUNTBLANK(OFFSET(A$1,,,SUMPRODUCT(MAX(ROW(E$1:E6115)*(E2=E$1:E6115))))))</f>
        <v> </v>
      </c>
      <c r="K6116" s="26" t="str">
        <f>IF(OR(E6116="",E6116="!!!",F6116="NEW"),"",INDEX(J$1:J6115,SUMPRODUCT(MAX(ROW(E$1:E6115)*(E6116=E$1:E6115)))))</f>
        <v> </v>
      </c>
      <c r="L6116" s="27"/>
    </row>
    <row r="6117" spans="1:12">
      <c r="A6117" s="20" t="s">
        <v>2844</v>
      </c>
      <c r="B6117" s="21" t="s">
        <v>1313</v>
      </c>
      <c r="C6117" s="21" t="s">
        <v>1192</v>
      </c>
      <c r="E6117" s="22">
        <f>IF(D6117="?OLD","!!!","")</f>
        <v/>
      </c>
      <c r="F6117" s="23" t="str">
        <f>IF(OR(E6117="",E6117="!!!"),"",IF(NOT(ISNA(VLOOKUP(E6117,E$1:E6116,1,FALSE()))),"OLD",IF(AND(E6117&lt;&gt;"",E6117&lt;&gt;"!!!"),"NEW","")))</f>
        <v> </v>
      </c>
      <c r="G6117" s="24" t="str">
        <f>IF(OR(E6117="",E6117="!!!"),"",IF(OR(J6117=0,AND(J6117=1,K6117=1),AND(J6117=1,I6117="SBJ"),AND(J6117=1,I6117=0)),"?IN_FOCUS",IF(J6117&lt;=2,"?ACTIVATED",IF(J6117&lt;&gt;"","?FAMILIAR",IF(F6117="NEW",IF(ISNA(VLOOKUP(E6117,#REF!,1,FALSE())),"?TYPE_IDENTIFIABLE","?REFERENTIAL"),"_")))))</f>
        <v> </v>
      </c>
      <c r="H6117" s="25" t="str">
        <f>IF(J6117&lt;&gt;1,"",IF(I6117="SBJ","CB","?"))</f>
        <v> </v>
      </c>
      <c r="I6117" s="26" t="str">
        <f>IF(OR(E6117="",E6117="!!!",F6117="NEW"),"",INDEX(B6116:B$2,-1+SUMPRODUCT(MAX(ROW(E6116:E$2)*(E6117=E6116:E$2)))))</f>
        <v> </v>
      </c>
      <c r="J6117" s="26" t="str">
        <f>IF(OR(E6117="",E6117="!!!",F6117="NEW"),"",COUNTBLANK(OFFSET(A$1,,,SUMPRODUCT(MAX(ROW(E$2:E6117)*(E6117=E$2:E6117)))))-COUNTBLANK(OFFSET(A$1,,,SUMPRODUCT(MAX(ROW(E$1:E6116)*(E2=E$1:E6116))))))</f>
        <v> </v>
      </c>
      <c r="K6117" s="26" t="str">
        <f>IF(OR(E6117="",E6117="!!!",F6117="NEW"),"",INDEX(J$1:J6116,SUMPRODUCT(MAX(ROW(E$1:E6116)*(E6117=E$1:E6116)))))</f>
        <v> </v>
      </c>
      <c r="L6117" s="27"/>
    </row>
    <row r="6118" spans="1:12">
      <c r="A6118" s="20" t="s">
        <v>1337</v>
      </c>
      <c r="E6118" s="22">
        <f>IF(D6118="?OLD","!!!","")</f>
        <v/>
      </c>
      <c r="F6118" s="23" t="str">
        <f>IF(OR(E6118="",E6118="!!!"),"",IF(NOT(ISNA(VLOOKUP(E6118,E$1:E6117,1,FALSE()))),"OLD",IF(AND(E6118&lt;&gt;"",E6118&lt;&gt;"!!!"),"NEW","")))</f>
        <v> </v>
      </c>
      <c r="G6118" s="24" t="str">
        <f>IF(OR(E6118="",E6118="!!!"),"",IF(OR(J6118=0,AND(J6118=1,K6118=1),AND(J6118=1,I6118="SBJ"),AND(J6118=1,I6118=0)),"?IN_FOCUS",IF(J6118&lt;=2,"?ACTIVATED",IF(J6118&lt;&gt;"","?FAMILIAR",IF(F6118="NEW",IF(ISNA(VLOOKUP(E6118,#REF!,1,FALSE())),"?TYPE_IDENTIFIABLE","?REFERENTIAL"),"_")))))</f>
        <v> </v>
      </c>
      <c r="H6118" s="25" t="str">
        <f>IF(J6118&lt;&gt;1,"",IF(I6118="SBJ","CB","?"))</f>
        <v> </v>
      </c>
      <c r="I6118" s="26" t="str">
        <f>IF(OR(E6118="",E6118="!!!",F6118="NEW"),"",INDEX(B6117:B$2,-1+SUMPRODUCT(MAX(ROW(E6117:E$2)*(E6118=E6117:E$2)))))</f>
        <v> </v>
      </c>
      <c r="J6118" s="26" t="str">
        <f>IF(OR(E6118="",E6118="!!!",F6118="NEW"),"",COUNTBLANK(OFFSET(A$1,,,SUMPRODUCT(MAX(ROW(E$2:E6118)*(E6118=E$2:E6118)))))-COUNTBLANK(OFFSET(A$1,,,SUMPRODUCT(MAX(ROW(E$1:E6117)*(E2=E$1:E6117))))))</f>
        <v> </v>
      </c>
      <c r="K6118" s="26" t="str">
        <f>IF(OR(E6118="",E6118="!!!",F6118="NEW"),"",INDEX(J$1:J6117,SUMPRODUCT(MAX(ROW(E$1:E6117)*(E6118=E$1:E6117)))))</f>
        <v> </v>
      </c>
      <c r="L6118" s="27"/>
    </row>
    <row r="6119" spans="1:12">
      <c r="A6119" s="20" t="s">
        <v>2855</v>
      </c>
      <c r="E6119" s="22">
        <f>IF(D6119="?OLD","!!!","")</f>
        <v/>
      </c>
      <c r="F6119" s="23" t="str">
        <f>IF(OR(E6119="",E6119="!!!"),"",IF(NOT(ISNA(VLOOKUP(E6119,E$1:E6118,1,FALSE()))),"OLD",IF(AND(E6119&lt;&gt;"",E6119&lt;&gt;"!!!"),"NEW","")))</f>
        <v> </v>
      </c>
      <c r="G6119" s="24" t="str">
        <f>IF(OR(E6119="",E6119="!!!"),"",IF(OR(J6119=0,AND(J6119=1,K6119=1),AND(J6119=1,I6119="SBJ"),AND(J6119=1,I6119=0)),"?IN_FOCUS",IF(J6119&lt;=2,"?ACTIVATED",IF(J6119&lt;&gt;"","?FAMILIAR",IF(F6119="NEW",IF(ISNA(VLOOKUP(E6119,#REF!,1,FALSE())),"?TYPE_IDENTIFIABLE","?REFERENTIAL"),"_")))))</f>
        <v> </v>
      </c>
      <c r="H6119" s="25" t="str">
        <f>IF(J6119&lt;&gt;1,"",IF(I6119="SBJ","CB","?"))</f>
        <v> </v>
      </c>
      <c r="I6119" s="26" t="str">
        <f>IF(OR(E6119="",E6119="!!!",F6119="NEW"),"",INDEX(B6118:B$2,-1+SUMPRODUCT(MAX(ROW(E6118:E$2)*(E6119=E6118:E$2)))))</f>
        <v> </v>
      </c>
      <c r="J6119" s="26" t="str">
        <f>IF(OR(E6119="",E6119="!!!",F6119="NEW"),"",COUNTBLANK(OFFSET(A$1,,,SUMPRODUCT(MAX(ROW(E$2:E6119)*(E6119=E$2:E6119)))))-COUNTBLANK(OFFSET(A$1,,,SUMPRODUCT(MAX(ROW(E$1:E6118)*(E2=E$1:E6118))))))</f>
        <v> </v>
      </c>
      <c r="K6119" s="26" t="str">
        <f>IF(OR(E6119="",E6119="!!!",F6119="NEW"),"",INDEX(J$1:J6118,SUMPRODUCT(MAX(ROW(E$1:E6118)*(E6119=E$1:E6118)))))</f>
        <v> </v>
      </c>
      <c r="L6119" s="27"/>
    </row>
    <row r="6120" spans="1:12">
      <c r="A6120" s="20" t="s">
        <v>1302</v>
      </c>
      <c r="E6120" s="22">
        <f>IF(D6120="?OLD","!!!","")</f>
        <v/>
      </c>
      <c r="F6120" s="23" t="str">
        <f>IF(OR(E6120="",E6120="!!!"),"",IF(NOT(ISNA(VLOOKUP(E6120,E$1:E6119,1,FALSE()))),"OLD",IF(AND(E6120&lt;&gt;"",E6120&lt;&gt;"!!!"),"NEW","")))</f>
        <v> </v>
      </c>
      <c r="G6120" s="24" t="str">
        <f>IF(OR(E6120="",E6120="!!!"),"",IF(OR(J6120=0,AND(J6120=1,K6120=1),AND(J6120=1,I6120="SBJ"),AND(J6120=1,I6120=0)),"?IN_FOCUS",IF(J6120&lt;=2,"?ACTIVATED",IF(J6120&lt;&gt;"","?FAMILIAR",IF(F6120="NEW",IF(ISNA(VLOOKUP(E6120,#REF!,1,FALSE())),"?TYPE_IDENTIFIABLE","?REFERENTIAL"),"_")))))</f>
        <v> </v>
      </c>
      <c r="H6120" s="25" t="str">
        <f>IF(J6120&lt;&gt;1,"",IF(I6120="SBJ","CB","?"))</f>
        <v> </v>
      </c>
      <c r="I6120" s="26" t="str">
        <f>IF(OR(E6120="",E6120="!!!",F6120="NEW"),"",INDEX(B6119:B$2,-1+SUMPRODUCT(MAX(ROW(E6119:E$2)*(E6120=E6119:E$2)))))</f>
        <v> </v>
      </c>
      <c r="J6120" s="26" t="str">
        <f>IF(OR(E6120="",E6120="!!!",F6120="NEW"),"",COUNTBLANK(OFFSET(A$1,,,SUMPRODUCT(MAX(ROW(E$2:E6120)*(E6120=E$2:E6120)))))-COUNTBLANK(OFFSET(A$1,,,SUMPRODUCT(MAX(ROW(E$1:E6119)*(E2=E$1:E6119))))))</f>
        <v> </v>
      </c>
      <c r="K6120" s="26" t="str">
        <f>IF(OR(E6120="",E6120="!!!",F6120="NEW"),"",INDEX(J$1:J6119,SUMPRODUCT(MAX(ROW(E$1:E6119)*(E6120=E$1:E6119)))))</f>
        <v> </v>
      </c>
      <c r="L6120" s="27"/>
    </row>
    <row r="6121" spans="1:12">
      <c r="A6121" s="20" t="s">
        <v>2076</v>
      </c>
      <c r="B6121" s="21" t="s">
        <v>1285</v>
      </c>
      <c r="C6121" s="21" t="s">
        <v>1308</v>
      </c>
      <c r="D6121" s="21" t="s">
        <v>1188</v>
      </c>
      <c r="E6121" s="22">
        <f>IF(D6121="?OLD","!!!","")</f>
        <v/>
      </c>
      <c r="F6121" s="23" t="str">
        <f>IF(OR(E6121="",E6121="!!!"),"",IF(NOT(ISNA(VLOOKUP(E6121,E$1:E6120,1,FALSE()))),"OLD",IF(AND(E6121&lt;&gt;"",E6121&lt;&gt;"!!!"),"NEW","")))</f>
        <v> </v>
      </c>
      <c r="G6121" s="24" t="str">
        <f>IF(OR(E6121="",E6121="!!!"),"",IF(OR(J6121=0,AND(J6121=1,K6121=1),AND(J6121=1,I6121="SBJ"),AND(J6121=1,I6121=0)),"?IN_FOCUS",IF(J6121&lt;=2,"?ACTIVATED",IF(J6121&lt;&gt;"","?FAMILIAR",IF(F6121="NEW",IF(ISNA(VLOOKUP(E6121,#REF!,1,FALSE())),"?TYPE_IDENTIFIABLE","?REFERENTIAL"),"_")))))</f>
        <v> </v>
      </c>
      <c r="H6121" s="25" t="str">
        <f>IF(J6121&lt;&gt;1,"",IF(I6121="SBJ","CB","?"))</f>
        <v> </v>
      </c>
      <c r="I6121" s="26" t="str">
        <f>IF(OR(E6121="",E6121="!!!",F6121="NEW"),"",INDEX(B6120:B$2,-1+SUMPRODUCT(MAX(ROW(E6120:E$2)*(E6121=E6120:E$2)))))</f>
        <v> </v>
      </c>
      <c r="J6121" s="26" t="str">
        <f>IF(OR(E6121="",E6121="!!!",F6121="NEW"),"",COUNTBLANK(OFFSET(A$1,,,SUMPRODUCT(MAX(ROW(E$2:E6121)*(E6121=E$2:E6121)))))-COUNTBLANK(OFFSET(A$1,,,SUMPRODUCT(MAX(ROW(E$1:E6120)*(E2=E$1:E6120))))))</f>
        <v> </v>
      </c>
      <c r="K6121" s="26" t="str">
        <f>IF(OR(E6121="",E6121="!!!",F6121="NEW"),"",INDEX(J$1:J6120,SUMPRODUCT(MAX(ROW(E$1:E6120)*(E6121=E$1:E6120)))))</f>
        <v> </v>
      </c>
      <c r="L6121" s="27"/>
    </row>
    <row r="6122" spans="1:12">
      <c r="A6122" s="20" t="s">
        <v>2766</v>
      </c>
      <c r="E6122" s="22">
        <f>IF(D6122="?OLD","!!!","")</f>
        <v/>
      </c>
      <c r="F6122" s="23" t="str">
        <f>IF(OR(E6122="",E6122="!!!"),"",IF(NOT(ISNA(VLOOKUP(E6122,E$1:E6121,1,FALSE()))),"OLD",IF(AND(E6122&lt;&gt;"",E6122&lt;&gt;"!!!"),"NEW","")))</f>
        <v> </v>
      </c>
      <c r="G6122" s="24" t="str">
        <f>IF(OR(E6122="",E6122="!!!"),"",IF(OR(J6122=0,AND(J6122=1,K6122=1),AND(J6122=1,I6122="SBJ"),AND(J6122=1,I6122=0)),"?IN_FOCUS",IF(J6122&lt;=2,"?ACTIVATED",IF(J6122&lt;&gt;"","?FAMILIAR",IF(F6122="NEW",IF(ISNA(VLOOKUP(E6122,#REF!,1,FALSE())),"?TYPE_IDENTIFIABLE","?REFERENTIAL"),"_")))))</f>
        <v> </v>
      </c>
      <c r="H6122" s="25" t="str">
        <f>IF(J6122&lt;&gt;1,"",IF(I6122="SBJ","CB","?"))</f>
        <v> </v>
      </c>
      <c r="I6122" s="26" t="str">
        <f>IF(OR(E6122="",E6122="!!!",F6122="NEW"),"",INDEX(B6121:B$2,-1+SUMPRODUCT(MAX(ROW(E6121:E$2)*(E6122=E6121:E$2)))))</f>
        <v> </v>
      </c>
      <c r="J6122" s="26" t="str">
        <f>IF(OR(E6122="",E6122="!!!",F6122="NEW"),"",COUNTBLANK(OFFSET(A$1,,,SUMPRODUCT(MAX(ROW(E$2:E6122)*(E6122=E$2:E6122)))))-COUNTBLANK(OFFSET(A$1,,,SUMPRODUCT(MAX(ROW(E$1:E6121)*(E2=E$1:E6121))))))</f>
        <v> </v>
      </c>
      <c r="K6122" s="26" t="str">
        <f>IF(OR(E6122="",E6122="!!!",F6122="NEW"),"",INDEX(J$1:J6121,SUMPRODUCT(MAX(ROW(E$1:E6121)*(E6122=E$1:E6121)))))</f>
        <v> </v>
      </c>
      <c r="L6122" s="27"/>
    </row>
    <row r="6123" spans="1:12">
      <c r="A6123" s="20" t="s">
        <v>1193</v>
      </c>
      <c r="E6123" s="22">
        <f>IF(D6123="?OLD","!!!","")</f>
        <v/>
      </c>
      <c r="F6123" s="23" t="str">
        <f>IF(OR(E6123="",E6123="!!!"),"",IF(NOT(ISNA(VLOOKUP(E6123,E$1:E6122,1,FALSE()))),"OLD",IF(AND(E6123&lt;&gt;"",E6123&lt;&gt;"!!!"),"NEW","")))</f>
        <v> </v>
      </c>
      <c r="G6123" s="24" t="str">
        <f>IF(OR(E6123="",E6123="!!!"),"",IF(OR(J6123=0,AND(J6123=1,K6123=1),AND(J6123=1,I6123="SBJ"),AND(J6123=1,I6123=0)),"?IN_FOCUS",IF(J6123&lt;=2,"?ACTIVATED",IF(J6123&lt;&gt;"","?FAMILIAR",IF(F6123="NEW",IF(ISNA(VLOOKUP(E6123,#REF!,1,FALSE())),"?TYPE_IDENTIFIABLE","?REFERENTIAL"),"_")))))</f>
        <v> </v>
      </c>
      <c r="H6123" s="25" t="str">
        <f>IF(J6123&lt;&gt;1,"",IF(I6123="SBJ","CB","?"))</f>
        <v> </v>
      </c>
      <c r="I6123" s="26" t="str">
        <f>IF(OR(E6123="",E6123="!!!",F6123="NEW"),"",INDEX(B6122:B$2,-1+SUMPRODUCT(MAX(ROW(E6122:E$2)*(E6123=E6122:E$2)))))</f>
        <v> </v>
      </c>
      <c r="J6123" s="26" t="str">
        <f>IF(OR(E6123="",E6123="!!!",F6123="NEW"),"",COUNTBLANK(OFFSET(A$1,,,SUMPRODUCT(MAX(ROW(E$2:E6123)*(E6123=E$2:E6123)))))-COUNTBLANK(OFFSET(A$1,,,SUMPRODUCT(MAX(ROW(E$1:E6122)*(E2=E$1:E6122))))))</f>
        <v> </v>
      </c>
      <c r="K6123" s="26" t="str">
        <f>IF(OR(E6123="",E6123="!!!",F6123="NEW"),"",INDEX(J$1:J6122,SUMPRODUCT(MAX(ROW(E$1:E6122)*(E6123=E$1:E6122)))))</f>
        <v> </v>
      </c>
      <c r="L6123" s="27"/>
    </row>
    <row r="6124" spans="1:12">
      <c r="A6124" s="20" t="s">
        <v>1520</v>
      </c>
      <c r="E6124" s="22">
        <f>IF(D6124="?OLD","!!!","")</f>
        <v/>
      </c>
      <c r="F6124" s="23" t="str">
        <f>IF(OR(E6124="",E6124="!!!"),"",IF(NOT(ISNA(VLOOKUP(E6124,E$1:E6123,1,FALSE()))),"OLD",IF(AND(E6124&lt;&gt;"",E6124&lt;&gt;"!!!"),"NEW","")))</f>
        <v> </v>
      </c>
      <c r="G6124" s="24" t="str">
        <f>IF(OR(E6124="",E6124="!!!"),"",IF(OR(J6124=0,AND(J6124=1,K6124=1),AND(J6124=1,I6124="SBJ"),AND(J6124=1,I6124=0)),"?IN_FOCUS",IF(J6124&lt;=2,"?ACTIVATED",IF(J6124&lt;&gt;"","?FAMILIAR",IF(F6124="NEW",IF(ISNA(VLOOKUP(E6124,#REF!,1,FALSE())),"?TYPE_IDENTIFIABLE","?REFERENTIAL"),"_")))))</f>
        <v> </v>
      </c>
      <c r="H6124" s="25" t="str">
        <f>IF(J6124&lt;&gt;1,"",IF(I6124="SBJ","CB","?"))</f>
        <v> </v>
      </c>
      <c r="I6124" s="26" t="str">
        <f>IF(OR(E6124="",E6124="!!!",F6124="NEW"),"",INDEX(B6123:B$2,-1+SUMPRODUCT(MAX(ROW(E6123:E$2)*(E6124=E6123:E$2)))))</f>
        <v> </v>
      </c>
      <c r="J6124" s="26" t="str">
        <f>IF(OR(E6124="",E6124="!!!",F6124="NEW"),"",COUNTBLANK(OFFSET(A$1,,,SUMPRODUCT(MAX(ROW(E$2:E6124)*(E6124=E$2:E6124)))))-COUNTBLANK(OFFSET(A$1,,,SUMPRODUCT(MAX(ROW(E$1:E6123)*(E2=E$1:E6123))))))</f>
        <v> </v>
      </c>
      <c r="K6124" s="26" t="str">
        <f>IF(OR(E6124="",E6124="!!!",F6124="NEW"),"",INDEX(J$1:J6123,SUMPRODUCT(MAX(ROW(E$1:E6123)*(E6124=E$1:E6123)))))</f>
        <v> </v>
      </c>
      <c r="L6124" s="27"/>
    </row>
    <row r="6125" spans="1:12">
      <c r="A6125" s="20" t="s">
        <v>185</v>
      </c>
      <c r="B6125" s="21" t="s">
        <v>1296</v>
      </c>
      <c r="C6125" s="21" t="s">
        <v>1203</v>
      </c>
      <c r="D6125" s="21" t="s">
        <v>1188</v>
      </c>
      <c r="E6125" s="22">
        <f>IF(D6125="?OLD","!!!","")</f>
        <v/>
      </c>
      <c r="F6125" s="23" t="str">
        <f>IF(OR(E6125="",E6125="!!!"),"",IF(NOT(ISNA(VLOOKUP(E6125,E$1:E6124,1,FALSE()))),"OLD",IF(AND(E6125&lt;&gt;"",E6125&lt;&gt;"!!!"),"NEW","")))</f>
        <v> </v>
      </c>
      <c r="G6125" s="24" t="str">
        <f>IF(OR(E6125="",E6125="!!!"),"",IF(OR(J6125=0,AND(J6125=1,K6125=1),AND(J6125=1,I6125="SBJ"),AND(J6125=1,I6125=0)),"?IN_FOCUS",IF(J6125&lt;=2,"?ACTIVATED",IF(J6125&lt;&gt;"","?FAMILIAR",IF(F6125="NEW",IF(ISNA(VLOOKUP(E6125,#REF!,1,FALSE())),"?TYPE_IDENTIFIABLE","?REFERENTIAL"),"_")))))</f>
        <v> </v>
      </c>
      <c r="H6125" s="25" t="str">
        <f>IF(J6125&lt;&gt;1,"",IF(I6125="SBJ","CB","?"))</f>
        <v> </v>
      </c>
      <c r="I6125" s="26" t="str">
        <f>IF(OR(E6125="",E6125="!!!",F6125="NEW"),"",INDEX(B6124:B$2,-1+SUMPRODUCT(MAX(ROW(E6124:E$2)*(E6125=E6124:E$2)))))</f>
        <v> </v>
      </c>
      <c r="J6125" s="26" t="str">
        <f>IF(OR(E6125="",E6125="!!!",F6125="NEW"),"",COUNTBLANK(OFFSET(A$1,,,SUMPRODUCT(MAX(ROW(E$2:E6125)*(E6125=E$2:E6125)))))-COUNTBLANK(OFFSET(A$1,,,SUMPRODUCT(MAX(ROW(E$1:E6124)*(E2=E$1:E6124))))))</f>
        <v> </v>
      </c>
      <c r="K6125" s="26" t="str">
        <f>IF(OR(E6125="",E6125="!!!",F6125="NEW"),"",INDEX(J$1:J6124,SUMPRODUCT(MAX(ROW(E$1:E6124)*(E6125=E$1:E6124)))))</f>
        <v> </v>
      </c>
      <c r="L6125" s="27"/>
    </row>
    <row r="6126" spans="1:12">
      <c r="A6126" s="20" t="s">
        <v>1321</v>
      </c>
      <c r="E6126" s="22">
        <f>IF(D6126="?OLD","!!!","")</f>
        <v/>
      </c>
      <c r="F6126" s="23" t="str">
        <f>IF(OR(E6126="",E6126="!!!"),"",IF(NOT(ISNA(VLOOKUP(E6126,E$1:E6125,1,FALSE()))),"OLD",IF(AND(E6126&lt;&gt;"",E6126&lt;&gt;"!!!"),"NEW","")))</f>
        <v> </v>
      </c>
      <c r="G6126" s="24" t="str">
        <f>IF(OR(E6126="",E6126="!!!"),"",IF(OR(J6126=0,AND(J6126=1,K6126=1),AND(J6126=1,I6126="SBJ"),AND(J6126=1,I6126=0)),"?IN_FOCUS",IF(J6126&lt;=2,"?ACTIVATED",IF(J6126&lt;&gt;"","?FAMILIAR",IF(F6126="NEW",IF(ISNA(VLOOKUP(E6126,#REF!,1,FALSE())),"?TYPE_IDENTIFIABLE","?REFERENTIAL"),"_")))))</f>
        <v> </v>
      </c>
      <c r="H6126" s="25" t="str">
        <f>IF(J6126&lt;&gt;1,"",IF(I6126="SBJ","CB","?"))</f>
        <v> </v>
      </c>
      <c r="I6126" s="26" t="str">
        <f>IF(OR(E6126="",E6126="!!!",F6126="NEW"),"",INDEX(B6125:B$2,-1+SUMPRODUCT(MAX(ROW(E6125:E$2)*(E6126=E6125:E$2)))))</f>
        <v> </v>
      </c>
      <c r="J6126" s="26" t="str">
        <f>IF(OR(E6126="",E6126="!!!",F6126="NEW"),"",COUNTBLANK(OFFSET(A$1,,,SUMPRODUCT(MAX(ROW(E$2:E6126)*(E6126=E$2:E6126)))))-COUNTBLANK(OFFSET(A$1,,,SUMPRODUCT(MAX(ROW(E$1:E6125)*(E2=E$1:E6125))))))</f>
        <v> </v>
      </c>
      <c r="K6126" s="26" t="str">
        <f>IF(OR(E6126="",E6126="!!!",F6126="NEW"),"",INDEX(J$1:J6125,SUMPRODUCT(MAX(ROW(E$1:E6125)*(E6126=E$1:E6125)))))</f>
        <v> </v>
      </c>
      <c r="L6126" s="27"/>
    </row>
    <row r="6127" spans="1:12">
      <c r="A6127" s="20" t="s">
        <v>1544</v>
      </c>
      <c r="E6127" s="22">
        <f>IF(D6127="?OLD","!!!","")</f>
        <v/>
      </c>
      <c r="F6127" s="23" t="str">
        <f>IF(OR(E6127="",E6127="!!!"),"",IF(NOT(ISNA(VLOOKUP(E6127,E$1:E6126,1,FALSE()))),"OLD",IF(AND(E6127&lt;&gt;"",E6127&lt;&gt;"!!!"),"NEW","")))</f>
        <v> </v>
      </c>
      <c r="G6127" s="24" t="str">
        <f>IF(OR(E6127="",E6127="!!!"),"",IF(OR(J6127=0,AND(J6127=1,K6127=1),AND(J6127=1,I6127="SBJ"),AND(J6127=1,I6127=0)),"?IN_FOCUS",IF(J6127&lt;=2,"?ACTIVATED",IF(J6127&lt;&gt;"","?FAMILIAR",IF(F6127="NEW",IF(ISNA(VLOOKUP(E6127,#REF!,1,FALSE())),"?TYPE_IDENTIFIABLE","?REFERENTIAL"),"_")))))</f>
        <v> </v>
      </c>
      <c r="H6127" s="25" t="str">
        <f>IF(J6127&lt;&gt;1,"",IF(I6127="SBJ","CB","?"))</f>
        <v> </v>
      </c>
      <c r="I6127" s="26" t="str">
        <f>IF(OR(E6127="",E6127="!!!",F6127="NEW"),"",INDEX(B6126:B$2,-1+SUMPRODUCT(MAX(ROW(E6126:E$2)*(E6127=E6126:E$2)))))</f>
        <v> </v>
      </c>
      <c r="J6127" s="26" t="str">
        <f>IF(OR(E6127="",E6127="!!!",F6127="NEW"),"",COUNTBLANK(OFFSET(A$1,,,SUMPRODUCT(MAX(ROW(E$2:E6127)*(E6127=E$2:E6127)))))-COUNTBLANK(OFFSET(A$1,,,SUMPRODUCT(MAX(ROW(E$1:E6126)*(E2=E$1:E6126))))))</f>
        <v> </v>
      </c>
      <c r="K6127" s="26" t="str">
        <f>IF(OR(E6127="",E6127="!!!",F6127="NEW"),"",INDEX(J$1:J6126,SUMPRODUCT(MAX(ROW(E$1:E6126)*(E6127=E$1:E6126)))))</f>
        <v> </v>
      </c>
      <c r="L6127" s="27"/>
    </row>
    <row r="6128" spans="1:12">
      <c r="A6128" s="20" t="s">
        <v>2856</v>
      </c>
      <c r="E6128" s="22">
        <f>IF(D6128="?OLD","!!!","")</f>
        <v/>
      </c>
      <c r="F6128" s="23" t="str">
        <f>IF(OR(E6128="",E6128="!!!"),"",IF(NOT(ISNA(VLOOKUP(E6128,E$1:E6127,1,FALSE()))),"OLD",IF(AND(E6128&lt;&gt;"",E6128&lt;&gt;"!!!"),"NEW","")))</f>
        <v> </v>
      </c>
      <c r="G6128" s="24" t="str">
        <f>IF(OR(E6128="",E6128="!!!"),"",IF(OR(J6128=0,AND(J6128=1,K6128=1),AND(J6128=1,I6128="SBJ"),AND(J6128=1,I6128=0)),"?IN_FOCUS",IF(J6128&lt;=2,"?ACTIVATED",IF(J6128&lt;&gt;"","?FAMILIAR",IF(F6128="NEW",IF(ISNA(VLOOKUP(E6128,#REF!,1,FALSE())),"?TYPE_IDENTIFIABLE","?REFERENTIAL"),"_")))))</f>
        <v> </v>
      </c>
      <c r="H6128" s="25" t="str">
        <f>IF(J6128&lt;&gt;1,"",IF(I6128="SBJ","CB","?"))</f>
        <v> </v>
      </c>
      <c r="I6128" s="26" t="str">
        <f>IF(OR(E6128="",E6128="!!!",F6128="NEW"),"",INDEX(B6127:B$2,-1+SUMPRODUCT(MAX(ROW(E6127:E$2)*(E6128=E6127:E$2)))))</f>
        <v> </v>
      </c>
      <c r="J6128" s="26" t="str">
        <f>IF(OR(E6128="",E6128="!!!",F6128="NEW"),"",COUNTBLANK(OFFSET(A$1,,,SUMPRODUCT(MAX(ROW(E$2:E6128)*(E6128=E$2:E6128)))))-COUNTBLANK(OFFSET(A$1,,,SUMPRODUCT(MAX(ROW(E$1:E6127)*(E2=E$1:E6127))))))</f>
        <v> </v>
      </c>
      <c r="K6128" s="26" t="str">
        <f>IF(OR(E6128="",E6128="!!!",F6128="NEW"),"",INDEX(J$1:J6127,SUMPRODUCT(MAX(ROW(E$1:E6127)*(E6128=E$1:E6127)))))</f>
        <v> </v>
      </c>
      <c r="L6128" s="27"/>
    </row>
    <row r="6129" spans="1:12">
      <c r="A6129" s="20" t="s">
        <v>2857</v>
      </c>
      <c r="B6129" s="21" t="s">
        <v>1347</v>
      </c>
      <c r="C6129" s="21" t="s">
        <v>1192</v>
      </c>
      <c r="E6129" s="22">
        <f>IF(D6129="?OLD","!!!","")</f>
        <v/>
      </c>
      <c r="F6129" s="23" t="str">
        <f>IF(OR(E6129="",E6129="!!!"),"",IF(NOT(ISNA(VLOOKUP(E6129,E$1:E6128,1,FALSE()))),"OLD",IF(AND(E6129&lt;&gt;"",E6129&lt;&gt;"!!!"),"NEW","")))</f>
        <v> </v>
      </c>
      <c r="G6129" s="24" t="str">
        <f>IF(OR(E6129="",E6129="!!!"),"",IF(OR(J6129=0,AND(J6129=1,K6129=1),AND(J6129=1,I6129="SBJ"),AND(J6129=1,I6129=0)),"?IN_FOCUS",IF(J6129&lt;=2,"?ACTIVATED",IF(J6129&lt;&gt;"","?FAMILIAR",IF(F6129="NEW",IF(ISNA(VLOOKUP(E6129,#REF!,1,FALSE())),"?TYPE_IDENTIFIABLE","?REFERENTIAL"),"_")))))</f>
        <v> </v>
      </c>
      <c r="H6129" s="25" t="str">
        <f>IF(J6129&lt;&gt;1,"",IF(I6129="SBJ","CB","?"))</f>
        <v> </v>
      </c>
      <c r="I6129" s="26" t="str">
        <f>IF(OR(E6129="",E6129="!!!",F6129="NEW"),"",INDEX(B6128:B$2,-1+SUMPRODUCT(MAX(ROW(E6128:E$2)*(E6129=E6128:E$2)))))</f>
        <v> </v>
      </c>
      <c r="J6129" s="26" t="str">
        <f>IF(OR(E6129="",E6129="!!!",F6129="NEW"),"",COUNTBLANK(OFFSET(A$1,,,SUMPRODUCT(MAX(ROW(E$2:E6129)*(E6129=E$2:E6129)))))-COUNTBLANK(OFFSET(A$1,,,SUMPRODUCT(MAX(ROW(E$1:E6128)*(E2=E$1:E6128))))))</f>
        <v> </v>
      </c>
      <c r="K6129" s="26" t="str">
        <f>IF(OR(E6129="",E6129="!!!",F6129="NEW"),"",INDEX(J$1:J6128,SUMPRODUCT(MAX(ROW(E$1:E6128)*(E6129=E$1:E6128)))))</f>
        <v> </v>
      </c>
      <c r="L6129" s="27"/>
    </row>
    <row r="6130" spans="1:12">
      <c r="A6130" s="20" t="s">
        <v>2858</v>
      </c>
      <c r="E6130" s="22">
        <f>IF(D6130="?OLD","!!!","")</f>
        <v/>
      </c>
      <c r="F6130" s="23" t="str">
        <f>IF(OR(E6130="",E6130="!!!"),"",IF(NOT(ISNA(VLOOKUP(E6130,E$1:E6129,1,FALSE()))),"OLD",IF(AND(E6130&lt;&gt;"",E6130&lt;&gt;"!!!"),"NEW","")))</f>
        <v> </v>
      </c>
      <c r="G6130" s="24" t="str">
        <f>IF(OR(E6130="",E6130="!!!"),"",IF(OR(J6130=0,AND(J6130=1,K6130=1),AND(J6130=1,I6130="SBJ"),AND(J6130=1,I6130=0)),"?IN_FOCUS",IF(J6130&lt;=2,"?ACTIVATED",IF(J6130&lt;&gt;"","?FAMILIAR",IF(F6130="NEW",IF(ISNA(VLOOKUP(E6130,#REF!,1,FALSE())),"?TYPE_IDENTIFIABLE","?REFERENTIAL"),"_")))))</f>
        <v> </v>
      </c>
      <c r="H6130" s="25" t="str">
        <f>IF(J6130&lt;&gt;1,"",IF(I6130="SBJ","CB","?"))</f>
        <v> </v>
      </c>
      <c r="I6130" s="26" t="str">
        <f>IF(OR(E6130="",E6130="!!!",F6130="NEW"),"",INDEX(B6129:B$2,-1+SUMPRODUCT(MAX(ROW(E6129:E$2)*(E6130=E6129:E$2)))))</f>
        <v> </v>
      </c>
      <c r="J6130" s="26" t="str">
        <f>IF(OR(E6130="",E6130="!!!",F6130="NEW"),"",COUNTBLANK(OFFSET(A$1,,,SUMPRODUCT(MAX(ROW(E$2:E6130)*(E6130=E$2:E6130)))))-COUNTBLANK(OFFSET(A$1,,,SUMPRODUCT(MAX(ROW(E$1:E6129)*(E2=E$1:E6129))))))</f>
        <v> </v>
      </c>
      <c r="K6130" s="26" t="str">
        <f>IF(OR(E6130="",E6130="!!!",F6130="NEW"),"",INDEX(J$1:J6129,SUMPRODUCT(MAX(ROW(E$1:E6129)*(E6130=E$1:E6129)))))</f>
        <v> </v>
      </c>
      <c r="L6130" s="27"/>
    </row>
    <row r="6131" spans="1:12">
      <c r="A6131" s="20" t="s">
        <v>1337</v>
      </c>
      <c r="E6131" s="22">
        <f>IF(D6131="?OLD","!!!","")</f>
        <v/>
      </c>
      <c r="F6131" s="23" t="str">
        <f>IF(OR(E6131="",E6131="!!!"),"",IF(NOT(ISNA(VLOOKUP(E6131,E$1:E6130,1,FALSE()))),"OLD",IF(AND(E6131&lt;&gt;"",E6131&lt;&gt;"!!!"),"NEW","")))</f>
        <v> </v>
      </c>
      <c r="G6131" s="24" t="str">
        <f>IF(OR(E6131="",E6131="!!!"),"",IF(OR(J6131=0,AND(J6131=1,K6131=1),AND(J6131=1,I6131="SBJ"),AND(J6131=1,I6131=0)),"?IN_FOCUS",IF(J6131&lt;=2,"?ACTIVATED",IF(J6131&lt;&gt;"","?FAMILIAR",IF(F6131="NEW",IF(ISNA(VLOOKUP(E6131,#REF!,1,FALSE())),"?TYPE_IDENTIFIABLE","?REFERENTIAL"),"_")))))</f>
        <v> </v>
      </c>
      <c r="H6131" s="25" t="str">
        <f>IF(J6131&lt;&gt;1,"",IF(I6131="SBJ","CB","?"))</f>
        <v> </v>
      </c>
      <c r="I6131" s="26" t="str">
        <f>IF(OR(E6131="",E6131="!!!",F6131="NEW"),"",INDEX(B6130:B$2,-1+SUMPRODUCT(MAX(ROW(E6130:E$2)*(E6131=E6130:E$2)))))</f>
        <v> </v>
      </c>
      <c r="J6131" s="26" t="str">
        <f>IF(OR(E6131="",E6131="!!!",F6131="NEW"),"",COUNTBLANK(OFFSET(A$1,,,SUMPRODUCT(MAX(ROW(E$2:E6131)*(E6131=E$2:E6131)))))-COUNTBLANK(OFFSET(A$1,,,SUMPRODUCT(MAX(ROW(E$1:E6130)*(E2=E$1:E6130))))))</f>
        <v> </v>
      </c>
      <c r="K6131" s="26" t="str">
        <f>IF(OR(E6131="",E6131="!!!",F6131="NEW"),"",INDEX(J$1:J6130,SUMPRODUCT(MAX(ROW(E$1:E6130)*(E6131=E$1:E6130)))))</f>
        <v> </v>
      </c>
      <c r="L6131" s="27"/>
    </row>
    <row r="6132" spans="1:12">
      <c r="A6132" s="20" t="s">
        <v>292</v>
      </c>
      <c r="E6132" s="22">
        <f>IF(D6132="?OLD","!!!","")</f>
        <v/>
      </c>
      <c r="F6132" s="23" t="str">
        <f>IF(OR(E6132="",E6132="!!!"),"",IF(NOT(ISNA(VLOOKUP(E6132,E$1:E6131,1,FALSE()))),"OLD",IF(AND(E6132&lt;&gt;"",E6132&lt;&gt;"!!!"),"NEW","")))</f>
        <v> </v>
      </c>
      <c r="G6132" s="24" t="str">
        <f>IF(OR(E6132="",E6132="!!!"),"",IF(OR(J6132=0,AND(J6132=1,K6132=1),AND(J6132=1,I6132="SBJ"),AND(J6132=1,I6132=0)),"?IN_FOCUS",IF(J6132&lt;=2,"?ACTIVATED",IF(J6132&lt;&gt;"","?FAMILIAR",IF(F6132="NEW",IF(ISNA(VLOOKUP(E6132,#REF!,1,FALSE())),"?TYPE_IDENTIFIABLE","?REFERENTIAL"),"_")))))</f>
        <v> </v>
      </c>
      <c r="H6132" s="25" t="str">
        <f>IF(J6132&lt;&gt;1,"",IF(I6132="SBJ","CB","?"))</f>
        <v> </v>
      </c>
      <c r="I6132" s="26" t="str">
        <f>IF(OR(E6132="",E6132="!!!",F6132="NEW"),"",INDEX(B6131:B$2,-1+SUMPRODUCT(MAX(ROW(E6131:E$2)*(E6132=E6131:E$2)))))</f>
        <v> </v>
      </c>
      <c r="J6132" s="26" t="str">
        <f>IF(OR(E6132="",E6132="!!!",F6132="NEW"),"",COUNTBLANK(OFFSET(A$1,,,SUMPRODUCT(MAX(ROW(E$2:E6132)*(E6132=E$2:E6132)))))-COUNTBLANK(OFFSET(A$1,,,SUMPRODUCT(MAX(ROW(E$1:E6131)*(E2=E$1:E6131))))))</f>
        <v> </v>
      </c>
      <c r="K6132" s="26" t="str">
        <f>IF(OR(E6132="",E6132="!!!",F6132="NEW"),"",INDEX(J$1:J6131,SUMPRODUCT(MAX(ROW(E$1:E6131)*(E6132=E$1:E6131)))))</f>
        <v> </v>
      </c>
      <c r="L6132" s="27"/>
    </row>
    <row r="6133" spans="1:12">
      <c r="A6133" s="20" t="s">
        <v>1193</v>
      </c>
      <c r="E6133" s="22">
        <f>IF(D6133="?OLD","!!!","")</f>
        <v/>
      </c>
      <c r="F6133" s="23" t="str">
        <f>IF(OR(E6133="",E6133="!!!"),"",IF(NOT(ISNA(VLOOKUP(E6133,E$1:E6132,1,FALSE()))),"OLD",IF(AND(E6133&lt;&gt;"",E6133&lt;&gt;"!!!"),"NEW","")))</f>
        <v> </v>
      </c>
      <c r="G6133" s="24" t="str">
        <f>IF(OR(E6133="",E6133="!!!"),"",IF(OR(J6133=0,AND(J6133=1,K6133=1),AND(J6133=1,I6133="SBJ"),AND(J6133=1,I6133=0)),"?IN_FOCUS",IF(J6133&lt;=2,"?ACTIVATED",IF(J6133&lt;&gt;"","?FAMILIAR",IF(F6133="NEW",IF(ISNA(VLOOKUP(E6133,#REF!,1,FALSE())),"?TYPE_IDENTIFIABLE","?REFERENTIAL"),"_")))))</f>
        <v> </v>
      </c>
      <c r="H6133" s="25" t="str">
        <f>IF(J6133&lt;&gt;1,"",IF(I6133="SBJ","CB","?"))</f>
        <v> </v>
      </c>
      <c r="I6133" s="26" t="str">
        <f>IF(OR(E6133="",E6133="!!!",F6133="NEW"),"",INDEX(B6132:B$2,-1+SUMPRODUCT(MAX(ROW(E6132:E$2)*(E6133=E6132:E$2)))))</f>
        <v> </v>
      </c>
      <c r="J6133" s="26" t="str">
        <f>IF(OR(E6133="",E6133="!!!",F6133="NEW"),"",COUNTBLANK(OFFSET(A$1,,,SUMPRODUCT(MAX(ROW(E$2:E6133)*(E6133=E$2:E6133)))))-COUNTBLANK(OFFSET(A$1,,,SUMPRODUCT(MAX(ROW(E$1:E6132)*(E2=E$1:E6132))))))</f>
        <v> </v>
      </c>
      <c r="K6133" s="26" t="str">
        <f>IF(OR(E6133="",E6133="!!!",F6133="NEW"),"",INDEX(J$1:J6132,SUMPRODUCT(MAX(ROW(E$1:E6132)*(E6133=E$1:E6132)))))</f>
        <v> </v>
      </c>
      <c r="L6133" s="27"/>
    </row>
    <row r="6134" spans="1:12">
      <c r="A6134" s="20" t="s">
        <v>1937</v>
      </c>
      <c r="E6134" s="22">
        <f>IF(D6134="?OLD","!!!","")</f>
        <v/>
      </c>
      <c r="F6134" s="23" t="str">
        <f>IF(OR(E6134="",E6134="!!!"),"",IF(NOT(ISNA(VLOOKUP(E6134,E$1:E6133,1,FALSE()))),"OLD",IF(AND(E6134&lt;&gt;"",E6134&lt;&gt;"!!!"),"NEW","")))</f>
        <v> </v>
      </c>
      <c r="G6134" s="24" t="str">
        <f>IF(OR(E6134="",E6134="!!!"),"",IF(OR(J6134=0,AND(J6134=1,K6134=1),AND(J6134=1,I6134="SBJ"),AND(J6134=1,I6134=0)),"?IN_FOCUS",IF(J6134&lt;=2,"?ACTIVATED",IF(J6134&lt;&gt;"","?FAMILIAR",IF(F6134="NEW",IF(ISNA(VLOOKUP(E6134,#REF!,1,FALSE())),"?TYPE_IDENTIFIABLE","?REFERENTIAL"),"_")))))</f>
        <v> </v>
      </c>
      <c r="H6134" s="25" t="str">
        <f>IF(J6134&lt;&gt;1,"",IF(I6134="SBJ","CB","?"))</f>
        <v> </v>
      </c>
      <c r="I6134" s="26" t="str">
        <f>IF(OR(E6134="",E6134="!!!",F6134="NEW"),"",INDEX(B6133:B$2,-1+SUMPRODUCT(MAX(ROW(E6133:E$2)*(E6134=E6133:E$2)))))</f>
        <v> </v>
      </c>
      <c r="J6134" s="26" t="str">
        <f>IF(OR(E6134="",E6134="!!!",F6134="NEW"),"",COUNTBLANK(OFFSET(A$1,,,SUMPRODUCT(MAX(ROW(E$2:E6134)*(E6134=E$2:E6134)))))-COUNTBLANK(OFFSET(A$1,,,SUMPRODUCT(MAX(ROW(E$1:E6133)*(E2=E$1:E6133))))))</f>
        <v> </v>
      </c>
      <c r="K6134" s="26" t="str">
        <f>IF(OR(E6134="",E6134="!!!",F6134="NEW"),"",INDEX(J$1:J6133,SUMPRODUCT(MAX(ROW(E$1:E6133)*(E6134=E$1:E6133)))))</f>
        <v> </v>
      </c>
      <c r="L6134" s="27"/>
    </row>
    <row r="6135" spans="1:12">
      <c r="A6135" s="20" t="s">
        <v>2859</v>
      </c>
      <c r="E6135" s="22">
        <f>IF(D6135="?OLD","!!!","")</f>
        <v/>
      </c>
      <c r="F6135" s="23" t="str">
        <f>IF(OR(E6135="",E6135="!!!"),"",IF(NOT(ISNA(VLOOKUP(E6135,E$1:E6134,1,FALSE()))),"OLD",IF(AND(E6135&lt;&gt;"",E6135&lt;&gt;"!!!"),"NEW","")))</f>
        <v> </v>
      </c>
      <c r="G6135" s="24" t="str">
        <f>IF(OR(E6135="",E6135="!!!"),"",IF(OR(J6135=0,AND(J6135=1,K6135=1),AND(J6135=1,I6135="SBJ"),AND(J6135=1,I6135=0)),"?IN_FOCUS",IF(J6135&lt;=2,"?ACTIVATED",IF(J6135&lt;&gt;"","?FAMILIAR",IF(F6135="NEW",IF(ISNA(VLOOKUP(E6135,#REF!,1,FALSE())),"?TYPE_IDENTIFIABLE","?REFERENTIAL"),"_")))))</f>
        <v> </v>
      </c>
      <c r="H6135" s="25" t="str">
        <f>IF(J6135&lt;&gt;1,"",IF(I6135="SBJ","CB","?"))</f>
        <v> </v>
      </c>
      <c r="I6135" s="26" t="str">
        <f>IF(OR(E6135="",E6135="!!!",F6135="NEW"),"",INDEX(B6134:B$2,-1+SUMPRODUCT(MAX(ROW(E6134:E$2)*(E6135=E6134:E$2)))))</f>
        <v> </v>
      </c>
      <c r="J6135" s="26" t="str">
        <f>IF(OR(E6135="",E6135="!!!",F6135="NEW"),"",COUNTBLANK(OFFSET(A$1,,,SUMPRODUCT(MAX(ROW(E$2:E6135)*(E6135=E$2:E6135)))))-COUNTBLANK(OFFSET(A$1,,,SUMPRODUCT(MAX(ROW(E$1:E6134)*(E2=E$1:E6134))))))</f>
        <v> </v>
      </c>
      <c r="K6135" s="26" t="str">
        <f>IF(OR(E6135="",E6135="!!!",F6135="NEW"),"",INDEX(J$1:J6134,SUMPRODUCT(MAX(ROW(E$1:E6134)*(E6135=E$1:E6134)))))</f>
        <v> </v>
      </c>
      <c r="L6135" s="27"/>
    </row>
    <row r="6136" spans="1:12">
      <c r="A6136" s="20" t="s">
        <v>2860</v>
      </c>
      <c r="B6136" s="21" t="s">
        <v>1186</v>
      </c>
      <c r="C6136" s="21" t="s">
        <v>1192</v>
      </c>
      <c r="E6136" s="22">
        <f>IF(D6136="?OLD","!!!","")</f>
        <v/>
      </c>
      <c r="F6136" s="23" t="str">
        <f>IF(OR(E6136="",E6136="!!!"),"",IF(NOT(ISNA(VLOOKUP(E6136,E$1:E6135,1,FALSE()))),"OLD",IF(AND(E6136&lt;&gt;"",E6136&lt;&gt;"!!!"),"NEW","")))</f>
        <v> </v>
      </c>
      <c r="G6136" s="24" t="str">
        <f>IF(OR(E6136="",E6136="!!!"),"",IF(OR(J6136=0,AND(J6136=1,K6136=1),AND(J6136=1,I6136="SBJ"),AND(J6136=1,I6136=0)),"?IN_FOCUS",IF(J6136&lt;=2,"?ACTIVATED",IF(J6136&lt;&gt;"","?FAMILIAR",IF(F6136="NEW",IF(ISNA(VLOOKUP(E6136,#REF!,1,FALSE())),"?TYPE_IDENTIFIABLE","?REFERENTIAL"),"_")))))</f>
        <v> </v>
      </c>
      <c r="H6136" s="25" t="str">
        <f>IF(J6136&lt;&gt;1,"",IF(I6136="SBJ","CB","?"))</f>
        <v> </v>
      </c>
      <c r="I6136" s="26" t="str">
        <f>IF(OR(E6136="",E6136="!!!",F6136="NEW"),"",INDEX(B6135:B$2,-1+SUMPRODUCT(MAX(ROW(E6135:E$2)*(E6136=E6135:E$2)))))</f>
        <v> </v>
      </c>
      <c r="J6136" s="26" t="str">
        <f>IF(OR(E6136="",E6136="!!!",F6136="NEW"),"",COUNTBLANK(OFFSET(A$1,,,SUMPRODUCT(MAX(ROW(E$2:E6136)*(E6136=E$2:E6136)))))-COUNTBLANK(OFFSET(A$1,,,SUMPRODUCT(MAX(ROW(E$1:E6135)*(E2=E$1:E6135))))))</f>
        <v> </v>
      </c>
      <c r="K6136" s="26" t="str">
        <f>IF(OR(E6136="",E6136="!!!",F6136="NEW"),"",INDEX(J$1:J6135,SUMPRODUCT(MAX(ROW(E$1:E6135)*(E6136=E$1:E6135)))))</f>
        <v> </v>
      </c>
      <c r="L6136" s="27"/>
    </row>
    <row r="6137" spans="1:12">
      <c r="A6137" s="20" t="s">
        <v>1232</v>
      </c>
      <c r="E6137" s="22">
        <f>IF(D6137="?OLD","!!!","")</f>
        <v/>
      </c>
      <c r="F6137" s="23" t="str">
        <f>IF(OR(E6137="",E6137="!!!"),"",IF(NOT(ISNA(VLOOKUP(E6137,E$1:E6136,1,FALSE()))),"OLD",IF(AND(E6137&lt;&gt;"",E6137&lt;&gt;"!!!"),"NEW","")))</f>
        <v> </v>
      </c>
      <c r="G6137" s="24" t="str">
        <f>IF(OR(E6137="",E6137="!!!"),"",IF(OR(J6137=0,AND(J6137=1,K6137=1),AND(J6137=1,I6137="SBJ"),AND(J6137=1,I6137=0)),"?IN_FOCUS",IF(J6137&lt;=2,"?ACTIVATED",IF(J6137&lt;&gt;"","?FAMILIAR",IF(F6137="NEW",IF(ISNA(VLOOKUP(E6137,#REF!,1,FALSE())),"?TYPE_IDENTIFIABLE","?REFERENTIAL"),"_")))))</f>
        <v> </v>
      </c>
      <c r="H6137" s="25" t="str">
        <f>IF(J6137&lt;&gt;1,"",IF(I6137="SBJ","CB","?"))</f>
        <v> </v>
      </c>
      <c r="I6137" s="26" t="str">
        <f>IF(OR(E6137="",E6137="!!!",F6137="NEW"),"",INDEX(B6136:B$2,-1+SUMPRODUCT(MAX(ROW(E6136:E$2)*(E6137=E6136:E$2)))))</f>
        <v> </v>
      </c>
      <c r="J6137" s="26" t="str">
        <f>IF(OR(E6137="",E6137="!!!",F6137="NEW"),"",COUNTBLANK(OFFSET(A$1,,,SUMPRODUCT(MAX(ROW(E$2:E6137)*(E6137=E$2:E6137)))))-COUNTBLANK(OFFSET(A$1,,,SUMPRODUCT(MAX(ROW(E$1:E6136)*(E2=E$1:E6136))))))</f>
        <v> </v>
      </c>
      <c r="K6137" s="26" t="str">
        <f>IF(OR(E6137="",E6137="!!!",F6137="NEW"),"",INDEX(J$1:J6136,SUMPRODUCT(MAX(ROW(E$1:E6136)*(E6137=E$1:E6136)))))</f>
        <v> </v>
      </c>
      <c r="L6137" s="27"/>
    </row>
    <row r="6138" spans="1:12">
      <c r="A6138" s="20" t="s">
        <v>2184</v>
      </c>
      <c r="B6138" s="21" t="s">
        <v>1215</v>
      </c>
      <c r="C6138" s="21" t="s">
        <v>1262</v>
      </c>
      <c r="E6138" s="22">
        <f>IF(D6138="?OLD","!!!","")</f>
        <v/>
      </c>
      <c r="F6138" s="23" t="str">
        <f>IF(OR(E6138="",E6138="!!!"),"",IF(NOT(ISNA(VLOOKUP(E6138,E$1:E6137,1,FALSE()))),"OLD",IF(AND(E6138&lt;&gt;"",E6138&lt;&gt;"!!!"),"NEW","")))</f>
        <v> </v>
      </c>
      <c r="G6138" s="24" t="str">
        <f>IF(OR(E6138="",E6138="!!!"),"",IF(OR(J6138=0,AND(J6138=1,K6138=1),AND(J6138=1,I6138="SBJ"),AND(J6138=1,I6138=0)),"?IN_FOCUS",IF(J6138&lt;=2,"?ACTIVATED",IF(J6138&lt;&gt;"","?FAMILIAR",IF(F6138="NEW",IF(ISNA(VLOOKUP(E6138,#REF!,1,FALSE())),"?TYPE_IDENTIFIABLE","?REFERENTIAL"),"_")))))</f>
        <v> </v>
      </c>
      <c r="H6138" s="25" t="str">
        <f>IF(J6138&lt;&gt;1,"",IF(I6138="SBJ","CB","?"))</f>
        <v> </v>
      </c>
      <c r="I6138" s="26" t="str">
        <f>IF(OR(E6138="",E6138="!!!",F6138="NEW"),"",INDEX(B6137:B$2,-1+SUMPRODUCT(MAX(ROW(E6137:E$2)*(E6138=E6137:E$2)))))</f>
        <v> </v>
      </c>
      <c r="J6138" s="26" t="str">
        <f>IF(OR(E6138="",E6138="!!!",F6138="NEW"),"",COUNTBLANK(OFFSET(A$1,,,SUMPRODUCT(MAX(ROW(E$2:E6138)*(E6138=E$2:E6138)))))-COUNTBLANK(OFFSET(A$1,,,SUMPRODUCT(MAX(ROW(E$1:E6137)*(E2=E$1:E6137))))))</f>
        <v> </v>
      </c>
      <c r="K6138" s="26" t="str">
        <f>IF(OR(E6138="",E6138="!!!",F6138="NEW"),"",INDEX(J$1:J6137,SUMPRODUCT(MAX(ROW(E$1:E6137)*(E6138=E$1:E6137)))))</f>
        <v> </v>
      </c>
      <c r="L6138" s="27"/>
    </row>
    <row r="6139" spans="1:12">
      <c r="A6139" s="20" t="s">
        <v>1336</v>
      </c>
      <c r="B6139" s="21" t="s">
        <v>1199</v>
      </c>
      <c r="C6139" s="21" t="s">
        <v>1331</v>
      </c>
      <c r="E6139" s="22">
        <f>IF(D6139="?OLD","!!!","")</f>
        <v/>
      </c>
      <c r="F6139" s="23" t="str">
        <f>IF(OR(E6139="",E6139="!!!"),"",IF(NOT(ISNA(VLOOKUP(E6139,E$1:E6138,1,FALSE()))),"OLD",IF(AND(E6139&lt;&gt;"",E6139&lt;&gt;"!!!"),"NEW","")))</f>
        <v> </v>
      </c>
      <c r="G6139" s="24" t="str">
        <f>IF(OR(E6139="",E6139="!!!"),"",IF(OR(J6139=0,AND(J6139=1,K6139=1),AND(J6139=1,I6139="SBJ"),AND(J6139=1,I6139=0)),"?IN_FOCUS",IF(J6139&lt;=2,"?ACTIVATED",IF(J6139&lt;&gt;"","?FAMILIAR",IF(F6139="NEW",IF(ISNA(VLOOKUP(E6139,#REF!,1,FALSE())),"?TYPE_IDENTIFIABLE","?REFERENTIAL"),"_")))))</f>
        <v> </v>
      </c>
      <c r="H6139" s="25" t="str">
        <f>IF(J6139&lt;&gt;1,"",IF(I6139="SBJ","CB","?"))</f>
        <v> </v>
      </c>
      <c r="I6139" s="26" t="str">
        <f>IF(OR(E6139="",E6139="!!!",F6139="NEW"),"",INDEX(B6138:B$2,-1+SUMPRODUCT(MAX(ROW(E6138:E$2)*(E6139=E6138:E$2)))))</f>
        <v> </v>
      </c>
      <c r="J6139" s="26" t="str">
        <f>IF(OR(E6139="",E6139="!!!",F6139="NEW"),"",COUNTBLANK(OFFSET(A$1,,,SUMPRODUCT(MAX(ROW(E$2:E6139)*(E6139=E$2:E6139)))))-COUNTBLANK(OFFSET(A$1,,,SUMPRODUCT(MAX(ROW(E$1:E6138)*(E2=E$1:E6138))))))</f>
        <v> </v>
      </c>
      <c r="K6139" s="26" t="str">
        <f>IF(OR(E6139="",E6139="!!!",F6139="NEW"),"",INDEX(J$1:J6138,SUMPRODUCT(MAX(ROW(E$1:E6138)*(E6139=E$1:E6138)))))</f>
        <v> </v>
      </c>
      <c r="L6139" s="27"/>
    </row>
    <row r="6140" spans="1:12">
      <c r="A6140" s="20" t="s">
        <v>826</v>
      </c>
      <c r="E6140" s="22">
        <f>IF(D6140="?OLD","!!!","")</f>
        <v/>
      </c>
      <c r="F6140" s="23" t="str">
        <f>IF(OR(E6140="",E6140="!!!"),"",IF(NOT(ISNA(VLOOKUP(E6140,E$1:E6139,1,FALSE()))),"OLD",IF(AND(E6140&lt;&gt;"",E6140&lt;&gt;"!!!"),"NEW","")))</f>
        <v> </v>
      </c>
      <c r="G6140" s="24" t="str">
        <f>IF(OR(E6140="",E6140="!!!"),"",IF(OR(J6140=0,AND(J6140=1,K6140=1),AND(J6140=1,I6140="SBJ"),AND(J6140=1,I6140=0)),"?IN_FOCUS",IF(J6140&lt;=2,"?ACTIVATED",IF(J6140&lt;&gt;"","?FAMILIAR",IF(F6140="NEW",IF(ISNA(VLOOKUP(E6140,#REF!,1,FALSE())),"?TYPE_IDENTIFIABLE","?REFERENTIAL"),"_")))))</f>
        <v> </v>
      </c>
      <c r="H6140" s="25" t="str">
        <f>IF(J6140&lt;&gt;1,"",IF(I6140="SBJ","CB","?"))</f>
        <v> </v>
      </c>
      <c r="I6140" s="26" t="str">
        <f>IF(OR(E6140="",E6140="!!!",F6140="NEW"),"",INDEX(B6139:B$2,-1+SUMPRODUCT(MAX(ROW(E6139:E$2)*(E6140=E6139:E$2)))))</f>
        <v> </v>
      </c>
      <c r="J6140" s="26" t="str">
        <f>IF(OR(E6140="",E6140="!!!",F6140="NEW"),"",COUNTBLANK(OFFSET(A$1,,,SUMPRODUCT(MAX(ROW(E$2:E6140)*(E6140=E$2:E6140)))))-COUNTBLANK(OFFSET(A$1,,,SUMPRODUCT(MAX(ROW(E$1:E6139)*(E2=E$1:E6139))))))</f>
        <v> </v>
      </c>
      <c r="K6140" s="26" t="str">
        <f>IF(OR(E6140="",E6140="!!!",F6140="NEW"),"",INDEX(J$1:J6139,SUMPRODUCT(MAX(ROW(E$1:E6139)*(E6140=E$1:E6139)))))</f>
        <v> </v>
      </c>
      <c r="L6140" s="27"/>
    </row>
    <row r="6141" spans="1:12">
      <c r="A6141" s="20"/>
    </row>
    <row r="6142" spans="1:12">
      <c r="A6142" s="20" t="s">
        <v>2861</v>
      </c>
    </row>
    <row r="6143" spans="1:12">
      <c r="A6143" s="20" t="s">
        <v>2562</v>
      </c>
      <c r="B6143" s="21" t="s">
        <v>1202</v>
      </c>
      <c r="C6143" s="21" t="s">
        <v>1192</v>
      </c>
      <c r="E6143" s="22">
        <f>IF(D6143="?OLD","!!!","")</f>
        <v/>
      </c>
      <c r="F6143" s="23" t="str">
        <f>IF(OR(E6143="",E6143="!!!"),"",IF(NOT(ISNA(VLOOKUP(E6143,E$1:E6142,1,FALSE()))),"OLD",IF(AND(E6143&lt;&gt;"",E6143&lt;&gt;"!!!"),"NEW","")))</f>
        <v> </v>
      </c>
      <c r="G6143" s="24" t="str">
        <f>IF(OR(E6143="",E6143="!!!"),"",IF(OR(J6143=0,AND(J6143=1,K6143=1),AND(J6143=1,I6143="SBJ"),AND(J6143=1,I6143=0)),"?IN_FOCUS",IF(J6143&lt;=2,"?ACTIVATED",IF(J6143&lt;&gt;"","?FAMILIAR",IF(F6143="NEW",IF(ISNA(VLOOKUP(E6143,#REF!,1,FALSE())),"?TYPE_IDENTIFIABLE","?REFERENTIAL"),"_")))))</f>
        <v> </v>
      </c>
      <c r="H6143" s="25" t="str">
        <f>IF(J6143&lt;&gt;1,"",IF(I6143="SBJ","CB","?"))</f>
        <v> </v>
      </c>
      <c r="I6143" s="26" t="str">
        <f>IF(OR(E6143="",E6143="!!!",F6143="NEW"),"",INDEX(B6142:B$2,-1+SUMPRODUCT(MAX(ROW(E6142:E$2)*(E6143=E6142:E$2)))))</f>
        <v> </v>
      </c>
      <c r="J6143" s="26" t="str">
        <f>IF(OR(E6143="",E6143="!!!",F6143="NEW"),"",COUNTBLANK(OFFSET(A$1,,,SUMPRODUCT(MAX(ROW(E$2:E6143)*(E6143=E$2:E6143)))))-COUNTBLANK(OFFSET(A$1,,,SUMPRODUCT(MAX(ROW(E$1:E6142)*(E2=E$1:E6142))))))</f>
        <v> </v>
      </c>
      <c r="K6143" s="26" t="str">
        <f>IF(OR(E6143="",E6143="!!!",F6143="NEW"),"",INDEX(J$1:J6142,SUMPRODUCT(MAX(ROW(E$1:E6142)*(E6143=E$1:E6142)))))</f>
        <v> </v>
      </c>
      <c r="L6143" s="27"/>
    </row>
    <row r="6144" spans="1:12">
      <c r="A6144" s="20" t="s">
        <v>1265</v>
      </c>
      <c r="E6144" s="22">
        <f>IF(D6144="?OLD","!!!","")</f>
        <v/>
      </c>
      <c r="F6144" s="23" t="str">
        <f>IF(OR(E6144="",E6144="!!!"),"",IF(NOT(ISNA(VLOOKUP(E6144,E$1:E6143,1,FALSE()))),"OLD",IF(AND(E6144&lt;&gt;"",E6144&lt;&gt;"!!!"),"NEW","")))</f>
        <v> </v>
      </c>
      <c r="G6144" s="24" t="str">
        <f>IF(OR(E6144="",E6144="!!!"),"",IF(OR(J6144=0,AND(J6144=1,K6144=1),AND(J6144=1,I6144="SBJ"),AND(J6144=1,I6144=0)),"?IN_FOCUS",IF(J6144&lt;=2,"?ACTIVATED",IF(J6144&lt;&gt;"","?FAMILIAR",IF(F6144="NEW",IF(ISNA(VLOOKUP(E6144,#REF!,1,FALSE())),"?TYPE_IDENTIFIABLE","?REFERENTIAL"),"_")))))</f>
        <v> </v>
      </c>
      <c r="H6144" s="25" t="str">
        <f>IF(J6144&lt;&gt;1,"",IF(I6144="SBJ","CB","?"))</f>
        <v> </v>
      </c>
      <c r="I6144" s="26" t="str">
        <f>IF(OR(E6144="",E6144="!!!",F6144="NEW"),"",INDEX(B6143:B$2,-1+SUMPRODUCT(MAX(ROW(E6143:E$2)*(E6144=E6143:E$2)))))</f>
        <v> </v>
      </c>
      <c r="J6144" s="26" t="str">
        <f>IF(OR(E6144="",E6144="!!!",F6144="NEW"),"",COUNTBLANK(OFFSET(A$1,,,SUMPRODUCT(MAX(ROW(E$2:E6144)*(E6144=E$2:E6144)))))-COUNTBLANK(OFFSET(A$1,,,SUMPRODUCT(MAX(ROW(E$1:E6143)*(E2=E$1:E6143))))))</f>
        <v> </v>
      </c>
      <c r="K6144" s="26" t="str">
        <f>IF(OR(E6144="",E6144="!!!",F6144="NEW"),"",INDEX(J$1:J6143,SUMPRODUCT(MAX(ROW(E$1:E6143)*(E6144=E$1:E6143)))))</f>
        <v> </v>
      </c>
      <c r="L6144" s="27"/>
    </row>
    <row r="6145" spans="1:12">
      <c r="A6145" s="20" t="s">
        <v>2540</v>
      </c>
      <c r="B6145" s="21" t="s">
        <v>1186</v>
      </c>
      <c r="C6145" s="21" t="s">
        <v>1246</v>
      </c>
      <c r="D6145" s="21" t="s">
        <v>1188</v>
      </c>
      <c r="E6145" s="22">
        <f>IF(D6145="?OLD","!!!","")</f>
        <v/>
      </c>
      <c r="F6145" s="23" t="str">
        <f>IF(OR(E6145="",E6145="!!!"),"",IF(NOT(ISNA(VLOOKUP(E6145,E$1:E6144,1,FALSE()))),"OLD",IF(AND(E6145&lt;&gt;"",E6145&lt;&gt;"!!!"),"NEW","")))</f>
        <v> </v>
      </c>
      <c r="G6145" s="24" t="str">
        <f>IF(OR(E6145="",E6145="!!!"),"",IF(OR(J6145=0,AND(J6145=1,K6145=1),AND(J6145=1,I6145="SBJ"),AND(J6145=1,I6145=0)),"?IN_FOCUS",IF(J6145&lt;=2,"?ACTIVATED",IF(J6145&lt;&gt;"","?FAMILIAR",IF(F6145="NEW",IF(ISNA(VLOOKUP(E6145,#REF!,1,FALSE())),"?TYPE_IDENTIFIABLE","?REFERENTIAL"),"_")))))</f>
        <v> </v>
      </c>
      <c r="H6145" s="25" t="str">
        <f>IF(J6145&lt;&gt;1,"",IF(I6145="SBJ","CB","?"))</f>
        <v> </v>
      </c>
      <c r="I6145" s="26" t="str">
        <f>IF(OR(E6145="",E6145="!!!",F6145="NEW"),"",INDEX(B6144:B$2,-1+SUMPRODUCT(MAX(ROW(E6144:E$2)*(E6145=E6144:E$2)))))</f>
        <v> </v>
      </c>
      <c r="J6145" s="26" t="str">
        <f>IF(OR(E6145="",E6145="!!!",F6145="NEW"),"",COUNTBLANK(OFFSET(A$1,,,SUMPRODUCT(MAX(ROW(E$2:E6145)*(E6145=E$2:E6145)))))-COUNTBLANK(OFFSET(A$1,,,SUMPRODUCT(MAX(ROW(E$1:E6144)*(E2=E$1:E6144))))))</f>
        <v> </v>
      </c>
      <c r="K6145" s="26" t="str">
        <f>IF(OR(E6145="",E6145="!!!",F6145="NEW"),"",INDEX(J$1:J6144,SUMPRODUCT(MAX(ROW(E$1:E6144)*(E6145=E$1:E6144)))))</f>
        <v> </v>
      </c>
      <c r="L6145" s="27"/>
    </row>
    <row r="6146" spans="1:12">
      <c r="A6146" s="20" t="s">
        <v>2862</v>
      </c>
      <c r="B6146" s="21" t="s">
        <v>1186</v>
      </c>
      <c r="C6146" s="21" t="s">
        <v>1331</v>
      </c>
      <c r="E6146" s="22">
        <f>IF(D6146="?OLD","!!!","")</f>
        <v/>
      </c>
      <c r="F6146" s="23" t="str">
        <f>IF(OR(E6146="",E6146="!!!"),"",IF(NOT(ISNA(VLOOKUP(E6146,E$1:E6145,1,FALSE()))),"OLD",IF(AND(E6146&lt;&gt;"",E6146&lt;&gt;"!!!"),"NEW","")))</f>
        <v> </v>
      </c>
      <c r="G6146" s="24" t="str">
        <f>IF(OR(E6146="",E6146="!!!"),"",IF(OR(J6146=0,AND(J6146=1,K6146=1),AND(J6146=1,I6146="SBJ"),AND(J6146=1,I6146=0)),"?IN_FOCUS",IF(J6146&lt;=2,"?ACTIVATED",IF(J6146&lt;&gt;"","?FAMILIAR",IF(F6146="NEW",IF(ISNA(VLOOKUP(E6146,#REF!,1,FALSE())),"?TYPE_IDENTIFIABLE","?REFERENTIAL"),"_")))))</f>
        <v> </v>
      </c>
      <c r="H6146" s="25" t="str">
        <f>IF(J6146&lt;&gt;1,"",IF(I6146="SBJ","CB","?"))</f>
        <v> </v>
      </c>
      <c r="I6146" s="26" t="str">
        <f>IF(OR(E6146="",E6146="!!!",F6146="NEW"),"",INDEX(B6145:B$2,-1+SUMPRODUCT(MAX(ROW(E6145:E$2)*(E6146=E6145:E$2)))))</f>
        <v> </v>
      </c>
      <c r="J6146" s="26" t="str">
        <f>IF(OR(E6146="",E6146="!!!",F6146="NEW"),"",COUNTBLANK(OFFSET(A$1,,,SUMPRODUCT(MAX(ROW(E$2:E6146)*(E6146=E$2:E6146)))))-COUNTBLANK(OFFSET(A$1,,,SUMPRODUCT(MAX(ROW(E$1:E6145)*(E2=E$1:E6145))))))</f>
        <v> </v>
      </c>
      <c r="K6146" s="26" t="str">
        <f>IF(OR(E6146="",E6146="!!!",F6146="NEW"),"",INDEX(J$1:J6145,SUMPRODUCT(MAX(ROW(E$1:E6145)*(E6146=E$1:E6145)))))</f>
        <v> </v>
      </c>
      <c r="L6146" s="27"/>
    </row>
    <row r="6147" spans="1:12">
      <c r="A6147" s="20" t="s">
        <v>826</v>
      </c>
      <c r="E6147" s="22">
        <f>IF(D6147="?OLD","!!!","")</f>
        <v/>
      </c>
      <c r="F6147" s="23" t="str">
        <f>IF(OR(E6147="",E6147="!!!"),"",IF(NOT(ISNA(VLOOKUP(E6147,E$1:E6146,1,FALSE()))),"OLD",IF(AND(E6147&lt;&gt;"",E6147&lt;&gt;"!!!"),"NEW","")))</f>
        <v> </v>
      </c>
      <c r="G6147" s="24" t="str">
        <f>IF(OR(E6147="",E6147="!!!"),"",IF(OR(J6147=0,AND(J6147=1,K6147=1),AND(J6147=1,I6147="SBJ"),AND(J6147=1,I6147=0)),"?IN_FOCUS",IF(J6147&lt;=2,"?ACTIVATED",IF(J6147&lt;&gt;"","?FAMILIAR",IF(F6147="NEW",IF(ISNA(VLOOKUP(E6147,#REF!,1,FALSE())),"?TYPE_IDENTIFIABLE","?REFERENTIAL"),"_")))))</f>
        <v> </v>
      </c>
      <c r="H6147" s="25" t="str">
        <f>IF(J6147&lt;&gt;1,"",IF(I6147="SBJ","CB","?"))</f>
        <v> </v>
      </c>
      <c r="I6147" s="26" t="str">
        <f>IF(OR(E6147="",E6147="!!!",F6147="NEW"),"",INDEX(B6146:B$2,-1+SUMPRODUCT(MAX(ROW(E6146:E$2)*(E6147=E6146:E$2)))))</f>
        <v> </v>
      </c>
      <c r="J6147" s="26" t="str">
        <f>IF(OR(E6147="",E6147="!!!",F6147="NEW"),"",COUNTBLANK(OFFSET(A$1,,,SUMPRODUCT(MAX(ROW(E$2:E6147)*(E6147=E$2:E6147)))))-COUNTBLANK(OFFSET(A$1,,,SUMPRODUCT(MAX(ROW(E$1:E6146)*(E2=E$1:E6146))))))</f>
        <v> </v>
      </c>
      <c r="K6147" s="26" t="str">
        <f>IF(OR(E6147="",E6147="!!!",F6147="NEW"),"",INDEX(J$1:J6146,SUMPRODUCT(MAX(ROW(E$1:E6146)*(E6147=E$1:E6146)))))</f>
        <v> </v>
      </c>
      <c r="L6147" s="27"/>
    </row>
    <row r="6148" spans="1:12">
      <c r="A6148" s="20"/>
    </row>
    <row r="6149" spans="1:12">
      <c r="A6149" s="20" t="s">
        <v>2863</v>
      </c>
    </row>
    <row r="6150" spans="1:12">
      <c r="A6150" s="20" t="s">
        <v>1796</v>
      </c>
      <c r="B6150" s="21" t="s">
        <v>1202</v>
      </c>
      <c r="C6150" s="21" t="s">
        <v>1192</v>
      </c>
      <c r="E6150" s="22">
        <f>IF(D6150="?OLD","!!!","")</f>
        <v/>
      </c>
      <c r="F6150" s="23" t="str">
        <f>IF(OR(E6150="",E6150="!!!"),"",IF(NOT(ISNA(VLOOKUP(E6150,E$1:E6149,1,FALSE()))),"OLD",IF(AND(E6150&lt;&gt;"",E6150&lt;&gt;"!!!"),"NEW","")))</f>
        <v> </v>
      </c>
      <c r="G6150" s="24" t="str">
        <f>IF(OR(E6150="",E6150="!!!"),"",IF(OR(J6150=0,AND(J6150=1,K6150=1),AND(J6150=1,I6150="SBJ"),AND(J6150=1,I6150=0)),"?IN_FOCUS",IF(J6150&lt;=2,"?ACTIVATED",IF(J6150&lt;&gt;"","?FAMILIAR",IF(F6150="NEW",IF(ISNA(VLOOKUP(E6150,#REF!,1,FALSE())),"?TYPE_IDENTIFIABLE","?REFERENTIAL"),"_")))))</f>
        <v> </v>
      </c>
      <c r="H6150" s="25" t="str">
        <f>IF(J6150&lt;&gt;1,"",IF(I6150="SBJ","CB","?"))</f>
        <v> </v>
      </c>
      <c r="I6150" s="26" t="str">
        <f>IF(OR(E6150="",E6150="!!!",F6150="NEW"),"",INDEX(B6149:B$2,-1+SUMPRODUCT(MAX(ROW(E6149:E$2)*(E6150=E6149:E$2)))))</f>
        <v> </v>
      </c>
      <c r="J6150" s="26" t="str">
        <f>IF(OR(E6150="",E6150="!!!",F6150="NEW"),"",COUNTBLANK(OFFSET(A$1,,,SUMPRODUCT(MAX(ROW(E$2:E6150)*(E6150=E$2:E6150)))))-COUNTBLANK(OFFSET(A$1,,,SUMPRODUCT(MAX(ROW(E$1:E6149)*(E2=E$1:E6149))))))</f>
        <v> </v>
      </c>
      <c r="K6150" s="26" t="str">
        <f>IF(OR(E6150="",E6150="!!!",F6150="NEW"),"",INDEX(J$1:J6149,SUMPRODUCT(MAX(ROW(E$1:E6149)*(E6150=E$1:E6149)))))</f>
        <v> </v>
      </c>
      <c r="L6150" s="27"/>
    </row>
    <row r="6151" spans="1:12">
      <c r="A6151" s="20" t="s">
        <v>1265</v>
      </c>
      <c r="E6151" s="22">
        <f>IF(D6151="?OLD","!!!","")</f>
        <v/>
      </c>
      <c r="F6151" s="23" t="str">
        <f>IF(OR(E6151="",E6151="!!!"),"",IF(NOT(ISNA(VLOOKUP(E6151,E$1:E6150,1,FALSE()))),"OLD",IF(AND(E6151&lt;&gt;"",E6151&lt;&gt;"!!!"),"NEW","")))</f>
        <v> </v>
      </c>
      <c r="G6151" s="24" t="str">
        <f>IF(OR(E6151="",E6151="!!!"),"",IF(OR(J6151=0,AND(J6151=1,K6151=1),AND(J6151=1,I6151="SBJ"),AND(J6151=1,I6151=0)),"?IN_FOCUS",IF(J6151&lt;=2,"?ACTIVATED",IF(J6151&lt;&gt;"","?FAMILIAR",IF(F6151="NEW",IF(ISNA(VLOOKUP(E6151,#REF!,1,FALSE())),"?TYPE_IDENTIFIABLE","?REFERENTIAL"),"_")))))</f>
        <v> </v>
      </c>
      <c r="H6151" s="25" t="str">
        <f>IF(J6151&lt;&gt;1,"",IF(I6151="SBJ","CB","?"))</f>
        <v> </v>
      </c>
      <c r="I6151" s="26" t="str">
        <f>IF(OR(E6151="",E6151="!!!",F6151="NEW"),"",INDEX(B6150:B$2,-1+SUMPRODUCT(MAX(ROW(E6150:E$2)*(E6151=E6150:E$2)))))</f>
        <v> </v>
      </c>
      <c r="J6151" s="26" t="str">
        <f>IF(OR(E6151="",E6151="!!!",F6151="NEW"),"",COUNTBLANK(OFFSET(A$1,,,SUMPRODUCT(MAX(ROW(E$2:E6151)*(E6151=E$2:E6151)))))-COUNTBLANK(OFFSET(A$1,,,SUMPRODUCT(MAX(ROW(E$1:E6150)*(E2=E$1:E6150))))))</f>
        <v> </v>
      </c>
      <c r="K6151" s="26" t="str">
        <f>IF(OR(E6151="",E6151="!!!",F6151="NEW"),"",INDEX(J$1:J6150,SUMPRODUCT(MAX(ROW(E$1:E6150)*(E6151=E$1:E6150)))))</f>
        <v> </v>
      </c>
      <c r="L6151" s="27"/>
    </row>
    <row r="6152" spans="1:12">
      <c r="A6152" s="20" t="s">
        <v>2540</v>
      </c>
      <c r="B6152" s="21" t="s">
        <v>1186</v>
      </c>
      <c r="C6152" s="21" t="s">
        <v>1246</v>
      </c>
      <c r="D6152" s="21" t="s">
        <v>1188</v>
      </c>
      <c r="E6152" s="22">
        <f>IF(D6152="?OLD","!!!","")</f>
        <v/>
      </c>
      <c r="F6152" s="23" t="str">
        <f>IF(OR(E6152="",E6152="!!!"),"",IF(NOT(ISNA(VLOOKUP(E6152,E$1:E6151,1,FALSE()))),"OLD",IF(AND(E6152&lt;&gt;"",E6152&lt;&gt;"!!!"),"NEW","")))</f>
        <v> </v>
      </c>
      <c r="G6152" s="24" t="str">
        <f>IF(OR(E6152="",E6152="!!!"),"",IF(OR(J6152=0,AND(J6152=1,K6152=1),AND(J6152=1,I6152="SBJ"),AND(J6152=1,I6152=0)),"?IN_FOCUS",IF(J6152&lt;=2,"?ACTIVATED",IF(J6152&lt;&gt;"","?FAMILIAR",IF(F6152="NEW",IF(ISNA(VLOOKUP(E6152,#REF!,1,FALSE())),"?TYPE_IDENTIFIABLE","?REFERENTIAL"),"_")))))</f>
        <v> </v>
      </c>
      <c r="H6152" s="25" t="str">
        <f>IF(J6152&lt;&gt;1,"",IF(I6152="SBJ","CB","?"))</f>
        <v> </v>
      </c>
      <c r="I6152" s="26" t="str">
        <f>IF(OR(E6152="",E6152="!!!",F6152="NEW"),"",INDEX(B6151:B$2,-1+SUMPRODUCT(MAX(ROW(E6151:E$2)*(E6152=E6151:E$2)))))</f>
        <v> </v>
      </c>
      <c r="J6152" s="26" t="str">
        <f>IF(OR(E6152="",E6152="!!!",F6152="NEW"),"",COUNTBLANK(OFFSET(A$1,,,SUMPRODUCT(MAX(ROW(E$2:E6152)*(E6152=E$2:E6152)))))-COUNTBLANK(OFFSET(A$1,,,SUMPRODUCT(MAX(ROW(E$1:E6151)*(E2=E$1:E6151))))))</f>
        <v> </v>
      </c>
      <c r="K6152" s="26" t="str">
        <f>IF(OR(E6152="",E6152="!!!",F6152="NEW"),"",INDEX(J$1:J6151,SUMPRODUCT(MAX(ROW(E$1:E6151)*(E6152=E$1:E6151)))))</f>
        <v> </v>
      </c>
      <c r="L6152" s="27"/>
    </row>
    <row r="6153" spans="1:12">
      <c r="A6153" s="20" t="s">
        <v>2862</v>
      </c>
      <c r="B6153" s="21" t="s">
        <v>1186</v>
      </c>
      <c r="C6153" s="21" t="s">
        <v>1331</v>
      </c>
      <c r="E6153" s="22">
        <f>IF(D6153="?OLD","!!!","")</f>
        <v/>
      </c>
      <c r="F6153" s="23" t="str">
        <f>IF(OR(E6153="",E6153="!!!"),"",IF(NOT(ISNA(VLOOKUP(E6153,E$1:E6152,1,FALSE()))),"OLD",IF(AND(E6153&lt;&gt;"",E6153&lt;&gt;"!!!"),"NEW","")))</f>
        <v> </v>
      </c>
      <c r="G6153" s="24" t="str">
        <f>IF(OR(E6153="",E6153="!!!"),"",IF(OR(J6153=0,AND(J6153=1,K6153=1),AND(J6153=1,I6153="SBJ"),AND(J6153=1,I6153=0)),"?IN_FOCUS",IF(J6153&lt;=2,"?ACTIVATED",IF(J6153&lt;&gt;"","?FAMILIAR",IF(F6153="NEW",IF(ISNA(VLOOKUP(E6153,#REF!,1,FALSE())),"?TYPE_IDENTIFIABLE","?REFERENTIAL"),"_")))))</f>
        <v> </v>
      </c>
      <c r="H6153" s="25" t="str">
        <f>IF(J6153&lt;&gt;1,"",IF(I6153="SBJ","CB","?"))</f>
        <v> </v>
      </c>
      <c r="I6153" s="26" t="str">
        <f>IF(OR(E6153="",E6153="!!!",F6153="NEW"),"",INDEX(B6152:B$2,-1+SUMPRODUCT(MAX(ROW(E6152:E$2)*(E6153=E6152:E$2)))))</f>
        <v> </v>
      </c>
      <c r="J6153" s="26" t="str">
        <f>IF(OR(E6153="",E6153="!!!",F6153="NEW"),"",COUNTBLANK(OFFSET(A$1,,,SUMPRODUCT(MAX(ROW(E$2:E6153)*(E6153=E$2:E6153)))))-COUNTBLANK(OFFSET(A$1,,,SUMPRODUCT(MAX(ROW(E$1:E6152)*(E2=E$1:E6152))))))</f>
        <v> </v>
      </c>
      <c r="K6153" s="26" t="str">
        <f>IF(OR(E6153="",E6153="!!!",F6153="NEW"),"",INDEX(J$1:J6152,SUMPRODUCT(MAX(ROW(E$1:E6152)*(E6153=E$1:E6152)))))</f>
        <v> </v>
      </c>
      <c r="L6153" s="27"/>
    </row>
    <row r="6154" spans="1:12">
      <c r="A6154" s="20" t="s">
        <v>1193</v>
      </c>
      <c r="E6154" s="22">
        <f>IF(D6154="?OLD","!!!","")</f>
        <v/>
      </c>
      <c r="F6154" s="23" t="str">
        <f>IF(OR(E6154="",E6154="!!!"),"",IF(NOT(ISNA(VLOOKUP(E6154,E$1:E6153,1,FALSE()))),"OLD",IF(AND(E6154&lt;&gt;"",E6154&lt;&gt;"!!!"),"NEW","")))</f>
        <v> </v>
      </c>
      <c r="G6154" s="24" t="str">
        <f>IF(OR(E6154="",E6154="!!!"),"",IF(OR(J6154=0,AND(J6154=1,K6154=1),AND(J6154=1,I6154="SBJ"),AND(J6154=1,I6154=0)),"?IN_FOCUS",IF(J6154&lt;=2,"?ACTIVATED",IF(J6154&lt;&gt;"","?FAMILIAR",IF(F6154="NEW",IF(ISNA(VLOOKUP(E6154,#REF!,1,FALSE())),"?TYPE_IDENTIFIABLE","?REFERENTIAL"),"_")))))</f>
        <v> </v>
      </c>
      <c r="H6154" s="25" t="str">
        <f>IF(J6154&lt;&gt;1,"",IF(I6154="SBJ","CB","?"))</f>
        <v> </v>
      </c>
      <c r="I6154" s="26" t="str">
        <f>IF(OR(E6154="",E6154="!!!",F6154="NEW"),"",INDEX(B6153:B$2,-1+SUMPRODUCT(MAX(ROW(E6153:E$2)*(E6154=E6153:E$2)))))</f>
        <v> </v>
      </c>
      <c r="J6154" s="26" t="str">
        <f>IF(OR(E6154="",E6154="!!!",F6154="NEW"),"",COUNTBLANK(OFFSET(A$1,,,SUMPRODUCT(MAX(ROW(E$2:E6154)*(E6154=E$2:E6154)))))-COUNTBLANK(OFFSET(A$1,,,SUMPRODUCT(MAX(ROW(E$1:E6153)*(E2=E$1:E6153))))))</f>
        <v> </v>
      </c>
      <c r="K6154" s="26" t="str">
        <f>IF(OR(E6154="",E6154="!!!",F6154="NEW"),"",INDEX(J$1:J6153,SUMPRODUCT(MAX(ROW(E$1:E6153)*(E6154=E$1:E6153)))))</f>
        <v> </v>
      </c>
      <c r="L6154" s="27"/>
    </row>
    <row r="6155" spans="1:12">
      <c r="A6155" s="20" t="s">
        <v>1302</v>
      </c>
      <c r="E6155" s="22">
        <f>IF(D6155="?OLD","!!!","")</f>
        <v/>
      </c>
      <c r="F6155" s="23" t="str">
        <f>IF(OR(E6155="",E6155="!!!"),"",IF(NOT(ISNA(VLOOKUP(E6155,E$1:E6154,1,FALSE()))),"OLD",IF(AND(E6155&lt;&gt;"",E6155&lt;&gt;"!!!"),"NEW","")))</f>
        <v> </v>
      </c>
      <c r="G6155" s="24" t="str">
        <f>IF(OR(E6155="",E6155="!!!"),"",IF(OR(J6155=0,AND(J6155=1,K6155=1),AND(J6155=1,I6155="SBJ"),AND(J6155=1,I6155=0)),"?IN_FOCUS",IF(J6155&lt;=2,"?ACTIVATED",IF(J6155&lt;&gt;"","?FAMILIAR",IF(F6155="NEW",IF(ISNA(VLOOKUP(E6155,#REF!,1,FALSE())),"?TYPE_IDENTIFIABLE","?REFERENTIAL"),"_")))))</f>
        <v> </v>
      </c>
      <c r="H6155" s="25" t="str">
        <f>IF(J6155&lt;&gt;1,"",IF(I6155="SBJ","CB","?"))</f>
        <v> </v>
      </c>
      <c r="I6155" s="26" t="str">
        <f>IF(OR(E6155="",E6155="!!!",F6155="NEW"),"",INDEX(B6154:B$2,-1+SUMPRODUCT(MAX(ROW(E6154:E$2)*(E6155=E6154:E$2)))))</f>
        <v> </v>
      </c>
      <c r="J6155" s="26" t="str">
        <f>IF(OR(E6155="",E6155="!!!",F6155="NEW"),"",COUNTBLANK(OFFSET(A$1,,,SUMPRODUCT(MAX(ROW(E$2:E6155)*(E6155=E$2:E6155)))))-COUNTBLANK(OFFSET(A$1,,,SUMPRODUCT(MAX(ROW(E$1:E6154)*(E2=E$1:E6154))))))</f>
        <v> </v>
      </c>
      <c r="K6155" s="26" t="str">
        <f>IF(OR(E6155="",E6155="!!!",F6155="NEW"),"",INDEX(J$1:J6154,SUMPRODUCT(MAX(ROW(E$1:E6154)*(E6155=E$1:E6154)))))</f>
        <v> </v>
      </c>
      <c r="L6155" s="27"/>
    </row>
    <row r="6156" spans="1:12">
      <c r="A6156" s="20" t="s">
        <v>427</v>
      </c>
      <c r="B6156" s="21" t="s">
        <v>1248</v>
      </c>
      <c r="C6156" s="21" t="s">
        <v>1246</v>
      </c>
      <c r="D6156" s="21" t="s">
        <v>1188</v>
      </c>
      <c r="E6156" s="22">
        <f>IF(D6156="?OLD","!!!","")</f>
        <v/>
      </c>
      <c r="F6156" s="23" t="str">
        <f>IF(OR(E6156="",E6156="!!!"),"",IF(NOT(ISNA(VLOOKUP(E6156,E$1:E6155,1,FALSE()))),"OLD",IF(AND(E6156&lt;&gt;"",E6156&lt;&gt;"!!!"),"NEW","")))</f>
        <v> </v>
      </c>
      <c r="G6156" s="24" t="str">
        <f>IF(OR(E6156="",E6156="!!!"),"",IF(OR(J6156=0,AND(J6156=1,K6156=1),AND(J6156=1,I6156="SBJ"),AND(J6156=1,I6156=0)),"?IN_FOCUS",IF(J6156&lt;=2,"?ACTIVATED",IF(J6156&lt;&gt;"","?FAMILIAR",IF(F6156="NEW",IF(ISNA(VLOOKUP(E6156,#REF!,1,FALSE())),"?TYPE_IDENTIFIABLE","?REFERENTIAL"),"_")))))</f>
        <v> </v>
      </c>
      <c r="H6156" s="25" t="str">
        <f>IF(J6156&lt;&gt;1,"",IF(I6156="SBJ","CB","?"))</f>
        <v> </v>
      </c>
      <c r="I6156" s="26" t="str">
        <f>IF(OR(E6156="",E6156="!!!",F6156="NEW"),"",INDEX(B6155:B$2,-1+SUMPRODUCT(MAX(ROW(E6155:E$2)*(E6156=E6155:E$2)))))</f>
        <v> </v>
      </c>
      <c r="J6156" s="26" t="str">
        <f>IF(OR(E6156="",E6156="!!!",F6156="NEW"),"",COUNTBLANK(OFFSET(A$1,,,SUMPRODUCT(MAX(ROW(E$2:E6156)*(E6156=E$2:E6156)))))-COUNTBLANK(OFFSET(A$1,,,SUMPRODUCT(MAX(ROW(E$1:E6155)*(E2=E$1:E6155))))))</f>
        <v> </v>
      </c>
      <c r="K6156" s="26" t="str">
        <f>IF(OR(E6156="",E6156="!!!",F6156="NEW"),"",INDEX(J$1:J6155,SUMPRODUCT(MAX(ROW(E$1:E6155)*(E6156=E$1:E6155)))))</f>
        <v> </v>
      </c>
      <c r="L6156" s="27"/>
    </row>
    <row r="6157" spans="1:12">
      <c r="A6157" s="20" t="s">
        <v>1324</v>
      </c>
      <c r="E6157" s="22">
        <f>IF(D6157="?OLD","!!!","")</f>
        <v/>
      </c>
      <c r="F6157" s="23" t="str">
        <f>IF(OR(E6157="",E6157="!!!"),"",IF(NOT(ISNA(VLOOKUP(E6157,E$1:E6156,1,FALSE()))),"OLD",IF(AND(E6157&lt;&gt;"",E6157&lt;&gt;"!!!"),"NEW","")))</f>
        <v> </v>
      </c>
      <c r="G6157" s="24" t="str">
        <f>IF(OR(E6157="",E6157="!!!"),"",IF(OR(J6157=0,AND(J6157=1,K6157=1),AND(J6157=1,I6157="SBJ"),AND(J6157=1,I6157=0)),"?IN_FOCUS",IF(J6157&lt;=2,"?ACTIVATED",IF(J6157&lt;&gt;"","?FAMILIAR",IF(F6157="NEW",IF(ISNA(VLOOKUP(E6157,#REF!,1,FALSE())),"?TYPE_IDENTIFIABLE","?REFERENTIAL"),"_")))))</f>
        <v> </v>
      </c>
      <c r="H6157" s="25" t="str">
        <f>IF(J6157&lt;&gt;1,"",IF(I6157="SBJ","CB","?"))</f>
        <v> </v>
      </c>
      <c r="I6157" s="26" t="str">
        <f>IF(OR(E6157="",E6157="!!!",F6157="NEW"),"",INDEX(B6156:B$2,-1+SUMPRODUCT(MAX(ROW(E6156:E$2)*(E6157=E6156:E$2)))))</f>
        <v> </v>
      </c>
      <c r="J6157" s="26" t="str">
        <f>IF(OR(E6157="",E6157="!!!",F6157="NEW"),"",COUNTBLANK(OFFSET(A$1,,,SUMPRODUCT(MAX(ROW(E$2:E6157)*(E6157=E$2:E6157)))))-COUNTBLANK(OFFSET(A$1,,,SUMPRODUCT(MAX(ROW(E$1:E6156)*(E2=E$1:E6156))))))</f>
        <v> </v>
      </c>
      <c r="K6157" s="26" t="str">
        <f>IF(OR(E6157="",E6157="!!!",F6157="NEW"),"",INDEX(J$1:J6156,SUMPRODUCT(MAX(ROW(E$1:E6156)*(E6157=E$1:E6156)))))</f>
        <v> </v>
      </c>
      <c r="L6157" s="27"/>
    </row>
    <row r="6158" spans="1:12">
      <c r="A6158" s="20" t="s">
        <v>1250</v>
      </c>
      <c r="E6158" s="22">
        <f>IF(D6158="?OLD","!!!","")</f>
        <v/>
      </c>
      <c r="F6158" s="23" t="str">
        <f>IF(OR(E6158="",E6158="!!!"),"",IF(NOT(ISNA(VLOOKUP(E6158,E$1:E6157,1,FALSE()))),"OLD",IF(AND(E6158&lt;&gt;"",E6158&lt;&gt;"!!!"),"NEW","")))</f>
        <v> </v>
      </c>
      <c r="G6158" s="24" t="str">
        <f>IF(OR(E6158="",E6158="!!!"),"",IF(OR(J6158=0,AND(J6158=1,K6158=1),AND(J6158=1,I6158="SBJ"),AND(J6158=1,I6158=0)),"?IN_FOCUS",IF(J6158&lt;=2,"?ACTIVATED",IF(J6158&lt;&gt;"","?FAMILIAR",IF(F6158="NEW",IF(ISNA(VLOOKUP(E6158,#REF!,1,FALSE())),"?TYPE_IDENTIFIABLE","?REFERENTIAL"),"_")))))</f>
        <v> </v>
      </c>
      <c r="H6158" s="25" t="str">
        <f>IF(J6158&lt;&gt;1,"",IF(I6158="SBJ","CB","?"))</f>
        <v> </v>
      </c>
      <c r="I6158" s="26" t="str">
        <f>IF(OR(E6158="",E6158="!!!",F6158="NEW"),"",INDEX(B6157:B$2,-1+SUMPRODUCT(MAX(ROW(E6157:E$2)*(E6158=E6157:E$2)))))</f>
        <v> </v>
      </c>
      <c r="J6158" s="26" t="str">
        <f>IF(OR(E6158="",E6158="!!!",F6158="NEW"),"",COUNTBLANK(OFFSET(A$1,,,SUMPRODUCT(MAX(ROW(E$2:E6158)*(E6158=E$2:E6158)))))-COUNTBLANK(OFFSET(A$1,,,SUMPRODUCT(MAX(ROW(E$1:E6157)*(E2=E$1:E6157))))))</f>
        <v> </v>
      </c>
      <c r="K6158" s="26" t="str">
        <f>IF(OR(E6158="",E6158="!!!",F6158="NEW"),"",INDEX(J$1:J6157,SUMPRODUCT(MAX(ROW(E$1:E6157)*(E6158=E$1:E6157)))))</f>
        <v> </v>
      </c>
      <c r="L6158" s="27"/>
    </row>
    <row r="6159" spans="1:12">
      <c r="A6159" s="20" t="s">
        <v>2386</v>
      </c>
      <c r="B6159" s="21" t="s">
        <v>1215</v>
      </c>
      <c r="C6159" s="21" t="s">
        <v>1304</v>
      </c>
      <c r="D6159" s="21" t="s">
        <v>1188</v>
      </c>
      <c r="E6159" s="22">
        <f>IF(D6159="?OLD","!!!","")</f>
        <v/>
      </c>
      <c r="F6159" s="23" t="str">
        <f>IF(OR(E6159="",E6159="!!!"),"",IF(NOT(ISNA(VLOOKUP(E6159,E$1:E6158,1,FALSE()))),"OLD",IF(AND(E6159&lt;&gt;"",E6159&lt;&gt;"!!!"),"NEW","")))</f>
        <v> </v>
      </c>
      <c r="G6159" s="24" t="str">
        <f>IF(OR(E6159="",E6159="!!!"),"",IF(OR(J6159=0,AND(J6159=1,K6159=1),AND(J6159=1,I6159="SBJ"),AND(J6159=1,I6159=0)),"?IN_FOCUS",IF(J6159&lt;=2,"?ACTIVATED",IF(J6159&lt;&gt;"","?FAMILIAR",IF(F6159="NEW",IF(ISNA(VLOOKUP(E6159,#REF!,1,FALSE())),"?TYPE_IDENTIFIABLE","?REFERENTIAL"),"_")))))</f>
        <v> </v>
      </c>
      <c r="H6159" s="25" t="str">
        <f>IF(J6159&lt;&gt;1,"",IF(I6159="SBJ","CB","?"))</f>
        <v> </v>
      </c>
      <c r="I6159" s="26" t="str">
        <f>IF(OR(E6159="",E6159="!!!",F6159="NEW"),"",INDEX(B6158:B$2,-1+SUMPRODUCT(MAX(ROW(E6158:E$2)*(E6159=E6158:E$2)))))</f>
        <v> </v>
      </c>
      <c r="J6159" s="26" t="str">
        <f>IF(OR(E6159="",E6159="!!!",F6159="NEW"),"",COUNTBLANK(OFFSET(A$1,,,SUMPRODUCT(MAX(ROW(E$2:E6159)*(E6159=E$2:E6159)))))-COUNTBLANK(OFFSET(A$1,,,SUMPRODUCT(MAX(ROW(E$1:E6158)*(E2=E$1:E6158))))))</f>
        <v> </v>
      </c>
      <c r="K6159" s="26" t="str">
        <f>IF(OR(E6159="",E6159="!!!",F6159="NEW"),"",INDEX(J$1:J6158,SUMPRODUCT(MAX(ROW(E$1:E6158)*(E6159=E$1:E6158)))))</f>
        <v> </v>
      </c>
      <c r="L6159" s="27"/>
    </row>
    <row r="6160" spans="1:12">
      <c r="A6160" s="20" t="s">
        <v>2864</v>
      </c>
      <c r="B6160" s="21" t="s">
        <v>1199</v>
      </c>
      <c r="C6160" s="21" t="s">
        <v>1192</v>
      </c>
      <c r="E6160" s="22">
        <f>IF(D6160="?OLD","!!!","")</f>
        <v/>
      </c>
      <c r="F6160" s="23" t="str">
        <f>IF(OR(E6160="",E6160="!!!"),"",IF(NOT(ISNA(VLOOKUP(E6160,E$1:E6159,1,FALSE()))),"OLD",IF(AND(E6160&lt;&gt;"",E6160&lt;&gt;"!!!"),"NEW","")))</f>
        <v> </v>
      </c>
      <c r="G6160" s="24" t="str">
        <f>IF(OR(E6160="",E6160="!!!"),"",IF(OR(J6160=0,AND(J6160=1,K6160=1),AND(J6160=1,I6160="SBJ"),AND(J6160=1,I6160=0)),"?IN_FOCUS",IF(J6160&lt;=2,"?ACTIVATED",IF(J6160&lt;&gt;"","?FAMILIAR",IF(F6160="NEW",IF(ISNA(VLOOKUP(E6160,#REF!,1,FALSE())),"?TYPE_IDENTIFIABLE","?REFERENTIAL"),"_")))))</f>
        <v> </v>
      </c>
      <c r="H6160" s="25" t="str">
        <f>IF(J6160&lt;&gt;1,"",IF(I6160="SBJ","CB","?"))</f>
        <v> </v>
      </c>
      <c r="I6160" s="26" t="str">
        <f>IF(OR(E6160="",E6160="!!!",F6160="NEW"),"",INDEX(B6159:B$2,-1+SUMPRODUCT(MAX(ROW(E6159:E$2)*(E6160=E6159:E$2)))))</f>
        <v> </v>
      </c>
      <c r="J6160" s="26" t="str">
        <f>IF(OR(E6160="",E6160="!!!",F6160="NEW"),"",COUNTBLANK(OFFSET(A$1,,,SUMPRODUCT(MAX(ROW(E$2:E6160)*(E6160=E$2:E6160)))))-COUNTBLANK(OFFSET(A$1,,,SUMPRODUCT(MAX(ROW(E$1:E6159)*(E2=E$1:E6159))))))</f>
        <v> </v>
      </c>
      <c r="K6160" s="26" t="str">
        <f>IF(OR(E6160="",E6160="!!!",F6160="NEW"),"",INDEX(J$1:J6159,SUMPRODUCT(MAX(ROW(E$1:E6159)*(E6160=E$1:E6159)))))</f>
        <v> </v>
      </c>
      <c r="L6160" s="27"/>
    </row>
    <row r="6161" spans="1:12">
      <c r="A6161" s="20" t="s">
        <v>1232</v>
      </c>
      <c r="E6161" s="22">
        <f>IF(D6161="?OLD","!!!","")</f>
        <v/>
      </c>
      <c r="F6161" s="23" t="str">
        <f>IF(OR(E6161="",E6161="!!!"),"",IF(NOT(ISNA(VLOOKUP(E6161,E$1:E6160,1,FALSE()))),"OLD",IF(AND(E6161&lt;&gt;"",E6161&lt;&gt;"!!!"),"NEW","")))</f>
        <v> </v>
      </c>
      <c r="G6161" s="24" t="str">
        <f>IF(OR(E6161="",E6161="!!!"),"",IF(OR(J6161=0,AND(J6161=1,K6161=1),AND(J6161=1,I6161="SBJ"),AND(J6161=1,I6161=0)),"?IN_FOCUS",IF(J6161&lt;=2,"?ACTIVATED",IF(J6161&lt;&gt;"","?FAMILIAR",IF(F6161="NEW",IF(ISNA(VLOOKUP(E6161,#REF!,1,FALSE())),"?TYPE_IDENTIFIABLE","?REFERENTIAL"),"_")))))</f>
        <v> </v>
      </c>
      <c r="H6161" s="25" t="str">
        <f>IF(J6161&lt;&gt;1,"",IF(I6161="SBJ","CB","?"))</f>
        <v> </v>
      </c>
      <c r="I6161" s="26" t="str">
        <f>IF(OR(E6161="",E6161="!!!",F6161="NEW"),"",INDEX(B6160:B$2,-1+SUMPRODUCT(MAX(ROW(E6160:E$2)*(E6161=E6160:E$2)))))</f>
        <v> </v>
      </c>
      <c r="J6161" s="26" t="str">
        <f>IF(OR(E6161="",E6161="!!!",F6161="NEW"),"",COUNTBLANK(OFFSET(A$1,,,SUMPRODUCT(MAX(ROW(E$2:E6161)*(E6161=E$2:E6161)))))-COUNTBLANK(OFFSET(A$1,,,SUMPRODUCT(MAX(ROW(E$1:E6160)*(E2=E$1:E6160))))))</f>
        <v> </v>
      </c>
      <c r="K6161" s="26" t="str">
        <f>IF(OR(E6161="",E6161="!!!",F6161="NEW"),"",INDEX(J$1:J6160,SUMPRODUCT(MAX(ROW(E$1:E6160)*(E6161=E$1:E6160)))))</f>
        <v> </v>
      </c>
      <c r="L6161" s="27"/>
    </row>
    <row r="6162" spans="1:12">
      <c r="A6162" s="20" t="s">
        <v>1268</v>
      </c>
      <c r="E6162" s="22">
        <f>IF(D6162="?OLD","!!!","")</f>
        <v/>
      </c>
      <c r="F6162" s="23" t="str">
        <f>IF(OR(E6162="",E6162="!!!"),"",IF(NOT(ISNA(VLOOKUP(E6162,E$1:E6161,1,FALSE()))),"OLD",IF(AND(E6162&lt;&gt;"",E6162&lt;&gt;"!!!"),"NEW","")))</f>
        <v> </v>
      </c>
      <c r="G6162" s="24" t="str">
        <f>IF(OR(E6162="",E6162="!!!"),"",IF(OR(J6162=0,AND(J6162=1,K6162=1),AND(J6162=1,I6162="SBJ"),AND(J6162=1,I6162=0)),"?IN_FOCUS",IF(J6162&lt;=2,"?ACTIVATED",IF(J6162&lt;&gt;"","?FAMILIAR",IF(F6162="NEW",IF(ISNA(VLOOKUP(E6162,#REF!,1,FALSE())),"?TYPE_IDENTIFIABLE","?REFERENTIAL"),"_")))))</f>
        <v> </v>
      </c>
      <c r="H6162" s="25" t="str">
        <f>IF(J6162&lt;&gt;1,"",IF(I6162="SBJ","CB","?"))</f>
        <v> </v>
      </c>
      <c r="I6162" s="26" t="str">
        <f>IF(OR(E6162="",E6162="!!!",F6162="NEW"),"",INDEX(B6161:B$2,-1+SUMPRODUCT(MAX(ROW(E6161:E$2)*(E6162=E6161:E$2)))))</f>
        <v> </v>
      </c>
      <c r="J6162" s="26" t="str">
        <f>IF(OR(E6162="",E6162="!!!",F6162="NEW"),"",COUNTBLANK(OFFSET(A$1,,,SUMPRODUCT(MAX(ROW(E$2:E6162)*(E6162=E$2:E6162)))))-COUNTBLANK(OFFSET(A$1,,,SUMPRODUCT(MAX(ROW(E$1:E6161)*(E2=E$1:E6161))))))</f>
        <v> </v>
      </c>
      <c r="K6162" s="26" t="str">
        <f>IF(OR(E6162="",E6162="!!!",F6162="NEW"),"",INDEX(J$1:J6161,SUMPRODUCT(MAX(ROW(E$1:E6161)*(E6162=E$1:E6161)))))</f>
        <v> </v>
      </c>
      <c r="L6162" s="27"/>
    </row>
    <row r="6163" spans="1:12">
      <c r="A6163" s="20" t="s">
        <v>2865</v>
      </c>
      <c r="B6163" s="21" t="s">
        <v>1199</v>
      </c>
      <c r="C6163" s="21" t="s">
        <v>1196</v>
      </c>
      <c r="D6163" s="21" t="s">
        <v>1188</v>
      </c>
      <c r="E6163" s="22">
        <f>IF(D6163="?OLD","!!!","")</f>
        <v/>
      </c>
      <c r="F6163" s="23" t="str">
        <f>IF(OR(E6163="",E6163="!!!"),"",IF(NOT(ISNA(VLOOKUP(E6163,E$1:E6162,1,FALSE()))),"OLD",IF(AND(E6163&lt;&gt;"",E6163&lt;&gt;"!!!"),"NEW","")))</f>
        <v> </v>
      </c>
      <c r="G6163" s="24" t="str">
        <f>IF(OR(E6163="",E6163="!!!"),"",IF(OR(J6163=0,AND(J6163=1,K6163=1),AND(J6163=1,I6163="SBJ"),AND(J6163=1,I6163=0)),"?IN_FOCUS",IF(J6163&lt;=2,"?ACTIVATED",IF(J6163&lt;&gt;"","?FAMILIAR",IF(F6163="NEW",IF(ISNA(VLOOKUP(E6163,#REF!,1,FALSE())),"?TYPE_IDENTIFIABLE","?REFERENTIAL"),"_")))))</f>
        <v> </v>
      </c>
      <c r="H6163" s="25" t="str">
        <f>IF(J6163&lt;&gt;1,"",IF(I6163="SBJ","CB","?"))</f>
        <v> </v>
      </c>
      <c r="I6163" s="26" t="str">
        <f>IF(OR(E6163="",E6163="!!!",F6163="NEW"),"",INDEX(B6162:B$2,-1+SUMPRODUCT(MAX(ROW(E6162:E$2)*(E6163=E6162:E$2)))))</f>
        <v> </v>
      </c>
      <c r="J6163" s="26" t="str">
        <f>IF(OR(E6163="",E6163="!!!",F6163="NEW"),"",COUNTBLANK(OFFSET(A$1,,,SUMPRODUCT(MAX(ROW(E$2:E6163)*(E6163=E$2:E6163)))))-COUNTBLANK(OFFSET(A$1,,,SUMPRODUCT(MAX(ROW(E$1:E6162)*(E2=E$1:E6162))))))</f>
        <v> </v>
      </c>
      <c r="K6163" s="26" t="str">
        <f>IF(OR(E6163="",E6163="!!!",F6163="NEW"),"",INDEX(J$1:J6162,SUMPRODUCT(MAX(ROW(E$1:E6162)*(E6163=E$1:E6162)))))</f>
        <v> </v>
      </c>
      <c r="L6163" s="27"/>
    </row>
    <row r="6164" spans="1:12">
      <c r="A6164" s="20" t="s">
        <v>1321</v>
      </c>
      <c r="E6164" s="22">
        <f>IF(D6164="?OLD","!!!","")</f>
        <v/>
      </c>
      <c r="F6164" s="23" t="str">
        <f>IF(OR(E6164="",E6164="!!!"),"",IF(NOT(ISNA(VLOOKUP(E6164,E$1:E6163,1,FALSE()))),"OLD",IF(AND(E6164&lt;&gt;"",E6164&lt;&gt;"!!!"),"NEW","")))</f>
        <v> </v>
      </c>
      <c r="G6164" s="24" t="str">
        <f>IF(OR(E6164="",E6164="!!!"),"",IF(OR(J6164=0,AND(J6164=1,K6164=1),AND(J6164=1,I6164="SBJ"),AND(J6164=1,I6164=0)),"?IN_FOCUS",IF(J6164&lt;=2,"?ACTIVATED",IF(J6164&lt;&gt;"","?FAMILIAR",IF(F6164="NEW",IF(ISNA(VLOOKUP(E6164,#REF!,1,FALSE())),"?TYPE_IDENTIFIABLE","?REFERENTIAL"),"_")))))</f>
        <v> </v>
      </c>
      <c r="H6164" s="25" t="str">
        <f>IF(J6164&lt;&gt;1,"",IF(I6164="SBJ","CB","?"))</f>
        <v> </v>
      </c>
      <c r="I6164" s="26" t="str">
        <f>IF(OR(E6164="",E6164="!!!",F6164="NEW"),"",INDEX(B6163:B$2,-1+SUMPRODUCT(MAX(ROW(E6163:E$2)*(E6164=E6163:E$2)))))</f>
        <v> </v>
      </c>
      <c r="J6164" s="26" t="str">
        <f>IF(OR(E6164="",E6164="!!!",F6164="NEW"),"",COUNTBLANK(OFFSET(A$1,,,SUMPRODUCT(MAX(ROW(E$2:E6164)*(E6164=E$2:E6164)))))-COUNTBLANK(OFFSET(A$1,,,SUMPRODUCT(MAX(ROW(E$1:E6163)*(E2=E$1:E6163))))))</f>
        <v> </v>
      </c>
      <c r="K6164" s="26" t="str">
        <f>IF(OR(E6164="",E6164="!!!",F6164="NEW"),"",INDEX(J$1:J6163,SUMPRODUCT(MAX(ROW(E$1:E6163)*(E6164=E$1:E6163)))))</f>
        <v> </v>
      </c>
      <c r="L6164" s="27"/>
    </row>
    <row r="6165" spans="1:12">
      <c r="A6165" s="20" t="s">
        <v>2783</v>
      </c>
      <c r="E6165" s="22">
        <f>IF(D6165="?OLD","!!!","")</f>
        <v/>
      </c>
      <c r="F6165" s="23" t="str">
        <f>IF(OR(E6165="",E6165="!!!"),"",IF(NOT(ISNA(VLOOKUP(E6165,E$1:E6164,1,FALSE()))),"OLD",IF(AND(E6165&lt;&gt;"",E6165&lt;&gt;"!!!"),"NEW","")))</f>
        <v> </v>
      </c>
      <c r="G6165" s="24" t="str">
        <f>IF(OR(E6165="",E6165="!!!"),"",IF(OR(J6165=0,AND(J6165=1,K6165=1),AND(J6165=1,I6165="SBJ"),AND(J6165=1,I6165=0)),"?IN_FOCUS",IF(J6165&lt;=2,"?ACTIVATED",IF(J6165&lt;&gt;"","?FAMILIAR",IF(F6165="NEW",IF(ISNA(VLOOKUP(E6165,#REF!,1,FALSE())),"?TYPE_IDENTIFIABLE","?REFERENTIAL"),"_")))))</f>
        <v> </v>
      </c>
      <c r="H6165" s="25" t="str">
        <f>IF(J6165&lt;&gt;1,"",IF(I6165="SBJ","CB","?"))</f>
        <v> </v>
      </c>
      <c r="I6165" s="26" t="str">
        <f>IF(OR(E6165="",E6165="!!!",F6165="NEW"),"",INDEX(B6164:B$2,-1+SUMPRODUCT(MAX(ROW(E6164:E$2)*(E6165=E6164:E$2)))))</f>
        <v> </v>
      </c>
      <c r="J6165" s="26" t="str">
        <f>IF(OR(E6165="",E6165="!!!",F6165="NEW"),"",COUNTBLANK(OFFSET(A$1,,,SUMPRODUCT(MAX(ROW(E$2:E6165)*(E6165=E$2:E6165)))))-COUNTBLANK(OFFSET(A$1,,,SUMPRODUCT(MAX(ROW(E$1:E6164)*(E2=E$1:E6164))))))</f>
        <v> </v>
      </c>
      <c r="K6165" s="26" t="str">
        <f>IF(OR(E6165="",E6165="!!!",F6165="NEW"),"",INDEX(J$1:J6164,SUMPRODUCT(MAX(ROW(E$1:E6164)*(E6165=E$1:E6164)))))</f>
        <v> </v>
      </c>
      <c r="L6165" s="27"/>
    </row>
    <row r="6166" spans="1:12">
      <c r="A6166" s="20" t="s">
        <v>670</v>
      </c>
      <c r="E6166" s="22">
        <f>IF(D6166="?OLD","!!!","")</f>
        <v/>
      </c>
      <c r="F6166" s="23" t="str">
        <f>IF(OR(E6166="",E6166="!!!"),"",IF(NOT(ISNA(VLOOKUP(E6166,E$1:E6165,1,FALSE()))),"OLD",IF(AND(E6166&lt;&gt;"",E6166&lt;&gt;"!!!"),"NEW","")))</f>
        <v> </v>
      </c>
      <c r="G6166" s="24" t="str">
        <f>IF(OR(E6166="",E6166="!!!"),"",IF(OR(J6166=0,AND(J6166=1,K6166=1),AND(J6166=1,I6166="SBJ"),AND(J6166=1,I6166=0)),"?IN_FOCUS",IF(J6166&lt;=2,"?ACTIVATED",IF(J6166&lt;&gt;"","?FAMILIAR",IF(F6166="NEW",IF(ISNA(VLOOKUP(E6166,#REF!,1,FALSE())),"?TYPE_IDENTIFIABLE","?REFERENTIAL"),"_")))))</f>
        <v> </v>
      </c>
      <c r="H6166" s="25" t="str">
        <f>IF(J6166&lt;&gt;1,"",IF(I6166="SBJ","CB","?"))</f>
        <v> </v>
      </c>
      <c r="I6166" s="26" t="str">
        <f>IF(OR(E6166="",E6166="!!!",F6166="NEW"),"",INDEX(B6165:B$2,-1+SUMPRODUCT(MAX(ROW(E6165:E$2)*(E6166=E6165:E$2)))))</f>
        <v> </v>
      </c>
      <c r="J6166" s="26" t="str">
        <f>IF(OR(E6166="",E6166="!!!",F6166="NEW"),"",COUNTBLANK(OFFSET(A$1,,,SUMPRODUCT(MAX(ROW(E$2:E6166)*(E6166=E$2:E6166)))))-COUNTBLANK(OFFSET(A$1,,,SUMPRODUCT(MAX(ROW(E$1:E6165)*(E2=E$1:E6165))))))</f>
        <v> </v>
      </c>
      <c r="K6166" s="26" t="str">
        <f>IF(OR(E6166="",E6166="!!!",F6166="NEW"),"",INDEX(J$1:J6165,SUMPRODUCT(MAX(ROW(E$1:E6165)*(E6166=E$1:E6165)))))</f>
        <v> </v>
      </c>
      <c r="L6166" s="27"/>
    </row>
    <row r="6167" spans="1:12">
      <c r="A6167" s="20" t="s">
        <v>826</v>
      </c>
      <c r="E6167" s="22">
        <f>IF(D6167="?OLD","!!!","")</f>
        <v/>
      </c>
      <c r="F6167" s="23" t="str">
        <f>IF(OR(E6167="",E6167="!!!"),"",IF(NOT(ISNA(VLOOKUP(E6167,E$1:E6166,1,FALSE()))),"OLD",IF(AND(E6167&lt;&gt;"",E6167&lt;&gt;"!!!"),"NEW","")))</f>
        <v> </v>
      </c>
      <c r="G6167" s="24" t="str">
        <f>IF(OR(E6167="",E6167="!!!"),"",IF(OR(J6167=0,AND(J6167=1,K6167=1),AND(J6167=1,I6167="SBJ"),AND(J6167=1,I6167=0)),"?IN_FOCUS",IF(J6167&lt;=2,"?ACTIVATED",IF(J6167&lt;&gt;"","?FAMILIAR",IF(F6167="NEW",IF(ISNA(VLOOKUP(E6167,#REF!,1,FALSE())),"?TYPE_IDENTIFIABLE","?REFERENTIAL"),"_")))))</f>
        <v> </v>
      </c>
      <c r="H6167" s="25" t="str">
        <f>IF(J6167&lt;&gt;1,"",IF(I6167="SBJ","CB","?"))</f>
        <v> </v>
      </c>
      <c r="I6167" s="26" t="str">
        <f>IF(OR(E6167="",E6167="!!!",F6167="NEW"),"",INDEX(B6166:B$2,-1+SUMPRODUCT(MAX(ROW(E6166:E$2)*(E6167=E6166:E$2)))))</f>
        <v> </v>
      </c>
      <c r="J6167" s="26" t="str">
        <f>IF(OR(E6167="",E6167="!!!",F6167="NEW"),"",COUNTBLANK(OFFSET(A$1,,,SUMPRODUCT(MAX(ROW(E$2:E6167)*(E6167=E$2:E6167)))))-COUNTBLANK(OFFSET(A$1,,,SUMPRODUCT(MAX(ROW(E$1:E6166)*(E2=E$1:E6166))))))</f>
        <v> </v>
      </c>
      <c r="K6167" s="26" t="str">
        <f>IF(OR(E6167="",E6167="!!!",F6167="NEW"),"",INDEX(J$1:J6166,SUMPRODUCT(MAX(ROW(E$1:E6166)*(E6167=E$1:E6166)))))</f>
        <v> </v>
      </c>
      <c r="L6167" s="27"/>
    </row>
    <row r="6168" spans="1:12">
      <c r="A6168" s="20"/>
    </row>
    <row r="6169" spans="1:12">
      <c r="A6169" s="20" t="s">
        <v>2866</v>
      </c>
    </row>
    <row r="6170" spans="1:12">
      <c r="A6170" s="20" t="s">
        <v>1270</v>
      </c>
      <c r="B6170" s="21" t="s">
        <v>1186</v>
      </c>
      <c r="C6170" s="21" t="s">
        <v>1187</v>
      </c>
      <c r="D6170" s="21" t="s">
        <v>1188</v>
      </c>
      <c r="E6170" s="22">
        <f>IF(D6170="?OLD","!!!","")</f>
        <v/>
      </c>
      <c r="F6170" s="23" t="str">
        <f>IF(OR(E6170="",E6170="!!!"),"",IF(NOT(ISNA(VLOOKUP(E6170,E$1:E6169,1,FALSE()))),"OLD",IF(AND(E6170&lt;&gt;"",E6170&lt;&gt;"!!!"),"NEW","")))</f>
        <v> </v>
      </c>
      <c r="G6170" s="24" t="str">
        <f>IF(OR(E6170="",E6170="!!!"),"",IF(OR(J6170=0,AND(J6170=1,K6170=1),AND(J6170=1,I6170="SBJ"),AND(J6170=1,I6170=0)),"?IN_FOCUS",IF(J6170&lt;=2,"?ACTIVATED",IF(J6170&lt;&gt;"","?FAMILIAR",IF(F6170="NEW",IF(ISNA(VLOOKUP(E6170,#REF!,1,FALSE())),"?TYPE_IDENTIFIABLE","?REFERENTIAL"),"_")))))</f>
        <v> </v>
      </c>
      <c r="H6170" s="25" t="str">
        <f>IF(J6170&lt;&gt;1,"",IF(I6170="SBJ","CB","?"))</f>
        <v> </v>
      </c>
      <c r="I6170" s="26" t="str">
        <f>IF(OR(E6170="",E6170="!!!",F6170="NEW"),"",INDEX(B6169:B$2,-1+SUMPRODUCT(MAX(ROW(E6169:E$2)*(E6170=E6169:E$2)))))</f>
        <v> </v>
      </c>
      <c r="J6170" s="26" t="str">
        <f>IF(OR(E6170="",E6170="!!!",F6170="NEW"),"",COUNTBLANK(OFFSET(A$1,,,SUMPRODUCT(MAX(ROW(E$2:E6170)*(E6170=E$2:E6170)))))-COUNTBLANK(OFFSET(A$1,,,SUMPRODUCT(MAX(ROW(E$1:E6169)*(E2=E$1:E6169))))))</f>
        <v> </v>
      </c>
      <c r="K6170" s="26" t="str">
        <f>IF(OR(E6170="",E6170="!!!",F6170="NEW"),"",INDEX(J$1:J6169,SUMPRODUCT(MAX(ROW(E$1:E6169)*(E6170=E$1:E6169)))))</f>
        <v> </v>
      </c>
      <c r="L6170" s="27"/>
    </row>
    <row r="6171" spans="1:12">
      <c r="A6171" s="20" t="s">
        <v>826</v>
      </c>
      <c r="E6171" s="22">
        <f>IF(D6171="?OLD","!!!","")</f>
        <v/>
      </c>
      <c r="F6171" s="23" t="str">
        <f>IF(OR(E6171="",E6171="!!!"),"",IF(NOT(ISNA(VLOOKUP(E6171,E$1:E6170,1,FALSE()))),"OLD",IF(AND(E6171&lt;&gt;"",E6171&lt;&gt;"!!!"),"NEW","")))</f>
        <v> </v>
      </c>
      <c r="G6171" s="24" t="str">
        <f>IF(OR(E6171="",E6171="!!!"),"",IF(OR(J6171=0,AND(J6171=1,K6171=1),AND(J6171=1,I6171="SBJ"),AND(J6171=1,I6171=0)),"?IN_FOCUS",IF(J6171&lt;=2,"?ACTIVATED",IF(J6171&lt;&gt;"","?FAMILIAR",IF(F6171="NEW",IF(ISNA(VLOOKUP(E6171,#REF!,1,FALSE())),"?TYPE_IDENTIFIABLE","?REFERENTIAL"),"_")))))</f>
        <v> </v>
      </c>
      <c r="H6171" s="25" t="str">
        <f>IF(J6171&lt;&gt;1,"",IF(I6171="SBJ","CB","?"))</f>
        <v> </v>
      </c>
      <c r="I6171" s="26" t="str">
        <f>IF(OR(E6171="",E6171="!!!",F6171="NEW"),"",INDEX(B6170:B$2,-1+SUMPRODUCT(MAX(ROW(E6170:E$2)*(E6171=E6170:E$2)))))</f>
        <v> </v>
      </c>
      <c r="J6171" s="26" t="str">
        <f>IF(OR(E6171="",E6171="!!!",F6171="NEW"),"",COUNTBLANK(OFFSET(A$1,,,SUMPRODUCT(MAX(ROW(E$2:E6171)*(E6171=E$2:E6171)))))-COUNTBLANK(OFFSET(A$1,,,SUMPRODUCT(MAX(ROW(E$1:E6170)*(E2=E$1:E6170))))))</f>
        <v> </v>
      </c>
      <c r="K6171" s="26" t="str">
        <f>IF(OR(E6171="",E6171="!!!",F6171="NEW"),"",INDEX(J$1:J6170,SUMPRODUCT(MAX(ROW(E$1:E6170)*(E6171=E$1:E6170)))))</f>
        <v> </v>
      </c>
      <c r="L6171" s="27"/>
    </row>
    <row r="6172" spans="1:12">
      <c r="A6172" s="20"/>
    </row>
    <row r="6173" spans="1:12">
      <c r="A6173" s="20" t="s">
        <v>2867</v>
      </c>
    </row>
    <row r="6174" spans="1:12">
      <c r="A6174" s="20" t="s">
        <v>1201</v>
      </c>
      <c r="B6174" s="21" t="s">
        <v>1202</v>
      </c>
      <c r="C6174" s="21" t="s">
        <v>1203</v>
      </c>
      <c r="D6174" s="21" t="s">
        <v>1188</v>
      </c>
      <c r="E6174" s="22">
        <f>IF(D6174="?OLD","!!!","")</f>
        <v/>
      </c>
      <c r="F6174" s="23" t="str">
        <f>IF(OR(E6174="",E6174="!!!"),"",IF(NOT(ISNA(VLOOKUP(E6174,E$1:E6173,1,FALSE()))),"OLD",IF(AND(E6174&lt;&gt;"",E6174&lt;&gt;"!!!"),"NEW","")))</f>
        <v> </v>
      </c>
      <c r="G6174" s="24" t="str">
        <f>IF(OR(E6174="",E6174="!!!"),"",IF(OR(J6174=0,AND(J6174=1,K6174=1),AND(J6174=1,I6174="SBJ"),AND(J6174=1,I6174=0)),"?IN_FOCUS",IF(J6174&lt;=2,"?ACTIVATED",IF(J6174&lt;&gt;"","?FAMILIAR",IF(F6174="NEW",IF(ISNA(VLOOKUP(E6174,#REF!,1,FALSE())),"?TYPE_IDENTIFIABLE","?REFERENTIAL"),"_")))))</f>
        <v> </v>
      </c>
      <c r="H6174" s="25" t="str">
        <f>IF(J6174&lt;&gt;1,"",IF(I6174="SBJ","CB","?"))</f>
        <v> </v>
      </c>
      <c r="I6174" s="26" t="str">
        <f>IF(OR(E6174="",E6174="!!!",F6174="NEW"),"",INDEX(B6173:B$2,-1+SUMPRODUCT(MAX(ROW(E6173:E$2)*(E6174=E6173:E$2)))))</f>
        <v> </v>
      </c>
      <c r="J6174" s="26" t="str">
        <f>IF(OR(E6174="",E6174="!!!",F6174="NEW"),"",COUNTBLANK(OFFSET(A$1,,,SUMPRODUCT(MAX(ROW(E$2:E6174)*(E6174=E$2:E6174)))))-COUNTBLANK(OFFSET(A$1,,,SUMPRODUCT(MAX(ROW(E$1:E6173)*(E2=E$1:E6173))))))</f>
        <v> </v>
      </c>
      <c r="K6174" s="26" t="str">
        <f>IF(OR(E6174="",E6174="!!!",F6174="NEW"),"",INDEX(J$1:J6173,SUMPRODUCT(MAX(ROW(E$1:E6173)*(E6174=E$1:E6173)))))</f>
        <v> </v>
      </c>
      <c r="L6174" s="27"/>
    </row>
    <row r="6175" spans="1:12">
      <c r="A6175" s="20" t="s">
        <v>1327</v>
      </c>
      <c r="E6175" s="22">
        <f>IF(D6175="?OLD","!!!","")</f>
        <v/>
      </c>
      <c r="F6175" s="23" t="str">
        <f>IF(OR(E6175="",E6175="!!!"),"",IF(NOT(ISNA(VLOOKUP(E6175,E$1:E6174,1,FALSE()))),"OLD",IF(AND(E6175&lt;&gt;"",E6175&lt;&gt;"!!!"),"NEW","")))</f>
        <v> </v>
      </c>
      <c r="G6175" s="24" t="str">
        <f>IF(OR(E6175="",E6175="!!!"),"",IF(OR(J6175=0,AND(J6175=1,K6175=1),AND(J6175=1,I6175="SBJ"),AND(J6175=1,I6175=0)),"?IN_FOCUS",IF(J6175&lt;=2,"?ACTIVATED",IF(J6175&lt;&gt;"","?FAMILIAR",IF(F6175="NEW",IF(ISNA(VLOOKUP(E6175,#REF!,1,FALSE())),"?TYPE_IDENTIFIABLE","?REFERENTIAL"),"_")))))</f>
        <v> </v>
      </c>
      <c r="H6175" s="25" t="str">
        <f>IF(J6175&lt;&gt;1,"",IF(I6175="SBJ","CB","?"))</f>
        <v> </v>
      </c>
      <c r="I6175" s="26" t="str">
        <f>IF(OR(E6175="",E6175="!!!",F6175="NEW"),"",INDEX(B6174:B$2,-1+SUMPRODUCT(MAX(ROW(E6174:E$2)*(E6175=E6174:E$2)))))</f>
        <v> </v>
      </c>
      <c r="J6175" s="26" t="str">
        <f>IF(OR(E6175="",E6175="!!!",F6175="NEW"),"",COUNTBLANK(OFFSET(A$1,,,SUMPRODUCT(MAX(ROW(E$2:E6175)*(E6175=E$2:E6175)))))-COUNTBLANK(OFFSET(A$1,,,SUMPRODUCT(MAX(ROW(E$1:E6174)*(E2=E$1:E6174))))))</f>
        <v> </v>
      </c>
      <c r="K6175" s="26" t="str">
        <f>IF(OR(E6175="",E6175="!!!",F6175="NEW"),"",INDEX(J$1:J6174,SUMPRODUCT(MAX(ROW(E$1:E6174)*(E6175=E$1:E6174)))))</f>
        <v> </v>
      </c>
      <c r="L6175" s="27"/>
    </row>
    <row r="6176" spans="1:12">
      <c r="A6176" s="20" t="s">
        <v>1300</v>
      </c>
      <c r="E6176" s="22">
        <f>IF(D6176="?OLD","!!!","")</f>
        <v/>
      </c>
      <c r="F6176" s="23" t="str">
        <f>IF(OR(E6176="",E6176="!!!"),"",IF(NOT(ISNA(VLOOKUP(E6176,E$1:E6175,1,FALSE()))),"OLD",IF(AND(E6176&lt;&gt;"",E6176&lt;&gt;"!!!"),"NEW","")))</f>
        <v> </v>
      </c>
      <c r="G6176" s="24" t="str">
        <f>IF(OR(E6176="",E6176="!!!"),"",IF(OR(J6176=0,AND(J6176=1,K6176=1),AND(J6176=1,I6176="SBJ"),AND(J6176=1,I6176=0)),"?IN_FOCUS",IF(J6176&lt;=2,"?ACTIVATED",IF(J6176&lt;&gt;"","?FAMILIAR",IF(F6176="NEW",IF(ISNA(VLOOKUP(E6176,#REF!,1,FALSE())),"?TYPE_IDENTIFIABLE","?REFERENTIAL"),"_")))))</f>
        <v> </v>
      </c>
      <c r="H6176" s="25" t="str">
        <f>IF(J6176&lt;&gt;1,"",IF(I6176="SBJ","CB","?"))</f>
        <v> </v>
      </c>
      <c r="I6176" s="26" t="str">
        <f>IF(OR(E6176="",E6176="!!!",F6176="NEW"),"",INDEX(B6175:B$2,-1+SUMPRODUCT(MAX(ROW(E6175:E$2)*(E6176=E6175:E$2)))))</f>
        <v> </v>
      </c>
      <c r="J6176" s="26" t="str">
        <f>IF(OR(E6176="",E6176="!!!",F6176="NEW"),"",COUNTBLANK(OFFSET(A$1,,,SUMPRODUCT(MAX(ROW(E$2:E6176)*(E6176=E$2:E6176)))))-COUNTBLANK(OFFSET(A$1,,,SUMPRODUCT(MAX(ROW(E$1:E6175)*(E2=E$1:E6175))))))</f>
        <v> </v>
      </c>
      <c r="K6176" s="26" t="str">
        <f>IF(OR(E6176="",E6176="!!!",F6176="NEW"),"",INDEX(J$1:J6175,SUMPRODUCT(MAX(ROW(E$1:E6175)*(E6176=E$1:E6175)))))</f>
        <v> </v>
      </c>
      <c r="L6176" s="27"/>
    </row>
    <row r="6177" spans="1:12">
      <c r="A6177" s="20" t="s">
        <v>1321</v>
      </c>
      <c r="E6177" s="22">
        <f>IF(D6177="?OLD","!!!","")</f>
        <v/>
      </c>
      <c r="F6177" s="23" t="str">
        <f>IF(OR(E6177="",E6177="!!!"),"",IF(NOT(ISNA(VLOOKUP(E6177,E$1:E6176,1,FALSE()))),"OLD",IF(AND(E6177&lt;&gt;"",E6177&lt;&gt;"!!!"),"NEW","")))</f>
        <v> </v>
      </c>
      <c r="G6177" s="24" t="str">
        <f>IF(OR(E6177="",E6177="!!!"),"",IF(OR(J6177=0,AND(J6177=1,K6177=1),AND(J6177=1,I6177="SBJ"),AND(J6177=1,I6177=0)),"?IN_FOCUS",IF(J6177&lt;=2,"?ACTIVATED",IF(J6177&lt;&gt;"","?FAMILIAR",IF(F6177="NEW",IF(ISNA(VLOOKUP(E6177,#REF!,1,FALSE())),"?TYPE_IDENTIFIABLE","?REFERENTIAL"),"_")))))</f>
        <v> </v>
      </c>
      <c r="H6177" s="25" t="str">
        <f>IF(J6177&lt;&gt;1,"",IF(I6177="SBJ","CB","?"))</f>
        <v> </v>
      </c>
      <c r="I6177" s="26" t="str">
        <f>IF(OR(E6177="",E6177="!!!",F6177="NEW"),"",INDEX(B6176:B$2,-1+SUMPRODUCT(MAX(ROW(E6176:E$2)*(E6177=E6176:E$2)))))</f>
        <v> </v>
      </c>
      <c r="J6177" s="26" t="str">
        <f>IF(OR(E6177="",E6177="!!!",F6177="NEW"),"",COUNTBLANK(OFFSET(A$1,,,SUMPRODUCT(MAX(ROW(E$2:E6177)*(E6177=E$2:E6177)))))-COUNTBLANK(OFFSET(A$1,,,SUMPRODUCT(MAX(ROW(E$1:E6176)*(E2=E$1:E6176))))))</f>
        <v> </v>
      </c>
      <c r="K6177" s="26" t="str">
        <f>IF(OR(E6177="",E6177="!!!",F6177="NEW"),"",INDEX(J$1:J6176,SUMPRODUCT(MAX(ROW(E$1:E6176)*(E6177=E$1:E6176)))))</f>
        <v> </v>
      </c>
      <c r="L6177" s="27"/>
    </row>
    <row r="6178" spans="1:12">
      <c r="A6178" s="20" t="s">
        <v>1963</v>
      </c>
      <c r="E6178" s="22">
        <f>IF(D6178="?OLD","!!!","")</f>
        <v/>
      </c>
      <c r="F6178" s="23" t="str">
        <f>IF(OR(E6178="",E6178="!!!"),"",IF(NOT(ISNA(VLOOKUP(E6178,E$1:E6177,1,FALSE()))),"OLD",IF(AND(E6178&lt;&gt;"",E6178&lt;&gt;"!!!"),"NEW","")))</f>
        <v> </v>
      </c>
      <c r="G6178" s="24" t="str">
        <f>IF(OR(E6178="",E6178="!!!"),"",IF(OR(J6178=0,AND(J6178=1,K6178=1),AND(J6178=1,I6178="SBJ"),AND(J6178=1,I6178=0)),"?IN_FOCUS",IF(J6178&lt;=2,"?ACTIVATED",IF(J6178&lt;&gt;"","?FAMILIAR",IF(F6178="NEW",IF(ISNA(VLOOKUP(E6178,#REF!,1,FALSE())),"?TYPE_IDENTIFIABLE","?REFERENTIAL"),"_")))))</f>
        <v> </v>
      </c>
      <c r="H6178" s="25" t="str">
        <f>IF(J6178&lt;&gt;1,"",IF(I6178="SBJ","CB","?"))</f>
        <v> </v>
      </c>
      <c r="I6178" s="26" t="str">
        <f>IF(OR(E6178="",E6178="!!!",F6178="NEW"),"",INDEX(B6177:B$2,-1+SUMPRODUCT(MAX(ROW(E6177:E$2)*(E6178=E6177:E$2)))))</f>
        <v> </v>
      </c>
      <c r="J6178" s="26" t="str">
        <f>IF(OR(E6178="",E6178="!!!",F6178="NEW"),"",COUNTBLANK(OFFSET(A$1,,,SUMPRODUCT(MAX(ROW(E$2:E6178)*(E6178=E$2:E6178)))))-COUNTBLANK(OFFSET(A$1,,,SUMPRODUCT(MAX(ROW(E$1:E6177)*(E2=E$1:E6177))))))</f>
        <v> </v>
      </c>
      <c r="K6178" s="26" t="str">
        <f>IF(OR(E6178="",E6178="!!!",F6178="NEW"),"",INDEX(J$1:J6177,SUMPRODUCT(MAX(ROW(E$1:E6177)*(E6178=E$1:E6177)))))</f>
        <v> </v>
      </c>
      <c r="L6178" s="27"/>
    </row>
    <row r="6179" spans="1:12">
      <c r="A6179" s="20" t="s">
        <v>1193</v>
      </c>
      <c r="E6179" s="22">
        <f>IF(D6179="?OLD","!!!","")</f>
        <v/>
      </c>
      <c r="F6179" s="23" t="str">
        <f>IF(OR(E6179="",E6179="!!!"),"",IF(NOT(ISNA(VLOOKUP(E6179,E$1:E6178,1,FALSE()))),"OLD",IF(AND(E6179&lt;&gt;"",E6179&lt;&gt;"!!!"),"NEW","")))</f>
        <v> </v>
      </c>
      <c r="G6179" s="24" t="str">
        <f>IF(OR(E6179="",E6179="!!!"),"",IF(OR(J6179=0,AND(J6179=1,K6179=1),AND(J6179=1,I6179="SBJ"),AND(J6179=1,I6179=0)),"?IN_FOCUS",IF(J6179&lt;=2,"?ACTIVATED",IF(J6179&lt;&gt;"","?FAMILIAR",IF(F6179="NEW",IF(ISNA(VLOOKUP(E6179,#REF!,1,FALSE())),"?TYPE_IDENTIFIABLE","?REFERENTIAL"),"_")))))</f>
        <v> </v>
      </c>
      <c r="H6179" s="25" t="str">
        <f>IF(J6179&lt;&gt;1,"",IF(I6179="SBJ","CB","?"))</f>
        <v> </v>
      </c>
      <c r="I6179" s="26" t="str">
        <f>IF(OR(E6179="",E6179="!!!",F6179="NEW"),"",INDEX(B6178:B$2,-1+SUMPRODUCT(MAX(ROW(E6178:E$2)*(E6179=E6178:E$2)))))</f>
        <v> </v>
      </c>
      <c r="J6179" s="26" t="str">
        <f>IF(OR(E6179="",E6179="!!!",F6179="NEW"),"",COUNTBLANK(OFFSET(A$1,,,SUMPRODUCT(MAX(ROW(E$2:E6179)*(E6179=E$2:E6179)))))-COUNTBLANK(OFFSET(A$1,,,SUMPRODUCT(MAX(ROW(E$1:E6178)*(E2=E$1:E6178))))))</f>
        <v> </v>
      </c>
      <c r="K6179" s="26" t="str">
        <f>IF(OR(E6179="",E6179="!!!",F6179="NEW"),"",INDEX(J$1:J6178,SUMPRODUCT(MAX(ROW(E$1:E6178)*(E6179=E$1:E6178)))))</f>
        <v> </v>
      </c>
      <c r="L6179" s="27"/>
    </row>
    <row r="6180" spans="1:12">
      <c r="A6180" s="20" t="s">
        <v>1309</v>
      </c>
      <c r="E6180" s="22">
        <f>IF(D6180="?OLD","!!!","")</f>
        <v/>
      </c>
      <c r="F6180" s="23" t="str">
        <f>IF(OR(E6180="",E6180="!!!"),"",IF(NOT(ISNA(VLOOKUP(E6180,E$1:E6179,1,FALSE()))),"OLD",IF(AND(E6180&lt;&gt;"",E6180&lt;&gt;"!!!"),"NEW","")))</f>
        <v> </v>
      </c>
      <c r="G6180" s="24" t="str">
        <f>IF(OR(E6180="",E6180="!!!"),"",IF(OR(J6180=0,AND(J6180=1,K6180=1),AND(J6180=1,I6180="SBJ"),AND(J6180=1,I6180=0)),"?IN_FOCUS",IF(J6180&lt;=2,"?ACTIVATED",IF(J6180&lt;&gt;"","?FAMILIAR",IF(F6180="NEW",IF(ISNA(VLOOKUP(E6180,#REF!,1,FALSE())),"?TYPE_IDENTIFIABLE","?REFERENTIAL"),"_")))))</f>
        <v> </v>
      </c>
      <c r="H6180" s="25" t="str">
        <f>IF(J6180&lt;&gt;1,"",IF(I6180="SBJ","CB","?"))</f>
        <v> </v>
      </c>
      <c r="I6180" s="26" t="str">
        <f>IF(OR(E6180="",E6180="!!!",F6180="NEW"),"",INDEX(B6179:B$2,-1+SUMPRODUCT(MAX(ROW(E6179:E$2)*(E6180=E6179:E$2)))))</f>
        <v> </v>
      </c>
      <c r="J6180" s="26" t="str">
        <f>IF(OR(E6180="",E6180="!!!",F6180="NEW"),"",COUNTBLANK(OFFSET(A$1,,,SUMPRODUCT(MAX(ROW(E$2:E6180)*(E6180=E$2:E6180)))))-COUNTBLANK(OFFSET(A$1,,,SUMPRODUCT(MAX(ROW(E$1:E6179)*(E2=E$1:E6179))))))</f>
        <v> </v>
      </c>
      <c r="K6180" s="26" t="str">
        <f>IF(OR(E6180="",E6180="!!!",F6180="NEW"),"",INDEX(J$1:J6179,SUMPRODUCT(MAX(ROW(E$1:E6179)*(E6180=E$1:E6179)))))</f>
        <v> </v>
      </c>
      <c r="L6180" s="27"/>
    </row>
    <row r="6181" spans="1:12">
      <c r="A6181" s="20" t="s">
        <v>1310</v>
      </c>
      <c r="B6181" s="21" t="s">
        <v>1296</v>
      </c>
      <c r="C6181" s="21" t="s">
        <v>1262</v>
      </c>
      <c r="E6181" s="22">
        <f>IF(D6181="?OLD","!!!","")</f>
        <v/>
      </c>
      <c r="F6181" s="23" t="str">
        <f>IF(OR(E6181="",E6181="!!!"),"",IF(NOT(ISNA(VLOOKUP(E6181,E$1:E6180,1,FALSE()))),"OLD",IF(AND(E6181&lt;&gt;"",E6181&lt;&gt;"!!!"),"NEW","")))</f>
        <v> </v>
      </c>
      <c r="G6181" s="24" t="str">
        <f>IF(OR(E6181="",E6181="!!!"),"",IF(OR(J6181=0,AND(J6181=1,K6181=1),AND(J6181=1,I6181="SBJ"),AND(J6181=1,I6181=0)),"?IN_FOCUS",IF(J6181&lt;=2,"?ACTIVATED",IF(J6181&lt;&gt;"","?FAMILIAR",IF(F6181="NEW",IF(ISNA(VLOOKUP(E6181,#REF!,1,FALSE())),"?TYPE_IDENTIFIABLE","?REFERENTIAL"),"_")))))</f>
        <v> </v>
      </c>
      <c r="H6181" s="25" t="str">
        <f>IF(J6181&lt;&gt;1,"",IF(I6181="SBJ","CB","?"))</f>
        <v> </v>
      </c>
      <c r="I6181" s="26" t="str">
        <f>IF(OR(E6181="",E6181="!!!",F6181="NEW"),"",INDEX(B6180:B$2,-1+SUMPRODUCT(MAX(ROW(E6180:E$2)*(E6181=E6180:E$2)))))</f>
        <v> </v>
      </c>
      <c r="J6181" s="26" t="str">
        <f>IF(OR(E6181="",E6181="!!!",F6181="NEW"),"",COUNTBLANK(OFFSET(A$1,,,SUMPRODUCT(MAX(ROW(E$2:E6181)*(E6181=E$2:E6181)))))-COUNTBLANK(OFFSET(A$1,,,SUMPRODUCT(MAX(ROW(E$1:E6180)*(E2=E$1:E6180))))))</f>
        <v> </v>
      </c>
      <c r="K6181" s="26" t="str">
        <f>IF(OR(E6181="",E6181="!!!",F6181="NEW"),"",INDEX(J$1:J6180,SUMPRODUCT(MAX(ROW(E$1:E6180)*(E6181=E$1:E6180)))))</f>
        <v> </v>
      </c>
      <c r="L6181" s="27"/>
    </row>
    <row r="6182" spans="1:12">
      <c r="A6182" s="20" t="s">
        <v>1228</v>
      </c>
      <c r="E6182" s="22">
        <f>IF(D6182="?OLD","!!!","")</f>
        <v/>
      </c>
      <c r="F6182" s="23" t="str">
        <f>IF(OR(E6182="",E6182="!!!"),"",IF(NOT(ISNA(VLOOKUP(E6182,E$1:E6181,1,FALSE()))),"OLD",IF(AND(E6182&lt;&gt;"",E6182&lt;&gt;"!!!"),"NEW","")))</f>
        <v> </v>
      </c>
      <c r="G6182" s="24" t="str">
        <f>IF(OR(E6182="",E6182="!!!"),"",IF(OR(J6182=0,AND(J6182=1,K6182=1),AND(J6182=1,I6182="SBJ"),AND(J6182=1,I6182=0)),"?IN_FOCUS",IF(J6182&lt;=2,"?ACTIVATED",IF(J6182&lt;&gt;"","?FAMILIAR",IF(F6182="NEW",IF(ISNA(VLOOKUP(E6182,#REF!,1,FALSE())),"?TYPE_IDENTIFIABLE","?REFERENTIAL"),"_")))))</f>
        <v> </v>
      </c>
      <c r="H6182" s="25" t="str">
        <f>IF(J6182&lt;&gt;1,"",IF(I6182="SBJ","CB","?"))</f>
        <v> </v>
      </c>
      <c r="I6182" s="26" t="str">
        <f>IF(OR(E6182="",E6182="!!!",F6182="NEW"),"",INDEX(B6181:B$2,-1+SUMPRODUCT(MAX(ROW(E6181:E$2)*(E6182=E6181:E$2)))))</f>
        <v> </v>
      </c>
      <c r="J6182" s="26" t="str">
        <f>IF(OR(E6182="",E6182="!!!",F6182="NEW"),"",COUNTBLANK(OFFSET(A$1,,,SUMPRODUCT(MAX(ROW(E$2:E6182)*(E6182=E$2:E6182)))))-COUNTBLANK(OFFSET(A$1,,,SUMPRODUCT(MAX(ROW(E$1:E6181)*(E2=E$1:E6181))))))</f>
        <v> </v>
      </c>
      <c r="K6182" s="26" t="str">
        <f>IF(OR(E6182="",E6182="!!!",F6182="NEW"),"",INDEX(J$1:J6181,SUMPRODUCT(MAX(ROW(E$1:E6181)*(E6182=E$1:E6181)))))</f>
        <v> </v>
      </c>
      <c r="L6182" s="27"/>
    </row>
    <row r="6183" spans="1:12">
      <c r="A6183" s="20" t="s">
        <v>1247</v>
      </c>
      <c r="B6183" s="21" t="s">
        <v>1347</v>
      </c>
      <c r="C6183" s="21" t="s">
        <v>1231</v>
      </c>
      <c r="E6183" s="22">
        <f>IF(D6183="?OLD","!!!","")</f>
        <v/>
      </c>
      <c r="F6183" s="23" t="str">
        <f>IF(OR(E6183="",E6183="!!!"),"",IF(NOT(ISNA(VLOOKUP(E6183,E$1:E6182,1,FALSE()))),"OLD",IF(AND(E6183&lt;&gt;"",E6183&lt;&gt;"!!!"),"NEW","")))</f>
        <v> </v>
      </c>
      <c r="G6183" s="24" t="str">
        <f>IF(OR(E6183="",E6183="!!!"),"",IF(OR(J6183=0,AND(J6183=1,K6183=1),AND(J6183=1,I6183="SBJ"),AND(J6183=1,I6183=0)),"?IN_FOCUS",IF(J6183&lt;=2,"?ACTIVATED",IF(J6183&lt;&gt;"","?FAMILIAR",IF(F6183="NEW",IF(ISNA(VLOOKUP(E6183,#REF!,1,FALSE())),"?TYPE_IDENTIFIABLE","?REFERENTIAL"),"_")))))</f>
        <v> </v>
      </c>
      <c r="H6183" s="25" t="str">
        <f>IF(J6183&lt;&gt;1,"",IF(I6183="SBJ","CB","?"))</f>
        <v> </v>
      </c>
      <c r="I6183" s="26" t="str">
        <f>IF(OR(E6183="",E6183="!!!",F6183="NEW"),"",INDEX(B6182:B$2,-1+SUMPRODUCT(MAX(ROW(E6182:E$2)*(E6183=E6182:E$2)))))</f>
        <v> </v>
      </c>
      <c r="J6183" s="26" t="str">
        <f>IF(OR(E6183="",E6183="!!!",F6183="NEW"),"",COUNTBLANK(OFFSET(A$1,,,SUMPRODUCT(MAX(ROW(E$2:E6183)*(E6183=E$2:E6183)))))-COUNTBLANK(OFFSET(A$1,,,SUMPRODUCT(MAX(ROW(E$1:E6182)*(E2=E$1:E6182))))))</f>
        <v> </v>
      </c>
      <c r="K6183" s="26" t="str">
        <f>IF(OR(E6183="",E6183="!!!",F6183="NEW"),"",INDEX(J$1:J6182,SUMPRODUCT(MAX(ROW(E$1:E6182)*(E6183=E$1:E6182)))))</f>
        <v> </v>
      </c>
      <c r="L6183" s="27"/>
    </row>
    <row r="6184" spans="1:12">
      <c r="A6184" s="20" t="s">
        <v>1194</v>
      </c>
      <c r="E6184" s="22">
        <f>IF(D6184="?OLD","!!!","")</f>
        <v/>
      </c>
      <c r="F6184" s="23" t="str">
        <f>IF(OR(E6184="",E6184="!!!"),"",IF(NOT(ISNA(VLOOKUP(E6184,E$1:E6183,1,FALSE()))),"OLD",IF(AND(E6184&lt;&gt;"",E6184&lt;&gt;"!!!"),"NEW","")))</f>
        <v> </v>
      </c>
      <c r="G6184" s="24" t="str">
        <f>IF(OR(E6184="",E6184="!!!"),"",IF(OR(J6184=0,AND(J6184=1,K6184=1),AND(J6184=1,I6184="SBJ"),AND(J6184=1,I6184=0)),"?IN_FOCUS",IF(J6184&lt;=2,"?ACTIVATED",IF(J6184&lt;&gt;"","?FAMILIAR",IF(F6184="NEW",IF(ISNA(VLOOKUP(E6184,#REF!,1,FALSE())),"?TYPE_IDENTIFIABLE","?REFERENTIAL"),"_")))))</f>
        <v> </v>
      </c>
      <c r="H6184" s="25" t="str">
        <f>IF(J6184&lt;&gt;1,"",IF(I6184="SBJ","CB","?"))</f>
        <v> </v>
      </c>
      <c r="I6184" s="26" t="str">
        <f>IF(OR(E6184="",E6184="!!!",F6184="NEW"),"",INDEX(B6183:B$2,-1+SUMPRODUCT(MAX(ROW(E6183:E$2)*(E6184=E6183:E$2)))))</f>
        <v> </v>
      </c>
      <c r="J6184" s="26" t="str">
        <f>IF(OR(E6184="",E6184="!!!",F6184="NEW"),"",COUNTBLANK(OFFSET(A$1,,,SUMPRODUCT(MAX(ROW(E$2:E6184)*(E6184=E$2:E6184)))))-COUNTBLANK(OFFSET(A$1,,,SUMPRODUCT(MAX(ROW(E$1:E6183)*(E2=E$1:E6183))))))</f>
        <v> </v>
      </c>
      <c r="K6184" s="26" t="str">
        <f>IF(OR(E6184="",E6184="!!!",F6184="NEW"),"",INDEX(J$1:J6183,SUMPRODUCT(MAX(ROW(E$1:E6183)*(E6184=E$1:E6183)))))</f>
        <v> </v>
      </c>
      <c r="L6184" s="27"/>
    </row>
    <row r="6185" spans="1:12">
      <c r="A6185" s="20" t="s">
        <v>2098</v>
      </c>
      <c r="B6185" s="21" t="s">
        <v>1347</v>
      </c>
      <c r="C6185" s="21" t="s">
        <v>1196</v>
      </c>
      <c r="D6185" s="21" t="s">
        <v>1188</v>
      </c>
      <c r="E6185" s="22">
        <f>IF(D6185="?OLD","!!!","")</f>
        <v/>
      </c>
      <c r="F6185" s="23" t="str">
        <f>IF(OR(E6185="",E6185="!!!"),"",IF(NOT(ISNA(VLOOKUP(E6185,E$1:E6184,1,FALSE()))),"OLD",IF(AND(E6185&lt;&gt;"",E6185&lt;&gt;"!!!"),"NEW","")))</f>
        <v> </v>
      </c>
      <c r="G6185" s="24" t="str">
        <f>IF(OR(E6185="",E6185="!!!"),"",IF(OR(J6185=0,AND(J6185=1,K6185=1),AND(J6185=1,I6185="SBJ"),AND(J6185=1,I6185=0)),"?IN_FOCUS",IF(J6185&lt;=2,"?ACTIVATED",IF(J6185&lt;&gt;"","?FAMILIAR",IF(F6185="NEW",IF(ISNA(VLOOKUP(E6185,#REF!,1,FALSE())),"?TYPE_IDENTIFIABLE","?REFERENTIAL"),"_")))))</f>
        <v> </v>
      </c>
      <c r="H6185" s="25" t="str">
        <f>IF(J6185&lt;&gt;1,"",IF(I6185="SBJ","CB","?"))</f>
        <v> </v>
      </c>
      <c r="I6185" s="26" t="str">
        <f>IF(OR(E6185="",E6185="!!!",F6185="NEW"),"",INDEX(B6184:B$2,-1+SUMPRODUCT(MAX(ROW(E6184:E$2)*(E6185=E6184:E$2)))))</f>
        <v> </v>
      </c>
      <c r="J6185" s="26" t="str">
        <f>IF(OR(E6185="",E6185="!!!",F6185="NEW"),"",COUNTBLANK(OFFSET(A$1,,,SUMPRODUCT(MAX(ROW(E$2:E6185)*(E6185=E$2:E6185)))))-COUNTBLANK(OFFSET(A$1,,,SUMPRODUCT(MAX(ROW(E$1:E6184)*(E2=E$1:E6184))))))</f>
        <v> </v>
      </c>
      <c r="K6185" s="26" t="str">
        <f>IF(OR(E6185="",E6185="!!!",F6185="NEW"),"",INDEX(J$1:J6184,SUMPRODUCT(MAX(ROW(E$1:E6184)*(E6185=E$1:E6184)))))</f>
        <v> </v>
      </c>
      <c r="L6185" s="27"/>
    </row>
    <row r="6186" spans="1:12">
      <c r="A6186" s="20" t="s">
        <v>2868</v>
      </c>
      <c r="E6186" s="22">
        <f>IF(D6186="?OLD","!!!","")</f>
        <v/>
      </c>
      <c r="F6186" s="23" t="str">
        <f>IF(OR(E6186="",E6186="!!!"),"",IF(NOT(ISNA(VLOOKUP(E6186,E$1:E6185,1,FALSE()))),"OLD",IF(AND(E6186&lt;&gt;"",E6186&lt;&gt;"!!!"),"NEW","")))</f>
        <v> </v>
      </c>
      <c r="G6186" s="24" t="str">
        <f>IF(OR(E6186="",E6186="!!!"),"",IF(OR(J6186=0,AND(J6186=1,K6186=1),AND(J6186=1,I6186="SBJ"),AND(J6186=1,I6186=0)),"?IN_FOCUS",IF(J6186&lt;=2,"?ACTIVATED",IF(J6186&lt;&gt;"","?FAMILIAR",IF(F6186="NEW",IF(ISNA(VLOOKUP(E6186,#REF!,1,FALSE())),"?TYPE_IDENTIFIABLE","?REFERENTIAL"),"_")))))</f>
        <v> </v>
      </c>
      <c r="H6186" s="25" t="str">
        <f>IF(J6186&lt;&gt;1,"",IF(I6186="SBJ","CB","?"))</f>
        <v> </v>
      </c>
      <c r="I6186" s="26" t="str">
        <f>IF(OR(E6186="",E6186="!!!",F6186="NEW"),"",INDEX(B6185:B$2,-1+SUMPRODUCT(MAX(ROW(E6185:E$2)*(E6186=E6185:E$2)))))</f>
        <v> </v>
      </c>
      <c r="J6186" s="26" t="str">
        <f>IF(OR(E6186="",E6186="!!!",F6186="NEW"),"",COUNTBLANK(OFFSET(A$1,,,SUMPRODUCT(MAX(ROW(E$2:E6186)*(E6186=E$2:E6186)))))-COUNTBLANK(OFFSET(A$1,,,SUMPRODUCT(MAX(ROW(E$1:E6185)*(E2=E$1:E6185))))))</f>
        <v> </v>
      </c>
      <c r="K6186" s="26" t="str">
        <f>IF(OR(E6186="",E6186="!!!",F6186="NEW"),"",INDEX(J$1:J6185,SUMPRODUCT(MAX(ROW(E$1:E6185)*(E6186=E$1:E6185)))))</f>
        <v> </v>
      </c>
      <c r="L6186" s="27"/>
    </row>
    <row r="6187" spans="1:12">
      <c r="A6187" s="20" t="s">
        <v>1193</v>
      </c>
      <c r="E6187" s="22">
        <f>IF(D6187="?OLD","!!!","")</f>
        <v/>
      </c>
      <c r="F6187" s="23" t="str">
        <f>IF(OR(E6187="",E6187="!!!"),"",IF(NOT(ISNA(VLOOKUP(E6187,E$1:E6186,1,FALSE()))),"OLD",IF(AND(E6187&lt;&gt;"",E6187&lt;&gt;"!!!"),"NEW","")))</f>
        <v> </v>
      </c>
      <c r="G6187" s="24" t="str">
        <f>IF(OR(E6187="",E6187="!!!"),"",IF(OR(J6187=0,AND(J6187=1,K6187=1),AND(J6187=1,I6187="SBJ"),AND(J6187=1,I6187=0)),"?IN_FOCUS",IF(J6187&lt;=2,"?ACTIVATED",IF(J6187&lt;&gt;"","?FAMILIAR",IF(F6187="NEW",IF(ISNA(VLOOKUP(E6187,#REF!,1,FALSE())),"?TYPE_IDENTIFIABLE","?REFERENTIAL"),"_")))))</f>
        <v> </v>
      </c>
      <c r="H6187" s="25" t="str">
        <f>IF(J6187&lt;&gt;1,"",IF(I6187="SBJ","CB","?"))</f>
        <v> </v>
      </c>
      <c r="I6187" s="26" t="str">
        <f>IF(OR(E6187="",E6187="!!!",F6187="NEW"),"",INDEX(B6186:B$2,-1+SUMPRODUCT(MAX(ROW(E6186:E$2)*(E6187=E6186:E$2)))))</f>
        <v> </v>
      </c>
      <c r="J6187" s="26" t="str">
        <f>IF(OR(E6187="",E6187="!!!",F6187="NEW"),"",COUNTBLANK(OFFSET(A$1,,,SUMPRODUCT(MAX(ROW(E$2:E6187)*(E6187=E$2:E6187)))))-COUNTBLANK(OFFSET(A$1,,,SUMPRODUCT(MAX(ROW(E$1:E6186)*(E2=E$1:E6186))))))</f>
        <v> </v>
      </c>
      <c r="K6187" s="26" t="str">
        <f>IF(OR(E6187="",E6187="!!!",F6187="NEW"),"",INDEX(J$1:J6186,SUMPRODUCT(MAX(ROW(E$1:E6186)*(E6187=E$1:E6186)))))</f>
        <v> </v>
      </c>
      <c r="L6187" s="27"/>
    </row>
    <row r="6188" spans="1:12">
      <c r="A6188" s="20" t="s">
        <v>1478</v>
      </c>
      <c r="E6188" s="22">
        <f>IF(D6188="?OLD","!!!","")</f>
        <v/>
      </c>
      <c r="F6188" s="23" t="str">
        <f>IF(OR(E6188="",E6188="!!!"),"",IF(NOT(ISNA(VLOOKUP(E6188,E$1:E6187,1,FALSE()))),"OLD",IF(AND(E6188&lt;&gt;"",E6188&lt;&gt;"!!!"),"NEW","")))</f>
        <v> </v>
      </c>
      <c r="G6188" s="24" t="str">
        <f>IF(OR(E6188="",E6188="!!!"),"",IF(OR(J6188=0,AND(J6188=1,K6188=1),AND(J6188=1,I6188="SBJ"),AND(J6188=1,I6188=0)),"?IN_FOCUS",IF(J6188&lt;=2,"?ACTIVATED",IF(J6188&lt;&gt;"","?FAMILIAR",IF(F6188="NEW",IF(ISNA(VLOOKUP(E6188,#REF!,1,FALSE())),"?TYPE_IDENTIFIABLE","?REFERENTIAL"),"_")))))</f>
        <v> </v>
      </c>
      <c r="H6188" s="25" t="str">
        <f>IF(J6188&lt;&gt;1,"",IF(I6188="SBJ","CB","?"))</f>
        <v> </v>
      </c>
      <c r="I6188" s="26" t="str">
        <f>IF(OR(E6188="",E6188="!!!",F6188="NEW"),"",INDEX(B6187:B$2,-1+SUMPRODUCT(MAX(ROW(E6187:E$2)*(E6188=E6187:E$2)))))</f>
        <v> </v>
      </c>
      <c r="J6188" s="26" t="str">
        <f>IF(OR(E6188="",E6188="!!!",F6188="NEW"),"",COUNTBLANK(OFFSET(A$1,,,SUMPRODUCT(MAX(ROW(E$2:E6188)*(E6188=E$2:E6188)))))-COUNTBLANK(OFFSET(A$1,,,SUMPRODUCT(MAX(ROW(E$1:E6187)*(E2=E$1:E6187))))))</f>
        <v> </v>
      </c>
      <c r="K6188" s="26" t="str">
        <f>IF(OR(E6188="",E6188="!!!",F6188="NEW"),"",INDEX(J$1:J6187,SUMPRODUCT(MAX(ROW(E$1:E6187)*(E6188=E$1:E6187)))))</f>
        <v> </v>
      </c>
      <c r="L6188" s="27"/>
    </row>
    <row r="6189" spans="1:12">
      <c r="A6189" s="20" t="s">
        <v>1271</v>
      </c>
      <c r="B6189" s="21" t="s">
        <v>1296</v>
      </c>
      <c r="C6189" s="21" t="s">
        <v>1203</v>
      </c>
      <c r="D6189" s="21" t="s">
        <v>1188</v>
      </c>
      <c r="E6189" s="22">
        <f>IF(D6189="?OLD","!!!","")</f>
        <v/>
      </c>
      <c r="F6189" s="23" t="str">
        <f>IF(OR(E6189="",E6189="!!!"),"",IF(NOT(ISNA(VLOOKUP(E6189,E$1:E6188,1,FALSE()))),"OLD",IF(AND(E6189&lt;&gt;"",E6189&lt;&gt;"!!!"),"NEW","")))</f>
        <v> </v>
      </c>
      <c r="G6189" s="24" t="str">
        <f>IF(OR(E6189="",E6189="!!!"),"",IF(OR(J6189=0,AND(J6189=1,K6189=1),AND(J6189=1,I6189="SBJ"),AND(J6189=1,I6189=0)),"?IN_FOCUS",IF(J6189&lt;=2,"?ACTIVATED",IF(J6189&lt;&gt;"","?FAMILIAR",IF(F6189="NEW",IF(ISNA(VLOOKUP(E6189,#REF!,1,FALSE())),"?TYPE_IDENTIFIABLE","?REFERENTIAL"),"_")))))</f>
        <v> </v>
      </c>
      <c r="H6189" s="25" t="str">
        <f>IF(J6189&lt;&gt;1,"",IF(I6189="SBJ","CB","?"))</f>
        <v> </v>
      </c>
      <c r="I6189" s="26" t="str">
        <f>IF(OR(E6189="",E6189="!!!",F6189="NEW"),"",INDEX(B6188:B$2,-1+SUMPRODUCT(MAX(ROW(E6188:E$2)*(E6189=E6188:E$2)))))</f>
        <v> </v>
      </c>
      <c r="J6189" s="26" t="str">
        <f>IF(OR(E6189="",E6189="!!!",F6189="NEW"),"",COUNTBLANK(OFFSET(A$1,,,SUMPRODUCT(MAX(ROW(E$2:E6189)*(E6189=E$2:E6189)))))-COUNTBLANK(OFFSET(A$1,,,SUMPRODUCT(MAX(ROW(E$1:E6188)*(E2=E$1:E6188))))))</f>
        <v> </v>
      </c>
      <c r="K6189" s="26" t="str">
        <f>IF(OR(E6189="",E6189="!!!",F6189="NEW"),"",INDEX(J$1:J6188,SUMPRODUCT(MAX(ROW(E$1:E6188)*(E6189=E$1:E6188)))))</f>
        <v> </v>
      </c>
      <c r="L6189" s="27"/>
    </row>
    <row r="6190" spans="1:12">
      <c r="A6190" s="20" t="s">
        <v>2869</v>
      </c>
      <c r="E6190" s="22">
        <f>IF(D6190="?OLD","!!!","")</f>
        <v/>
      </c>
      <c r="F6190" s="23" t="str">
        <f>IF(OR(E6190="",E6190="!!!"),"",IF(NOT(ISNA(VLOOKUP(E6190,E$1:E6189,1,FALSE()))),"OLD",IF(AND(E6190&lt;&gt;"",E6190&lt;&gt;"!!!"),"NEW","")))</f>
        <v> </v>
      </c>
      <c r="G6190" s="24" t="str">
        <f>IF(OR(E6190="",E6190="!!!"),"",IF(OR(J6190=0,AND(J6190=1,K6190=1),AND(J6190=1,I6190="SBJ"),AND(J6190=1,I6190=0)),"?IN_FOCUS",IF(J6190&lt;=2,"?ACTIVATED",IF(J6190&lt;&gt;"","?FAMILIAR",IF(F6190="NEW",IF(ISNA(VLOOKUP(E6190,#REF!,1,FALSE())),"?TYPE_IDENTIFIABLE","?REFERENTIAL"),"_")))))</f>
        <v> </v>
      </c>
      <c r="H6190" s="25" t="str">
        <f>IF(J6190&lt;&gt;1,"",IF(I6190="SBJ","CB","?"))</f>
        <v> </v>
      </c>
      <c r="I6190" s="26" t="str">
        <f>IF(OR(E6190="",E6190="!!!",F6190="NEW"),"",INDEX(B6189:B$2,-1+SUMPRODUCT(MAX(ROW(E6189:E$2)*(E6190=E6189:E$2)))))</f>
        <v> </v>
      </c>
      <c r="J6190" s="26" t="str">
        <f>IF(OR(E6190="",E6190="!!!",F6190="NEW"),"",COUNTBLANK(OFFSET(A$1,,,SUMPRODUCT(MAX(ROW(E$2:E6190)*(E6190=E$2:E6190)))))-COUNTBLANK(OFFSET(A$1,,,SUMPRODUCT(MAX(ROW(E$1:E6189)*(E2=E$1:E6189))))))</f>
        <v> </v>
      </c>
      <c r="K6190" s="26" t="str">
        <f>IF(OR(E6190="",E6190="!!!",F6190="NEW"),"",INDEX(J$1:J6189,SUMPRODUCT(MAX(ROW(E$1:E6189)*(E6190=E$1:E6189)))))</f>
        <v> </v>
      </c>
      <c r="L6190" s="27"/>
    </row>
    <row r="6191" spans="1:12">
      <c r="A6191" s="20" t="s">
        <v>1193</v>
      </c>
      <c r="E6191" s="22">
        <f>IF(D6191="?OLD","!!!","")</f>
        <v/>
      </c>
      <c r="F6191" s="23" t="str">
        <f>IF(OR(E6191="",E6191="!!!"),"",IF(NOT(ISNA(VLOOKUP(E6191,E$1:E6190,1,FALSE()))),"OLD",IF(AND(E6191&lt;&gt;"",E6191&lt;&gt;"!!!"),"NEW","")))</f>
        <v> </v>
      </c>
      <c r="G6191" s="24" t="str">
        <f>IF(OR(E6191="",E6191="!!!"),"",IF(OR(J6191=0,AND(J6191=1,K6191=1),AND(J6191=1,I6191="SBJ"),AND(J6191=1,I6191=0)),"?IN_FOCUS",IF(J6191&lt;=2,"?ACTIVATED",IF(J6191&lt;&gt;"","?FAMILIAR",IF(F6191="NEW",IF(ISNA(VLOOKUP(E6191,#REF!,1,FALSE())),"?TYPE_IDENTIFIABLE","?REFERENTIAL"),"_")))))</f>
        <v> </v>
      </c>
      <c r="H6191" s="25" t="str">
        <f>IF(J6191&lt;&gt;1,"",IF(I6191="SBJ","CB","?"))</f>
        <v> </v>
      </c>
      <c r="I6191" s="26" t="str">
        <f>IF(OR(E6191="",E6191="!!!",F6191="NEW"),"",INDEX(B6190:B$2,-1+SUMPRODUCT(MAX(ROW(E6190:E$2)*(E6191=E6190:E$2)))))</f>
        <v> </v>
      </c>
      <c r="J6191" s="26" t="str">
        <f>IF(OR(E6191="",E6191="!!!",F6191="NEW"),"",COUNTBLANK(OFFSET(A$1,,,SUMPRODUCT(MAX(ROW(E$2:E6191)*(E6191=E$2:E6191)))))-COUNTBLANK(OFFSET(A$1,,,SUMPRODUCT(MAX(ROW(E$1:E6190)*(E2=E$1:E6190))))))</f>
        <v> </v>
      </c>
      <c r="K6191" s="26" t="str">
        <f>IF(OR(E6191="",E6191="!!!",F6191="NEW"),"",INDEX(J$1:J6190,SUMPRODUCT(MAX(ROW(E$1:E6190)*(E6191=E$1:E6190)))))</f>
        <v> </v>
      </c>
      <c r="L6191" s="27"/>
    </row>
    <row r="6192" spans="1:12">
      <c r="A6192" s="20" t="s">
        <v>1502</v>
      </c>
      <c r="B6192" s="21" t="s">
        <v>1248</v>
      </c>
      <c r="E6192" s="22">
        <f>IF(D6192="?OLD","!!!","")</f>
        <v/>
      </c>
      <c r="F6192" s="23" t="str">
        <f>IF(OR(E6192="",E6192="!!!"),"",IF(NOT(ISNA(VLOOKUP(E6192,E$1:E6191,1,FALSE()))),"OLD",IF(AND(E6192&lt;&gt;"",E6192&lt;&gt;"!!!"),"NEW","")))</f>
        <v> </v>
      </c>
      <c r="G6192" s="24" t="str">
        <f>IF(OR(E6192="",E6192="!!!"),"",IF(OR(J6192=0,AND(J6192=1,K6192=1),AND(J6192=1,I6192="SBJ"),AND(J6192=1,I6192=0)),"?IN_FOCUS",IF(J6192&lt;=2,"?ACTIVATED",IF(J6192&lt;&gt;"","?FAMILIAR",IF(F6192="NEW",IF(ISNA(VLOOKUP(E6192,#REF!,1,FALSE())),"?TYPE_IDENTIFIABLE","?REFERENTIAL"),"_")))))</f>
        <v> </v>
      </c>
      <c r="H6192" s="25" t="str">
        <f>IF(J6192&lt;&gt;1,"",IF(I6192="SBJ","CB","?"))</f>
        <v> </v>
      </c>
      <c r="I6192" s="26" t="str">
        <f>IF(OR(E6192="",E6192="!!!",F6192="NEW"),"",INDEX(B6191:B$2,-1+SUMPRODUCT(MAX(ROW(E6191:E$2)*(E6192=E6191:E$2)))))</f>
        <v> </v>
      </c>
      <c r="J6192" s="26" t="str">
        <f>IF(OR(E6192="",E6192="!!!",F6192="NEW"),"",COUNTBLANK(OFFSET(A$1,,,SUMPRODUCT(MAX(ROW(E$2:E6192)*(E6192=E$2:E6192)))))-COUNTBLANK(OFFSET(A$1,,,SUMPRODUCT(MAX(ROW(E$1:E6191)*(E2=E$1:E6191))))))</f>
        <v> </v>
      </c>
      <c r="K6192" s="26" t="str">
        <f>IF(OR(E6192="",E6192="!!!",F6192="NEW"),"",INDEX(J$1:J6191,SUMPRODUCT(MAX(ROW(E$1:E6191)*(E6192=E$1:E6191)))))</f>
        <v> </v>
      </c>
      <c r="L6192" s="27"/>
    </row>
    <row r="6193" spans="1:12">
      <c r="A6193" s="20" t="s">
        <v>1709</v>
      </c>
      <c r="E6193" s="22">
        <f>IF(D6193="?OLD","!!!","")</f>
        <v/>
      </c>
      <c r="F6193" s="23" t="str">
        <f>IF(OR(E6193="",E6193="!!!"),"",IF(NOT(ISNA(VLOOKUP(E6193,E$1:E6192,1,FALSE()))),"OLD",IF(AND(E6193&lt;&gt;"",E6193&lt;&gt;"!!!"),"NEW","")))</f>
        <v> </v>
      </c>
      <c r="G6193" s="24" t="str">
        <f>IF(OR(E6193="",E6193="!!!"),"",IF(OR(J6193=0,AND(J6193=1,K6193=1),AND(J6193=1,I6193="SBJ"),AND(J6193=1,I6193=0)),"?IN_FOCUS",IF(J6193&lt;=2,"?ACTIVATED",IF(J6193&lt;&gt;"","?FAMILIAR",IF(F6193="NEW",IF(ISNA(VLOOKUP(E6193,#REF!,1,FALSE())),"?TYPE_IDENTIFIABLE","?REFERENTIAL"),"_")))))</f>
        <v> </v>
      </c>
      <c r="H6193" s="25" t="str">
        <f>IF(J6193&lt;&gt;1,"",IF(I6193="SBJ","CB","?"))</f>
        <v> </v>
      </c>
      <c r="I6193" s="26" t="str">
        <f>IF(OR(E6193="",E6193="!!!",F6193="NEW"),"",INDEX(B6192:B$2,-1+SUMPRODUCT(MAX(ROW(E6192:E$2)*(E6193=E6192:E$2)))))</f>
        <v> </v>
      </c>
      <c r="J6193" s="26" t="str">
        <f>IF(OR(E6193="",E6193="!!!",F6193="NEW"),"",COUNTBLANK(OFFSET(A$1,,,SUMPRODUCT(MAX(ROW(E$2:E6193)*(E6193=E$2:E6193)))))-COUNTBLANK(OFFSET(A$1,,,SUMPRODUCT(MAX(ROW(E$1:E6192)*(E2=E$1:E6192))))))</f>
        <v> </v>
      </c>
      <c r="K6193" s="26" t="str">
        <f>IF(OR(E6193="",E6193="!!!",F6193="NEW"),"",INDEX(J$1:J6192,SUMPRODUCT(MAX(ROW(E$1:E6192)*(E6193=E$1:E6192)))))</f>
        <v> </v>
      </c>
      <c r="L6193" s="27"/>
    </row>
    <row r="6194" spans="1:12">
      <c r="A6194" s="20" t="s">
        <v>1265</v>
      </c>
      <c r="E6194" s="22">
        <f>IF(D6194="?OLD","!!!","")</f>
        <v/>
      </c>
      <c r="F6194" s="23" t="str">
        <f>IF(OR(E6194="",E6194="!!!"),"",IF(NOT(ISNA(VLOOKUP(E6194,E$1:E6193,1,FALSE()))),"OLD",IF(AND(E6194&lt;&gt;"",E6194&lt;&gt;"!!!"),"NEW","")))</f>
        <v> </v>
      </c>
      <c r="G6194" s="24" t="str">
        <f>IF(OR(E6194="",E6194="!!!"),"",IF(OR(J6194=0,AND(J6194=1,K6194=1),AND(J6194=1,I6194="SBJ"),AND(J6194=1,I6194=0)),"?IN_FOCUS",IF(J6194&lt;=2,"?ACTIVATED",IF(J6194&lt;&gt;"","?FAMILIAR",IF(F6194="NEW",IF(ISNA(VLOOKUP(E6194,#REF!,1,FALSE())),"?TYPE_IDENTIFIABLE","?REFERENTIAL"),"_")))))</f>
        <v> </v>
      </c>
      <c r="H6194" s="25" t="str">
        <f>IF(J6194&lt;&gt;1,"",IF(I6194="SBJ","CB","?"))</f>
        <v> </v>
      </c>
      <c r="I6194" s="26" t="str">
        <f>IF(OR(E6194="",E6194="!!!",F6194="NEW"),"",INDEX(B6193:B$2,-1+SUMPRODUCT(MAX(ROW(E6193:E$2)*(E6194=E6193:E$2)))))</f>
        <v> </v>
      </c>
      <c r="J6194" s="26" t="str">
        <f>IF(OR(E6194="",E6194="!!!",F6194="NEW"),"",COUNTBLANK(OFFSET(A$1,,,SUMPRODUCT(MAX(ROW(E$2:E6194)*(E6194=E$2:E6194)))))-COUNTBLANK(OFFSET(A$1,,,SUMPRODUCT(MAX(ROW(E$1:E6193)*(E2=E$1:E6193))))))</f>
        <v> </v>
      </c>
      <c r="K6194" s="26" t="str">
        <f>IF(OR(E6194="",E6194="!!!",F6194="NEW"),"",INDEX(J$1:J6193,SUMPRODUCT(MAX(ROW(E$1:E6193)*(E6194=E$1:E6193)))))</f>
        <v> </v>
      </c>
      <c r="L6194" s="27"/>
    </row>
    <row r="6195" spans="1:12">
      <c r="A6195" s="20" t="s">
        <v>1194</v>
      </c>
      <c r="E6195" s="22">
        <f>IF(D6195="?OLD","!!!","")</f>
        <v/>
      </c>
      <c r="F6195" s="23" t="str">
        <f>IF(OR(E6195="",E6195="!!!"),"",IF(NOT(ISNA(VLOOKUP(E6195,E$1:E6194,1,FALSE()))),"OLD",IF(AND(E6195&lt;&gt;"",E6195&lt;&gt;"!!!"),"NEW","")))</f>
        <v> </v>
      </c>
      <c r="G6195" s="24" t="str">
        <f>IF(OR(E6195="",E6195="!!!"),"",IF(OR(J6195=0,AND(J6195=1,K6195=1),AND(J6195=1,I6195="SBJ"),AND(J6195=1,I6195=0)),"?IN_FOCUS",IF(J6195&lt;=2,"?ACTIVATED",IF(J6195&lt;&gt;"","?FAMILIAR",IF(F6195="NEW",IF(ISNA(VLOOKUP(E6195,#REF!,1,FALSE())),"?TYPE_IDENTIFIABLE","?REFERENTIAL"),"_")))))</f>
        <v> </v>
      </c>
      <c r="H6195" s="25" t="str">
        <f>IF(J6195&lt;&gt;1,"",IF(I6195="SBJ","CB","?"))</f>
        <v> </v>
      </c>
      <c r="I6195" s="26" t="str">
        <f>IF(OR(E6195="",E6195="!!!",F6195="NEW"),"",INDEX(B6194:B$2,-1+SUMPRODUCT(MAX(ROW(E6194:E$2)*(E6195=E6194:E$2)))))</f>
        <v> </v>
      </c>
      <c r="J6195" s="26" t="str">
        <f>IF(OR(E6195="",E6195="!!!",F6195="NEW"),"",COUNTBLANK(OFFSET(A$1,,,SUMPRODUCT(MAX(ROW(E$2:E6195)*(E6195=E$2:E6195)))))-COUNTBLANK(OFFSET(A$1,,,SUMPRODUCT(MAX(ROW(E$1:E6194)*(E2=E$1:E6194))))))</f>
        <v> </v>
      </c>
      <c r="K6195" s="26" t="str">
        <f>IF(OR(E6195="",E6195="!!!",F6195="NEW"),"",INDEX(J$1:J6194,SUMPRODUCT(MAX(ROW(E$1:E6194)*(E6195=E$1:E6194)))))</f>
        <v> </v>
      </c>
      <c r="L6195" s="27"/>
    </row>
    <row r="6196" spans="1:12">
      <c r="A6196" s="20" t="s">
        <v>2098</v>
      </c>
      <c r="B6196" s="21" t="s">
        <v>1186</v>
      </c>
      <c r="C6196" s="21" t="s">
        <v>1196</v>
      </c>
      <c r="D6196" s="21" t="s">
        <v>1188</v>
      </c>
      <c r="E6196" s="22">
        <f>IF(D6196="?OLD","!!!","")</f>
        <v/>
      </c>
      <c r="F6196" s="23" t="str">
        <f>IF(OR(E6196="",E6196="!!!"),"",IF(NOT(ISNA(VLOOKUP(E6196,E$1:E6195,1,FALSE()))),"OLD",IF(AND(E6196&lt;&gt;"",E6196&lt;&gt;"!!!"),"NEW","")))</f>
        <v> </v>
      </c>
      <c r="G6196" s="24" t="str">
        <f>IF(OR(E6196="",E6196="!!!"),"",IF(OR(J6196=0,AND(J6196=1,K6196=1),AND(J6196=1,I6196="SBJ"),AND(J6196=1,I6196=0)),"?IN_FOCUS",IF(J6196&lt;=2,"?ACTIVATED",IF(J6196&lt;&gt;"","?FAMILIAR",IF(F6196="NEW",IF(ISNA(VLOOKUP(E6196,#REF!,1,FALSE())),"?TYPE_IDENTIFIABLE","?REFERENTIAL"),"_")))))</f>
        <v> </v>
      </c>
      <c r="H6196" s="25" t="str">
        <f>IF(J6196&lt;&gt;1,"",IF(I6196="SBJ","CB","?"))</f>
        <v> </v>
      </c>
      <c r="I6196" s="26" t="str">
        <f>IF(OR(E6196="",E6196="!!!",F6196="NEW"),"",INDEX(B6195:B$2,-1+SUMPRODUCT(MAX(ROW(E6195:E$2)*(E6196=E6195:E$2)))))</f>
        <v> </v>
      </c>
      <c r="J6196" s="26" t="str">
        <f>IF(OR(E6196="",E6196="!!!",F6196="NEW"),"",COUNTBLANK(OFFSET(A$1,,,SUMPRODUCT(MAX(ROW(E$2:E6196)*(E6196=E$2:E6196)))))-COUNTBLANK(OFFSET(A$1,,,SUMPRODUCT(MAX(ROW(E$1:E6195)*(E2=E$1:E6195))))))</f>
        <v> </v>
      </c>
      <c r="K6196" s="26" t="str">
        <f>IF(OR(E6196="",E6196="!!!",F6196="NEW"),"",INDEX(J$1:J6195,SUMPRODUCT(MAX(ROW(E$1:E6195)*(E6196=E$1:E6195)))))</f>
        <v> </v>
      </c>
      <c r="L6196" s="27"/>
    </row>
    <row r="6197" spans="1:12">
      <c r="A6197" s="20" t="s">
        <v>826</v>
      </c>
      <c r="E6197" s="22">
        <f>IF(D6197="?OLD","!!!","")</f>
        <v/>
      </c>
      <c r="F6197" s="23" t="str">
        <f>IF(OR(E6197="",E6197="!!!"),"",IF(NOT(ISNA(VLOOKUP(E6197,E$1:E6196,1,FALSE()))),"OLD",IF(AND(E6197&lt;&gt;"",E6197&lt;&gt;"!!!"),"NEW","")))</f>
        <v> </v>
      </c>
      <c r="G6197" s="24" t="str">
        <f>IF(OR(E6197="",E6197="!!!"),"",IF(OR(J6197=0,AND(J6197=1,K6197=1),AND(J6197=1,I6197="SBJ"),AND(J6197=1,I6197=0)),"?IN_FOCUS",IF(J6197&lt;=2,"?ACTIVATED",IF(J6197&lt;&gt;"","?FAMILIAR",IF(F6197="NEW",IF(ISNA(VLOOKUP(E6197,#REF!,1,FALSE())),"?TYPE_IDENTIFIABLE","?REFERENTIAL"),"_")))))</f>
        <v> </v>
      </c>
      <c r="H6197" s="25" t="str">
        <f>IF(J6197&lt;&gt;1,"",IF(I6197="SBJ","CB","?"))</f>
        <v> </v>
      </c>
      <c r="I6197" s="26" t="str">
        <f>IF(OR(E6197="",E6197="!!!",F6197="NEW"),"",INDEX(B6196:B$2,-1+SUMPRODUCT(MAX(ROW(E6196:E$2)*(E6197=E6196:E$2)))))</f>
        <v> </v>
      </c>
      <c r="J6197" s="26" t="str">
        <f>IF(OR(E6197="",E6197="!!!",F6197="NEW"),"",COUNTBLANK(OFFSET(A$1,,,SUMPRODUCT(MAX(ROW(E$2:E6197)*(E6197=E$2:E6197)))))-COUNTBLANK(OFFSET(A$1,,,SUMPRODUCT(MAX(ROW(E$1:E6196)*(E2=E$1:E6196))))))</f>
        <v> </v>
      </c>
      <c r="K6197" s="26" t="str">
        <f>IF(OR(E6197="",E6197="!!!",F6197="NEW"),"",INDEX(J$1:J6196,SUMPRODUCT(MAX(ROW(E$1:E6196)*(E6197=E$1:E6196)))))</f>
        <v> </v>
      </c>
      <c r="L6197" s="27"/>
    </row>
    <row r="6198" spans="1:12">
      <c r="A6198" s="20"/>
    </row>
    <row r="6199" spans="1:12">
      <c r="A6199" s="20" t="s">
        <v>2870</v>
      </c>
    </row>
    <row r="6200" spans="1:12">
      <c r="A6200" s="20" t="s">
        <v>2729</v>
      </c>
      <c r="B6200" s="21" t="s">
        <v>1202</v>
      </c>
      <c r="C6200" s="21" t="s">
        <v>1187</v>
      </c>
      <c r="D6200" s="21" t="s">
        <v>1188</v>
      </c>
      <c r="E6200" s="22">
        <f>IF(D6200="?OLD","!!!","")</f>
        <v/>
      </c>
      <c r="F6200" s="23" t="str">
        <f>IF(OR(E6200="",E6200="!!!"),"",IF(NOT(ISNA(VLOOKUP(E6200,E$1:E6199,1,FALSE()))),"OLD",IF(AND(E6200&lt;&gt;"",E6200&lt;&gt;"!!!"),"NEW","")))</f>
        <v> </v>
      </c>
      <c r="G6200" s="24" t="str">
        <f>IF(OR(E6200="",E6200="!!!"),"",IF(OR(J6200=0,AND(J6200=1,K6200=1),AND(J6200=1,I6200="SBJ"),AND(J6200=1,I6200=0)),"?IN_FOCUS",IF(J6200&lt;=2,"?ACTIVATED",IF(J6200&lt;&gt;"","?FAMILIAR",IF(F6200="NEW",IF(ISNA(VLOOKUP(E6200,#REF!,1,FALSE())),"?TYPE_IDENTIFIABLE","?REFERENTIAL"),"_")))))</f>
        <v> </v>
      </c>
      <c r="H6200" s="25" t="str">
        <f>IF(J6200&lt;&gt;1,"",IF(I6200="SBJ","CB","?"))</f>
        <v> </v>
      </c>
      <c r="I6200" s="26" t="str">
        <f>IF(OR(E6200="",E6200="!!!",F6200="NEW"),"",INDEX(B6199:B$2,-1+SUMPRODUCT(MAX(ROW(E6199:E$2)*(E6200=E6199:E$2)))))</f>
        <v> </v>
      </c>
      <c r="J6200" s="26" t="str">
        <f>IF(OR(E6200="",E6200="!!!",F6200="NEW"),"",COUNTBLANK(OFFSET(A$1,,,SUMPRODUCT(MAX(ROW(E$2:E6200)*(E6200=E$2:E6200)))))-COUNTBLANK(OFFSET(A$1,,,SUMPRODUCT(MAX(ROW(E$1:E6199)*(E2=E$1:E6199))))))</f>
        <v> </v>
      </c>
      <c r="K6200" s="26" t="str">
        <f>IF(OR(E6200="",E6200="!!!",F6200="NEW"),"",INDEX(J$1:J6199,SUMPRODUCT(MAX(ROW(E$1:E6199)*(E6200=E$1:E6199)))))</f>
        <v> </v>
      </c>
      <c r="L6200" s="27"/>
    </row>
    <row r="6201" spans="1:12">
      <c r="A6201" s="20" t="s">
        <v>1190</v>
      </c>
      <c r="E6201" s="22">
        <f>IF(D6201="?OLD","!!!","")</f>
        <v/>
      </c>
      <c r="F6201" s="23" t="str">
        <f>IF(OR(E6201="",E6201="!!!"),"",IF(NOT(ISNA(VLOOKUP(E6201,E$1:E6200,1,FALSE()))),"OLD",IF(AND(E6201&lt;&gt;"",E6201&lt;&gt;"!!!"),"NEW","")))</f>
        <v> </v>
      </c>
      <c r="G6201" s="24" t="str">
        <f>IF(OR(E6201="",E6201="!!!"),"",IF(OR(J6201=0,AND(J6201=1,K6201=1),AND(J6201=1,I6201="SBJ"),AND(J6201=1,I6201=0)),"?IN_FOCUS",IF(J6201&lt;=2,"?ACTIVATED",IF(J6201&lt;&gt;"","?FAMILIAR",IF(F6201="NEW",IF(ISNA(VLOOKUP(E6201,#REF!,1,FALSE())),"?TYPE_IDENTIFIABLE","?REFERENTIAL"),"_")))))</f>
        <v> </v>
      </c>
      <c r="H6201" s="25" t="str">
        <f>IF(J6201&lt;&gt;1,"",IF(I6201="SBJ","CB","?"))</f>
        <v> </v>
      </c>
      <c r="I6201" s="26" t="str">
        <f>IF(OR(E6201="",E6201="!!!",F6201="NEW"),"",INDEX(B6200:B$2,-1+SUMPRODUCT(MAX(ROW(E6200:E$2)*(E6201=E6200:E$2)))))</f>
        <v> </v>
      </c>
      <c r="J6201" s="26" t="str">
        <f>IF(OR(E6201="",E6201="!!!",F6201="NEW"),"",COUNTBLANK(OFFSET(A$1,,,SUMPRODUCT(MAX(ROW(E$2:E6201)*(E6201=E$2:E6201)))))-COUNTBLANK(OFFSET(A$1,,,SUMPRODUCT(MAX(ROW(E$1:E6200)*(E2=E$1:E6200))))))</f>
        <v> </v>
      </c>
      <c r="K6201" s="26" t="str">
        <f>IF(OR(E6201="",E6201="!!!",F6201="NEW"),"",INDEX(J$1:J6200,SUMPRODUCT(MAX(ROW(E$1:E6200)*(E6201=E$1:E6200)))))</f>
        <v> </v>
      </c>
      <c r="L6201" s="27"/>
    </row>
    <row r="6202" spans="1:12">
      <c r="A6202" s="20" t="s">
        <v>2871</v>
      </c>
      <c r="E6202" s="22">
        <f>IF(D6202="?OLD","!!!","")</f>
        <v/>
      </c>
      <c r="F6202" s="23" t="str">
        <f>IF(OR(E6202="",E6202="!!!"),"",IF(NOT(ISNA(VLOOKUP(E6202,E$1:E6201,1,FALSE()))),"OLD",IF(AND(E6202&lt;&gt;"",E6202&lt;&gt;"!!!"),"NEW","")))</f>
        <v> </v>
      </c>
      <c r="G6202" s="24" t="str">
        <f>IF(OR(E6202="",E6202="!!!"),"",IF(OR(J6202=0,AND(J6202=1,K6202=1),AND(J6202=1,I6202="SBJ"),AND(J6202=1,I6202=0)),"?IN_FOCUS",IF(J6202&lt;=2,"?ACTIVATED",IF(J6202&lt;&gt;"","?FAMILIAR",IF(F6202="NEW",IF(ISNA(VLOOKUP(E6202,#REF!,1,FALSE())),"?TYPE_IDENTIFIABLE","?REFERENTIAL"),"_")))))</f>
        <v> </v>
      </c>
      <c r="H6202" s="25" t="str">
        <f>IF(J6202&lt;&gt;1,"",IF(I6202="SBJ","CB","?"))</f>
        <v> </v>
      </c>
      <c r="I6202" s="26" t="str">
        <f>IF(OR(E6202="",E6202="!!!",F6202="NEW"),"",INDEX(B6201:B$2,-1+SUMPRODUCT(MAX(ROW(E6201:E$2)*(E6202=E6201:E$2)))))</f>
        <v> </v>
      </c>
      <c r="J6202" s="26" t="str">
        <f>IF(OR(E6202="",E6202="!!!",F6202="NEW"),"",COUNTBLANK(OFFSET(A$1,,,SUMPRODUCT(MAX(ROW(E$2:E6202)*(E6202=E$2:E6202)))))-COUNTBLANK(OFFSET(A$1,,,SUMPRODUCT(MAX(ROW(E$1:E6201)*(E2=E$1:E6201))))))</f>
        <v> </v>
      </c>
      <c r="K6202" s="26" t="str">
        <f>IF(OR(E6202="",E6202="!!!",F6202="NEW"),"",INDEX(J$1:J6201,SUMPRODUCT(MAX(ROW(E$1:E6201)*(E6202=E$1:E6201)))))</f>
        <v> </v>
      </c>
      <c r="L6202" s="27"/>
    </row>
    <row r="6203" spans="1:12">
      <c r="A6203" s="20" t="s">
        <v>1194</v>
      </c>
      <c r="B6203" s="21" t="s">
        <v>1202</v>
      </c>
      <c r="C6203" s="21" t="s">
        <v>1246</v>
      </c>
      <c r="D6203" s="21" t="s">
        <v>1188</v>
      </c>
      <c r="E6203" s="22">
        <f>IF(D6203="?OLD","!!!","")</f>
        <v/>
      </c>
      <c r="F6203" s="23" t="str">
        <f>IF(OR(E6203="",E6203="!!!"),"",IF(NOT(ISNA(VLOOKUP(E6203,E$1:E6202,1,FALSE()))),"OLD",IF(AND(E6203&lt;&gt;"",E6203&lt;&gt;"!!!"),"NEW","")))</f>
        <v> </v>
      </c>
      <c r="G6203" s="24" t="str">
        <f>IF(OR(E6203="",E6203="!!!"),"",IF(OR(J6203=0,AND(J6203=1,K6203=1),AND(J6203=1,I6203="SBJ"),AND(J6203=1,I6203=0)),"?IN_FOCUS",IF(J6203&lt;=2,"?ACTIVATED",IF(J6203&lt;&gt;"","?FAMILIAR",IF(F6203="NEW",IF(ISNA(VLOOKUP(E6203,#REF!,1,FALSE())),"?TYPE_IDENTIFIABLE","?REFERENTIAL"),"_")))))</f>
        <v> </v>
      </c>
      <c r="H6203" s="25" t="str">
        <f>IF(J6203&lt;&gt;1,"",IF(I6203="SBJ","CB","?"))</f>
        <v> </v>
      </c>
      <c r="I6203" s="26" t="str">
        <f>IF(OR(E6203="",E6203="!!!",F6203="NEW"),"",INDEX(B6202:B$2,-1+SUMPRODUCT(MAX(ROW(E6202:E$2)*(E6203=E6202:E$2)))))</f>
        <v> </v>
      </c>
      <c r="J6203" s="26" t="str">
        <f>IF(OR(E6203="",E6203="!!!",F6203="NEW"),"",COUNTBLANK(OFFSET(A$1,,,SUMPRODUCT(MAX(ROW(E$2:E6203)*(E6203=E$2:E6203)))))-COUNTBLANK(OFFSET(A$1,,,SUMPRODUCT(MAX(ROW(E$1:E6202)*(E2=E$1:E6202))))))</f>
        <v> </v>
      </c>
      <c r="K6203" s="26" t="str">
        <f>IF(OR(E6203="",E6203="!!!",F6203="NEW"),"",INDEX(J$1:J6202,SUMPRODUCT(MAX(ROW(E$1:E6202)*(E6203=E$1:E6202)))))</f>
        <v> </v>
      </c>
      <c r="L6203" s="27"/>
    </row>
    <row r="6204" spans="1:12">
      <c r="A6204" s="20" t="s">
        <v>1953</v>
      </c>
      <c r="E6204" s="22">
        <f>IF(D6204="?OLD","!!!","")</f>
        <v/>
      </c>
      <c r="F6204" s="23" t="str">
        <f>IF(OR(E6204="",E6204="!!!"),"",IF(NOT(ISNA(VLOOKUP(E6204,E$1:E6203,1,FALSE()))),"OLD",IF(AND(E6204&lt;&gt;"",E6204&lt;&gt;"!!!"),"NEW","")))</f>
        <v> </v>
      </c>
      <c r="G6204" s="24" t="str">
        <f>IF(OR(E6204="",E6204="!!!"),"",IF(OR(J6204=0,AND(J6204=1,K6204=1),AND(J6204=1,I6204="SBJ"),AND(J6204=1,I6204=0)),"?IN_FOCUS",IF(J6204&lt;=2,"?ACTIVATED",IF(J6204&lt;&gt;"","?FAMILIAR",IF(F6204="NEW",IF(ISNA(VLOOKUP(E6204,#REF!,1,FALSE())),"?TYPE_IDENTIFIABLE","?REFERENTIAL"),"_")))))</f>
        <v> </v>
      </c>
      <c r="H6204" s="25" t="str">
        <f>IF(J6204&lt;&gt;1,"",IF(I6204="SBJ","CB","?"))</f>
        <v> </v>
      </c>
      <c r="I6204" s="26" t="str">
        <f>IF(OR(E6204="",E6204="!!!",F6204="NEW"),"",INDEX(B6203:B$2,-1+SUMPRODUCT(MAX(ROW(E6203:E$2)*(E6204=E6203:E$2)))))</f>
        <v> </v>
      </c>
      <c r="J6204" s="26" t="str">
        <f>IF(OR(E6204="",E6204="!!!",F6204="NEW"),"",COUNTBLANK(OFFSET(A$1,,,SUMPRODUCT(MAX(ROW(E$2:E6204)*(E6204=E$2:E6204)))))-COUNTBLANK(OFFSET(A$1,,,SUMPRODUCT(MAX(ROW(E$1:E6203)*(E2=E$1:E6203))))))</f>
        <v> </v>
      </c>
      <c r="K6204" s="26" t="str">
        <f>IF(OR(E6204="",E6204="!!!",F6204="NEW"),"",INDEX(J$1:J6203,SUMPRODUCT(MAX(ROW(E$1:E6203)*(E6204=E$1:E6203)))))</f>
        <v> </v>
      </c>
      <c r="L6204" s="27"/>
    </row>
    <row r="6205" spans="1:12">
      <c r="A6205" s="20" t="s">
        <v>1914</v>
      </c>
      <c r="E6205" s="22">
        <f>IF(D6205="?OLD","!!!","")</f>
        <v/>
      </c>
      <c r="F6205" s="23" t="str">
        <f>IF(OR(E6205="",E6205="!!!"),"",IF(NOT(ISNA(VLOOKUP(E6205,E$1:E6204,1,FALSE()))),"OLD",IF(AND(E6205&lt;&gt;"",E6205&lt;&gt;"!!!"),"NEW","")))</f>
        <v> </v>
      </c>
      <c r="G6205" s="24" t="str">
        <f>IF(OR(E6205="",E6205="!!!"),"",IF(OR(J6205=0,AND(J6205=1,K6205=1),AND(J6205=1,I6205="SBJ"),AND(J6205=1,I6205=0)),"?IN_FOCUS",IF(J6205&lt;=2,"?ACTIVATED",IF(J6205&lt;&gt;"","?FAMILIAR",IF(F6205="NEW",IF(ISNA(VLOOKUP(E6205,#REF!,1,FALSE())),"?TYPE_IDENTIFIABLE","?REFERENTIAL"),"_")))))</f>
        <v> </v>
      </c>
      <c r="H6205" s="25" t="str">
        <f>IF(J6205&lt;&gt;1,"",IF(I6205="SBJ","CB","?"))</f>
        <v> </v>
      </c>
      <c r="I6205" s="26" t="str">
        <f>IF(OR(E6205="",E6205="!!!",F6205="NEW"),"",INDEX(B6204:B$2,-1+SUMPRODUCT(MAX(ROW(E6204:E$2)*(E6205=E6204:E$2)))))</f>
        <v> </v>
      </c>
      <c r="J6205" s="26" t="str">
        <f>IF(OR(E6205="",E6205="!!!",F6205="NEW"),"",COUNTBLANK(OFFSET(A$1,,,SUMPRODUCT(MAX(ROW(E$2:E6205)*(E6205=E$2:E6205)))))-COUNTBLANK(OFFSET(A$1,,,SUMPRODUCT(MAX(ROW(E$1:E6204)*(E2=E$1:E6204))))))</f>
        <v> </v>
      </c>
      <c r="K6205" s="26" t="str">
        <f>IF(OR(E6205="",E6205="!!!",F6205="NEW"),"",INDEX(J$1:J6204,SUMPRODUCT(MAX(ROW(E$1:E6204)*(E6205=E$1:E6204)))))</f>
        <v> </v>
      </c>
      <c r="L6205" s="27"/>
    </row>
    <row r="6206" spans="1:12">
      <c r="A6206" s="20" t="s">
        <v>2872</v>
      </c>
      <c r="E6206" s="22">
        <f>IF(D6206="?OLD","!!!","")</f>
        <v/>
      </c>
      <c r="F6206" s="23" t="str">
        <f>IF(OR(E6206="",E6206="!!!"),"",IF(NOT(ISNA(VLOOKUP(E6206,E$1:E6205,1,FALSE()))),"OLD",IF(AND(E6206&lt;&gt;"",E6206&lt;&gt;"!!!"),"NEW","")))</f>
        <v> </v>
      </c>
      <c r="G6206" s="24" t="str">
        <f>IF(OR(E6206="",E6206="!!!"),"",IF(OR(J6206=0,AND(J6206=1,K6206=1),AND(J6206=1,I6206="SBJ"),AND(J6206=1,I6206=0)),"?IN_FOCUS",IF(J6206&lt;=2,"?ACTIVATED",IF(J6206&lt;&gt;"","?FAMILIAR",IF(F6206="NEW",IF(ISNA(VLOOKUP(E6206,#REF!,1,FALSE())),"?TYPE_IDENTIFIABLE","?REFERENTIAL"),"_")))))</f>
        <v> </v>
      </c>
      <c r="H6206" s="25" t="str">
        <f>IF(J6206&lt;&gt;1,"",IF(I6206="SBJ","CB","?"))</f>
        <v> </v>
      </c>
      <c r="I6206" s="26" t="str">
        <f>IF(OR(E6206="",E6206="!!!",F6206="NEW"),"",INDEX(B6205:B$2,-1+SUMPRODUCT(MAX(ROW(E6205:E$2)*(E6206=E6205:E$2)))))</f>
        <v> </v>
      </c>
      <c r="J6206" s="26" t="str">
        <f>IF(OR(E6206="",E6206="!!!",F6206="NEW"),"",COUNTBLANK(OFFSET(A$1,,,SUMPRODUCT(MAX(ROW(E$2:E6206)*(E6206=E$2:E6206)))))-COUNTBLANK(OFFSET(A$1,,,SUMPRODUCT(MAX(ROW(E$1:E6205)*(E2=E$1:E6205))))))</f>
        <v> </v>
      </c>
      <c r="K6206" s="26" t="str">
        <f>IF(OR(E6206="",E6206="!!!",F6206="NEW"),"",INDEX(J$1:J6205,SUMPRODUCT(MAX(ROW(E$1:E6205)*(E6206=E$1:E6205)))))</f>
        <v> </v>
      </c>
      <c r="L6206" s="27"/>
    </row>
    <row r="6207" spans="1:12">
      <c r="A6207" s="20" t="s">
        <v>826</v>
      </c>
      <c r="E6207" s="22">
        <f>IF(D6207="?OLD","!!!","")</f>
        <v/>
      </c>
      <c r="F6207" s="23" t="str">
        <f>IF(OR(E6207="",E6207="!!!"),"",IF(NOT(ISNA(VLOOKUP(E6207,E$1:E6206,1,FALSE()))),"OLD",IF(AND(E6207&lt;&gt;"",E6207&lt;&gt;"!!!"),"NEW","")))</f>
        <v> </v>
      </c>
      <c r="G6207" s="24" t="str">
        <f>IF(OR(E6207="",E6207="!!!"),"",IF(OR(J6207=0,AND(J6207=1,K6207=1),AND(J6207=1,I6207="SBJ"),AND(J6207=1,I6207=0)),"?IN_FOCUS",IF(J6207&lt;=2,"?ACTIVATED",IF(J6207&lt;&gt;"","?FAMILIAR",IF(F6207="NEW",IF(ISNA(VLOOKUP(E6207,#REF!,1,FALSE())),"?TYPE_IDENTIFIABLE","?REFERENTIAL"),"_")))))</f>
        <v> </v>
      </c>
      <c r="H6207" s="25" t="str">
        <f>IF(J6207&lt;&gt;1,"",IF(I6207="SBJ","CB","?"))</f>
        <v> </v>
      </c>
      <c r="I6207" s="26" t="str">
        <f>IF(OR(E6207="",E6207="!!!",F6207="NEW"),"",INDEX(B6206:B$2,-1+SUMPRODUCT(MAX(ROW(E6206:E$2)*(E6207=E6206:E$2)))))</f>
        <v> </v>
      </c>
      <c r="J6207" s="26" t="str">
        <f>IF(OR(E6207="",E6207="!!!",F6207="NEW"),"",COUNTBLANK(OFFSET(A$1,,,SUMPRODUCT(MAX(ROW(E$2:E6207)*(E6207=E$2:E6207)))))-COUNTBLANK(OFFSET(A$1,,,SUMPRODUCT(MAX(ROW(E$1:E6206)*(E2=E$1:E6206))))))</f>
        <v> </v>
      </c>
      <c r="K6207" s="26" t="str">
        <f>IF(OR(E6207="",E6207="!!!",F6207="NEW"),"",INDEX(J$1:J6206,SUMPRODUCT(MAX(ROW(E$1:E6206)*(E6207=E$1:E6206)))))</f>
        <v> </v>
      </c>
      <c r="L6207" s="27"/>
    </row>
    <row r="6208" spans="1:12">
      <c r="A6208" s="20"/>
    </row>
    <row r="6209" spans="1:12">
      <c r="A6209" s="20" t="s">
        <v>2873</v>
      </c>
    </row>
    <row r="6210" spans="1:12">
      <c r="A6210" s="20" t="s">
        <v>1294</v>
      </c>
      <c r="B6210" s="21" t="s">
        <v>1186</v>
      </c>
      <c r="C6210" s="21" t="s">
        <v>1203</v>
      </c>
      <c r="D6210" s="21" t="s">
        <v>1188</v>
      </c>
      <c r="E6210" s="22">
        <f>IF(D6210="?OLD","!!!","")</f>
        <v/>
      </c>
      <c r="F6210" s="23" t="str">
        <f>IF(OR(E6210="",E6210="!!!"),"",IF(NOT(ISNA(VLOOKUP(E6210,E$1:E6209,1,FALSE()))),"OLD",IF(AND(E6210&lt;&gt;"",E6210&lt;&gt;"!!!"),"NEW","")))</f>
        <v> </v>
      </c>
      <c r="G6210" s="24" t="str">
        <f>IF(OR(E6210="",E6210="!!!"),"",IF(OR(J6210=0,AND(J6210=1,K6210=1),AND(J6210=1,I6210="SBJ"),AND(J6210=1,I6210=0)),"?IN_FOCUS",IF(J6210&lt;=2,"?ACTIVATED",IF(J6210&lt;&gt;"","?FAMILIAR",IF(F6210="NEW",IF(ISNA(VLOOKUP(E6210,#REF!,1,FALSE())),"?TYPE_IDENTIFIABLE","?REFERENTIAL"),"_")))))</f>
        <v> </v>
      </c>
      <c r="H6210" s="25" t="str">
        <f>IF(J6210&lt;&gt;1,"",IF(I6210="SBJ","CB","?"))</f>
        <v> </v>
      </c>
      <c r="I6210" s="26" t="str">
        <f>IF(OR(E6210="",E6210="!!!",F6210="NEW"),"",INDEX(B6209:B$2,-1+SUMPRODUCT(MAX(ROW(E6209:E$2)*(E6210=E6209:E$2)))))</f>
        <v> </v>
      </c>
      <c r="J6210" s="26" t="str">
        <f>IF(OR(E6210="",E6210="!!!",F6210="NEW"),"",COUNTBLANK(OFFSET(A$1,,,SUMPRODUCT(MAX(ROW(E$2:E6210)*(E6210=E$2:E6210)))))-COUNTBLANK(OFFSET(A$1,,,SUMPRODUCT(MAX(ROW(E$1:E6209)*(E2=E$1:E6209))))))</f>
        <v> </v>
      </c>
      <c r="K6210" s="26" t="str">
        <f>IF(OR(E6210="",E6210="!!!",F6210="NEW"),"",INDEX(J$1:J6209,SUMPRODUCT(MAX(ROW(E$1:E6209)*(E6210=E$1:E6209)))))</f>
        <v> </v>
      </c>
      <c r="L6210" s="27"/>
    </row>
    <row r="6211" spans="1:12">
      <c r="A6211" s="20" t="s">
        <v>1190</v>
      </c>
      <c r="E6211" s="22">
        <f>IF(D6211="?OLD","!!!","")</f>
        <v/>
      </c>
      <c r="F6211" s="23" t="str">
        <f>IF(OR(E6211="",E6211="!!!"),"",IF(NOT(ISNA(VLOOKUP(E6211,E$1:E6210,1,FALSE()))),"OLD",IF(AND(E6211&lt;&gt;"",E6211&lt;&gt;"!!!"),"NEW","")))</f>
        <v> </v>
      </c>
      <c r="G6211" s="24" t="str">
        <f>IF(OR(E6211="",E6211="!!!"),"",IF(OR(J6211=0,AND(J6211=1,K6211=1),AND(J6211=1,I6211="SBJ"),AND(J6211=1,I6211=0)),"?IN_FOCUS",IF(J6211&lt;=2,"?ACTIVATED",IF(J6211&lt;&gt;"","?FAMILIAR",IF(F6211="NEW",IF(ISNA(VLOOKUP(E6211,#REF!,1,FALSE())),"?TYPE_IDENTIFIABLE","?REFERENTIAL"),"_")))))</f>
        <v> </v>
      </c>
      <c r="H6211" s="25" t="str">
        <f>IF(J6211&lt;&gt;1,"",IF(I6211="SBJ","CB","?"))</f>
        <v> </v>
      </c>
      <c r="I6211" s="26" t="str">
        <f>IF(OR(E6211="",E6211="!!!",F6211="NEW"),"",INDEX(B6210:B$2,-1+SUMPRODUCT(MAX(ROW(E6210:E$2)*(E6211=E6210:E$2)))))</f>
        <v> </v>
      </c>
      <c r="J6211" s="26" t="str">
        <f>IF(OR(E6211="",E6211="!!!",F6211="NEW"),"",COUNTBLANK(OFFSET(A$1,,,SUMPRODUCT(MAX(ROW(E$2:E6211)*(E6211=E$2:E6211)))))-COUNTBLANK(OFFSET(A$1,,,SUMPRODUCT(MAX(ROW(E$1:E6210)*(E2=E$1:E6210))))))</f>
        <v> </v>
      </c>
      <c r="K6211" s="26" t="str">
        <f>IF(OR(E6211="",E6211="!!!",F6211="NEW"),"",INDEX(J$1:J6210,SUMPRODUCT(MAX(ROW(E$1:E6210)*(E6211=E$1:E6210)))))</f>
        <v> </v>
      </c>
      <c r="L6211" s="27"/>
    </row>
    <row r="6212" spans="1:12">
      <c r="A6212" s="20" t="s">
        <v>1264</v>
      </c>
      <c r="B6212" s="21" t="s">
        <v>1248</v>
      </c>
      <c r="C6212" s="21" t="s">
        <v>1203</v>
      </c>
      <c r="D6212" s="21" t="s">
        <v>1188</v>
      </c>
      <c r="E6212" s="22">
        <f>IF(D6212="?OLD","!!!","")</f>
        <v/>
      </c>
      <c r="F6212" s="23" t="str">
        <f>IF(OR(E6212="",E6212="!!!"),"",IF(NOT(ISNA(VLOOKUP(E6212,E$1:E6211,1,FALSE()))),"OLD",IF(AND(E6212&lt;&gt;"",E6212&lt;&gt;"!!!"),"NEW","")))</f>
        <v> </v>
      </c>
      <c r="G6212" s="24" t="str">
        <f>IF(OR(E6212="",E6212="!!!"),"",IF(OR(J6212=0,AND(J6212=1,K6212=1),AND(J6212=1,I6212="SBJ"),AND(J6212=1,I6212=0)),"?IN_FOCUS",IF(J6212&lt;=2,"?ACTIVATED",IF(J6212&lt;&gt;"","?FAMILIAR",IF(F6212="NEW",IF(ISNA(VLOOKUP(E6212,#REF!,1,FALSE())),"?TYPE_IDENTIFIABLE","?REFERENTIAL"),"_")))))</f>
        <v> </v>
      </c>
      <c r="H6212" s="25" t="str">
        <f>IF(J6212&lt;&gt;1,"",IF(I6212="SBJ","CB","?"))</f>
        <v> </v>
      </c>
      <c r="I6212" s="26" t="str">
        <f>IF(OR(E6212="",E6212="!!!",F6212="NEW"),"",INDEX(B6211:B$2,-1+SUMPRODUCT(MAX(ROW(E6211:E$2)*(E6212=E6211:E$2)))))</f>
        <v> </v>
      </c>
      <c r="J6212" s="26" t="str">
        <f>IF(OR(E6212="",E6212="!!!",F6212="NEW"),"",COUNTBLANK(OFFSET(A$1,,,SUMPRODUCT(MAX(ROW(E$2:E6212)*(E6212=E$2:E6212)))))-COUNTBLANK(OFFSET(A$1,,,SUMPRODUCT(MAX(ROW(E$1:E6211)*(E2=E$1:E6211))))))</f>
        <v> </v>
      </c>
      <c r="K6212" s="26" t="str">
        <f>IF(OR(E6212="",E6212="!!!",F6212="NEW"),"",INDEX(J$1:J6211,SUMPRODUCT(MAX(ROW(E$1:E6211)*(E6212=E$1:E6211)))))</f>
        <v> </v>
      </c>
      <c r="L6212" s="27"/>
    </row>
    <row r="6213" spans="1:12">
      <c r="A6213" s="20" t="s">
        <v>2874</v>
      </c>
      <c r="E6213" s="22">
        <f>IF(D6213="?OLD","!!!","")</f>
        <v/>
      </c>
      <c r="F6213" s="23" t="str">
        <f>IF(OR(E6213="",E6213="!!!"),"",IF(NOT(ISNA(VLOOKUP(E6213,E$1:E6212,1,FALSE()))),"OLD",IF(AND(E6213&lt;&gt;"",E6213&lt;&gt;"!!!"),"NEW","")))</f>
        <v> </v>
      </c>
      <c r="G6213" s="24" t="str">
        <f>IF(OR(E6213="",E6213="!!!"),"",IF(OR(J6213=0,AND(J6213=1,K6213=1),AND(J6213=1,I6213="SBJ"),AND(J6213=1,I6213=0)),"?IN_FOCUS",IF(J6213&lt;=2,"?ACTIVATED",IF(J6213&lt;&gt;"","?FAMILIAR",IF(F6213="NEW",IF(ISNA(VLOOKUP(E6213,#REF!,1,FALSE())),"?TYPE_IDENTIFIABLE","?REFERENTIAL"),"_")))))</f>
        <v> </v>
      </c>
      <c r="H6213" s="25" t="str">
        <f>IF(J6213&lt;&gt;1,"",IF(I6213="SBJ","CB","?"))</f>
        <v> </v>
      </c>
      <c r="I6213" s="26" t="str">
        <f>IF(OR(E6213="",E6213="!!!",F6213="NEW"),"",INDEX(B6212:B$2,-1+SUMPRODUCT(MAX(ROW(E6212:E$2)*(E6213=E6212:E$2)))))</f>
        <v> </v>
      </c>
      <c r="J6213" s="26" t="str">
        <f>IF(OR(E6213="",E6213="!!!",F6213="NEW"),"",COUNTBLANK(OFFSET(A$1,,,SUMPRODUCT(MAX(ROW(E$2:E6213)*(E6213=E$2:E6213)))))-COUNTBLANK(OFFSET(A$1,,,SUMPRODUCT(MAX(ROW(E$1:E6212)*(E2=E$1:E6212))))))</f>
        <v> </v>
      </c>
      <c r="K6213" s="26" t="str">
        <f>IF(OR(E6213="",E6213="!!!",F6213="NEW"),"",INDEX(J$1:J6212,SUMPRODUCT(MAX(ROW(E$1:E6212)*(E6213=E$1:E6212)))))</f>
        <v> </v>
      </c>
      <c r="L6213" s="27"/>
    </row>
    <row r="6214" spans="1:12">
      <c r="A6214" s="20" t="s">
        <v>1312</v>
      </c>
      <c r="B6214" s="21" t="s">
        <v>1245</v>
      </c>
      <c r="E6214" s="22">
        <f>IF(D6214="?OLD","!!!","")</f>
        <v/>
      </c>
      <c r="F6214" s="23" t="str">
        <f>IF(OR(E6214="",E6214="!!!"),"",IF(NOT(ISNA(VLOOKUP(E6214,E$1:E6213,1,FALSE()))),"OLD",IF(AND(E6214&lt;&gt;"",E6214&lt;&gt;"!!!"),"NEW","")))</f>
        <v> </v>
      </c>
      <c r="G6214" s="24" t="str">
        <f>IF(OR(E6214="",E6214="!!!"),"",IF(OR(J6214=0,AND(J6214=1,K6214=1),AND(J6214=1,I6214="SBJ"),AND(J6214=1,I6214=0)),"?IN_FOCUS",IF(J6214&lt;=2,"?ACTIVATED",IF(J6214&lt;&gt;"","?FAMILIAR",IF(F6214="NEW",IF(ISNA(VLOOKUP(E6214,#REF!,1,FALSE())),"?TYPE_IDENTIFIABLE","?REFERENTIAL"),"_")))))</f>
        <v> </v>
      </c>
      <c r="H6214" s="25" t="str">
        <f>IF(J6214&lt;&gt;1,"",IF(I6214="SBJ","CB","?"))</f>
        <v> </v>
      </c>
      <c r="I6214" s="26" t="str">
        <f>IF(OR(E6214="",E6214="!!!",F6214="NEW"),"",INDEX(B6213:B$2,-1+SUMPRODUCT(MAX(ROW(E6213:E$2)*(E6214=E6213:E$2)))))</f>
        <v> </v>
      </c>
      <c r="J6214" s="26" t="str">
        <f>IF(OR(E6214="",E6214="!!!",F6214="NEW"),"",COUNTBLANK(OFFSET(A$1,,,SUMPRODUCT(MAX(ROW(E$2:E6214)*(E6214=E$2:E6214)))))-COUNTBLANK(OFFSET(A$1,,,SUMPRODUCT(MAX(ROW(E$1:E6213)*(E2=E$1:E6213))))))</f>
        <v> </v>
      </c>
      <c r="K6214" s="26" t="str">
        <f>IF(OR(E6214="",E6214="!!!",F6214="NEW"),"",INDEX(J$1:J6213,SUMPRODUCT(MAX(ROW(E$1:E6213)*(E6214=E$1:E6213)))))</f>
        <v> </v>
      </c>
      <c r="L6214" s="27"/>
    </row>
    <row r="6215" spans="1:12">
      <c r="A6215" s="20" t="s">
        <v>1193</v>
      </c>
      <c r="E6215" s="22">
        <f>IF(D6215="?OLD","!!!","")</f>
        <v/>
      </c>
      <c r="F6215" s="23" t="str">
        <f>IF(OR(E6215="",E6215="!!!"),"",IF(NOT(ISNA(VLOOKUP(E6215,E$1:E6214,1,FALSE()))),"OLD",IF(AND(E6215&lt;&gt;"",E6215&lt;&gt;"!!!"),"NEW","")))</f>
        <v> </v>
      </c>
      <c r="G6215" s="24" t="str">
        <f>IF(OR(E6215="",E6215="!!!"),"",IF(OR(J6215=0,AND(J6215=1,K6215=1),AND(J6215=1,I6215="SBJ"),AND(J6215=1,I6215=0)),"?IN_FOCUS",IF(J6215&lt;=2,"?ACTIVATED",IF(J6215&lt;&gt;"","?FAMILIAR",IF(F6215="NEW",IF(ISNA(VLOOKUP(E6215,#REF!,1,FALSE())),"?TYPE_IDENTIFIABLE","?REFERENTIAL"),"_")))))</f>
        <v> </v>
      </c>
      <c r="H6215" s="25" t="str">
        <f>IF(J6215&lt;&gt;1,"",IF(I6215="SBJ","CB","?"))</f>
        <v> </v>
      </c>
      <c r="I6215" s="26" t="str">
        <f>IF(OR(E6215="",E6215="!!!",F6215="NEW"),"",INDEX(B6214:B$2,-1+SUMPRODUCT(MAX(ROW(E6214:E$2)*(E6215=E6214:E$2)))))</f>
        <v> </v>
      </c>
      <c r="J6215" s="26" t="str">
        <f>IF(OR(E6215="",E6215="!!!",F6215="NEW"),"",COUNTBLANK(OFFSET(A$1,,,SUMPRODUCT(MAX(ROW(E$2:E6215)*(E6215=E$2:E6215)))))-COUNTBLANK(OFFSET(A$1,,,SUMPRODUCT(MAX(ROW(E$1:E6214)*(E2=E$1:E6214))))))</f>
        <v> </v>
      </c>
      <c r="K6215" s="26" t="str">
        <f>IF(OR(E6215="",E6215="!!!",F6215="NEW"),"",INDEX(J$1:J6214,SUMPRODUCT(MAX(ROW(E$1:E6214)*(E6215=E$1:E6214)))))</f>
        <v> </v>
      </c>
      <c r="L6215" s="27"/>
    </row>
    <row r="6216" spans="1:12">
      <c r="A6216" s="20" t="s">
        <v>1607</v>
      </c>
      <c r="B6216" s="21" t="s">
        <v>1311</v>
      </c>
      <c r="C6216" s="21" t="s">
        <v>1203</v>
      </c>
      <c r="D6216" s="21" t="s">
        <v>1188</v>
      </c>
      <c r="E6216" s="22">
        <f>IF(D6216="?OLD","!!!","")</f>
        <v/>
      </c>
      <c r="F6216" s="23" t="str">
        <f>IF(OR(E6216="",E6216="!!!"),"",IF(NOT(ISNA(VLOOKUP(E6216,E$1:E6215,1,FALSE()))),"OLD",IF(AND(E6216&lt;&gt;"",E6216&lt;&gt;"!!!"),"NEW","")))</f>
        <v> </v>
      </c>
      <c r="G6216" s="24" t="str">
        <f>IF(OR(E6216="",E6216="!!!"),"",IF(OR(J6216=0,AND(J6216=1,K6216=1),AND(J6216=1,I6216="SBJ"),AND(J6216=1,I6216=0)),"?IN_FOCUS",IF(J6216&lt;=2,"?ACTIVATED",IF(J6216&lt;&gt;"","?FAMILIAR",IF(F6216="NEW",IF(ISNA(VLOOKUP(E6216,#REF!,1,FALSE())),"?TYPE_IDENTIFIABLE","?REFERENTIAL"),"_")))))</f>
        <v> </v>
      </c>
      <c r="H6216" s="25" t="str">
        <f>IF(J6216&lt;&gt;1,"",IF(I6216="SBJ","CB","?"))</f>
        <v> </v>
      </c>
      <c r="I6216" s="26" t="str">
        <f>IF(OR(E6216="",E6216="!!!",F6216="NEW"),"",INDEX(B6215:B$2,-1+SUMPRODUCT(MAX(ROW(E6215:E$2)*(E6216=E6215:E$2)))))</f>
        <v> </v>
      </c>
      <c r="J6216" s="26" t="str">
        <f>IF(OR(E6216="",E6216="!!!",F6216="NEW"),"",COUNTBLANK(OFFSET(A$1,,,SUMPRODUCT(MAX(ROW(E$2:E6216)*(E6216=E$2:E6216)))))-COUNTBLANK(OFFSET(A$1,,,SUMPRODUCT(MAX(ROW(E$1:E6215)*(E2=E$1:E6215))))))</f>
        <v> </v>
      </c>
      <c r="K6216" s="26" t="str">
        <f>IF(OR(E6216="",E6216="!!!",F6216="NEW"),"",INDEX(J$1:J6215,SUMPRODUCT(MAX(ROW(E$1:E6215)*(E6216=E$1:E6215)))))</f>
        <v> </v>
      </c>
      <c r="L6216" s="27"/>
    </row>
    <row r="6217" spans="1:12">
      <c r="A6217" s="20" t="s">
        <v>2875</v>
      </c>
      <c r="E6217" s="22">
        <f>IF(D6217="?OLD","!!!","")</f>
        <v/>
      </c>
      <c r="F6217" s="23" t="str">
        <f>IF(OR(E6217="",E6217="!!!"),"",IF(NOT(ISNA(VLOOKUP(E6217,E$1:E6216,1,FALSE()))),"OLD",IF(AND(E6217&lt;&gt;"",E6217&lt;&gt;"!!!"),"NEW","")))</f>
        <v> </v>
      </c>
      <c r="G6217" s="24" t="str">
        <f>IF(OR(E6217="",E6217="!!!"),"",IF(OR(J6217=0,AND(J6217=1,K6217=1),AND(J6217=1,I6217="SBJ"),AND(J6217=1,I6217=0)),"?IN_FOCUS",IF(J6217&lt;=2,"?ACTIVATED",IF(J6217&lt;&gt;"","?FAMILIAR",IF(F6217="NEW",IF(ISNA(VLOOKUP(E6217,#REF!,1,FALSE())),"?TYPE_IDENTIFIABLE","?REFERENTIAL"),"_")))))</f>
        <v> </v>
      </c>
      <c r="H6217" s="25" t="str">
        <f>IF(J6217&lt;&gt;1,"",IF(I6217="SBJ","CB","?"))</f>
        <v> </v>
      </c>
      <c r="I6217" s="26" t="str">
        <f>IF(OR(E6217="",E6217="!!!",F6217="NEW"),"",INDEX(B6216:B$2,-1+SUMPRODUCT(MAX(ROW(E6216:E$2)*(E6217=E6216:E$2)))))</f>
        <v> </v>
      </c>
      <c r="J6217" s="26" t="str">
        <f>IF(OR(E6217="",E6217="!!!",F6217="NEW"),"",COUNTBLANK(OFFSET(A$1,,,SUMPRODUCT(MAX(ROW(E$2:E6217)*(E6217=E$2:E6217)))))-COUNTBLANK(OFFSET(A$1,,,SUMPRODUCT(MAX(ROW(E$1:E6216)*(E2=E$1:E6216))))))</f>
        <v> </v>
      </c>
      <c r="K6217" s="26" t="str">
        <f>IF(OR(E6217="",E6217="!!!",F6217="NEW"),"",INDEX(J$1:J6216,SUMPRODUCT(MAX(ROW(E$1:E6216)*(E6217=E$1:E6216)))))</f>
        <v> </v>
      </c>
      <c r="L6217" s="27"/>
    </row>
    <row r="6218" spans="1:12">
      <c r="A6218" s="20" t="s">
        <v>826</v>
      </c>
      <c r="E6218" s="22">
        <f>IF(D6218="?OLD","!!!","")</f>
        <v/>
      </c>
      <c r="F6218" s="23" t="str">
        <f>IF(OR(E6218="",E6218="!!!"),"",IF(NOT(ISNA(VLOOKUP(E6218,E$1:E6217,1,FALSE()))),"OLD",IF(AND(E6218&lt;&gt;"",E6218&lt;&gt;"!!!"),"NEW","")))</f>
        <v> </v>
      </c>
      <c r="G6218" s="24" t="str">
        <f>IF(OR(E6218="",E6218="!!!"),"",IF(OR(J6218=0,AND(J6218=1,K6218=1),AND(J6218=1,I6218="SBJ"),AND(J6218=1,I6218=0)),"?IN_FOCUS",IF(J6218&lt;=2,"?ACTIVATED",IF(J6218&lt;&gt;"","?FAMILIAR",IF(F6218="NEW",IF(ISNA(VLOOKUP(E6218,#REF!,1,FALSE())),"?TYPE_IDENTIFIABLE","?REFERENTIAL"),"_")))))</f>
        <v> </v>
      </c>
      <c r="H6218" s="25" t="str">
        <f>IF(J6218&lt;&gt;1,"",IF(I6218="SBJ","CB","?"))</f>
        <v> </v>
      </c>
      <c r="I6218" s="26" t="str">
        <f>IF(OR(E6218="",E6218="!!!",F6218="NEW"),"",INDEX(B6217:B$2,-1+SUMPRODUCT(MAX(ROW(E6217:E$2)*(E6218=E6217:E$2)))))</f>
        <v> </v>
      </c>
      <c r="J6218" s="26" t="str">
        <f>IF(OR(E6218="",E6218="!!!",F6218="NEW"),"",COUNTBLANK(OFFSET(A$1,,,SUMPRODUCT(MAX(ROW(E$2:E6218)*(E6218=E$2:E6218)))))-COUNTBLANK(OFFSET(A$1,,,SUMPRODUCT(MAX(ROW(E$1:E6217)*(E2=E$1:E6217))))))</f>
        <v> </v>
      </c>
      <c r="K6218" s="26" t="str">
        <f>IF(OR(E6218="",E6218="!!!",F6218="NEW"),"",INDEX(J$1:J6217,SUMPRODUCT(MAX(ROW(E$1:E6217)*(E6218=E$1:E6217)))))</f>
        <v> </v>
      </c>
      <c r="L6218" s="27"/>
    </row>
    <row r="6219" spans="1:12">
      <c r="A6219" s="20"/>
    </row>
    <row r="6220" spans="1:12">
      <c r="A6220" s="20" t="s">
        <v>2876</v>
      </c>
    </row>
    <row r="6221" spans="1:12">
      <c r="A6221" s="20" t="s">
        <v>1201</v>
      </c>
      <c r="B6221" s="21" t="s">
        <v>1202</v>
      </c>
      <c r="C6221" s="21" t="s">
        <v>1203</v>
      </c>
      <c r="D6221" s="21" t="s">
        <v>1188</v>
      </c>
      <c r="E6221" s="22">
        <f>IF(D6221="?OLD","!!!","")</f>
        <v/>
      </c>
      <c r="F6221" s="23" t="str">
        <f>IF(OR(E6221="",E6221="!!!"),"",IF(NOT(ISNA(VLOOKUP(E6221,E$1:E6220,1,FALSE()))),"OLD",IF(AND(E6221&lt;&gt;"",E6221&lt;&gt;"!!!"),"NEW","")))</f>
        <v> </v>
      </c>
      <c r="G6221" s="24" t="str">
        <f>IF(OR(E6221="",E6221="!!!"),"",IF(OR(J6221=0,AND(J6221=1,K6221=1),AND(J6221=1,I6221="SBJ"),AND(J6221=1,I6221=0)),"?IN_FOCUS",IF(J6221&lt;=2,"?ACTIVATED",IF(J6221&lt;&gt;"","?FAMILIAR",IF(F6221="NEW",IF(ISNA(VLOOKUP(E6221,#REF!,1,FALSE())),"?TYPE_IDENTIFIABLE","?REFERENTIAL"),"_")))))</f>
        <v> </v>
      </c>
      <c r="H6221" s="25" t="str">
        <f>IF(J6221&lt;&gt;1,"",IF(I6221="SBJ","CB","?"))</f>
        <v> </v>
      </c>
      <c r="I6221" s="26" t="str">
        <f>IF(OR(E6221="",E6221="!!!",F6221="NEW"),"",INDEX(B6220:B$2,-1+SUMPRODUCT(MAX(ROW(E6220:E$2)*(E6221=E6220:E$2)))))</f>
        <v> </v>
      </c>
      <c r="J6221" s="26" t="str">
        <f>IF(OR(E6221="",E6221="!!!",F6221="NEW"),"",COUNTBLANK(OFFSET(A$1,,,SUMPRODUCT(MAX(ROW(E$2:E6221)*(E6221=E$2:E6221)))))-COUNTBLANK(OFFSET(A$1,,,SUMPRODUCT(MAX(ROW(E$1:E6220)*(E2=E$1:E6220))))))</f>
        <v> </v>
      </c>
      <c r="K6221" s="26" t="str">
        <f>IF(OR(E6221="",E6221="!!!",F6221="NEW"),"",INDEX(J$1:J6220,SUMPRODUCT(MAX(ROW(E$1:E6220)*(E6221=E$1:E6220)))))</f>
        <v> </v>
      </c>
      <c r="L6221" s="27"/>
    </row>
    <row r="6222" spans="1:12">
      <c r="A6222" s="20" t="s">
        <v>2722</v>
      </c>
      <c r="E6222" s="22">
        <f>IF(D6222="?OLD","!!!","")</f>
        <v/>
      </c>
      <c r="F6222" s="23" t="str">
        <f>IF(OR(E6222="",E6222="!!!"),"",IF(NOT(ISNA(VLOOKUP(E6222,E$1:E6221,1,FALSE()))),"OLD",IF(AND(E6222&lt;&gt;"",E6222&lt;&gt;"!!!"),"NEW","")))</f>
        <v> </v>
      </c>
      <c r="G6222" s="24" t="str">
        <f>IF(OR(E6222="",E6222="!!!"),"",IF(OR(J6222=0,AND(J6222=1,K6222=1),AND(J6222=1,I6222="SBJ"),AND(J6222=1,I6222=0)),"?IN_FOCUS",IF(J6222&lt;=2,"?ACTIVATED",IF(J6222&lt;&gt;"","?FAMILIAR",IF(F6222="NEW",IF(ISNA(VLOOKUP(E6222,#REF!,1,FALSE())),"?TYPE_IDENTIFIABLE","?REFERENTIAL"),"_")))))</f>
        <v> </v>
      </c>
      <c r="H6222" s="25" t="str">
        <f>IF(J6222&lt;&gt;1,"",IF(I6222="SBJ","CB","?"))</f>
        <v> </v>
      </c>
      <c r="I6222" s="26" t="str">
        <f>IF(OR(E6222="",E6222="!!!",F6222="NEW"),"",INDEX(B6221:B$2,-1+SUMPRODUCT(MAX(ROW(E6221:E$2)*(E6222=E6221:E$2)))))</f>
        <v> </v>
      </c>
      <c r="J6222" s="26" t="str">
        <f>IF(OR(E6222="",E6222="!!!",F6222="NEW"),"",COUNTBLANK(OFFSET(A$1,,,SUMPRODUCT(MAX(ROW(E$2:E6222)*(E6222=E$2:E6222)))))-COUNTBLANK(OFFSET(A$1,,,SUMPRODUCT(MAX(ROW(E$1:E6221)*(E2=E$1:E6221))))))</f>
        <v> </v>
      </c>
      <c r="K6222" s="26" t="str">
        <f>IF(OR(E6222="",E6222="!!!",F6222="NEW"),"",INDEX(J$1:J6221,SUMPRODUCT(MAX(ROW(E$1:E6221)*(E6222=E$1:E6221)))))</f>
        <v> </v>
      </c>
      <c r="L6222" s="27"/>
    </row>
    <row r="6223" spans="1:12">
      <c r="A6223" s="20" t="s">
        <v>1193</v>
      </c>
      <c r="E6223" s="22">
        <f>IF(D6223="?OLD","!!!","")</f>
        <v/>
      </c>
      <c r="F6223" s="23" t="str">
        <f>IF(OR(E6223="",E6223="!!!"),"",IF(NOT(ISNA(VLOOKUP(E6223,E$1:E6222,1,FALSE()))),"OLD",IF(AND(E6223&lt;&gt;"",E6223&lt;&gt;"!!!"),"NEW","")))</f>
        <v> </v>
      </c>
      <c r="G6223" s="24" t="str">
        <f>IF(OR(E6223="",E6223="!!!"),"",IF(OR(J6223=0,AND(J6223=1,K6223=1),AND(J6223=1,I6223="SBJ"),AND(J6223=1,I6223=0)),"?IN_FOCUS",IF(J6223&lt;=2,"?ACTIVATED",IF(J6223&lt;&gt;"","?FAMILIAR",IF(F6223="NEW",IF(ISNA(VLOOKUP(E6223,#REF!,1,FALSE())),"?TYPE_IDENTIFIABLE","?REFERENTIAL"),"_")))))</f>
        <v> </v>
      </c>
      <c r="H6223" s="25" t="str">
        <f>IF(J6223&lt;&gt;1,"",IF(I6223="SBJ","CB","?"))</f>
        <v> </v>
      </c>
      <c r="I6223" s="26" t="str">
        <f>IF(OR(E6223="",E6223="!!!",F6223="NEW"),"",INDEX(B6222:B$2,-1+SUMPRODUCT(MAX(ROW(E6222:E$2)*(E6223=E6222:E$2)))))</f>
        <v> </v>
      </c>
      <c r="J6223" s="26" t="str">
        <f>IF(OR(E6223="",E6223="!!!",F6223="NEW"),"",COUNTBLANK(OFFSET(A$1,,,SUMPRODUCT(MAX(ROW(E$2:E6223)*(E6223=E$2:E6223)))))-COUNTBLANK(OFFSET(A$1,,,SUMPRODUCT(MAX(ROW(E$1:E6222)*(E2=E$1:E6222))))))</f>
        <v> </v>
      </c>
      <c r="K6223" s="26" t="str">
        <f>IF(OR(E6223="",E6223="!!!",F6223="NEW"),"",INDEX(J$1:J6222,SUMPRODUCT(MAX(ROW(E$1:E6222)*(E6223=E$1:E6222)))))</f>
        <v> </v>
      </c>
      <c r="L6223" s="27"/>
    </row>
    <row r="6224" spans="1:12">
      <c r="A6224" s="20" t="s">
        <v>1539</v>
      </c>
      <c r="B6224" s="21" t="s">
        <v>1215</v>
      </c>
      <c r="C6224" s="21" t="s">
        <v>1304</v>
      </c>
      <c r="D6224" s="21" t="s">
        <v>1188</v>
      </c>
      <c r="E6224" s="22">
        <f>IF(D6224="?OLD","!!!","")</f>
        <v/>
      </c>
      <c r="F6224" s="23" t="str">
        <f>IF(OR(E6224="",E6224="!!!"),"",IF(NOT(ISNA(VLOOKUP(E6224,E$1:E6223,1,FALSE()))),"OLD",IF(AND(E6224&lt;&gt;"",E6224&lt;&gt;"!!!"),"NEW","")))</f>
        <v> </v>
      </c>
      <c r="G6224" s="24" t="str">
        <f>IF(OR(E6224="",E6224="!!!"),"",IF(OR(J6224=0,AND(J6224=1,K6224=1),AND(J6224=1,I6224="SBJ"),AND(J6224=1,I6224=0)),"?IN_FOCUS",IF(J6224&lt;=2,"?ACTIVATED",IF(J6224&lt;&gt;"","?FAMILIAR",IF(F6224="NEW",IF(ISNA(VLOOKUP(E6224,#REF!,1,FALSE())),"?TYPE_IDENTIFIABLE","?REFERENTIAL"),"_")))))</f>
        <v> </v>
      </c>
      <c r="H6224" s="25" t="str">
        <f>IF(J6224&lt;&gt;1,"",IF(I6224="SBJ","CB","?"))</f>
        <v> </v>
      </c>
      <c r="I6224" s="26" t="str">
        <f>IF(OR(E6224="",E6224="!!!",F6224="NEW"),"",INDEX(B6223:B$2,-1+SUMPRODUCT(MAX(ROW(E6223:E$2)*(E6224=E6223:E$2)))))</f>
        <v> </v>
      </c>
      <c r="J6224" s="26" t="str">
        <f>IF(OR(E6224="",E6224="!!!",F6224="NEW"),"",COUNTBLANK(OFFSET(A$1,,,SUMPRODUCT(MAX(ROW(E$2:E6224)*(E6224=E$2:E6224)))))-COUNTBLANK(OFFSET(A$1,,,SUMPRODUCT(MAX(ROW(E$1:E6223)*(E2=E$1:E6223))))))</f>
        <v> </v>
      </c>
      <c r="K6224" s="26" t="str">
        <f>IF(OR(E6224="",E6224="!!!",F6224="NEW"),"",INDEX(J$1:J6223,SUMPRODUCT(MAX(ROW(E$1:E6223)*(E6224=E$1:E6223)))))</f>
        <v> </v>
      </c>
      <c r="L6224" s="27"/>
    </row>
    <row r="6225" spans="1:12">
      <c r="A6225" s="20" t="s">
        <v>2877</v>
      </c>
      <c r="B6225" s="21" t="s">
        <v>1248</v>
      </c>
      <c r="C6225" s="21" t="s">
        <v>1192</v>
      </c>
      <c r="E6225" s="22">
        <f>IF(D6225="?OLD","!!!","")</f>
        <v/>
      </c>
      <c r="F6225" s="23" t="str">
        <f>IF(OR(E6225="",E6225="!!!"),"",IF(NOT(ISNA(VLOOKUP(E6225,E$1:E6224,1,FALSE()))),"OLD",IF(AND(E6225&lt;&gt;"",E6225&lt;&gt;"!!!"),"NEW","")))</f>
        <v> </v>
      </c>
      <c r="G6225" s="24" t="str">
        <f>IF(OR(E6225="",E6225="!!!"),"",IF(OR(J6225=0,AND(J6225=1,K6225=1),AND(J6225=1,I6225="SBJ"),AND(J6225=1,I6225=0)),"?IN_FOCUS",IF(J6225&lt;=2,"?ACTIVATED",IF(J6225&lt;&gt;"","?FAMILIAR",IF(F6225="NEW",IF(ISNA(VLOOKUP(E6225,#REF!,1,FALSE())),"?TYPE_IDENTIFIABLE","?REFERENTIAL"),"_")))))</f>
        <v> </v>
      </c>
      <c r="H6225" s="25" t="str">
        <f>IF(J6225&lt;&gt;1,"",IF(I6225="SBJ","CB","?"))</f>
        <v> </v>
      </c>
      <c r="I6225" s="26" t="str">
        <f>IF(OR(E6225="",E6225="!!!",F6225="NEW"),"",INDEX(B6224:B$2,-1+SUMPRODUCT(MAX(ROW(E6224:E$2)*(E6225=E6224:E$2)))))</f>
        <v> </v>
      </c>
      <c r="J6225" s="26" t="str">
        <f>IF(OR(E6225="",E6225="!!!",F6225="NEW"),"",COUNTBLANK(OFFSET(A$1,,,SUMPRODUCT(MAX(ROW(E$2:E6225)*(E6225=E$2:E6225)))))-COUNTBLANK(OFFSET(A$1,,,SUMPRODUCT(MAX(ROW(E$1:E6224)*(E2=E$1:E6224))))))</f>
        <v> </v>
      </c>
      <c r="K6225" s="26" t="str">
        <f>IF(OR(E6225="",E6225="!!!",F6225="NEW"),"",INDEX(J$1:J6224,SUMPRODUCT(MAX(ROW(E$1:E6224)*(E6225=E$1:E6224)))))</f>
        <v> </v>
      </c>
      <c r="L6225" s="27"/>
    </row>
    <row r="6226" spans="1:12">
      <c r="A6226" s="20" t="s">
        <v>1243</v>
      </c>
      <c r="E6226" s="22">
        <f>IF(D6226="?OLD","!!!","")</f>
        <v/>
      </c>
      <c r="F6226" s="23" t="str">
        <f>IF(OR(E6226="",E6226="!!!"),"",IF(NOT(ISNA(VLOOKUP(E6226,E$1:E6225,1,FALSE()))),"OLD",IF(AND(E6226&lt;&gt;"",E6226&lt;&gt;"!!!"),"NEW","")))</f>
        <v> </v>
      </c>
      <c r="G6226" s="24" t="str">
        <f>IF(OR(E6226="",E6226="!!!"),"",IF(OR(J6226=0,AND(J6226=1,K6226=1),AND(J6226=1,I6226="SBJ"),AND(J6226=1,I6226=0)),"?IN_FOCUS",IF(J6226&lt;=2,"?ACTIVATED",IF(J6226&lt;&gt;"","?FAMILIAR",IF(F6226="NEW",IF(ISNA(VLOOKUP(E6226,#REF!,1,FALSE())),"?TYPE_IDENTIFIABLE","?REFERENTIAL"),"_")))))</f>
        <v> </v>
      </c>
      <c r="H6226" s="25" t="str">
        <f>IF(J6226&lt;&gt;1,"",IF(I6226="SBJ","CB","?"))</f>
        <v> </v>
      </c>
      <c r="I6226" s="26" t="str">
        <f>IF(OR(E6226="",E6226="!!!",F6226="NEW"),"",INDEX(B6225:B$2,-1+SUMPRODUCT(MAX(ROW(E6225:E$2)*(E6226=E6225:E$2)))))</f>
        <v> </v>
      </c>
      <c r="J6226" s="26" t="str">
        <f>IF(OR(E6226="",E6226="!!!",F6226="NEW"),"",COUNTBLANK(OFFSET(A$1,,,SUMPRODUCT(MAX(ROW(E$2:E6226)*(E6226=E$2:E6226)))))-COUNTBLANK(OFFSET(A$1,,,SUMPRODUCT(MAX(ROW(E$1:E6225)*(E2=E$1:E6225))))))</f>
        <v> </v>
      </c>
      <c r="K6226" s="26" t="str">
        <f>IF(OR(E6226="",E6226="!!!",F6226="NEW"),"",INDEX(J$1:J6225,SUMPRODUCT(MAX(ROW(E$1:E6225)*(E6226=E$1:E6225)))))</f>
        <v> </v>
      </c>
      <c r="L6226" s="27"/>
    </row>
    <row r="6227" spans="1:12">
      <c r="A6227" s="20" t="s">
        <v>1382</v>
      </c>
      <c r="E6227" s="22">
        <f>IF(D6227="?OLD","!!!","")</f>
        <v/>
      </c>
      <c r="F6227" s="23" t="str">
        <f>IF(OR(E6227="",E6227="!!!"),"",IF(NOT(ISNA(VLOOKUP(E6227,E$1:E6226,1,FALSE()))),"OLD",IF(AND(E6227&lt;&gt;"",E6227&lt;&gt;"!!!"),"NEW","")))</f>
        <v> </v>
      </c>
      <c r="G6227" s="24" t="str">
        <f>IF(OR(E6227="",E6227="!!!"),"",IF(OR(J6227=0,AND(J6227=1,K6227=1),AND(J6227=1,I6227="SBJ"),AND(J6227=1,I6227=0)),"?IN_FOCUS",IF(J6227&lt;=2,"?ACTIVATED",IF(J6227&lt;&gt;"","?FAMILIAR",IF(F6227="NEW",IF(ISNA(VLOOKUP(E6227,#REF!,1,FALSE())),"?TYPE_IDENTIFIABLE","?REFERENTIAL"),"_")))))</f>
        <v> </v>
      </c>
      <c r="H6227" s="25" t="str">
        <f>IF(J6227&lt;&gt;1,"",IF(I6227="SBJ","CB","?"))</f>
        <v> </v>
      </c>
      <c r="I6227" s="26" t="str">
        <f>IF(OR(E6227="",E6227="!!!",F6227="NEW"),"",INDEX(B6226:B$2,-1+SUMPRODUCT(MAX(ROW(E6226:E$2)*(E6227=E6226:E$2)))))</f>
        <v> </v>
      </c>
      <c r="J6227" s="26" t="str">
        <f>IF(OR(E6227="",E6227="!!!",F6227="NEW"),"",COUNTBLANK(OFFSET(A$1,,,SUMPRODUCT(MAX(ROW(E$2:E6227)*(E6227=E$2:E6227)))))-COUNTBLANK(OFFSET(A$1,,,SUMPRODUCT(MAX(ROW(E$1:E6226)*(E2=E$1:E6226))))))</f>
        <v> </v>
      </c>
      <c r="K6227" s="26" t="str">
        <f>IF(OR(E6227="",E6227="!!!",F6227="NEW"),"",INDEX(J$1:J6226,SUMPRODUCT(MAX(ROW(E$1:E6226)*(E6227=E$1:E6226)))))</f>
        <v> </v>
      </c>
      <c r="L6227" s="27"/>
    </row>
    <row r="6228" spans="1:12">
      <c r="A6228" s="20" t="s">
        <v>1566</v>
      </c>
      <c r="E6228" s="22">
        <f>IF(D6228="?OLD","!!!","")</f>
        <v/>
      </c>
      <c r="F6228" s="23" t="str">
        <f>IF(OR(E6228="",E6228="!!!"),"",IF(NOT(ISNA(VLOOKUP(E6228,E$1:E6227,1,FALSE()))),"OLD",IF(AND(E6228&lt;&gt;"",E6228&lt;&gt;"!!!"),"NEW","")))</f>
        <v> </v>
      </c>
      <c r="G6228" s="24" t="str">
        <f>IF(OR(E6228="",E6228="!!!"),"",IF(OR(J6228=0,AND(J6228=1,K6228=1),AND(J6228=1,I6228="SBJ"),AND(J6228=1,I6228=0)),"?IN_FOCUS",IF(J6228&lt;=2,"?ACTIVATED",IF(J6228&lt;&gt;"","?FAMILIAR",IF(F6228="NEW",IF(ISNA(VLOOKUP(E6228,#REF!,1,FALSE())),"?TYPE_IDENTIFIABLE","?REFERENTIAL"),"_")))))</f>
        <v> </v>
      </c>
      <c r="H6228" s="25" t="str">
        <f>IF(J6228&lt;&gt;1,"",IF(I6228="SBJ","CB","?"))</f>
        <v> </v>
      </c>
      <c r="I6228" s="26" t="str">
        <f>IF(OR(E6228="",E6228="!!!",F6228="NEW"),"",INDEX(B6227:B$2,-1+SUMPRODUCT(MAX(ROW(E6227:E$2)*(E6228=E6227:E$2)))))</f>
        <v> </v>
      </c>
      <c r="J6228" s="26" t="str">
        <f>IF(OR(E6228="",E6228="!!!",F6228="NEW"),"",COUNTBLANK(OFFSET(A$1,,,SUMPRODUCT(MAX(ROW(E$2:E6228)*(E6228=E$2:E6228)))))-COUNTBLANK(OFFSET(A$1,,,SUMPRODUCT(MAX(ROW(E$1:E6227)*(E2=E$1:E6227))))))</f>
        <v> </v>
      </c>
      <c r="K6228" s="26" t="str">
        <f>IF(OR(E6228="",E6228="!!!",F6228="NEW"),"",INDEX(J$1:J6227,SUMPRODUCT(MAX(ROW(E$1:E6227)*(E6228=E$1:E6227)))))</f>
        <v> </v>
      </c>
      <c r="L6228" s="27"/>
    </row>
    <row r="6229" spans="1:12">
      <c r="A6229" s="20" t="s">
        <v>1241</v>
      </c>
      <c r="E6229" s="22">
        <f>IF(D6229="?OLD","!!!","")</f>
        <v/>
      </c>
      <c r="F6229" s="23" t="str">
        <f>IF(OR(E6229="",E6229="!!!"),"",IF(NOT(ISNA(VLOOKUP(E6229,E$1:E6228,1,FALSE()))),"OLD",IF(AND(E6229&lt;&gt;"",E6229&lt;&gt;"!!!"),"NEW","")))</f>
        <v> </v>
      </c>
      <c r="G6229" s="24" t="str">
        <f>IF(OR(E6229="",E6229="!!!"),"",IF(OR(J6229=0,AND(J6229=1,K6229=1),AND(J6229=1,I6229="SBJ"),AND(J6229=1,I6229=0)),"?IN_FOCUS",IF(J6229&lt;=2,"?ACTIVATED",IF(J6229&lt;&gt;"","?FAMILIAR",IF(F6229="NEW",IF(ISNA(VLOOKUP(E6229,#REF!,1,FALSE())),"?TYPE_IDENTIFIABLE","?REFERENTIAL"),"_")))))</f>
        <v> </v>
      </c>
      <c r="H6229" s="25" t="str">
        <f>IF(J6229&lt;&gt;1,"",IF(I6229="SBJ","CB","?"))</f>
        <v> </v>
      </c>
      <c r="I6229" s="26" t="str">
        <f>IF(OR(E6229="",E6229="!!!",F6229="NEW"),"",INDEX(B6228:B$2,-1+SUMPRODUCT(MAX(ROW(E6228:E$2)*(E6229=E6228:E$2)))))</f>
        <v> </v>
      </c>
      <c r="J6229" s="26" t="str">
        <f>IF(OR(E6229="",E6229="!!!",F6229="NEW"),"",COUNTBLANK(OFFSET(A$1,,,SUMPRODUCT(MAX(ROW(E$2:E6229)*(E6229=E$2:E6229)))))-COUNTBLANK(OFFSET(A$1,,,SUMPRODUCT(MAX(ROW(E$1:E6228)*(E2=E$1:E6228))))))</f>
        <v> </v>
      </c>
      <c r="K6229" s="26" t="str">
        <f>IF(OR(E6229="",E6229="!!!",F6229="NEW"),"",INDEX(J$1:J6228,SUMPRODUCT(MAX(ROW(E$1:E6228)*(E6229=E$1:E6228)))))</f>
        <v> </v>
      </c>
      <c r="L6229" s="27"/>
    </row>
    <row r="6230" spans="1:12">
      <c r="A6230" s="20" t="s">
        <v>1309</v>
      </c>
      <c r="E6230" s="22">
        <f>IF(D6230="?OLD","!!!","")</f>
        <v/>
      </c>
      <c r="F6230" s="23" t="str">
        <f>IF(OR(E6230="",E6230="!!!"),"",IF(NOT(ISNA(VLOOKUP(E6230,E$1:E6229,1,FALSE()))),"OLD",IF(AND(E6230&lt;&gt;"",E6230&lt;&gt;"!!!"),"NEW","")))</f>
        <v> </v>
      </c>
      <c r="G6230" s="24" t="str">
        <f>IF(OR(E6230="",E6230="!!!"),"",IF(OR(J6230=0,AND(J6230=1,K6230=1),AND(J6230=1,I6230="SBJ"),AND(J6230=1,I6230=0)),"?IN_FOCUS",IF(J6230&lt;=2,"?ACTIVATED",IF(J6230&lt;&gt;"","?FAMILIAR",IF(F6230="NEW",IF(ISNA(VLOOKUP(E6230,#REF!,1,FALSE())),"?TYPE_IDENTIFIABLE","?REFERENTIAL"),"_")))))</f>
        <v> </v>
      </c>
      <c r="H6230" s="25" t="str">
        <f>IF(J6230&lt;&gt;1,"",IF(I6230="SBJ","CB","?"))</f>
        <v> </v>
      </c>
      <c r="I6230" s="26" t="str">
        <f>IF(OR(E6230="",E6230="!!!",F6230="NEW"),"",INDEX(B6229:B$2,-1+SUMPRODUCT(MAX(ROW(E6229:E$2)*(E6230=E6229:E$2)))))</f>
        <v> </v>
      </c>
      <c r="J6230" s="26" t="str">
        <f>IF(OR(E6230="",E6230="!!!",F6230="NEW"),"",COUNTBLANK(OFFSET(A$1,,,SUMPRODUCT(MAX(ROW(E$2:E6230)*(E6230=E$2:E6230)))))-COUNTBLANK(OFFSET(A$1,,,SUMPRODUCT(MAX(ROW(E$1:E6229)*(E2=E$1:E6229))))))</f>
        <v> </v>
      </c>
      <c r="K6230" s="26" t="str">
        <f>IF(OR(E6230="",E6230="!!!",F6230="NEW"),"",INDEX(J$1:J6229,SUMPRODUCT(MAX(ROW(E$1:E6229)*(E6230=E$1:E6229)))))</f>
        <v> </v>
      </c>
      <c r="L6230" s="27"/>
    </row>
    <row r="6231" spans="1:12">
      <c r="A6231" s="20" t="s">
        <v>2413</v>
      </c>
      <c r="B6231" s="21" t="s">
        <v>1215</v>
      </c>
      <c r="C6231" s="21" t="s">
        <v>1304</v>
      </c>
      <c r="D6231" s="21" t="s">
        <v>1188</v>
      </c>
      <c r="E6231" s="22">
        <f>IF(D6231="?OLD","!!!","")</f>
        <v/>
      </c>
      <c r="F6231" s="23" t="str">
        <f>IF(OR(E6231="",E6231="!!!"),"",IF(NOT(ISNA(VLOOKUP(E6231,E$1:E6230,1,FALSE()))),"OLD",IF(AND(E6231&lt;&gt;"",E6231&lt;&gt;"!!!"),"NEW","")))</f>
        <v> </v>
      </c>
      <c r="G6231" s="24" t="str">
        <f>IF(OR(E6231="",E6231="!!!"),"",IF(OR(J6231=0,AND(J6231=1,K6231=1),AND(J6231=1,I6231="SBJ"),AND(J6231=1,I6231=0)),"?IN_FOCUS",IF(J6231&lt;=2,"?ACTIVATED",IF(J6231&lt;&gt;"","?FAMILIAR",IF(F6231="NEW",IF(ISNA(VLOOKUP(E6231,#REF!,1,FALSE())),"?TYPE_IDENTIFIABLE","?REFERENTIAL"),"_")))))</f>
        <v> </v>
      </c>
      <c r="H6231" s="25" t="str">
        <f>IF(J6231&lt;&gt;1,"",IF(I6231="SBJ","CB","?"))</f>
        <v> </v>
      </c>
      <c r="I6231" s="26" t="str">
        <f>IF(OR(E6231="",E6231="!!!",F6231="NEW"),"",INDEX(B6230:B$2,-1+SUMPRODUCT(MAX(ROW(E6230:E$2)*(E6231=E6230:E$2)))))</f>
        <v> </v>
      </c>
      <c r="J6231" s="26" t="str">
        <f>IF(OR(E6231="",E6231="!!!",F6231="NEW"),"",COUNTBLANK(OFFSET(A$1,,,SUMPRODUCT(MAX(ROW(E$2:E6231)*(E6231=E$2:E6231)))))-COUNTBLANK(OFFSET(A$1,,,SUMPRODUCT(MAX(ROW(E$1:E6230)*(E2=E$1:E6230))))))</f>
        <v> </v>
      </c>
      <c r="K6231" s="26" t="str">
        <f>IF(OR(E6231="",E6231="!!!",F6231="NEW"),"",INDEX(J$1:J6230,SUMPRODUCT(MAX(ROW(E$1:E6230)*(E6231=E$1:E6230)))))</f>
        <v> </v>
      </c>
      <c r="L6231" s="27"/>
    </row>
    <row r="6232" spans="1:12">
      <c r="A6232" s="20" t="s">
        <v>1888</v>
      </c>
      <c r="B6232" s="21" t="s">
        <v>1199</v>
      </c>
      <c r="C6232" s="21" t="s">
        <v>1331</v>
      </c>
      <c r="E6232" s="22">
        <f>IF(D6232="?OLD","!!!","")</f>
        <v/>
      </c>
      <c r="F6232" s="23" t="str">
        <f>IF(OR(E6232="",E6232="!!!"),"",IF(NOT(ISNA(VLOOKUP(E6232,E$1:E6231,1,FALSE()))),"OLD",IF(AND(E6232&lt;&gt;"",E6232&lt;&gt;"!!!"),"NEW","")))</f>
        <v> </v>
      </c>
      <c r="G6232" s="24" t="str">
        <f>IF(OR(E6232="",E6232="!!!"),"",IF(OR(J6232=0,AND(J6232=1,K6232=1),AND(J6232=1,I6232="SBJ"),AND(J6232=1,I6232=0)),"?IN_FOCUS",IF(J6232&lt;=2,"?ACTIVATED",IF(J6232&lt;&gt;"","?FAMILIAR",IF(F6232="NEW",IF(ISNA(VLOOKUP(E6232,#REF!,1,FALSE())),"?TYPE_IDENTIFIABLE","?REFERENTIAL"),"_")))))</f>
        <v> </v>
      </c>
      <c r="H6232" s="25" t="str">
        <f>IF(J6232&lt;&gt;1,"",IF(I6232="SBJ","CB","?"))</f>
        <v> </v>
      </c>
      <c r="I6232" s="26" t="str">
        <f>IF(OR(E6232="",E6232="!!!",F6232="NEW"),"",INDEX(B6231:B$2,-1+SUMPRODUCT(MAX(ROW(E6231:E$2)*(E6232=E6231:E$2)))))</f>
        <v> </v>
      </c>
      <c r="J6232" s="26" t="str">
        <f>IF(OR(E6232="",E6232="!!!",F6232="NEW"),"",COUNTBLANK(OFFSET(A$1,,,SUMPRODUCT(MAX(ROW(E$2:E6232)*(E6232=E$2:E6232)))))-COUNTBLANK(OFFSET(A$1,,,SUMPRODUCT(MAX(ROW(E$1:E6231)*(E2=E$1:E6231))))))</f>
        <v> </v>
      </c>
      <c r="K6232" s="26" t="str">
        <f>IF(OR(E6232="",E6232="!!!",F6232="NEW"),"",INDEX(J$1:J6231,SUMPRODUCT(MAX(ROW(E$1:E6231)*(E6232=E$1:E6231)))))</f>
        <v> </v>
      </c>
      <c r="L6232" s="27"/>
    </row>
    <row r="6233" spans="1:12">
      <c r="A6233" s="20" t="s">
        <v>1208</v>
      </c>
      <c r="E6233" s="22">
        <f>IF(D6233="?OLD","!!!","")</f>
        <v/>
      </c>
      <c r="F6233" s="23" t="str">
        <f>IF(OR(E6233="",E6233="!!!"),"",IF(NOT(ISNA(VLOOKUP(E6233,E$1:E6232,1,FALSE()))),"OLD",IF(AND(E6233&lt;&gt;"",E6233&lt;&gt;"!!!"),"NEW","")))</f>
        <v> </v>
      </c>
      <c r="G6233" s="24" t="str">
        <f>IF(OR(E6233="",E6233="!!!"),"",IF(OR(J6233=0,AND(J6233=1,K6233=1),AND(J6233=1,I6233="SBJ"),AND(J6233=1,I6233=0)),"?IN_FOCUS",IF(J6233&lt;=2,"?ACTIVATED",IF(J6233&lt;&gt;"","?FAMILIAR",IF(F6233="NEW",IF(ISNA(VLOOKUP(E6233,#REF!,1,FALSE())),"?TYPE_IDENTIFIABLE","?REFERENTIAL"),"_")))))</f>
        <v> </v>
      </c>
      <c r="H6233" s="25" t="str">
        <f>IF(J6233&lt;&gt;1,"",IF(I6233="SBJ","CB","?"))</f>
        <v> </v>
      </c>
      <c r="I6233" s="26" t="str">
        <f>IF(OR(E6233="",E6233="!!!",F6233="NEW"),"",INDEX(B6232:B$2,-1+SUMPRODUCT(MAX(ROW(E6232:E$2)*(E6233=E6232:E$2)))))</f>
        <v> </v>
      </c>
      <c r="J6233" s="26" t="str">
        <f>IF(OR(E6233="",E6233="!!!",F6233="NEW"),"",COUNTBLANK(OFFSET(A$1,,,SUMPRODUCT(MAX(ROW(E$2:E6233)*(E6233=E$2:E6233)))))-COUNTBLANK(OFFSET(A$1,,,SUMPRODUCT(MAX(ROW(E$1:E6232)*(E2=E$1:E6232))))))</f>
        <v> </v>
      </c>
      <c r="K6233" s="26" t="str">
        <f>IF(OR(E6233="",E6233="!!!",F6233="NEW"),"",INDEX(J$1:J6232,SUMPRODUCT(MAX(ROW(E$1:E6232)*(E6233=E$1:E6232)))))</f>
        <v> </v>
      </c>
      <c r="L6233" s="27"/>
    </row>
    <row r="6234" spans="1:12">
      <c r="A6234" s="20" t="s">
        <v>2601</v>
      </c>
      <c r="B6234" s="21" t="s">
        <v>1285</v>
      </c>
      <c r="C6234" s="21" t="s">
        <v>1203</v>
      </c>
      <c r="D6234" s="21" t="s">
        <v>1188</v>
      </c>
      <c r="E6234" s="22">
        <f>IF(D6234="?OLD","!!!","")</f>
        <v/>
      </c>
      <c r="F6234" s="23" t="str">
        <f>IF(OR(E6234="",E6234="!!!"),"",IF(NOT(ISNA(VLOOKUP(E6234,E$1:E6233,1,FALSE()))),"OLD",IF(AND(E6234&lt;&gt;"",E6234&lt;&gt;"!!!"),"NEW","")))</f>
        <v> </v>
      </c>
      <c r="G6234" s="24" t="str">
        <f>IF(OR(E6234="",E6234="!!!"),"",IF(OR(J6234=0,AND(J6234=1,K6234=1),AND(J6234=1,I6234="SBJ"),AND(J6234=1,I6234=0)),"?IN_FOCUS",IF(J6234&lt;=2,"?ACTIVATED",IF(J6234&lt;&gt;"","?FAMILIAR",IF(F6234="NEW",IF(ISNA(VLOOKUP(E6234,#REF!,1,FALSE())),"?TYPE_IDENTIFIABLE","?REFERENTIAL"),"_")))))</f>
        <v> </v>
      </c>
      <c r="H6234" s="25" t="str">
        <f>IF(J6234&lt;&gt;1,"",IF(I6234="SBJ","CB","?"))</f>
        <v> </v>
      </c>
      <c r="I6234" s="26" t="str">
        <f>IF(OR(E6234="",E6234="!!!",F6234="NEW"),"",INDEX(B6233:B$2,-1+SUMPRODUCT(MAX(ROW(E6233:E$2)*(E6234=E6233:E$2)))))</f>
        <v> </v>
      </c>
      <c r="J6234" s="26" t="str">
        <f>IF(OR(E6234="",E6234="!!!",F6234="NEW"),"",COUNTBLANK(OFFSET(A$1,,,SUMPRODUCT(MAX(ROW(E$2:E6234)*(E6234=E$2:E6234)))))-COUNTBLANK(OFFSET(A$1,,,SUMPRODUCT(MAX(ROW(E$1:E6233)*(E2=E$1:E6233))))))</f>
        <v> </v>
      </c>
      <c r="K6234" s="26" t="str">
        <f>IF(OR(E6234="",E6234="!!!",F6234="NEW"),"",INDEX(J$1:J6233,SUMPRODUCT(MAX(ROW(E$1:E6233)*(E6234=E$1:E6233)))))</f>
        <v> </v>
      </c>
      <c r="L6234" s="27"/>
    </row>
    <row r="6235" spans="1:12">
      <c r="A6235" s="20" t="s">
        <v>2354</v>
      </c>
      <c r="E6235" s="22">
        <f>IF(D6235="?OLD","!!!","")</f>
        <v/>
      </c>
      <c r="F6235" s="23" t="str">
        <f>IF(OR(E6235="",E6235="!!!"),"",IF(NOT(ISNA(VLOOKUP(E6235,E$1:E6234,1,FALSE()))),"OLD",IF(AND(E6235&lt;&gt;"",E6235&lt;&gt;"!!!"),"NEW","")))</f>
        <v> </v>
      </c>
      <c r="G6235" s="24" t="str">
        <f>IF(OR(E6235="",E6235="!!!"),"",IF(OR(J6235=0,AND(J6235=1,K6235=1),AND(J6235=1,I6235="SBJ"),AND(J6235=1,I6235=0)),"?IN_FOCUS",IF(J6235&lt;=2,"?ACTIVATED",IF(J6235&lt;&gt;"","?FAMILIAR",IF(F6235="NEW",IF(ISNA(VLOOKUP(E6235,#REF!,1,FALSE())),"?TYPE_IDENTIFIABLE","?REFERENTIAL"),"_")))))</f>
        <v> </v>
      </c>
      <c r="H6235" s="25" t="str">
        <f>IF(J6235&lt;&gt;1,"",IF(I6235="SBJ","CB","?"))</f>
        <v> </v>
      </c>
      <c r="I6235" s="26" t="str">
        <f>IF(OR(E6235="",E6235="!!!",F6235="NEW"),"",INDEX(B6234:B$2,-1+SUMPRODUCT(MAX(ROW(E6234:E$2)*(E6235=E6234:E$2)))))</f>
        <v> </v>
      </c>
      <c r="J6235" s="26" t="str">
        <f>IF(OR(E6235="",E6235="!!!",F6235="NEW"),"",COUNTBLANK(OFFSET(A$1,,,SUMPRODUCT(MAX(ROW(E$2:E6235)*(E6235=E$2:E6235)))))-COUNTBLANK(OFFSET(A$1,,,SUMPRODUCT(MAX(ROW(E$1:E6234)*(E2=E$1:E6234))))))</f>
        <v> </v>
      </c>
      <c r="K6235" s="26" t="str">
        <f>IF(OR(E6235="",E6235="!!!",F6235="NEW"),"",INDEX(J$1:J6234,SUMPRODUCT(MAX(ROW(E$1:E6234)*(E6235=E$1:E6234)))))</f>
        <v> </v>
      </c>
      <c r="L6235" s="27"/>
    </row>
    <row r="6236" spans="1:12">
      <c r="A6236" s="20" t="s">
        <v>826</v>
      </c>
      <c r="E6236" s="22">
        <f>IF(D6236="?OLD","!!!","")</f>
        <v/>
      </c>
      <c r="F6236" s="23" t="str">
        <f>IF(OR(E6236="",E6236="!!!"),"",IF(NOT(ISNA(VLOOKUP(E6236,E$1:E6235,1,FALSE()))),"OLD",IF(AND(E6236&lt;&gt;"",E6236&lt;&gt;"!!!"),"NEW","")))</f>
        <v> </v>
      </c>
      <c r="G6236" s="24" t="str">
        <f>IF(OR(E6236="",E6236="!!!"),"",IF(OR(J6236=0,AND(J6236=1,K6236=1),AND(J6236=1,I6236="SBJ"),AND(J6236=1,I6236=0)),"?IN_FOCUS",IF(J6236&lt;=2,"?ACTIVATED",IF(J6236&lt;&gt;"","?FAMILIAR",IF(F6236="NEW",IF(ISNA(VLOOKUP(E6236,#REF!,1,FALSE())),"?TYPE_IDENTIFIABLE","?REFERENTIAL"),"_")))))</f>
        <v> </v>
      </c>
      <c r="H6236" s="25" t="str">
        <f>IF(J6236&lt;&gt;1,"",IF(I6236="SBJ","CB","?"))</f>
        <v> </v>
      </c>
      <c r="I6236" s="26" t="str">
        <f>IF(OR(E6236="",E6236="!!!",F6236="NEW"),"",INDEX(B6235:B$2,-1+SUMPRODUCT(MAX(ROW(E6235:E$2)*(E6236=E6235:E$2)))))</f>
        <v> </v>
      </c>
      <c r="J6236" s="26" t="str">
        <f>IF(OR(E6236="",E6236="!!!",F6236="NEW"),"",COUNTBLANK(OFFSET(A$1,,,SUMPRODUCT(MAX(ROW(E$2:E6236)*(E6236=E$2:E6236)))))-COUNTBLANK(OFFSET(A$1,,,SUMPRODUCT(MAX(ROW(E$1:E6235)*(E2=E$1:E6235))))))</f>
        <v> </v>
      </c>
      <c r="K6236" s="26" t="str">
        <f>IF(OR(E6236="",E6236="!!!",F6236="NEW"),"",INDEX(J$1:J6235,SUMPRODUCT(MAX(ROW(E$1:E6235)*(E6236=E$1:E6235)))))</f>
        <v> </v>
      </c>
      <c r="L6236" s="27"/>
    </row>
    <row r="6237" spans="1:12">
      <c r="A6237" s="20"/>
    </row>
    <row r="6238" spans="1:12">
      <c r="A6238" s="20" t="s">
        <v>2878</v>
      </c>
    </row>
    <row r="6239" spans="1:12">
      <c r="A6239" s="20" t="s">
        <v>1270</v>
      </c>
      <c r="E6239" s="22">
        <f>IF(D6239="?OLD","!!!","")</f>
        <v/>
      </c>
      <c r="F6239" s="23" t="str">
        <f>IF(OR(E6239="",E6239="!!!"),"",IF(NOT(ISNA(VLOOKUP(E6239,E$1:E6238,1,FALSE()))),"OLD",IF(AND(E6239&lt;&gt;"",E6239&lt;&gt;"!!!"),"NEW","")))</f>
        <v> </v>
      </c>
      <c r="G6239" s="24" t="str">
        <f>IF(OR(E6239="",E6239="!!!"),"",IF(OR(J6239=0,AND(J6239=1,K6239=1),AND(J6239=1,I6239="SBJ"),AND(J6239=1,I6239=0)),"?IN_FOCUS",IF(J6239&lt;=2,"?ACTIVATED",IF(J6239&lt;&gt;"","?FAMILIAR",IF(F6239="NEW",IF(ISNA(VLOOKUP(E6239,#REF!,1,FALSE())),"?TYPE_IDENTIFIABLE","?REFERENTIAL"),"_")))))</f>
        <v> </v>
      </c>
      <c r="H6239" s="25" t="str">
        <f>IF(J6239&lt;&gt;1,"",IF(I6239="SBJ","CB","?"))</f>
        <v> </v>
      </c>
      <c r="I6239" s="26" t="str">
        <f>IF(OR(E6239="",E6239="!!!",F6239="NEW"),"",INDEX(B6238:B$2,-1+SUMPRODUCT(MAX(ROW(E6238:E$2)*(E6239=E6238:E$2)))))</f>
        <v> </v>
      </c>
      <c r="J6239" s="26" t="str">
        <f>IF(OR(E6239="",E6239="!!!",F6239="NEW"),"",COUNTBLANK(OFFSET(A$1,,,SUMPRODUCT(MAX(ROW(E$2:E6239)*(E6239=E$2:E6239)))))-COUNTBLANK(OFFSET(A$1,,,SUMPRODUCT(MAX(ROW(E$1:E6238)*(E2=E$1:E6238))))))</f>
        <v> </v>
      </c>
      <c r="K6239" s="26" t="str">
        <f>IF(OR(E6239="",E6239="!!!",F6239="NEW"),"",INDEX(J$1:J6238,SUMPRODUCT(MAX(ROW(E$1:E6238)*(E6239=E$1:E6238)))))</f>
        <v> </v>
      </c>
      <c r="L6239" s="27"/>
    </row>
    <row r="6240" spans="1:12">
      <c r="A6240" s="20" t="s">
        <v>1190</v>
      </c>
      <c r="E6240" s="22">
        <f>IF(D6240="?OLD","!!!","")</f>
        <v/>
      </c>
      <c r="F6240" s="23" t="str">
        <f>IF(OR(E6240="",E6240="!!!"),"",IF(NOT(ISNA(VLOOKUP(E6240,E$1:E6239,1,FALSE()))),"OLD",IF(AND(E6240&lt;&gt;"",E6240&lt;&gt;"!!!"),"NEW","")))</f>
        <v> </v>
      </c>
      <c r="G6240" s="24" t="str">
        <f>IF(OR(E6240="",E6240="!!!"),"",IF(OR(J6240=0,AND(J6240=1,K6240=1),AND(J6240=1,I6240="SBJ"),AND(J6240=1,I6240=0)),"?IN_FOCUS",IF(J6240&lt;=2,"?ACTIVATED",IF(J6240&lt;&gt;"","?FAMILIAR",IF(F6240="NEW",IF(ISNA(VLOOKUP(E6240,#REF!,1,FALSE())),"?TYPE_IDENTIFIABLE","?REFERENTIAL"),"_")))))</f>
        <v> </v>
      </c>
      <c r="H6240" s="25" t="str">
        <f>IF(J6240&lt;&gt;1,"",IF(I6240="SBJ","CB","?"))</f>
        <v> </v>
      </c>
      <c r="I6240" s="26" t="str">
        <f>IF(OR(E6240="",E6240="!!!",F6240="NEW"),"",INDEX(B6239:B$2,-1+SUMPRODUCT(MAX(ROW(E6239:E$2)*(E6240=E6239:E$2)))))</f>
        <v> </v>
      </c>
      <c r="J6240" s="26" t="str">
        <f>IF(OR(E6240="",E6240="!!!",F6240="NEW"),"",COUNTBLANK(OFFSET(A$1,,,SUMPRODUCT(MAX(ROW(E$2:E6240)*(E6240=E$2:E6240)))))-COUNTBLANK(OFFSET(A$1,,,SUMPRODUCT(MAX(ROW(E$1:E6239)*(E2=E$1:E6239))))))</f>
        <v> </v>
      </c>
      <c r="K6240" s="26" t="str">
        <f>IF(OR(E6240="",E6240="!!!",F6240="NEW"),"",INDEX(J$1:J6239,SUMPRODUCT(MAX(ROW(E$1:E6239)*(E6240=E$1:E6239)))))</f>
        <v> </v>
      </c>
      <c r="L6240" s="27"/>
    </row>
    <row r="6241" spans="1:12">
      <c r="A6241" s="20" t="s">
        <v>2173</v>
      </c>
      <c r="B6241" s="21" t="s">
        <v>1186</v>
      </c>
      <c r="C6241" s="21" t="s">
        <v>1187</v>
      </c>
      <c r="D6241" s="21" t="s">
        <v>1188</v>
      </c>
      <c r="E6241" s="22">
        <f>IF(D6241="?OLD","!!!","")</f>
        <v/>
      </c>
      <c r="F6241" s="23" t="str">
        <f>IF(OR(E6241="",E6241="!!!"),"",IF(NOT(ISNA(VLOOKUP(E6241,E$1:E6240,1,FALSE()))),"OLD",IF(AND(E6241&lt;&gt;"",E6241&lt;&gt;"!!!"),"NEW","")))</f>
        <v> </v>
      </c>
      <c r="G6241" s="24" t="str">
        <f>IF(OR(E6241="",E6241="!!!"),"",IF(OR(J6241=0,AND(J6241=1,K6241=1),AND(J6241=1,I6241="SBJ"),AND(J6241=1,I6241=0)),"?IN_FOCUS",IF(J6241&lt;=2,"?ACTIVATED",IF(J6241&lt;&gt;"","?FAMILIAR",IF(F6241="NEW",IF(ISNA(VLOOKUP(E6241,#REF!,1,FALSE())),"?TYPE_IDENTIFIABLE","?REFERENTIAL"),"_")))))</f>
        <v> </v>
      </c>
      <c r="H6241" s="25" t="str">
        <f>IF(J6241&lt;&gt;1,"",IF(I6241="SBJ","CB","?"))</f>
        <v> </v>
      </c>
      <c r="I6241" s="26" t="str">
        <f>IF(OR(E6241="",E6241="!!!",F6241="NEW"),"",INDEX(B6240:B$2,-1+SUMPRODUCT(MAX(ROW(E6240:E$2)*(E6241=E6240:E$2)))))</f>
        <v> </v>
      </c>
      <c r="J6241" s="26" t="str">
        <f>IF(OR(E6241="",E6241="!!!",F6241="NEW"),"",COUNTBLANK(OFFSET(A$1,,,SUMPRODUCT(MAX(ROW(E$2:E6241)*(E6241=E$2:E6241)))))-COUNTBLANK(OFFSET(A$1,,,SUMPRODUCT(MAX(ROW(E$1:E6240)*(E2=E$1:E6240))))))</f>
        <v> </v>
      </c>
      <c r="K6241" s="26" t="str">
        <f>IF(OR(E6241="",E6241="!!!",F6241="NEW"),"",INDEX(J$1:J6240,SUMPRODUCT(MAX(ROW(E$1:E6240)*(E6241=E$1:E6240)))))</f>
        <v> </v>
      </c>
      <c r="L6241" s="27"/>
    </row>
    <row r="6242" spans="1:12">
      <c r="A6242" s="20" t="s">
        <v>1193</v>
      </c>
      <c r="E6242" s="22">
        <f>IF(D6242="?OLD","!!!","")</f>
        <v/>
      </c>
      <c r="F6242" s="23" t="str">
        <f>IF(OR(E6242="",E6242="!!!"),"",IF(NOT(ISNA(VLOOKUP(E6242,E$1:E6241,1,FALSE()))),"OLD",IF(AND(E6242&lt;&gt;"",E6242&lt;&gt;"!!!"),"NEW","")))</f>
        <v> </v>
      </c>
      <c r="G6242" s="24" t="str">
        <f>IF(OR(E6242="",E6242="!!!"),"",IF(OR(J6242=0,AND(J6242=1,K6242=1),AND(J6242=1,I6242="SBJ"),AND(J6242=1,I6242=0)),"?IN_FOCUS",IF(J6242&lt;=2,"?ACTIVATED",IF(J6242&lt;&gt;"","?FAMILIAR",IF(F6242="NEW",IF(ISNA(VLOOKUP(E6242,#REF!,1,FALSE())),"?TYPE_IDENTIFIABLE","?REFERENTIAL"),"_")))))</f>
        <v> </v>
      </c>
      <c r="H6242" s="25" t="str">
        <f>IF(J6242&lt;&gt;1,"",IF(I6242="SBJ","CB","?"))</f>
        <v> </v>
      </c>
      <c r="I6242" s="26" t="str">
        <f>IF(OR(E6242="",E6242="!!!",F6242="NEW"),"",INDEX(B6241:B$2,-1+SUMPRODUCT(MAX(ROW(E6241:E$2)*(E6242=E6241:E$2)))))</f>
        <v> </v>
      </c>
      <c r="J6242" s="26" t="str">
        <f>IF(OR(E6242="",E6242="!!!",F6242="NEW"),"",COUNTBLANK(OFFSET(A$1,,,SUMPRODUCT(MAX(ROW(E$2:E6242)*(E6242=E$2:E6242)))))-COUNTBLANK(OFFSET(A$1,,,SUMPRODUCT(MAX(ROW(E$1:E6241)*(E2=E$1:E6241))))))</f>
        <v> </v>
      </c>
      <c r="K6242" s="26" t="str">
        <f>IF(OR(E6242="",E6242="!!!",F6242="NEW"),"",INDEX(J$1:J6241,SUMPRODUCT(MAX(ROW(E$1:E6241)*(E6242=E$1:E6241)))))</f>
        <v> </v>
      </c>
      <c r="L6242" s="27"/>
    </row>
    <row r="6243" spans="1:12">
      <c r="A6243" s="20" t="s">
        <v>933</v>
      </c>
      <c r="B6243" s="21" t="s">
        <v>1186</v>
      </c>
      <c r="C6243" s="21" t="s">
        <v>1187</v>
      </c>
      <c r="D6243" s="21" t="s">
        <v>1188</v>
      </c>
      <c r="E6243" s="22">
        <f>IF(D6243="?OLD","!!!","")</f>
        <v/>
      </c>
      <c r="F6243" s="23" t="str">
        <f>IF(OR(E6243="",E6243="!!!"),"",IF(NOT(ISNA(VLOOKUP(E6243,E$1:E6242,1,FALSE()))),"OLD",IF(AND(E6243&lt;&gt;"",E6243&lt;&gt;"!!!"),"NEW","")))</f>
        <v> </v>
      </c>
      <c r="G6243" s="24" t="str">
        <f>IF(OR(E6243="",E6243="!!!"),"",IF(OR(J6243=0,AND(J6243=1,K6243=1),AND(J6243=1,I6243="SBJ"),AND(J6243=1,I6243=0)),"?IN_FOCUS",IF(J6243&lt;=2,"?ACTIVATED",IF(J6243&lt;&gt;"","?FAMILIAR",IF(F6243="NEW",IF(ISNA(VLOOKUP(E6243,#REF!,1,FALSE())),"?TYPE_IDENTIFIABLE","?REFERENTIAL"),"_")))))</f>
        <v> </v>
      </c>
      <c r="H6243" s="25" t="str">
        <f>IF(J6243&lt;&gt;1,"",IF(I6243="SBJ","CB","?"))</f>
        <v> </v>
      </c>
      <c r="I6243" s="26" t="str">
        <f>IF(OR(E6243="",E6243="!!!",F6243="NEW"),"",INDEX(B6242:B$2,-1+SUMPRODUCT(MAX(ROW(E6242:E$2)*(E6243=E6242:E$2)))))</f>
        <v> </v>
      </c>
      <c r="J6243" s="26" t="str">
        <f>IF(OR(E6243="",E6243="!!!",F6243="NEW"),"",COUNTBLANK(OFFSET(A$1,,,SUMPRODUCT(MAX(ROW(E$2:E6243)*(E6243=E$2:E6243)))))-COUNTBLANK(OFFSET(A$1,,,SUMPRODUCT(MAX(ROW(E$1:E6242)*(E2=E$1:E6242))))))</f>
        <v> </v>
      </c>
      <c r="K6243" s="26" t="str">
        <f>IF(OR(E6243="",E6243="!!!",F6243="NEW"),"",INDEX(J$1:J6242,SUMPRODUCT(MAX(ROW(E$1:E6242)*(E6243=E$1:E6242)))))</f>
        <v> </v>
      </c>
      <c r="L6243" s="27"/>
    </row>
    <row r="6244" spans="1:12">
      <c r="A6244" s="20" t="s">
        <v>826</v>
      </c>
      <c r="E6244" s="22">
        <f>IF(D6244="?OLD","!!!","")</f>
        <v/>
      </c>
      <c r="F6244" s="23" t="str">
        <f>IF(OR(E6244="",E6244="!!!"),"",IF(NOT(ISNA(VLOOKUP(E6244,E$1:E6243,1,FALSE()))),"OLD",IF(AND(E6244&lt;&gt;"",E6244&lt;&gt;"!!!"),"NEW","")))</f>
        <v> </v>
      </c>
      <c r="G6244" s="24" t="str">
        <f>IF(OR(E6244="",E6244="!!!"),"",IF(OR(J6244=0,AND(J6244=1,K6244=1),AND(J6244=1,I6244="SBJ"),AND(J6244=1,I6244=0)),"?IN_FOCUS",IF(J6244&lt;=2,"?ACTIVATED",IF(J6244&lt;&gt;"","?FAMILIAR",IF(F6244="NEW",IF(ISNA(VLOOKUP(E6244,#REF!,1,FALSE())),"?TYPE_IDENTIFIABLE","?REFERENTIAL"),"_")))))</f>
        <v> </v>
      </c>
      <c r="H6244" s="25" t="str">
        <f>IF(J6244&lt;&gt;1,"",IF(I6244="SBJ","CB","?"))</f>
        <v> </v>
      </c>
      <c r="I6244" s="26" t="str">
        <f>IF(OR(E6244="",E6244="!!!",F6244="NEW"),"",INDEX(B6243:B$2,-1+SUMPRODUCT(MAX(ROW(E6243:E$2)*(E6244=E6243:E$2)))))</f>
        <v> </v>
      </c>
      <c r="J6244" s="26" t="str">
        <f>IF(OR(E6244="",E6244="!!!",F6244="NEW"),"",COUNTBLANK(OFFSET(A$1,,,SUMPRODUCT(MAX(ROW(E$2:E6244)*(E6244=E$2:E6244)))))-COUNTBLANK(OFFSET(A$1,,,SUMPRODUCT(MAX(ROW(E$1:E6243)*(E2=E$1:E6243))))))</f>
        <v> </v>
      </c>
      <c r="K6244" s="26" t="str">
        <f>IF(OR(E6244="",E6244="!!!",F6244="NEW"),"",INDEX(J$1:J6243,SUMPRODUCT(MAX(ROW(E$1:E6243)*(E6244=E$1:E6243)))))</f>
        <v> </v>
      </c>
      <c r="L6244" s="27"/>
    </row>
    <row r="6245" spans="1:12">
      <c r="A6245" s="20"/>
    </row>
    <row r="6246" spans="1:12">
      <c r="A6246" s="20" t="s">
        <v>2879</v>
      </c>
    </row>
    <row r="6247" spans="1:12">
      <c r="A6247" s="20" t="s">
        <v>1552</v>
      </c>
      <c r="E6247" s="22">
        <f>IF(D6247="?OLD","!!!","")</f>
        <v/>
      </c>
      <c r="F6247" s="23" t="str">
        <f>IF(OR(E6247="",E6247="!!!"),"",IF(NOT(ISNA(VLOOKUP(E6247,E$1:E6246,1,FALSE()))),"OLD",IF(AND(E6247&lt;&gt;"",E6247&lt;&gt;"!!!"),"NEW","")))</f>
        <v> </v>
      </c>
      <c r="G6247" s="24" t="str">
        <f>IF(OR(E6247="",E6247="!!!"),"",IF(OR(J6247=0,AND(J6247=1,K6247=1),AND(J6247=1,I6247="SBJ"),AND(J6247=1,I6247=0)),"?IN_FOCUS",IF(J6247&lt;=2,"?ACTIVATED",IF(J6247&lt;&gt;"","?FAMILIAR",IF(F6247="NEW",IF(ISNA(VLOOKUP(E6247,#REF!,1,FALSE())),"?TYPE_IDENTIFIABLE","?REFERENTIAL"),"_")))))</f>
        <v> </v>
      </c>
      <c r="H6247" s="25" t="str">
        <f>IF(J6247&lt;&gt;1,"",IF(I6247="SBJ","CB","?"))</f>
        <v> </v>
      </c>
      <c r="I6247" s="26" t="str">
        <f>IF(OR(E6247="",E6247="!!!",F6247="NEW"),"",INDEX(B6246:B$2,-1+SUMPRODUCT(MAX(ROW(E6246:E$2)*(E6247=E6246:E$2)))))</f>
        <v> </v>
      </c>
      <c r="J6247" s="26" t="str">
        <f>IF(OR(E6247="",E6247="!!!",F6247="NEW"),"",COUNTBLANK(OFFSET(A$1,,,SUMPRODUCT(MAX(ROW(E$2:E6247)*(E6247=E$2:E6247)))))-COUNTBLANK(OFFSET(A$1,,,SUMPRODUCT(MAX(ROW(E$1:E6246)*(E2=E$1:E6246))))))</f>
        <v> </v>
      </c>
      <c r="K6247" s="26" t="str">
        <f>IF(OR(E6247="",E6247="!!!",F6247="NEW"),"",INDEX(J$1:J6246,SUMPRODUCT(MAX(ROW(E$1:E6246)*(E6247=E$1:E6246)))))</f>
        <v> </v>
      </c>
      <c r="L6247" s="27"/>
    </row>
    <row r="6248" spans="1:12">
      <c r="A6248" s="20" t="s">
        <v>2880</v>
      </c>
      <c r="B6248" s="21" t="s">
        <v>1202</v>
      </c>
      <c r="C6248" s="21" t="s">
        <v>1187</v>
      </c>
      <c r="D6248" s="21" t="s">
        <v>1188</v>
      </c>
      <c r="E6248" s="22">
        <f>IF(D6248="?OLD","!!!","")</f>
        <v/>
      </c>
      <c r="F6248" s="23" t="str">
        <f>IF(OR(E6248="",E6248="!!!"),"",IF(NOT(ISNA(VLOOKUP(E6248,E$1:E6247,1,FALSE()))),"OLD",IF(AND(E6248&lt;&gt;"",E6248&lt;&gt;"!!!"),"NEW","")))</f>
        <v> </v>
      </c>
      <c r="G6248" s="24" t="str">
        <f>IF(OR(E6248="",E6248="!!!"),"",IF(OR(J6248=0,AND(J6248=1,K6248=1),AND(J6248=1,I6248="SBJ"),AND(J6248=1,I6248=0)),"?IN_FOCUS",IF(J6248&lt;=2,"?ACTIVATED",IF(J6248&lt;&gt;"","?FAMILIAR",IF(F6248="NEW",IF(ISNA(VLOOKUP(E6248,#REF!,1,FALSE())),"?TYPE_IDENTIFIABLE","?REFERENTIAL"),"_")))))</f>
        <v> </v>
      </c>
      <c r="H6248" s="25" t="str">
        <f>IF(J6248&lt;&gt;1,"",IF(I6248="SBJ","CB","?"))</f>
        <v> </v>
      </c>
      <c r="I6248" s="26" t="str">
        <f>IF(OR(E6248="",E6248="!!!",F6248="NEW"),"",INDEX(B6247:B$2,-1+SUMPRODUCT(MAX(ROW(E6247:E$2)*(E6248=E6247:E$2)))))</f>
        <v> </v>
      </c>
      <c r="J6248" s="26" t="str">
        <f>IF(OR(E6248="",E6248="!!!",F6248="NEW"),"",COUNTBLANK(OFFSET(A$1,,,SUMPRODUCT(MAX(ROW(E$2:E6248)*(E6248=E$2:E6248)))))-COUNTBLANK(OFFSET(A$1,,,SUMPRODUCT(MAX(ROW(E$1:E6247)*(E2=E$1:E6247))))))</f>
        <v> </v>
      </c>
      <c r="K6248" s="26" t="str">
        <f>IF(OR(E6248="",E6248="!!!",F6248="NEW"),"",INDEX(J$1:J6247,SUMPRODUCT(MAX(ROW(E$1:E6247)*(E6248=E$1:E6247)))))</f>
        <v> </v>
      </c>
      <c r="L6248" s="27"/>
    </row>
    <row r="6249" spans="1:12">
      <c r="A6249" s="20" t="s">
        <v>2881</v>
      </c>
      <c r="E6249" s="22">
        <f>IF(D6249="?OLD","!!!","")</f>
        <v/>
      </c>
      <c r="F6249" s="23" t="str">
        <f>IF(OR(E6249="",E6249="!!!"),"",IF(NOT(ISNA(VLOOKUP(E6249,E$1:E6248,1,FALSE()))),"OLD",IF(AND(E6249&lt;&gt;"",E6249&lt;&gt;"!!!"),"NEW","")))</f>
        <v> </v>
      </c>
      <c r="G6249" s="24" t="str">
        <f>IF(OR(E6249="",E6249="!!!"),"",IF(OR(J6249=0,AND(J6249=1,K6249=1),AND(J6249=1,I6249="SBJ"),AND(J6249=1,I6249=0)),"?IN_FOCUS",IF(J6249&lt;=2,"?ACTIVATED",IF(J6249&lt;&gt;"","?FAMILIAR",IF(F6249="NEW",IF(ISNA(VLOOKUP(E6249,#REF!,1,FALSE())),"?TYPE_IDENTIFIABLE","?REFERENTIAL"),"_")))))</f>
        <v> </v>
      </c>
      <c r="H6249" s="25" t="str">
        <f>IF(J6249&lt;&gt;1,"",IF(I6249="SBJ","CB","?"))</f>
        <v> </v>
      </c>
      <c r="I6249" s="26" t="str">
        <f>IF(OR(E6249="",E6249="!!!",F6249="NEW"),"",INDEX(B6248:B$2,-1+SUMPRODUCT(MAX(ROW(E6248:E$2)*(E6249=E6248:E$2)))))</f>
        <v> </v>
      </c>
      <c r="J6249" s="26" t="str">
        <f>IF(OR(E6249="",E6249="!!!",F6249="NEW"),"",COUNTBLANK(OFFSET(A$1,,,SUMPRODUCT(MAX(ROW(E$2:E6249)*(E6249=E$2:E6249)))))-COUNTBLANK(OFFSET(A$1,,,SUMPRODUCT(MAX(ROW(E$1:E6248)*(E2=E$1:E6248))))))</f>
        <v> </v>
      </c>
      <c r="K6249" s="26" t="str">
        <f>IF(OR(E6249="",E6249="!!!",F6249="NEW"),"",INDEX(J$1:J6248,SUMPRODUCT(MAX(ROW(E$1:E6248)*(E6249=E$1:E6248)))))</f>
        <v> </v>
      </c>
      <c r="L6249" s="27"/>
    </row>
    <row r="6250" spans="1:12">
      <c r="A6250" s="20" t="s">
        <v>2882</v>
      </c>
      <c r="E6250" s="22">
        <f>IF(D6250="?OLD","!!!","")</f>
        <v/>
      </c>
      <c r="F6250" s="23" t="str">
        <f>IF(OR(E6250="",E6250="!!!"),"",IF(NOT(ISNA(VLOOKUP(E6250,E$1:E6249,1,FALSE()))),"OLD",IF(AND(E6250&lt;&gt;"",E6250&lt;&gt;"!!!"),"NEW","")))</f>
        <v> </v>
      </c>
      <c r="G6250" s="24" t="str">
        <f>IF(OR(E6250="",E6250="!!!"),"",IF(OR(J6250=0,AND(J6250=1,K6250=1),AND(J6250=1,I6250="SBJ"),AND(J6250=1,I6250=0)),"?IN_FOCUS",IF(J6250&lt;=2,"?ACTIVATED",IF(J6250&lt;&gt;"","?FAMILIAR",IF(F6250="NEW",IF(ISNA(VLOOKUP(E6250,#REF!,1,FALSE())),"?TYPE_IDENTIFIABLE","?REFERENTIAL"),"_")))))</f>
        <v> </v>
      </c>
      <c r="H6250" s="25" t="str">
        <f>IF(J6250&lt;&gt;1,"",IF(I6250="SBJ","CB","?"))</f>
        <v> </v>
      </c>
      <c r="I6250" s="26" t="str">
        <f>IF(OR(E6250="",E6250="!!!",F6250="NEW"),"",INDEX(B6249:B$2,-1+SUMPRODUCT(MAX(ROW(E6249:E$2)*(E6250=E6249:E$2)))))</f>
        <v> </v>
      </c>
      <c r="J6250" s="26" t="str">
        <f>IF(OR(E6250="",E6250="!!!",F6250="NEW"),"",COUNTBLANK(OFFSET(A$1,,,SUMPRODUCT(MAX(ROW(E$2:E6250)*(E6250=E$2:E6250)))))-COUNTBLANK(OFFSET(A$1,,,SUMPRODUCT(MAX(ROW(E$1:E6249)*(E2=E$1:E6249))))))</f>
        <v> </v>
      </c>
      <c r="K6250" s="26" t="str">
        <f>IF(OR(E6250="",E6250="!!!",F6250="NEW"),"",INDEX(J$1:J6249,SUMPRODUCT(MAX(ROW(E$1:E6249)*(E6250=E$1:E6249)))))</f>
        <v> </v>
      </c>
      <c r="L6250" s="27"/>
    </row>
    <row r="6251" spans="1:12">
      <c r="A6251" s="20" t="s">
        <v>2043</v>
      </c>
      <c r="E6251" s="22">
        <f>IF(D6251="?OLD","!!!","")</f>
        <v/>
      </c>
      <c r="F6251" s="23" t="str">
        <f>IF(OR(E6251="",E6251="!!!"),"",IF(NOT(ISNA(VLOOKUP(E6251,E$1:E6250,1,FALSE()))),"OLD",IF(AND(E6251&lt;&gt;"",E6251&lt;&gt;"!!!"),"NEW","")))</f>
        <v> </v>
      </c>
      <c r="G6251" s="24" t="str">
        <f>IF(OR(E6251="",E6251="!!!"),"",IF(OR(J6251=0,AND(J6251=1,K6251=1),AND(J6251=1,I6251="SBJ"),AND(J6251=1,I6251=0)),"?IN_FOCUS",IF(J6251&lt;=2,"?ACTIVATED",IF(J6251&lt;&gt;"","?FAMILIAR",IF(F6251="NEW",IF(ISNA(VLOOKUP(E6251,#REF!,1,FALSE())),"?TYPE_IDENTIFIABLE","?REFERENTIAL"),"_")))))</f>
        <v> </v>
      </c>
      <c r="H6251" s="25" t="str">
        <f>IF(J6251&lt;&gt;1,"",IF(I6251="SBJ","CB","?"))</f>
        <v> </v>
      </c>
      <c r="I6251" s="26" t="str">
        <f>IF(OR(E6251="",E6251="!!!",F6251="NEW"),"",INDEX(B6250:B$2,-1+SUMPRODUCT(MAX(ROW(E6250:E$2)*(E6251=E6250:E$2)))))</f>
        <v> </v>
      </c>
      <c r="J6251" s="26" t="str">
        <f>IF(OR(E6251="",E6251="!!!",F6251="NEW"),"",COUNTBLANK(OFFSET(A$1,,,SUMPRODUCT(MAX(ROW(E$2:E6251)*(E6251=E$2:E6251)))))-COUNTBLANK(OFFSET(A$1,,,SUMPRODUCT(MAX(ROW(E$1:E6250)*(E2=E$1:E6250))))))</f>
        <v> </v>
      </c>
      <c r="K6251" s="26" t="str">
        <f>IF(OR(E6251="",E6251="!!!",F6251="NEW"),"",INDEX(J$1:J6250,SUMPRODUCT(MAX(ROW(E$1:E6250)*(E6251=E$1:E6250)))))</f>
        <v> </v>
      </c>
      <c r="L6251" s="27"/>
    </row>
    <row r="6252" spans="1:12">
      <c r="A6252" s="20" t="s">
        <v>2146</v>
      </c>
      <c r="E6252" s="22">
        <f>IF(D6252="?OLD","!!!","")</f>
        <v/>
      </c>
      <c r="F6252" s="23" t="str">
        <f>IF(OR(E6252="",E6252="!!!"),"",IF(NOT(ISNA(VLOOKUP(E6252,E$1:E6251,1,FALSE()))),"OLD",IF(AND(E6252&lt;&gt;"",E6252&lt;&gt;"!!!"),"NEW","")))</f>
        <v> </v>
      </c>
      <c r="G6252" s="24" t="str">
        <f>IF(OR(E6252="",E6252="!!!"),"",IF(OR(J6252=0,AND(J6252=1,K6252=1),AND(J6252=1,I6252="SBJ"),AND(J6252=1,I6252=0)),"?IN_FOCUS",IF(J6252&lt;=2,"?ACTIVATED",IF(J6252&lt;&gt;"","?FAMILIAR",IF(F6252="NEW",IF(ISNA(VLOOKUP(E6252,#REF!,1,FALSE())),"?TYPE_IDENTIFIABLE","?REFERENTIAL"),"_")))))</f>
        <v> </v>
      </c>
      <c r="H6252" s="25" t="str">
        <f>IF(J6252&lt;&gt;1,"",IF(I6252="SBJ","CB","?"))</f>
        <v> </v>
      </c>
      <c r="I6252" s="26" t="str">
        <f>IF(OR(E6252="",E6252="!!!",F6252="NEW"),"",INDEX(B6251:B$2,-1+SUMPRODUCT(MAX(ROW(E6251:E$2)*(E6252=E6251:E$2)))))</f>
        <v> </v>
      </c>
      <c r="J6252" s="26" t="str">
        <f>IF(OR(E6252="",E6252="!!!",F6252="NEW"),"",COUNTBLANK(OFFSET(A$1,,,SUMPRODUCT(MAX(ROW(E$2:E6252)*(E6252=E$2:E6252)))))-COUNTBLANK(OFFSET(A$1,,,SUMPRODUCT(MAX(ROW(E$1:E6251)*(E2=E$1:E6251))))))</f>
        <v> </v>
      </c>
      <c r="K6252" s="26" t="str">
        <f>IF(OR(E6252="",E6252="!!!",F6252="NEW"),"",INDEX(J$1:J6251,SUMPRODUCT(MAX(ROW(E$1:E6251)*(E6252=E$1:E6251)))))</f>
        <v> </v>
      </c>
      <c r="L6252" s="27"/>
    </row>
    <row r="6253" spans="1:12">
      <c r="A6253" s="20" t="s">
        <v>1494</v>
      </c>
      <c r="E6253" s="22">
        <f>IF(D6253="?OLD","!!!","")</f>
        <v/>
      </c>
      <c r="F6253" s="23" t="str">
        <f>IF(OR(E6253="",E6253="!!!"),"",IF(NOT(ISNA(VLOOKUP(E6253,E$1:E6252,1,FALSE()))),"OLD",IF(AND(E6253&lt;&gt;"",E6253&lt;&gt;"!!!"),"NEW","")))</f>
        <v> </v>
      </c>
      <c r="G6253" s="24" t="str">
        <f>IF(OR(E6253="",E6253="!!!"),"",IF(OR(J6253=0,AND(J6253=1,K6253=1),AND(J6253=1,I6253="SBJ"),AND(J6253=1,I6253=0)),"?IN_FOCUS",IF(J6253&lt;=2,"?ACTIVATED",IF(J6253&lt;&gt;"","?FAMILIAR",IF(F6253="NEW",IF(ISNA(VLOOKUP(E6253,#REF!,1,FALSE())),"?TYPE_IDENTIFIABLE","?REFERENTIAL"),"_")))))</f>
        <v> </v>
      </c>
      <c r="H6253" s="25" t="str">
        <f>IF(J6253&lt;&gt;1,"",IF(I6253="SBJ","CB","?"))</f>
        <v> </v>
      </c>
      <c r="I6253" s="26" t="str">
        <f>IF(OR(E6253="",E6253="!!!",F6253="NEW"),"",INDEX(B6252:B$2,-1+SUMPRODUCT(MAX(ROW(E6252:E$2)*(E6253=E6252:E$2)))))</f>
        <v> </v>
      </c>
      <c r="J6253" s="26" t="str">
        <f>IF(OR(E6253="",E6253="!!!",F6253="NEW"),"",COUNTBLANK(OFFSET(A$1,,,SUMPRODUCT(MAX(ROW(E$2:E6253)*(E6253=E$2:E6253)))))-COUNTBLANK(OFFSET(A$1,,,SUMPRODUCT(MAX(ROW(E$1:E6252)*(E2=E$1:E6252))))))</f>
        <v> </v>
      </c>
      <c r="K6253" s="26" t="str">
        <f>IF(OR(E6253="",E6253="!!!",F6253="NEW"),"",INDEX(J$1:J6252,SUMPRODUCT(MAX(ROW(E$1:E6252)*(E6253=E$1:E6252)))))</f>
        <v> </v>
      </c>
      <c r="L6253" s="27"/>
    </row>
    <row r="6254" spans="1:12">
      <c r="A6254" s="20" t="s">
        <v>2883</v>
      </c>
      <c r="B6254" s="21" t="s">
        <v>1212</v>
      </c>
      <c r="C6254" s="21" t="s">
        <v>1231</v>
      </c>
      <c r="E6254" s="22">
        <f>IF(D6254="?OLD","!!!","")</f>
        <v/>
      </c>
      <c r="F6254" s="23" t="str">
        <f>IF(OR(E6254="",E6254="!!!"),"",IF(NOT(ISNA(VLOOKUP(E6254,E$1:E6253,1,FALSE()))),"OLD",IF(AND(E6254&lt;&gt;"",E6254&lt;&gt;"!!!"),"NEW","")))</f>
        <v> </v>
      </c>
      <c r="G6254" s="24" t="str">
        <f>IF(OR(E6254="",E6254="!!!"),"",IF(OR(J6254=0,AND(J6254=1,K6254=1),AND(J6254=1,I6254="SBJ"),AND(J6254=1,I6254=0)),"?IN_FOCUS",IF(J6254&lt;=2,"?ACTIVATED",IF(J6254&lt;&gt;"","?FAMILIAR",IF(F6254="NEW",IF(ISNA(VLOOKUP(E6254,#REF!,1,FALSE())),"?TYPE_IDENTIFIABLE","?REFERENTIAL"),"_")))))</f>
        <v> </v>
      </c>
      <c r="H6254" s="25" t="str">
        <f>IF(J6254&lt;&gt;1,"",IF(I6254="SBJ","CB","?"))</f>
        <v> </v>
      </c>
      <c r="I6254" s="26" t="str">
        <f>IF(OR(E6254="",E6254="!!!",F6254="NEW"),"",INDEX(B6253:B$2,-1+SUMPRODUCT(MAX(ROW(E6253:E$2)*(E6254=E6253:E$2)))))</f>
        <v> </v>
      </c>
      <c r="J6254" s="26" t="str">
        <f>IF(OR(E6254="",E6254="!!!",F6254="NEW"),"",COUNTBLANK(OFFSET(A$1,,,SUMPRODUCT(MAX(ROW(E$2:E6254)*(E6254=E$2:E6254)))))-COUNTBLANK(OFFSET(A$1,,,SUMPRODUCT(MAX(ROW(E$1:E6253)*(E2=E$1:E6253))))))</f>
        <v> </v>
      </c>
      <c r="K6254" s="26" t="str">
        <f>IF(OR(E6254="",E6254="!!!",F6254="NEW"),"",INDEX(J$1:J6253,SUMPRODUCT(MAX(ROW(E$1:E6253)*(E6254=E$1:E6253)))))</f>
        <v> </v>
      </c>
      <c r="L6254" s="27"/>
    </row>
    <row r="6255" spans="1:12">
      <c r="A6255" s="20" t="s">
        <v>1359</v>
      </c>
      <c r="E6255" s="22">
        <f>IF(D6255="?OLD","!!!","")</f>
        <v/>
      </c>
      <c r="F6255" s="23" t="str">
        <f>IF(OR(E6255="",E6255="!!!"),"",IF(NOT(ISNA(VLOOKUP(E6255,E$1:E6254,1,FALSE()))),"OLD",IF(AND(E6255&lt;&gt;"",E6255&lt;&gt;"!!!"),"NEW","")))</f>
        <v> </v>
      </c>
      <c r="G6255" s="24" t="str">
        <f>IF(OR(E6255="",E6255="!!!"),"",IF(OR(J6255=0,AND(J6255=1,K6255=1),AND(J6255=1,I6255="SBJ"),AND(J6255=1,I6255=0)),"?IN_FOCUS",IF(J6255&lt;=2,"?ACTIVATED",IF(J6255&lt;&gt;"","?FAMILIAR",IF(F6255="NEW",IF(ISNA(VLOOKUP(E6255,#REF!,1,FALSE())),"?TYPE_IDENTIFIABLE","?REFERENTIAL"),"_")))))</f>
        <v> </v>
      </c>
      <c r="H6255" s="25" t="str">
        <f>IF(J6255&lt;&gt;1,"",IF(I6255="SBJ","CB","?"))</f>
        <v> </v>
      </c>
      <c r="I6255" s="26" t="str">
        <f>IF(OR(E6255="",E6255="!!!",F6255="NEW"),"",INDEX(B6254:B$2,-1+SUMPRODUCT(MAX(ROW(E6254:E$2)*(E6255=E6254:E$2)))))</f>
        <v> </v>
      </c>
      <c r="J6255" s="26" t="str">
        <f>IF(OR(E6255="",E6255="!!!",F6255="NEW"),"",COUNTBLANK(OFFSET(A$1,,,SUMPRODUCT(MAX(ROW(E$2:E6255)*(E6255=E$2:E6255)))))-COUNTBLANK(OFFSET(A$1,,,SUMPRODUCT(MAX(ROW(E$1:E6254)*(E2=E$1:E6254))))))</f>
        <v> </v>
      </c>
      <c r="K6255" s="26" t="str">
        <f>IF(OR(E6255="",E6255="!!!",F6255="NEW"),"",INDEX(J$1:J6254,SUMPRODUCT(MAX(ROW(E$1:E6254)*(E6255=E$1:E6254)))))</f>
        <v> </v>
      </c>
      <c r="L6255" s="27"/>
    </row>
    <row r="6256" spans="1:12">
      <c r="A6256" s="20" t="s">
        <v>1275</v>
      </c>
      <c r="E6256" s="22">
        <f>IF(D6256="?OLD","!!!","")</f>
        <v/>
      </c>
      <c r="F6256" s="23" t="str">
        <f>IF(OR(E6256="",E6256="!!!"),"",IF(NOT(ISNA(VLOOKUP(E6256,E$1:E6255,1,FALSE()))),"OLD",IF(AND(E6256&lt;&gt;"",E6256&lt;&gt;"!!!"),"NEW","")))</f>
        <v> </v>
      </c>
      <c r="G6256" s="24" t="str">
        <f>IF(OR(E6256="",E6256="!!!"),"",IF(OR(J6256=0,AND(J6256=1,K6256=1),AND(J6256=1,I6256="SBJ"),AND(J6256=1,I6256=0)),"?IN_FOCUS",IF(J6256&lt;=2,"?ACTIVATED",IF(J6256&lt;&gt;"","?FAMILIAR",IF(F6256="NEW",IF(ISNA(VLOOKUP(E6256,#REF!,1,FALSE())),"?TYPE_IDENTIFIABLE","?REFERENTIAL"),"_")))))</f>
        <v> </v>
      </c>
      <c r="H6256" s="25" t="str">
        <f>IF(J6256&lt;&gt;1,"",IF(I6256="SBJ","CB","?"))</f>
        <v> </v>
      </c>
      <c r="I6256" s="26" t="str">
        <f>IF(OR(E6256="",E6256="!!!",F6256="NEW"),"",INDEX(B6255:B$2,-1+SUMPRODUCT(MAX(ROW(E6255:E$2)*(E6256=E6255:E$2)))))</f>
        <v> </v>
      </c>
      <c r="J6256" s="26" t="str">
        <f>IF(OR(E6256="",E6256="!!!",F6256="NEW"),"",COUNTBLANK(OFFSET(A$1,,,SUMPRODUCT(MAX(ROW(E$2:E6256)*(E6256=E$2:E6256)))))-COUNTBLANK(OFFSET(A$1,,,SUMPRODUCT(MAX(ROW(E$1:E6255)*(E2=E$1:E6255))))))</f>
        <v> </v>
      </c>
      <c r="K6256" s="26" t="str">
        <f>IF(OR(E6256="",E6256="!!!",F6256="NEW"),"",INDEX(J$1:J6255,SUMPRODUCT(MAX(ROW(E$1:E6255)*(E6256=E$1:E6255)))))</f>
        <v> </v>
      </c>
      <c r="L6256" s="27"/>
    </row>
    <row r="6257" spans="1:12">
      <c r="A6257" s="20" t="s">
        <v>826</v>
      </c>
      <c r="E6257" s="22">
        <f>IF(D6257="?OLD","!!!","")</f>
        <v/>
      </c>
      <c r="F6257" s="23" t="str">
        <f>IF(OR(E6257="",E6257="!!!"),"",IF(NOT(ISNA(VLOOKUP(E6257,E$1:E6256,1,FALSE()))),"OLD",IF(AND(E6257&lt;&gt;"",E6257&lt;&gt;"!!!"),"NEW","")))</f>
        <v> </v>
      </c>
      <c r="G6257" s="24" t="str">
        <f>IF(OR(E6257="",E6257="!!!"),"",IF(OR(J6257=0,AND(J6257=1,K6257=1),AND(J6257=1,I6257="SBJ"),AND(J6257=1,I6257=0)),"?IN_FOCUS",IF(J6257&lt;=2,"?ACTIVATED",IF(J6257&lt;&gt;"","?FAMILIAR",IF(F6257="NEW",IF(ISNA(VLOOKUP(E6257,#REF!,1,FALSE())),"?TYPE_IDENTIFIABLE","?REFERENTIAL"),"_")))))</f>
        <v> </v>
      </c>
      <c r="H6257" s="25" t="str">
        <f>IF(J6257&lt;&gt;1,"",IF(I6257="SBJ","CB","?"))</f>
        <v> </v>
      </c>
      <c r="I6257" s="26" t="str">
        <f>IF(OR(E6257="",E6257="!!!",F6257="NEW"),"",INDEX(B6256:B$2,-1+SUMPRODUCT(MAX(ROW(E6256:E$2)*(E6257=E6256:E$2)))))</f>
        <v> </v>
      </c>
      <c r="J6257" s="26" t="str">
        <f>IF(OR(E6257="",E6257="!!!",F6257="NEW"),"",COUNTBLANK(OFFSET(A$1,,,SUMPRODUCT(MAX(ROW(E$2:E6257)*(E6257=E$2:E6257)))))-COUNTBLANK(OFFSET(A$1,,,SUMPRODUCT(MAX(ROW(E$1:E6256)*(E2=E$1:E6256))))))</f>
        <v> </v>
      </c>
      <c r="K6257" s="26" t="str">
        <f>IF(OR(E6257="",E6257="!!!",F6257="NEW"),"",INDEX(J$1:J6256,SUMPRODUCT(MAX(ROW(E$1:E6256)*(E6257=E$1:E6256)))))</f>
        <v> </v>
      </c>
      <c r="L6257" s="27"/>
    </row>
    <row r="6258" spans="1:12">
      <c r="A6258" s="20"/>
    </row>
    <row r="6259" spans="1:12">
      <c r="A6259" s="20" t="s">
        <v>2884</v>
      </c>
    </row>
    <row r="6260" spans="1:12">
      <c r="A6260" s="20" t="s">
        <v>2885</v>
      </c>
      <c r="E6260" s="22">
        <f>IF(D6260="?OLD","!!!","")</f>
        <v/>
      </c>
      <c r="F6260" s="23" t="str">
        <f>IF(OR(E6260="",E6260="!!!"),"",IF(NOT(ISNA(VLOOKUP(E6260,E$1:E6259,1,FALSE()))),"OLD",IF(AND(E6260&lt;&gt;"",E6260&lt;&gt;"!!!"),"NEW","")))</f>
        <v> </v>
      </c>
      <c r="G6260" s="24" t="str">
        <f>IF(OR(E6260="",E6260="!!!"),"",IF(OR(J6260=0,AND(J6260=1,K6260=1),AND(J6260=1,I6260="SBJ"),AND(J6260=1,I6260=0)),"?IN_FOCUS",IF(J6260&lt;=2,"?ACTIVATED",IF(J6260&lt;&gt;"","?FAMILIAR",IF(F6260="NEW",IF(ISNA(VLOOKUP(E6260,#REF!,1,FALSE())),"?TYPE_IDENTIFIABLE","?REFERENTIAL"),"_")))))</f>
        <v> </v>
      </c>
      <c r="H6260" s="25" t="str">
        <f>IF(J6260&lt;&gt;1,"",IF(I6260="SBJ","CB","?"))</f>
        <v> </v>
      </c>
      <c r="I6260" s="26" t="str">
        <f>IF(OR(E6260="",E6260="!!!",F6260="NEW"),"",INDEX(B6259:B$2,-1+SUMPRODUCT(MAX(ROW(E6259:E$2)*(E6260=E6259:E$2)))))</f>
        <v> </v>
      </c>
      <c r="J6260" s="26" t="str">
        <f>IF(OR(E6260="",E6260="!!!",F6260="NEW"),"",COUNTBLANK(OFFSET(A$1,,,SUMPRODUCT(MAX(ROW(E$2:E6260)*(E6260=E$2:E6260)))))-COUNTBLANK(OFFSET(A$1,,,SUMPRODUCT(MAX(ROW(E$1:E6259)*(E2=E$1:E6259))))))</f>
        <v> </v>
      </c>
      <c r="K6260" s="26" t="str">
        <f>IF(OR(E6260="",E6260="!!!",F6260="NEW"),"",INDEX(J$1:J6259,SUMPRODUCT(MAX(ROW(E$1:E6259)*(E6260=E$1:E6259)))))</f>
        <v> </v>
      </c>
      <c r="L6260" s="27"/>
    </row>
    <row r="6261" spans="1:12">
      <c r="A6261" s="20" t="s">
        <v>57</v>
      </c>
      <c r="B6261" s="21" t="s">
        <v>1202</v>
      </c>
      <c r="C6261" s="21" t="s">
        <v>1203</v>
      </c>
      <c r="D6261" s="21" t="s">
        <v>1188</v>
      </c>
      <c r="E6261" s="22">
        <f>IF(D6261="?OLD","!!!","")</f>
        <v/>
      </c>
      <c r="F6261" s="23" t="str">
        <f>IF(OR(E6261="",E6261="!!!"),"",IF(NOT(ISNA(VLOOKUP(E6261,E$1:E6260,1,FALSE()))),"OLD",IF(AND(E6261&lt;&gt;"",E6261&lt;&gt;"!!!"),"NEW","")))</f>
        <v> </v>
      </c>
      <c r="G6261" s="24" t="str">
        <f>IF(OR(E6261="",E6261="!!!"),"",IF(OR(J6261=0,AND(J6261=1,K6261=1),AND(J6261=1,I6261="SBJ"),AND(J6261=1,I6261=0)),"?IN_FOCUS",IF(J6261&lt;=2,"?ACTIVATED",IF(J6261&lt;&gt;"","?FAMILIAR",IF(F6261="NEW",IF(ISNA(VLOOKUP(E6261,#REF!,1,FALSE())),"?TYPE_IDENTIFIABLE","?REFERENTIAL"),"_")))))</f>
        <v> </v>
      </c>
      <c r="H6261" s="25" t="str">
        <f>IF(J6261&lt;&gt;1,"",IF(I6261="SBJ","CB","?"))</f>
        <v> </v>
      </c>
      <c r="I6261" s="26" t="str">
        <f>IF(OR(E6261="",E6261="!!!",F6261="NEW"),"",INDEX(B6260:B$2,-1+SUMPRODUCT(MAX(ROW(E6260:E$2)*(E6261=E6260:E$2)))))</f>
        <v> </v>
      </c>
      <c r="J6261" s="26" t="str">
        <f>IF(OR(E6261="",E6261="!!!",F6261="NEW"),"",COUNTBLANK(OFFSET(A$1,,,SUMPRODUCT(MAX(ROW(E$2:E6261)*(E6261=E$2:E6261)))))-COUNTBLANK(OFFSET(A$1,,,SUMPRODUCT(MAX(ROW(E$1:E6260)*(E2=E$1:E6260))))))</f>
        <v> </v>
      </c>
      <c r="K6261" s="26" t="str">
        <f>IF(OR(E6261="",E6261="!!!",F6261="NEW"),"",INDEX(J$1:J6260,SUMPRODUCT(MAX(ROW(E$1:E6260)*(E6261=E$1:E6260)))))</f>
        <v> </v>
      </c>
      <c r="L6261" s="27"/>
    </row>
    <row r="6262" spans="1:12">
      <c r="A6262" s="20" t="s">
        <v>1194</v>
      </c>
      <c r="E6262" s="22">
        <f>IF(D6262="?OLD","!!!","")</f>
        <v/>
      </c>
      <c r="F6262" s="23" t="str">
        <f>IF(OR(E6262="",E6262="!!!"),"",IF(NOT(ISNA(VLOOKUP(E6262,E$1:E6261,1,FALSE()))),"OLD",IF(AND(E6262&lt;&gt;"",E6262&lt;&gt;"!!!"),"NEW","")))</f>
        <v> </v>
      </c>
      <c r="G6262" s="24" t="str">
        <f>IF(OR(E6262="",E6262="!!!"),"",IF(OR(J6262=0,AND(J6262=1,K6262=1),AND(J6262=1,I6262="SBJ"),AND(J6262=1,I6262=0)),"?IN_FOCUS",IF(J6262&lt;=2,"?ACTIVATED",IF(J6262&lt;&gt;"","?FAMILIAR",IF(F6262="NEW",IF(ISNA(VLOOKUP(E6262,#REF!,1,FALSE())),"?TYPE_IDENTIFIABLE","?REFERENTIAL"),"_")))))</f>
        <v> </v>
      </c>
      <c r="H6262" s="25" t="str">
        <f>IF(J6262&lt;&gt;1,"",IF(I6262="SBJ","CB","?"))</f>
        <v> </v>
      </c>
      <c r="I6262" s="26" t="str">
        <f>IF(OR(E6262="",E6262="!!!",F6262="NEW"),"",INDEX(B6261:B$2,-1+SUMPRODUCT(MAX(ROW(E6261:E$2)*(E6262=E6261:E$2)))))</f>
        <v> </v>
      </c>
      <c r="J6262" s="26" t="str">
        <f>IF(OR(E6262="",E6262="!!!",F6262="NEW"),"",COUNTBLANK(OFFSET(A$1,,,SUMPRODUCT(MAX(ROW(E$2:E6262)*(E6262=E$2:E6262)))))-COUNTBLANK(OFFSET(A$1,,,SUMPRODUCT(MAX(ROW(E$1:E6261)*(E2=E$1:E6261))))))</f>
        <v> </v>
      </c>
      <c r="K6262" s="26" t="str">
        <f>IF(OR(E6262="",E6262="!!!",F6262="NEW"),"",INDEX(J$1:J6261,SUMPRODUCT(MAX(ROW(E$1:E6261)*(E6262=E$1:E6261)))))</f>
        <v> </v>
      </c>
      <c r="L6262" s="27"/>
    </row>
    <row r="6263" spans="1:12">
      <c r="A6263" s="20" t="s">
        <v>2702</v>
      </c>
      <c r="B6263" s="21" t="s">
        <v>1212</v>
      </c>
      <c r="C6263" s="21" t="s">
        <v>1196</v>
      </c>
      <c r="D6263" s="21" t="s">
        <v>1188</v>
      </c>
      <c r="E6263" s="22">
        <f>IF(D6263="?OLD","!!!","")</f>
        <v/>
      </c>
      <c r="F6263" s="23" t="str">
        <f>IF(OR(E6263="",E6263="!!!"),"",IF(NOT(ISNA(VLOOKUP(E6263,E$1:E6262,1,FALSE()))),"OLD",IF(AND(E6263&lt;&gt;"",E6263&lt;&gt;"!!!"),"NEW","")))</f>
        <v> </v>
      </c>
      <c r="G6263" s="24" t="str">
        <f>IF(OR(E6263="",E6263="!!!"),"",IF(OR(J6263=0,AND(J6263=1,K6263=1),AND(J6263=1,I6263="SBJ"),AND(J6263=1,I6263=0)),"?IN_FOCUS",IF(J6263&lt;=2,"?ACTIVATED",IF(J6263&lt;&gt;"","?FAMILIAR",IF(F6263="NEW",IF(ISNA(VLOOKUP(E6263,#REF!,1,FALSE())),"?TYPE_IDENTIFIABLE","?REFERENTIAL"),"_")))))</f>
        <v> </v>
      </c>
      <c r="H6263" s="25" t="str">
        <f>IF(J6263&lt;&gt;1,"",IF(I6263="SBJ","CB","?"))</f>
        <v> </v>
      </c>
      <c r="I6263" s="26" t="str">
        <f>IF(OR(E6263="",E6263="!!!",F6263="NEW"),"",INDEX(B6262:B$2,-1+SUMPRODUCT(MAX(ROW(E6262:E$2)*(E6263=E6262:E$2)))))</f>
        <v> </v>
      </c>
      <c r="J6263" s="26" t="str">
        <f>IF(OR(E6263="",E6263="!!!",F6263="NEW"),"",COUNTBLANK(OFFSET(A$1,,,SUMPRODUCT(MAX(ROW(E$2:E6263)*(E6263=E$2:E6263)))))-COUNTBLANK(OFFSET(A$1,,,SUMPRODUCT(MAX(ROW(E$1:E6262)*(E2=E$1:E6262))))))</f>
        <v> </v>
      </c>
      <c r="K6263" s="26" t="str">
        <f>IF(OR(E6263="",E6263="!!!",F6263="NEW"),"",INDEX(J$1:J6262,SUMPRODUCT(MAX(ROW(E$1:E6262)*(E6263=E$1:E6262)))))</f>
        <v> </v>
      </c>
      <c r="L6263" s="27"/>
    </row>
    <row r="6264" spans="1:12">
      <c r="A6264" s="20" t="s">
        <v>1193</v>
      </c>
      <c r="E6264" s="22">
        <f>IF(D6264="?OLD","!!!","")</f>
        <v/>
      </c>
      <c r="F6264" s="23" t="str">
        <f>IF(OR(E6264="",E6264="!!!"),"",IF(NOT(ISNA(VLOOKUP(E6264,E$1:E6263,1,FALSE()))),"OLD",IF(AND(E6264&lt;&gt;"",E6264&lt;&gt;"!!!"),"NEW","")))</f>
        <v> </v>
      </c>
      <c r="G6264" s="24" t="str">
        <f>IF(OR(E6264="",E6264="!!!"),"",IF(OR(J6264=0,AND(J6264=1,K6264=1),AND(J6264=1,I6264="SBJ"),AND(J6264=1,I6264=0)),"?IN_FOCUS",IF(J6264&lt;=2,"?ACTIVATED",IF(J6264&lt;&gt;"","?FAMILIAR",IF(F6264="NEW",IF(ISNA(VLOOKUP(E6264,#REF!,1,FALSE())),"?TYPE_IDENTIFIABLE","?REFERENTIAL"),"_")))))</f>
        <v> </v>
      </c>
      <c r="H6264" s="25" t="str">
        <f>IF(J6264&lt;&gt;1,"",IF(I6264="SBJ","CB","?"))</f>
        <v> </v>
      </c>
      <c r="I6264" s="26" t="str">
        <f>IF(OR(E6264="",E6264="!!!",F6264="NEW"),"",INDEX(B6263:B$2,-1+SUMPRODUCT(MAX(ROW(E6263:E$2)*(E6264=E6263:E$2)))))</f>
        <v> </v>
      </c>
      <c r="J6264" s="26" t="str">
        <f>IF(OR(E6264="",E6264="!!!",F6264="NEW"),"",COUNTBLANK(OFFSET(A$1,,,SUMPRODUCT(MAX(ROW(E$2:E6264)*(E6264=E$2:E6264)))))-COUNTBLANK(OFFSET(A$1,,,SUMPRODUCT(MAX(ROW(E$1:E6263)*(E2=E$1:E6263))))))</f>
        <v> </v>
      </c>
      <c r="K6264" s="26" t="str">
        <f>IF(OR(E6264="",E6264="!!!",F6264="NEW"),"",INDEX(J$1:J6263,SUMPRODUCT(MAX(ROW(E$1:E6263)*(E6264=E$1:E6263)))))</f>
        <v> </v>
      </c>
      <c r="L6264" s="27"/>
    </row>
    <row r="6265" spans="1:12">
      <c r="A6265" s="20" t="s">
        <v>2284</v>
      </c>
      <c r="E6265" s="22">
        <f>IF(D6265="?OLD","!!!","")</f>
        <v/>
      </c>
      <c r="F6265" s="23" t="str">
        <f>IF(OR(E6265="",E6265="!!!"),"",IF(NOT(ISNA(VLOOKUP(E6265,E$1:E6264,1,FALSE()))),"OLD",IF(AND(E6265&lt;&gt;"",E6265&lt;&gt;"!!!"),"NEW","")))</f>
        <v> </v>
      </c>
      <c r="G6265" s="24" t="str">
        <f>IF(OR(E6265="",E6265="!!!"),"",IF(OR(J6265=0,AND(J6265=1,K6265=1),AND(J6265=1,I6265="SBJ"),AND(J6265=1,I6265=0)),"?IN_FOCUS",IF(J6265&lt;=2,"?ACTIVATED",IF(J6265&lt;&gt;"","?FAMILIAR",IF(F6265="NEW",IF(ISNA(VLOOKUP(E6265,#REF!,1,FALSE())),"?TYPE_IDENTIFIABLE","?REFERENTIAL"),"_")))))</f>
        <v> </v>
      </c>
      <c r="H6265" s="25" t="str">
        <f>IF(J6265&lt;&gt;1,"",IF(I6265="SBJ","CB","?"))</f>
        <v> </v>
      </c>
      <c r="I6265" s="26" t="str">
        <f>IF(OR(E6265="",E6265="!!!",F6265="NEW"),"",INDEX(B6264:B$2,-1+SUMPRODUCT(MAX(ROW(E6264:E$2)*(E6265=E6264:E$2)))))</f>
        <v> </v>
      </c>
      <c r="J6265" s="26" t="str">
        <f>IF(OR(E6265="",E6265="!!!",F6265="NEW"),"",COUNTBLANK(OFFSET(A$1,,,SUMPRODUCT(MAX(ROW(E$2:E6265)*(E6265=E$2:E6265)))))-COUNTBLANK(OFFSET(A$1,,,SUMPRODUCT(MAX(ROW(E$1:E6264)*(E2=E$1:E6264))))))</f>
        <v> </v>
      </c>
      <c r="K6265" s="26" t="str">
        <f>IF(OR(E6265="",E6265="!!!",F6265="NEW"),"",INDEX(J$1:J6264,SUMPRODUCT(MAX(ROW(E$1:E6264)*(E6265=E$1:E6264)))))</f>
        <v> </v>
      </c>
      <c r="L6265" s="27"/>
    </row>
    <row r="6266" spans="1:12">
      <c r="A6266" s="20" t="s">
        <v>1828</v>
      </c>
      <c r="B6266" s="21" t="s">
        <v>1186</v>
      </c>
      <c r="C6266" s="21" t="s">
        <v>1187</v>
      </c>
      <c r="D6266" s="21" t="s">
        <v>1188</v>
      </c>
      <c r="E6266" s="22">
        <f>IF(D6266="?OLD","!!!","")</f>
        <v/>
      </c>
      <c r="F6266" s="23" t="str">
        <f>IF(OR(E6266="",E6266="!!!"),"",IF(NOT(ISNA(VLOOKUP(E6266,E$1:E6265,1,FALSE()))),"OLD",IF(AND(E6266&lt;&gt;"",E6266&lt;&gt;"!!!"),"NEW","")))</f>
        <v> </v>
      </c>
      <c r="G6266" s="24" t="str">
        <f>IF(OR(E6266="",E6266="!!!"),"",IF(OR(J6266=0,AND(J6266=1,K6266=1),AND(J6266=1,I6266="SBJ"),AND(J6266=1,I6266=0)),"?IN_FOCUS",IF(J6266&lt;=2,"?ACTIVATED",IF(J6266&lt;&gt;"","?FAMILIAR",IF(F6266="NEW",IF(ISNA(VLOOKUP(E6266,#REF!,1,FALSE())),"?TYPE_IDENTIFIABLE","?REFERENTIAL"),"_")))))</f>
        <v> </v>
      </c>
      <c r="H6266" s="25" t="str">
        <f>IF(J6266&lt;&gt;1,"",IF(I6266="SBJ","CB","?"))</f>
        <v> </v>
      </c>
      <c r="I6266" s="26" t="str">
        <f>IF(OR(E6266="",E6266="!!!",F6266="NEW"),"",INDEX(B6265:B$2,-1+SUMPRODUCT(MAX(ROW(E6265:E$2)*(E6266=E6265:E$2)))))</f>
        <v> </v>
      </c>
      <c r="J6266" s="26" t="str">
        <f>IF(OR(E6266="",E6266="!!!",F6266="NEW"),"",COUNTBLANK(OFFSET(A$1,,,SUMPRODUCT(MAX(ROW(E$2:E6266)*(E6266=E$2:E6266)))))-COUNTBLANK(OFFSET(A$1,,,SUMPRODUCT(MAX(ROW(E$1:E6265)*(E2=E$1:E6265))))))</f>
        <v> </v>
      </c>
      <c r="K6266" s="26" t="str">
        <f>IF(OR(E6266="",E6266="!!!",F6266="NEW"),"",INDEX(J$1:J6265,SUMPRODUCT(MAX(ROW(E$1:E6265)*(E6266=E$1:E6265)))))</f>
        <v> </v>
      </c>
      <c r="L6266" s="27"/>
    </row>
    <row r="6267" spans="1:12">
      <c r="A6267" s="20" t="s">
        <v>1103</v>
      </c>
      <c r="E6267" s="22">
        <f>IF(D6267="?OLD","!!!","")</f>
        <v/>
      </c>
      <c r="F6267" s="23" t="str">
        <f>IF(OR(E6267="",E6267="!!!"),"",IF(NOT(ISNA(VLOOKUP(E6267,E$1:E6266,1,FALSE()))),"OLD",IF(AND(E6267&lt;&gt;"",E6267&lt;&gt;"!!!"),"NEW","")))</f>
        <v> </v>
      </c>
      <c r="G6267" s="24" t="str">
        <f>IF(OR(E6267="",E6267="!!!"),"",IF(OR(J6267=0,AND(J6267=1,K6267=1),AND(J6267=1,I6267="SBJ"),AND(J6267=1,I6267=0)),"?IN_FOCUS",IF(J6267&lt;=2,"?ACTIVATED",IF(J6267&lt;&gt;"","?FAMILIAR",IF(F6267="NEW",IF(ISNA(VLOOKUP(E6267,#REF!,1,FALSE())),"?TYPE_IDENTIFIABLE","?REFERENTIAL"),"_")))))</f>
        <v> </v>
      </c>
      <c r="H6267" s="25" t="str">
        <f>IF(J6267&lt;&gt;1,"",IF(I6267="SBJ","CB","?"))</f>
        <v> </v>
      </c>
      <c r="I6267" s="26" t="str">
        <f>IF(OR(E6267="",E6267="!!!",F6267="NEW"),"",INDEX(B6266:B$2,-1+SUMPRODUCT(MAX(ROW(E6266:E$2)*(E6267=E6266:E$2)))))</f>
        <v> </v>
      </c>
      <c r="J6267" s="26" t="str">
        <f>IF(OR(E6267="",E6267="!!!",F6267="NEW"),"",COUNTBLANK(OFFSET(A$1,,,SUMPRODUCT(MAX(ROW(E$2:E6267)*(E6267=E$2:E6267)))))-COUNTBLANK(OFFSET(A$1,,,SUMPRODUCT(MAX(ROW(E$1:E6266)*(E2=E$1:E6266))))))</f>
        <v> </v>
      </c>
      <c r="K6267" s="26" t="str">
        <f>IF(OR(E6267="",E6267="!!!",F6267="NEW"),"",INDEX(J$1:J6266,SUMPRODUCT(MAX(ROW(E$1:E6266)*(E6267=E$1:E6266)))))</f>
        <v> </v>
      </c>
      <c r="L6267" s="27"/>
    </row>
    <row r="6268" spans="1:12">
      <c r="A6268" s="20" t="s">
        <v>1193</v>
      </c>
      <c r="E6268" s="22">
        <f>IF(D6268="?OLD","!!!","")</f>
        <v/>
      </c>
      <c r="F6268" s="23" t="str">
        <f>IF(OR(E6268="",E6268="!!!"),"",IF(NOT(ISNA(VLOOKUP(E6268,E$1:E6267,1,FALSE()))),"OLD",IF(AND(E6268&lt;&gt;"",E6268&lt;&gt;"!!!"),"NEW","")))</f>
        <v> </v>
      </c>
      <c r="G6268" s="24" t="str">
        <f>IF(OR(E6268="",E6268="!!!"),"",IF(OR(J6268=0,AND(J6268=1,K6268=1),AND(J6268=1,I6268="SBJ"),AND(J6268=1,I6268=0)),"?IN_FOCUS",IF(J6268&lt;=2,"?ACTIVATED",IF(J6268&lt;&gt;"","?FAMILIAR",IF(F6268="NEW",IF(ISNA(VLOOKUP(E6268,#REF!,1,FALSE())),"?TYPE_IDENTIFIABLE","?REFERENTIAL"),"_")))))</f>
        <v> </v>
      </c>
      <c r="H6268" s="25" t="str">
        <f>IF(J6268&lt;&gt;1,"",IF(I6268="SBJ","CB","?"))</f>
        <v> </v>
      </c>
      <c r="I6268" s="26" t="str">
        <f>IF(OR(E6268="",E6268="!!!",F6268="NEW"),"",INDEX(B6267:B$2,-1+SUMPRODUCT(MAX(ROW(E6267:E$2)*(E6268=E6267:E$2)))))</f>
        <v> </v>
      </c>
      <c r="J6268" s="26" t="str">
        <f>IF(OR(E6268="",E6268="!!!",F6268="NEW"),"",COUNTBLANK(OFFSET(A$1,,,SUMPRODUCT(MAX(ROW(E$2:E6268)*(E6268=E$2:E6268)))))-COUNTBLANK(OFFSET(A$1,,,SUMPRODUCT(MAX(ROW(E$1:E6267)*(E2=E$1:E6267))))))</f>
        <v> </v>
      </c>
      <c r="K6268" s="26" t="str">
        <f>IF(OR(E6268="",E6268="!!!",F6268="NEW"),"",INDEX(J$1:J6267,SUMPRODUCT(MAX(ROW(E$1:E6267)*(E6268=E$1:E6267)))))</f>
        <v> </v>
      </c>
      <c r="L6268" s="27"/>
    </row>
    <row r="6269" spans="1:12">
      <c r="A6269" s="20" t="s">
        <v>17</v>
      </c>
      <c r="E6269" s="22">
        <f>IF(D6269="?OLD","!!!","")</f>
        <v/>
      </c>
      <c r="F6269" s="23" t="str">
        <f>IF(OR(E6269="",E6269="!!!"),"",IF(NOT(ISNA(VLOOKUP(E6269,E$1:E6268,1,FALSE()))),"OLD",IF(AND(E6269&lt;&gt;"",E6269&lt;&gt;"!!!"),"NEW","")))</f>
        <v> </v>
      </c>
      <c r="G6269" s="24" t="str">
        <f>IF(OR(E6269="",E6269="!!!"),"",IF(OR(J6269=0,AND(J6269=1,K6269=1),AND(J6269=1,I6269="SBJ"),AND(J6269=1,I6269=0)),"?IN_FOCUS",IF(J6269&lt;=2,"?ACTIVATED",IF(J6269&lt;&gt;"","?FAMILIAR",IF(F6269="NEW",IF(ISNA(VLOOKUP(E6269,#REF!,1,FALSE())),"?TYPE_IDENTIFIABLE","?REFERENTIAL"),"_")))))</f>
        <v> </v>
      </c>
      <c r="H6269" s="25" t="str">
        <f>IF(J6269&lt;&gt;1,"",IF(I6269="SBJ","CB","?"))</f>
        <v> </v>
      </c>
      <c r="I6269" s="26" t="str">
        <f>IF(OR(E6269="",E6269="!!!",F6269="NEW"),"",INDEX(B6268:B$2,-1+SUMPRODUCT(MAX(ROW(E6268:E$2)*(E6269=E6268:E$2)))))</f>
        <v> </v>
      </c>
      <c r="J6269" s="26" t="str">
        <f>IF(OR(E6269="",E6269="!!!",F6269="NEW"),"",COUNTBLANK(OFFSET(A$1,,,SUMPRODUCT(MAX(ROW(E$2:E6269)*(E6269=E$2:E6269)))))-COUNTBLANK(OFFSET(A$1,,,SUMPRODUCT(MAX(ROW(E$1:E6268)*(E2=E$1:E6268))))))</f>
        <v> </v>
      </c>
      <c r="K6269" s="26" t="str">
        <f>IF(OR(E6269="",E6269="!!!",F6269="NEW"),"",INDEX(J$1:J6268,SUMPRODUCT(MAX(ROW(E$1:E6268)*(E6269=E$1:E6268)))))</f>
        <v> </v>
      </c>
      <c r="L6269" s="27"/>
    </row>
    <row r="6270" spans="1:12">
      <c r="A6270" s="20" t="s">
        <v>1257</v>
      </c>
      <c r="E6270" s="22">
        <f>IF(D6270="?OLD","!!!","")</f>
        <v/>
      </c>
      <c r="F6270" s="23" t="str">
        <f>IF(OR(E6270="",E6270="!!!"),"",IF(NOT(ISNA(VLOOKUP(E6270,E$1:E6269,1,FALSE()))),"OLD",IF(AND(E6270&lt;&gt;"",E6270&lt;&gt;"!!!"),"NEW","")))</f>
        <v> </v>
      </c>
      <c r="G6270" s="24" t="str">
        <f>IF(OR(E6270="",E6270="!!!"),"",IF(OR(J6270=0,AND(J6270=1,K6270=1),AND(J6270=1,I6270="SBJ"),AND(J6270=1,I6270=0)),"?IN_FOCUS",IF(J6270&lt;=2,"?ACTIVATED",IF(J6270&lt;&gt;"","?FAMILIAR",IF(F6270="NEW",IF(ISNA(VLOOKUP(E6270,#REF!,1,FALSE())),"?TYPE_IDENTIFIABLE","?REFERENTIAL"),"_")))))</f>
        <v> </v>
      </c>
      <c r="H6270" s="25" t="str">
        <f>IF(J6270&lt;&gt;1,"",IF(I6270="SBJ","CB","?"))</f>
        <v> </v>
      </c>
      <c r="I6270" s="26" t="str">
        <f>IF(OR(E6270="",E6270="!!!",F6270="NEW"),"",INDEX(B6269:B$2,-1+SUMPRODUCT(MAX(ROW(E6269:E$2)*(E6270=E6269:E$2)))))</f>
        <v> </v>
      </c>
      <c r="J6270" s="26" t="str">
        <f>IF(OR(E6270="",E6270="!!!",F6270="NEW"),"",COUNTBLANK(OFFSET(A$1,,,SUMPRODUCT(MAX(ROW(E$2:E6270)*(E6270=E$2:E6270)))))-COUNTBLANK(OFFSET(A$1,,,SUMPRODUCT(MAX(ROW(E$1:E6269)*(E2=E$1:E6269))))))</f>
        <v> </v>
      </c>
      <c r="K6270" s="26" t="str">
        <f>IF(OR(E6270="",E6270="!!!",F6270="NEW"),"",INDEX(J$1:J6269,SUMPRODUCT(MAX(ROW(E$1:E6269)*(E6270=E$1:E6269)))))</f>
        <v> </v>
      </c>
      <c r="L6270" s="27"/>
    </row>
    <row r="6271" spans="1:12">
      <c r="A6271" s="20"/>
    </row>
    <row r="6272" spans="1:12">
      <c r="A6272" s="20" t="s">
        <v>2343</v>
      </c>
    </row>
    <row r="6273" spans="1:12">
      <c r="A6273" s="20" t="s">
        <v>1294</v>
      </c>
      <c r="B6273" s="21" t="s">
        <v>1186</v>
      </c>
      <c r="C6273" s="21" t="s">
        <v>1203</v>
      </c>
      <c r="D6273" s="21" t="s">
        <v>1188</v>
      </c>
      <c r="E6273" s="22">
        <f>IF(D6273="?OLD","!!!","")</f>
        <v/>
      </c>
      <c r="F6273" s="23" t="str">
        <f>IF(OR(E6273="",E6273="!!!"),"",IF(NOT(ISNA(VLOOKUP(E6273,E$1:E6272,1,FALSE()))),"OLD",IF(AND(E6273&lt;&gt;"",E6273&lt;&gt;"!!!"),"NEW","")))</f>
        <v> </v>
      </c>
      <c r="G6273" s="24" t="str">
        <f>IF(OR(E6273="",E6273="!!!"),"",IF(OR(J6273=0,AND(J6273=1,K6273=1),AND(J6273=1,I6273="SBJ"),AND(J6273=1,I6273=0)),"?IN_FOCUS",IF(J6273&lt;=2,"?ACTIVATED",IF(J6273&lt;&gt;"","?FAMILIAR",IF(F6273="NEW",IF(ISNA(VLOOKUP(E6273,#REF!,1,FALSE())),"?TYPE_IDENTIFIABLE","?REFERENTIAL"),"_")))))</f>
        <v> </v>
      </c>
      <c r="H6273" s="25" t="str">
        <f>IF(J6273&lt;&gt;1,"",IF(I6273="SBJ","CB","?"))</f>
        <v> </v>
      </c>
      <c r="I6273" s="26" t="str">
        <f>IF(OR(E6273="",E6273="!!!",F6273="NEW"),"",INDEX(B6272:B$2,-1+SUMPRODUCT(MAX(ROW(E6272:E$2)*(E6273=E6272:E$2)))))</f>
        <v> </v>
      </c>
      <c r="J6273" s="26" t="str">
        <f>IF(OR(E6273="",E6273="!!!",F6273="NEW"),"",COUNTBLANK(OFFSET(A$1,,,SUMPRODUCT(MAX(ROW(E$2:E6273)*(E6273=E$2:E6273)))))-COUNTBLANK(OFFSET(A$1,,,SUMPRODUCT(MAX(ROW(E$1:E6272)*(E2=E$1:E6272))))))</f>
        <v> </v>
      </c>
      <c r="K6273" s="26" t="str">
        <f>IF(OR(E6273="",E6273="!!!",F6273="NEW"),"",INDEX(J$1:J6272,SUMPRODUCT(MAX(ROW(E$1:E6272)*(E6273=E$1:E6272)))))</f>
        <v> </v>
      </c>
      <c r="L6273" s="27"/>
    </row>
    <row r="6274" spans="1:12">
      <c r="A6274" s="20" t="s">
        <v>1190</v>
      </c>
      <c r="E6274" s="22">
        <f>IF(D6274="?OLD","!!!","")</f>
        <v/>
      </c>
      <c r="F6274" s="23" t="str">
        <f>IF(OR(E6274="",E6274="!!!"),"",IF(NOT(ISNA(VLOOKUP(E6274,E$1:E6273,1,FALSE()))),"OLD",IF(AND(E6274&lt;&gt;"",E6274&lt;&gt;"!!!"),"NEW","")))</f>
        <v> </v>
      </c>
      <c r="G6274" s="24" t="str">
        <f>IF(OR(E6274="",E6274="!!!"),"",IF(OR(J6274=0,AND(J6274=1,K6274=1),AND(J6274=1,I6274="SBJ"),AND(J6274=1,I6274=0)),"?IN_FOCUS",IF(J6274&lt;=2,"?ACTIVATED",IF(J6274&lt;&gt;"","?FAMILIAR",IF(F6274="NEW",IF(ISNA(VLOOKUP(E6274,#REF!,1,FALSE())),"?TYPE_IDENTIFIABLE","?REFERENTIAL"),"_")))))</f>
        <v> </v>
      </c>
      <c r="H6274" s="25" t="str">
        <f>IF(J6274&lt;&gt;1,"",IF(I6274="SBJ","CB","?"))</f>
        <v> </v>
      </c>
      <c r="I6274" s="26" t="str">
        <f>IF(OR(E6274="",E6274="!!!",F6274="NEW"),"",INDEX(B6273:B$2,-1+SUMPRODUCT(MAX(ROW(E6273:E$2)*(E6274=E6273:E$2)))))</f>
        <v> </v>
      </c>
      <c r="J6274" s="26" t="str">
        <f>IF(OR(E6274="",E6274="!!!",F6274="NEW"),"",COUNTBLANK(OFFSET(A$1,,,SUMPRODUCT(MAX(ROW(E$2:E6274)*(E6274=E$2:E6274)))))-COUNTBLANK(OFFSET(A$1,,,SUMPRODUCT(MAX(ROW(E$1:E6273)*(E2=E$1:E6273))))))</f>
        <v> </v>
      </c>
      <c r="K6274" s="26" t="str">
        <f>IF(OR(E6274="",E6274="!!!",F6274="NEW"),"",INDEX(J$1:J6273,SUMPRODUCT(MAX(ROW(E$1:E6273)*(E6274=E$1:E6273)))))</f>
        <v> </v>
      </c>
      <c r="L6274" s="27"/>
    </row>
    <row r="6275" spans="1:12">
      <c r="A6275" s="20" t="s">
        <v>2344</v>
      </c>
      <c r="B6275" s="21" t="s">
        <v>1186</v>
      </c>
      <c r="C6275" s="21" t="s">
        <v>1187</v>
      </c>
      <c r="D6275" s="21" t="s">
        <v>1188</v>
      </c>
      <c r="E6275" s="22">
        <f>IF(D6275="?OLD","!!!","")</f>
        <v/>
      </c>
      <c r="F6275" s="23" t="str">
        <f>IF(OR(E6275="",E6275="!!!"),"",IF(NOT(ISNA(VLOOKUP(E6275,E$1:E6274,1,FALSE()))),"OLD",IF(AND(E6275&lt;&gt;"",E6275&lt;&gt;"!!!"),"NEW","")))</f>
        <v> </v>
      </c>
      <c r="G6275" s="24" t="str">
        <f>IF(OR(E6275="",E6275="!!!"),"",IF(OR(J6275=0,AND(J6275=1,K6275=1),AND(J6275=1,I6275="SBJ"),AND(J6275=1,I6275=0)),"?IN_FOCUS",IF(J6275&lt;=2,"?ACTIVATED",IF(J6275&lt;&gt;"","?FAMILIAR",IF(F6275="NEW",IF(ISNA(VLOOKUP(E6275,#REF!,1,FALSE())),"?TYPE_IDENTIFIABLE","?REFERENTIAL"),"_")))))</f>
        <v> </v>
      </c>
      <c r="H6275" s="25" t="str">
        <f>IF(J6275&lt;&gt;1,"",IF(I6275="SBJ","CB","?"))</f>
        <v> </v>
      </c>
      <c r="I6275" s="26" t="str">
        <f>IF(OR(E6275="",E6275="!!!",F6275="NEW"),"",INDEX(B6274:B$2,-1+SUMPRODUCT(MAX(ROW(E6274:E$2)*(E6275=E6274:E$2)))))</f>
        <v> </v>
      </c>
      <c r="J6275" s="26" t="str">
        <f>IF(OR(E6275="",E6275="!!!",F6275="NEW"),"",COUNTBLANK(OFFSET(A$1,,,SUMPRODUCT(MAX(ROW(E$2:E6275)*(E6275=E$2:E6275)))))-COUNTBLANK(OFFSET(A$1,,,SUMPRODUCT(MAX(ROW(E$1:E6274)*(E2=E$1:E6274))))))</f>
        <v> </v>
      </c>
      <c r="K6275" s="26" t="str">
        <f>IF(OR(E6275="",E6275="!!!",F6275="NEW"),"",INDEX(J$1:J6274,SUMPRODUCT(MAX(ROW(E$1:E6274)*(E6275=E$1:E6274)))))</f>
        <v> </v>
      </c>
      <c r="L6275" s="27"/>
    </row>
    <row r="6276" spans="1:12">
      <c r="A6276" s="20" t="s">
        <v>826</v>
      </c>
      <c r="E6276" s="22">
        <f>IF(D6276="?OLD","!!!","")</f>
        <v/>
      </c>
      <c r="F6276" s="23" t="str">
        <f>IF(OR(E6276="",E6276="!!!"),"",IF(NOT(ISNA(VLOOKUP(E6276,E$1:E6275,1,FALSE()))),"OLD",IF(AND(E6276&lt;&gt;"",E6276&lt;&gt;"!!!"),"NEW","")))</f>
        <v> </v>
      </c>
      <c r="G6276" s="24" t="str">
        <f>IF(OR(E6276="",E6276="!!!"),"",IF(OR(J6276=0,AND(J6276=1,K6276=1),AND(J6276=1,I6276="SBJ"),AND(J6276=1,I6276=0)),"?IN_FOCUS",IF(J6276&lt;=2,"?ACTIVATED",IF(J6276&lt;&gt;"","?FAMILIAR",IF(F6276="NEW",IF(ISNA(VLOOKUP(E6276,#REF!,1,FALSE())),"?TYPE_IDENTIFIABLE","?REFERENTIAL"),"_")))))</f>
        <v> </v>
      </c>
      <c r="H6276" s="25" t="str">
        <f>IF(J6276&lt;&gt;1,"",IF(I6276="SBJ","CB","?"))</f>
        <v> </v>
      </c>
      <c r="I6276" s="26" t="str">
        <f>IF(OR(E6276="",E6276="!!!",F6276="NEW"),"",INDEX(B6275:B$2,-1+SUMPRODUCT(MAX(ROW(E6275:E$2)*(E6276=E6275:E$2)))))</f>
        <v> </v>
      </c>
      <c r="J6276" s="26" t="str">
        <f>IF(OR(E6276="",E6276="!!!",F6276="NEW"),"",COUNTBLANK(OFFSET(A$1,,,SUMPRODUCT(MAX(ROW(E$2:E6276)*(E6276=E$2:E6276)))))-COUNTBLANK(OFFSET(A$1,,,SUMPRODUCT(MAX(ROW(E$1:E6275)*(E2=E$1:E6275))))))</f>
        <v> </v>
      </c>
      <c r="K6276" s="26" t="str">
        <f>IF(OR(E6276="",E6276="!!!",F6276="NEW"),"",INDEX(J$1:J6275,SUMPRODUCT(MAX(ROW(E$1:E6275)*(E6276=E$1:E6275)))))</f>
        <v> </v>
      </c>
      <c r="L6276" s="27"/>
    </row>
    <row r="6277" spans="1:12">
      <c r="A6277" s="20"/>
    </row>
    <row r="6278" spans="1:12">
      <c r="A6278" s="20" t="s">
        <v>2886</v>
      </c>
    </row>
    <row r="6279" spans="1:12">
      <c r="A6279" s="20" t="s">
        <v>1320</v>
      </c>
      <c r="B6279" s="21" t="s">
        <v>1202</v>
      </c>
      <c r="C6279" s="21" t="s">
        <v>1216</v>
      </c>
      <c r="D6279" s="21" t="s">
        <v>1188</v>
      </c>
      <c r="E6279" s="22">
        <f>IF(D6279="?OLD","!!!","")</f>
        <v/>
      </c>
      <c r="F6279" s="23" t="str">
        <f>IF(OR(E6279="",E6279="!!!"),"",IF(NOT(ISNA(VLOOKUP(E6279,E$1:E6278,1,FALSE()))),"OLD",IF(AND(E6279&lt;&gt;"",E6279&lt;&gt;"!!!"),"NEW","")))</f>
        <v> </v>
      </c>
      <c r="G6279" s="24" t="str">
        <f>IF(OR(E6279="",E6279="!!!"),"",IF(OR(J6279=0,AND(J6279=1,K6279=1),AND(J6279=1,I6279="SBJ"),AND(J6279=1,I6279=0)),"?IN_FOCUS",IF(J6279&lt;=2,"?ACTIVATED",IF(J6279&lt;&gt;"","?FAMILIAR",IF(F6279="NEW",IF(ISNA(VLOOKUP(E6279,#REF!,1,FALSE())),"?TYPE_IDENTIFIABLE","?REFERENTIAL"),"_")))))</f>
        <v> </v>
      </c>
      <c r="H6279" s="25" t="str">
        <f>IF(J6279&lt;&gt;1,"",IF(I6279="SBJ","CB","?"))</f>
        <v> </v>
      </c>
      <c r="I6279" s="26" t="str">
        <f>IF(OR(E6279="",E6279="!!!",F6279="NEW"),"",INDEX(B6278:B$2,-1+SUMPRODUCT(MAX(ROW(E6278:E$2)*(E6279=E6278:E$2)))))</f>
        <v> </v>
      </c>
      <c r="J6279" s="26" t="str">
        <f>IF(OR(E6279="",E6279="!!!",F6279="NEW"),"",COUNTBLANK(OFFSET(A$1,,,SUMPRODUCT(MAX(ROW(E$2:E6279)*(E6279=E$2:E6279)))))-COUNTBLANK(OFFSET(A$1,,,SUMPRODUCT(MAX(ROW(E$1:E6278)*(E2=E$1:E6278))))))</f>
        <v> </v>
      </c>
      <c r="K6279" s="26" t="str">
        <f>IF(OR(E6279="",E6279="!!!",F6279="NEW"),"",INDEX(J$1:J6278,SUMPRODUCT(MAX(ROW(E$1:E6278)*(E6279=E$1:E6278)))))</f>
        <v> </v>
      </c>
      <c r="L6279" s="27"/>
    </row>
    <row r="6280" spans="1:12">
      <c r="A6280" s="20" t="s">
        <v>1994</v>
      </c>
      <c r="E6280" s="22">
        <f>IF(D6280="?OLD","!!!","")</f>
        <v/>
      </c>
      <c r="F6280" s="23" t="str">
        <f>IF(OR(E6280="",E6280="!!!"),"",IF(NOT(ISNA(VLOOKUP(E6280,E$1:E6279,1,FALSE()))),"OLD",IF(AND(E6280&lt;&gt;"",E6280&lt;&gt;"!!!"),"NEW","")))</f>
        <v> </v>
      </c>
      <c r="G6280" s="24" t="str">
        <f>IF(OR(E6280="",E6280="!!!"),"",IF(OR(J6280=0,AND(J6280=1,K6280=1),AND(J6280=1,I6280="SBJ"),AND(J6280=1,I6280=0)),"?IN_FOCUS",IF(J6280&lt;=2,"?ACTIVATED",IF(J6280&lt;&gt;"","?FAMILIAR",IF(F6280="NEW",IF(ISNA(VLOOKUP(E6280,#REF!,1,FALSE())),"?TYPE_IDENTIFIABLE","?REFERENTIAL"),"_")))))</f>
        <v> </v>
      </c>
      <c r="H6280" s="25" t="str">
        <f>IF(J6280&lt;&gt;1,"",IF(I6280="SBJ","CB","?"))</f>
        <v> </v>
      </c>
      <c r="I6280" s="26" t="str">
        <f>IF(OR(E6280="",E6280="!!!",F6280="NEW"),"",INDEX(B6279:B$2,-1+SUMPRODUCT(MAX(ROW(E6279:E$2)*(E6280=E6279:E$2)))))</f>
        <v> </v>
      </c>
      <c r="J6280" s="26" t="str">
        <f>IF(OR(E6280="",E6280="!!!",F6280="NEW"),"",COUNTBLANK(OFFSET(A$1,,,SUMPRODUCT(MAX(ROW(E$2:E6280)*(E6280=E$2:E6280)))))-COUNTBLANK(OFFSET(A$1,,,SUMPRODUCT(MAX(ROW(E$1:E6279)*(E2=E$1:E6279))))))</f>
        <v> </v>
      </c>
      <c r="K6280" s="26" t="str">
        <f>IF(OR(E6280="",E6280="!!!",F6280="NEW"),"",INDEX(J$1:J6279,SUMPRODUCT(MAX(ROW(E$1:E6279)*(E6280=E$1:E6279)))))</f>
        <v> </v>
      </c>
      <c r="L6280" s="27"/>
    </row>
    <row r="6281" spans="1:12">
      <c r="A6281" s="20" t="s">
        <v>1486</v>
      </c>
      <c r="E6281" s="22">
        <f>IF(D6281="?OLD","!!!","")</f>
        <v/>
      </c>
      <c r="F6281" s="23" t="str">
        <f>IF(OR(E6281="",E6281="!!!"),"",IF(NOT(ISNA(VLOOKUP(E6281,E$1:E6280,1,FALSE()))),"OLD",IF(AND(E6281&lt;&gt;"",E6281&lt;&gt;"!!!"),"NEW","")))</f>
        <v> </v>
      </c>
      <c r="G6281" s="24" t="str">
        <f>IF(OR(E6281="",E6281="!!!"),"",IF(OR(J6281=0,AND(J6281=1,K6281=1),AND(J6281=1,I6281="SBJ"),AND(J6281=1,I6281=0)),"?IN_FOCUS",IF(J6281&lt;=2,"?ACTIVATED",IF(J6281&lt;&gt;"","?FAMILIAR",IF(F6281="NEW",IF(ISNA(VLOOKUP(E6281,#REF!,1,FALSE())),"?TYPE_IDENTIFIABLE","?REFERENTIAL"),"_")))))</f>
        <v> </v>
      </c>
      <c r="H6281" s="25" t="str">
        <f>IF(J6281&lt;&gt;1,"",IF(I6281="SBJ","CB","?"))</f>
        <v> </v>
      </c>
      <c r="I6281" s="26" t="str">
        <f>IF(OR(E6281="",E6281="!!!",F6281="NEW"),"",INDEX(B6280:B$2,-1+SUMPRODUCT(MAX(ROW(E6280:E$2)*(E6281=E6280:E$2)))))</f>
        <v> </v>
      </c>
      <c r="J6281" s="26" t="str">
        <f>IF(OR(E6281="",E6281="!!!",F6281="NEW"),"",COUNTBLANK(OFFSET(A$1,,,SUMPRODUCT(MAX(ROW(E$2:E6281)*(E6281=E$2:E6281)))))-COUNTBLANK(OFFSET(A$1,,,SUMPRODUCT(MAX(ROW(E$1:E6280)*(E2=E$1:E6280))))))</f>
        <v> </v>
      </c>
      <c r="K6281" s="26" t="str">
        <f>IF(OR(E6281="",E6281="!!!",F6281="NEW"),"",INDEX(J$1:J6280,SUMPRODUCT(MAX(ROW(E$1:E6280)*(E6281=E$1:E6280)))))</f>
        <v> </v>
      </c>
      <c r="L6281" s="27"/>
    </row>
    <row r="6282" spans="1:12">
      <c r="A6282" s="20" t="s">
        <v>1322</v>
      </c>
      <c r="B6282" s="21" t="s">
        <v>1186</v>
      </c>
      <c r="C6282" s="21" t="s">
        <v>1192</v>
      </c>
      <c r="E6282" s="22">
        <f>IF(D6282="?OLD","!!!","")</f>
        <v/>
      </c>
      <c r="F6282" s="23" t="str">
        <f>IF(OR(E6282="",E6282="!!!"),"",IF(NOT(ISNA(VLOOKUP(E6282,E$1:E6281,1,FALSE()))),"OLD",IF(AND(E6282&lt;&gt;"",E6282&lt;&gt;"!!!"),"NEW","")))</f>
        <v> </v>
      </c>
      <c r="G6282" s="24" t="str">
        <f>IF(OR(E6282="",E6282="!!!"),"",IF(OR(J6282=0,AND(J6282=1,K6282=1),AND(J6282=1,I6282="SBJ"),AND(J6282=1,I6282=0)),"?IN_FOCUS",IF(J6282&lt;=2,"?ACTIVATED",IF(J6282&lt;&gt;"","?FAMILIAR",IF(F6282="NEW",IF(ISNA(VLOOKUP(E6282,#REF!,1,FALSE())),"?TYPE_IDENTIFIABLE","?REFERENTIAL"),"_")))))</f>
        <v> </v>
      </c>
      <c r="H6282" s="25" t="str">
        <f>IF(J6282&lt;&gt;1,"",IF(I6282="SBJ","CB","?"))</f>
        <v> </v>
      </c>
      <c r="I6282" s="26" t="str">
        <f>IF(OR(E6282="",E6282="!!!",F6282="NEW"),"",INDEX(B6281:B$2,-1+SUMPRODUCT(MAX(ROW(E6281:E$2)*(E6282=E6281:E$2)))))</f>
        <v> </v>
      </c>
      <c r="J6282" s="26" t="str">
        <f>IF(OR(E6282="",E6282="!!!",F6282="NEW"),"",COUNTBLANK(OFFSET(A$1,,,SUMPRODUCT(MAX(ROW(E$2:E6282)*(E6282=E$2:E6282)))))-COUNTBLANK(OFFSET(A$1,,,SUMPRODUCT(MAX(ROW(E$1:E6281)*(E2=E$1:E6281))))))</f>
        <v> </v>
      </c>
      <c r="K6282" s="26" t="str">
        <f>IF(OR(E6282="",E6282="!!!",F6282="NEW"),"",INDEX(J$1:J6281,SUMPRODUCT(MAX(ROW(E$1:E6281)*(E6282=E$1:E6281)))))</f>
        <v> </v>
      </c>
      <c r="L6282" s="27"/>
    </row>
    <row r="6283" spans="1:12">
      <c r="A6283" s="20" t="s">
        <v>826</v>
      </c>
      <c r="E6283" s="22">
        <f>IF(D6283="?OLD","!!!","")</f>
        <v/>
      </c>
      <c r="F6283" s="23" t="str">
        <f>IF(OR(E6283="",E6283="!!!"),"",IF(NOT(ISNA(VLOOKUP(E6283,E$1:E6282,1,FALSE()))),"OLD",IF(AND(E6283&lt;&gt;"",E6283&lt;&gt;"!!!"),"NEW","")))</f>
        <v> </v>
      </c>
      <c r="G6283" s="24" t="str">
        <f>IF(OR(E6283="",E6283="!!!"),"",IF(OR(J6283=0,AND(J6283=1,K6283=1),AND(J6283=1,I6283="SBJ"),AND(J6283=1,I6283=0)),"?IN_FOCUS",IF(J6283&lt;=2,"?ACTIVATED",IF(J6283&lt;&gt;"","?FAMILIAR",IF(F6283="NEW",IF(ISNA(VLOOKUP(E6283,#REF!,1,FALSE())),"?TYPE_IDENTIFIABLE","?REFERENTIAL"),"_")))))</f>
        <v> </v>
      </c>
      <c r="H6283" s="25" t="str">
        <f>IF(J6283&lt;&gt;1,"",IF(I6283="SBJ","CB","?"))</f>
        <v> </v>
      </c>
      <c r="I6283" s="26" t="str">
        <f>IF(OR(E6283="",E6283="!!!",F6283="NEW"),"",INDEX(B6282:B$2,-1+SUMPRODUCT(MAX(ROW(E6282:E$2)*(E6283=E6282:E$2)))))</f>
        <v> </v>
      </c>
      <c r="J6283" s="26" t="str">
        <f>IF(OR(E6283="",E6283="!!!",F6283="NEW"),"",COUNTBLANK(OFFSET(A$1,,,SUMPRODUCT(MAX(ROW(E$2:E6283)*(E6283=E$2:E6283)))))-COUNTBLANK(OFFSET(A$1,,,SUMPRODUCT(MAX(ROW(E$1:E6282)*(E2=E$1:E6282))))))</f>
        <v> </v>
      </c>
      <c r="K6283" s="26" t="str">
        <f>IF(OR(E6283="",E6283="!!!",F6283="NEW"),"",INDEX(J$1:J6282,SUMPRODUCT(MAX(ROW(E$1:E6282)*(E6283=E$1:E6282)))))</f>
        <v> </v>
      </c>
      <c r="L6283" s="27"/>
    </row>
    <row r="6284" spans="1:12">
      <c r="A6284" s="20"/>
    </row>
    <row r="6285" spans="1:12">
      <c r="A6285" s="20" t="s">
        <v>2887</v>
      </c>
    </row>
    <row r="6286" spans="1:12">
      <c r="A6286" s="20" t="s">
        <v>1552</v>
      </c>
      <c r="E6286" s="22">
        <f>IF(D6286="?OLD","!!!","")</f>
        <v/>
      </c>
      <c r="F6286" s="23" t="str">
        <f>IF(OR(E6286="",E6286="!!!"),"",IF(NOT(ISNA(VLOOKUP(E6286,E$1:E6285,1,FALSE()))),"OLD",IF(AND(E6286&lt;&gt;"",E6286&lt;&gt;"!!!"),"NEW","")))</f>
        <v> </v>
      </c>
      <c r="G6286" s="24" t="str">
        <f>IF(OR(E6286="",E6286="!!!"),"",IF(OR(J6286=0,AND(J6286=1,K6286=1),AND(J6286=1,I6286="SBJ"),AND(J6286=1,I6286=0)),"?IN_FOCUS",IF(J6286&lt;=2,"?ACTIVATED",IF(J6286&lt;&gt;"","?FAMILIAR",IF(F6286="NEW",IF(ISNA(VLOOKUP(E6286,#REF!,1,FALSE())),"?TYPE_IDENTIFIABLE","?REFERENTIAL"),"_")))))</f>
        <v> </v>
      </c>
      <c r="H6286" s="25" t="str">
        <f>IF(J6286&lt;&gt;1,"",IF(I6286="SBJ","CB","?"))</f>
        <v> </v>
      </c>
      <c r="I6286" s="26" t="str">
        <f>IF(OR(E6286="",E6286="!!!",F6286="NEW"),"",INDEX(B6285:B$2,-1+SUMPRODUCT(MAX(ROW(E6285:E$2)*(E6286=E6285:E$2)))))</f>
        <v> </v>
      </c>
      <c r="J6286" s="26" t="str">
        <f>IF(OR(E6286="",E6286="!!!",F6286="NEW"),"",COUNTBLANK(OFFSET(A$1,,,SUMPRODUCT(MAX(ROW(E$2:E6286)*(E6286=E$2:E6286)))))-COUNTBLANK(OFFSET(A$1,,,SUMPRODUCT(MAX(ROW(E$1:E6285)*(E2=E$1:E6285))))))</f>
        <v> </v>
      </c>
      <c r="K6286" s="26" t="str">
        <f>IF(OR(E6286="",E6286="!!!",F6286="NEW"),"",INDEX(J$1:J6285,SUMPRODUCT(MAX(ROW(E$1:E6285)*(E6286=E$1:E6285)))))</f>
        <v> </v>
      </c>
      <c r="L6286" s="27"/>
    </row>
    <row r="6287" spans="1:12">
      <c r="A6287" s="20" t="s">
        <v>2888</v>
      </c>
      <c r="B6287" s="21" t="s">
        <v>1202</v>
      </c>
      <c r="C6287" s="21" t="s">
        <v>1196</v>
      </c>
      <c r="D6287" s="21" t="s">
        <v>1188</v>
      </c>
      <c r="E6287" s="22">
        <f>IF(D6287="?OLD","!!!","")</f>
        <v/>
      </c>
      <c r="F6287" s="23" t="str">
        <f>IF(OR(E6287="",E6287="!!!"),"",IF(NOT(ISNA(VLOOKUP(E6287,E$1:E6286,1,FALSE()))),"OLD",IF(AND(E6287&lt;&gt;"",E6287&lt;&gt;"!!!"),"NEW","")))</f>
        <v> </v>
      </c>
      <c r="G6287" s="24" t="str">
        <f>IF(OR(E6287="",E6287="!!!"),"",IF(OR(J6287=0,AND(J6287=1,K6287=1),AND(J6287=1,I6287="SBJ"),AND(J6287=1,I6287=0)),"?IN_FOCUS",IF(J6287&lt;=2,"?ACTIVATED",IF(J6287&lt;&gt;"","?FAMILIAR",IF(F6287="NEW",IF(ISNA(VLOOKUP(E6287,#REF!,1,FALSE())),"?TYPE_IDENTIFIABLE","?REFERENTIAL"),"_")))))</f>
        <v> </v>
      </c>
      <c r="H6287" s="25" t="str">
        <f>IF(J6287&lt;&gt;1,"",IF(I6287="SBJ","CB","?"))</f>
        <v> </v>
      </c>
      <c r="I6287" s="26" t="str">
        <f>IF(OR(E6287="",E6287="!!!",F6287="NEW"),"",INDEX(B6286:B$2,-1+SUMPRODUCT(MAX(ROW(E6286:E$2)*(E6287=E6286:E$2)))))</f>
        <v> </v>
      </c>
      <c r="J6287" s="26" t="str">
        <f>IF(OR(E6287="",E6287="!!!",F6287="NEW"),"",COUNTBLANK(OFFSET(A$1,,,SUMPRODUCT(MAX(ROW(E$2:E6287)*(E6287=E$2:E6287)))))-COUNTBLANK(OFFSET(A$1,,,SUMPRODUCT(MAX(ROW(E$1:E6286)*(E2=E$1:E6286))))))</f>
        <v> </v>
      </c>
      <c r="K6287" s="26" t="str">
        <f>IF(OR(E6287="",E6287="!!!",F6287="NEW"),"",INDEX(J$1:J6286,SUMPRODUCT(MAX(ROW(E$1:E6286)*(E6287=E$1:E6286)))))</f>
        <v> </v>
      </c>
      <c r="L6287" s="27"/>
    </row>
    <row r="6288" spans="1:12">
      <c r="A6288" s="20" t="s">
        <v>1193</v>
      </c>
      <c r="E6288" s="22">
        <f>IF(D6288="?OLD","!!!","")</f>
        <v/>
      </c>
      <c r="F6288" s="23" t="str">
        <f>IF(OR(E6288="",E6288="!!!"),"",IF(NOT(ISNA(VLOOKUP(E6288,E$1:E6287,1,FALSE()))),"OLD",IF(AND(E6288&lt;&gt;"",E6288&lt;&gt;"!!!"),"NEW","")))</f>
        <v> </v>
      </c>
      <c r="G6288" s="24" t="str">
        <f>IF(OR(E6288="",E6288="!!!"),"",IF(OR(J6288=0,AND(J6288=1,K6288=1),AND(J6288=1,I6288="SBJ"),AND(J6288=1,I6288=0)),"?IN_FOCUS",IF(J6288&lt;=2,"?ACTIVATED",IF(J6288&lt;&gt;"","?FAMILIAR",IF(F6288="NEW",IF(ISNA(VLOOKUP(E6288,#REF!,1,FALSE())),"?TYPE_IDENTIFIABLE","?REFERENTIAL"),"_")))))</f>
        <v> </v>
      </c>
      <c r="H6288" s="25" t="str">
        <f>IF(J6288&lt;&gt;1,"",IF(I6288="SBJ","CB","?"))</f>
        <v> </v>
      </c>
      <c r="I6288" s="26" t="str">
        <f>IF(OR(E6288="",E6288="!!!",F6288="NEW"),"",INDEX(B6287:B$2,-1+SUMPRODUCT(MAX(ROW(E6287:E$2)*(E6288=E6287:E$2)))))</f>
        <v> </v>
      </c>
      <c r="J6288" s="26" t="str">
        <f>IF(OR(E6288="",E6288="!!!",F6288="NEW"),"",COUNTBLANK(OFFSET(A$1,,,SUMPRODUCT(MAX(ROW(E$2:E6288)*(E6288=E$2:E6288)))))-COUNTBLANK(OFFSET(A$1,,,SUMPRODUCT(MAX(ROW(E$1:E6287)*(E2=E$1:E6287))))))</f>
        <v> </v>
      </c>
      <c r="K6288" s="26" t="str">
        <f>IF(OR(E6288="",E6288="!!!",F6288="NEW"),"",INDEX(J$1:J6287,SUMPRODUCT(MAX(ROW(E$1:E6287)*(E6288=E$1:E6287)))))</f>
        <v> </v>
      </c>
      <c r="L6288" s="27"/>
    </row>
    <row r="6289" spans="1:12">
      <c r="A6289" s="20" t="s">
        <v>1194</v>
      </c>
      <c r="B6289" s="21" t="s">
        <v>1311</v>
      </c>
      <c r="E6289" s="22">
        <f>IF(D6289="?OLD","!!!","")</f>
        <v/>
      </c>
      <c r="F6289" s="23" t="str">
        <f>IF(OR(E6289="",E6289="!!!"),"",IF(NOT(ISNA(VLOOKUP(E6289,E$1:E6288,1,FALSE()))),"OLD",IF(AND(E6289&lt;&gt;"",E6289&lt;&gt;"!!!"),"NEW","")))</f>
        <v> </v>
      </c>
      <c r="G6289" s="24" t="str">
        <f>IF(OR(E6289="",E6289="!!!"),"",IF(OR(J6289=0,AND(J6289=1,K6289=1),AND(J6289=1,I6289="SBJ"),AND(J6289=1,I6289=0)),"?IN_FOCUS",IF(J6289&lt;=2,"?ACTIVATED",IF(J6289&lt;&gt;"","?FAMILIAR",IF(F6289="NEW",IF(ISNA(VLOOKUP(E6289,#REF!,1,FALSE())),"?TYPE_IDENTIFIABLE","?REFERENTIAL"),"_")))))</f>
        <v> </v>
      </c>
      <c r="H6289" s="25" t="str">
        <f>IF(J6289&lt;&gt;1,"",IF(I6289="SBJ","CB","?"))</f>
        <v> </v>
      </c>
      <c r="I6289" s="26" t="str">
        <f>IF(OR(E6289="",E6289="!!!",F6289="NEW"),"",INDEX(B6288:B$2,-1+SUMPRODUCT(MAX(ROW(E6288:E$2)*(E6289=E6288:E$2)))))</f>
        <v> </v>
      </c>
      <c r="J6289" s="26" t="str">
        <f>IF(OR(E6289="",E6289="!!!",F6289="NEW"),"",COUNTBLANK(OFFSET(A$1,,,SUMPRODUCT(MAX(ROW(E$2:E6289)*(E6289=E$2:E6289)))))-COUNTBLANK(OFFSET(A$1,,,SUMPRODUCT(MAX(ROW(E$1:E6288)*(E2=E$1:E6288))))))</f>
        <v> </v>
      </c>
      <c r="K6289" s="26" t="str">
        <f>IF(OR(E6289="",E6289="!!!",F6289="NEW"),"",INDEX(J$1:J6288,SUMPRODUCT(MAX(ROW(E$1:E6288)*(E6289=E$1:E6288)))))</f>
        <v> </v>
      </c>
      <c r="L6289" s="27"/>
    </row>
    <row r="6290" spans="1:12">
      <c r="A6290" s="20" t="s">
        <v>1194</v>
      </c>
      <c r="E6290" s="22">
        <f>IF(D6290="?OLD","!!!","")</f>
        <v/>
      </c>
      <c r="F6290" s="23" t="str">
        <f>IF(OR(E6290="",E6290="!!!"),"",IF(NOT(ISNA(VLOOKUP(E6290,E$1:E6289,1,FALSE()))),"OLD",IF(AND(E6290&lt;&gt;"",E6290&lt;&gt;"!!!"),"NEW","")))</f>
        <v> </v>
      </c>
      <c r="G6290" s="24" t="str">
        <f>IF(OR(E6290="",E6290="!!!"),"",IF(OR(J6290=0,AND(J6290=1,K6290=1),AND(J6290=1,I6290="SBJ"),AND(J6290=1,I6290=0)),"?IN_FOCUS",IF(J6290&lt;=2,"?ACTIVATED",IF(J6290&lt;&gt;"","?FAMILIAR",IF(F6290="NEW",IF(ISNA(VLOOKUP(E6290,#REF!,1,FALSE())),"?TYPE_IDENTIFIABLE","?REFERENTIAL"),"_")))))</f>
        <v> </v>
      </c>
      <c r="H6290" s="25" t="str">
        <f>IF(J6290&lt;&gt;1,"",IF(I6290="SBJ","CB","?"))</f>
        <v> </v>
      </c>
      <c r="I6290" s="26" t="str">
        <f>IF(OR(E6290="",E6290="!!!",F6290="NEW"),"",INDEX(B6289:B$2,-1+SUMPRODUCT(MAX(ROW(E6289:E$2)*(E6290=E6289:E$2)))))</f>
        <v> </v>
      </c>
      <c r="J6290" s="26" t="str">
        <f>IF(OR(E6290="",E6290="!!!",F6290="NEW"),"",COUNTBLANK(OFFSET(A$1,,,SUMPRODUCT(MAX(ROW(E$2:E6290)*(E6290=E$2:E6290)))))-COUNTBLANK(OFFSET(A$1,,,SUMPRODUCT(MAX(ROW(E$1:E6289)*(E2=E$1:E6289))))))</f>
        <v> </v>
      </c>
      <c r="K6290" s="26" t="str">
        <f>IF(OR(E6290="",E6290="!!!",F6290="NEW"),"",INDEX(J$1:J6289,SUMPRODUCT(MAX(ROW(E$1:E6289)*(E6290=E$1:E6289)))))</f>
        <v> </v>
      </c>
      <c r="L6290" s="27"/>
    </row>
    <row r="6291" spans="1:12">
      <c r="A6291" s="20" t="s">
        <v>1613</v>
      </c>
      <c r="B6291" s="21" t="s">
        <v>1313</v>
      </c>
      <c r="C6291" s="21" t="s">
        <v>1401</v>
      </c>
      <c r="D6291" s="21" t="s">
        <v>1188</v>
      </c>
      <c r="E6291" s="22">
        <f>IF(D6291="?OLD","!!!","")</f>
        <v/>
      </c>
      <c r="F6291" s="23" t="str">
        <f>IF(OR(E6291="",E6291="!!!"),"",IF(NOT(ISNA(VLOOKUP(E6291,E$1:E6290,1,FALSE()))),"OLD",IF(AND(E6291&lt;&gt;"",E6291&lt;&gt;"!!!"),"NEW","")))</f>
        <v> </v>
      </c>
      <c r="G6291" s="24" t="str">
        <f>IF(OR(E6291="",E6291="!!!"),"",IF(OR(J6291=0,AND(J6291=1,K6291=1),AND(J6291=1,I6291="SBJ"),AND(J6291=1,I6291=0)),"?IN_FOCUS",IF(J6291&lt;=2,"?ACTIVATED",IF(J6291&lt;&gt;"","?FAMILIAR",IF(F6291="NEW",IF(ISNA(VLOOKUP(E6291,#REF!,1,FALSE())),"?TYPE_IDENTIFIABLE","?REFERENTIAL"),"_")))))</f>
        <v> </v>
      </c>
      <c r="H6291" s="25" t="str">
        <f>IF(J6291&lt;&gt;1,"",IF(I6291="SBJ","CB","?"))</f>
        <v> </v>
      </c>
      <c r="I6291" s="26" t="str">
        <f>IF(OR(E6291="",E6291="!!!",F6291="NEW"),"",INDEX(B6290:B$2,-1+SUMPRODUCT(MAX(ROW(E6290:E$2)*(E6291=E6290:E$2)))))</f>
        <v> </v>
      </c>
      <c r="J6291" s="26" t="str">
        <f>IF(OR(E6291="",E6291="!!!",F6291="NEW"),"",COUNTBLANK(OFFSET(A$1,,,SUMPRODUCT(MAX(ROW(E$2:E6291)*(E6291=E$2:E6291)))))-COUNTBLANK(OFFSET(A$1,,,SUMPRODUCT(MAX(ROW(E$1:E6290)*(E2=E$1:E6290))))))</f>
        <v> </v>
      </c>
      <c r="K6291" s="26" t="str">
        <f>IF(OR(E6291="",E6291="!!!",F6291="NEW"),"",INDEX(J$1:J6290,SUMPRODUCT(MAX(ROW(E$1:E6290)*(E6291=E$1:E6290)))))</f>
        <v> </v>
      </c>
      <c r="L6291" s="27"/>
    </row>
    <row r="6292" spans="1:12">
      <c r="A6292" s="20" t="s">
        <v>1755</v>
      </c>
      <c r="B6292" s="21" t="s">
        <v>1298</v>
      </c>
      <c r="C6292" s="21" t="s">
        <v>1216</v>
      </c>
      <c r="D6292" s="21" t="s">
        <v>1188</v>
      </c>
      <c r="E6292" s="22">
        <f>IF(D6292="?OLD","!!!","")</f>
        <v/>
      </c>
      <c r="F6292" s="23" t="str">
        <f>IF(OR(E6292="",E6292="!!!"),"",IF(NOT(ISNA(VLOOKUP(E6292,E$1:E6291,1,FALSE()))),"OLD",IF(AND(E6292&lt;&gt;"",E6292&lt;&gt;"!!!"),"NEW","")))</f>
        <v> </v>
      </c>
      <c r="G6292" s="24" t="str">
        <f>IF(OR(E6292="",E6292="!!!"),"",IF(OR(J6292=0,AND(J6292=1,K6292=1),AND(J6292=1,I6292="SBJ"),AND(J6292=1,I6292=0)),"?IN_FOCUS",IF(J6292&lt;=2,"?ACTIVATED",IF(J6292&lt;&gt;"","?FAMILIAR",IF(F6292="NEW",IF(ISNA(VLOOKUP(E6292,#REF!,1,FALSE())),"?TYPE_IDENTIFIABLE","?REFERENTIAL"),"_")))))</f>
        <v> </v>
      </c>
      <c r="H6292" s="25" t="str">
        <f>IF(J6292&lt;&gt;1,"",IF(I6292="SBJ","CB","?"))</f>
        <v> </v>
      </c>
      <c r="I6292" s="26" t="str">
        <f>IF(OR(E6292="",E6292="!!!",F6292="NEW"),"",INDEX(B6291:B$2,-1+SUMPRODUCT(MAX(ROW(E6291:E$2)*(E6292=E6291:E$2)))))</f>
        <v> </v>
      </c>
      <c r="J6292" s="26" t="str">
        <f>IF(OR(E6292="",E6292="!!!",F6292="NEW"),"",COUNTBLANK(OFFSET(A$1,,,SUMPRODUCT(MAX(ROW(E$2:E6292)*(E6292=E$2:E6292)))))-COUNTBLANK(OFFSET(A$1,,,SUMPRODUCT(MAX(ROW(E$1:E6291)*(E2=E$1:E6291))))))</f>
        <v> </v>
      </c>
      <c r="K6292" s="26" t="str">
        <f>IF(OR(E6292="",E6292="!!!",F6292="NEW"),"",INDEX(J$1:J6291,SUMPRODUCT(MAX(ROW(E$1:E6291)*(E6292=E$1:E6291)))))</f>
        <v> </v>
      </c>
      <c r="L6292" s="27"/>
    </row>
    <row r="6293" spans="1:12">
      <c r="A6293" s="20" t="s">
        <v>2889</v>
      </c>
      <c r="B6293" s="21" t="s">
        <v>1285</v>
      </c>
      <c r="C6293" s="21" t="s">
        <v>1218</v>
      </c>
      <c r="D6293" s="21" t="s">
        <v>1188</v>
      </c>
      <c r="E6293" s="22">
        <f>IF(D6293="?OLD","!!!","")</f>
        <v/>
      </c>
      <c r="F6293" s="23" t="str">
        <f>IF(OR(E6293="",E6293="!!!"),"",IF(NOT(ISNA(VLOOKUP(E6293,E$1:E6292,1,FALSE()))),"OLD",IF(AND(E6293&lt;&gt;"",E6293&lt;&gt;"!!!"),"NEW","")))</f>
        <v> </v>
      </c>
      <c r="G6293" s="24" t="str">
        <f>IF(OR(E6293="",E6293="!!!"),"",IF(OR(J6293=0,AND(J6293=1,K6293=1),AND(J6293=1,I6293="SBJ"),AND(J6293=1,I6293=0)),"?IN_FOCUS",IF(J6293&lt;=2,"?ACTIVATED",IF(J6293&lt;&gt;"","?FAMILIAR",IF(F6293="NEW",IF(ISNA(VLOOKUP(E6293,#REF!,1,FALSE())),"?TYPE_IDENTIFIABLE","?REFERENTIAL"),"_")))))</f>
        <v> </v>
      </c>
      <c r="H6293" s="25" t="str">
        <f>IF(J6293&lt;&gt;1,"",IF(I6293="SBJ","CB","?"))</f>
        <v> </v>
      </c>
      <c r="I6293" s="26" t="str">
        <f>IF(OR(E6293="",E6293="!!!",F6293="NEW"),"",INDEX(B6292:B$2,-1+SUMPRODUCT(MAX(ROW(E6292:E$2)*(E6293=E6292:E$2)))))</f>
        <v> </v>
      </c>
      <c r="J6293" s="26" t="str">
        <f>IF(OR(E6293="",E6293="!!!",F6293="NEW"),"",COUNTBLANK(OFFSET(A$1,,,SUMPRODUCT(MAX(ROW(E$2:E6293)*(E6293=E$2:E6293)))))-COUNTBLANK(OFFSET(A$1,,,SUMPRODUCT(MAX(ROW(E$1:E6292)*(E2=E$1:E6292))))))</f>
        <v> </v>
      </c>
      <c r="K6293" s="26" t="str">
        <f>IF(OR(E6293="",E6293="!!!",F6293="NEW"),"",INDEX(J$1:J6292,SUMPRODUCT(MAX(ROW(E$1:E6292)*(E6293=E$1:E6292)))))</f>
        <v> </v>
      </c>
      <c r="L6293" s="27"/>
    </row>
    <row r="6294" spans="1:12">
      <c r="A6294" s="20" t="s">
        <v>2890</v>
      </c>
      <c r="E6294" s="22">
        <f>IF(D6294="?OLD","!!!","")</f>
        <v/>
      </c>
      <c r="F6294" s="23" t="str">
        <f>IF(OR(E6294="",E6294="!!!"),"",IF(NOT(ISNA(VLOOKUP(E6294,E$1:E6293,1,FALSE()))),"OLD",IF(AND(E6294&lt;&gt;"",E6294&lt;&gt;"!!!"),"NEW","")))</f>
        <v> </v>
      </c>
      <c r="G6294" s="24" t="str">
        <f>IF(OR(E6294="",E6294="!!!"),"",IF(OR(J6294=0,AND(J6294=1,K6294=1),AND(J6294=1,I6294="SBJ"),AND(J6294=1,I6294=0)),"?IN_FOCUS",IF(J6294&lt;=2,"?ACTIVATED",IF(J6294&lt;&gt;"","?FAMILIAR",IF(F6294="NEW",IF(ISNA(VLOOKUP(E6294,#REF!,1,FALSE())),"?TYPE_IDENTIFIABLE","?REFERENTIAL"),"_")))))</f>
        <v> </v>
      </c>
      <c r="H6294" s="25" t="str">
        <f>IF(J6294&lt;&gt;1,"",IF(I6294="SBJ","CB","?"))</f>
        <v> </v>
      </c>
      <c r="I6294" s="26" t="str">
        <f>IF(OR(E6294="",E6294="!!!",F6294="NEW"),"",INDEX(B6293:B$2,-1+SUMPRODUCT(MAX(ROW(E6293:E$2)*(E6294=E6293:E$2)))))</f>
        <v> </v>
      </c>
      <c r="J6294" s="26" t="str">
        <f>IF(OR(E6294="",E6294="!!!",F6294="NEW"),"",COUNTBLANK(OFFSET(A$1,,,SUMPRODUCT(MAX(ROW(E$2:E6294)*(E6294=E$2:E6294)))))-COUNTBLANK(OFFSET(A$1,,,SUMPRODUCT(MAX(ROW(E$1:E6293)*(E2=E$1:E6293))))))</f>
        <v> </v>
      </c>
      <c r="K6294" s="26" t="str">
        <f>IF(OR(E6294="",E6294="!!!",F6294="NEW"),"",INDEX(J$1:J6293,SUMPRODUCT(MAX(ROW(E$1:E6293)*(E6294=E$1:E6293)))))</f>
        <v> </v>
      </c>
      <c r="L6294" s="27"/>
    </row>
    <row r="6295" spans="1:12">
      <c r="A6295" s="20" t="s">
        <v>1193</v>
      </c>
      <c r="E6295" s="22">
        <f>IF(D6295="?OLD","!!!","")</f>
        <v/>
      </c>
      <c r="F6295" s="23" t="str">
        <f>IF(OR(E6295="",E6295="!!!"),"",IF(NOT(ISNA(VLOOKUP(E6295,E$1:E6294,1,FALSE()))),"OLD",IF(AND(E6295&lt;&gt;"",E6295&lt;&gt;"!!!"),"NEW","")))</f>
        <v> </v>
      </c>
      <c r="G6295" s="24" t="str">
        <f>IF(OR(E6295="",E6295="!!!"),"",IF(OR(J6295=0,AND(J6295=1,K6295=1),AND(J6295=1,I6295="SBJ"),AND(J6295=1,I6295=0)),"?IN_FOCUS",IF(J6295&lt;=2,"?ACTIVATED",IF(J6295&lt;&gt;"","?FAMILIAR",IF(F6295="NEW",IF(ISNA(VLOOKUP(E6295,#REF!,1,FALSE())),"?TYPE_IDENTIFIABLE","?REFERENTIAL"),"_")))))</f>
        <v> </v>
      </c>
      <c r="H6295" s="25" t="str">
        <f>IF(J6295&lt;&gt;1,"",IF(I6295="SBJ","CB","?"))</f>
        <v> </v>
      </c>
      <c r="I6295" s="26" t="str">
        <f>IF(OR(E6295="",E6295="!!!",F6295="NEW"),"",INDEX(B6294:B$2,-1+SUMPRODUCT(MAX(ROW(E6294:E$2)*(E6295=E6294:E$2)))))</f>
        <v> </v>
      </c>
      <c r="J6295" s="26" t="str">
        <f>IF(OR(E6295="",E6295="!!!",F6295="NEW"),"",COUNTBLANK(OFFSET(A$1,,,SUMPRODUCT(MAX(ROW(E$2:E6295)*(E6295=E$2:E6295)))))-COUNTBLANK(OFFSET(A$1,,,SUMPRODUCT(MAX(ROW(E$1:E6294)*(E2=E$1:E6294))))))</f>
        <v> </v>
      </c>
      <c r="K6295" s="26" t="str">
        <f>IF(OR(E6295="",E6295="!!!",F6295="NEW"),"",INDEX(J$1:J6294,SUMPRODUCT(MAX(ROW(E$1:E6294)*(E6295=E$1:E6294)))))</f>
        <v> </v>
      </c>
      <c r="L6295" s="27"/>
    </row>
    <row r="6296" spans="1:12">
      <c r="A6296" s="20" t="s">
        <v>1341</v>
      </c>
      <c r="E6296" s="22">
        <f>IF(D6296="?OLD","!!!","")</f>
        <v/>
      </c>
      <c r="F6296" s="23" t="str">
        <f>IF(OR(E6296="",E6296="!!!"),"",IF(NOT(ISNA(VLOOKUP(E6296,E$1:E6295,1,FALSE()))),"OLD",IF(AND(E6296&lt;&gt;"",E6296&lt;&gt;"!!!"),"NEW","")))</f>
        <v> </v>
      </c>
      <c r="G6296" s="24" t="str">
        <f>IF(OR(E6296="",E6296="!!!"),"",IF(OR(J6296=0,AND(J6296=1,K6296=1),AND(J6296=1,I6296="SBJ"),AND(J6296=1,I6296=0)),"?IN_FOCUS",IF(J6296&lt;=2,"?ACTIVATED",IF(J6296&lt;&gt;"","?FAMILIAR",IF(F6296="NEW",IF(ISNA(VLOOKUP(E6296,#REF!,1,FALSE())),"?TYPE_IDENTIFIABLE","?REFERENTIAL"),"_")))))</f>
        <v> </v>
      </c>
      <c r="H6296" s="25" t="str">
        <f>IF(J6296&lt;&gt;1,"",IF(I6296="SBJ","CB","?"))</f>
        <v> </v>
      </c>
      <c r="I6296" s="26" t="str">
        <f>IF(OR(E6296="",E6296="!!!",F6296="NEW"),"",INDEX(B6295:B$2,-1+SUMPRODUCT(MAX(ROW(E6295:E$2)*(E6296=E6295:E$2)))))</f>
        <v> </v>
      </c>
      <c r="J6296" s="26" t="str">
        <f>IF(OR(E6296="",E6296="!!!",F6296="NEW"),"",COUNTBLANK(OFFSET(A$1,,,SUMPRODUCT(MAX(ROW(E$2:E6296)*(E6296=E$2:E6296)))))-COUNTBLANK(OFFSET(A$1,,,SUMPRODUCT(MAX(ROW(E$1:E6295)*(E2=E$1:E6295))))))</f>
        <v> </v>
      </c>
      <c r="K6296" s="26" t="str">
        <f>IF(OR(E6296="",E6296="!!!",F6296="NEW"),"",INDEX(J$1:J6295,SUMPRODUCT(MAX(ROW(E$1:E6295)*(E6296=E$1:E6295)))))</f>
        <v> </v>
      </c>
      <c r="L6296" s="27"/>
    </row>
    <row r="6297" spans="1:12">
      <c r="A6297" s="20" t="s">
        <v>1502</v>
      </c>
      <c r="E6297" s="22">
        <f>IF(D6297="?OLD","!!!","")</f>
        <v/>
      </c>
      <c r="F6297" s="23" t="str">
        <f>IF(OR(E6297="",E6297="!!!"),"",IF(NOT(ISNA(VLOOKUP(E6297,E$1:E6296,1,FALSE()))),"OLD",IF(AND(E6297&lt;&gt;"",E6297&lt;&gt;"!!!"),"NEW","")))</f>
        <v> </v>
      </c>
      <c r="G6297" s="24" t="str">
        <f>IF(OR(E6297="",E6297="!!!"),"",IF(OR(J6297=0,AND(J6297=1,K6297=1),AND(J6297=1,I6297="SBJ"),AND(J6297=1,I6297=0)),"?IN_FOCUS",IF(J6297&lt;=2,"?ACTIVATED",IF(J6297&lt;&gt;"","?FAMILIAR",IF(F6297="NEW",IF(ISNA(VLOOKUP(E6297,#REF!,1,FALSE())),"?TYPE_IDENTIFIABLE","?REFERENTIAL"),"_")))))</f>
        <v> </v>
      </c>
      <c r="H6297" s="25" t="str">
        <f>IF(J6297&lt;&gt;1,"",IF(I6297="SBJ","CB","?"))</f>
        <v> </v>
      </c>
      <c r="I6297" s="26" t="str">
        <f>IF(OR(E6297="",E6297="!!!",F6297="NEW"),"",INDEX(B6296:B$2,-1+SUMPRODUCT(MAX(ROW(E6296:E$2)*(E6297=E6296:E$2)))))</f>
        <v> </v>
      </c>
      <c r="J6297" s="26" t="str">
        <f>IF(OR(E6297="",E6297="!!!",F6297="NEW"),"",COUNTBLANK(OFFSET(A$1,,,SUMPRODUCT(MAX(ROW(E$2:E6297)*(E6297=E$2:E6297)))))-COUNTBLANK(OFFSET(A$1,,,SUMPRODUCT(MAX(ROW(E$1:E6296)*(E2=E$1:E6296))))))</f>
        <v> </v>
      </c>
      <c r="K6297" s="26" t="str">
        <f>IF(OR(E6297="",E6297="!!!",F6297="NEW"),"",INDEX(J$1:J6296,SUMPRODUCT(MAX(ROW(E$1:E6296)*(E6297=E$1:E6296)))))</f>
        <v> </v>
      </c>
      <c r="L6297" s="27"/>
    </row>
    <row r="6298" spans="1:12">
      <c r="A6298" s="20" t="s">
        <v>2209</v>
      </c>
      <c r="E6298" s="22">
        <f>IF(D6298="?OLD","!!!","")</f>
        <v/>
      </c>
      <c r="F6298" s="23" t="str">
        <f>IF(OR(E6298="",E6298="!!!"),"",IF(NOT(ISNA(VLOOKUP(E6298,E$1:E6297,1,FALSE()))),"OLD",IF(AND(E6298&lt;&gt;"",E6298&lt;&gt;"!!!"),"NEW","")))</f>
        <v> </v>
      </c>
      <c r="G6298" s="24" t="str">
        <f>IF(OR(E6298="",E6298="!!!"),"",IF(OR(J6298=0,AND(J6298=1,K6298=1),AND(J6298=1,I6298="SBJ"),AND(J6298=1,I6298=0)),"?IN_FOCUS",IF(J6298&lt;=2,"?ACTIVATED",IF(J6298&lt;&gt;"","?FAMILIAR",IF(F6298="NEW",IF(ISNA(VLOOKUP(E6298,#REF!,1,FALSE())),"?TYPE_IDENTIFIABLE","?REFERENTIAL"),"_")))))</f>
        <v> </v>
      </c>
      <c r="H6298" s="25" t="str">
        <f>IF(J6298&lt;&gt;1,"",IF(I6298="SBJ","CB","?"))</f>
        <v> </v>
      </c>
      <c r="I6298" s="26" t="str">
        <f>IF(OR(E6298="",E6298="!!!",F6298="NEW"),"",INDEX(B6297:B$2,-1+SUMPRODUCT(MAX(ROW(E6297:E$2)*(E6298=E6297:E$2)))))</f>
        <v> </v>
      </c>
      <c r="J6298" s="26" t="str">
        <f>IF(OR(E6298="",E6298="!!!",F6298="NEW"),"",COUNTBLANK(OFFSET(A$1,,,SUMPRODUCT(MAX(ROW(E$2:E6298)*(E6298=E$2:E6298)))))-COUNTBLANK(OFFSET(A$1,,,SUMPRODUCT(MAX(ROW(E$1:E6297)*(E2=E$1:E6297))))))</f>
        <v> </v>
      </c>
      <c r="K6298" s="26" t="str">
        <f>IF(OR(E6298="",E6298="!!!",F6298="NEW"),"",INDEX(J$1:J6297,SUMPRODUCT(MAX(ROW(E$1:E6297)*(E6298=E$1:E6297)))))</f>
        <v> </v>
      </c>
      <c r="L6298" s="27"/>
    </row>
    <row r="6299" spans="1:12">
      <c r="A6299" s="20" t="s">
        <v>2210</v>
      </c>
      <c r="B6299" s="21" t="s">
        <v>1186</v>
      </c>
      <c r="C6299" s="21" t="s">
        <v>1196</v>
      </c>
      <c r="D6299" s="21" t="s">
        <v>1188</v>
      </c>
      <c r="E6299" s="22">
        <f>IF(D6299="?OLD","!!!","")</f>
        <v/>
      </c>
      <c r="F6299" s="23" t="str">
        <f>IF(OR(E6299="",E6299="!!!"),"",IF(NOT(ISNA(VLOOKUP(E6299,E$1:E6298,1,FALSE()))),"OLD",IF(AND(E6299&lt;&gt;"",E6299&lt;&gt;"!!!"),"NEW","")))</f>
        <v> </v>
      </c>
      <c r="G6299" s="24" t="str">
        <f>IF(OR(E6299="",E6299="!!!"),"",IF(OR(J6299=0,AND(J6299=1,K6299=1),AND(J6299=1,I6299="SBJ"),AND(J6299=1,I6299=0)),"?IN_FOCUS",IF(J6299&lt;=2,"?ACTIVATED",IF(J6299&lt;&gt;"","?FAMILIAR",IF(F6299="NEW",IF(ISNA(VLOOKUP(E6299,#REF!,1,FALSE())),"?TYPE_IDENTIFIABLE","?REFERENTIAL"),"_")))))</f>
        <v> </v>
      </c>
      <c r="H6299" s="25" t="str">
        <f>IF(J6299&lt;&gt;1,"",IF(I6299="SBJ","CB","?"))</f>
        <v> </v>
      </c>
      <c r="I6299" s="26" t="str">
        <f>IF(OR(E6299="",E6299="!!!",F6299="NEW"),"",INDEX(B6298:B$2,-1+SUMPRODUCT(MAX(ROW(E6298:E$2)*(E6299=E6298:E$2)))))</f>
        <v> </v>
      </c>
      <c r="J6299" s="26" t="str">
        <f>IF(OR(E6299="",E6299="!!!",F6299="NEW"),"",COUNTBLANK(OFFSET(A$1,,,SUMPRODUCT(MAX(ROW(E$2:E6299)*(E6299=E$2:E6299)))))-COUNTBLANK(OFFSET(A$1,,,SUMPRODUCT(MAX(ROW(E$1:E6298)*(E2=E$1:E6298))))))</f>
        <v> </v>
      </c>
      <c r="K6299" s="26" t="str">
        <f>IF(OR(E6299="",E6299="!!!",F6299="NEW"),"",INDEX(J$1:J6298,SUMPRODUCT(MAX(ROW(E$1:E6298)*(E6299=E$1:E6298)))))</f>
        <v> </v>
      </c>
      <c r="L6299" s="27"/>
    </row>
    <row r="6300" spans="1:12">
      <c r="A6300" s="20" t="s">
        <v>1302</v>
      </c>
      <c r="E6300" s="22">
        <f>IF(D6300="?OLD","!!!","")</f>
        <v/>
      </c>
      <c r="F6300" s="23" t="str">
        <f>IF(OR(E6300="",E6300="!!!"),"",IF(NOT(ISNA(VLOOKUP(E6300,E$1:E6299,1,FALSE()))),"OLD",IF(AND(E6300&lt;&gt;"",E6300&lt;&gt;"!!!"),"NEW","")))</f>
        <v> </v>
      </c>
      <c r="G6300" s="24" t="str">
        <f>IF(OR(E6300="",E6300="!!!"),"",IF(OR(J6300=0,AND(J6300=1,K6300=1),AND(J6300=1,I6300="SBJ"),AND(J6300=1,I6300=0)),"?IN_FOCUS",IF(J6300&lt;=2,"?ACTIVATED",IF(J6300&lt;&gt;"","?FAMILIAR",IF(F6300="NEW",IF(ISNA(VLOOKUP(E6300,#REF!,1,FALSE())),"?TYPE_IDENTIFIABLE","?REFERENTIAL"),"_")))))</f>
        <v> </v>
      </c>
      <c r="H6300" s="25" t="str">
        <f>IF(J6300&lt;&gt;1,"",IF(I6300="SBJ","CB","?"))</f>
        <v> </v>
      </c>
      <c r="I6300" s="26" t="str">
        <f>IF(OR(E6300="",E6300="!!!",F6300="NEW"),"",INDEX(B6299:B$2,-1+SUMPRODUCT(MAX(ROW(E6299:E$2)*(E6300=E6299:E$2)))))</f>
        <v> </v>
      </c>
      <c r="J6300" s="26" t="str">
        <f>IF(OR(E6300="",E6300="!!!",F6300="NEW"),"",COUNTBLANK(OFFSET(A$1,,,SUMPRODUCT(MAX(ROW(E$2:E6300)*(E6300=E$2:E6300)))))-COUNTBLANK(OFFSET(A$1,,,SUMPRODUCT(MAX(ROW(E$1:E6299)*(E2=E$1:E6299))))))</f>
        <v> </v>
      </c>
      <c r="K6300" s="26" t="str">
        <f>IF(OR(E6300="",E6300="!!!",F6300="NEW"),"",INDEX(J$1:J6299,SUMPRODUCT(MAX(ROW(E$1:E6299)*(E6300=E$1:E6299)))))</f>
        <v> </v>
      </c>
      <c r="L6300" s="27"/>
    </row>
    <row r="6301" spans="1:12">
      <c r="A6301" s="20" t="s">
        <v>1194</v>
      </c>
      <c r="E6301" s="22">
        <f>IF(D6301="?OLD","!!!","")</f>
        <v/>
      </c>
      <c r="F6301" s="23" t="str">
        <f>IF(OR(E6301="",E6301="!!!"),"",IF(NOT(ISNA(VLOOKUP(E6301,E$1:E6300,1,FALSE()))),"OLD",IF(AND(E6301&lt;&gt;"",E6301&lt;&gt;"!!!"),"NEW","")))</f>
        <v> </v>
      </c>
      <c r="G6301" s="24" t="str">
        <f>IF(OR(E6301="",E6301="!!!"),"",IF(OR(J6301=0,AND(J6301=1,K6301=1),AND(J6301=1,I6301="SBJ"),AND(J6301=1,I6301=0)),"?IN_FOCUS",IF(J6301&lt;=2,"?ACTIVATED",IF(J6301&lt;&gt;"","?FAMILIAR",IF(F6301="NEW",IF(ISNA(VLOOKUP(E6301,#REF!,1,FALSE())),"?TYPE_IDENTIFIABLE","?REFERENTIAL"),"_")))))</f>
        <v> </v>
      </c>
      <c r="H6301" s="25" t="str">
        <f>IF(J6301&lt;&gt;1,"",IF(I6301="SBJ","CB","?"))</f>
        <v> </v>
      </c>
      <c r="I6301" s="26" t="str">
        <f>IF(OR(E6301="",E6301="!!!",F6301="NEW"),"",INDEX(B6300:B$2,-1+SUMPRODUCT(MAX(ROW(E6300:E$2)*(E6301=E6300:E$2)))))</f>
        <v> </v>
      </c>
      <c r="J6301" s="26" t="str">
        <f>IF(OR(E6301="",E6301="!!!",F6301="NEW"),"",COUNTBLANK(OFFSET(A$1,,,SUMPRODUCT(MAX(ROW(E$2:E6301)*(E6301=E$2:E6301)))))-COUNTBLANK(OFFSET(A$1,,,SUMPRODUCT(MAX(ROW(E$1:E6300)*(E2=E$1:E6300))))))</f>
        <v> </v>
      </c>
      <c r="K6301" s="26" t="str">
        <f>IF(OR(E6301="",E6301="!!!",F6301="NEW"),"",INDEX(J$1:J6300,SUMPRODUCT(MAX(ROW(E$1:E6300)*(E6301=E$1:E6300)))))</f>
        <v> </v>
      </c>
      <c r="L6301" s="27"/>
    </row>
    <row r="6302" spans="1:12">
      <c r="A6302" s="20" t="s">
        <v>2891</v>
      </c>
      <c r="B6302" s="21" t="s">
        <v>1186</v>
      </c>
      <c r="C6302" s="21" t="s">
        <v>1196</v>
      </c>
      <c r="D6302" s="21" t="s">
        <v>1188</v>
      </c>
      <c r="E6302" s="22">
        <f>IF(D6302="?OLD","!!!","")</f>
        <v/>
      </c>
      <c r="F6302" s="23" t="str">
        <f>IF(OR(E6302="",E6302="!!!"),"",IF(NOT(ISNA(VLOOKUP(E6302,E$1:E6301,1,FALSE()))),"OLD",IF(AND(E6302&lt;&gt;"",E6302&lt;&gt;"!!!"),"NEW","")))</f>
        <v> </v>
      </c>
      <c r="G6302" s="24" t="str">
        <f>IF(OR(E6302="",E6302="!!!"),"",IF(OR(J6302=0,AND(J6302=1,K6302=1),AND(J6302=1,I6302="SBJ"),AND(J6302=1,I6302=0)),"?IN_FOCUS",IF(J6302&lt;=2,"?ACTIVATED",IF(J6302&lt;&gt;"","?FAMILIAR",IF(F6302="NEW",IF(ISNA(VLOOKUP(E6302,#REF!,1,FALSE())),"?TYPE_IDENTIFIABLE","?REFERENTIAL"),"_")))))</f>
        <v> </v>
      </c>
      <c r="H6302" s="25" t="str">
        <f>IF(J6302&lt;&gt;1,"",IF(I6302="SBJ","CB","?"))</f>
        <v> </v>
      </c>
      <c r="I6302" s="26" t="str">
        <f>IF(OR(E6302="",E6302="!!!",F6302="NEW"),"",INDEX(B6301:B$2,-1+SUMPRODUCT(MAX(ROW(E6301:E$2)*(E6302=E6301:E$2)))))</f>
        <v> </v>
      </c>
      <c r="J6302" s="26" t="str">
        <f>IF(OR(E6302="",E6302="!!!",F6302="NEW"),"",COUNTBLANK(OFFSET(A$1,,,SUMPRODUCT(MAX(ROW(E$2:E6302)*(E6302=E$2:E6302)))))-COUNTBLANK(OFFSET(A$1,,,SUMPRODUCT(MAX(ROW(E$1:E6301)*(E2=E$1:E6301))))))</f>
        <v> </v>
      </c>
      <c r="K6302" s="26" t="str">
        <f>IF(OR(E6302="",E6302="!!!",F6302="NEW"),"",INDEX(J$1:J6301,SUMPRODUCT(MAX(ROW(E$1:E6301)*(E6302=E$1:E6301)))))</f>
        <v> </v>
      </c>
      <c r="L6302" s="27"/>
    </row>
    <row r="6303" spans="1:12">
      <c r="A6303" s="20" t="s">
        <v>1193</v>
      </c>
      <c r="E6303" s="22">
        <f>IF(D6303="?OLD","!!!","")</f>
        <v/>
      </c>
      <c r="F6303" s="23" t="str">
        <f>IF(OR(E6303="",E6303="!!!"),"",IF(NOT(ISNA(VLOOKUP(E6303,E$1:E6302,1,FALSE()))),"OLD",IF(AND(E6303&lt;&gt;"",E6303&lt;&gt;"!!!"),"NEW","")))</f>
        <v> </v>
      </c>
      <c r="G6303" s="24" t="str">
        <f>IF(OR(E6303="",E6303="!!!"),"",IF(OR(J6303=0,AND(J6303=1,K6303=1),AND(J6303=1,I6303="SBJ"),AND(J6303=1,I6303=0)),"?IN_FOCUS",IF(J6303&lt;=2,"?ACTIVATED",IF(J6303&lt;&gt;"","?FAMILIAR",IF(F6303="NEW",IF(ISNA(VLOOKUP(E6303,#REF!,1,FALSE())),"?TYPE_IDENTIFIABLE","?REFERENTIAL"),"_")))))</f>
        <v> </v>
      </c>
      <c r="H6303" s="25" t="str">
        <f>IF(J6303&lt;&gt;1,"",IF(I6303="SBJ","CB","?"))</f>
        <v> </v>
      </c>
      <c r="I6303" s="26" t="str">
        <f>IF(OR(E6303="",E6303="!!!",F6303="NEW"),"",INDEX(B6302:B$2,-1+SUMPRODUCT(MAX(ROW(E6302:E$2)*(E6303=E6302:E$2)))))</f>
        <v> </v>
      </c>
      <c r="J6303" s="26" t="str">
        <f>IF(OR(E6303="",E6303="!!!",F6303="NEW"),"",COUNTBLANK(OFFSET(A$1,,,SUMPRODUCT(MAX(ROW(E$2:E6303)*(E6303=E$2:E6303)))))-COUNTBLANK(OFFSET(A$1,,,SUMPRODUCT(MAX(ROW(E$1:E6302)*(E2=E$1:E6302))))))</f>
        <v> </v>
      </c>
      <c r="K6303" s="26" t="str">
        <f>IF(OR(E6303="",E6303="!!!",F6303="NEW"),"",INDEX(J$1:J6302,SUMPRODUCT(MAX(ROW(E$1:E6302)*(E6303=E$1:E6302)))))</f>
        <v> </v>
      </c>
      <c r="L6303" s="27"/>
    </row>
    <row r="6304" spans="1:12">
      <c r="A6304" s="20" t="s">
        <v>1194</v>
      </c>
      <c r="B6304" s="21" t="s">
        <v>1311</v>
      </c>
      <c r="E6304" s="22">
        <f>IF(D6304="?OLD","!!!","")</f>
        <v/>
      </c>
      <c r="F6304" s="23" t="str">
        <f>IF(OR(E6304="",E6304="!!!"),"",IF(NOT(ISNA(VLOOKUP(E6304,E$1:E6303,1,FALSE()))),"OLD",IF(AND(E6304&lt;&gt;"",E6304&lt;&gt;"!!!"),"NEW","")))</f>
        <v> </v>
      </c>
      <c r="G6304" s="24" t="str">
        <f>IF(OR(E6304="",E6304="!!!"),"",IF(OR(J6304=0,AND(J6304=1,K6304=1),AND(J6304=1,I6304="SBJ"),AND(J6304=1,I6304=0)),"?IN_FOCUS",IF(J6304&lt;=2,"?ACTIVATED",IF(J6304&lt;&gt;"","?FAMILIAR",IF(F6304="NEW",IF(ISNA(VLOOKUP(E6304,#REF!,1,FALSE())),"?TYPE_IDENTIFIABLE","?REFERENTIAL"),"_")))))</f>
        <v> </v>
      </c>
      <c r="H6304" s="25" t="str">
        <f>IF(J6304&lt;&gt;1,"",IF(I6304="SBJ","CB","?"))</f>
        <v> </v>
      </c>
      <c r="I6304" s="26" t="str">
        <f>IF(OR(E6304="",E6304="!!!",F6304="NEW"),"",INDEX(B6303:B$2,-1+SUMPRODUCT(MAX(ROW(E6303:E$2)*(E6304=E6303:E$2)))))</f>
        <v> </v>
      </c>
      <c r="J6304" s="26" t="str">
        <f>IF(OR(E6304="",E6304="!!!",F6304="NEW"),"",COUNTBLANK(OFFSET(A$1,,,SUMPRODUCT(MAX(ROW(E$2:E6304)*(E6304=E$2:E6304)))))-COUNTBLANK(OFFSET(A$1,,,SUMPRODUCT(MAX(ROW(E$1:E6303)*(E2=E$1:E6303))))))</f>
        <v> </v>
      </c>
      <c r="K6304" s="26" t="str">
        <f>IF(OR(E6304="",E6304="!!!",F6304="NEW"),"",INDEX(J$1:J6303,SUMPRODUCT(MAX(ROW(E$1:E6303)*(E6304=E$1:E6303)))))</f>
        <v> </v>
      </c>
      <c r="L6304" s="27"/>
    </row>
    <row r="6305" spans="1:12">
      <c r="A6305" s="20" t="s">
        <v>1210</v>
      </c>
      <c r="E6305" s="22">
        <f>IF(D6305="?OLD","!!!","")</f>
        <v/>
      </c>
      <c r="F6305" s="23" t="str">
        <f>IF(OR(E6305="",E6305="!!!"),"",IF(NOT(ISNA(VLOOKUP(E6305,E$1:E6304,1,FALSE()))),"OLD",IF(AND(E6305&lt;&gt;"",E6305&lt;&gt;"!!!"),"NEW","")))</f>
        <v> </v>
      </c>
      <c r="G6305" s="24" t="str">
        <f>IF(OR(E6305="",E6305="!!!"),"",IF(OR(J6305=0,AND(J6305=1,K6305=1),AND(J6305=1,I6305="SBJ"),AND(J6305=1,I6305=0)),"?IN_FOCUS",IF(J6305&lt;=2,"?ACTIVATED",IF(J6305&lt;&gt;"","?FAMILIAR",IF(F6305="NEW",IF(ISNA(VLOOKUP(E6305,#REF!,1,FALSE())),"?TYPE_IDENTIFIABLE","?REFERENTIAL"),"_")))))</f>
        <v> </v>
      </c>
      <c r="H6305" s="25" t="str">
        <f>IF(J6305&lt;&gt;1,"",IF(I6305="SBJ","CB","?"))</f>
        <v> </v>
      </c>
      <c r="I6305" s="26" t="str">
        <f>IF(OR(E6305="",E6305="!!!",F6305="NEW"),"",INDEX(B6304:B$2,-1+SUMPRODUCT(MAX(ROW(E6304:E$2)*(E6305=E6304:E$2)))))</f>
        <v> </v>
      </c>
      <c r="J6305" s="26" t="str">
        <f>IF(OR(E6305="",E6305="!!!",F6305="NEW"),"",COUNTBLANK(OFFSET(A$1,,,SUMPRODUCT(MAX(ROW(E$2:E6305)*(E6305=E$2:E6305)))))-COUNTBLANK(OFFSET(A$1,,,SUMPRODUCT(MAX(ROW(E$1:E6304)*(E2=E$1:E6304))))))</f>
        <v> </v>
      </c>
      <c r="K6305" s="26" t="str">
        <f>IF(OR(E6305="",E6305="!!!",F6305="NEW"),"",INDEX(J$1:J6304,SUMPRODUCT(MAX(ROW(E$1:E6304)*(E6305=E$1:E6304)))))</f>
        <v> </v>
      </c>
      <c r="L6305" s="27"/>
    </row>
    <row r="6306" spans="1:12">
      <c r="A6306" s="20" t="s">
        <v>2892</v>
      </c>
      <c r="E6306" s="22">
        <f>IF(D6306="?OLD","!!!","")</f>
        <v/>
      </c>
      <c r="F6306" s="23" t="str">
        <f>IF(OR(E6306="",E6306="!!!"),"",IF(NOT(ISNA(VLOOKUP(E6306,E$1:E6305,1,FALSE()))),"OLD",IF(AND(E6306&lt;&gt;"",E6306&lt;&gt;"!!!"),"NEW","")))</f>
        <v> </v>
      </c>
      <c r="G6306" s="24" t="str">
        <f>IF(OR(E6306="",E6306="!!!"),"",IF(OR(J6306=0,AND(J6306=1,K6306=1),AND(J6306=1,I6306="SBJ"),AND(J6306=1,I6306=0)),"?IN_FOCUS",IF(J6306&lt;=2,"?ACTIVATED",IF(J6306&lt;&gt;"","?FAMILIAR",IF(F6306="NEW",IF(ISNA(VLOOKUP(E6306,#REF!,1,FALSE())),"?TYPE_IDENTIFIABLE","?REFERENTIAL"),"_")))))</f>
        <v> </v>
      </c>
      <c r="H6306" s="25" t="str">
        <f>IF(J6306&lt;&gt;1,"",IF(I6306="SBJ","CB","?"))</f>
        <v> </v>
      </c>
      <c r="I6306" s="26" t="str">
        <f>IF(OR(E6306="",E6306="!!!",F6306="NEW"),"",INDEX(B6305:B$2,-1+SUMPRODUCT(MAX(ROW(E6305:E$2)*(E6306=E6305:E$2)))))</f>
        <v> </v>
      </c>
      <c r="J6306" s="26" t="str">
        <f>IF(OR(E6306="",E6306="!!!",F6306="NEW"),"",COUNTBLANK(OFFSET(A$1,,,SUMPRODUCT(MAX(ROW(E$2:E6306)*(E6306=E$2:E6306)))))-COUNTBLANK(OFFSET(A$1,,,SUMPRODUCT(MAX(ROW(E$1:E6305)*(E2=E$1:E6305))))))</f>
        <v> </v>
      </c>
      <c r="K6306" s="26" t="str">
        <f>IF(OR(E6306="",E6306="!!!",F6306="NEW"),"",INDEX(J$1:J6305,SUMPRODUCT(MAX(ROW(E$1:E6305)*(E6306=E$1:E6305)))))</f>
        <v> </v>
      </c>
      <c r="L6306" s="27"/>
    </row>
    <row r="6307" spans="1:12">
      <c r="A6307" s="20" t="s">
        <v>2893</v>
      </c>
      <c r="E6307" s="22">
        <f>IF(D6307="?OLD","!!!","")</f>
        <v/>
      </c>
      <c r="F6307" s="23" t="str">
        <f>IF(OR(E6307="",E6307="!!!"),"",IF(NOT(ISNA(VLOOKUP(E6307,E$1:E6306,1,FALSE()))),"OLD",IF(AND(E6307&lt;&gt;"",E6307&lt;&gt;"!!!"),"NEW","")))</f>
        <v> </v>
      </c>
      <c r="G6307" s="24" t="str">
        <f>IF(OR(E6307="",E6307="!!!"),"",IF(OR(J6307=0,AND(J6307=1,K6307=1),AND(J6307=1,I6307="SBJ"),AND(J6307=1,I6307=0)),"?IN_FOCUS",IF(J6307&lt;=2,"?ACTIVATED",IF(J6307&lt;&gt;"","?FAMILIAR",IF(F6307="NEW",IF(ISNA(VLOOKUP(E6307,#REF!,1,FALSE())),"?TYPE_IDENTIFIABLE","?REFERENTIAL"),"_")))))</f>
        <v> </v>
      </c>
      <c r="H6307" s="25" t="str">
        <f>IF(J6307&lt;&gt;1,"",IF(I6307="SBJ","CB","?"))</f>
        <v> </v>
      </c>
      <c r="I6307" s="26" t="str">
        <f>IF(OR(E6307="",E6307="!!!",F6307="NEW"),"",INDEX(B6306:B$2,-1+SUMPRODUCT(MAX(ROW(E6306:E$2)*(E6307=E6306:E$2)))))</f>
        <v> </v>
      </c>
      <c r="J6307" s="26" t="str">
        <f>IF(OR(E6307="",E6307="!!!",F6307="NEW"),"",COUNTBLANK(OFFSET(A$1,,,SUMPRODUCT(MAX(ROW(E$2:E6307)*(E6307=E$2:E6307)))))-COUNTBLANK(OFFSET(A$1,,,SUMPRODUCT(MAX(ROW(E$1:E6306)*(E2=E$1:E6306))))))</f>
        <v> </v>
      </c>
      <c r="K6307" s="26" t="str">
        <f>IF(OR(E6307="",E6307="!!!",F6307="NEW"),"",INDEX(J$1:J6306,SUMPRODUCT(MAX(ROW(E$1:E6306)*(E6307=E$1:E6306)))))</f>
        <v> </v>
      </c>
      <c r="L6307" s="27"/>
    </row>
    <row r="6308" spans="1:12">
      <c r="A6308" s="20" t="s">
        <v>2894</v>
      </c>
      <c r="B6308" s="21" t="s">
        <v>1313</v>
      </c>
      <c r="C6308" s="21" t="s">
        <v>1196</v>
      </c>
      <c r="D6308" s="21" t="s">
        <v>1188</v>
      </c>
      <c r="E6308" s="22">
        <f>IF(D6308="?OLD","!!!","")</f>
        <v/>
      </c>
      <c r="F6308" s="23" t="str">
        <f>IF(OR(E6308="",E6308="!!!"),"",IF(NOT(ISNA(VLOOKUP(E6308,E$1:E6307,1,FALSE()))),"OLD",IF(AND(E6308&lt;&gt;"",E6308&lt;&gt;"!!!"),"NEW","")))</f>
        <v> </v>
      </c>
      <c r="G6308" s="24" t="str">
        <f>IF(OR(E6308="",E6308="!!!"),"",IF(OR(J6308=0,AND(J6308=1,K6308=1),AND(J6308=1,I6308="SBJ"),AND(J6308=1,I6308=0)),"?IN_FOCUS",IF(J6308&lt;=2,"?ACTIVATED",IF(J6308&lt;&gt;"","?FAMILIAR",IF(F6308="NEW",IF(ISNA(VLOOKUP(E6308,#REF!,1,FALSE())),"?TYPE_IDENTIFIABLE","?REFERENTIAL"),"_")))))</f>
        <v> </v>
      </c>
      <c r="H6308" s="25" t="str">
        <f>IF(J6308&lt;&gt;1,"",IF(I6308="SBJ","CB","?"))</f>
        <v> </v>
      </c>
      <c r="I6308" s="26" t="str">
        <f>IF(OR(E6308="",E6308="!!!",F6308="NEW"),"",INDEX(B6307:B$2,-1+SUMPRODUCT(MAX(ROW(E6307:E$2)*(E6308=E6307:E$2)))))</f>
        <v> </v>
      </c>
      <c r="J6308" s="26" t="str">
        <f>IF(OR(E6308="",E6308="!!!",F6308="NEW"),"",COUNTBLANK(OFFSET(A$1,,,SUMPRODUCT(MAX(ROW(E$2:E6308)*(E6308=E$2:E6308)))))-COUNTBLANK(OFFSET(A$1,,,SUMPRODUCT(MAX(ROW(E$1:E6307)*(E2=E$1:E6307))))))</f>
        <v> </v>
      </c>
      <c r="K6308" s="26" t="str">
        <f>IF(OR(E6308="",E6308="!!!",F6308="NEW"),"",INDEX(J$1:J6307,SUMPRODUCT(MAX(ROW(E$1:E6307)*(E6308=E$1:E6307)))))</f>
        <v> </v>
      </c>
      <c r="L6308" s="27"/>
    </row>
    <row r="6309" spans="1:12">
      <c r="A6309" s="20" t="s">
        <v>1232</v>
      </c>
      <c r="E6309" s="22">
        <f>IF(D6309="?OLD","!!!","")</f>
        <v/>
      </c>
      <c r="F6309" s="23" t="str">
        <f>IF(OR(E6309="",E6309="!!!"),"",IF(NOT(ISNA(VLOOKUP(E6309,E$1:E6308,1,FALSE()))),"OLD",IF(AND(E6309&lt;&gt;"",E6309&lt;&gt;"!!!"),"NEW","")))</f>
        <v> </v>
      </c>
      <c r="G6309" s="24" t="str">
        <f>IF(OR(E6309="",E6309="!!!"),"",IF(OR(J6309=0,AND(J6309=1,K6309=1),AND(J6309=1,I6309="SBJ"),AND(J6309=1,I6309=0)),"?IN_FOCUS",IF(J6309&lt;=2,"?ACTIVATED",IF(J6309&lt;&gt;"","?FAMILIAR",IF(F6309="NEW",IF(ISNA(VLOOKUP(E6309,#REF!,1,FALSE())),"?TYPE_IDENTIFIABLE","?REFERENTIAL"),"_")))))</f>
        <v> </v>
      </c>
      <c r="H6309" s="25" t="str">
        <f>IF(J6309&lt;&gt;1,"",IF(I6309="SBJ","CB","?"))</f>
        <v> </v>
      </c>
      <c r="I6309" s="26" t="str">
        <f>IF(OR(E6309="",E6309="!!!",F6309="NEW"),"",INDEX(B6308:B$2,-1+SUMPRODUCT(MAX(ROW(E6308:E$2)*(E6309=E6308:E$2)))))</f>
        <v> </v>
      </c>
      <c r="J6309" s="26" t="str">
        <f>IF(OR(E6309="",E6309="!!!",F6309="NEW"),"",COUNTBLANK(OFFSET(A$1,,,SUMPRODUCT(MAX(ROW(E$2:E6309)*(E6309=E$2:E6309)))))-COUNTBLANK(OFFSET(A$1,,,SUMPRODUCT(MAX(ROW(E$1:E6308)*(E2=E$1:E6308))))))</f>
        <v> </v>
      </c>
      <c r="K6309" s="26" t="str">
        <f>IF(OR(E6309="",E6309="!!!",F6309="NEW"),"",INDEX(J$1:J6308,SUMPRODUCT(MAX(ROW(E$1:E6308)*(E6309=E$1:E6308)))))</f>
        <v> </v>
      </c>
      <c r="L6309" s="27"/>
    </row>
    <row r="6310" spans="1:12">
      <c r="A6310" s="20" t="s">
        <v>1210</v>
      </c>
      <c r="E6310" s="22">
        <f>IF(D6310="?OLD","!!!","")</f>
        <v/>
      </c>
      <c r="F6310" s="23" t="str">
        <f>IF(OR(E6310="",E6310="!!!"),"",IF(NOT(ISNA(VLOOKUP(E6310,E$1:E6309,1,FALSE()))),"OLD",IF(AND(E6310&lt;&gt;"",E6310&lt;&gt;"!!!"),"NEW","")))</f>
        <v> </v>
      </c>
      <c r="G6310" s="24" t="str">
        <f>IF(OR(E6310="",E6310="!!!"),"",IF(OR(J6310=0,AND(J6310=1,K6310=1),AND(J6310=1,I6310="SBJ"),AND(J6310=1,I6310=0)),"?IN_FOCUS",IF(J6310&lt;=2,"?ACTIVATED",IF(J6310&lt;&gt;"","?FAMILIAR",IF(F6310="NEW",IF(ISNA(VLOOKUP(E6310,#REF!,1,FALSE())),"?TYPE_IDENTIFIABLE","?REFERENTIAL"),"_")))))</f>
        <v> </v>
      </c>
      <c r="H6310" s="25" t="str">
        <f>IF(J6310&lt;&gt;1,"",IF(I6310="SBJ","CB","?"))</f>
        <v> </v>
      </c>
      <c r="I6310" s="26" t="str">
        <f>IF(OR(E6310="",E6310="!!!",F6310="NEW"),"",INDEX(B6309:B$2,-1+SUMPRODUCT(MAX(ROW(E6309:E$2)*(E6310=E6309:E$2)))))</f>
        <v> </v>
      </c>
      <c r="J6310" s="26" t="str">
        <f>IF(OR(E6310="",E6310="!!!",F6310="NEW"),"",COUNTBLANK(OFFSET(A$1,,,SUMPRODUCT(MAX(ROW(E$2:E6310)*(E6310=E$2:E6310)))))-COUNTBLANK(OFFSET(A$1,,,SUMPRODUCT(MAX(ROW(E$1:E6309)*(E2=E$1:E6309))))))</f>
        <v> </v>
      </c>
      <c r="K6310" s="26" t="str">
        <f>IF(OR(E6310="",E6310="!!!",F6310="NEW"),"",INDEX(J$1:J6309,SUMPRODUCT(MAX(ROW(E$1:E6309)*(E6310=E$1:E6309)))))</f>
        <v> </v>
      </c>
      <c r="L6310" s="27"/>
    </row>
    <row r="6311" spans="1:12">
      <c r="A6311" s="20" t="s">
        <v>1603</v>
      </c>
      <c r="B6311" s="21" t="s">
        <v>1285</v>
      </c>
      <c r="C6311" s="21" t="s">
        <v>1187</v>
      </c>
      <c r="D6311" s="21" t="s">
        <v>1188</v>
      </c>
      <c r="E6311" s="22">
        <f>IF(D6311="?OLD","!!!","")</f>
        <v/>
      </c>
      <c r="F6311" s="23" t="str">
        <f>IF(OR(E6311="",E6311="!!!"),"",IF(NOT(ISNA(VLOOKUP(E6311,E$1:E6310,1,FALSE()))),"OLD",IF(AND(E6311&lt;&gt;"",E6311&lt;&gt;"!!!"),"NEW","")))</f>
        <v> </v>
      </c>
      <c r="G6311" s="24" t="str">
        <f>IF(OR(E6311="",E6311="!!!"),"",IF(OR(J6311=0,AND(J6311=1,K6311=1),AND(J6311=1,I6311="SBJ"),AND(J6311=1,I6311=0)),"?IN_FOCUS",IF(J6311&lt;=2,"?ACTIVATED",IF(J6311&lt;&gt;"","?FAMILIAR",IF(F6311="NEW",IF(ISNA(VLOOKUP(E6311,#REF!,1,FALSE())),"?TYPE_IDENTIFIABLE","?REFERENTIAL"),"_")))))</f>
        <v> </v>
      </c>
      <c r="H6311" s="25" t="str">
        <f>IF(J6311&lt;&gt;1,"",IF(I6311="SBJ","CB","?"))</f>
        <v> </v>
      </c>
      <c r="I6311" s="26" t="str">
        <f>IF(OR(E6311="",E6311="!!!",F6311="NEW"),"",INDEX(B6310:B$2,-1+SUMPRODUCT(MAX(ROW(E6310:E$2)*(E6311=E6310:E$2)))))</f>
        <v> </v>
      </c>
      <c r="J6311" s="26" t="str">
        <f>IF(OR(E6311="",E6311="!!!",F6311="NEW"),"",COUNTBLANK(OFFSET(A$1,,,SUMPRODUCT(MAX(ROW(E$2:E6311)*(E6311=E$2:E6311)))))-COUNTBLANK(OFFSET(A$1,,,SUMPRODUCT(MAX(ROW(E$1:E6310)*(E2=E$1:E6310))))))</f>
        <v> </v>
      </c>
      <c r="K6311" s="26" t="str">
        <f>IF(OR(E6311="",E6311="!!!",F6311="NEW"),"",INDEX(J$1:J6310,SUMPRODUCT(MAX(ROW(E$1:E6310)*(E6311=E$1:E6310)))))</f>
        <v> </v>
      </c>
      <c r="L6311" s="27"/>
    </row>
    <row r="6312" spans="1:12">
      <c r="A6312" s="20" t="s">
        <v>1302</v>
      </c>
      <c r="E6312" s="22">
        <f>IF(D6312="?OLD","!!!","")</f>
        <v/>
      </c>
      <c r="F6312" s="23" t="str">
        <f>IF(OR(E6312="",E6312="!!!"),"",IF(NOT(ISNA(VLOOKUP(E6312,E$1:E6311,1,FALSE()))),"OLD",IF(AND(E6312&lt;&gt;"",E6312&lt;&gt;"!!!"),"NEW","")))</f>
        <v> </v>
      </c>
      <c r="G6312" s="24" t="str">
        <f>IF(OR(E6312="",E6312="!!!"),"",IF(OR(J6312=0,AND(J6312=1,K6312=1),AND(J6312=1,I6312="SBJ"),AND(J6312=1,I6312=0)),"?IN_FOCUS",IF(J6312&lt;=2,"?ACTIVATED",IF(J6312&lt;&gt;"","?FAMILIAR",IF(F6312="NEW",IF(ISNA(VLOOKUP(E6312,#REF!,1,FALSE())),"?TYPE_IDENTIFIABLE","?REFERENTIAL"),"_")))))</f>
        <v> </v>
      </c>
      <c r="H6312" s="25" t="str">
        <f>IF(J6312&lt;&gt;1,"",IF(I6312="SBJ","CB","?"))</f>
        <v> </v>
      </c>
      <c r="I6312" s="26" t="str">
        <f>IF(OR(E6312="",E6312="!!!",F6312="NEW"),"",INDEX(B6311:B$2,-1+SUMPRODUCT(MAX(ROW(E6311:E$2)*(E6312=E6311:E$2)))))</f>
        <v> </v>
      </c>
      <c r="J6312" s="26" t="str">
        <f>IF(OR(E6312="",E6312="!!!",F6312="NEW"),"",COUNTBLANK(OFFSET(A$1,,,SUMPRODUCT(MAX(ROW(E$2:E6312)*(E6312=E$2:E6312)))))-COUNTBLANK(OFFSET(A$1,,,SUMPRODUCT(MAX(ROW(E$1:E6311)*(E2=E$1:E6311))))))</f>
        <v> </v>
      </c>
      <c r="K6312" s="26" t="str">
        <f>IF(OR(E6312="",E6312="!!!",F6312="NEW"),"",INDEX(J$1:J6311,SUMPRODUCT(MAX(ROW(E$1:E6311)*(E6312=E$1:E6311)))))</f>
        <v> </v>
      </c>
      <c r="L6312" s="27"/>
    </row>
    <row r="6313" spans="1:12">
      <c r="A6313" s="20" t="s">
        <v>2895</v>
      </c>
      <c r="E6313" s="22">
        <f>IF(D6313="?OLD","!!!","")</f>
        <v/>
      </c>
      <c r="F6313" s="23" t="str">
        <f>IF(OR(E6313="",E6313="!!!"),"",IF(NOT(ISNA(VLOOKUP(E6313,E$1:E6312,1,FALSE()))),"OLD",IF(AND(E6313&lt;&gt;"",E6313&lt;&gt;"!!!"),"NEW","")))</f>
        <v> </v>
      </c>
      <c r="G6313" s="24" t="str">
        <f>IF(OR(E6313="",E6313="!!!"),"",IF(OR(J6313=0,AND(J6313=1,K6313=1),AND(J6313=1,I6313="SBJ"),AND(J6313=1,I6313=0)),"?IN_FOCUS",IF(J6313&lt;=2,"?ACTIVATED",IF(J6313&lt;&gt;"","?FAMILIAR",IF(F6313="NEW",IF(ISNA(VLOOKUP(E6313,#REF!,1,FALSE())),"?TYPE_IDENTIFIABLE","?REFERENTIAL"),"_")))))</f>
        <v> </v>
      </c>
      <c r="H6313" s="25" t="str">
        <f>IF(J6313&lt;&gt;1,"",IF(I6313="SBJ","CB","?"))</f>
        <v> </v>
      </c>
      <c r="I6313" s="26" t="str">
        <f>IF(OR(E6313="",E6313="!!!",F6313="NEW"),"",INDEX(B6312:B$2,-1+SUMPRODUCT(MAX(ROW(E6312:E$2)*(E6313=E6312:E$2)))))</f>
        <v> </v>
      </c>
      <c r="J6313" s="26" t="str">
        <f>IF(OR(E6313="",E6313="!!!",F6313="NEW"),"",COUNTBLANK(OFFSET(A$1,,,SUMPRODUCT(MAX(ROW(E$2:E6313)*(E6313=E$2:E6313)))))-COUNTBLANK(OFFSET(A$1,,,SUMPRODUCT(MAX(ROW(E$1:E6312)*(E2=E$1:E6312))))))</f>
        <v> </v>
      </c>
      <c r="K6313" s="26" t="str">
        <f>IF(OR(E6313="",E6313="!!!",F6313="NEW"),"",INDEX(J$1:J6312,SUMPRODUCT(MAX(ROW(E$1:E6312)*(E6313=E$1:E6312)))))</f>
        <v> </v>
      </c>
      <c r="L6313" s="27"/>
    </row>
    <row r="6314" spans="1:12">
      <c r="A6314" s="20" t="s">
        <v>1520</v>
      </c>
      <c r="E6314" s="22">
        <f>IF(D6314="?OLD","!!!","")</f>
        <v/>
      </c>
      <c r="F6314" s="23" t="str">
        <f>IF(OR(E6314="",E6314="!!!"),"",IF(NOT(ISNA(VLOOKUP(E6314,E$1:E6313,1,FALSE()))),"OLD",IF(AND(E6314&lt;&gt;"",E6314&lt;&gt;"!!!"),"NEW","")))</f>
        <v> </v>
      </c>
      <c r="G6314" s="24" t="str">
        <f>IF(OR(E6314="",E6314="!!!"),"",IF(OR(J6314=0,AND(J6314=1,K6314=1),AND(J6314=1,I6314="SBJ"),AND(J6314=1,I6314=0)),"?IN_FOCUS",IF(J6314&lt;=2,"?ACTIVATED",IF(J6314&lt;&gt;"","?FAMILIAR",IF(F6314="NEW",IF(ISNA(VLOOKUP(E6314,#REF!,1,FALSE())),"?TYPE_IDENTIFIABLE","?REFERENTIAL"),"_")))))</f>
        <v> </v>
      </c>
      <c r="H6314" s="25" t="str">
        <f>IF(J6314&lt;&gt;1,"",IF(I6314="SBJ","CB","?"))</f>
        <v> </v>
      </c>
      <c r="I6314" s="26" t="str">
        <f>IF(OR(E6314="",E6314="!!!",F6314="NEW"),"",INDEX(B6313:B$2,-1+SUMPRODUCT(MAX(ROW(E6313:E$2)*(E6314=E6313:E$2)))))</f>
        <v> </v>
      </c>
      <c r="J6314" s="26" t="str">
        <f>IF(OR(E6314="",E6314="!!!",F6314="NEW"),"",COUNTBLANK(OFFSET(A$1,,,SUMPRODUCT(MAX(ROW(E$2:E6314)*(E6314=E$2:E6314)))))-COUNTBLANK(OFFSET(A$1,,,SUMPRODUCT(MAX(ROW(E$1:E6313)*(E2=E$1:E6313))))))</f>
        <v> </v>
      </c>
      <c r="K6314" s="26" t="str">
        <f>IF(OR(E6314="",E6314="!!!",F6314="NEW"),"",INDEX(J$1:J6313,SUMPRODUCT(MAX(ROW(E$1:E6313)*(E6314=E$1:E6313)))))</f>
        <v> </v>
      </c>
      <c r="L6314" s="27"/>
    </row>
    <row r="6315" spans="1:12">
      <c r="A6315" s="20" t="s">
        <v>1194</v>
      </c>
      <c r="E6315" s="22">
        <f>IF(D6315="?OLD","!!!","")</f>
        <v/>
      </c>
      <c r="F6315" s="23" t="str">
        <f>IF(OR(E6315="",E6315="!!!"),"",IF(NOT(ISNA(VLOOKUP(E6315,E$1:E6314,1,FALSE()))),"OLD",IF(AND(E6315&lt;&gt;"",E6315&lt;&gt;"!!!"),"NEW","")))</f>
        <v> </v>
      </c>
      <c r="G6315" s="24" t="str">
        <f>IF(OR(E6315="",E6315="!!!"),"",IF(OR(J6315=0,AND(J6315=1,K6315=1),AND(J6315=1,I6315="SBJ"),AND(J6315=1,I6315=0)),"?IN_FOCUS",IF(J6315&lt;=2,"?ACTIVATED",IF(J6315&lt;&gt;"","?FAMILIAR",IF(F6315="NEW",IF(ISNA(VLOOKUP(E6315,#REF!,1,FALSE())),"?TYPE_IDENTIFIABLE","?REFERENTIAL"),"_")))))</f>
        <v> </v>
      </c>
      <c r="H6315" s="25" t="str">
        <f>IF(J6315&lt;&gt;1,"",IF(I6315="SBJ","CB","?"))</f>
        <v> </v>
      </c>
      <c r="I6315" s="26" t="str">
        <f>IF(OR(E6315="",E6315="!!!",F6315="NEW"),"",INDEX(B6314:B$2,-1+SUMPRODUCT(MAX(ROW(E6314:E$2)*(E6315=E6314:E$2)))))</f>
        <v> </v>
      </c>
      <c r="J6315" s="26" t="str">
        <f>IF(OR(E6315="",E6315="!!!",F6315="NEW"),"",COUNTBLANK(OFFSET(A$1,,,SUMPRODUCT(MAX(ROW(E$2:E6315)*(E6315=E$2:E6315)))))-COUNTBLANK(OFFSET(A$1,,,SUMPRODUCT(MAX(ROW(E$1:E6314)*(E2=E$1:E6314))))))</f>
        <v> </v>
      </c>
      <c r="K6315" s="26" t="str">
        <f>IF(OR(E6315="",E6315="!!!",F6315="NEW"),"",INDEX(J$1:J6314,SUMPRODUCT(MAX(ROW(E$1:E6314)*(E6315=E$1:E6314)))))</f>
        <v> </v>
      </c>
      <c r="L6315" s="27"/>
    </row>
    <row r="6316" spans="1:12">
      <c r="A6316" s="20" t="s">
        <v>1336</v>
      </c>
      <c r="B6316" s="21" t="s">
        <v>1215</v>
      </c>
      <c r="C6316" s="21" t="s">
        <v>1196</v>
      </c>
      <c r="D6316" s="21" t="s">
        <v>1188</v>
      </c>
      <c r="E6316" s="22">
        <f>IF(D6316="?OLD","!!!","")</f>
        <v/>
      </c>
      <c r="F6316" s="23" t="str">
        <f>IF(OR(E6316="",E6316="!!!"),"",IF(NOT(ISNA(VLOOKUP(E6316,E$1:E6315,1,FALSE()))),"OLD",IF(AND(E6316&lt;&gt;"",E6316&lt;&gt;"!!!"),"NEW","")))</f>
        <v> </v>
      </c>
      <c r="G6316" s="24" t="str">
        <f>IF(OR(E6316="",E6316="!!!"),"",IF(OR(J6316=0,AND(J6316=1,K6316=1),AND(J6316=1,I6316="SBJ"),AND(J6316=1,I6316=0)),"?IN_FOCUS",IF(J6316&lt;=2,"?ACTIVATED",IF(J6316&lt;&gt;"","?FAMILIAR",IF(F6316="NEW",IF(ISNA(VLOOKUP(E6316,#REF!,1,FALSE())),"?TYPE_IDENTIFIABLE","?REFERENTIAL"),"_")))))</f>
        <v> </v>
      </c>
      <c r="H6316" s="25" t="str">
        <f>IF(J6316&lt;&gt;1,"",IF(I6316="SBJ","CB","?"))</f>
        <v> </v>
      </c>
      <c r="I6316" s="26" t="str">
        <f>IF(OR(E6316="",E6316="!!!",F6316="NEW"),"",INDEX(B6315:B$2,-1+SUMPRODUCT(MAX(ROW(E6315:E$2)*(E6316=E6315:E$2)))))</f>
        <v> </v>
      </c>
      <c r="J6316" s="26" t="str">
        <f>IF(OR(E6316="",E6316="!!!",F6316="NEW"),"",COUNTBLANK(OFFSET(A$1,,,SUMPRODUCT(MAX(ROW(E$2:E6316)*(E6316=E$2:E6316)))))-COUNTBLANK(OFFSET(A$1,,,SUMPRODUCT(MAX(ROW(E$1:E6315)*(E2=E$1:E6315))))))</f>
        <v> </v>
      </c>
      <c r="K6316" s="26" t="str">
        <f>IF(OR(E6316="",E6316="!!!",F6316="NEW"),"",INDEX(J$1:J6315,SUMPRODUCT(MAX(ROW(E$1:E6315)*(E6316=E$1:E6315)))))</f>
        <v> </v>
      </c>
      <c r="L6316" s="27"/>
    </row>
    <row r="6317" spans="1:12">
      <c r="A6317" s="20" t="s">
        <v>2896</v>
      </c>
      <c r="E6317" s="22">
        <f>IF(D6317="?OLD","!!!","")</f>
        <v/>
      </c>
      <c r="F6317" s="23" t="str">
        <f>IF(OR(E6317="",E6317="!!!"),"",IF(NOT(ISNA(VLOOKUP(E6317,E$1:E6316,1,FALSE()))),"OLD",IF(AND(E6317&lt;&gt;"",E6317&lt;&gt;"!!!"),"NEW","")))</f>
        <v> </v>
      </c>
      <c r="G6317" s="24" t="str">
        <f>IF(OR(E6317="",E6317="!!!"),"",IF(OR(J6317=0,AND(J6317=1,K6317=1),AND(J6317=1,I6317="SBJ"),AND(J6317=1,I6317=0)),"?IN_FOCUS",IF(J6317&lt;=2,"?ACTIVATED",IF(J6317&lt;&gt;"","?FAMILIAR",IF(F6317="NEW",IF(ISNA(VLOOKUP(E6317,#REF!,1,FALSE())),"?TYPE_IDENTIFIABLE","?REFERENTIAL"),"_")))))</f>
        <v> </v>
      </c>
      <c r="H6317" s="25" t="str">
        <f>IF(J6317&lt;&gt;1,"",IF(I6317="SBJ","CB","?"))</f>
        <v> </v>
      </c>
      <c r="I6317" s="26" t="str">
        <f>IF(OR(E6317="",E6317="!!!",F6317="NEW"),"",INDEX(B6316:B$2,-1+SUMPRODUCT(MAX(ROW(E6316:E$2)*(E6317=E6316:E$2)))))</f>
        <v> </v>
      </c>
      <c r="J6317" s="26" t="str">
        <f>IF(OR(E6317="",E6317="!!!",F6317="NEW"),"",COUNTBLANK(OFFSET(A$1,,,SUMPRODUCT(MAX(ROW(E$2:E6317)*(E6317=E$2:E6317)))))-COUNTBLANK(OFFSET(A$1,,,SUMPRODUCT(MAX(ROW(E$1:E6316)*(E2=E$1:E6316))))))</f>
        <v> </v>
      </c>
      <c r="K6317" s="26" t="str">
        <f>IF(OR(E6317="",E6317="!!!",F6317="NEW"),"",INDEX(J$1:J6316,SUMPRODUCT(MAX(ROW(E$1:E6316)*(E6317=E$1:E6316)))))</f>
        <v> </v>
      </c>
      <c r="L6317" s="27"/>
    </row>
    <row r="6318" spans="1:12">
      <c r="A6318" s="20" t="s">
        <v>1193</v>
      </c>
      <c r="E6318" s="22">
        <f>IF(D6318="?OLD","!!!","")</f>
        <v/>
      </c>
      <c r="F6318" s="23" t="str">
        <f>IF(OR(E6318="",E6318="!!!"),"",IF(NOT(ISNA(VLOOKUP(E6318,E$1:E6317,1,FALSE()))),"OLD",IF(AND(E6318&lt;&gt;"",E6318&lt;&gt;"!!!"),"NEW","")))</f>
        <v> </v>
      </c>
      <c r="G6318" s="24" t="str">
        <f>IF(OR(E6318="",E6318="!!!"),"",IF(OR(J6318=0,AND(J6318=1,K6318=1),AND(J6318=1,I6318="SBJ"),AND(J6318=1,I6318=0)),"?IN_FOCUS",IF(J6318&lt;=2,"?ACTIVATED",IF(J6318&lt;&gt;"","?FAMILIAR",IF(F6318="NEW",IF(ISNA(VLOOKUP(E6318,#REF!,1,FALSE())),"?TYPE_IDENTIFIABLE","?REFERENTIAL"),"_")))))</f>
        <v> </v>
      </c>
      <c r="H6318" s="25" t="str">
        <f>IF(J6318&lt;&gt;1,"",IF(I6318="SBJ","CB","?"))</f>
        <v> </v>
      </c>
      <c r="I6318" s="26" t="str">
        <f>IF(OR(E6318="",E6318="!!!",F6318="NEW"),"",INDEX(B6317:B$2,-1+SUMPRODUCT(MAX(ROW(E6317:E$2)*(E6318=E6317:E$2)))))</f>
        <v> </v>
      </c>
      <c r="J6318" s="26" t="str">
        <f>IF(OR(E6318="",E6318="!!!",F6318="NEW"),"",COUNTBLANK(OFFSET(A$1,,,SUMPRODUCT(MAX(ROW(E$2:E6318)*(E6318=E$2:E6318)))))-COUNTBLANK(OFFSET(A$1,,,SUMPRODUCT(MAX(ROW(E$1:E6317)*(E2=E$1:E6317))))))</f>
        <v> </v>
      </c>
      <c r="K6318" s="26" t="str">
        <f>IF(OR(E6318="",E6318="!!!",F6318="NEW"),"",INDEX(J$1:J6317,SUMPRODUCT(MAX(ROW(E$1:E6317)*(E6318=E$1:E6317)))))</f>
        <v> </v>
      </c>
      <c r="L6318" s="27"/>
    </row>
    <row r="6319" spans="1:12">
      <c r="A6319" s="20" t="s">
        <v>1302</v>
      </c>
      <c r="E6319" s="22">
        <f>IF(D6319="?OLD","!!!","")</f>
        <v/>
      </c>
      <c r="F6319" s="23" t="str">
        <f>IF(OR(E6319="",E6319="!!!"),"",IF(NOT(ISNA(VLOOKUP(E6319,E$1:E6318,1,FALSE()))),"OLD",IF(AND(E6319&lt;&gt;"",E6319&lt;&gt;"!!!"),"NEW","")))</f>
        <v> </v>
      </c>
      <c r="G6319" s="24" t="str">
        <f>IF(OR(E6319="",E6319="!!!"),"",IF(OR(J6319=0,AND(J6319=1,K6319=1),AND(J6319=1,I6319="SBJ"),AND(J6319=1,I6319=0)),"?IN_FOCUS",IF(J6319&lt;=2,"?ACTIVATED",IF(J6319&lt;&gt;"","?FAMILIAR",IF(F6319="NEW",IF(ISNA(VLOOKUP(E6319,#REF!,1,FALSE())),"?TYPE_IDENTIFIABLE","?REFERENTIAL"),"_")))))</f>
        <v> </v>
      </c>
      <c r="H6319" s="25" t="str">
        <f>IF(J6319&lt;&gt;1,"",IF(I6319="SBJ","CB","?"))</f>
        <v> </v>
      </c>
      <c r="I6319" s="26" t="str">
        <f>IF(OR(E6319="",E6319="!!!",F6319="NEW"),"",INDEX(B6318:B$2,-1+SUMPRODUCT(MAX(ROW(E6318:E$2)*(E6319=E6318:E$2)))))</f>
        <v> </v>
      </c>
      <c r="J6319" s="26" t="str">
        <f>IF(OR(E6319="",E6319="!!!",F6319="NEW"),"",COUNTBLANK(OFFSET(A$1,,,SUMPRODUCT(MAX(ROW(E$2:E6319)*(E6319=E$2:E6319)))))-COUNTBLANK(OFFSET(A$1,,,SUMPRODUCT(MAX(ROW(E$1:E6318)*(E2=E$1:E6318))))))</f>
        <v> </v>
      </c>
      <c r="K6319" s="26" t="str">
        <f>IF(OR(E6319="",E6319="!!!",F6319="NEW"),"",INDEX(J$1:J6318,SUMPRODUCT(MAX(ROW(E$1:E6318)*(E6319=E$1:E6318)))))</f>
        <v> </v>
      </c>
      <c r="L6319" s="27"/>
    </row>
    <row r="6320" spans="1:12">
      <c r="A6320" s="20" t="s">
        <v>1271</v>
      </c>
      <c r="B6320" s="21" t="s">
        <v>1248</v>
      </c>
      <c r="C6320" s="21" t="s">
        <v>1203</v>
      </c>
      <c r="D6320" s="21" t="s">
        <v>1188</v>
      </c>
      <c r="E6320" s="22">
        <f>IF(D6320="?OLD","!!!","")</f>
        <v/>
      </c>
      <c r="F6320" s="23" t="str">
        <f>IF(OR(E6320="",E6320="!!!"),"",IF(NOT(ISNA(VLOOKUP(E6320,E$1:E6319,1,FALSE()))),"OLD",IF(AND(E6320&lt;&gt;"",E6320&lt;&gt;"!!!"),"NEW","")))</f>
        <v> </v>
      </c>
      <c r="G6320" s="24" t="str">
        <f>IF(OR(E6320="",E6320="!!!"),"",IF(OR(J6320=0,AND(J6320=1,K6320=1),AND(J6320=1,I6320="SBJ"),AND(J6320=1,I6320=0)),"?IN_FOCUS",IF(J6320&lt;=2,"?ACTIVATED",IF(J6320&lt;&gt;"","?FAMILIAR",IF(F6320="NEW",IF(ISNA(VLOOKUP(E6320,#REF!,1,FALSE())),"?TYPE_IDENTIFIABLE","?REFERENTIAL"),"_")))))</f>
        <v> </v>
      </c>
      <c r="H6320" s="25" t="str">
        <f>IF(J6320&lt;&gt;1,"",IF(I6320="SBJ","CB","?"))</f>
        <v> </v>
      </c>
      <c r="I6320" s="26" t="str">
        <f>IF(OR(E6320="",E6320="!!!",F6320="NEW"),"",INDEX(B6319:B$2,-1+SUMPRODUCT(MAX(ROW(E6319:E$2)*(E6320=E6319:E$2)))))</f>
        <v> </v>
      </c>
      <c r="J6320" s="26" t="str">
        <f>IF(OR(E6320="",E6320="!!!",F6320="NEW"),"",COUNTBLANK(OFFSET(A$1,,,SUMPRODUCT(MAX(ROW(E$2:E6320)*(E6320=E$2:E6320)))))-COUNTBLANK(OFFSET(A$1,,,SUMPRODUCT(MAX(ROW(E$1:E6319)*(E2=E$1:E6319))))))</f>
        <v> </v>
      </c>
      <c r="K6320" s="26" t="str">
        <f>IF(OR(E6320="",E6320="!!!",F6320="NEW"),"",INDEX(J$1:J6319,SUMPRODUCT(MAX(ROW(E$1:E6319)*(E6320=E$1:E6319)))))</f>
        <v> </v>
      </c>
      <c r="L6320" s="27"/>
    </row>
    <row r="6321" spans="1:12">
      <c r="A6321" s="20" t="s">
        <v>1654</v>
      </c>
      <c r="E6321" s="22">
        <f>IF(D6321="?OLD","!!!","")</f>
        <v/>
      </c>
      <c r="F6321" s="23" t="str">
        <f>IF(OR(E6321="",E6321="!!!"),"",IF(NOT(ISNA(VLOOKUP(E6321,E$1:E6320,1,FALSE()))),"OLD",IF(AND(E6321&lt;&gt;"",E6321&lt;&gt;"!!!"),"NEW","")))</f>
        <v> </v>
      </c>
      <c r="G6321" s="24" t="str">
        <f>IF(OR(E6321="",E6321="!!!"),"",IF(OR(J6321=0,AND(J6321=1,K6321=1),AND(J6321=1,I6321="SBJ"),AND(J6321=1,I6321=0)),"?IN_FOCUS",IF(J6321&lt;=2,"?ACTIVATED",IF(J6321&lt;&gt;"","?FAMILIAR",IF(F6321="NEW",IF(ISNA(VLOOKUP(E6321,#REF!,1,FALSE())),"?TYPE_IDENTIFIABLE","?REFERENTIAL"),"_")))))</f>
        <v> </v>
      </c>
      <c r="H6321" s="25" t="str">
        <f>IF(J6321&lt;&gt;1,"",IF(I6321="SBJ","CB","?"))</f>
        <v> </v>
      </c>
      <c r="I6321" s="26" t="str">
        <f>IF(OR(E6321="",E6321="!!!",F6321="NEW"),"",INDEX(B6320:B$2,-1+SUMPRODUCT(MAX(ROW(E6320:E$2)*(E6321=E6320:E$2)))))</f>
        <v> </v>
      </c>
      <c r="J6321" s="26" t="str">
        <f>IF(OR(E6321="",E6321="!!!",F6321="NEW"),"",COUNTBLANK(OFFSET(A$1,,,SUMPRODUCT(MAX(ROW(E$2:E6321)*(E6321=E$2:E6321)))))-COUNTBLANK(OFFSET(A$1,,,SUMPRODUCT(MAX(ROW(E$1:E6320)*(E2=E$1:E6320))))))</f>
        <v> </v>
      </c>
      <c r="K6321" s="26" t="str">
        <f>IF(OR(E6321="",E6321="!!!",F6321="NEW"),"",INDEX(J$1:J6320,SUMPRODUCT(MAX(ROW(E$1:E6320)*(E6321=E$1:E6320)))))</f>
        <v> </v>
      </c>
      <c r="L6321" s="27"/>
    </row>
    <row r="6322" spans="1:12">
      <c r="A6322" s="20" t="s">
        <v>1193</v>
      </c>
      <c r="E6322" s="22">
        <f>IF(D6322="?OLD","!!!","")</f>
        <v/>
      </c>
      <c r="F6322" s="23" t="str">
        <f>IF(OR(E6322="",E6322="!!!"),"",IF(NOT(ISNA(VLOOKUP(E6322,E$1:E6321,1,FALSE()))),"OLD",IF(AND(E6322&lt;&gt;"",E6322&lt;&gt;"!!!"),"NEW","")))</f>
        <v> </v>
      </c>
      <c r="G6322" s="24" t="str">
        <f>IF(OR(E6322="",E6322="!!!"),"",IF(OR(J6322=0,AND(J6322=1,K6322=1),AND(J6322=1,I6322="SBJ"),AND(J6322=1,I6322=0)),"?IN_FOCUS",IF(J6322&lt;=2,"?ACTIVATED",IF(J6322&lt;&gt;"","?FAMILIAR",IF(F6322="NEW",IF(ISNA(VLOOKUP(E6322,#REF!,1,FALSE())),"?TYPE_IDENTIFIABLE","?REFERENTIAL"),"_")))))</f>
        <v> </v>
      </c>
      <c r="H6322" s="25" t="str">
        <f>IF(J6322&lt;&gt;1,"",IF(I6322="SBJ","CB","?"))</f>
        <v> </v>
      </c>
      <c r="I6322" s="26" t="str">
        <f>IF(OR(E6322="",E6322="!!!",F6322="NEW"),"",INDEX(B6321:B$2,-1+SUMPRODUCT(MAX(ROW(E6321:E$2)*(E6322=E6321:E$2)))))</f>
        <v> </v>
      </c>
      <c r="J6322" s="26" t="str">
        <f>IF(OR(E6322="",E6322="!!!",F6322="NEW"),"",COUNTBLANK(OFFSET(A$1,,,SUMPRODUCT(MAX(ROW(E$2:E6322)*(E6322=E$2:E6322)))))-COUNTBLANK(OFFSET(A$1,,,SUMPRODUCT(MAX(ROW(E$1:E6321)*(E2=E$1:E6321))))))</f>
        <v> </v>
      </c>
      <c r="K6322" s="26" t="str">
        <f>IF(OR(E6322="",E6322="!!!",F6322="NEW"),"",INDEX(J$1:J6321,SUMPRODUCT(MAX(ROW(E$1:E6321)*(E6322=E$1:E6321)))))</f>
        <v> </v>
      </c>
      <c r="L6322" s="27"/>
    </row>
    <row r="6323" spans="1:12">
      <c r="A6323" s="20" t="s">
        <v>1317</v>
      </c>
      <c r="E6323" s="22">
        <f>IF(D6323="?OLD","!!!","")</f>
        <v/>
      </c>
      <c r="F6323" s="23" t="str">
        <f>IF(OR(E6323="",E6323="!!!"),"",IF(NOT(ISNA(VLOOKUP(E6323,E$1:E6322,1,FALSE()))),"OLD",IF(AND(E6323&lt;&gt;"",E6323&lt;&gt;"!!!"),"NEW","")))</f>
        <v> </v>
      </c>
      <c r="G6323" s="24" t="str">
        <f>IF(OR(E6323="",E6323="!!!"),"",IF(OR(J6323=0,AND(J6323=1,K6323=1),AND(J6323=1,I6323="SBJ"),AND(J6323=1,I6323=0)),"?IN_FOCUS",IF(J6323&lt;=2,"?ACTIVATED",IF(J6323&lt;&gt;"","?FAMILIAR",IF(F6323="NEW",IF(ISNA(VLOOKUP(E6323,#REF!,1,FALSE())),"?TYPE_IDENTIFIABLE","?REFERENTIAL"),"_")))))</f>
        <v> </v>
      </c>
      <c r="H6323" s="25" t="str">
        <f>IF(J6323&lt;&gt;1,"",IF(I6323="SBJ","CB","?"))</f>
        <v> </v>
      </c>
      <c r="I6323" s="26" t="str">
        <f>IF(OR(E6323="",E6323="!!!",F6323="NEW"),"",INDEX(B6322:B$2,-1+SUMPRODUCT(MAX(ROW(E6322:E$2)*(E6323=E6322:E$2)))))</f>
        <v> </v>
      </c>
      <c r="J6323" s="26" t="str">
        <f>IF(OR(E6323="",E6323="!!!",F6323="NEW"),"",COUNTBLANK(OFFSET(A$1,,,SUMPRODUCT(MAX(ROW(E$2:E6323)*(E6323=E$2:E6323)))))-COUNTBLANK(OFFSET(A$1,,,SUMPRODUCT(MAX(ROW(E$1:E6322)*(E2=E$1:E6322))))))</f>
        <v> </v>
      </c>
      <c r="K6323" s="26" t="str">
        <f>IF(OR(E6323="",E6323="!!!",F6323="NEW"),"",INDEX(J$1:J6322,SUMPRODUCT(MAX(ROW(E$1:E6322)*(E6323=E$1:E6322)))))</f>
        <v> </v>
      </c>
      <c r="L6323" s="27"/>
    </row>
    <row r="6324" spans="1:12">
      <c r="A6324" s="20" t="s">
        <v>1194</v>
      </c>
      <c r="E6324" s="22">
        <f>IF(D6324="?OLD","!!!","")</f>
        <v/>
      </c>
      <c r="F6324" s="23" t="str">
        <f>IF(OR(E6324="",E6324="!!!"),"",IF(NOT(ISNA(VLOOKUP(E6324,E$1:E6323,1,FALSE()))),"OLD",IF(AND(E6324&lt;&gt;"",E6324&lt;&gt;"!!!"),"NEW","")))</f>
        <v> </v>
      </c>
      <c r="G6324" s="24" t="str">
        <f>IF(OR(E6324="",E6324="!!!"),"",IF(OR(J6324=0,AND(J6324=1,K6324=1),AND(J6324=1,I6324="SBJ"),AND(J6324=1,I6324=0)),"?IN_FOCUS",IF(J6324&lt;=2,"?ACTIVATED",IF(J6324&lt;&gt;"","?FAMILIAR",IF(F6324="NEW",IF(ISNA(VLOOKUP(E6324,#REF!,1,FALSE())),"?TYPE_IDENTIFIABLE","?REFERENTIAL"),"_")))))</f>
        <v> </v>
      </c>
      <c r="H6324" s="25" t="str">
        <f>IF(J6324&lt;&gt;1,"",IF(I6324="SBJ","CB","?"))</f>
        <v> </v>
      </c>
      <c r="I6324" s="26" t="str">
        <f>IF(OR(E6324="",E6324="!!!",F6324="NEW"),"",INDEX(B6323:B$2,-1+SUMPRODUCT(MAX(ROW(E6323:E$2)*(E6324=E6323:E$2)))))</f>
        <v> </v>
      </c>
      <c r="J6324" s="26" t="str">
        <f>IF(OR(E6324="",E6324="!!!",F6324="NEW"),"",COUNTBLANK(OFFSET(A$1,,,SUMPRODUCT(MAX(ROW(E$2:E6324)*(E6324=E$2:E6324)))))-COUNTBLANK(OFFSET(A$1,,,SUMPRODUCT(MAX(ROW(E$1:E6323)*(E2=E$1:E6323))))))</f>
        <v> </v>
      </c>
      <c r="K6324" s="26" t="str">
        <f>IF(OR(E6324="",E6324="!!!",F6324="NEW"),"",INDEX(J$1:J6323,SUMPRODUCT(MAX(ROW(E$1:E6323)*(E6324=E$1:E6323)))))</f>
        <v> </v>
      </c>
      <c r="L6324" s="27"/>
    </row>
    <row r="6325" spans="1:12">
      <c r="A6325" s="20" t="s">
        <v>1521</v>
      </c>
      <c r="B6325" s="21" t="s">
        <v>1311</v>
      </c>
      <c r="C6325" s="21" t="s">
        <v>1196</v>
      </c>
      <c r="D6325" s="21" t="s">
        <v>1188</v>
      </c>
      <c r="E6325" s="22">
        <f>IF(D6325="?OLD","!!!","")</f>
        <v/>
      </c>
      <c r="F6325" s="23" t="str">
        <f>IF(OR(E6325="",E6325="!!!"),"",IF(NOT(ISNA(VLOOKUP(E6325,E$1:E6324,1,FALSE()))),"OLD",IF(AND(E6325&lt;&gt;"",E6325&lt;&gt;"!!!"),"NEW","")))</f>
        <v> </v>
      </c>
      <c r="G6325" s="24" t="str">
        <f>IF(OR(E6325="",E6325="!!!"),"",IF(OR(J6325=0,AND(J6325=1,K6325=1),AND(J6325=1,I6325="SBJ"),AND(J6325=1,I6325=0)),"?IN_FOCUS",IF(J6325&lt;=2,"?ACTIVATED",IF(J6325&lt;&gt;"","?FAMILIAR",IF(F6325="NEW",IF(ISNA(VLOOKUP(E6325,#REF!,1,FALSE())),"?TYPE_IDENTIFIABLE","?REFERENTIAL"),"_")))))</f>
        <v> </v>
      </c>
      <c r="H6325" s="25" t="str">
        <f>IF(J6325&lt;&gt;1,"",IF(I6325="SBJ","CB","?"))</f>
        <v> </v>
      </c>
      <c r="I6325" s="26" t="str">
        <f>IF(OR(E6325="",E6325="!!!",F6325="NEW"),"",INDEX(B6324:B$2,-1+SUMPRODUCT(MAX(ROW(E6324:E$2)*(E6325=E6324:E$2)))))</f>
        <v> </v>
      </c>
      <c r="J6325" s="26" t="str">
        <f>IF(OR(E6325="",E6325="!!!",F6325="NEW"),"",COUNTBLANK(OFFSET(A$1,,,SUMPRODUCT(MAX(ROW(E$2:E6325)*(E6325=E$2:E6325)))))-COUNTBLANK(OFFSET(A$1,,,SUMPRODUCT(MAX(ROW(E$1:E6324)*(E2=E$1:E6324))))))</f>
        <v> </v>
      </c>
      <c r="K6325" s="26" t="str">
        <f>IF(OR(E6325="",E6325="!!!",F6325="NEW"),"",INDEX(J$1:J6324,SUMPRODUCT(MAX(ROW(E$1:E6324)*(E6325=E$1:E6324)))))</f>
        <v> </v>
      </c>
      <c r="L6325" s="27"/>
    </row>
    <row r="6326" spans="1:12">
      <c r="A6326" s="20" t="s">
        <v>2049</v>
      </c>
      <c r="E6326" s="22">
        <f>IF(D6326="?OLD","!!!","")</f>
        <v/>
      </c>
      <c r="F6326" s="23" t="str">
        <f>IF(OR(E6326="",E6326="!!!"),"",IF(NOT(ISNA(VLOOKUP(E6326,E$1:E6325,1,FALSE()))),"OLD",IF(AND(E6326&lt;&gt;"",E6326&lt;&gt;"!!!"),"NEW","")))</f>
        <v> </v>
      </c>
      <c r="G6326" s="24" t="str">
        <f>IF(OR(E6326="",E6326="!!!"),"",IF(OR(J6326=0,AND(J6326=1,K6326=1),AND(J6326=1,I6326="SBJ"),AND(J6326=1,I6326=0)),"?IN_FOCUS",IF(J6326&lt;=2,"?ACTIVATED",IF(J6326&lt;&gt;"","?FAMILIAR",IF(F6326="NEW",IF(ISNA(VLOOKUP(E6326,#REF!,1,FALSE())),"?TYPE_IDENTIFIABLE","?REFERENTIAL"),"_")))))</f>
        <v> </v>
      </c>
      <c r="H6326" s="25" t="str">
        <f>IF(J6326&lt;&gt;1,"",IF(I6326="SBJ","CB","?"))</f>
        <v> </v>
      </c>
      <c r="I6326" s="26" t="str">
        <f>IF(OR(E6326="",E6326="!!!",F6326="NEW"),"",INDEX(B6325:B$2,-1+SUMPRODUCT(MAX(ROW(E6325:E$2)*(E6326=E6325:E$2)))))</f>
        <v> </v>
      </c>
      <c r="J6326" s="26" t="str">
        <f>IF(OR(E6326="",E6326="!!!",F6326="NEW"),"",COUNTBLANK(OFFSET(A$1,,,SUMPRODUCT(MAX(ROW(E$2:E6326)*(E6326=E$2:E6326)))))-COUNTBLANK(OFFSET(A$1,,,SUMPRODUCT(MAX(ROW(E$1:E6325)*(E2=E$1:E6325))))))</f>
        <v> </v>
      </c>
      <c r="K6326" s="26" t="str">
        <f>IF(OR(E6326="",E6326="!!!",F6326="NEW"),"",INDEX(J$1:J6325,SUMPRODUCT(MAX(ROW(E$1:E6325)*(E6326=E$1:E6325)))))</f>
        <v> </v>
      </c>
      <c r="L6326" s="27"/>
    </row>
    <row r="6327" spans="1:12">
      <c r="A6327" s="20" t="s">
        <v>1193</v>
      </c>
      <c r="E6327" s="22">
        <f>IF(D6327="?OLD","!!!","")</f>
        <v/>
      </c>
      <c r="F6327" s="23" t="str">
        <f>IF(OR(E6327="",E6327="!!!"),"",IF(NOT(ISNA(VLOOKUP(E6327,E$1:E6326,1,FALSE()))),"OLD",IF(AND(E6327&lt;&gt;"",E6327&lt;&gt;"!!!"),"NEW","")))</f>
        <v> </v>
      </c>
      <c r="G6327" s="24" t="str">
        <f>IF(OR(E6327="",E6327="!!!"),"",IF(OR(J6327=0,AND(J6327=1,K6327=1),AND(J6327=1,I6327="SBJ"),AND(J6327=1,I6327=0)),"?IN_FOCUS",IF(J6327&lt;=2,"?ACTIVATED",IF(J6327&lt;&gt;"","?FAMILIAR",IF(F6327="NEW",IF(ISNA(VLOOKUP(E6327,#REF!,1,FALSE())),"?TYPE_IDENTIFIABLE","?REFERENTIAL"),"_")))))</f>
        <v> </v>
      </c>
      <c r="H6327" s="25" t="str">
        <f>IF(J6327&lt;&gt;1,"",IF(I6327="SBJ","CB","?"))</f>
        <v> </v>
      </c>
      <c r="I6327" s="26" t="str">
        <f>IF(OR(E6327="",E6327="!!!",F6327="NEW"),"",INDEX(B6326:B$2,-1+SUMPRODUCT(MAX(ROW(E6326:E$2)*(E6327=E6326:E$2)))))</f>
        <v> </v>
      </c>
      <c r="J6327" s="26" t="str">
        <f>IF(OR(E6327="",E6327="!!!",F6327="NEW"),"",COUNTBLANK(OFFSET(A$1,,,SUMPRODUCT(MAX(ROW(E$2:E6327)*(E6327=E$2:E6327)))))-COUNTBLANK(OFFSET(A$1,,,SUMPRODUCT(MAX(ROW(E$1:E6326)*(E2=E$1:E6326))))))</f>
        <v> </v>
      </c>
      <c r="K6327" s="26" t="str">
        <f>IF(OR(E6327="",E6327="!!!",F6327="NEW"),"",INDEX(J$1:J6326,SUMPRODUCT(MAX(ROW(E$1:E6326)*(E6327=E$1:E6326)))))</f>
        <v> </v>
      </c>
      <c r="L6327" s="27"/>
    </row>
    <row r="6328" spans="1:12">
      <c r="A6328" s="20" t="s">
        <v>427</v>
      </c>
      <c r="B6328" s="21" t="s">
        <v>1296</v>
      </c>
      <c r="C6328" s="21" t="s">
        <v>1246</v>
      </c>
      <c r="D6328" s="21" t="s">
        <v>1188</v>
      </c>
      <c r="E6328" s="22">
        <f>IF(D6328="?OLD","!!!","")</f>
        <v/>
      </c>
      <c r="F6328" s="23" t="str">
        <f>IF(OR(E6328="",E6328="!!!"),"",IF(NOT(ISNA(VLOOKUP(E6328,E$1:E6327,1,FALSE()))),"OLD",IF(AND(E6328&lt;&gt;"",E6328&lt;&gt;"!!!"),"NEW","")))</f>
        <v> </v>
      </c>
      <c r="G6328" s="24" t="str">
        <f>IF(OR(E6328="",E6328="!!!"),"",IF(OR(J6328=0,AND(J6328=1,K6328=1),AND(J6328=1,I6328="SBJ"),AND(J6328=1,I6328=0)),"?IN_FOCUS",IF(J6328&lt;=2,"?ACTIVATED",IF(J6328&lt;&gt;"","?FAMILIAR",IF(F6328="NEW",IF(ISNA(VLOOKUP(E6328,#REF!,1,FALSE())),"?TYPE_IDENTIFIABLE","?REFERENTIAL"),"_")))))</f>
        <v> </v>
      </c>
      <c r="H6328" s="25" t="str">
        <f>IF(J6328&lt;&gt;1,"",IF(I6328="SBJ","CB","?"))</f>
        <v> </v>
      </c>
      <c r="I6328" s="26" t="str">
        <f>IF(OR(E6328="",E6328="!!!",F6328="NEW"),"",INDEX(B6327:B$2,-1+SUMPRODUCT(MAX(ROW(E6327:E$2)*(E6328=E6327:E$2)))))</f>
        <v> </v>
      </c>
      <c r="J6328" s="26" t="str">
        <f>IF(OR(E6328="",E6328="!!!",F6328="NEW"),"",COUNTBLANK(OFFSET(A$1,,,SUMPRODUCT(MAX(ROW(E$2:E6328)*(E6328=E$2:E6328)))))-COUNTBLANK(OFFSET(A$1,,,SUMPRODUCT(MAX(ROW(E$1:E6327)*(E2=E$1:E6327))))))</f>
        <v> </v>
      </c>
      <c r="K6328" s="26" t="str">
        <f>IF(OR(E6328="",E6328="!!!",F6328="NEW"),"",INDEX(J$1:J6327,SUMPRODUCT(MAX(ROW(E$1:E6327)*(E6328=E$1:E6327)))))</f>
        <v> </v>
      </c>
      <c r="L6328" s="27"/>
    </row>
    <row r="6329" spans="1:12">
      <c r="A6329" s="20" t="s">
        <v>2897</v>
      </c>
      <c r="E6329" s="22">
        <f>IF(D6329="?OLD","!!!","")</f>
        <v/>
      </c>
      <c r="F6329" s="23" t="str">
        <f>IF(OR(E6329="",E6329="!!!"),"",IF(NOT(ISNA(VLOOKUP(E6329,E$1:E6328,1,FALSE()))),"OLD",IF(AND(E6329&lt;&gt;"",E6329&lt;&gt;"!!!"),"NEW","")))</f>
        <v> </v>
      </c>
      <c r="G6329" s="24" t="str">
        <f>IF(OR(E6329="",E6329="!!!"),"",IF(OR(J6329=0,AND(J6329=1,K6329=1),AND(J6329=1,I6329="SBJ"),AND(J6329=1,I6329=0)),"?IN_FOCUS",IF(J6329&lt;=2,"?ACTIVATED",IF(J6329&lt;&gt;"","?FAMILIAR",IF(F6329="NEW",IF(ISNA(VLOOKUP(E6329,#REF!,1,FALSE())),"?TYPE_IDENTIFIABLE","?REFERENTIAL"),"_")))))</f>
        <v> </v>
      </c>
      <c r="H6329" s="25" t="str">
        <f>IF(J6329&lt;&gt;1,"",IF(I6329="SBJ","CB","?"))</f>
        <v> </v>
      </c>
      <c r="I6329" s="26" t="str">
        <f>IF(OR(E6329="",E6329="!!!",F6329="NEW"),"",INDEX(B6328:B$2,-1+SUMPRODUCT(MAX(ROW(E6328:E$2)*(E6329=E6328:E$2)))))</f>
        <v> </v>
      </c>
      <c r="J6329" s="26" t="str">
        <f>IF(OR(E6329="",E6329="!!!",F6329="NEW"),"",COUNTBLANK(OFFSET(A$1,,,SUMPRODUCT(MAX(ROW(E$2:E6329)*(E6329=E$2:E6329)))))-COUNTBLANK(OFFSET(A$1,,,SUMPRODUCT(MAX(ROW(E$1:E6328)*(E2=E$1:E6328))))))</f>
        <v> </v>
      </c>
      <c r="K6329" s="26" t="str">
        <f>IF(OR(E6329="",E6329="!!!",F6329="NEW"),"",INDEX(J$1:J6328,SUMPRODUCT(MAX(ROW(E$1:E6328)*(E6329=E$1:E6328)))))</f>
        <v> </v>
      </c>
      <c r="L6329" s="27"/>
    </row>
    <row r="6330" spans="1:12">
      <c r="A6330" s="20" t="s">
        <v>1502</v>
      </c>
      <c r="E6330" s="22">
        <f>IF(D6330="?OLD","!!!","")</f>
        <v/>
      </c>
      <c r="F6330" s="23" t="str">
        <f>IF(OR(E6330="",E6330="!!!"),"",IF(NOT(ISNA(VLOOKUP(E6330,E$1:E6329,1,FALSE()))),"OLD",IF(AND(E6330&lt;&gt;"",E6330&lt;&gt;"!!!"),"NEW","")))</f>
        <v> </v>
      </c>
      <c r="G6330" s="24" t="str">
        <f>IF(OR(E6330="",E6330="!!!"),"",IF(OR(J6330=0,AND(J6330=1,K6330=1),AND(J6330=1,I6330="SBJ"),AND(J6330=1,I6330=0)),"?IN_FOCUS",IF(J6330&lt;=2,"?ACTIVATED",IF(J6330&lt;&gt;"","?FAMILIAR",IF(F6330="NEW",IF(ISNA(VLOOKUP(E6330,#REF!,1,FALSE())),"?TYPE_IDENTIFIABLE","?REFERENTIAL"),"_")))))</f>
        <v> </v>
      </c>
      <c r="H6330" s="25" t="str">
        <f>IF(J6330&lt;&gt;1,"",IF(I6330="SBJ","CB","?"))</f>
        <v> </v>
      </c>
      <c r="I6330" s="26" t="str">
        <f>IF(OR(E6330="",E6330="!!!",F6330="NEW"),"",INDEX(B6329:B$2,-1+SUMPRODUCT(MAX(ROW(E6329:E$2)*(E6330=E6329:E$2)))))</f>
        <v> </v>
      </c>
      <c r="J6330" s="26" t="str">
        <f>IF(OR(E6330="",E6330="!!!",F6330="NEW"),"",COUNTBLANK(OFFSET(A$1,,,SUMPRODUCT(MAX(ROW(E$2:E6330)*(E6330=E$2:E6330)))))-COUNTBLANK(OFFSET(A$1,,,SUMPRODUCT(MAX(ROW(E$1:E6329)*(E2=E$1:E6329))))))</f>
        <v> </v>
      </c>
      <c r="K6330" s="26" t="str">
        <f>IF(OR(E6330="",E6330="!!!",F6330="NEW"),"",INDEX(J$1:J6329,SUMPRODUCT(MAX(ROW(E$1:E6329)*(E6330=E$1:E6329)))))</f>
        <v> </v>
      </c>
      <c r="L6330" s="27"/>
    </row>
    <row r="6331" spans="1:12">
      <c r="A6331" s="20" t="s">
        <v>1193</v>
      </c>
      <c r="E6331" s="22">
        <f>IF(D6331="?OLD","!!!","")</f>
        <v/>
      </c>
      <c r="F6331" s="23" t="str">
        <f>IF(OR(E6331="",E6331="!!!"),"",IF(NOT(ISNA(VLOOKUP(E6331,E$1:E6330,1,FALSE()))),"OLD",IF(AND(E6331&lt;&gt;"",E6331&lt;&gt;"!!!"),"NEW","")))</f>
        <v> </v>
      </c>
      <c r="G6331" s="24" t="str">
        <f>IF(OR(E6331="",E6331="!!!"),"",IF(OR(J6331=0,AND(J6331=1,K6331=1),AND(J6331=1,I6331="SBJ"),AND(J6331=1,I6331=0)),"?IN_FOCUS",IF(J6331&lt;=2,"?ACTIVATED",IF(J6331&lt;&gt;"","?FAMILIAR",IF(F6331="NEW",IF(ISNA(VLOOKUP(E6331,#REF!,1,FALSE())),"?TYPE_IDENTIFIABLE","?REFERENTIAL"),"_")))))</f>
        <v> </v>
      </c>
      <c r="H6331" s="25" t="str">
        <f>IF(J6331&lt;&gt;1,"",IF(I6331="SBJ","CB","?"))</f>
        <v> </v>
      </c>
      <c r="I6331" s="26" t="str">
        <f>IF(OR(E6331="",E6331="!!!",F6331="NEW"),"",INDEX(B6330:B$2,-1+SUMPRODUCT(MAX(ROW(E6330:E$2)*(E6331=E6330:E$2)))))</f>
        <v> </v>
      </c>
      <c r="J6331" s="26" t="str">
        <f>IF(OR(E6331="",E6331="!!!",F6331="NEW"),"",COUNTBLANK(OFFSET(A$1,,,SUMPRODUCT(MAX(ROW(E$2:E6331)*(E6331=E$2:E6331)))))-COUNTBLANK(OFFSET(A$1,,,SUMPRODUCT(MAX(ROW(E$1:E6330)*(E2=E$1:E6330))))))</f>
        <v> </v>
      </c>
      <c r="K6331" s="26" t="str">
        <f>IF(OR(E6331="",E6331="!!!",F6331="NEW"),"",INDEX(J$1:J6330,SUMPRODUCT(MAX(ROW(E$1:E6330)*(E6331=E$1:E6330)))))</f>
        <v> </v>
      </c>
      <c r="L6331" s="27"/>
    </row>
    <row r="6332" spans="1:12">
      <c r="A6332" s="20" t="s">
        <v>1502</v>
      </c>
      <c r="B6332" s="21" t="s">
        <v>1919</v>
      </c>
      <c r="C6332" s="21" t="s">
        <v>1216</v>
      </c>
      <c r="D6332" s="21" t="s">
        <v>1188</v>
      </c>
      <c r="E6332" s="22">
        <f>IF(D6332="?OLD","!!!","")</f>
        <v/>
      </c>
      <c r="F6332" s="23" t="str">
        <f>IF(OR(E6332="",E6332="!!!"),"",IF(NOT(ISNA(VLOOKUP(E6332,E$1:E6331,1,FALSE()))),"OLD",IF(AND(E6332&lt;&gt;"",E6332&lt;&gt;"!!!"),"NEW","")))</f>
        <v> </v>
      </c>
      <c r="G6332" s="24" t="str">
        <f>IF(OR(E6332="",E6332="!!!"),"",IF(OR(J6332=0,AND(J6332=1,K6332=1),AND(J6332=1,I6332="SBJ"),AND(J6332=1,I6332=0)),"?IN_FOCUS",IF(J6332&lt;=2,"?ACTIVATED",IF(J6332&lt;&gt;"","?FAMILIAR",IF(F6332="NEW",IF(ISNA(VLOOKUP(E6332,#REF!,1,FALSE())),"?TYPE_IDENTIFIABLE","?REFERENTIAL"),"_")))))</f>
        <v> </v>
      </c>
      <c r="H6332" s="25" t="str">
        <f>IF(J6332&lt;&gt;1,"",IF(I6332="SBJ","CB","?"))</f>
        <v> </v>
      </c>
      <c r="I6332" s="26" t="str">
        <f>IF(OR(E6332="",E6332="!!!",F6332="NEW"),"",INDEX(B6331:B$2,-1+SUMPRODUCT(MAX(ROW(E6331:E$2)*(E6332=E6331:E$2)))))</f>
        <v> </v>
      </c>
      <c r="J6332" s="26" t="str">
        <f>IF(OR(E6332="",E6332="!!!",F6332="NEW"),"",COUNTBLANK(OFFSET(A$1,,,SUMPRODUCT(MAX(ROW(E$2:E6332)*(E6332=E$2:E6332)))))-COUNTBLANK(OFFSET(A$1,,,SUMPRODUCT(MAX(ROW(E$1:E6331)*(E2=E$1:E6331))))))</f>
        <v> </v>
      </c>
      <c r="K6332" s="26" t="str">
        <f>IF(OR(E6332="",E6332="!!!",F6332="NEW"),"",INDEX(J$1:J6331,SUMPRODUCT(MAX(ROW(E$1:E6331)*(E6332=E$1:E6331)))))</f>
        <v> </v>
      </c>
      <c r="L6332" s="27"/>
    </row>
    <row r="6333" spans="1:12">
      <c r="A6333" s="20" t="s">
        <v>1265</v>
      </c>
      <c r="E6333" s="22">
        <f>IF(D6333="?OLD","!!!","")</f>
        <v/>
      </c>
      <c r="F6333" s="23" t="str">
        <f>IF(OR(E6333="",E6333="!!!"),"",IF(NOT(ISNA(VLOOKUP(E6333,E$1:E6332,1,FALSE()))),"OLD",IF(AND(E6333&lt;&gt;"",E6333&lt;&gt;"!!!"),"NEW","")))</f>
        <v> </v>
      </c>
      <c r="G6333" s="24" t="str">
        <f>IF(OR(E6333="",E6333="!!!"),"",IF(OR(J6333=0,AND(J6333=1,K6333=1),AND(J6333=1,I6333="SBJ"),AND(J6333=1,I6333=0)),"?IN_FOCUS",IF(J6333&lt;=2,"?ACTIVATED",IF(J6333&lt;&gt;"","?FAMILIAR",IF(F6333="NEW",IF(ISNA(VLOOKUP(E6333,#REF!,1,FALSE())),"?TYPE_IDENTIFIABLE","?REFERENTIAL"),"_")))))</f>
        <v> </v>
      </c>
      <c r="H6333" s="25" t="str">
        <f>IF(J6333&lt;&gt;1,"",IF(I6333="SBJ","CB","?"))</f>
        <v> </v>
      </c>
      <c r="I6333" s="26" t="str">
        <f>IF(OR(E6333="",E6333="!!!",F6333="NEW"),"",INDEX(B6332:B$2,-1+SUMPRODUCT(MAX(ROW(E6332:E$2)*(E6333=E6332:E$2)))))</f>
        <v> </v>
      </c>
      <c r="J6333" s="26" t="str">
        <f>IF(OR(E6333="",E6333="!!!",F6333="NEW"),"",COUNTBLANK(OFFSET(A$1,,,SUMPRODUCT(MAX(ROW(E$2:E6333)*(E6333=E$2:E6333)))))-COUNTBLANK(OFFSET(A$1,,,SUMPRODUCT(MAX(ROW(E$1:E6332)*(E2=E$1:E6332))))))</f>
        <v> </v>
      </c>
      <c r="K6333" s="26" t="str">
        <f>IF(OR(E6333="",E6333="!!!",F6333="NEW"),"",INDEX(J$1:J6332,SUMPRODUCT(MAX(ROW(E$1:E6332)*(E6333=E$1:E6332)))))</f>
        <v> </v>
      </c>
      <c r="L6333" s="27"/>
    </row>
    <row r="6334" spans="1:12">
      <c r="A6334" s="20" t="s">
        <v>1388</v>
      </c>
      <c r="E6334" s="22">
        <f>IF(D6334="?OLD","!!!","")</f>
        <v/>
      </c>
      <c r="F6334" s="23" t="str">
        <f>IF(OR(E6334="",E6334="!!!"),"",IF(NOT(ISNA(VLOOKUP(E6334,E$1:E6333,1,FALSE()))),"OLD",IF(AND(E6334&lt;&gt;"",E6334&lt;&gt;"!!!"),"NEW","")))</f>
        <v> </v>
      </c>
      <c r="G6334" s="24" t="str">
        <f>IF(OR(E6334="",E6334="!!!"),"",IF(OR(J6334=0,AND(J6334=1,K6334=1),AND(J6334=1,I6334="SBJ"),AND(J6334=1,I6334=0)),"?IN_FOCUS",IF(J6334&lt;=2,"?ACTIVATED",IF(J6334&lt;&gt;"","?FAMILIAR",IF(F6334="NEW",IF(ISNA(VLOOKUP(E6334,#REF!,1,FALSE())),"?TYPE_IDENTIFIABLE","?REFERENTIAL"),"_")))))</f>
        <v> </v>
      </c>
      <c r="H6334" s="25" t="str">
        <f>IF(J6334&lt;&gt;1,"",IF(I6334="SBJ","CB","?"))</f>
        <v> </v>
      </c>
      <c r="I6334" s="26" t="str">
        <f>IF(OR(E6334="",E6334="!!!",F6334="NEW"),"",INDEX(B6333:B$2,-1+SUMPRODUCT(MAX(ROW(E6333:E$2)*(E6334=E6333:E$2)))))</f>
        <v> </v>
      </c>
      <c r="J6334" s="26" t="str">
        <f>IF(OR(E6334="",E6334="!!!",F6334="NEW"),"",COUNTBLANK(OFFSET(A$1,,,SUMPRODUCT(MAX(ROW(E$2:E6334)*(E6334=E$2:E6334)))))-COUNTBLANK(OFFSET(A$1,,,SUMPRODUCT(MAX(ROW(E$1:E6333)*(E2=E$1:E6333))))))</f>
        <v> </v>
      </c>
      <c r="K6334" s="26" t="str">
        <f>IF(OR(E6334="",E6334="!!!",F6334="NEW"),"",INDEX(J$1:J6333,SUMPRODUCT(MAX(ROW(E$1:E6333)*(E6334=E$1:E6333)))))</f>
        <v> </v>
      </c>
      <c r="L6334" s="27"/>
    </row>
    <row r="6335" spans="1:12">
      <c r="A6335" s="20" t="s">
        <v>1193</v>
      </c>
      <c r="E6335" s="22">
        <f>IF(D6335="?OLD","!!!","")</f>
        <v/>
      </c>
      <c r="F6335" s="23" t="str">
        <f>IF(OR(E6335="",E6335="!!!"),"",IF(NOT(ISNA(VLOOKUP(E6335,E$1:E6334,1,FALSE()))),"OLD",IF(AND(E6335&lt;&gt;"",E6335&lt;&gt;"!!!"),"NEW","")))</f>
        <v> </v>
      </c>
      <c r="G6335" s="24" t="str">
        <f>IF(OR(E6335="",E6335="!!!"),"",IF(OR(J6335=0,AND(J6335=1,K6335=1),AND(J6335=1,I6335="SBJ"),AND(J6335=1,I6335=0)),"?IN_FOCUS",IF(J6335&lt;=2,"?ACTIVATED",IF(J6335&lt;&gt;"","?FAMILIAR",IF(F6335="NEW",IF(ISNA(VLOOKUP(E6335,#REF!,1,FALSE())),"?TYPE_IDENTIFIABLE","?REFERENTIAL"),"_")))))</f>
        <v> </v>
      </c>
      <c r="H6335" s="25" t="str">
        <f>IF(J6335&lt;&gt;1,"",IF(I6335="SBJ","CB","?"))</f>
        <v> </v>
      </c>
      <c r="I6335" s="26" t="str">
        <f>IF(OR(E6335="",E6335="!!!",F6335="NEW"),"",INDEX(B6334:B$2,-1+SUMPRODUCT(MAX(ROW(E6334:E$2)*(E6335=E6334:E$2)))))</f>
        <v> </v>
      </c>
      <c r="J6335" s="26" t="str">
        <f>IF(OR(E6335="",E6335="!!!",F6335="NEW"),"",COUNTBLANK(OFFSET(A$1,,,SUMPRODUCT(MAX(ROW(E$2:E6335)*(E6335=E$2:E6335)))))-COUNTBLANK(OFFSET(A$1,,,SUMPRODUCT(MAX(ROW(E$1:E6334)*(E2=E$1:E6334))))))</f>
        <v> </v>
      </c>
      <c r="K6335" s="26" t="str">
        <f>IF(OR(E6335="",E6335="!!!",F6335="NEW"),"",INDEX(J$1:J6334,SUMPRODUCT(MAX(ROW(E$1:E6334)*(E6335=E$1:E6334)))))</f>
        <v> </v>
      </c>
      <c r="L6335" s="27"/>
    </row>
    <row r="6336" spans="1:12">
      <c r="A6336" s="20" t="s">
        <v>1502</v>
      </c>
      <c r="B6336" s="21" t="s">
        <v>1348</v>
      </c>
      <c r="E6336" s="22">
        <f>IF(D6336="?OLD","!!!","")</f>
        <v/>
      </c>
      <c r="F6336" s="23" t="str">
        <f>IF(OR(E6336="",E6336="!!!"),"",IF(NOT(ISNA(VLOOKUP(E6336,E$1:E6335,1,FALSE()))),"OLD",IF(AND(E6336&lt;&gt;"",E6336&lt;&gt;"!!!"),"NEW","")))</f>
        <v> </v>
      </c>
      <c r="G6336" s="24" t="str">
        <f>IF(OR(E6336="",E6336="!!!"),"",IF(OR(J6336=0,AND(J6336=1,K6336=1),AND(J6336=1,I6336="SBJ"),AND(J6336=1,I6336=0)),"?IN_FOCUS",IF(J6336&lt;=2,"?ACTIVATED",IF(J6336&lt;&gt;"","?FAMILIAR",IF(F6336="NEW",IF(ISNA(VLOOKUP(E6336,#REF!,1,FALSE())),"?TYPE_IDENTIFIABLE","?REFERENTIAL"),"_")))))</f>
        <v> </v>
      </c>
      <c r="H6336" s="25" t="str">
        <f>IF(J6336&lt;&gt;1,"",IF(I6336="SBJ","CB","?"))</f>
        <v> </v>
      </c>
      <c r="I6336" s="26" t="str">
        <f>IF(OR(E6336="",E6336="!!!",F6336="NEW"),"",INDEX(B6335:B$2,-1+SUMPRODUCT(MAX(ROW(E6335:E$2)*(E6336=E6335:E$2)))))</f>
        <v> </v>
      </c>
      <c r="J6336" s="26" t="str">
        <f>IF(OR(E6336="",E6336="!!!",F6336="NEW"),"",COUNTBLANK(OFFSET(A$1,,,SUMPRODUCT(MAX(ROW(E$2:E6336)*(E6336=E$2:E6336)))))-COUNTBLANK(OFFSET(A$1,,,SUMPRODUCT(MAX(ROW(E$1:E6335)*(E2=E$1:E6335))))))</f>
        <v> </v>
      </c>
      <c r="K6336" s="26" t="str">
        <f>IF(OR(E6336="",E6336="!!!",F6336="NEW"),"",INDEX(J$1:J6335,SUMPRODUCT(MAX(ROW(E$1:E6335)*(E6336=E$1:E6335)))))</f>
        <v> </v>
      </c>
      <c r="L6336" s="27"/>
    </row>
    <row r="6337" spans="1:12">
      <c r="A6337" s="20" t="s">
        <v>2898</v>
      </c>
      <c r="E6337" s="22">
        <f>IF(D6337="?OLD","!!!","")</f>
        <v/>
      </c>
      <c r="F6337" s="23" t="str">
        <f>IF(OR(E6337="",E6337="!!!"),"",IF(NOT(ISNA(VLOOKUP(E6337,E$1:E6336,1,FALSE()))),"OLD",IF(AND(E6337&lt;&gt;"",E6337&lt;&gt;"!!!"),"NEW","")))</f>
        <v> </v>
      </c>
      <c r="G6337" s="24" t="str">
        <f>IF(OR(E6337="",E6337="!!!"),"",IF(OR(J6337=0,AND(J6337=1,K6337=1),AND(J6337=1,I6337="SBJ"),AND(J6337=1,I6337=0)),"?IN_FOCUS",IF(J6337&lt;=2,"?ACTIVATED",IF(J6337&lt;&gt;"","?FAMILIAR",IF(F6337="NEW",IF(ISNA(VLOOKUP(E6337,#REF!,1,FALSE())),"?TYPE_IDENTIFIABLE","?REFERENTIAL"),"_")))))</f>
        <v> </v>
      </c>
      <c r="H6337" s="25" t="str">
        <f>IF(J6337&lt;&gt;1,"",IF(I6337="SBJ","CB","?"))</f>
        <v> </v>
      </c>
      <c r="I6337" s="26" t="str">
        <f>IF(OR(E6337="",E6337="!!!",F6337="NEW"),"",INDEX(B6336:B$2,-1+SUMPRODUCT(MAX(ROW(E6336:E$2)*(E6337=E6336:E$2)))))</f>
        <v> </v>
      </c>
      <c r="J6337" s="26" t="str">
        <f>IF(OR(E6337="",E6337="!!!",F6337="NEW"),"",COUNTBLANK(OFFSET(A$1,,,SUMPRODUCT(MAX(ROW(E$2:E6337)*(E6337=E$2:E6337)))))-COUNTBLANK(OFFSET(A$1,,,SUMPRODUCT(MAX(ROW(E$1:E6336)*(E2=E$1:E6336))))))</f>
        <v> </v>
      </c>
      <c r="K6337" s="26" t="str">
        <f>IF(OR(E6337="",E6337="!!!",F6337="NEW"),"",INDEX(J$1:J6336,SUMPRODUCT(MAX(ROW(E$1:E6336)*(E6337=E$1:E6336)))))</f>
        <v> </v>
      </c>
      <c r="L6337" s="27"/>
    </row>
    <row r="6338" spans="1:12">
      <c r="A6338" s="20" t="s">
        <v>1895</v>
      </c>
      <c r="E6338" s="22">
        <f>IF(D6338="?OLD","!!!","")</f>
        <v/>
      </c>
      <c r="F6338" s="23" t="str">
        <f>IF(OR(E6338="",E6338="!!!"),"",IF(NOT(ISNA(VLOOKUP(E6338,E$1:E6337,1,FALSE()))),"OLD",IF(AND(E6338&lt;&gt;"",E6338&lt;&gt;"!!!"),"NEW","")))</f>
        <v> </v>
      </c>
      <c r="G6338" s="24" t="str">
        <f>IF(OR(E6338="",E6338="!!!"),"",IF(OR(J6338=0,AND(J6338=1,K6338=1),AND(J6338=1,I6338="SBJ"),AND(J6338=1,I6338=0)),"?IN_FOCUS",IF(J6338&lt;=2,"?ACTIVATED",IF(J6338&lt;&gt;"","?FAMILIAR",IF(F6338="NEW",IF(ISNA(VLOOKUP(E6338,#REF!,1,FALSE())),"?TYPE_IDENTIFIABLE","?REFERENTIAL"),"_")))))</f>
        <v> </v>
      </c>
      <c r="H6338" s="25" t="str">
        <f>IF(J6338&lt;&gt;1,"",IF(I6338="SBJ","CB","?"))</f>
        <v> </v>
      </c>
      <c r="I6338" s="26" t="str">
        <f>IF(OR(E6338="",E6338="!!!",F6338="NEW"),"",INDEX(B6337:B$2,-1+SUMPRODUCT(MAX(ROW(E6337:E$2)*(E6338=E6337:E$2)))))</f>
        <v> </v>
      </c>
      <c r="J6338" s="26" t="str">
        <f>IF(OR(E6338="",E6338="!!!",F6338="NEW"),"",COUNTBLANK(OFFSET(A$1,,,SUMPRODUCT(MAX(ROW(E$2:E6338)*(E6338=E$2:E6338)))))-COUNTBLANK(OFFSET(A$1,,,SUMPRODUCT(MAX(ROW(E$1:E6337)*(E2=E$1:E6337))))))</f>
        <v> </v>
      </c>
      <c r="K6338" s="26" t="str">
        <f>IF(OR(E6338="",E6338="!!!",F6338="NEW"),"",INDEX(J$1:J6337,SUMPRODUCT(MAX(ROW(E$1:E6337)*(E6338=E$1:E6337)))))</f>
        <v> </v>
      </c>
      <c r="L6338" s="27"/>
    </row>
    <row r="6339" spans="1:12">
      <c r="A6339" s="20" t="s">
        <v>1193</v>
      </c>
      <c r="E6339" s="22">
        <f>IF(D6339="?OLD","!!!","")</f>
        <v/>
      </c>
      <c r="F6339" s="23" t="str">
        <f>IF(OR(E6339="",E6339="!!!"),"",IF(NOT(ISNA(VLOOKUP(E6339,E$1:E6338,1,FALSE()))),"OLD",IF(AND(E6339&lt;&gt;"",E6339&lt;&gt;"!!!"),"NEW","")))</f>
        <v> </v>
      </c>
      <c r="G6339" s="24" t="str">
        <f>IF(OR(E6339="",E6339="!!!"),"",IF(OR(J6339=0,AND(J6339=1,K6339=1),AND(J6339=1,I6339="SBJ"),AND(J6339=1,I6339=0)),"?IN_FOCUS",IF(J6339&lt;=2,"?ACTIVATED",IF(J6339&lt;&gt;"","?FAMILIAR",IF(F6339="NEW",IF(ISNA(VLOOKUP(E6339,#REF!,1,FALSE())),"?TYPE_IDENTIFIABLE","?REFERENTIAL"),"_")))))</f>
        <v> </v>
      </c>
      <c r="H6339" s="25" t="str">
        <f>IF(J6339&lt;&gt;1,"",IF(I6339="SBJ","CB","?"))</f>
        <v> </v>
      </c>
      <c r="I6339" s="26" t="str">
        <f>IF(OR(E6339="",E6339="!!!",F6339="NEW"),"",INDEX(B6338:B$2,-1+SUMPRODUCT(MAX(ROW(E6338:E$2)*(E6339=E6338:E$2)))))</f>
        <v> </v>
      </c>
      <c r="J6339" s="26" t="str">
        <f>IF(OR(E6339="",E6339="!!!",F6339="NEW"),"",COUNTBLANK(OFFSET(A$1,,,SUMPRODUCT(MAX(ROW(E$2:E6339)*(E6339=E$2:E6339)))))-COUNTBLANK(OFFSET(A$1,,,SUMPRODUCT(MAX(ROW(E$1:E6338)*(E2=E$1:E6338))))))</f>
        <v> </v>
      </c>
      <c r="K6339" s="26" t="str">
        <f>IF(OR(E6339="",E6339="!!!",F6339="NEW"),"",INDEX(J$1:J6338,SUMPRODUCT(MAX(ROW(E$1:E6338)*(E6339=E$1:E6338)))))</f>
        <v> </v>
      </c>
      <c r="L6339" s="27"/>
    </row>
    <row r="6340" spans="1:12">
      <c r="A6340" s="20" t="s">
        <v>1419</v>
      </c>
      <c r="E6340" s="22">
        <f>IF(D6340="?OLD","!!!","")</f>
        <v/>
      </c>
      <c r="F6340" s="23" t="str">
        <f>IF(OR(E6340="",E6340="!!!"),"",IF(NOT(ISNA(VLOOKUP(E6340,E$1:E6339,1,FALSE()))),"OLD",IF(AND(E6340&lt;&gt;"",E6340&lt;&gt;"!!!"),"NEW","")))</f>
        <v> </v>
      </c>
      <c r="G6340" s="24" t="str">
        <f>IF(OR(E6340="",E6340="!!!"),"",IF(OR(J6340=0,AND(J6340=1,K6340=1),AND(J6340=1,I6340="SBJ"),AND(J6340=1,I6340=0)),"?IN_FOCUS",IF(J6340&lt;=2,"?ACTIVATED",IF(J6340&lt;&gt;"","?FAMILIAR",IF(F6340="NEW",IF(ISNA(VLOOKUP(E6340,#REF!,1,FALSE())),"?TYPE_IDENTIFIABLE","?REFERENTIAL"),"_")))))</f>
        <v> </v>
      </c>
      <c r="H6340" s="25" t="str">
        <f>IF(J6340&lt;&gt;1,"",IF(I6340="SBJ","CB","?"))</f>
        <v> </v>
      </c>
      <c r="I6340" s="26" t="str">
        <f>IF(OR(E6340="",E6340="!!!",F6340="NEW"),"",INDEX(B6339:B$2,-1+SUMPRODUCT(MAX(ROW(E6339:E$2)*(E6340=E6339:E$2)))))</f>
        <v> </v>
      </c>
      <c r="J6340" s="26" t="str">
        <f>IF(OR(E6340="",E6340="!!!",F6340="NEW"),"",COUNTBLANK(OFFSET(A$1,,,SUMPRODUCT(MAX(ROW(E$2:E6340)*(E6340=E$2:E6340)))))-COUNTBLANK(OFFSET(A$1,,,SUMPRODUCT(MAX(ROW(E$1:E6339)*(E2=E$1:E6339))))))</f>
        <v> </v>
      </c>
      <c r="K6340" s="26" t="str">
        <f>IF(OR(E6340="",E6340="!!!",F6340="NEW"),"",INDEX(J$1:J6339,SUMPRODUCT(MAX(ROW(E$1:E6339)*(E6340=E$1:E6339)))))</f>
        <v> </v>
      </c>
      <c r="L6340" s="27"/>
    </row>
    <row r="6341" spans="1:12">
      <c r="A6341" s="20" t="s">
        <v>1265</v>
      </c>
      <c r="E6341" s="22">
        <f>IF(D6341="?OLD","!!!","")</f>
        <v/>
      </c>
      <c r="F6341" s="23" t="str">
        <f>IF(OR(E6341="",E6341="!!!"),"",IF(NOT(ISNA(VLOOKUP(E6341,E$1:E6340,1,FALSE()))),"OLD",IF(AND(E6341&lt;&gt;"",E6341&lt;&gt;"!!!"),"NEW","")))</f>
        <v> </v>
      </c>
      <c r="G6341" s="24" t="str">
        <f>IF(OR(E6341="",E6341="!!!"),"",IF(OR(J6341=0,AND(J6341=1,K6341=1),AND(J6341=1,I6341="SBJ"),AND(J6341=1,I6341=0)),"?IN_FOCUS",IF(J6341&lt;=2,"?ACTIVATED",IF(J6341&lt;&gt;"","?FAMILIAR",IF(F6341="NEW",IF(ISNA(VLOOKUP(E6341,#REF!,1,FALSE())),"?TYPE_IDENTIFIABLE","?REFERENTIAL"),"_")))))</f>
        <v> </v>
      </c>
      <c r="H6341" s="25" t="str">
        <f>IF(J6341&lt;&gt;1,"",IF(I6341="SBJ","CB","?"))</f>
        <v> </v>
      </c>
      <c r="I6341" s="26" t="str">
        <f>IF(OR(E6341="",E6341="!!!",F6341="NEW"),"",INDEX(B6340:B$2,-1+SUMPRODUCT(MAX(ROW(E6340:E$2)*(E6341=E6340:E$2)))))</f>
        <v> </v>
      </c>
      <c r="J6341" s="26" t="str">
        <f>IF(OR(E6341="",E6341="!!!",F6341="NEW"),"",COUNTBLANK(OFFSET(A$1,,,SUMPRODUCT(MAX(ROW(E$2:E6341)*(E6341=E$2:E6341)))))-COUNTBLANK(OFFSET(A$1,,,SUMPRODUCT(MAX(ROW(E$1:E6340)*(E2=E$1:E6340))))))</f>
        <v> </v>
      </c>
      <c r="K6341" s="26" t="str">
        <f>IF(OR(E6341="",E6341="!!!",F6341="NEW"),"",INDEX(J$1:J6340,SUMPRODUCT(MAX(ROW(E$1:E6340)*(E6341=E$1:E6340)))))</f>
        <v> </v>
      </c>
      <c r="L6341" s="27"/>
    </row>
    <row r="6342" spans="1:12">
      <c r="A6342" s="20" t="s">
        <v>1502</v>
      </c>
      <c r="B6342" s="21" t="s">
        <v>1436</v>
      </c>
      <c r="C6342" s="21" t="s">
        <v>1216</v>
      </c>
      <c r="D6342" s="21" t="s">
        <v>1188</v>
      </c>
      <c r="E6342" s="22">
        <f>IF(D6342="?OLD","!!!","")</f>
        <v/>
      </c>
      <c r="F6342" s="23" t="str">
        <f>IF(OR(E6342="",E6342="!!!"),"",IF(NOT(ISNA(VLOOKUP(E6342,E$1:E6341,1,FALSE()))),"OLD",IF(AND(E6342&lt;&gt;"",E6342&lt;&gt;"!!!"),"NEW","")))</f>
        <v> </v>
      </c>
      <c r="G6342" s="24" t="str">
        <f>IF(OR(E6342="",E6342="!!!"),"",IF(OR(J6342=0,AND(J6342=1,K6342=1),AND(J6342=1,I6342="SBJ"),AND(J6342=1,I6342=0)),"?IN_FOCUS",IF(J6342&lt;=2,"?ACTIVATED",IF(J6342&lt;&gt;"","?FAMILIAR",IF(F6342="NEW",IF(ISNA(VLOOKUP(E6342,#REF!,1,FALSE())),"?TYPE_IDENTIFIABLE","?REFERENTIAL"),"_")))))</f>
        <v> </v>
      </c>
      <c r="H6342" s="25" t="str">
        <f>IF(J6342&lt;&gt;1,"",IF(I6342="SBJ","CB","?"))</f>
        <v> </v>
      </c>
      <c r="I6342" s="26" t="str">
        <f>IF(OR(E6342="",E6342="!!!",F6342="NEW"),"",INDEX(B6341:B$2,-1+SUMPRODUCT(MAX(ROW(E6341:E$2)*(E6342=E6341:E$2)))))</f>
        <v> </v>
      </c>
      <c r="J6342" s="26" t="str">
        <f>IF(OR(E6342="",E6342="!!!",F6342="NEW"),"",COUNTBLANK(OFFSET(A$1,,,SUMPRODUCT(MAX(ROW(E$2:E6342)*(E6342=E$2:E6342)))))-COUNTBLANK(OFFSET(A$1,,,SUMPRODUCT(MAX(ROW(E$1:E6341)*(E2=E$1:E6341))))))</f>
        <v> </v>
      </c>
      <c r="K6342" s="26" t="str">
        <f>IF(OR(E6342="",E6342="!!!",F6342="NEW"),"",INDEX(J$1:J6341,SUMPRODUCT(MAX(ROW(E$1:E6341)*(E6342=E$1:E6341)))))</f>
        <v> </v>
      </c>
      <c r="L6342" s="27"/>
    </row>
    <row r="6343" spans="1:12">
      <c r="A6343" s="20" t="s">
        <v>680</v>
      </c>
      <c r="E6343" s="22">
        <f>IF(D6343="?OLD","!!!","")</f>
        <v/>
      </c>
      <c r="F6343" s="23" t="str">
        <f>IF(OR(E6343="",E6343="!!!"),"",IF(NOT(ISNA(VLOOKUP(E6343,E$1:E6342,1,FALSE()))),"OLD",IF(AND(E6343&lt;&gt;"",E6343&lt;&gt;"!!!"),"NEW","")))</f>
        <v> </v>
      </c>
      <c r="G6343" s="24" t="str">
        <f>IF(OR(E6343="",E6343="!!!"),"",IF(OR(J6343=0,AND(J6343=1,K6343=1),AND(J6343=1,I6343="SBJ"),AND(J6343=1,I6343=0)),"?IN_FOCUS",IF(J6343&lt;=2,"?ACTIVATED",IF(J6343&lt;&gt;"","?FAMILIAR",IF(F6343="NEW",IF(ISNA(VLOOKUP(E6343,#REF!,1,FALSE())),"?TYPE_IDENTIFIABLE","?REFERENTIAL"),"_")))))</f>
        <v> </v>
      </c>
      <c r="H6343" s="25" t="str">
        <f>IF(J6343&lt;&gt;1,"",IF(I6343="SBJ","CB","?"))</f>
        <v> </v>
      </c>
      <c r="I6343" s="26" t="str">
        <f>IF(OR(E6343="",E6343="!!!",F6343="NEW"),"",INDEX(B6342:B$2,-1+SUMPRODUCT(MAX(ROW(E6342:E$2)*(E6343=E6342:E$2)))))</f>
        <v> </v>
      </c>
      <c r="J6343" s="26" t="str">
        <f>IF(OR(E6343="",E6343="!!!",F6343="NEW"),"",COUNTBLANK(OFFSET(A$1,,,SUMPRODUCT(MAX(ROW(E$2:E6343)*(E6343=E$2:E6343)))))-COUNTBLANK(OFFSET(A$1,,,SUMPRODUCT(MAX(ROW(E$1:E6342)*(E2=E$1:E6342))))))</f>
        <v> </v>
      </c>
      <c r="K6343" s="26" t="str">
        <f>IF(OR(E6343="",E6343="!!!",F6343="NEW"),"",INDEX(J$1:J6342,SUMPRODUCT(MAX(ROW(E$1:E6342)*(E6343=E$1:E6342)))))</f>
        <v> </v>
      </c>
      <c r="L6343" s="27"/>
    </row>
    <row r="6344" spans="1:12">
      <c r="A6344" s="20" t="s">
        <v>2899</v>
      </c>
      <c r="E6344" s="22">
        <f>IF(D6344="?OLD","!!!","")</f>
        <v/>
      </c>
      <c r="F6344" s="23" t="str">
        <f>IF(OR(E6344="",E6344="!!!"),"",IF(NOT(ISNA(VLOOKUP(E6344,E$1:E6343,1,FALSE()))),"OLD",IF(AND(E6344&lt;&gt;"",E6344&lt;&gt;"!!!"),"NEW","")))</f>
        <v> </v>
      </c>
      <c r="G6344" s="24" t="str">
        <f>IF(OR(E6344="",E6344="!!!"),"",IF(OR(J6344=0,AND(J6344=1,K6344=1),AND(J6344=1,I6344="SBJ"),AND(J6344=1,I6344=0)),"?IN_FOCUS",IF(J6344&lt;=2,"?ACTIVATED",IF(J6344&lt;&gt;"","?FAMILIAR",IF(F6344="NEW",IF(ISNA(VLOOKUP(E6344,#REF!,1,FALSE())),"?TYPE_IDENTIFIABLE","?REFERENTIAL"),"_")))))</f>
        <v> </v>
      </c>
      <c r="H6344" s="25" t="str">
        <f>IF(J6344&lt;&gt;1,"",IF(I6344="SBJ","CB","?"))</f>
        <v> </v>
      </c>
      <c r="I6344" s="26" t="str">
        <f>IF(OR(E6344="",E6344="!!!",F6344="NEW"),"",INDEX(B6343:B$2,-1+SUMPRODUCT(MAX(ROW(E6343:E$2)*(E6344=E6343:E$2)))))</f>
        <v> </v>
      </c>
      <c r="J6344" s="26" t="str">
        <f>IF(OR(E6344="",E6344="!!!",F6344="NEW"),"",COUNTBLANK(OFFSET(A$1,,,SUMPRODUCT(MAX(ROW(E$2:E6344)*(E6344=E$2:E6344)))))-COUNTBLANK(OFFSET(A$1,,,SUMPRODUCT(MAX(ROW(E$1:E6343)*(E2=E$1:E6343))))))</f>
        <v> </v>
      </c>
      <c r="K6344" s="26" t="str">
        <f>IF(OR(E6344="",E6344="!!!",F6344="NEW"),"",INDEX(J$1:J6343,SUMPRODUCT(MAX(ROW(E$1:E6343)*(E6344=E$1:E6343)))))</f>
        <v> </v>
      </c>
      <c r="L6344" s="27"/>
    </row>
    <row r="6345" spans="1:12">
      <c r="A6345" s="20" t="s">
        <v>2900</v>
      </c>
      <c r="B6345" s="21" t="s">
        <v>1347</v>
      </c>
      <c r="C6345" s="21" t="s">
        <v>1218</v>
      </c>
      <c r="D6345" s="21" t="s">
        <v>1188</v>
      </c>
      <c r="E6345" s="22">
        <f>IF(D6345="?OLD","!!!","")</f>
        <v/>
      </c>
      <c r="F6345" s="23" t="str">
        <f>IF(OR(E6345="",E6345="!!!"),"",IF(NOT(ISNA(VLOOKUP(E6345,E$1:E6344,1,FALSE()))),"OLD",IF(AND(E6345&lt;&gt;"",E6345&lt;&gt;"!!!"),"NEW","")))</f>
        <v> </v>
      </c>
      <c r="G6345" s="24" t="str">
        <f>IF(OR(E6345="",E6345="!!!"),"",IF(OR(J6345=0,AND(J6345=1,K6345=1),AND(J6345=1,I6345="SBJ"),AND(J6345=1,I6345=0)),"?IN_FOCUS",IF(J6345&lt;=2,"?ACTIVATED",IF(J6345&lt;&gt;"","?FAMILIAR",IF(F6345="NEW",IF(ISNA(VLOOKUP(E6345,#REF!,1,FALSE())),"?TYPE_IDENTIFIABLE","?REFERENTIAL"),"_")))))</f>
        <v> </v>
      </c>
      <c r="H6345" s="25" t="str">
        <f>IF(J6345&lt;&gt;1,"",IF(I6345="SBJ","CB","?"))</f>
        <v> </v>
      </c>
      <c r="I6345" s="26" t="str">
        <f>IF(OR(E6345="",E6345="!!!",F6345="NEW"),"",INDEX(B6344:B$2,-1+SUMPRODUCT(MAX(ROW(E6344:E$2)*(E6345=E6344:E$2)))))</f>
        <v> </v>
      </c>
      <c r="J6345" s="26" t="str">
        <f>IF(OR(E6345="",E6345="!!!",F6345="NEW"),"",COUNTBLANK(OFFSET(A$1,,,SUMPRODUCT(MAX(ROW(E$2:E6345)*(E6345=E$2:E6345)))))-COUNTBLANK(OFFSET(A$1,,,SUMPRODUCT(MAX(ROW(E$1:E6344)*(E2=E$1:E6344))))))</f>
        <v> </v>
      </c>
      <c r="K6345" s="26" t="str">
        <f>IF(OR(E6345="",E6345="!!!",F6345="NEW"),"",INDEX(J$1:J6344,SUMPRODUCT(MAX(ROW(E$1:E6344)*(E6345=E$1:E6344)))))</f>
        <v> </v>
      </c>
      <c r="L6345" s="27"/>
    </row>
    <row r="6346" spans="1:12">
      <c r="A6346" s="20" t="s">
        <v>1193</v>
      </c>
      <c r="E6346" s="22">
        <f>IF(D6346="?OLD","!!!","")</f>
        <v/>
      </c>
      <c r="F6346" s="23" t="str">
        <f>IF(OR(E6346="",E6346="!!!"),"",IF(NOT(ISNA(VLOOKUP(E6346,E$1:E6345,1,FALSE()))),"OLD",IF(AND(E6346&lt;&gt;"",E6346&lt;&gt;"!!!"),"NEW","")))</f>
        <v> </v>
      </c>
      <c r="G6346" s="24" t="str">
        <f>IF(OR(E6346="",E6346="!!!"),"",IF(OR(J6346=0,AND(J6346=1,K6346=1),AND(J6346=1,I6346="SBJ"),AND(J6346=1,I6346=0)),"?IN_FOCUS",IF(J6346&lt;=2,"?ACTIVATED",IF(J6346&lt;&gt;"","?FAMILIAR",IF(F6346="NEW",IF(ISNA(VLOOKUP(E6346,#REF!,1,FALSE())),"?TYPE_IDENTIFIABLE","?REFERENTIAL"),"_")))))</f>
        <v> </v>
      </c>
      <c r="H6346" s="25" t="str">
        <f>IF(J6346&lt;&gt;1,"",IF(I6346="SBJ","CB","?"))</f>
        <v> </v>
      </c>
      <c r="I6346" s="26" t="str">
        <f>IF(OR(E6346="",E6346="!!!",F6346="NEW"),"",INDEX(B6345:B$2,-1+SUMPRODUCT(MAX(ROW(E6345:E$2)*(E6346=E6345:E$2)))))</f>
        <v> </v>
      </c>
      <c r="J6346" s="26" t="str">
        <f>IF(OR(E6346="",E6346="!!!",F6346="NEW"),"",COUNTBLANK(OFFSET(A$1,,,SUMPRODUCT(MAX(ROW(E$2:E6346)*(E6346=E$2:E6346)))))-COUNTBLANK(OFFSET(A$1,,,SUMPRODUCT(MAX(ROW(E$1:E6345)*(E2=E$1:E6345))))))</f>
        <v> </v>
      </c>
      <c r="K6346" s="26" t="str">
        <f>IF(OR(E6346="",E6346="!!!",F6346="NEW"),"",INDEX(J$1:J6345,SUMPRODUCT(MAX(ROW(E$1:E6345)*(E6346=E$1:E6345)))))</f>
        <v> </v>
      </c>
      <c r="L6346" s="27"/>
    </row>
    <row r="6347" spans="1:12">
      <c r="A6347" s="20" t="s">
        <v>1478</v>
      </c>
      <c r="E6347" s="22">
        <f>IF(D6347="?OLD","!!!","")</f>
        <v/>
      </c>
      <c r="F6347" s="23" t="str">
        <f>IF(OR(E6347="",E6347="!!!"),"",IF(NOT(ISNA(VLOOKUP(E6347,E$1:E6346,1,FALSE()))),"OLD",IF(AND(E6347&lt;&gt;"",E6347&lt;&gt;"!!!"),"NEW","")))</f>
        <v> </v>
      </c>
      <c r="G6347" s="24" t="str">
        <f>IF(OR(E6347="",E6347="!!!"),"",IF(OR(J6347=0,AND(J6347=1,K6347=1),AND(J6347=1,I6347="SBJ"),AND(J6347=1,I6347=0)),"?IN_FOCUS",IF(J6347&lt;=2,"?ACTIVATED",IF(J6347&lt;&gt;"","?FAMILIAR",IF(F6347="NEW",IF(ISNA(VLOOKUP(E6347,#REF!,1,FALSE())),"?TYPE_IDENTIFIABLE","?REFERENTIAL"),"_")))))</f>
        <v> </v>
      </c>
      <c r="H6347" s="25" t="str">
        <f>IF(J6347&lt;&gt;1,"",IF(I6347="SBJ","CB","?"))</f>
        <v> </v>
      </c>
      <c r="I6347" s="26" t="str">
        <f>IF(OR(E6347="",E6347="!!!",F6347="NEW"),"",INDEX(B6346:B$2,-1+SUMPRODUCT(MAX(ROW(E6346:E$2)*(E6347=E6346:E$2)))))</f>
        <v> </v>
      </c>
      <c r="J6347" s="26" t="str">
        <f>IF(OR(E6347="",E6347="!!!",F6347="NEW"),"",COUNTBLANK(OFFSET(A$1,,,SUMPRODUCT(MAX(ROW(E$2:E6347)*(E6347=E$2:E6347)))))-COUNTBLANK(OFFSET(A$1,,,SUMPRODUCT(MAX(ROW(E$1:E6346)*(E2=E$1:E6346))))))</f>
        <v> </v>
      </c>
      <c r="K6347" s="26" t="str">
        <f>IF(OR(E6347="",E6347="!!!",F6347="NEW"),"",INDEX(J$1:J6346,SUMPRODUCT(MAX(ROW(E$1:E6346)*(E6347=E$1:E6346)))))</f>
        <v> </v>
      </c>
      <c r="L6347" s="27"/>
    </row>
    <row r="6348" spans="1:12">
      <c r="A6348" s="20" t="s">
        <v>185</v>
      </c>
      <c r="E6348" s="22">
        <f>IF(D6348="?OLD","!!!","")</f>
        <v/>
      </c>
      <c r="F6348" s="23" t="str">
        <f>IF(OR(E6348="",E6348="!!!"),"",IF(NOT(ISNA(VLOOKUP(E6348,E$1:E6347,1,FALSE()))),"OLD",IF(AND(E6348&lt;&gt;"",E6348&lt;&gt;"!!!"),"NEW","")))</f>
        <v> </v>
      </c>
      <c r="G6348" s="24" t="str">
        <f>IF(OR(E6348="",E6348="!!!"),"",IF(OR(J6348=0,AND(J6348=1,K6348=1),AND(J6348=1,I6348="SBJ"),AND(J6348=1,I6348=0)),"?IN_FOCUS",IF(J6348&lt;=2,"?ACTIVATED",IF(J6348&lt;&gt;"","?FAMILIAR",IF(F6348="NEW",IF(ISNA(VLOOKUP(E6348,#REF!,1,FALSE())),"?TYPE_IDENTIFIABLE","?REFERENTIAL"),"_")))))</f>
        <v> </v>
      </c>
      <c r="H6348" s="25" t="str">
        <f>IF(J6348&lt;&gt;1,"",IF(I6348="SBJ","CB","?"))</f>
        <v> </v>
      </c>
      <c r="I6348" s="26" t="str">
        <f>IF(OR(E6348="",E6348="!!!",F6348="NEW"),"",INDEX(B6347:B$2,-1+SUMPRODUCT(MAX(ROW(E6347:E$2)*(E6348=E6347:E$2)))))</f>
        <v> </v>
      </c>
      <c r="J6348" s="26" t="str">
        <f>IF(OR(E6348="",E6348="!!!",F6348="NEW"),"",COUNTBLANK(OFFSET(A$1,,,SUMPRODUCT(MAX(ROW(E$2:E6348)*(E6348=E$2:E6348)))))-COUNTBLANK(OFFSET(A$1,,,SUMPRODUCT(MAX(ROW(E$1:E6347)*(E2=E$1:E6347))))))</f>
        <v> </v>
      </c>
      <c r="K6348" s="26" t="str">
        <f>IF(OR(E6348="",E6348="!!!",F6348="NEW"),"",INDEX(J$1:J6347,SUMPRODUCT(MAX(ROW(E$1:E6347)*(E6348=E$1:E6347)))))</f>
        <v> </v>
      </c>
      <c r="L6348" s="27"/>
    </row>
    <row r="6349" spans="1:12">
      <c r="A6349" s="20" t="s">
        <v>1265</v>
      </c>
      <c r="E6349" s="22">
        <f>IF(D6349="?OLD","!!!","")</f>
        <v/>
      </c>
      <c r="F6349" s="23" t="str">
        <f>IF(OR(E6349="",E6349="!!!"),"",IF(NOT(ISNA(VLOOKUP(E6349,E$1:E6348,1,FALSE()))),"OLD",IF(AND(E6349&lt;&gt;"",E6349&lt;&gt;"!!!"),"NEW","")))</f>
        <v> </v>
      </c>
      <c r="G6349" s="24" t="str">
        <f>IF(OR(E6349="",E6349="!!!"),"",IF(OR(J6349=0,AND(J6349=1,K6349=1),AND(J6349=1,I6349="SBJ"),AND(J6349=1,I6349=0)),"?IN_FOCUS",IF(J6349&lt;=2,"?ACTIVATED",IF(J6349&lt;&gt;"","?FAMILIAR",IF(F6349="NEW",IF(ISNA(VLOOKUP(E6349,#REF!,1,FALSE())),"?TYPE_IDENTIFIABLE","?REFERENTIAL"),"_")))))</f>
        <v> </v>
      </c>
      <c r="H6349" s="25" t="str">
        <f>IF(J6349&lt;&gt;1,"",IF(I6349="SBJ","CB","?"))</f>
        <v> </v>
      </c>
      <c r="I6349" s="26" t="str">
        <f>IF(OR(E6349="",E6349="!!!",F6349="NEW"),"",INDEX(B6348:B$2,-1+SUMPRODUCT(MAX(ROW(E6348:E$2)*(E6349=E6348:E$2)))))</f>
        <v> </v>
      </c>
      <c r="J6349" s="26" t="str">
        <f>IF(OR(E6349="",E6349="!!!",F6349="NEW"),"",COUNTBLANK(OFFSET(A$1,,,SUMPRODUCT(MAX(ROW(E$2:E6349)*(E6349=E$2:E6349)))))-COUNTBLANK(OFFSET(A$1,,,SUMPRODUCT(MAX(ROW(E$1:E6348)*(E2=E$1:E6348))))))</f>
        <v> </v>
      </c>
      <c r="K6349" s="26" t="str">
        <f>IF(OR(E6349="",E6349="!!!",F6349="NEW"),"",INDEX(J$1:J6348,SUMPRODUCT(MAX(ROW(E$1:E6348)*(E6349=E$1:E6348)))))</f>
        <v> </v>
      </c>
      <c r="L6349" s="27"/>
    </row>
    <row r="6350" spans="1:12">
      <c r="A6350" s="20" t="s">
        <v>1321</v>
      </c>
      <c r="E6350" s="22">
        <f>IF(D6350="?OLD","!!!","")</f>
        <v/>
      </c>
      <c r="F6350" s="23" t="str">
        <f>IF(OR(E6350="",E6350="!!!"),"",IF(NOT(ISNA(VLOOKUP(E6350,E$1:E6349,1,FALSE()))),"OLD",IF(AND(E6350&lt;&gt;"",E6350&lt;&gt;"!!!"),"NEW","")))</f>
        <v> </v>
      </c>
      <c r="G6350" s="24" t="str">
        <f>IF(OR(E6350="",E6350="!!!"),"",IF(OR(J6350=0,AND(J6350=1,K6350=1),AND(J6350=1,I6350="SBJ"),AND(J6350=1,I6350=0)),"?IN_FOCUS",IF(J6350&lt;=2,"?ACTIVATED",IF(J6350&lt;&gt;"","?FAMILIAR",IF(F6350="NEW",IF(ISNA(VLOOKUP(E6350,#REF!,1,FALSE())),"?TYPE_IDENTIFIABLE","?REFERENTIAL"),"_")))))</f>
        <v> </v>
      </c>
      <c r="H6350" s="25" t="str">
        <f>IF(J6350&lt;&gt;1,"",IF(I6350="SBJ","CB","?"))</f>
        <v> </v>
      </c>
      <c r="I6350" s="26" t="str">
        <f>IF(OR(E6350="",E6350="!!!",F6350="NEW"),"",INDEX(B6349:B$2,-1+SUMPRODUCT(MAX(ROW(E6349:E$2)*(E6350=E6349:E$2)))))</f>
        <v> </v>
      </c>
      <c r="J6350" s="26" t="str">
        <f>IF(OR(E6350="",E6350="!!!",F6350="NEW"),"",COUNTBLANK(OFFSET(A$1,,,SUMPRODUCT(MAX(ROW(E$2:E6350)*(E6350=E$2:E6350)))))-COUNTBLANK(OFFSET(A$1,,,SUMPRODUCT(MAX(ROW(E$1:E6349)*(E2=E$1:E6349))))))</f>
        <v> </v>
      </c>
      <c r="K6350" s="26" t="str">
        <f>IF(OR(E6350="",E6350="!!!",F6350="NEW"),"",INDEX(J$1:J6349,SUMPRODUCT(MAX(ROW(E$1:E6349)*(E6350=E$1:E6349)))))</f>
        <v> </v>
      </c>
      <c r="L6350" s="27"/>
    </row>
    <row r="6351" spans="1:12">
      <c r="A6351" s="20" t="s">
        <v>1502</v>
      </c>
      <c r="E6351" s="22">
        <f>IF(D6351="?OLD","!!!","")</f>
        <v/>
      </c>
      <c r="F6351" s="23" t="str">
        <f>IF(OR(E6351="",E6351="!!!"),"",IF(NOT(ISNA(VLOOKUP(E6351,E$1:E6350,1,FALSE()))),"OLD",IF(AND(E6351&lt;&gt;"",E6351&lt;&gt;"!!!"),"NEW","")))</f>
        <v> </v>
      </c>
      <c r="G6351" s="24" t="str">
        <f>IF(OR(E6351="",E6351="!!!"),"",IF(OR(J6351=0,AND(J6351=1,K6351=1),AND(J6351=1,I6351="SBJ"),AND(J6351=1,I6351=0)),"?IN_FOCUS",IF(J6351&lt;=2,"?ACTIVATED",IF(J6351&lt;&gt;"","?FAMILIAR",IF(F6351="NEW",IF(ISNA(VLOOKUP(E6351,#REF!,1,FALSE())),"?TYPE_IDENTIFIABLE","?REFERENTIAL"),"_")))))</f>
        <v> </v>
      </c>
      <c r="H6351" s="25" t="str">
        <f>IF(J6351&lt;&gt;1,"",IF(I6351="SBJ","CB","?"))</f>
        <v> </v>
      </c>
      <c r="I6351" s="26" t="str">
        <f>IF(OR(E6351="",E6351="!!!",F6351="NEW"),"",INDEX(B6350:B$2,-1+SUMPRODUCT(MAX(ROW(E6350:E$2)*(E6351=E6350:E$2)))))</f>
        <v> </v>
      </c>
      <c r="J6351" s="26" t="str">
        <f>IF(OR(E6351="",E6351="!!!",F6351="NEW"),"",COUNTBLANK(OFFSET(A$1,,,SUMPRODUCT(MAX(ROW(E$2:E6351)*(E6351=E$2:E6351)))))-COUNTBLANK(OFFSET(A$1,,,SUMPRODUCT(MAX(ROW(E$1:E6350)*(E2=E$1:E6350))))))</f>
        <v> </v>
      </c>
      <c r="K6351" s="26" t="str">
        <f>IF(OR(E6351="",E6351="!!!",F6351="NEW"),"",INDEX(J$1:J6350,SUMPRODUCT(MAX(ROW(E$1:E6350)*(E6351=E$1:E6350)))))</f>
        <v> </v>
      </c>
      <c r="L6351" s="27"/>
    </row>
    <row r="6352" spans="1:12">
      <c r="A6352" s="20" t="s">
        <v>2901</v>
      </c>
      <c r="E6352" s="22">
        <f>IF(D6352="?OLD","!!!","")</f>
        <v/>
      </c>
      <c r="F6352" s="23" t="str">
        <f>IF(OR(E6352="",E6352="!!!"),"",IF(NOT(ISNA(VLOOKUP(E6352,E$1:E6351,1,FALSE()))),"OLD",IF(AND(E6352&lt;&gt;"",E6352&lt;&gt;"!!!"),"NEW","")))</f>
        <v> </v>
      </c>
      <c r="G6352" s="24" t="str">
        <f>IF(OR(E6352="",E6352="!!!"),"",IF(OR(J6352=0,AND(J6352=1,K6352=1),AND(J6352=1,I6352="SBJ"),AND(J6352=1,I6352=0)),"?IN_FOCUS",IF(J6352&lt;=2,"?ACTIVATED",IF(J6352&lt;&gt;"","?FAMILIAR",IF(F6352="NEW",IF(ISNA(VLOOKUP(E6352,#REF!,1,FALSE())),"?TYPE_IDENTIFIABLE","?REFERENTIAL"),"_")))))</f>
        <v> </v>
      </c>
      <c r="H6352" s="25" t="str">
        <f>IF(J6352&lt;&gt;1,"",IF(I6352="SBJ","CB","?"))</f>
        <v> </v>
      </c>
      <c r="I6352" s="26" t="str">
        <f>IF(OR(E6352="",E6352="!!!",F6352="NEW"),"",INDEX(B6351:B$2,-1+SUMPRODUCT(MAX(ROW(E6351:E$2)*(E6352=E6351:E$2)))))</f>
        <v> </v>
      </c>
      <c r="J6352" s="26" t="str">
        <f>IF(OR(E6352="",E6352="!!!",F6352="NEW"),"",COUNTBLANK(OFFSET(A$1,,,SUMPRODUCT(MAX(ROW(E$2:E6352)*(E6352=E$2:E6352)))))-COUNTBLANK(OFFSET(A$1,,,SUMPRODUCT(MAX(ROW(E$1:E6351)*(E2=E$1:E6351))))))</f>
        <v> </v>
      </c>
      <c r="K6352" s="26" t="str">
        <f>IF(OR(E6352="",E6352="!!!",F6352="NEW"),"",INDEX(J$1:J6351,SUMPRODUCT(MAX(ROW(E$1:E6351)*(E6352=E$1:E6351)))))</f>
        <v> </v>
      </c>
      <c r="L6352" s="27"/>
    </row>
    <row r="6353" spans="1:12">
      <c r="A6353" s="20" t="s">
        <v>2900</v>
      </c>
      <c r="B6353" s="21" t="s">
        <v>1436</v>
      </c>
      <c r="C6353" s="21" t="s">
        <v>1196</v>
      </c>
      <c r="D6353" s="21" t="s">
        <v>1188</v>
      </c>
      <c r="E6353" s="22">
        <f>IF(D6353="?OLD","!!!","")</f>
        <v/>
      </c>
      <c r="F6353" s="23" t="str">
        <f>IF(OR(E6353="",E6353="!!!"),"",IF(NOT(ISNA(VLOOKUP(E6353,E$1:E6352,1,FALSE()))),"OLD",IF(AND(E6353&lt;&gt;"",E6353&lt;&gt;"!!!"),"NEW","")))</f>
        <v> </v>
      </c>
      <c r="G6353" s="24" t="str">
        <f>IF(OR(E6353="",E6353="!!!"),"",IF(OR(J6353=0,AND(J6353=1,K6353=1),AND(J6353=1,I6353="SBJ"),AND(J6353=1,I6353=0)),"?IN_FOCUS",IF(J6353&lt;=2,"?ACTIVATED",IF(J6353&lt;&gt;"","?FAMILIAR",IF(F6353="NEW",IF(ISNA(VLOOKUP(E6353,#REF!,1,FALSE())),"?TYPE_IDENTIFIABLE","?REFERENTIAL"),"_")))))</f>
        <v> </v>
      </c>
      <c r="H6353" s="25" t="str">
        <f>IF(J6353&lt;&gt;1,"",IF(I6353="SBJ","CB","?"))</f>
        <v> </v>
      </c>
      <c r="I6353" s="26" t="str">
        <f>IF(OR(E6353="",E6353="!!!",F6353="NEW"),"",INDEX(B6352:B$2,-1+SUMPRODUCT(MAX(ROW(E6352:E$2)*(E6353=E6352:E$2)))))</f>
        <v> </v>
      </c>
      <c r="J6353" s="26" t="str">
        <f>IF(OR(E6353="",E6353="!!!",F6353="NEW"),"",COUNTBLANK(OFFSET(A$1,,,SUMPRODUCT(MAX(ROW(E$2:E6353)*(E6353=E$2:E6353)))))-COUNTBLANK(OFFSET(A$1,,,SUMPRODUCT(MAX(ROW(E$1:E6352)*(E2=E$1:E6352))))))</f>
        <v> </v>
      </c>
      <c r="K6353" s="26" t="str">
        <f>IF(OR(E6353="",E6353="!!!",F6353="NEW"),"",INDEX(J$1:J6352,SUMPRODUCT(MAX(ROW(E$1:E6352)*(E6353=E$1:E6352)))))</f>
        <v> </v>
      </c>
      <c r="L6353" s="27"/>
    </row>
    <row r="6354" spans="1:12">
      <c r="A6354" s="20" t="s">
        <v>826</v>
      </c>
      <c r="E6354" s="22">
        <f>IF(D6354="?OLD","!!!","")</f>
        <v/>
      </c>
      <c r="F6354" s="23" t="str">
        <f>IF(OR(E6354="",E6354="!!!"),"",IF(NOT(ISNA(VLOOKUP(E6354,E$1:E6353,1,FALSE()))),"OLD",IF(AND(E6354&lt;&gt;"",E6354&lt;&gt;"!!!"),"NEW","")))</f>
        <v> </v>
      </c>
      <c r="G6354" s="24" t="str">
        <f>IF(OR(E6354="",E6354="!!!"),"",IF(OR(J6354=0,AND(J6354=1,K6354=1),AND(J6354=1,I6354="SBJ"),AND(J6354=1,I6354=0)),"?IN_FOCUS",IF(J6354&lt;=2,"?ACTIVATED",IF(J6354&lt;&gt;"","?FAMILIAR",IF(F6354="NEW",IF(ISNA(VLOOKUP(E6354,#REF!,1,FALSE())),"?TYPE_IDENTIFIABLE","?REFERENTIAL"),"_")))))</f>
        <v> </v>
      </c>
      <c r="H6354" s="25" t="str">
        <f>IF(J6354&lt;&gt;1,"",IF(I6354="SBJ","CB","?"))</f>
        <v> </v>
      </c>
      <c r="I6354" s="26" t="str">
        <f>IF(OR(E6354="",E6354="!!!",F6354="NEW"),"",INDEX(B6353:B$2,-1+SUMPRODUCT(MAX(ROW(E6353:E$2)*(E6354=E6353:E$2)))))</f>
        <v> </v>
      </c>
      <c r="J6354" s="26" t="str">
        <f>IF(OR(E6354="",E6354="!!!",F6354="NEW"),"",COUNTBLANK(OFFSET(A$1,,,SUMPRODUCT(MAX(ROW(E$2:E6354)*(E6354=E$2:E6354)))))-COUNTBLANK(OFFSET(A$1,,,SUMPRODUCT(MAX(ROW(E$1:E6353)*(E2=E$1:E6353))))))</f>
        <v> </v>
      </c>
      <c r="K6354" s="26" t="str">
        <f>IF(OR(E6354="",E6354="!!!",F6354="NEW"),"",INDEX(J$1:J6353,SUMPRODUCT(MAX(ROW(E$1:E6353)*(E6354=E$1:E6353)))))</f>
        <v> </v>
      </c>
      <c r="L6354" s="27"/>
    </row>
    <row r="6355" spans="1:12">
      <c r="A6355" s="20"/>
    </row>
    <row r="6356" spans="1:12">
      <c r="A6356" s="20" t="s">
        <v>2902</v>
      </c>
    </row>
    <row r="6357" spans="1:12">
      <c r="A6357" s="20" t="s">
        <v>1201</v>
      </c>
      <c r="B6357" s="21" t="s">
        <v>1202</v>
      </c>
      <c r="C6357" s="21" t="s">
        <v>1203</v>
      </c>
      <c r="D6357" s="21" t="s">
        <v>1188</v>
      </c>
      <c r="E6357" s="22">
        <f>IF(D6357="?OLD","!!!","")</f>
        <v/>
      </c>
      <c r="F6357" s="23" t="str">
        <f>IF(OR(E6357="",E6357="!!!"),"",IF(NOT(ISNA(VLOOKUP(E6357,E$1:E6356,1,FALSE()))),"OLD",IF(AND(E6357&lt;&gt;"",E6357&lt;&gt;"!!!"),"NEW","")))</f>
        <v> </v>
      </c>
      <c r="G6357" s="24" t="str">
        <f>IF(OR(E6357="",E6357="!!!"),"",IF(OR(J6357=0,AND(J6357=1,K6357=1),AND(J6357=1,I6357="SBJ"),AND(J6357=1,I6357=0)),"?IN_FOCUS",IF(J6357&lt;=2,"?ACTIVATED",IF(J6357&lt;&gt;"","?FAMILIAR",IF(F6357="NEW",IF(ISNA(VLOOKUP(E6357,#REF!,1,FALSE())),"?TYPE_IDENTIFIABLE","?REFERENTIAL"),"_")))))</f>
        <v> </v>
      </c>
      <c r="H6357" s="25" t="str">
        <f>IF(J6357&lt;&gt;1,"",IF(I6357="SBJ","CB","?"))</f>
        <v> </v>
      </c>
      <c r="I6357" s="26" t="str">
        <f>IF(OR(E6357="",E6357="!!!",F6357="NEW"),"",INDEX(B6356:B$2,-1+SUMPRODUCT(MAX(ROW(E6356:E$2)*(E6357=E6356:E$2)))))</f>
        <v> </v>
      </c>
      <c r="J6357" s="26" t="str">
        <f>IF(OR(E6357="",E6357="!!!",F6357="NEW"),"",COUNTBLANK(OFFSET(A$1,,,SUMPRODUCT(MAX(ROW(E$2:E6357)*(E6357=E$2:E6357)))))-COUNTBLANK(OFFSET(A$1,,,SUMPRODUCT(MAX(ROW(E$1:E6356)*(E2=E$1:E6356))))))</f>
        <v> </v>
      </c>
      <c r="K6357" s="26" t="str">
        <f>IF(OR(E6357="",E6357="!!!",F6357="NEW"),"",INDEX(J$1:J6356,SUMPRODUCT(MAX(ROW(E$1:E6356)*(E6357=E$1:E6356)))))</f>
        <v> </v>
      </c>
      <c r="L6357" s="27"/>
    </row>
    <row r="6358" spans="1:12">
      <c r="A6358" s="20" t="s">
        <v>1654</v>
      </c>
      <c r="E6358" s="22">
        <f>IF(D6358="?OLD","!!!","")</f>
        <v/>
      </c>
      <c r="F6358" s="23" t="str">
        <f>IF(OR(E6358="",E6358="!!!"),"",IF(NOT(ISNA(VLOOKUP(E6358,E$1:E6357,1,FALSE()))),"OLD",IF(AND(E6358&lt;&gt;"",E6358&lt;&gt;"!!!"),"NEW","")))</f>
        <v> </v>
      </c>
      <c r="G6358" s="24" t="str">
        <f>IF(OR(E6358="",E6358="!!!"),"",IF(OR(J6358=0,AND(J6358=1,K6358=1),AND(J6358=1,I6358="SBJ"),AND(J6358=1,I6358=0)),"?IN_FOCUS",IF(J6358&lt;=2,"?ACTIVATED",IF(J6358&lt;&gt;"","?FAMILIAR",IF(F6358="NEW",IF(ISNA(VLOOKUP(E6358,#REF!,1,FALSE())),"?TYPE_IDENTIFIABLE","?REFERENTIAL"),"_")))))</f>
        <v> </v>
      </c>
      <c r="H6358" s="25" t="str">
        <f>IF(J6358&lt;&gt;1,"",IF(I6358="SBJ","CB","?"))</f>
        <v> </v>
      </c>
      <c r="I6358" s="26" t="str">
        <f>IF(OR(E6358="",E6358="!!!",F6358="NEW"),"",INDEX(B6357:B$2,-1+SUMPRODUCT(MAX(ROW(E6357:E$2)*(E6358=E6357:E$2)))))</f>
        <v> </v>
      </c>
      <c r="J6358" s="26" t="str">
        <f>IF(OR(E6358="",E6358="!!!",F6358="NEW"),"",COUNTBLANK(OFFSET(A$1,,,SUMPRODUCT(MAX(ROW(E$2:E6358)*(E6358=E$2:E6358)))))-COUNTBLANK(OFFSET(A$1,,,SUMPRODUCT(MAX(ROW(E$1:E6357)*(E2=E$1:E6357))))))</f>
        <v> </v>
      </c>
      <c r="K6358" s="26" t="str">
        <f>IF(OR(E6358="",E6358="!!!",F6358="NEW"),"",INDEX(J$1:J6357,SUMPRODUCT(MAX(ROW(E$1:E6357)*(E6358=E$1:E6357)))))</f>
        <v> </v>
      </c>
      <c r="L6358" s="27"/>
    </row>
    <row r="6359" spans="1:12">
      <c r="A6359" s="20" t="s">
        <v>1193</v>
      </c>
      <c r="E6359" s="22">
        <f>IF(D6359="?OLD","!!!","")</f>
        <v/>
      </c>
      <c r="F6359" s="23" t="str">
        <f>IF(OR(E6359="",E6359="!!!"),"",IF(NOT(ISNA(VLOOKUP(E6359,E$1:E6358,1,FALSE()))),"OLD",IF(AND(E6359&lt;&gt;"",E6359&lt;&gt;"!!!"),"NEW","")))</f>
        <v> </v>
      </c>
      <c r="G6359" s="24" t="str">
        <f>IF(OR(E6359="",E6359="!!!"),"",IF(OR(J6359=0,AND(J6359=1,K6359=1),AND(J6359=1,I6359="SBJ"),AND(J6359=1,I6359=0)),"?IN_FOCUS",IF(J6359&lt;=2,"?ACTIVATED",IF(J6359&lt;&gt;"","?FAMILIAR",IF(F6359="NEW",IF(ISNA(VLOOKUP(E6359,#REF!,1,FALSE())),"?TYPE_IDENTIFIABLE","?REFERENTIAL"),"_")))))</f>
        <v> </v>
      </c>
      <c r="H6359" s="25" t="str">
        <f>IF(J6359&lt;&gt;1,"",IF(I6359="SBJ","CB","?"))</f>
        <v> </v>
      </c>
      <c r="I6359" s="26" t="str">
        <f>IF(OR(E6359="",E6359="!!!",F6359="NEW"),"",INDEX(B6358:B$2,-1+SUMPRODUCT(MAX(ROW(E6358:E$2)*(E6359=E6358:E$2)))))</f>
        <v> </v>
      </c>
      <c r="J6359" s="26" t="str">
        <f>IF(OR(E6359="",E6359="!!!",F6359="NEW"),"",COUNTBLANK(OFFSET(A$1,,,SUMPRODUCT(MAX(ROW(E$2:E6359)*(E6359=E$2:E6359)))))-COUNTBLANK(OFFSET(A$1,,,SUMPRODUCT(MAX(ROW(E$1:E6358)*(E2=E$1:E6358))))))</f>
        <v> </v>
      </c>
      <c r="K6359" s="26" t="str">
        <f>IF(OR(E6359="",E6359="!!!",F6359="NEW"),"",INDEX(J$1:J6358,SUMPRODUCT(MAX(ROW(E$1:E6358)*(E6359=E$1:E6358)))))</f>
        <v> </v>
      </c>
      <c r="L6359" s="27"/>
    </row>
    <row r="6360" spans="1:12">
      <c r="A6360" s="20" t="s">
        <v>1502</v>
      </c>
      <c r="B6360" s="21" t="s">
        <v>1248</v>
      </c>
      <c r="C6360" s="21" t="s">
        <v>1216</v>
      </c>
      <c r="D6360" s="21" t="s">
        <v>1188</v>
      </c>
      <c r="E6360" s="22">
        <f>IF(D6360="?OLD","!!!","")</f>
        <v/>
      </c>
      <c r="F6360" s="23" t="str">
        <f>IF(OR(E6360="",E6360="!!!"),"",IF(NOT(ISNA(VLOOKUP(E6360,E$1:E6359,1,FALSE()))),"OLD",IF(AND(E6360&lt;&gt;"",E6360&lt;&gt;"!!!"),"NEW","")))</f>
        <v> </v>
      </c>
      <c r="G6360" s="24" t="str">
        <f>IF(OR(E6360="",E6360="!!!"),"",IF(OR(J6360=0,AND(J6360=1,K6360=1),AND(J6360=1,I6360="SBJ"),AND(J6360=1,I6360=0)),"?IN_FOCUS",IF(J6360&lt;=2,"?ACTIVATED",IF(J6360&lt;&gt;"","?FAMILIAR",IF(F6360="NEW",IF(ISNA(VLOOKUP(E6360,#REF!,1,FALSE())),"?TYPE_IDENTIFIABLE","?REFERENTIAL"),"_")))))</f>
        <v> </v>
      </c>
      <c r="H6360" s="25" t="str">
        <f>IF(J6360&lt;&gt;1,"",IF(I6360="SBJ","CB","?"))</f>
        <v> </v>
      </c>
      <c r="I6360" s="26" t="str">
        <f>IF(OR(E6360="",E6360="!!!",F6360="NEW"),"",INDEX(B6359:B$2,-1+SUMPRODUCT(MAX(ROW(E6359:E$2)*(E6360=E6359:E$2)))))</f>
        <v> </v>
      </c>
      <c r="J6360" s="26" t="str">
        <f>IF(OR(E6360="",E6360="!!!",F6360="NEW"),"",COUNTBLANK(OFFSET(A$1,,,SUMPRODUCT(MAX(ROW(E$2:E6360)*(E6360=E$2:E6360)))))-COUNTBLANK(OFFSET(A$1,,,SUMPRODUCT(MAX(ROW(E$1:E6359)*(E2=E$1:E6359))))))</f>
        <v> </v>
      </c>
      <c r="K6360" s="26" t="str">
        <f>IF(OR(E6360="",E6360="!!!",F6360="NEW"),"",INDEX(J$1:J6359,SUMPRODUCT(MAX(ROW(E$1:E6359)*(E6360=E$1:E6359)))))</f>
        <v> </v>
      </c>
      <c r="L6360" s="27"/>
    </row>
    <row r="6361" spans="1:12">
      <c r="A6361" s="20" t="s">
        <v>1265</v>
      </c>
      <c r="E6361" s="22">
        <f>IF(D6361="?OLD","!!!","")</f>
        <v/>
      </c>
      <c r="F6361" s="23" t="str">
        <f>IF(OR(E6361="",E6361="!!!"),"",IF(NOT(ISNA(VLOOKUP(E6361,E$1:E6360,1,FALSE()))),"OLD",IF(AND(E6361&lt;&gt;"",E6361&lt;&gt;"!!!"),"NEW","")))</f>
        <v> </v>
      </c>
      <c r="G6361" s="24" t="str">
        <f>IF(OR(E6361="",E6361="!!!"),"",IF(OR(J6361=0,AND(J6361=1,K6361=1),AND(J6361=1,I6361="SBJ"),AND(J6361=1,I6361=0)),"?IN_FOCUS",IF(J6361&lt;=2,"?ACTIVATED",IF(J6361&lt;&gt;"","?FAMILIAR",IF(F6361="NEW",IF(ISNA(VLOOKUP(E6361,#REF!,1,FALSE())),"?TYPE_IDENTIFIABLE","?REFERENTIAL"),"_")))))</f>
        <v> </v>
      </c>
      <c r="H6361" s="25" t="str">
        <f>IF(J6361&lt;&gt;1,"",IF(I6361="SBJ","CB","?"))</f>
        <v> </v>
      </c>
      <c r="I6361" s="26" t="str">
        <f>IF(OR(E6361="",E6361="!!!",F6361="NEW"),"",INDEX(B6360:B$2,-1+SUMPRODUCT(MAX(ROW(E6360:E$2)*(E6361=E6360:E$2)))))</f>
        <v> </v>
      </c>
      <c r="J6361" s="26" t="str">
        <f>IF(OR(E6361="",E6361="!!!",F6361="NEW"),"",COUNTBLANK(OFFSET(A$1,,,SUMPRODUCT(MAX(ROW(E$2:E6361)*(E6361=E$2:E6361)))))-COUNTBLANK(OFFSET(A$1,,,SUMPRODUCT(MAX(ROW(E$1:E6360)*(E2=E$1:E6360))))))</f>
        <v> </v>
      </c>
      <c r="K6361" s="26" t="str">
        <f>IF(OR(E6361="",E6361="!!!",F6361="NEW"),"",INDEX(J$1:J6360,SUMPRODUCT(MAX(ROW(E$1:E6360)*(E6361=E$1:E6360)))))</f>
        <v> </v>
      </c>
      <c r="L6361" s="27"/>
    </row>
    <row r="6362" spans="1:12">
      <c r="A6362" s="20" t="s">
        <v>1388</v>
      </c>
      <c r="B6362" s="21" t="s">
        <v>1212</v>
      </c>
      <c r="C6362" s="21" t="s">
        <v>1262</v>
      </c>
      <c r="E6362" s="22">
        <f>IF(D6362="?OLD","!!!","")</f>
        <v/>
      </c>
      <c r="F6362" s="23" t="str">
        <f>IF(OR(E6362="",E6362="!!!"),"",IF(NOT(ISNA(VLOOKUP(E6362,E$1:E6361,1,FALSE()))),"OLD",IF(AND(E6362&lt;&gt;"",E6362&lt;&gt;"!!!"),"NEW","")))</f>
        <v> </v>
      </c>
      <c r="G6362" s="24" t="str">
        <f>IF(OR(E6362="",E6362="!!!"),"",IF(OR(J6362=0,AND(J6362=1,K6362=1),AND(J6362=1,I6362="SBJ"),AND(J6362=1,I6362=0)),"?IN_FOCUS",IF(J6362&lt;=2,"?ACTIVATED",IF(J6362&lt;&gt;"","?FAMILIAR",IF(F6362="NEW",IF(ISNA(VLOOKUP(E6362,#REF!,1,FALSE())),"?TYPE_IDENTIFIABLE","?REFERENTIAL"),"_")))))</f>
        <v> </v>
      </c>
      <c r="H6362" s="25" t="str">
        <f>IF(J6362&lt;&gt;1,"",IF(I6362="SBJ","CB","?"))</f>
        <v> </v>
      </c>
      <c r="I6362" s="26" t="str">
        <f>IF(OR(E6362="",E6362="!!!",F6362="NEW"),"",INDEX(B6361:B$2,-1+SUMPRODUCT(MAX(ROW(E6361:E$2)*(E6362=E6361:E$2)))))</f>
        <v> </v>
      </c>
      <c r="J6362" s="26" t="str">
        <f>IF(OR(E6362="",E6362="!!!",F6362="NEW"),"",COUNTBLANK(OFFSET(A$1,,,SUMPRODUCT(MAX(ROW(E$2:E6362)*(E6362=E$2:E6362)))))-COUNTBLANK(OFFSET(A$1,,,SUMPRODUCT(MAX(ROW(E$1:E6361)*(E2=E$1:E6361))))))</f>
        <v> </v>
      </c>
      <c r="K6362" s="26" t="str">
        <f>IF(OR(E6362="",E6362="!!!",F6362="NEW"),"",INDEX(J$1:J6361,SUMPRODUCT(MAX(ROW(E$1:E6361)*(E6362=E$1:E6361)))))</f>
        <v> </v>
      </c>
      <c r="L6362" s="27"/>
    </row>
    <row r="6363" spans="1:12">
      <c r="A6363" s="20" t="s">
        <v>1193</v>
      </c>
      <c r="E6363" s="22">
        <f>IF(D6363="?OLD","!!!","")</f>
        <v/>
      </c>
      <c r="F6363" s="23" t="str">
        <f>IF(OR(E6363="",E6363="!!!"),"",IF(NOT(ISNA(VLOOKUP(E6363,E$1:E6362,1,FALSE()))),"OLD",IF(AND(E6363&lt;&gt;"",E6363&lt;&gt;"!!!"),"NEW","")))</f>
        <v> </v>
      </c>
      <c r="G6363" s="24" t="str">
        <f>IF(OR(E6363="",E6363="!!!"),"",IF(OR(J6363=0,AND(J6363=1,K6363=1),AND(J6363=1,I6363="SBJ"),AND(J6363=1,I6363=0)),"?IN_FOCUS",IF(J6363&lt;=2,"?ACTIVATED",IF(J6363&lt;&gt;"","?FAMILIAR",IF(F6363="NEW",IF(ISNA(VLOOKUP(E6363,#REF!,1,FALSE())),"?TYPE_IDENTIFIABLE","?REFERENTIAL"),"_")))))</f>
        <v> </v>
      </c>
      <c r="H6363" s="25" t="str">
        <f>IF(J6363&lt;&gt;1,"",IF(I6363="SBJ","CB","?"))</f>
        <v> </v>
      </c>
      <c r="I6363" s="26" t="str">
        <f>IF(OR(E6363="",E6363="!!!",F6363="NEW"),"",INDEX(B6362:B$2,-1+SUMPRODUCT(MAX(ROW(E6362:E$2)*(E6363=E6362:E$2)))))</f>
        <v> </v>
      </c>
      <c r="J6363" s="26" t="str">
        <f>IF(OR(E6363="",E6363="!!!",F6363="NEW"),"",COUNTBLANK(OFFSET(A$1,,,SUMPRODUCT(MAX(ROW(E$2:E6363)*(E6363=E$2:E6363)))))-COUNTBLANK(OFFSET(A$1,,,SUMPRODUCT(MAX(ROW(E$1:E6362)*(E2=E$1:E6362))))))</f>
        <v> </v>
      </c>
      <c r="K6363" s="26" t="str">
        <f>IF(OR(E6363="",E6363="!!!",F6363="NEW"),"",INDEX(J$1:J6362,SUMPRODUCT(MAX(ROW(E$1:E6362)*(E6363=E$1:E6362)))))</f>
        <v> </v>
      </c>
      <c r="L6363" s="27"/>
    </row>
    <row r="6364" spans="1:12">
      <c r="A6364" s="20" t="s">
        <v>1502</v>
      </c>
      <c r="B6364" s="21" t="s">
        <v>1311</v>
      </c>
      <c r="E6364" s="22">
        <f>IF(D6364="?OLD","!!!","")</f>
        <v/>
      </c>
      <c r="F6364" s="23" t="str">
        <f>IF(OR(E6364="",E6364="!!!"),"",IF(NOT(ISNA(VLOOKUP(E6364,E$1:E6363,1,FALSE()))),"OLD",IF(AND(E6364&lt;&gt;"",E6364&lt;&gt;"!!!"),"NEW","")))</f>
        <v> </v>
      </c>
      <c r="G6364" s="24" t="str">
        <f>IF(OR(E6364="",E6364="!!!"),"",IF(OR(J6364=0,AND(J6364=1,K6364=1),AND(J6364=1,I6364="SBJ"),AND(J6364=1,I6364=0)),"?IN_FOCUS",IF(J6364&lt;=2,"?ACTIVATED",IF(J6364&lt;&gt;"","?FAMILIAR",IF(F6364="NEW",IF(ISNA(VLOOKUP(E6364,#REF!,1,FALSE())),"?TYPE_IDENTIFIABLE","?REFERENTIAL"),"_")))))</f>
        <v> </v>
      </c>
      <c r="H6364" s="25" t="str">
        <f>IF(J6364&lt;&gt;1,"",IF(I6364="SBJ","CB","?"))</f>
        <v> </v>
      </c>
      <c r="I6364" s="26" t="str">
        <f>IF(OR(E6364="",E6364="!!!",F6364="NEW"),"",INDEX(B6363:B$2,-1+SUMPRODUCT(MAX(ROW(E6363:E$2)*(E6364=E6363:E$2)))))</f>
        <v> </v>
      </c>
      <c r="J6364" s="26" t="str">
        <f>IF(OR(E6364="",E6364="!!!",F6364="NEW"),"",COUNTBLANK(OFFSET(A$1,,,SUMPRODUCT(MAX(ROW(E$2:E6364)*(E6364=E$2:E6364)))))-COUNTBLANK(OFFSET(A$1,,,SUMPRODUCT(MAX(ROW(E$1:E6363)*(E2=E$1:E6363))))))</f>
        <v> </v>
      </c>
      <c r="K6364" s="26" t="str">
        <f>IF(OR(E6364="",E6364="!!!",F6364="NEW"),"",INDEX(J$1:J6363,SUMPRODUCT(MAX(ROW(E$1:E6363)*(E6364=E$1:E6363)))))</f>
        <v> </v>
      </c>
      <c r="L6364" s="27"/>
    </row>
    <row r="6365" spans="1:12">
      <c r="A6365" s="20" t="s">
        <v>1194</v>
      </c>
      <c r="E6365" s="22">
        <f>IF(D6365="?OLD","!!!","")</f>
        <v/>
      </c>
      <c r="F6365" s="23" t="str">
        <f>IF(OR(E6365="",E6365="!!!"),"",IF(NOT(ISNA(VLOOKUP(E6365,E$1:E6364,1,FALSE()))),"OLD",IF(AND(E6365&lt;&gt;"",E6365&lt;&gt;"!!!"),"NEW","")))</f>
        <v> </v>
      </c>
      <c r="G6365" s="24" t="str">
        <f>IF(OR(E6365="",E6365="!!!"),"",IF(OR(J6365=0,AND(J6365=1,K6365=1),AND(J6365=1,I6365="SBJ"),AND(J6365=1,I6365=0)),"?IN_FOCUS",IF(J6365&lt;=2,"?ACTIVATED",IF(J6365&lt;&gt;"","?FAMILIAR",IF(F6365="NEW",IF(ISNA(VLOOKUP(E6365,#REF!,1,FALSE())),"?TYPE_IDENTIFIABLE","?REFERENTIAL"),"_")))))</f>
        <v> </v>
      </c>
      <c r="H6365" s="25" t="str">
        <f>IF(J6365&lt;&gt;1,"",IF(I6365="SBJ","CB","?"))</f>
        <v> </v>
      </c>
      <c r="I6365" s="26" t="str">
        <f>IF(OR(E6365="",E6365="!!!",F6365="NEW"),"",INDEX(B6364:B$2,-1+SUMPRODUCT(MAX(ROW(E6364:E$2)*(E6365=E6364:E$2)))))</f>
        <v> </v>
      </c>
      <c r="J6365" s="26" t="str">
        <f>IF(OR(E6365="",E6365="!!!",F6365="NEW"),"",COUNTBLANK(OFFSET(A$1,,,SUMPRODUCT(MAX(ROW(E$2:E6365)*(E6365=E$2:E6365)))))-COUNTBLANK(OFFSET(A$1,,,SUMPRODUCT(MAX(ROW(E$1:E6364)*(E2=E$1:E6364))))))</f>
        <v> </v>
      </c>
      <c r="K6365" s="26" t="str">
        <f>IF(OR(E6365="",E6365="!!!",F6365="NEW"),"",INDEX(J$1:J6364,SUMPRODUCT(MAX(ROW(E$1:E6364)*(E6365=E$1:E6364)))))</f>
        <v> </v>
      </c>
      <c r="L6365" s="27"/>
    </row>
    <row r="6366" spans="1:12">
      <c r="A6366" s="20" t="s">
        <v>1456</v>
      </c>
      <c r="B6366" s="21" t="s">
        <v>1313</v>
      </c>
      <c r="C6366" s="21" t="s">
        <v>1196</v>
      </c>
      <c r="D6366" s="21" t="s">
        <v>1188</v>
      </c>
      <c r="E6366" s="22">
        <f>IF(D6366="?OLD","!!!","")</f>
        <v/>
      </c>
      <c r="F6366" s="23" t="str">
        <f>IF(OR(E6366="",E6366="!!!"),"",IF(NOT(ISNA(VLOOKUP(E6366,E$1:E6365,1,FALSE()))),"OLD",IF(AND(E6366&lt;&gt;"",E6366&lt;&gt;"!!!"),"NEW","")))</f>
        <v> </v>
      </c>
      <c r="G6366" s="24" t="str">
        <f>IF(OR(E6366="",E6366="!!!"),"",IF(OR(J6366=0,AND(J6366=1,K6366=1),AND(J6366=1,I6366="SBJ"),AND(J6366=1,I6366=0)),"?IN_FOCUS",IF(J6366&lt;=2,"?ACTIVATED",IF(J6366&lt;&gt;"","?FAMILIAR",IF(F6366="NEW",IF(ISNA(VLOOKUP(E6366,#REF!,1,FALSE())),"?TYPE_IDENTIFIABLE","?REFERENTIAL"),"_")))))</f>
        <v> </v>
      </c>
      <c r="H6366" s="25" t="str">
        <f>IF(J6366&lt;&gt;1,"",IF(I6366="SBJ","CB","?"))</f>
        <v> </v>
      </c>
      <c r="I6366" s="26" t="str">
        <f>IF(OR(E6366="",E6366="!!!",F6366="NEW"),"",INDEX(B6365:B$2,-1+SUMPRODUCT(MAX(ROW(E6365:E$2)*(E6366=E6365:E$2)))))</f>
        <v> </v>
      </c>
      <c r="J6366" s="26" t="str">
        <f>IF(OR(E6366="",E6366="!!!",F6366="NEW"),"",COUNTBLANK(OFFSET(A$1,,,SUMPRODUCT(MAX(ROW(E$2:E6366)*(E6366=E$2:E6366)))))-COUNTBLANK(OFFSET(A$1,,,SUMPRODUCT(MAX(ROW(E$1:E6365)*(E2=E$1:E6365))))))</f>
        <v> </v>
      </c>
      <c r="K6366" s="26" t="str">
        <f>IF(OR(E6366="",E6366="!!!",F6366="NEW"),"",INDEX(J$1:J6365,SUMPRODUCT(MAX(ROW(E$1:E6365)*(E6366=E$1:E6365)))))</f>
        <v> </v>
      </c>
      <c r="L6366" s="27"/>
    </row>
    <row r="6367" spans="1:12">
      <c r="A6367" s="20" t="s">
        <v>219</v>
      </c>
      <c r="E6367" s="22">
        <f>IF(D6367="?OLD","!!!","")</f>
        <v/>
      </c>
      <c r="F6367" s="23" t="str">
        <f>IF(OR(E6367="",E6367="!!!"),"",IF(NOT(ISNA(VLOOKUP(E6367,E$1:E6366,1,FALSE()))),"OLD",IF(AND(E6367&lt;&gt;"",E6367&lt;&gt;"!!!"),"NEW","")))</f>
        <v> </v>
      </c>
      <c r="G6367" s="24" t="str">
        <f>IF(OR(E6367="",E6367="!!!"),"",IF(OR(J6367=0,AND(J6367=1,K6367=1),AND(J6367=1,I6367="SBJ"),AND(J6367=1,I6367=0)),"?IN_FOCUS",IF(J6367&lt;=2,"?ACTIVATED",IF(J6367&lt;&gt;"","?FAMILIAR",IF(F6367="NEW",IF(ISNA(VLOOKUP(E6367,#REF!,1,FALSE())),"?TYPE_IDENTIFIABLE","?REFERENTIAL"),"_")))))</f>
        <v> </v>
      </c>
      <c r="H6367" s="25" t="str">
        <f>IF(J6367&lt;&gt;1,"",IF(I6367="SBJ","CB","?"))</f>
        <v> </v>
      </c>
      <c r="I6367" s="26" t="str">
        <f>IF(OR(E6367="",E6367="!!!",F6367="NEW"),"",INDEX(B6366:B$2,-1+SUMPRODUCT(MAX(ROW(E6366:E$2)*(E6367=E6366:E$2)))))</f>
        <v> </v>
      </c>
      <c r="J6367" s="26" t="str">
        <f>IF(OR(E6367="",E6367="!!!",F6367="NEW"),"",COUNTBLANK(OFFSET(A$1,,,SUMPRODUCT(MAX(ROW(E$2:E6367)*(E6367=E$2:E6367)))))-COUNTBLANK(OFFSET(A$1,,,SUMPRODUCT(MAX(ROW(E$1:E6366)*(E2=E$1:E6366))))))</f>
        <v> </v>
      </c>
      <c r="K6367" s="26" t="str">
        <f>IF(OR(E6367="",E6367="!!!",F6367="NEW"),"",INDEX(J$1:J6366,SUMPRODUCT(MAX(ROW(E$1:E6366)*(E6367=E$1:E6366)))))</f>
        <v> </v>
      </c>
      <c r="L6367" s="27"/>
    </row>
    <row r="6368" spans="1:12">
      <c r="A6368" s="20" t="s">
        <v>1314</v>
      </c>
      <c r="E6368" s="22">
        <f>IF(D6368="?OLD","!!!","")</f>
        <v/>
      </c>
      <c r="F6368" s="23" t="str">
        <f>IF(OR(E6368="",E6368="!!!"),"",IF(NOT(ISNA(VLOOKUP(E6368,E$1:E6367,1,FALSE()))),"OLD",IF(AND(E6368&lt;&gt;"",E6368&lt;&gt;"!!!"),"NEW","")))</f>
        <v> </v>
      </c>
      <c r="G6368" s="24" t="str">
        <f>IF(OR(E6368="",E6368="!!!"),"",IF(OR(J6368=0,AND(J6368=1,K6368=1),AND(J6368=1,I6368="SBJ"),AND(J6368=1,I6368=0)),"?IN_FOCUS",IF(J6368&lt;=2,"?ACTIVATED",IF(J6368&lt;&gt;"","?FAMILIAR",IF(F6368="NEW",IF(ISNA(VLOOKUP(E6368,#REF!,1,FALSE())),"?TYPE_IDENTIFIABLE","?REFERENTIAL"),"_")))))</f>
        <v> </v>
      </c>
      <c r="H6368" s="25" t="str">
        <f>IF(J6368&lt;&gt;1,"",IF(I6368="SBJ","CB","?"))</f>
        <v> </v>
      </c>
      <c r="I6368" s="26" t="str">
        <f>IF(OR(E6368="",E6368="!!!",F6368="NEW"),"",INDEX(B6367:B$2,-1+SUMPRODUCT(MAX(ROW(E6367:E$2)*(E6368=E6367:E$2)))))</f>
        <v> </v>
      </c>
      <c r="J6368" s="26" t="str">
        <f>IF(OR(E6368="",E6368="!!!",F6368="NEW"),"",COUNTBLANK(OFFSET(A$1,,,SUMPRODUCT(MAX(ROW(E$2:E6368)*(E6368=E$2:E6368)))))-COUNTBLANK(OFFSET(A$1,,,SUMPRODUCT(MAX(ROW(E$1:E6367)*(E2=E$1:E6367))))))</f>
        <v> </v>
      </c>
      <c r="K6368" s="26" t="str">
        <f>IF(OR(E6368="",E6368="!!!",F6368="NEW"),"",INDEX(J$1:J6367,SUMPRODUCT(MAX(ROW(E$1:E6367)*(E6368=E$1:E6367)))))</f>
        <v> </v>
      </c>
      <c r="L6368" s="27"/>
    </row>
    <row r="6369" spans="1:12">
      <c r="A6369" s="20" t="s">
        <v>826</v>
      </c>
      <c r="E6369" s="22">
        <f>IF(D6369="?OLD","!!!","")</f>
        <v/>
      </c>
      <c r="F6369" s="23" t="str">
        <f>IF(OR(E6369="",E6369="!!!"),"",IF(NOT(ISNA(VLOOKUP(E6369,E$1:E6368,1,FALSE()))),"OLD",IF(AND(E6369&lt;&gt;"",E6369&lt;&gt;"!!!"),"NEW","")))</f>
        <v> </v>
      </c>
      <c r="G6369" s="24" t="str">
        <f>IF(OR(E6369="",E6369="!!!"),"",IF(OR(J6369=0,AND(J6369=1,K6369=1),AND(J6369=1,I6369="SBJ"),AND(J6369=1,I6369=0)),"?IN_FOCUS",IF(J6369&lt;=2,"?ACTIVATED",IF(J6369&lt;&gt;"","?FAMILIAR",IF(F6369="NEW",IF(ISNA(VLOOKUP(E6369,#REF!,1,FALSE())),"?TYPE_IDENTIFIABLE","?REFERENTIAL"),"_")))))</f>
        <v> </v>
      </c>
      <c r="H6369" s="25" t="str">
        <f>IF(J6369&lt;&gt;1,"",IF(I6369="SBJ","CB","?"))</f>
        <v> </v>
      </c>
      <c r="I6369" s="26" t="str">
        <f>IF(OR(E6369="",E6369="!!!",F6369="NEW"),"",INDEX(B6368:B$2,-1+SUMPRODUCT(MAX(ROW(E6368:E$2)*(E6369=E6368:E$2)))))</f>
        <v> </v>
      </c>
      <c r="J6369" s="26" t="str">
        <f>IF(OR(E6369="",E6369="!!!",F6369="NEW"),"",COUNTBLANK(OFFSET(A$1,,,SUMPRODUCT(MAX(ROW(E$2:E6369)*(E6369=E$2:E6369)))))-COUNTBLANK(OFFSET(A$1,,,SUMPRODUCT(MAX(ROW(E$1:E6368)*(E2=E$1:E6368))))))</f>
        <v> </v>
      </c>
      <c r="K6369" s="26" t="str">
        <f>IF(OR(E6369="",E6369="!!!",F6369="NEW"),"",INDEX(J$1:J6368,SUMPRODUCT(MAX(ROW(E$1:E6368)*(E6369=E$1:E6368)))))</f>
        <v> </v>
      </c>
      <c r="L6369" s="27"/>
    </row>
    <row r="6370" spans="1:12">
      <c r="A6370" s="20"/>
    </row>
    <row r="6371" spans="1:12">
      <c r="A6371" s="20" t="s">
        <v>2903</v>
      </c>
    </row>
    <row r="6372" spans="1:12">
      <c r="A6372" s="20" t="s">
        <v>1316</v>
      </c>
      <c r="E6372" s="22">
        <f>IF(D6372="?OLD","!!!","")</f>
        <v/>
      </c>
      <c r="F6372" s="23" t="str">
        <f>IF(OR(E6372="",E6372="!!!"),"",IF(NOT(ISNA(VLOOKUP(E6372,E$1:E6371,1,FALSE()))),"OLD",IF(AND(E6372&lt;&gt;"",E6372&lt;&gt;"!!!"),"NEW","")))</f>
        <v> </v>
      </c>
      <c r="G6372" s="24" t="str">
        <f>IF(OR(E6372="",E6372="!!!"),"",IF(OR(J6372=0,AND(J6372=1,K6372=1),AND(J6372=1,I6372="SBJ"),AND(J6372=1,I6372=0)),"?IN_FOCUS",IF(J6372&lt;=2,"?ACTIVATED",IF(J6372&lt;&gt;"","?FAMILIAR",IF(F6372="NEW",IF(ISNA(VLOOKUP(E6372,#REF!,1,FALSE())),"?TYPE_IDENTIFIABLE","?REFERENTIAL"),"_")))))</f>
        <v> </v>
      </c>
      <c r="H6372" s="25" t="str">
        <f>IF(J6372&lt;&gt;1,"",IF(I6372="SBJ","CB","?"))</f>
        <v> </v>
      </c>
      <c r="I6372" s="26" t="str">
        <f>IF(OR(E6372="",E6372="!!!",F6372="NEW"),"",INDEX(B6371:B$2,-1+SUMPRODUCT(MAX(ROW(E6371:E$2)*(E6372=E6371:E$2)))))</f>
        <v> </v>
      </c>
      <c r="J6372" s="26" t="str">
        <f>IF(OR(E6372="",E6372="!!!",F6372="NEW"),"",COUNTBLANK(OFFSET(A$1,,,SUMPRODUCT(MAX(ROW(E$2:E6372)*(E6372=E$2:E6372)))))-COUNTBLANK(OFFSET(A$1,,,SUMPRODUCT(MAX(ROW(E$1:E6371)*(E2=E$1:E6371))))))</f>
        <v> </v>
      </c>
      <c r="K6372" s="26" t="str">
        <f>IF(OR(E6372="",E6372="!!!",F6372="NEW"),"",INDEX(J$1:J6371,SUMPRODUCT(MAX(ROW(E$1:E6371)*(E6372=E$1:E6371)))))</f>
        <v> </v>
      </c>
      <c r="L6372" s="27"/>
    </row>
    <row r="6373" spans="1:12">
      <c r="A6373" s="20" t="s">
        <v>1337</v>
      </c>
      <c r="B6373" s="21" t="s">
        <v>1199</v>
      </c>
      <c r="C6373" s="21" t="s">
        <v>1262</v>
      </c>
      <c r="E6373" s="22">
        <f>IF(D6373="?OLD","!!!","")</f>
        <v/>
      </c>
      <c r="F6373" s="23" t="str">
        <f>IF(OR(E6373="",E6373="!!!"),"",IF(NOT(ISNA(VLOOKUP(E6373,E$1:E6372,1,FALSE()))),"OLD",IF(AND(E6373&lt;&gt;"",E6373&lt;&gt;"!!!"),"NEW","")))</f>
        <v> </v>
      </c>
      <c r="G6373" s="24" t="str">
        <f>IF(OR(E6373="",E6373="!!!"),"",IF(OR(J6373=0,AND(J6373=1,K6373=1),AND(J6373=1,I6373="SBJ"),AND(J6373=1,I6373=0)),"?IN_FOCUS",IF(J6373&lt;=2,"?ACTIVATED",IF(J6373&lt;&gt;"","?FAMILIAR",IF(F6373="NEW",IF(ISNA(VLOOKUP(E6373,#REF!,1,FALSE())),"?TYPE_IDENTIFIABLE","?REFERENTIAL"),"_")))))</f>
        <v> </v>
      </c>
      <c r="H6373" s="25" t="str">
        <f>IF(J6373&lt;&gt;1,"",IF(I6373="SBJ","CB","?"))</f>
        <v> </v>
      </c>
      <c r="I6373" s="26" t="str">
        <f>IF(OR(E6373="",E6373="!!!",F6373="NEW"),"",INDEX(B6372:B$2,-1+SUMPRODUCT(MAX(ROW(E6372:E$2)*(E6373=E6372:E$2)))))</f>
        <v> </v>
      </c>
      <c r="J6373" s="26" t="str">
        <f>IF(OR(E6373="",E6373="!!!",F6373="NEW"),"",COUNTBLANK(OFFSET(A$1,,,SUMPRODUCT(MAX(ROW(E$2:E6373)*(E6373=E$2:E6373)))))-COUNTBLANK(OFFSET(A$1,,,SUMPRODUCT(MAX(ROW(E$1:E6372)*(E2=E$1:E6372))))))</f>
        <v> </v>
      </c>
      <c r="K6373" s="26" t="str">
        <f>IF(OR(E6373="",E6373="!!!",F6373="NEW"),"",INDEX(J$1:J6372,SUMPRODUCT(MAX(ROW(E$1:E6372)*(E6373=E$1:E6372)))))</f>
        <v> </v>
      </c>
      <c r="L6373" s="27"/>
    </row>
    <row r="6374" spans="1:12">
      <c r="A6374" s="20" t="s">
        <v>1206</v>
      </c>
      <c r="E6374" s="22">
        <f>IF(D6374="?OLD","!!!","")</f>
        <v/>
      </c>
      <c r="F6374" s="23" t="str">
        <f>IF(OR(E6374="",E6374="!!!"),"",IF(NOT(ISNA(VLOOKUP(E6374,E$1:E6373,1,FALSE()))),"OLD",IF(AND(E6374&lt;&gt;"",E6374&lt;&gt;"!!!"),"NEW","")))</f>
        <v> </v>
      </c>
      <c r="G6374" s="24" t="str">
        <f>IF(OR(E6374="",E6374="!!!"),"",IF(OR(J6374=0,AND(J6374=1,K6374=1),AND(J6374=1,I6374="SBJ"),AND(J6374=1,I6374=0)),"?IN_FOCUS",IF(J6374&lt;=2,"?ACTIVATED",IF(J6374&lt;&gt;"","?FAMILIAR",IF(F6374="NEW",IF(ISNA(VLOOKUP(E6374,#REF!,1,FALSE())),"?TYPE_IDENTIFIABLE","?REFERENTIAL"),"_")))))</f>
        <v> </v>
      </c>
      <c r="H6374" s="25" t="str">
        <f>IF(J6374&lt;&gt;1,"",IF(I6374="SBJ","CB","?"))</f>
        <v> </v>
      </c>
      <c r="I6374" s="26" t="str">
        <f>IF(OR(E6374="",E6374="!!!",F6374="NEW"),"",INDEX(B6373:B$2,-1+SUMPRODUCT(MAX(ROW(E6373:E$2)*(E6374=E6373:E$2)))))</f>
        <v> </v>
      </c>
      <c r="J6374" s="26" t="str">
        <f>IF(OR(E6374="",E6374="!!!",F6374="NEW"),"",COUNTBLANK(OFFSET(A$1,,,SUMPRODUCT(MAX(ROW(E$2:E6374)*(E6374=E$2:E6374)))))-COUNTBLANK(OFFSET(A$1,,,SUMPRODUCT(MAX(ROW(E$1:E6373)*(E2=E$1:E6373))))))</f>
        <v> </v>
      </c>
      <c r="K6374" s="26" t="str">
        <f>IF(OR(E6374="",E6374="!!!",F6374="NEW"),"",INDEX(J$1:J6373,SUMPRODUCT(MAX(ROW(E$1:E6373)*(E6374=E$1:E6373)))))</f>
        <v> </v>
      </c>
      <c r="L6374" s="27"/>
    </row>
    <row r="6375" spans="1:12">
      <c r="A6375" s="20" t="s">
        <v>2904</v>
      </c>
      <c r="E6375" s="22">
        <f>IF(D6375="?OLD","!!!","")</f>
        <v/>
      </c>
      <c r="F6375" s="23" t="str">
        <f>IF(OR(E6375="",E6375="!!!"),"",IF(NOT(ISNA(VLOOKUP(E6375,E$1:E6374,1,FALSE()))),"OLD",IF(AND(E6375&lt;&gt;"",E6375&lt;&gt;"!!!"),"NEW","")))</f>
        <v> </v>
      </c>
      <c r="G6375" s="24" t="str">
        <f>IF(OR(E6375="",E6375="!!!"),"",IF(OR(J6375=0,AND(J6375=1,K6375=1),AND(J6375=1,I6375="SBJ"),AND(J6375=1,I6375=0)),"?IN_FOCUS",IF(J6375&lt;=2,"?ACTIVATED",IF(J6375&lt;&gt;"","?FAMILIAR",IF(F6375="NEW",IF(ISNA(VLOOKUP(E6375,#REF!,1,FALSE())),"?TYPE_IDENTIFIABLE","?REFERENTIAL"),"_")))))</f>
        <v> </v>
      </c>
      <c r="H6375" s="25" t="str">
        <f>IF(J6375&lt;&gt;1,"",IF(I6375="SBJ","CB","?"))</f>
        <v> </v>
      </c>
      <c r="I6375" s="26" t="str">
        <f>IF(OR(E6375="",E6375="!!!",F6375="NEW"),"",INDEX(B6374:B$2,-1+SUMPRODUCT(MAX(ROW(E6374:E$2)*(E6375=E6374:E$2)))))</f>
        <v> </v>
      </c>
      <c r="J6375" s="26" t="str">
        <f>IF(OR(E6375="",E6375="!!!",F6375="NEW"),"",COUNTBLANK(OFFSET(A$1,,,SUMPRODUCT(MAX(ROW(E$2:E6375)*(E6375=E$2:E6375)))))-COUNTBLANK(OFFSET(A$1,,,SUMPRODUCT(MAX(ROW(E$1:E6374)*(E2=E$1:E6374))))))</f>
        <v> </v>
      </c>
      <c r="K6375" s="26" t="str">
        <f>IF(OR(E6375="",E6375="!!!",F6375="NEW"),"",INDEX(J$1:J6374,SUMPRODUCT(MAX(ROW(E$1:E6374)*(E6375=E$1:E6374)))))</f>
        <v> </v>
      </c>
      <c r="L6375" s="27"/>
    </row>
    <row r="6376" spans="1:12">
      <c r="A6376" s="20" t="s">
        <v>2316</v>
      </c>
      <c r="B6376" s="21" t="s">
        <v>1186</v>
      </c>
      <c r="C6376" s="21" t="s">
        <v>1196</v>
      </c>
      <c r="D6376" s="21" t="s">
        <v>1188</v>
      </c>
      <c r="E6376" s="22">
        <f>IF(D6376="?OLD","!!!","")</f>
        <v/>
      </c>
      <c r="F6376" s="23" t="str">
        <f>IF(OR(E6376="",E6376="!!!"),"",IF(NOT(ISNA(VLOOKUP(E6376,E$1:E6375,1,FALSE()))),"OLD",IF(AND(E6376&lt;&gt;"",E6376&lt;&gt;"!!!"),"NEW","")))</f>
        <v> </v>
      </c>
      <c r="G6376" s="24" t="str">
        <f>IF(OR(E6376="",E6376="!!!"),"",IF(OR(J6376=0,AND(J6376=1,K6376=1),AND(J6376=1,I6376="SBJ"),AND(J6376=1,I6376=0)),"?IN_FOCUS",IF(J6376&lt;=2,"?ACTIVATED",IF(J6376&lt;&gt;"","?FAMILIAR",IF(F6376="NEW",IF(ISNA(VLOOKUP(E6376,#REF!,1,FALSE())),"?TYPE_IDENTIFIABLE","?REFERENTIAL"),"_")))))</f>
        <v> </v>
      </c>
      <c r="H6376" s="25" t="str">
        <f>IF(J6376&lt;&gt;1,"",IF(I6376="SBJ","CB","?"))</f>
        <v> </v>
      </c>
      <c r="I6376" s="26" t="str">
        <f>IF(OR(E6376="",E6376="!!!",F6376="NEW"),"",INDEX(B6375:B$2,-1+SUMPRODUCT(MAX(ROW(E6375:E$2)*(E6376=E6375:E$2)))))</f>
        <v> </v>
      </c>
      <c r="J6376" s="26" t="str">
        <f>IF(OR(E6376="",E6376="!!!",F6376="NEW"),"",COUNTBLANK(OFFSET(A$1,,,SUMPRODUCT(MAX(ROW(E$2:E6376)*(E6376=E$2:E6376)))))-COUNTBLANK(OFFSET(A$1,,,SUMPRODUCT(MAX(ROW(E$1:E6375)*(E2=E$1:E6375))))))</f>
        <v> </v>
      </c>
      <c r="K6376" s="26" t="str">
        <f>IF(OR(E6376="",E6376="!!!",F6376="NEW"),"",INDEX(J$1:J6375,SUMPRODUCT(MAX(ROW(E$1:E6375)*(E6376=E$1:E6375)))))</f>
        <v> </v>
      </c>
      <c r="L6376" s="27"/>
    </row>
    <row r="6377" spans="1:12">
      <c r="A6377" s="20" t="s">
        <v>1278</v>
      </c>
      <c r="E6377" s="22">
        <f>IF(D6377="?OLD","!!!","")</f>
        <v/>
      </c>
      <c r="F6377" s="23" t="str">
        <f>IF(OR(E6377="",E6377="!!!"),"",IF(NOT(ISNA(VLOOKUP(E6377,E$1:E6376,1,FALSE()))),"OLD",IF(AND(E6377&lt;&gt;"",E6377&lt;&gt;"!!!"),"NEW","")))</f>
        <v> </v>
      </c>
      <c r="G6377" s="24" t="str">
        <f>IF(OR(E6377="",E6377="!!!"),"",IF(OR(J6377=0,AND(J6377=1,K6377=1),AND(J6377=1,I6377="SBJ"),AND(J6377=1,I6377=0)),"?IN_FOCUS",IF(J6377&lt;=2,"?ACTIVATED",IF(J6377&lt;&gt;"","?FAMILIAR",IF(F6377="NEW",IF(ISNA(VLOOKUP(E6377,#REF!,1,FALSE())),"?TYPE_IDENTIFIABLE","?REFERENTIAL"),"_")))))</f>
        <v> </v>
      </c>
      <c r="H6377" s="25" t="str">
        <f>IF(J6377&lt;&gt;1,"",IF(I6377="SBJ","CB","?"))</f>
        <v> </v>
      </c>
      <c r="I6377" s="26" t="str">
        <f>IF(OR(E6377="",E6377="!!!",F6377="NEW"),"",INDEX(B6376:B$2,-1+SUMPRODUCT(MAX(ROW(E6376:E$2)*(E6377=E6376:E$2)))))</f>
        <v> </v>
      </c>
      <c r="J6377" s="26" t="str">
        <f>IF(OR(E6377="",E6377="!!!",F6377="NEW"),"",COUNTBLANK(OFFSET(A$1,,,SUMPRODUCT(MAX(ROW(E$2:E6377)*(E6377=E$2:E6377)))))-COUNTBLANK(OFFSET(A$1,,,SUMPRODUCT(MAX(ROW(E$1:E6376)*(E2=E$1:E6376))))))</f>
        <v> </v>
      </c>
      <c r="K6377" s="26" t="str">
        <f>IF(OR(E6377="",E6377="!!!",F6377="NEW"),"",INDEX(J$1:J6376,SUMPRODUCT(MAX(ROW(E$1:E6376)*(E6377=E$1:E6376)))))</f>
        <v> </v>
      </c>
      <c r="L6377" s="27"/>
    </row>
    <row r="6378" spans="1:12">
      <c r="A6378" s="20" t="s">
        <v>1194</v>
      </c>
      <c r="E6378" s="22">
        <f>IF(D6378="?OLD","!!!","")</f>
        <v/>
      </c>
      <c r="F6378" s="23" t="str">
        <f>IF(OR(E6378="",E6378="!!!"),"",IF(NOT(ISNA(VLOOKUP(E6378,E$1:E6377,1,FALSE()))),"OLD",IF(AND(E6378&lt;&gt;"",E6378&lt;&gt;"!!!"),"NEW","")))</f>
        <v> </v>
      </c>
      <c r="G6378" s="24" t="str">
        <f>IF(OR(E6378="",E6378="!!!"),"",IF(OR(J6378=0,AND(J6378=1,K6378=1),AND(J6378=1,I6378="SBJ"),AND(J6378=1,I6378=0)),"?IN_FOCUS",IF(J6378&lt;=2,"?ACTIVATED",IF(J6378&lt;&gt;"","?FAMILIAR",IF(F6378="NEW",IF(ISNA(VLOOKUP(E6378,#REF!,1,FALSE())),"?TYPE_IDENTIFIABLE","?REFERENTIAL"),"_")))))</f>
        <v> </v>
      </c>
      <c r="H6378" s="25" t="str">
        <f>IF(J6378&lt;&gt;1,"",IF(I6378="SBJ","CB","?"))</f>
        <v> </v>
      </c>
      <c r="I6378" s="26" t="str">
        <f>IF(OR(E6378="",E6378="!!!",F6378="NEW"),"",INDEX(B6377:B$2,-1+SUMPRODUCT(MAX(ROW(E6377:E$2)*(E6378=E6377:E$2)))))</f>
        <v> </v>
      </c>
      <c r="J6378" s="26" t="str">
        <f>IF(OR(E6378="",E6378="!!!",F6378="NEW"),"",COUNTBLANK(OFFSET(A$1,,,SUMPRODUCT(MAX(ROW(E$2:E6378)*(E6378=E$2:E6378)))))-COUNTBLANK(OFFSET(A$1,,,SUMPRODUCT(MAX(ROW(E$1:E6377)*(E2=E$1:E6377))))))</f>
        <v> </v>
      </c>
      <c r="K6378" s="26" t="str">
        <f>IF(OR(E6378="",E6378="!!!",F6378="NEW"),"",INDEX(J$1:J6377,SUMPRODUCT(MAX(ROW(E$1:E6377)*(E6378=E$1:E6377)))))</f>
        <v> </v>
      </c>
      <c r="L6378" s="27"/>
    </row>
    <row r="6379" spans="1:12">
      <c r="A6379" s="20" t="s">
        <v>1345</v>
      </c>
      <c r="B6379" s="21" t="s">
        <v>1202</v>
      </c>
      <c r="C6379" s="21" t="s">
        <v>1196</v>
      </c>
      <c r="D6379" s="21" t="s">
        <v>1188</v>
      </c>
      <c r="E6379" s="22">
        <f>IF(D6379="?OLD","!!!","")</f>
        <v/>
      </c>
      <c r="F6379" s="23" t="str">
        <f>IF(OR(E6379="",E6379="!!!"),"",IF(NOT(ISNA(VLOOKUP(E6379,E$1:E6378,1,FALSE()))),"OLD",IF(AND(E6379&lt;&gt;"",E6379&lt;&gt;"!!!"),"NEW","")))</f>
        <v> </v>
      </c>
      <c r="G6379" s="24" t="str">
        <f>IF(OR(E6379="",E6379="!!!"),"",IF(OR(J6379=0,AND(J6379=1,K6379=1),AND(J6379=1,I6379="SBJ"),AND(J6379=1,I6379=0)),"?IN_FOCUS",IF(J6379&lt;=2,"?ACTIVATED",IF(J6379&lt;&gt;"","?FAMILIAR",IF(F6379="NEW",IF(ISNA(VLOOKUP(E6379,#REF!,1,FALSE())),"?TYPE_IDENTIFIABLE","?REFERENTIAL"),"_")))))</f>
        <v> </v>
      </c>
      <c r="H6379" s="25" t="str">
        <f>IF(J6379&lt;&gt;1,"",IF(I6379="SBJ","CB","?"))</f>
        <v> </v>
      </c>
      <c r="I6379" s="26" t="str">
        <f>IF(OR(E6379="",E6379="!!!",F6379="NEW"),"",INDEX(B6378:B$2,-1+SUMPRODUCT(MAX(ROW(E6378:E$2)*(E6379=E6378:E$2)))))</f>
        <v> </v>
      </c>
      <c r="J6379" s="26" t="str">
        <f>IF(OR(E6379="",E6379="!!!",F6379="NEW"),"",COUNTBLANK(OFFSET(A$1,,,SUMPRODUCT(MAX(ROW(E$2:E6379)*(E6379=E$2:E6379)))))-COUNTBLANK(OFFSET(A$1,,,SUMPRODUCT(MAX(ROW(E$1:E6378)*(E2=E$1:E6378))))))</f>
        <v> </v>
      </c>
      <c r="K6379" s="26" t="str">
        <f>IF(OR(E6379="",E6379="!!!",F6379="NEW"),"",INDEX(J$1:J6378,SUMPRODUCT(MAX(ROW(E$1:E6378)*(E6379=E$1:E6378)))))</f>
        <v> </v>
      </c>
      <c r="L6379" s="27"/>
    </row>
    <row r="6380" spans="1:12">
      <c r="A6380" s="20" t="s">
        <v>2905</v>
      </c>
      <c r="E6380" s="22">
        <f>IF(D6380="?OLD","!!!","")</f>
        <v/>
      </c>
      <c r="F6380" s="23" t="str">
        <f>IF(OR(E6380="",E6380="!!!"),"",IF(NOT(ISNA(VLOOKUP(E6380,E$1:E6379,1,FALSE()))),"OLD",IF(AND(E6380&lt;&gt;"",E6380&lt;&gt;"!!!"),"NEW","")))</f>
        <v> </v>
      </c>
      <c r="G6380" s="24" t="str">
        <f>IF(OR(E6380="",E6380="!!!"),"",IF(OR(J6380=0,AND(J6380=1,K6380=1),AND(J6380=1,I6380="SBJ"),AND(J6380=1,I6380=0)),"?IN_FOCUS",IF(J6380&lt;=2,"?ACTIVATED",IF(J6380&lt;&gt;"","?FAMILIAR",IF(F6380="NEW",IF(ISNA(VLOOKUP(E6380,#REF!,1,FALSE())),"?TYPE_IDENTIFIABLE","?REFERENTIAL"),"_")))))</f>
        <v> </v>
      </c>
      <c r="H6380" s="25" t="str">
        <f>IF(J6380&lt;&gt;1,"",IF(I6380="SBJ","CB","?"))</f>
        <v> </v>
      </c>
      <c r="I6380" s="26" t="str">
        <f>IF(OR(E6380="",E6380="!!!",F6380="NEW"),"",INDEX(B6379:B$2,-1+SUMPRODUCT(MAX(ROW(E6379:E$2)*(E6380=E6379:E$2)))))</f>
        <v> </v>
      </c>
      <c r="J6380" s="26" t="str">
        <f>IF(OR(E6380="",E6380="!!!",F6380="NEW"),"",COUNTBLANK(OFFSET(A$1,,,SUMPRODUCT(MAX(ROW(E$2:E6380)*(E6380=E$2:E6380)))))-COUNTBLANK(OFFSET(A$1,,,SUMPRODUCT(MAX(ROW(E$1:E6379)*(E2=E$1:E6379))))))</f>
        <v> </v>
      </c>
      <c r="K6380" s="26" t="str">
        <f>IF(OR(E6380="",E6380="!!!",F6380="NEW"),"",INDEX(J$1:J6379,SUMPRODUCT(MAX(ROW(E$1:E6379)*(E6380=E$1:E6379)))))</f>
        <v> </v>
      </c>
      <c r="L6380" s="27"/>
    </row>
    <row r="6381" spans="1:12">
      <c r="A6381" s="20" t="s">
        <v>1193</v>
      </c>
      <c r="E6381" s="22">
        <f>IF(D6381="?OLD","!!!","")</f>
        <v/>
      </c>
      <c r="F6381" s="23" t="str">
        <f>IF(OR(E6381="",E6381="!!!"),"",IF(NOT(ISNA(VLOOKUP(E6381,E$1:E6380,1,FALSE()))),"OLD",IF(AND(E6381&lt;&gt;"",E6381&lt;&gt;"!!!"),"NEW","")))</f>
        <v> </v>
      </c>
      <c r="G6381" s="24" t="str">
        <f>IF(OR(E6381="",E6381="!!!"),"",IF(OR(J6381=0,AND(J6381=1,K6381=1),AND(J6381=1,I6381="SBJ"),AND(J6381=1,I6381=0)),"?IN_FOCUS",IF(J6381&lt;=2,"?ACTIVATED",IF(J6381&lt;&gt;"","?FAMILIAR",IF(F6381="NEW",IF(ISNA(VLOOKUP(E6381,#REF!,1,FALSE())),"?TYPE_IDENTIFIABLE","?REFERENTIAL"),"_")))))</f>
        <v> </v>
      </c>
      <c r="H6381" s="25" t="str">
        <f>IF(J6381&lt;&gt;1,"",IF(I6381="SBJ","CB","?"))</f>
        <v> </v>
      </c>
      <c r="I6381" s="26" t="str">
        <f>IF(OR(E6381="",E6381="!!!",F6381="NEW"),"",INDEX(B6380:B$2,-1+SUMPRODUCT(MAX(ROW(E6380:E$2)*(E6381=E6380:E$2)))))</f>
        <v> </v>
      </c>
      <c r="J6381" s="26" t="str">
        <f>IF(OR(E6381="",E6381="!!!",F6381="NEW"),"",COUNTBLANK(OFFSET(A$1,,,SUMPRODUCT(MAX(ROW(E$2:E6381)*(E6381=E$2:E6381)))))-COUNTBLANK(OFFSET(A$1,,,SUMPRODUCT(MAX(ROW(E$1:E6380)*(E2=E$1:E6380))))))</f>
        <v> </v>
      </c>
      <c r="K6381" s="26" t="str">
        <f>IF(OR(E6381="",E6381="!!!",F6381="NEW"),"",INDEX(J$1:J6380,SUMPRODUCT(MAX(ROW(E$1:E6380)*(E6381=E$1:E6380)))))</f>
        <v> </v>
      </c>
      <c r="L6381" s="27"/>
    </row>
    <row r="6382" spans="1:12">
      <c r="A6382" s="20" t="s">
        <v>1366</v>
      </c>
      <c r="E6382" s="22">
        <f>IF(D6382="?OLD","!!!","")</f>
        <v/>
      </c>
      <c r="F6382" s="23" t="str">
        <f>IF(OR(E6382="",E6382="!!!"),"",IF(NOT(ISNA(VLOOKUP(E6382,E$1:E6381,1,FALSE()))),"OLD",IF(AND(E6382&lt;&gt;"",E6382&lt;&gt;"!!!"),"NEW","")))</f>
        <v> </v>
      </c>
      <c r="G6382" s="24" t="str">
        <f>IF(OR(E6382="",E6382="!!!"),"",IF(OR(J6382=0,AND(J6382=1,K6382=1),AND(J6382=1,I6382="SBJ"),AND(J6382=1,I6382=0)),"?IN_FOCUS",IF(J6382&lt;=2,"?ACTIVATED",IF(J6382&lt;&gt;"","?FAMILIAR",IF(F6382="NEW",IF(ISNA(VLOOKUP(E6382,#REF!,1,FALSE())),"?TYPE_IDENTIFIABLE","?REFERENTIAL"),"_")))))</f>
        <v> </v>
      </c>
      <c r="H6382" s="25" t="str">
        <f>IF(J6382&lt;&gt;1,"",IF(I6382="SBJ","CB","?"))</f>
        <v> </v>
      </c>
      <c r="I6382" s="26" t="str">
        <f>IF(OR(E6382="",E6382="!!!",F6382="NEW"),"",INDEX(B6381:B$2,-1+SUMPRODUCT(MAX(ROW(E6381:E$2)*(E6382=E6381:E$2)))))</f>
        <v> </v>
      </c>
      <c r="J6382" s="26" t="str">
        <f>IF(OR(E6382="",E6382="!!!",F6382="NEW"),"",COUNTBLANK(OFFSET(A$1,,,SUMPRODUCT(MAX(ROW(E$2:E6382)*(E6382=E$2:E6382)))))-COUNTBLANK(OFFSET(A$1,,,SUMPRODUCT(MAX(ROW(E$1:E6381)*(E2=E$1:E6381))))))</f>
        <v> </v>
      </c>
      <c r="K6382" s="26" t="str">
        <f>IF(OR(E6382="",E6382="!!!",F6382="NEW"),"",INDEX(J$1:J6381,SUMPRODUCT(MAX(ROW(E$1:E6381)*(E6382=E$1:E6381)))))</f>
        <v> </v>
      </c>
      <c r="L6382" s="27"/>
    </row>
    <row r="6383" spans="1:12">
      <c r="A6383" s="20" t="s">
        <v>1668</v>
      </c>
      <c r="B6383" s="21" t="s">
        <v>1248</v>
      </c>
      <c r="C6383" s="21" t="s">
        <v>1246</v>
      </c>
      <c r="D6383" s="21" t="s">
        <v>1188</v>
      </c>
      <c r="E6383" s="22">
        <f>IF(D6383="?OLD","!!!","")</f>
        <v/>
      </c>
      <c r="F6383" s="23" t="str">
        <f>IF(OR(E6383="",E6383="!!!"),"",IF(NOT(ISNA(VLOOKUP(E6383,E$1:E6382,1,FALSE()))),"OLD",IF(AND(E6383&lt;&gt;"",E6383&lt;&gt;"!!!"),"NEW","")))</f>
        <v> </v>
      </c>
      <c r="G6383" s="24" t="str">
        <f>IF(OR(E6383="",E6383="!!!"),"",IF(OR(J6383=0,AND(J6383=1,K6383=1),AND(J6383=1,I6383="SBJ"),AND(J6383=1,I6383=0)),"?IN_FOCUS",IF(J6383&lt;=2,"?ACTIVATED",IF(J6383&lt;&gt;"","?FAMILIAR",IF(F6383="NEW",IF(ISNA(VLOOKUP(E6383,#REF!,1,FALSE())),"?TYPE_IDENTIFIABLE","?REFERENTIAL"),"_")))))</f>
        <v> </v>
      </c>
      <c r="H6383" s="25" t="str">
        <f>IF(J6383&lt;&gt;1,"",IF(I6383="SBJ","CB","?"))</f>
        <v> </v>
      </c>
      <c r="I6383" s="26" t="str">
        <f>IF(OR(E6383="",E6383="!!!",F6383="NEW"),"",INDEX(B6382:B$2,-1+SUMPRODUCT(MAX(ROW(E6382:E$2)*(E6383=E6382:E$2)))))</f>
        <v> </v>
      </c>
      <c r="J6383" s="26" t="str">
        <f>IF(OR(E6383="",E6383="!!!",F6383="NEW"),"",COUNTBLANK(OFFSET(A$1,,,SUMPRODUCT(MAX(ROW(E$2:E6383)*(E6383=E$2:E6383)))))-COUNTBLANK(OFFSET(A$1,,,SUMPRODUCT(MAX(ROW(E$1:E6382)*(E2=E$1:E6382))))))</f>
        <v> </v>
      </c>
      <c r="K6383" s="26" t="str">
        <f>IF(OR(E6383="",E6383="!!!",F6383="NEW"),"",INDEX(J$1:J6382,SUMPRODUCT(MAX(ROW(E$1:E6382)*(E6383=E$1:E6382)))))</f>
        <v> </v>
      </c>
      <c r="L6383" s="27"/>
    </row>
    <row r="6384" spans="1:12">
      <c r="A6384" s="20" t="s">
        <v>1494</v>
      </c>
      <c r="E6384" s="22">
        <f>IF(D6384="?OLD","!!!","")</f>
        <v/>
      </c>
      <c r="F6384" s="23" t="str">
        <f>IF(OR(E6384="",E6384="!!!"),"",IF(NOT(ISNA(VLOOKUP(E6384,E$1:E6383,1,FALSE()))),"OLD",IF(AND(E6384&lt;&gt;"",E6384&lt;&gt;"!!!"),"NEW","")))</f>
        <v> </v>
      </c>
      <c r="G6384" s="24" t="str">
        <f>IF(OR(E6384="",E6384="!!!"),"",IF(OR(J6384=0,AND(J6384=1,K6384=1),AND(J6384=1,I6384="SBJ"),AND(J6384=1,I6384=0)),"?IN_FOCUS",IF(J6384&lt;=2,"?ACTIVATED",IF(J6384&lt;&gt;"","?FAMILIAR",IF(F6384="NEW",IF(ISNA(VLOOKUP(E6384,#REF!,1,FALSE())),"?TYPE_IDENTIFIABLE","?REFERENTIAL"),"_")))))</f>
        <v> </v>
      </c>
      <c r="H6384" s="25" t="str">
        <f>IF(J6384&lt;&gt;1,"",IF(I6384="SBJ","CB","?"))</f>
        <v> </v>
      </c>
      <c r="I6384" s="26" t="str">
        <f>IF(OR(E6384="",E6384="!!!",F6384="NEW"),"",INDEX(B6383:B$2,-1+SUMPRODUCT(MAX(ROW(E6383:E$2)*(E6384=E6383:E$2)))))</f>
        <v> </v>
      </c>
      <c r="J6384" s="26" t="str">
        <f>IF(OR(E6384="",E6384="!!!",F6384="NEW"),"",COUNTBLANK(OFFSET(A$1,,,SUMPRODUCT(MAX(ROW(E$2:E6384)*(E6384=E$2:E6384)))))-COUNTBLANK(OFFSET(A$1,,,SUMPRODUCT(MAX(ROW(E$1:E6383)*(E2=E$1:E6383))))))</f>
        <v> </v>
      </c>
      <c r="K6384" s="26" t="str">
        <f>IF(OR(E6384="",E6384="!!!",F6384="NEW"),"",INDEX(J$1:J6383,SUMPRODUCT(MAX(ROW(E$1:E6383)*(E6384=E$1:E6383)))))</f>
        <v> </v>
      </c>
      <c r="L6384" s="27"/>
    </row>
    <row r="6385" spans="1:12">
      <c r="A6385" s="20" t="s">
        <v>1344</v>
      </c>
      <c r="B6385" s="21" t="s">
        <v>1245</v>
      </c>
      <c r="C6385" s="21" t="s">
        <v>1231</v>
      </c>
      <c r="E6385" s="22">
        <f>IF(D6385="?OLD","!!!","")</f>
        <v/>
      </c>
      <c r="F6385" s="23" t="str">
        <f>IF(OR(E6385="",E6385="!!!"),"",IF(NOT(ISNA(VLOOKUP(E6385,E$1:E6384,1,FALSE()))),"OLD",IF(AND(E6385&lt;&gt;"",E6385&lt;&gt;"!!!"),"NEW","")))</f>
        <v> </v>
      </c>
      <c r="G6385" s="24" t="str">
        <f>IF(OR(E6385="",E6385="!!!"),"",IF(OR(J6385=0,AND(J6385=1,K6385=1),AND(J6385=1,I6385="SBJ"),AND(J6385=1,I6385=0)),"?IN_FOCUS",IF(J6385&lt;=2,"?ACTIVATED",IF(J6385&lt;&gt;"","?FAMILIAR",IF(F6385="NEW",IF(ISNA(VLOOKUP(E6385,#REF!,1,FALSE())),"?TYPE_IDENTIFIABLE","?REFERENTIAL"),"_")))))</f>
        <v> </v>
      </c>
      <c r="H6385" s="25" t="str">
        <f>IF(J6385&lt;&gt;1,"",IF(I6385="SBJ","CB","?"))</f>
        <v> </v>
      </c>
      <c r="I6385" s="26" t="str">
        <f>IF(OR(E6385="",E6385="!!!",F6385="NEW"),"",INDEX(B6384:B$2,-1+SUMPRODUCT(MAX(ROW(E6384:E$2)*(E6385=E6384:E$2)))))</f>
        <v> </v>
      </c>
      <c r="J6385" s="26" t="str">
        <f>IF(OR(E6385="",E6385="!!!",F6385="NEW"),"",COUNTBLANK(OFFSET(A$1,,,SUMPRODUCT(MAX(ROW(E$2:E6385)*(E6385=E$2:E6385)))))-COUNTBLANK(OFFSET(A$1,,,SUMPRODUCT(MAX(ROW(E$1:E6384)*(E2=E$1:E6384))))))</f>
        <v> </v>
      </c>
      <c r="K6385" s="26" t="str">
        <f>IF(OR(E6385="",E6385="!!!",F6385="NEW"),"",INDEX(J$1:J6384,SUMPRODUCT(MAX(ROW(E$1:E6384)*(E6385=E$1:E6384)))))</f>
        <v> </v>
      </c>
      <c r="L6385" s="27"/>
    </row>
    <row r="6386" spans="1:12">
      <c r="A6386" s="20" t="s">
        <v>2333</v>
      </c>
      <c r="B6386" s="21" t="s">
        <v>1245</v>
      </c>
      <c r="C6386" s="21" t="s">
        <v>1192</v>
      </c>
      <c r="E6386" s="22">
        <f>IF(D6386="?OLD","!!!","")</f>
        <v/>
      </c>
      <c r="F6386" s="23" t="str">
        <f>IF(OR(E6386="",E6386="!!!"),"",IF(NOT(ISNA(VLOOKUP(E6386,E$1:E6385,1,FALSE()))),"OLD",IF(AND(E6386&lt;&gt;"",E6386&lt;&gt;"!!!"),"NEW","")))</f>
        <v> </v>
      </c>
      <c r="G6386" s="24" t="str">
        <f>IF(OR(E6386="",E6386="!!!"),"",IF(OR(J6386=0,AND(J6386=1,K6386=1),AND(J6386=1,I6386="SBJ"),AND(J6386=1,I6386=0)),"?IN_FOCUS",IF(J6386&lt;=2,"?ACTIVATED",IF(J6386&lt;&gt;"","?FAMILIAR",IF(F6386="NEW",IF(ISNA(VLOOKUP(E6386,#REF!,1,FALSE())),"?TYPE_IDENTIFIABLE","?REFERENTIAL"),"_")))))</f>
        <v> </v>
      </c>
      <c r="H6386" s="25" t="str">
        <f>IF(J6386&lt;&gt;1,"",IF(I6386="SBJ","CB","?"))</f>
        <v> </v>
      </c>
      <c r="I6386" s="26" t="str">
        <f>IF(OR(E6386="",E6386="!!!",F6386="NEW"),"",INDEX(B6385:B$2,-1+SUMPRODUCT(MAX(ROW(E6385:E$2)*(E6386=E6385:E$2)))))</f>
        <v> </v>
      </c>
      <c r="J6386" s="26" t="str">
        <f>IF(OR(E6386="",E6386="!!!",F6386="NEW"),"",COUNTBLANK(OFFSET(A$1,,,SUMPRODUCT(MAX(ROW(E$2:E6386)*(E6386=E$2:E6386)))))-COUNTBLANK(OFFSET(A$1,,,SUMPRODUCT(MAX(ROW(E$1:E6385)*(E2=E$1:E6385))))))</f>
        <v> </v>
      </c>
      <c r="K6386" s="26" t="str">
        <f>IF(OR(E6386="",E6386="!!!",F6386="NEW"),"",INDEX(J$1:J6385,SUMPRODUCT(MAX(ROW(E$1:E6385)*(E6386=E$1:E6385)))))</f>
        <v> </v>
      </c>
      <c r="L6386" s="27"/>
    </row>
    <row r="6387" spans="1:12">
      <c r="A6387" s="20" t="s">
        <v>2906</v>
      </c>
      <c r="E6387" s="22">
        <f>IF(D6387="?OLD","!!!","")</f>
        <v/>
      </c>
      <c r="F6387" s="23" t="str">
        <f>IF(OR(E6387="",E6387="!!!"),"",IF(NOT(ISNA(VLOOKUP(E6387,E$1:E6386,1,FALSE()))),"OLD",IF(AND(E6387&lt;&gt;"",E6387&lt;&gt;"!!!"),"NEW","")))</f>
        <v> </v>
      </c>
      <c r="G6387" s="24" t="str">
        <f>IF(OR(E6387="",E6387="!!!"),"",IF(OR(J6387=0,AND(J6387=1,K6387=1),AND(J6387=1,I6387="SBJ"),AND(J6387=1,I6387=0)),"?IN_FOCUS",IF(J6387&lt;=2,"?ACTIVATED",IF(J6387&lt;&gt;"","?FAMILIAR",IF(F6387="NEW",IF(ISNA(VLOOKUP(E6387,#REF!,1,FALSE())),"?TYPE_IDENTIFIABLE","?REFERENTIAL"),"_")))))</f>
        <v> </v>
      </c>
      <c r="H6387" s="25" t="str">
        <f>IF(J6387&lt;&gt;1,"",IF(I6387="SBJ","CB","?"))</f>
        <v> </v>
      </c>
      <c r="I6387" s="26" t="str">
        <f>IF(OR(E6387="",E6387="!!!",F6387="NEW"),"",INDEX(B6386:B$2,-1+SUMPRODUCT(MAX(ROW(E6386:E$2)*(E6387=E6386:E$2)))))</f>
        <v> </v>
      </c>
      <c r="J6387" s="26" t="str">
        <f>IF(OR(E6387="",E6387="!!!",F6387="NEW"),"",COUNTBLANK(OFFSET(A$1,,,SUMPRODUCT(MAX(ROW(E$2:E6387)*(E6387=E$2:E6387)))))-COUNTBLANK(OFFSET(A$1,,,SUMPRODUCT(MAX(ROW(E$1:E6386)*(E2=E$1:E6386))))))</f>
        <v> </v>
      </c>
      <c r="K6387" s="26" t="str">
        <f>IF(OR(E6387="",E6387="!!!",F6387="NEW"),"",INDEX(J$1:J6386,SUMPRODUCT(MAX(ROW(E$1:E6386)*(E6387=E$1:E6386)))))</f>
        <v> </v>
      </c>
      <c r="L6387" s="27"/>
    </row>
    <row r="6388" spans="1:12">
      <c r="A6388" s="20" t="s">
        <v>1193</v>
      </c>
      <c r="E6388" s="22">
        <f>IF(D6388="?OLD","!!!","")</f>
        <v/>
      </c>
      <c r="F6388" s="23" t="str">
        <f>IF(OR(E6388="",E6388="!!!"),"",IF(NOT(ISNA(VLOOKUP(E6388,E$1:E6387,1,FALSE()))),"OLD",IF(AND(E6388&lt;&gt;"",E6388&lt;&gt;"!!!"),"NEW","")))</f>
        <v> </v>
      </c>
      <c r="G6388" s="24" t="str">
        <f>IF(OR(E6388="",E6388="!!!"),"",IF(OR(J6388=0,AND(J6388=1,K6388=1),AND(J6388=1,I6388="SBJ"),AND(J6388=1,I6388=0)),"?IN_FOCUS",IF(J6388&lt;=2,"?ACTIVATED",IF(J6388&lt;&gt;"","?FAMILIAR",IF(F6388="NEW",IF(ISNA(VLOOKUP(E6388,#REF!,1,FALSE())),"?TYPE_IDENTIFIABLE","?REFERENTIAL"),"_")))))</f>
        <v> </v>
      </c>
      <c r="H6388" s="25" t="str">
        <f>IF(J6388&lt;&gt;1,"",IF(I6388="SBJ","CB","?"))</f>
        <v> </v>
      </c>
      <c r="I6388" s="26" t="str">
        <f>IF(OR(E6388="",E6388="!!!",F6388="NEW"),"",INDEX(B6387:B$2,-1+SUMPRODUCT(MAX(ROW(E6387:E$2)*(E6388=E6387:E$2)))))</f>
        <v> </v>
      </c>
      <c r="J6388" s="26" t="str">
        <f>IF(OR(E6388="",E6388="!!!",F6388="NEW"),"",COUNTBLANK(OFFSET(A$1,,,SUMPRODUCT(MAX(ROW(E$2:E6388)*(E6388=E$2:E6388)))))-COUNTBLANK(OFFSET(A$1,,,SUMPRODUCT(MAX(ROW(E$1:E6387)*(E2=E$1:E6387))))))</f>
        <v> </v>
      </c>
      <c r="K6388" s="26" t="str">
        <f>IF(OR(E6388="",E6388="!!!",F6388="NEW"),"",INDEX(J$1:J6387,SUMPRODUCT(MAX(ROW(E$1:E6387)*(E6388=E$1:E6387)))))</f>
        <v> </v>
      </c>
      <c r="L6388" s="27"/>
    </row>
    <row r="6389" spans="1:12">
      <c r="A6389" s="20" t="s">
        <v>1366</v>
      </c>
      <c r="E6389" s="22">
        <f>IF(D6389="?OLD","!!!","")</f>
        <v/>
      </c>
      <c r="F6389" s="23" t="str">
        <f>IF(OR(E6389="",E6389="!!!"),"",IF(NOT(ISNA(VLOOKUP(E6389,E$1:E6388,1,FALSE()))),"OLD",IF(AND(E6389&lt;&gt;"",E6389&lt;&gt;"!!!"),"NEW","")))</f>
        <v> </v>
      </c>
      <c r="G6389" s="24" t="str">
        <f>IF(OR(E6389="",E6389="!!!"),"",IF(OR(J6389=0,AND(J6389=1,K6389=1),AND(J6389=1,I6389="SBJ"),AND(J6389=1,I6389=0)),"?IN_FOCUS",IF(J6389&lt;=2,"?ACTIVATED",IF(J6389&lt;&gt;"","?FAMILIAR",IF(F6389="NEW",IF(ISNA(VLOOKUP(E6389,#REF!,1,FALSE())),"?TYPE_IDENTIFIABLE","?REFERENTIAL"),"_")))))</f>
        <v> </v>
      </c>
      <c r="H6389" s="25" t="str">
        <f>IF(J6389&lt;&gt;1,"",IF(I6389="SBJ","CB","?"))</f>
        <v> </v>
      </c>
      <c r="I6389" s="26" t="str">
        <f>IF(OR(E6389="",E6389="!!!",F6389="NEW"),"",INDEX(B6388:B$2,-1+SUMPRODUCT(MAX(ROW(E6388:E$2)*(E6389=E6388:E$2)))))</f>
        <v> </v>
      </c>
      <c r="J6389" s="26" t="str">
        <f>IF(OR(E6389="",E6389="!!!",F6389="NEW"),"",COUNTBLANK(OFFSET(A$1,,,SUMPRODUCT(MAX(ROW(E$2:E6389)*(E6389=E$2:E6389)))))-COUNTBLANK(OFFSET(A$1,,,SUMPRODUCT(MAX(ROW(E$1:E6388)*(E2=E$1:E6388))))))</f>
        <v> </v>
      </c>
      <c r="K6389" s="26" t="str">
        <f>IF(OR(E6389="",E6389="!!!",F6389="NEW"),"",INDEX(J$1:J6388,SUMPRODUCT(MAX(ROW(E$1:E6388)*(E6389=E$1:E6388)))))</f>
        <v> </v>
      </c>
      <c r="L6389" s="27"/>
    </row>
    <row r="6390" spans="1:12">
      <c r="A6390" s="20" t="s">
        <v>1668</v>
      </c>
      <c r="B6390" s="21" t="s">
        <v>1248</v>
      </c>
      <c r="C6390" s="21" t="s">
        <v>1246</v>
      </c>
      <c r="D6390" s="21" t="s">
        <v>1188</v>
      </c>
      <c r="E6390" s="22">
        <f>IF(D6390="?OLD","!!!","")</f>
        <v/>
      </c>
      <c r="F6390" s="23" t="str">
        <f>IF(OR(E6390="",E6390="!!!"),"",IF(NOT(ISNA(VLOOKUP(E6390,E$1:E6389,1,FALSE()))),"OLD",IF(AND(E6390&lt;&gt;"",E6390&lt;&gt;"!!!"),"NEW","")))</f>
        <v> </v>
      </c>
      <c r="G6390" s="24" t="str">
        <f>IF(OR(E6390="",E6390="!!!"),"",IF(OR(J6390=0,AND(J6390=1,K6390=1),AND(J6390=1,I6390="SBJ"),AND(J6390=1,I6390=0)),"?IN_FOCUS",IF(J6390&lt;=2,"?ACTIVATED",IF(J6390&lt;&gt;"","?FAMILIAR",IF(F6390="NEW",IF(ISNA(VLOOKUP(E6390,#REF!,1,FALSE())),"?TYPE_IDENTIFIABLE","?REFERENTIAL"),"_")))))</f>
        <v> </v>
      </c>
      <c r="H6390" s="25" t="str">
        <f>IF(J6390&lt;&gt;1,"",IF(I6390="SBJ","CB","?"))</f>
        <v> </v>
      </c>
      <c r="I6390" s="26" t="str">
        <f>IF(OR(E6390="",E6390="!!!",F6390="NEW"),"",INDEX(B6389:B$2,-1+SUMPRODUCT(MAX(ROW(E6389:E$2)*(E6390=E6389:E$2)))))</f>
        <v> </v>
      </c>
      <c r="J6390" s="26" t="str">
        <f>IF(OR(E6390="",E6390="!!!",F6390="NEW"),"",COUNTBLANK(OFFSET(A$1,,,SUMPRODUCT(MAX(ROW(E$2:E6390)*(E6390=E$2:E6390)))))-COUNTBLANK(OFFSET(A$1,,,SUMPRODUCT(MAX(ROW(E$1:E6389)*(E2=E$1:E6389))))))</f>
        <v> </v>
      </c>
      <c r="K6390" s="26" t="str">
        <f>IF(OR(E6390="",E6390="!!!",F6390="NEW"),"",INDEX(J$1:J6389,SUMPRODUCT(MAX(ROW(E$1:E6389)*(E6390=E$1:E6389)))))</f>
        <v> </v>
      </c>
      <c r="L6390" s="27"/>
    </row>
    <row r="6391" spans="1:12">
      <c r="A6391" s="20" t="s">
        <v>1204</v>
      </c>
      <c r="E6391" s="22">
        <f>IF(D6391="?OLD","!!!","")</f>
        <v/>
      </c>
      <c r="F6391" s="23" t="str">
        <f>IF(OR(E6391="",E6391="!!!"),"",IF(NOT(ISNA(VLOOKUP(E6391,E$1:E6390,1,FALSE()))),"OLD",IF(AND(E6391&lt;&gt;"",E6391&lt;&gt;"!!!"),"NEW","")))</f>
        <v> </v>
      </c>
      <c r="G6391" s="24" t="str">
        <f>IF(OR(E6391="",E6391="!!!"),"",IF(OR(J6391=0,AND(J6391=1,K6391=1),AND(J6391=1,I6391="SBJ"),AND(J6391=1,I6391=0)),"?IN_FOCUS",IF(J6391&lt;=2,"?ACTIVATED",IF(J6391&lt;&gt;"","?FAMILIAR",IF(F6391="NEW",IF(ISNA(VLOOKUP(E6391,#REF!,1,FALSE())),"?TYPE_IDENTIFIABLE","?REFERENTIAL"),"_")))))</f>
        <v> </v>
      </c>
      <c r="H6391" s="25" t="str">
        <f>IF(J6391&lt;&gt;1,"",IF(I6391="SBJ","CB","?"))</f>
        <v> </v>
      </c>
      <c r="I6391" s="26" t="str">
        <f>IF(OR(E6391="",E6391="!!!",F6391="NEW"),"",INDEX(B6390:B$2,-1+SUMPRODUCT(MAX(ROW(E6390:E$2)*(E6391=E6390:E$2)))))</f>
        <v> </v>
      </c>
      <c r="J6391" s="26" t="str">
        <f>IF(OR(E6391="",E6391="!!!",F6391="NEW"),"",COUNTBLANK(OFFSET(A$1,,,SUMPRODUCT(MAX(ROW(E$2:E6391)*(E6391=E$2:E6391)))))-COUNTBLANK(OFFSET(A$1,,,SUMPRODUCT(MAX(ROW(E$1:E6390)*(E2=E$1:E6390))))))</f>
        <v> </v>
      </c>
      <c r="K6391" s="26" t="str">
        <f>IF(OR(E6391="",E6391="!!!",F6391="NEW"),"",INDEX(J$1:J6390,SUMPRODUCT(MAX(ROW(E$1:E6390)*(E6391=E$1:E6390)))))</f>
        <v> </v>
      </c>
      <c r="L6391" s="27"/>
    </row>
    <row r="6392" spans="1:12">
      <c r="A6392" s="20" t="s">
        <v>1193</v>
      </c>
      <c r="E6392" s="22">
        <f>IF(D6392="?OLD","!!!","")</f>
        <v/>
      </c>
      <c r="F6392" s="23" t="str">
        <f>IF(OR(E6392="",E6392="!!!"),"",IF(NOT(ISNA(VLOOKUP(E6392,E$1:E6391,1,FALSE()))),"OLD",IF(AND(E6392&lt;&gt;"",E6392&lt;&gt;"!!!"),"NEW","")))</f>
        <v> </v>
      </c>
      <c r="G6392" s="24" t="str">
        <f>IF(OR(E6392="",E6392="!!!"),"",IF(OR(J6392=0,AND(J6392=1,K6392=1),AND(J6392=1,I6392="SBJ"),AND(J6392=1,I6392=0)),"?IN_FOCUS",IF(J6392&lt;=2,"?ACTIVATED",IF(J6392&lt;&gt;"","?FAMILIAR",IF(F6392="NEW",IF(ISNA(VLOOKUP(E6392,#REF!,1,FALSE())),"?TYPE_IDENTIFIABLE","?REFERENTIAL"),"_")))))</f>
        <v> </v>
      </c>
      <c r="H6392" s="25" t="str">
        <f>IF(J6392&lt;&gt;1,"",IF(I6392="SBJ","CB","?"))</f>
        <v> </v>
      </c>
      <c r="I6392" s="26" t="str">
        <f>IF(OR(E6392="",E6392="!!!",F6392="NEW"),"",INDEX(B6391:B$2,-1+SUMPRODUCT(MAX(ROW(E6391:E$2)*(E6392=E6391:E$2)))))</f>
        <v> </v>
      </c>
      <c r="J6392" s="26" t="str">
        <f>IF(OR(E6392="",E6392="!!!",F6392="NEW"),"",COUNTBLANK(OFFSET(A$1,,,SUMPRODUCT(MAX(ROW(E$2:E6392)*(E6392=E$2:E6392)))))-COUNTBLANK(OFFSET(A$1,,,SUMPRODUCT(MAX(ROW(E$1:E6391)*(E2=E$1:E6391))))))</f>
        <v> </v>
      </c>
      <c r="K6392" s="26" t="str">
        <f>IF(OR(E6392="",E6392="!!!",F6392="NEW"),"",INDEX(J$1:J6391,SUMPRODUCT(MAX(ROW(E$1:E6391)*(E6392=E$1:E6391)))))</f>
        <v> </v>
      </c>
      <c r="L6392" s="27"/>
    </row>
    <row r="6393" spans="1:12">
      <c r="A6393" s="20" t="s">
        <v>1366</v>
      </c>
      <c r="E6393" s="22">
        <f>IF(D6393="?OLD","!!!","")</f>
        <v/>
      </c>
      <c r="F6393" s="23" t="str">
        <f>IF(OR(E6393="",E6393="!!!"),"",IF(NOT(ISNA(VLOOKUP(E6393,E$1:E6392,1,FALSE()))),"OLD",IF(AND(E6393&lt;&gt;"",E6393&lt;&gt;"!!!"),"NEW","")))</f>
        <v> </v>
      </c>
      <c r="G6393" s="24" t="str">
        <f>IF(OR(E6393="",E6393="!!!"),"",IF(OR(J6393=0,AND(J6393=1,K6393=1),AND(J6393=1,I6393="SBJ"),AND(J6393=1,I6393=0)),"?IN_FOCUS",IF(J6393&lt;=2,"?ACTIVATED",IF(J6393&lt;&gt;"","?FAMILIAR",IF(F6393="NEW",IF(ISNA(VLOOKUP(E6393,#REF!,1,FALSE())),"?TYPE_IDENTIFIABLE","?REFERENTIAL"),"_")))))</f>
        <v> </v>
      </c>
      <c r="H6393" s="25" t="str">
        <f>IF(J6393&lt;&gt;1,"",IF(I6393="SBJ","CB","?"))</f>
        <v> </v>
      </c>
      <c r="I6393" s="26" t="str">
        <f>IF(OR(E6393="",E6393="!!!",F6393="NEW"),"",INDEX(B6392:B$2,-1+SUMPRODUCT(MAX(ROW(E6392:E$2)*(E6393=E6392:E$2)))))</f>
        <v> </v>
      </c>
      <c r="J6393" s="26" t="str">
        <f>IF(OR(E6393="",E6393="!!!",F6393="NEW"),"",COUNTBLANK(OFFSET(A$1,,,SUMPRODUCT(MAX(ROW(E$2:E6393)*(E6393=E$2:E6393)))))-COUNTBLANK(OFFSET(A$1,,,SUMPRODUCT(MAX(ROW(E$1:E6392)*(E2=E$1:E6392))))))</f>
        <v> </v>
      </c>
      <c r="K6393" s="26" t="str">
        <f>IF(OR(E6393="",E6393="!!!",F6393="NEW"),"",INDEX(J$1:J6392,SUMPRODUCT(MAX(ROW(E$1:E6392)*(E6393=E$1:E6392)))))</f>
        <v> </v>
      </c>
      <c r="L6393" s="27"/>
    </row>
    <row r="6394" spans="1:12">
      <c r="A6394" s="20" t="s">
        <v>1271</v>
      </c>
      <c r="B6394" s="21" t="s">
        <v>1311</v>
      </c>
      <c r="C6394" s="21" t="s">
        <v>1203</v>
      </c>
      <c r="D6394" s="21" t="s">
        <v>1188</v>
      </c>
      <c r="E6394" s="22">
        <f>IF(D6394="?OLD","!!!","")</f>
        <v/>
      </c>
      <c r="F6394" s="23" t="str">
        <f>IF(OR(E6394="",E6394="!!!"),"",IF(NOT(ISNA(VLOOKUP(E6394,E$1:E6393,1,FALSE()))),"OLD",IF(AND(E6394&lt;&gt;"",E6394&lt;&gt;"!!!"),"NEW","")))</f>
        <v> </v>
      </c>
      <c r="G6394" s="24" t="str">
        <f>IF(OR(E6394="",E6394="!!!"),"",IF(OR(J6394=0,AND(J6394=1,K6394=1),AND(J6394=1,I6394="SBJ"),AND(J6394=1,I6394=0)),"?IN_FOCUS",IF(J6394&lt;=2,"?ACTIVATED",IF(J6394&lt;&gt;"","?FAMILIAR",IF(F6394="NEW",IF(ISNA(VLOOKUP(E6394,#REF!,1,FALSE())),"?TYPE_IDENTIFIABLE","?REFERENTIAL"),"_")))))</f>
        <v> </v>
      </c>
      <c r="H6394" s="25" t="str">
        <f>IF(J6394&lt;&gt;1,"",IF(I6394="SBJ","CB","?"))</f>
        <v> </v>
      </c>
      <c r="I6394" s="26" t="str">
        <f>IF(OR(E6394="",E6394="!!!",F6394="NEW"),"",INDEX(B6393:B$2,-1+SUMPRODUCT(MAX(ROW(E6393:E$2)*(E6394=E6393:E$2)))))</f>
        <v> </v>
      </c>
      <c r="J6394" s="26" t="str">
        <f>IF(OR(E6394="",E6394="!!!",F6394="NEW"),"",COUNTBLANK(OFFSET(A$1,,,SUMPRODUCT(MAX(ROW(E$2:E6394)*(E6394=E$2:E6394)))))-COUNTBLANK(OFFSET(A$1,,,SUMPRODUCT(MAX(ROW(E$1:E6393)*(E2=E$1:E6393))))))</f>
        <v> </v>
      </c>
      <c r="K6394" s="26" t="str">
        <f>IF(OR(E6394="",E6394="!!!",F6394="NEW"),"",INDEX(J$1:J6393,SUMPRODUCT(MAX(ROW(E$1:E6393)*(E6394=E$1:E6393)))))</f>
        <v> </v>
      </c>
      <c r="L6394" s="27"/>
    </row>
    <row r="6395" spans="1:12">
      <c r="A6395" s="20" t="s">
        <v>1194</v>
      </c>
      <c r="E6395" s="22">
        <f>IF(D6395="?OLD","!!!","")</f>
        <v/>
      </c>
      <c r="F6395" s="23" t="str">
        <f>IF(OR(E6395="",E6395="!!!"),"",IF(NOT(ISNA(VLOOKUP(E6395,E$1:E6394,1,FALSE()))),"OLD",IF(AND(E6395&lt;&gt;"",E6395&lt;&gt;"!!!"),"NEW","")))</f>
        <v> </v>
      </c>
      <c r="G6395" s="24" t="str">
        <f>IF(OR(E6395="",E6395="!!!"),"",IF(OR(J6395=0,AND(J6395=1,K6395=1),AND(J6395=1,I6395="SBJ"),AND(J6395=1,I6395=0)),"?IN_FOCUS",IF(J6395&lt;=2,"?ACTIVATED",IF(J6395&lt;&gt;"","?FAMILIAR",IF(F6395="NEW",IF(ISNA(VLOOKUP(E6395,#REF!,1,FALSE())),"?TYPE_IDENTIFIABLE","?REFERENTIAL"),"_")))))</f>
        <v> </v>
      </c>
      <c r="H6395" s="25" t="str">
        <f>IF(J6395&lt;&gt;1,"",IF(I6395="SBJ","CB","?"))</f>
        <v> </v>
      </c>
      <c r="I6395" s="26" t="str">
        <f>IF(OR(E6395="",E6395="!!!",F6395="NEW"),"",INDEX(B6394:B$2,-1+SUMPRODUCT(MAX(ROW(E6394:E$2)*(E6395=E6394:E$2)))))</f>
        <v> </v>
      </c>
      <c r="J6395" s="26" t="str">
        <f>IF(OR(E6395="",E6395="!!!",F6395="NEW"),"",COUNTBLANK(OFFSET(A$1,,,SUMPRODUCT(MAX(ROW(E$2:E6395)*(E6395=E$2:E6395)))))-COUNTBLANK(OFFSET(A$1,,,SUMPRODUCT(MAX(ROW(E$1:E6394)*(E2=E$1:E6394))))))</f>
        <v> </v>
      </c>
      <c r="K6395" s="26" t="str">
        <f>IF(OR(E6395="",E6395="!!!",F6395="NEW"),"",INDEX(J$1:J6394,SUMPRODUCT(MAX(ROW(E$1:E6394)*(E6395=E$1:E6394)))))</f>
        <v> </v>
      </c>
      <c r="L6395" s="27"/>
    </row>
    <row r="6396" spans="1:12">
      <c r="A6396" s="20" t="s">
        <v>1417</v>
      </c>
      <c r="B6396" s="21" t="s">
        <v>1313</v>
      </c>
      <c r="C6396" s="21" t="s">
        <v>1196</v>
      </c>
      <c r="D6396" s="21" t="s">
        <v>1188</v>
      </c>
      <c r="E6396" s="22">
        <f>IF(D6396="?OLD","!!!","")</f>
        <v/>
      </c>
      <c r="F6396" s="23" t="str">
        <f>IF(OR(E6396="",E6396="!!!"),"",IF(NOT(ISNA(VLOOKUP(E6396,E$1:E6395,1,FALSE()))),"OLD",IF(AND(E6396&lt;&gt;"",E6396&lt;&gt;"!!!"),"NEW","")))</f>
        <v> </v>
      </c>
      <c r="G6396" s="24" t="str">
        <f>IF(OR(E6396="",E6396="!!!"),"",IF(OR(J6396=0,AND(J6396=1,K6396=1),AND(J6396=1,I6396="SBJ"),AND(J6396=1,I6396=0)),"?IN_FOCUS",IF(J6396&lt;=2,"?ACTIVATED",IF(J6396&lt;&gt;"","?FAMILIAR",IF(F6396="NEW",IF(ISNA(VLOOKUP(E6396,#REF!,1,FALSE())),"?TYPE_IDENTIFIABLE","?REFERENTIAL"),"_")))))</f>
        <v> </v>
      </c>
      <c r="H6396" s="25" t="str">
        <f>IF(J6396&lt;&gt;1,"",IF(I6396="SBJ","CB","?"))</f>
        <v> </v>
      </c>
      <c r="I6396" s="26" t="str">
        <f>IF(OR(E6396="",E6396="!!!",F6396="NEW"),"",INDEX(B6395:B$2,-1+SUMPRODUCT(MAX(ROW(E6395:E$2)*(E6396=E6395:E$2)))))</f>
        <v> </v>
      </c>
      <c r="J6396" s="26" t="str">
        <f>IF(OR(E6396="",E6396="!!!",F6396="NEW"),"",COUNTBLANK(OFFSET(A$1,,,SUMPRODUCT(MAX(ROW(E$2:E6396)*(E6396=E$2:E6396)))))-COUNTBLANK(OFFSET(A$1,,,SUMPRODUCT(MAX(ROW(E$1:E6395)*(E2=E$1:E6395))))))</f>
        <v> </v>
      </c>
      <c r="K6396" s="26" t="str">
        <f>IF(OR(E6396="",E6396="!!!",F6396="NEW"),"",INDEX(J$1:J6395,SUMPRODUCT(MAX(ROW(E$1:E6395)*(E6396=E$1:E6395)))))</f>
        <v> </v>
      </c>
      <c r="L6396" s="27"/>
    </row>
    <row r="6397" spans="1:12">
      <c r="A6397" s="20" t="s">
        <v>1193</v>
      </c>
      <c r="E6397" s="22">
        <f>IF(D6397="?OLD","!!!","")</f>
        <v/>
      </c>
      <c r="F6397" s="23" t="str">
        <f>IF(OR(E6397="",E6397="!!!"),"",IF(NOT(ISNA(VLOOKUP(E6397,E$1:E6396,1,FALSE()))),"OLD",IF(AND(E6397&lt;&gt;"",E6397&lt;&gt;"!!!"),"NEW","")))</f>
        <v> </v>
      </c>
      <c r="G6397" s="24" t="str">
        <f>IF(OR(E6397="",E6397="!!!"),"",IF(OR(J6397=0,AND(J6397=1,K6397=1),AND(J6397=1,I6397="SBJ"),AND(J6397=1,I6397=0)),"?IN_FOCUS",IF(J6397&lt;=2,"?ACTIVATED",IF(J6397&lt;&gt;"","?FAMILIAR",IF(F6397="NEW",IF(ISNA(VLOOKUP(E6397,#REF!,1,FALSE())),"?TYPE_IDENTIFIABLE","?REFERENTIAL"),"_")))))</f>
        <v> </v>
      </c>
      <c r="H6397" s="25" t="str">
        <f>IF(J6397&lt;&gt;1,"",IF(I6397="SBJ","CB","?"))</f>
        <v> </v>
      </c>
      <c r="I6397" s="26" t="str">
        <f>IF(OR(E6397="",E6397="!!!",F6397="NEW"),"",INDEX(B6396:B$2,-1+SUMPRODUCT(MAX(ROW(E6396:E$2)*(E6397=E6396:E$2)))))</f>
        <v> </v>
      </c>
      <c r="J6397" s="26" t="str">
        <f>IF(OR(E6397="",E6397="!!!",F6397="NEW"),"",COUNTBLANK(OFFSET(A$1,,,SUMPRODUCT(MAX(ROW(E$2:E6397)*(E6397=E$2:E6397)))))-COUNTBLANK(OFFSET(A$1,,,SUMPRODUCT(MAX(ROW(E$1:E6396)*(E2=E$1:E6396))))))</f>
        <v> </v>
      </c>
      <c r="K6397" s="26" t="str">
        <f>IF(OR(E6397="",E6397="!!!",F6397="NEW"),"",INDEX(J$1:J6396,SUMPRODUCT(MAX(ROW(E$1:E6396)*(E6397=E$1:E6396)))))</f>
        <v> </v>
      </c>
      <c r="L6397" s="27"/>
    </row>
    <row r="6398" spans="1:12">
      <c r="A6398" s="20" t="s">
        <v>1194</v>
      </c>
      <c r="B6398" s="21" t="s">
        <v>1436</v>
      </c>
      <c r="E6398" s="22">
        <f>IF(D6398="?OLD","!!!","")</f>
        <v/>
      </c>
      <c r="F6398" s="23" t="str">
        <f>IF(OR(E6398="",E6398="!!!"),"",IF(NOT(ISNA(VLOOKUP(E6398,E$1:E6397,1,FALSE()))),"OLD",IF(AND(E6398&lt;&gt;"",E6398&lt;&gt;"!!!"),"NEW","")))</f>
        <v> </v>
      </c>
      <c r="G6398" s="24" t="str">
        <f>IF(OR(E6398="",E6398="!!!"),"",IF(OR(J6398=0,AND(J6398=1,K6398=1),AND(J6398=1,I6398="SBJ"),AND(J6398=1,I6398=0)),"?IN_FOCUS",IF(J6398&lt;=2,"?ACTIVATED",IF(J6398&lt;&gt;"","?FAMILIAR",IF(F6398="NEW",IF(ISNA(VLOOKUP(E6398,#REF!,1,FALSE())),"?TYPE_IDENTIFIABLE","?REFERENTIAL"),"_")))))</f>
        <v> </v>
      </c>
      <c r="H6398" s="25" t="str">
        <f>IF(J6398&lt;&gt;1,"",IF(I6398="SBJ","CB","?"))</f>
        <v> </v>
      </c>
      <c r="I6398" s="26" t="str">
        <f>IF(OR(E6398="",E6398="!!!",F6398="NEW"),"",INDEX(B6397:B$2,-1+SUMPRODUCT(MAX(ROW(E6397:E$2)*(E6398=E6397:E$2)))))</f>
        <v> </v>
      </c>
      <c r="J6398" s="26" t="str">
        <f>IF(OR(E6398="",E6398="!!!",F6398="NEW"),"",COUNTBLANK(OFFSET(A$1,,,SUMPRODUCT(MAX(ROW(E$2:E6398)*(E6398=E$2:E6398)))))-COUNTBLANK(OFFSET(A$1,,,SUMPRODUCT(MAX(ROW(E$1:E6397)*(E2=E$1:E6397))))))</f>
        <v> </v>
      </c>
      <c r="K6398" s="26" t="str">
        <f>IF(OR(E6398="",E6398="!!!",F6398="NEW"),"",INDEX(J$1:J6397,SUMPRODUCT(MAX(ROW(E$1:E6397)*(E6398=E$1:E6397)))))</f>
        <v> </v>
      </c>
      <c r="L6398" s="27"/>
    </row>
    <row r="6399" spans="1:12">
      <c r="A6399" s="20" t="s">
        <v>1300</v>
      </c>
      <c r="E6399" s="22">
        <f>IF(D6399="?OLD","!!!","")</f>
        <v/>
      </c>
      <c r="F6399" s="23" t="str">
        <f>IF(OR(E6399="",E6399="!!!"),"",IF(NOT(ISNA(VLOOKUP(E6399,E$1:E6398,1,FALSE()))),"OLD",IF(AND(E6399&lt;&gt;"",E6399&lt;&gt;"!!!"),"NEW","")))</f>
        <v> </v>
      </c>
      <c r="G6399" s="24" t="str">
        <f>IF(OR(E6399="",E6399="!!!"),"",IF(OR(J6399=0,AND(J6399=1,K6399=1),AND(J6399=1,I6399="SBJ"),AND(J6399=1,I6399=0)),"?IN_FOCUS",IF(J6399&lt;=2,"?ACTIVATED",IF(J6399&lt;&gt;"","?FAMILIAR",IF(F6399="NEW",IF(ISNA(VLOOKUP(E6399,#REF!,1,FALSE())),"?TYPE_IDENTIFIABLE","?REFERENTIAL"),"_")))))</f>
        <v> </v>
      </c>
      <c r="H6399" s="25" t="str">
        <f>IF(J6399&lt;&gt;1,"",IF(I6399="SBJ","CB","?"))</f>
        <v> </v>
      </c>
      <c r="I6399" s="26" t="str">
        <f>IF(OR(E6399="",E6399="!!!",F6399="NEW"),"",INDEX(B6398:B$2,-1+SUMPRODUCT(MAX(ROW(E6398:E$2)*(E6399=E6398:E$2)))))</f>
        <v> </v>
      </c>
      <c r="J6399" s="26" t="str">
        <f>IF(OR(E6399="",E6399="!!!",F6399="NEW"),"",COUNTBLANK(OFFSET(A$1,,,SUMPRODUCT(MAX(ROW(E$2:E6399)*(E6399=E$2:E6399)))))-COUNTBLANK(OFFSET(A$1,,,SUMPRODUCT(MAX(ROW(E$1:E6398)*(E2=E$1:E6398))))))</f>
        <v> </v>
      </c>
      <c r="K6399" s="26" t="str">
        <f>IF(OR(E6399="",E6399="!!!",F6399="NEW"),"",INDEX(J$1:J6398,SUMPRODUCT(MAX(ROW(E$1:E6398)*(E6399=E$1:E6398)))))</f>
        <v> </v>
      </c>
      <c r="L6399" s="27"/>
    </row>
    <row r="6400" spans="1:12">
      <c r="A6400" s="20" t="s">
        <v>1301</v>
      </c>
      <c r="B6400" s="21" t="s">
        <v>1298</v>
      </c>
      <c r="C6400" s="21" t="s">
        <v>1203</v>
      </c>
      <c r="D6400" s="21" t="s">
        <v>1188</v>
      </c>
      <c r="E6400" s="22">
        <f>IF(D6400="?OLD","!!!","")</f>
        <v/>
      </c>
      <c r="F6400" s="23" t="str">
        <f>IF(OR(E6400="",E6400="!!!"),"",IF(NOT(ISNA(VLOOKUP(E6400,E$1:E6399,1,FALSE()))),"OLD",IF(AND(E6400&lt;&gt;"",E6400&lt;&gt;"!!!"),"NEW","")))</f>
        <v> </v>
      </c>
      <c r="G6400" s="24" t="str">
        <f>IF(OR(E6400="",E6400="!!!"),"",IF(OR(J6400=0,AND(J6400=1,K6400=1),AND(J6400=1,I6400="SBJ"),AND(J6400=1,I6400=0)),"?IN_FOCUS",IF(J6400&lt;=2,"?ACTIVATED",IF(J6400&lt;&gt;"","?FAMILIAR",IF(F6400="NEW",IF(ISNA(VLOOKUP(E6400,#REF!,1,FALSE())),"?TYPE_IDENTIFIABLE","?REFERENTIAL"),"_")))))</f>
        <v> </v>
      </c>
      <c r="H6400" s="25" t="str">
        <f>IF(J6400&lt;&gt;1,"",IF(I6400="SBJ","CB","?"))</f>
        <v> </v>
      </c>
      <c r="I6400" s="26" t="str">
        <f>IF(OR(E6400="",E6400="!!!",F6400="NEW"),"",INDEX(B6399:B$2,-1+SUMPRODUCT(MAX(ROW(E6399:E$2)*(E6400=E6399:E$2)))))</f>
        <v> </v>
      </c>
      <c r="J6400" s="26" t="str">
        <f>IF(OR(E6400="",E6400="!!!",F6400="NEW"),"",COUNTBLANK(OFFSET(A$1,,,SUMPRODUCT(MAX(ROW(E$2:E6400)*(E6400=E$2:E6400)))))-COUNTBLANK(OFFSET(A$1,,,SUMPRODUCT(MAX(ROW(E$1:E6399)*(E2=E$1:E6399))))))</f>
        <v> </v>
      </c>
      <c r="K6400" s="26" t="str">
        <f>IF(OR(E6400="",E6400="!!!",F6400="NEW"),"",INDEX(J$1:J6399,SUMPRODUCT(MAX(ROW(E$1:E6399)*(E6400=E$1:E6399)))))</f>
        <v> </v>
      </c>
      <c r="L6400" s="27"/>
    </row>
    <row r="6401" spans="1:12">
      <c r="A6401" s="20" t="s">
        <v>1403</v>
      </c>
      <c r="E6401" s="22">
        <f>IF(D6401="?OLD","!!!","")</f>
        <v/>
      </c>
      <c r="F6401" s="23" t="str">
        <f>IF(OR(E6401="",E6401="!!!"),"",IF(NOT(ISNA(VLOOKUP(E6401,E$1:E6400,1,FALSE()))),"OLD",IF(AND(E6401&lt;&gt;"",E6401&lt;&gt;"!!!"),"NEW","")))</f>
        <v> </v>
      </c>
      <c r="G6401" s="24" t="str">
        <f>IF(OR(E6401="",E6401="!!!"),"",IF(OR(J6401=0,AND(J6401=1,K6401=1),AND(J6401=1,I6401="SBJ"),AND(J6401=1,I6401=0)),"?IN_FOCUS",IF(J6401&lt;=2,"?ACTIVATED",IF(J6401&lt;&gt;"","?FAMILIAR",IF(F6401="NEW",IF(ISNA(VLOOKUP(E6401,#REF!,1,FALSE())),"?TYPE_IDENTIFIABLE","?REFERENTIAL"),"_")))))</f>
        <v> </v>
      </c>
      <c r="H6401" s="25" t="str">
        <f>IF(J6401&lt;&gt;1,"",IF(I6401="SBJ","CB","?"))</f>
        <v> </v>
      </c>
      <c r="I6401" s="26" t="str">
        <f>IF(OR(E6401="",E6401="!!!",F6401="NEW"),"",INDEX(B6400:B$2,-1+SUMPRODUCT(MAX(ROW(E6400:E$2)*(E6401=E6400:E$2)))))</f>
        <v> </v>
      </c>
      <c r="J6401" s="26" t="str">
        <f>IF(OR(E6401="",E6401="!!!",F6401="NEW"),"",COUNTBLANK(OFFSET(A$1,,,SUMPRODUCT(MAX(ROW(E$2:E6401)*(E6401=E$2:E6401)))))-COUNTBLANK(OFFSET(A$1,,,SUMPRODUCT(MAX(ROW(E$1:E6400)*(E2=E$1:E6400))))))</f>
        <v> </v>
      </c>
      <c r="K6401" s="26" t="str">
        <f>IF(OR(E6401="",E6401="!!!",F6401="NEW"),"",INDEX(J$1:J6400,SUMPRODUCT(MAX(ROW(E$1:E6400)*(E6401=E$1:E6400)))))</f>
        <v> </v>
      </c>
      <c r="L6401" s="27"/>
    </row>
    <row r="6402" spans="1:12">
      <c r="A6402" s="20" t="s">
        <v>163</v>
      </c>
      <c r="E6402" s="22">
        <f>IF(D6402="?OLD","!!!","")</f>
        <v/>
      </c>
      <c r="F6402" s="23" t="str">
        <f>IF(OR(E6402="",E6402="!!!"),"",IF(NOT(ISNA(VLOOKUP(E6402,E$1:E6401,1,FALSE()))),"OLD",IF(AND(E6402&lt;&gt;"",E6402&lt;&gt;"!!!"),"NEW","")))</f>
        <v> </v>
      </c>
      <c r="G6402" s="24" t="str">
        <f>IF(OR(E6402="",E6402="!!!"),"",IF(OR(J6402=0,AND(J6402=1,K6402=1),AND(J6402=1,I6402="SBJ"),AND(J6402=1,I6402=0)),"?IN_FOCUS",IF(J6402&lt;=2,"?ACTIVATED",IF(J6402&lt;&gt;"","?FAMILIAR",IF(F6402="NEW",IF(ISNA(VLOOKUP(E6402,#REF!,1,FALSE())),"?TYPE_IDENTIFIABLE","?REFERENTIAL"),"_")))))</f>
        <v> </v>
      </c>
      <c r="H6402" s="25" t="str">
        <f>IF(J6402&lt;&gt;1,"",IF(I6402="SBJ","CB","?"))</f>
        <v> </v>
      </c>
      <c r="I6402" s="26" t="str">
        <f>IF(OR(E6402="",E6402="!!!",F6402="NEW"),"",INDEX(B6401:B$2,-1+SUMPRODUCT(MAX(ROW(E6401:E$2)*(E6402=E6401:E$2)))))</f>
        <v> </v>
      </c>
      <c r="J6402" s="26" t="str">
        <f>IF(OR(E6402="",E6402="!!!",F6402="NEW"),"",COUNTBLANK(OFFSET(A$1,,,SUMPRODUCT(MAX(ROW(E$2:E6402)*(E6402=E$2:E6402)))))-COUNTBLANK(OFFSET(A$1,,,SUMPRODUCT(MAX(ROW(E$1:E6401)*(E2=E$1:E6401))))))</f>
        <v> </v>
      </c>
      <c r="K6402" s="26" t="str">
        <f>IF(OR(E6402="",E6402="!!!",F6402="NEW"),"",INDEX(J$1:J6401,SUMPRODUCT(MAX(ROW(E$1:E6401)*(E6402=E$1:E6401)))))</f>
        <v> </v>
      </c>
      <c r="L6402" s="27"/>
    </row>
    <row r="6403" spans="1:12">
      <c r="A6403" s="20" t="s">
        <v>1193</v>
      </c>
      <c r="E6403" s="22">
        <f>IF(D6403="?OLD","!!!","")</f>
        <v/>
      </c>
      <c r="F6403" s="23" t="str">
        <f>IF(OR(E6403="",E6403="!!!"),"",IF(NOT(ISNA(VLOOKUP(E6403,E$1:E6402,1,FALSE()))),"OLD",IF(AND(E6403&lt;&gt;"",E6403&lt;&gt;"!!!"),"NEW","")))</f>
        <v> </v>
      </c>
      <c r="G6403" s="24" t="str">
        <f>IF(OR(E6403="",E6403="!!!"),"",IF(OR(J6403=0,AND(J6403=1,K6403=1),AND(J6403=1,I6403="SBJ"),AND(J6403=1,I6403=0)),"?IN_FOCUS",IF(J6403&lt;=2,"?ACTIVATED",IF(J6403&lt;&gt;"","?FAMILIAR",IF(F6403="NEW",IF(ISNA(VLOOKUP(E6403,#REF!,1,FALSE())),"?TYPE_IDENTIFIABLE","?REFERENTIAL"),"_")))))</f>
        <v> </v>
      </c>
      <c r="H6403" s="25" t="str">
        <f>IF(J6403&lt;&gt;1,"",IF(I6403="SBJ","CB","?"))</f>
        <v> </v>
      </c>
      <c r="I6403" s="26" t="str">
        <f>IF(OR(E6403="",E6403="!!!",F6403="NEW"),"",INDEX(B6402:B$2,-1+SUMPRODUCT(MAX(ROW(E6402:E$2)*(E6403=E6402:E$2)))))</f>
        <v> </v>
      </c>
      <c r="J6403" s="26" t="str">
        <f>IF(OR(E6403="",E6403="!!!",F6403="NEW"),"",COUNTBLANK(OFFSET(A$1,,,SUMPRODUCT(MAX(ROW(E$2:E6403)*(E6403=E$2:E6403)))))-COUNTBLANK(OFFSET(A$1,,,SUMPRODUCT(MAX(ROW(E$1:E6402)*(E2=E$1:E6402))))))</f>
        <v> </v>
      </c>
      <c r="K6403" s="26" t="str">
        <f>IF(OR(E6403="",E6403="!!!",F6403="NEW"),"",INDEX(J$1:J6402,SUMPRODUCT(MAX(ROW(E$1:E6402)*(E6403=E$1:E6402)))))</f>
        <v> </v>
      </c>
      <c r="L6403" s="27"/>
    </row>
    <row r="6404" spans="1:12">
      <c r="A6404" s="20" t="s">
        <v>2907</v>
      </c>
      <c r="B6404" s="21" t="s">
        <v>1215</v>
      </c>
      <c r="C6404" s="21" t="s">
        <v>1246</v>
      </c>
      <c r="D6404" s="21" t="s">
        <v>1188</v>
      </c>
      <c r="E6404" s="22">
        <f>IF(D6404="?OLD","!!!","")</f>
        <v/>
      </c>
      <c r="F6404" s="23" t="str">
        <f>IF(OR(E6404="",E6404="!!!"),"",IF(NOT(ISNA(VLOOKUP(E6404,E$1:E6403,1,FALSE()))),"OLD",IF(AND(E6404&lt;&gt;"",E6404&lt;&gt;"!!!"),"NEW","")))</f>
        <v> </v>
      </c>
      <c r="G6404" s="24" t="str">
        <f>IF(OR(E6404="",E6404="!!!"),"",IF(OR(J6404=0,AND(J6404=1,K6404=1),AND(J6404=1,I6404="SBJ"),AND(J6404=1,I6404=0)),"?IN_FOCUS",IF(J6404&lt;=2,"?ACTIVATED",IF(J6404&lt;&gt;"","?FAMILIAR",IF(F6404="NEW",IF(ISNA(VLOOKUP(E6404,#REF!,1,FALSE())),"?TYPE_IDENTIFIABLE","?REFERENTIAL"),"_")))))</f>
        <v> </v>
      </c>
      <c r="H6404" s="25" t="str">
        <f>IF(J6404&lt;&gt;1,"",IF(I6404="SBJ","CB","?"))</f>
        <v> </v>
      </c>
      <c r="I6404" s="26" t="str">
        <f>IF(OR(E6404="",E6404="!!!",F6404="NEW"),"",INDEX(B6403:B$2,-1+SUMPRODUCT(MAX(ROW(E6403:E$2)*(E6404=E6403:E$2)))))</f>
        <v> </v>
      </c>
      <c r="J6404" s="26" t="str">
        <f>IF(OR(E6404="",E6404="!!!",F6404="NEW"),"",COUNTBLANK(OFFSET(A$1,,,SUMPRODUCT(MAX(ROW(E$2:E6404)*(E6404=E$2:E6404)))))-COUNTBLANK(OFFSET(A$1,,,SUMPRODUCT(MAX(ROW(E$1:E6403)*(E2=E$1:E6403))))))</f>
        <v> </v>
      </c>
      <c r="K6404" s="26" t="str">
        <f>IF(OR(E6404="",E6404="!!!",F6404="NEW"),"",INDEX(J$1:J6403,SUMPRODUCT(MAX(ROW(E$1:E6403)*(E6404=E$1:E6403)))))</f>
        <v> </v>
      </c>
      <c r="L6404" s="27"/>
    </row>
    <row r="6405" spans="1:12">
      <c r="A6405" s="20" t="s">
        <v>1193</v>
      </c>
      <c r="E6405" s="22">
        <f>IF(D6405="?OLD","!!!","")</f>
        <v/>
      </c>
      <c r="F6405" s="23" t="str">
        <f>IF(OR(E6405="",E6405="!!!"),"",IF(NOT(ISNA(VLOOKUP(E6405,E$1:E6404,1,FALSE()))),"OLD",IF(AND(E6405&lt;&gt;"",E6405&lt;&gt;"!!!"),"NEW","")))</f>
        <v> </v>
      </c>
      <c r="G6405" s="24" t="str">
        <f>IF(OR(E6405="",E6405="!!!"),"",IF(OR(J6405=0,AND(J6405=1,K6405=1),AND(J6405=1,I6405="SBJ"),AND(J6405=1,I6405=0)),"?IN_FOCUS",IF(J6405&lt;=2,"?ACTIVATED",IF(J6405&lt;&gt;"","?FAMILIAR",IF(F6405="NEW",IF(ISNA(VLOOKUP(E6405,#REF!,1,FALSE())),"?TYPE_IDENTIFIABLE","?REFERENTIAL"),"_")))))</f>
        <v> </v>
      </c>
      <c r="H6405" s="25" t="str">
        <f>IF(J6405&lt;&gt;1,"",IF(I6405="SBJ","CB","?"))</f>
        <v> </v>
      </c>
      <c r="I6405" s="26" t="str">
        <f>IF(OR(E6405="",E6405="!!!",F6405="NEW"),"",INDEX(B6404:B$2,-1+SUMPRODUCT(MAX(ROW(E6404:E$2)*(E6405=E6404:E$2)))))</f>
        <v> </v>
      </c>
      <c r="J6405" s="26" t="str">
        <f>IF(OR(E6405="",E6405="!!!",F6405="NEW"),"",COUNTBLANK(OFFSET(A$1,,,SUMPRODUCT(MAX(ROW(E$2:E6405)*(E6405=E$2:E6405)))))-COUNTBLANK(OFFSET(A$1,,,SUMPRODUCT(MAX(ROW(E$1:E6404)*(E2=E$1:E6404))))))</f>
        <v> </v>
      </c>
      <c r="K6405" s="26" t="str">
        <f>IF(OR(E6405="",E6405="!!!",F6405="NEW"),"",INDEX(J$1:J6404,SUMPRODUCT(MAX(ROW(E$1:E6404)*(E6405=E$1:E6404)))))</f>
        <v> </v>
      </c>
      <c r="L6405" s="27"/>
    </row>
    <row r="6406" spans="1:12">
      <c r="A6406" s="20" t="s">
        <v>1307</v>
      </c>
      <c r="E6406" s="22">
        <f>IF(D6406="?OLD","!!!","")</f>
        <v/>
      </c>
      <c r="F6406" s="23" t="str">
        <f>IF(OR(E6406="",E6406="!!!"),"",IF(NOT(ISNA(VLOOKUP(E6406,E$1:E6405,1,FALSE()))),"OLD",IF(AND(E6406&lt;&gt;"",E6406&lt;&gt;"!!!"),"NEW","")))</f>
        <v> </v>
      </c>
      <c r="G6406" s="24" t="str">
        <f>IF(OR(E6406="",E6406="!!!"),"",IF(OR(J6406=0,AND(J6406=1,K6406=1),AND(J6406=1,I6406="SBJ"),AND(J6406=1,I6406=0)),"?IN_FOCUS",IF(J6406&lt;=2,"?ACTIVATED",IF(J6406&lt;&gt;"","?FAMILIAR",IF(F6406="NEW",IF(ISNA(VLOOKUP(E6406,#REF!,1,FALSE())),"?TYPE_IDENTIFIABLE","?REFERENTIAL"),"_")))))</f>
        <v> </v>
      </c>
      <c r="H6406" s="25" t="str">
        <f>IF(J6406&lt;&gt;1,"",IF(I6406="SBJ","CB","?"))</f>
        <v> </v>
      </c>
      <c r="I6406" s="26" t="str">
        <f>IF(OR(E6406="",E6406="!!!",F6406="NEW"),"",INDEX(B6405:B$2,-1+SUMPRODUCT(MAX(ROW(E6405:E$2)*(E6406=E6405:E$2)))))</f>
        <v> </v>
      </c>
      <c r="J6406" s="26" t="str">
        <f>IF(OR(E6406="",E6406="!!!",F6406="NEW"),"",COUNTBLANK(OFFSET(A$1,,,SUMPRODUCT(MAX(ROW(E$2:E6406)*(E6406=E$2:E6406)))))-COUNTBLANK(OFFSET(A$1,,,SUMPRODUCT(MAX(ROW(E$1:E6405)*(E2=E$1:E6405))))))</f>
        <v> </v>
      </c>
      <c r="K6406" s="26" t="str">
        <f>IF(OR(E6406="",E6406="!!!",F6406="NEW"),"",INDEX(J$1:J6405,SUMPRODUCT(MAX(ROW(E$1:E6405)*(E6406=E$1:E6405)))))</f>
        <v> </v>
      </c>
      <c r="L6406" s="27"/>
    </row>
    <row r="6407" spans="1:12">
      <c r="A6407" s="20" t="s">
        <v>1271</v>
      </c>
      <c r="B6407" s="21" t="s">
        <v>1311</v>
      </c>
      <c r="C6407" s="21" t="s">
        <v>1203</v>
      </c>
      <c r="D6407" s="21" t="s">
        <v>1188</v>
      </c>
      <c r="E6407" s="22">
        <f>IF(D6407="?OLD","!!!","")</f>
        <v/>
      </c>
      <c r="F6407" s="23" t="str">
        <f>IF(OR(E6407="",E6407="!!!"),"",IF(NOT(ISNA(VLOOKUP(E6407,E$1:E6406,1,FALSE()))),"OLD",IF(AND(E6407&lt;&gt;"",E6407&lt;&gt;"!!!"),"NEW","")))</f>
        <v> </v>
      </c>
      <c r="G6407" s="24" t="str">
        <f>IF(OR(E6407="",E6407="!!!"),"",IF(OR(J6407=0,AND(J6407=1,K6407=1),AND(J6407=1,I6407="SBJ"),AND(J6407=1,I6407=0)),"?IN_FOCUS",IF(J6407&lt;=2,"?ACTIVATED",IF(J6407&lt;&gt;"","?FAMILIAR",IF(F6407="NEW",IF(ISNA(VLOOKUP(E6407,#REF!,1,FALSE())),"?TYPE_IDENTIFIABLE","?REFERENTIAL"),"_")))))</f>
        <v> </v>
      </c>
      <c r="H6407" s="25" t="str">
        <f>IF(J6407&lt;&gt;1,"",IF(I6407="SBJ","CB","?"))</f>
        <v> </v>
      </c>
      <c r="I6407" s="26" t="str">
        <f>IF(OR(E6407="",E6407="!!!",F6407="NEW"),"",INDEX(B6406:B$2,-1+SUMPRODUCT(MAX(ROW(E6406:E$2)*(E6407=E6406:E$2)))))</f>
        <v> </v>
      </c>
      <c r="J6407" s="26" t="str">
        <f>IF(OR(E6407="",E6407="!!!",F6407="NEW"),"",COUNTBLANK(OFFSET(A$1,,,SUMPRODUCT(MAX(ROW(E$2:E6407)*(E6407=E$2:E6407)))))-COUNTBLANK(OFFSET(A$1,,,SUMPRODUCT(MAX(ROW(E$1:E6406)*(E2=E$1:E6406))))))</f>
        <v> </v>
      </c>
      <c r="K6407" s="26" t="str">
        <f>IF(OR(E6407="",E6407="!!!",F6407="NEW"),"",INDEX(J$1:J6406,SUMPRODUCT(MAX(ROW(E$1:E6406)*(E6407=E$1:E6406)))))</f>
        <v> </v>
      </c>
      <c r="L6407" s="27"/>
    </row>
    <row r="6408" spans="1:12">
      <c r="A6408" s="20" t="s">
        <v>2908</v>
      </c>
      <c r="E6408" s="22">
        <f>IF(D6408="?OLD","!!!","")</f>
        <v/>
      </c>
      <c r="F6408" s="23" t="str">
        <f>IF(OR(E6408="",E6408="!!!"),"",IF(NOT(ISNA(VLOOKUP(E6408,E$1:E6407,1,FALSE()))),"OLD",IF(AND(E6408&lt;&gt;"",E6408&lt;&gt;"!!!"),"NEW","")))</f>
        <v> </v>
      </c>
      <c r="G6408" s="24" t="str">
        <f>IF(OR(E6408="",E6408="!!!"),"",IF(OR(J6408=0,AND(J6408=1,K6408=1),AND(J6408=1,I6408="SBJ"),AND(J6408=1,I6408=0)),"?IN_FOCUS",IF(J6408&lt;=2,"?ACTIVATED",IF(J6408&lt;&gt;"","?FAMILIAR",IF(F6408="NEW",IF(ISNA(VLOOKUP(E6408,#REF!,1,FALSE())),"?TYPE_IDENTIFIABLE","?REFERENTIAL"),"_")))))</f>
        <v> </v>
      </c>
      <c r="H6408" s="25" t="str">
        <f>IF(J6408&lt;&gt;1,"",IF(I6408="SBJ","CB","?"))</f>
        <v> </v>
      </c>
      <c r="I6408" s="26" t="str">
        <f>IF(OR(E6408="",E6408="!!!",F6408="NEW"),"",INDEX(B6407:B$2,-1+SUMPRODUCT(MAX(ROW(E6407:E$2)*(E6408=E6407:E$2)))))</f>
        <v> </v>
      </c>
      <c r="J6408" s="26" t="str">
        <f>IF(OR(E6408="",E6408="!!!",F6408="NEW"),"",COUNTBLANK(OFFSET(A$1,,,SUMPRODUCT(MAX(ROW(E$2:E6408)*(E6408=E$2:E6408)))))-COUNTBLANK(OFFSET(A$1,,,SUMPRODUCT(MAX(ROW(E$1:E6407)*(E2=E$1:E6407))))))</f>
        <v> </v>
      </c>
      <c r="K6408" s="26" t="str">
        <f>IF(OR(E6408="",E6408="!!!",F6408="NEW"),"",INDEX(J$1:J6407,SUMPRODUCT(MAX(ROW(E$1:E6407)*(E6408=E$1:E6407)))))</f>
        <v> </v>
      </c>
      <c r="L6408" s="27"/>
    </row>
    <row r="6409" spans="1:12">
      <c r="A6409" s="20" t="s">
        <v>1260</v>
      </c>
      <c r="E6409" s="22">
        <f>IF(D6409="?OLD","!!!","")</f>
        <v/>
      </c>
      <c r="F6409" s="23" t="str">
        <f>IF(OR(E6409="",E6409="!!!"),"",IF(NOT(ISNA(VLOOKUP(E6409,E$1:E6408,1,FALSE()))),"OLD",IF(AND(E6409&lt;&gt;"",E6409&lt;&gt;"!!!"),"NEW","")))</f>
        <v> </v>
      </c>
      <c r="G6409" s="24" t="str">
        <f>IF(OR(E6409="",E6409="!!!"),"",IF(OR(J6409=0,AND(J6409=1,K6409=1),AND(J6409=1,I6409="SBJ"),AND(J6409=1,I6409=0)),"?IN_FOCUS",IF(J6409&lt;=2,"?ACTIVATED",IF(J6409&lt;&gt;"","?FAMILIAR",IF(F6409="NEW",IF(ISNA(VLOOKUP(E6409,#REF!,1,FALSE())),"?TYPE_IDENTIFIABLE","?REFERENTIAL"),"_")))))</f>
        <v> </v>
      </c>
      <c r="H6409" s="25" t="str">
        <f>IF(J6409&lt;&gt;1,"",IF(I6409="SBJ","CB","?"))</f>
        <v> </v>
      </c>
      <c r="I6409" s="26" t="str">
        <f>IF(OR(E6409="",E6409="!!!",F6409="NEW"),"",INDEX(B6408:B$2,-1+SUMPRODUCT(MAX(ROW(E6408:E$2)*(E6409=E6408:E$2)))))</f>
        <v> </v>
      </c>
      <c r="J6409" s="26" t="str">
        <f>IF(OR(E6409="",E6409="!!!",F6409="NEW"),"",COUNTBLANK(OFFSET(A$1,,,SUMPRODUCT(MAX(ROW(E$2:E6409)*(E6409=E$2:E6409)))))-COUNTBLANK(OFFSET(A$1,,,SUMPRODUCT(MAX(ROW(E$1:E6408)*(E2=E$1:E6408))))))</f>
        <v> </v>
      </c>
      <c r="K6409" s="26" t="str">
        <f>IF(OR(E6409="",E6409="!!!",F6409="NEW"),"",INDEX(J$1:J6408,SUMPRODUCT(MAX(ROW(E$1:E6408)*(E6409=E$1:E6408)))))</f>
        <v> </v>
      </c>
      <c r="L6409" s="27"/>
    </row>
    <row r="6410" spans="1:12">
      <c r="A6410" s="20" t="s">
        <v>826</v>
      </c>
      <c r="E6410" s="22">
        <f>IF(D6410="?OLD","!!!","")</f>
        <v/>
      </c>
      <c r="F6410" s="23" t="str">
        <f>IF(OR(E6410="",E6410="!!!"),"",IF(NOT(ISNA(VLOOKUP(E6410,E$1:E6409,1,FALSE()))),"OLD",IF(AND(E6410&lt;&gt;"",E6410&lt;&gt;"!!!"),"NEW","")))</f>
        <v> </v>
      </c>
      <c r="G6410" s="24" t="str">
        <f>IF(OR(E6410="",E6410="!!!"),"",IF(OR(J6410=0,AND(J6410=1,K6410=1),AND(J6410=1,I6410="SBJ"),AND(J6410=1,I6410=0)),"?IN_FOCUS",IF(J6410&lt;=2,"?ACTIVATED",IF(J6410&lt;&gt;"","?FAMILIAR",IF(F6410="NEW",IF(ISNA(VLOOKUP(E6410,#REF!,1,FALSE())),"?TYPE_IDENTIFIABLE","?REFERENTIAL"),"_")))))</f>
        <v> </v>
      </c>
      <c r="H6410" s="25" t="str">
        <f>IF(J6410&lt;&gt;1,"",IF(I6410="SBJ","CB","?"))</f>
        <v> </v>
      </c>
      <c r="I6410" s="26" t="str">
        <f>IF(OR(E6410="",E6410="!!!",F6410="NEW"),"",INDEX(B6409:B$2,-1+SUMPRODUCT(MAX(ROW(E6409:E$2)*(E6410=E6409:E$2)))))</f>
        <v> </v>
      </c>
      <c r="J6410" s="26" t="str">
        <f>IF(OR(E6410="",E6410="!!!",F6410="NEW"),"",COUNTBLANK(OFFSET(A$1,,,SUMPRODUCT(MAX(ROW(E$2:E6410)*(E6410=E$2:E6410)))))-COUNTBLANK(OFFSET(A$1,,,SUMPRODUCT(MAX(ROW(E$1:E6409)*(E2=E$1:E6409))))))</f>
        <v> </v>
      </c>
      <c r="K6410" s="26" t="str">
        <f>IF(OR(E6410="",E6410="!!!",F6410="NEW"),"",INDEX(J$1:J6409,SUMPRODUCT(MAX(ROW(E$1:E6409)*(E6410=E$1:E6409)))))</f>
        <v> </v>
      </c>
      <c r="L6410" s="27"/>
    </row>
    <row r="6411" spans="1:12">
      <c r="A6411" s="20"/>
    </row>
    <row r="6412" spans="1:12">
      <c r="A6412" s="20" t="s">
        <v>2909</v>
      </c>
    </row>
    <row r="6413" spans="1:12">
      <c r="A6413" s="20" t="s">
        <v>1201</v>
      </c>
      <c r="B6413" s="21" t="s">
        <v>1202</v>
      </c>
      <c r="C6413" s="21" t="s">
        <v>1203</v>
      </c>
      <c r="D6413" s="21" t="s">
        <v>1188</v>
      </c>
      <c r="E6413" s="22">
        <f>IF(D6413="?OLD","!!!","")</f>
        <v/>
      </c>
      <c r="F6413" s="23" t="str">
        <f>IF(OR(E6413="",E6413="!!!"),"",IF(NOT(ISNA(VLOOKUP(E6413,E$1:E6412,1,FALSE()))),"OLD",IF(AND(E6413&lt;&gt;"",E6413&lt;&gt;"!!!"),"NEW","")))</f>
        <v> </v>
      </c>
      <c r="G6413" s="24" t="str">
        <f>IF(OR(E6413="",E6413="!!!"),"",IF(OR(J6413=0,AND(J6413=1,K6413=1),AND(J6413=1,I6413="SBJ"),AND(J6413=1,I6413=0)),"?IN_FOCUS",IF(J6413&lt;=2,"?ACTIVATED",IF(J6413&lt;&gt;"","?FAMILIAR",IF(F6413="NEW",IF(ISNA(VLOOKUP(E6413,#REF!,1,FALSE())),"?TYPE_IDENTIFIABLE","?REFERENTIAL"),"_")))))</f>
        <v> </v>
      </c>
      <c r="H6413" s="25" t="str">
        <f>IF(J6413&lt;&gt;1,"",IF(I6413="SBJ","CB","?"))</f>
        <v> </v>
      </c>
      <c r="I6413" s="26" t="str">
        <f>IF(OR(E6413="",E6413="!!!",F6413="NEW"),"",INDEX(B6412:B$2,-1+SUMPRODUCT(MAX(ROW(E6412:E$2)*(E6413=E6412:E$2)))))</f>
        <v> </v>
      </c>
      <c r="J6413" s="26" t="str">
        <f>IF(OR(E6413="",E6413="!!!",F6413="NEW"),"",COUNTBLANK(OFFSET(A$1,,,SUMPRODUCT(MAX(ROW(E$2:E6413)*(E6413=E$2:E6413)))))-COUNTBLANK(OFFSET(A$1,,,SUMPRODUCT(MAX(ROW(E$1:E6412)*(E2=E$1:E6412))))))</f>
        <v> </v>
      </c>
      <c r="K6413" s="26" t="str">
        <f>IF(OR(E6413="",E6413="!!!",F6413="NEW"),"",INDEX(J$1:J6412,SUMPRODUCT(MAX(ROW(E$1:E6412)*(E6413=E$1:E6412)))))</f>
        <v> </v>
      </c>
      <c r="L6413" s="27"/>
    </row>
    <row r="6414" spans="1:12">
      <c r="A6414" s="20" t="s">
        <v>1204</v>
      </c>
      <c r="E6414" s="22">
        <f>IF(D6414="?OLD","!!!","")</f>
        <v/>
      </c>
      <c r="F6414" s="23" t="str">
        <f>IF(OR(E6414="",E6414="!!!"),"",IF(NOT(ISNA(VLOOKUP(E6414,E$1:E6413,1,FALSE()))),"OLD",IF(AND(E6414&lt;&gt;"",E6414&lt;&gt;"!!!"),"NEW","")))</f>
        <v> </v>
      </c>
      <c r="G6414" s="24" t="str">
        <f>IF(OR(E6414="",E6414="!!!"),"",IF(OR(J6414=0,AND(J6414=1,K6414=1),AND(J6414=1,I6414="SBJ"),AND(J6414=1,I6414=0)),"?IN_FOCUS",IF(J6414&lt;=2,"?ACTIVATED",IF(J6414&lt;&gt;"","?FAMILIAR",IF(F6414="NEW",IF(ISNA(VLOOKUP(E6414,#REF!,1,FALSE())),"?TYPE_IDENTIFIABLE","?REFERENTIAL"),"_")))))</f>
        <v> </v>
      </c>
      <c r="H6414" s="25" t="str">
        <f>IF(J6414&lt;&gt;1,"",IF(I6414="SBJ","CB","?"))</f>
        <v> </v>
      </c>
      <c r="I6414" s="26" t="str">
        <f>IF(OR(E6414="",E6414="!!!",F6414="NEW"),"",INDEX(B6413:B$2,-1+SUMPRODUCT(MAX(ROW(E6413:E$2)*(E6414=E6413:E$2)))))</f>
        <v> </v>
      </c>
      <c r="J6414" s="26" t="str">
        <f>IF(OR(E6414="",E6414="!!!",F6414="NEW"),"",COUNTBLANK(OFFSET(A$1,,,SUMPRODUCT(MAX(ROW(E$2:E6414)*(E6414=E$2:E6414)))))-COUNTBLANK(OFFSET(A$1,,,SUMPRODUCT(MAX(ROW(E$1:E6413)*(E2=E$1:E6413))))))</f>
        <v> </v>
      </c>
      <c r="K6414" s="26" t="str">
        <f>IF(OR(E6414="",E6414="!!!",F6414="NEW"),"",INDEX(J$1:J6413,SUMPRODUCT(MAX(ROW(E$1:E6413)*(E6414=E$1:E6413)))))</f>
        <v> </v>
      </c>
      <c r="L6414" s="27"/>
    </row>
    <row r="6415" spans="1:12">
      <c r="A6415" s="20" t="s">
        <v>1914</v>
      </c>
      <c r="E6415" s="22">
        <f>IF(D6415="?OLD","!!!","")</f>
        <v/>
      </c>
      <c r="F6415" s="23" t="str">
        <f>IF(OR(E6415="",E6415="!!!"),"",IF(NOT(ISNA(VLOOKUP(E6415,E$1:E6414,1,FALSE()))),"OLD",IF(AND(E6415&lt;&gt;"",E6415&lt;&gt;"!!!"),"NEW","")))</f>
        <v> </v>
      </c>
      <c r="G6415" s="24" t="str">
        <f>IF(OR(E6415="",E6415="!!!"),"",IF(OR(J6415=0,AND(J6415=1,K6415=1),AND(J6415=1,I6415="SBJ"),AND(J6415=1,I6415=0)),"?IN_FOCUS",IF(J6415&lt;=2,"?ACTIVATED",IF(J6415&lt;&gt;"","?FAMILIAR",IF(F6415="NEW",IF(ISNA(VLOOKUP(E6415,#REF!,1,FALSE())),"?TYPE_IDENTIFIABLE","?REFERENTIAL"),"_")))))</f>
        <v> </v>
      </c>
      <c r="H6415" s="25" t="str">
        <f>IF(J6415&lt;&gt;1,"",IF(I6415="SBJ","CB","?"))</f>
        <v> </v>
      </c>
      <c r="I6415" s="26" t="str">
        <f>IF(OR(E6415="",E6415="!!!",F6415="NEW"),"",INDEX(B6414:B$2,-1+SUMPRODUCT(MAX(ROW(E6414:E$2)*(E6415=E6414:E$2)))))</f>
        <v> </v>
      </c>
      <c r="J6415" s="26" t="str">
        <f>IF(OR(E6415="",E6415="!!!",F6415="NEW"),"",COUNTBLANK(OFFSET(A$1,,,SUMPRODUCT(MAX(ROW(E$2:E6415)*(E6415=E$2:E6415)))))-COUNTBLANK(OFFSET(A$1,,,SUMPRODUCT(MAX(ROW(E$1:E6414)*(E2=E$1:E6414))))))</f>
        <v> </v>
      </c>
      <c r="K6415" s="26" t="str">
        <f>IF(OR(E6415="",E6415="!!!",F6415="NEW"),"",INDEX(J$1:J6414,SUMPRODUCT(MAX(ROW(E$1:E6414)*(E6415=E$1:E6414)))))</f>
        <v> </v>
      </c>
      <c r="L6415" s="27"/>
    </row>
    <row r="6416" spans="1:12">
      <c r="A6416" s="20" t="s">
        <v>2910</v>
      </c>
      <c r="E6416" s="22">
        <f>IF(D6416="?OLD","!!!","")</f>
        <v/>
      </c>
      <c r="F6416" s="23" t="str">
        <f>IF(OR(E6416="",E6416="!!!"),"",IF(NOT(ISNA(VLOOKUP(E6416,E$1:E6415,1,FALSE()))),"OLD",IF(AND(E6416&lt;&gt;"",E6416&lt;&gt;"!!!"),"NEW","")))</f>
        <v> </v>
      </c>
      <c r="G6416" s="24" t="str">
        <f>IF(OR(E6416="",E6416="!!!"),"",IF(OR(J6416=0,AND(J6416=1,K6416=1),AND(J6416=1,I6416="SBJ"),AND(J6416=1,I6416=0)),"?IN_FOCUS",IF(J6416&lt;=2,"?ACTIVATED",IF(J6416&lt;&gt;"","?FAMILIAR",IF(F6416="NEW",IF(ISNA(VLOOKUP(E6416,#REF!,1,FALSE())),"?TYPE_IDENTIFIABLE","?REFERENTIAL"),"_")))))</f>
        <v> </v>
      </c>
      <c r="H6416" s="25" t="str">
        <f>IF(J6416&lt;&gt;1,"",IF(I6416="SBJ","CB","?"))</f>
        <v> </v>
      </c>
      <c r="I6416" s="26" t="str">
        <f>IF(OR(E6416="",E6416="!!!",F6416="NEW"),"",INDEX(B6415:B$2,-1+SUMPRODUCT(MAX(ROW(E6415:E$2)*(E6416=E6415:E$2)))))</f>
        <v> </v>
      </c>
      <c r="J6416" s="26" t="str">
        <f>IF(OR(E6416="",E6416="!!!",F6416="NEW"),"",COUNTBLANK(OFFSET(A$1,,,SUMPRODUCT(MAX(ROW(E$2:E6416)*(E6416=E$2:E6416)))))-COUNTBLANK(OFFSET(A$1,,,SUMPRODUCT(MAX(ROW(E$1:E6415)*(E2=E$1:E6415))))))</f>
        <v> </v>
      </c>
      <c r="K6416" s="26" t="str">
        <f>IF(OR(E6416="",E6416="!!!",F6416="NEW"),"",INDEX(J$1:J6415,SUMPRODUCT(MAX(ROW(E$1:E6415)*(E6416=E$1:E6415)))))</f>
        <v> </v>
      </c>
      <c r="L6416" s="27"/>
    </row>
    <row r="6417" spans="1:12">
      <c r="A6417" s="20" t="s">
        <v>292</v>
      </c>
      <c r="E6417" s="22">
        <f>IF(D6417="?OLD","!!!","")</f>
        <v/>
      </c>
      <c r="F6417" s="23" t="str">
        <f>IF(OR(E6417="",E6417="!!!"),"",IF(NOT(ISNA(VLOOKUP(E6417,E$1:E6416,1,FALSE()))),"OLD",IF(AND(E6417&lt;&gt;"",E6417&lt;&gt;"!!!"),"NEW","")))</f>
        <v> </v>
      </c>
      <c r="G6417" s="24" t="str">
        <f>IF(OR(E6417="",E6417="!!!"),"",IF(OR(J6417=0,AND(J6417=1,K6417=1),AND(J6417=1,I6417="SBJ"),AND(J6417=1,I6417=0)),"?IN_FOCUS",IF(J6417&lt;=2,"?ACTIVATED",IF(J6417&lt;&gt;"","?FAMILIAR",IF(F6417="NEW",IF(ISNA(VLOOKUP(E6417,#REF!,1,FALSE())),"?TYPE_IDENTIFIABLE","?REFERENTIAL"),"_")))))</f>
        <v> </v>
      </c>
      <c r="H6417" s="25" t="str">
        <f>IF(J6417&lt;&gt;1,"",IF(I6417="SBJ","CB","?"))</f>
        <v> </v>
      </c>
      <c r="I6417" s="26" t="str">
        <f>IF(OR(E6417="",E6417="!!!",F6417="NEW"),"",INDEX(B6416:B$2,-1+SUMPRODUCT(MAX(ROW(E6416:E$2)*(E6417=E6416:E$2)))))</f>
        <v> </v>
      </c>
      <c r="J6417" s="26" t="str">
        <f>IF(OR(E6417="",E6417="!!!",F6417="NEW"),"",COUNTBLANK(OFFSET(A$1,,,SUMPRODUCT(MAX(ROW(E$2:E6417)*(E6417=E$2:E6417)))))-COUNTBLANK(OFFSET(A$1,,,SUMPRODUCT(MAX(ROW(E$1:E6416)*(E2=E$1:E6416))))))</f>
        <v> </v>
      </c>
      <c r="K6417" s="26" t="str">
        <f>IF(OR(E6417="",E6417="!!!",F6417="NEW"),"",INDEX(J$1:J6416,SUMPRODUCT(MAX(ROW(E$1:E6416)*(E6417=E$1:E6416)))))</f>
        <v> </v>
      </c>
      <c r="L6417" s="27"/>
    </row>
    <row r="6418" spans="1:12">
      <c r="A6418" s="20" t="s">
        <v>1193</v>
      </c>
      <c r="E6418" s="22">
        <f>IF(D6418="?OLD","!!!","")</f>
        <v/>
      </c>
      <c r="F6418" s="23" t="str">
        <f>IF(OR(E6418="",E6418="!!!"),"",IF(NOT(ISNA(VLOOKUP(E6418,E$1:E6417,1,FALSE()))),"OLD",IF(AND(E6418&lt;&gt;"",E6418&lt;&gt;"!!!"),"NEW","")))</f>
        <v> </v>
      </c>
      <c r="G6418" s="24" t="str">
        <f>IF(OR(E6418="",E6418="!!!"),"",IF(OR(J6418=0,AND(J6418=1,K6418=1),AND(J6418=1,I6418="SBJ"),AND(J6418=1,I6418=0)),"?IN_FOCUS",IF(J6418&lt;=2,"?ACTIVATED",IF(J6418&lt;&gt;"","?FAMILIAR",IF(F6418="NEW",IF(ISNA(VLOOKUP(E6418,#REF!,1,FALSE())),"?TYPE_IDENTIFIABLE","?REFERENTIAL"),"_")))))</f>
        <v> </v>
      </c>
      <c r="H6418" s="25" t="str">
        <f>IF(J6418&lt;&gt;1,"",IF(I6418="SBJ","CB","?"))</f>
        <v> </v>
      </c>
      <c r="I6418" s="26" t="str">
        <f>IF(OR(E6418="",E6418="!!!",F6418="NEW"),"",INDEX(B6417:B$2,-1+SUMPRODUCT(MAX(ROW(E6417:E$2)*(E6418=E6417:E$2)))))</f>
        <v> </v>
      </c>
      <c r="J6418" s="26" t="str">
        <f>IF(OR(E6418="",E6418="!!!",F6418="NEW"),"",COUNTBLANK(OFFSET(A$1,,,SUMPRODUCT(MAX(ROW(E$2:E6418)*(E6418=E$2:E6418)))))-COUNTBLANK(OFFSET(A$1,,,SUMPRODUCT(MAX(ROW(E$1:E6417)*(E2=E$1:E6417))))))</f>
        <v> </v>
      </c>
      <c r="K6418" s="26" t="str">
        <f>IF(OR(E6418="",E6418="!!!",F6418="NEW"),"",INDEX(J$1:J6417,SUMPRODUCT(MAX(ROW(E$1:E6417)*(E6418=E$1:E6417)))))</f>
        <v> </v>
      </c>
      <c r="L6418" s="27"/>
    </row>
    <row r="6419" spans="1:12">
      <c r="A6419" s="20" t="s">
        <v>1366</v>
      </c>
      <c r="E6419" s="22">
        <f>IF(D6419="?OLD","!!!","")</f>
        <v/>
      </c>
      <c r="F6419" s="23" t="str">
        <f>IF(OR(E6419="",E6419="!!!"),"",IF(NOT(ISNA(VLOOKUP(E6419,E$1:E6418,1,FALSE()))),"OLD",IF(AND(E6419&lt;&gt;"",E6419&lt;&gt;"!!!"),"NEW","")))</f>
        <v> </v>
      </c>
      <c r="G6419" s="24" t="str">
        <f>IF(OR(E6419="",E6419="!!!"),"",IF(OR(J6419=0,AND(J6419=1,K6419=1),AND(J6419=1,I6419="SBJ"),AND(J6419=1,I6419=0)),"?IN_FOCUS",IF(J6419&lt;=2,"?ACTIVATED",IF(J6419&lt;&gt;"","?FAMILIAR",IF(F6419="NEW",IF(ISNA(VLOOKUP(E6419,#REF!,1,FALSE())),"?TYPE_IDENTIFIABLE","?REFERENTIAL"),"_")))))</f>
        <v> </v>
      </c>
      <c r="H6419" s="25" t="str">
        <f>IF(J6419&lt;&gt;1,"",IF(I6419="SBJ","CB","?"))</f>
        <v> </v>
      </c>
      <c r="I6419" s="26" t="str">
        <f>IF(OR(E6419="",E6419="!!!",F6419="NEW"),"",INDEX(B6418:B$2,-1+SUMPRODUCT(MAX(ROW(E6418:E$2)*(E6419=E6418:E$2)))))</f>
        <v> </v>
      </c>
      <c r="J6419" s="26" t="str">
        <f>IF(OR(E6419="",E6419="!!!",F6419="NEW"),"",COUNTBLANK(OFFSET(A$1,,,SUMPRODUCT(MAX(ROW(E$2:E6419)*(E6419=E$2:E6419)))))-COUNTBLANK(OFFSET(A$1,,,SUMPRODUCT(MAX(ROW(E$1:E6418)*(E2=E$1:E6418))))))</f>
        <v> </v>
      </c>
      <c r="K6419" s="26" t="str">
        <f>IF(OR(E6419="",E6419="!!!",F6419="NEW"),"",INDEX(J$1:J6418,SUMPRODUCT(MAX(ROW(E$1:E6418)*(E6419=E$1:E6418)))))</f>
        <v> </v>
      </c>
      <c r="L6419" s="27"/>
    </row>
    <row r="6420" spans="1:12">
      <c r="A6420" s="20" t="s">
        <v>1271</v>
      </c>
      <c r="B6420" s="21" t="s">
        <v>1248</v>
      </c>
      <c r="C6420" s="21" t="s">
        <v>1203</v>
      </c>
      <c r="D6420" s="21" t="s">
        <v>1188</v>
      </c>
      <c r="E6420" s="22">
        <f>IF(D6420="?OLD","!!!","")</f>
        <v/>
      </c>
      <c r="F6420" s="23" t="str">
        <f>IF(OR(E6420="",E6420="!!!"),"",IF(NOT(ISNA(VLOOKUP(E6420,E$1:E6419,1,FALSE()))),"OLD",IF(AND(E6420&lt;&gt;"",E6420&lt;&gt;"!!!"),"NEW","")))</f>
        <v> </v>
      </c>
      <c r="G6420" s="24" t="str">
        <f>IF(OR(E6420="",E6420="!!!"),"",IF(OR(J6420=0,AND(J6420=1,K6420=1),AND(J6420=1,I6420="SBJ"),AND(J6420=1,I6420=0)),"?IN_FOCUS",IF(J6420&lt;=2,"?ACTIVATED",IF(J6420&lt;&gt;"","?FAMILIAR",IF(F6420="NEW",IF(ISNA(VLOOKUP(E6420,#REF!,1,FALSE())),"?TYPE_IDENTIFIABLE","?REFERENTIAL"),"_")))))</f>
        <v> </v>
      </c>
      <c r="H6420" s="25" t="str">
        <f>IF(J6420&lt;&gt;1,"",IF(I6420="SBJ","CB","?"))</f>
        <v> </v>
      </c>
      <c r="I6420" s="26" t="str">
        <f>IF(OR(E6420="",E6420="!!!",F6420="NEW"),"",INDEX(B6419:B$2,-1+SUMPRODUCT(MAX(ROW(E6419:E$2)*(E6420=E6419:E$2)))))</f>
        <v> </v>
      </c>
      <c r="J6420" s="26" t="str">
        <f>IF(OR(E6420="",E6420="!!!",F6420="NEW"),"",COUNTBLANK(OFFSET(A$1,,,SUMPRODUCT(MAX(ROW(E$2:E6420)*(E6420=E$2:E6420)))))-COUNTBLANK(OFFSET(A$1,,,SUMPRODUCT(MAX(ROW(E$1:E6419)*(E2=E$1:E6419))))))</f>
        <v> </v>
      </c>
      <c r="K6420" s="26" t="str">
        <f>IF(OR(E6420="",E6420="!!!",F6420="NEW"),"",INDEX(J$1:J6419,SUMPRODUCT(MAX(ROW(E$1:E6419)*(E6420=E$1:E6419)))))</f>
        <v> </v>
      </c>
      <c r="L6420" s="27"/>
    </row>
    <row r="6421" spans="1:12">
      <c r="A6421" s="20" t="s">
        <v>1502</v>
      </c>
      <c r="B6421" s="21" t="s">
        <v>1245</v>
      </c>
      <c r="E6421" s="22">
        <f>IF(D6421="?OLD","!!!","")</f>
        <v/>
      </c>
      <c r="F6421" s="23" t="str">
        <f>IF(OR(E6421="",E6421="!!!"),"",IF(NOT(ISNA(VLOOKUP(E6421,E$1:E6420,1,FALSE()))),"OLD",IF(AND(E6421&lt;&gt;"",E6421&lt;&gt;"!!!"),"NEW","")))</f>
        <v> </v>
      </c>
      <c r="G6421" s="24" t="str">
        <f>IF(OR(E6421="",E6421="!!!"),"",IF(OR(J6421=0,AND(J6421=1,K6421=1),AND(J6421=1,I6421="SBJ"),AND(J6421=1,I6421=0)),"?IN_FOCUS",IF(J6421&lt;=2,"?ACTIVATED",IF(J6421&lt;&gt;"","?FAMILIAR",IF(F6421="NEW",IF(ISNA(VLOOKUP(E6421,#REF!,1,FALSE())),"?TYPE_IDENTIFIABLE","?REFERENTIAL"),"_")))))</f>
        <v> </v>
      </c>
      <c r="H6421" s="25" t="str">
        <f>IF(J6421&lt;&gt;1,"",IF(I6421="SBJ","CB","?"))</f>
        <v> </v>
      </c>
      <c r="I6421" s="26" t="str">
        <f>IF(OR(E6421="",E6421="!!!",F6421="NEW"),"",INDEX(B6420:B$2,-1+SUMPRODUCT(MAX(ROW(E6420:E$2)*(E6421=E6420:E$2)))))</f>
        <v> </v>
      </c>
      <c r="J6421" s="26" t="str">
        <f>IF(OR(E6421="",E6421="!!!",F6421="NEW"),"",COUNTBLANK(OFFSET(A$1,,,SUMPRODUCT(MAX(ROW(E$2:E6421)*(E6421=E$2:E6421)))))-COUNTBLANK(OFFSET(A$1,,,SUMPRODUCT(MAX(ROW(E$1:E6420)*(E2=E$1:E6420))))))</f>
        <v> </v>
      </c>
      <c r="K6421" s="26" t="str">
        <f>IF(OR(E6421="",E6421="!!!",F6421="NEW"),"",INDEX(J$1:J6420,SUMPRODUCT(MAX(ROW(E$1:E6420)*(E6421=E$1:E6420)))))</f>
        <v> </v>
      </c>
      <c r="L6421" s="27"/>
    </row>
    <row r="6422" spans="1:12">
      <c r="A6422" s="20" t="s">
        <v>1321</v>
      </c>
      <c r="E6422" s="22">
        <f>IF(D6422="?OLD","!!!","")</f>
        <v/>
      </c>
      <c r="F6422" s="23" t="str">
        <f>IF(OR(E6422="",E6422="!!!"),"",IF(NOT(ISNA(VLOOKUP(E6422,E$1:E6421,1,FALSE()))),"OLD",IF(AND(E6422&lt;&gt;"",E6422&lt;&gt;"!!!"),"NEW","")))</f>
        <v> </v>
      </c>
      <c r="G6422" s="24" t="str">
        <f>IF(OR(E6422="",E6422="!!!"),"",IF(OR(J6422=0,AND(J6422=1,K6422=1),AND(J6422=1,I6422="SBJ"),AND(J6422=1,I6422=0)),"?IN_FOCUS",IF(J6422&lt;=2,"?ACTIVATED",IF(J6422&lt;&gt;"","?FAMILIAR",IF(F6422="NEW",IF(ISNA(VLOOKUP(E6422,#REF!,1,FALSE())),"?TYPE_IDENTIFIABLE","?REFERENTIAL"),"_")))))</f>
        <v> </v>
      </c>
      <c r="H6422" s="25" t="str">
        <f>IF(J6422&lt;&gt;1,"",IF(I6422="SBJ","CB","?"))</f>
        <v> </v>
      </c>
      <c r="I6422" s="26" t="str">
        <f>IF(OR(E6422="",E6422="!!!",F6422="NEW"),"",INDEX(B6421:B$2,-1+SUMPRODUCT(MAX(ROW(E6421:E$2)*(E6422=E6421:E$2)))))</f>
        <v> </v>
      </c>
      <c r="J6422" s="26" t="str">
        <f>IF(OR(E6422="",E6422="!!!",F6422="NEW"),"",COUNTBLANK(OFFSET(A$1,,,SUMPRODUCT(MAX(ROW(E$2:E6422)*(E6422=E$2:E6422)))))-COUNTBLANK(OFFSET(A$1,,,SUMPRODUCT(MAX(ROW(E$1:E6421)*(E2=E$1:E6421))))))</f>
        <v> </v>
      </c>
      <c r="K6422" s="26" t="str">
        <f>IF(OR(E6422="",E6422="!!!",F6422="NEW"),"",INDEX(J$1:J6421,SUMPRODUCT(MAX(ROW(E$1:E6421)*(E6422=E$1:E6421)))))</f>
        <v> </v>
      </c>
      <c r="L6422" s="27"/>
    </row>
    <row r="6423" spans="1:12">
      <c r="A6423" s="20" t="s">
        <v>1359</v>
      </c>
      <c r="E6423" s="22">
        <f>IF(D6423="?OLD","!!!","")</f>
        <v/>
      </c>
      <c r="F6423" s="23" t="str">
        <f>IF(OR(E6423="",E6423="!!!"),"",IF(NOT(ISNA(VLOOKUP(E6423,E$1:E6422,1,FALSE()))),"OLD",IF(AND(E6423&lt;&gt;"",E6423&lt;&gt;"!!!"),"NEW","")))</f>
        <v> </v>
      </c>
      <c r="G6423" s="24" t="str">
        <f>IF(OR(E6423="",E6423="!!!"),"",IF(OR(J6423=0,AND(J6423=1,K6423=1),AND(J6423=1,I6423="SBJ"),AND(J6423=1,I6423=0)),"?IN_FOCUS",IF(J6423&lt;=2,"?ACTIVATED",IF(J6423&lt;&gt;"","?FAMILIAR",IF(F6423="NEW",IF(ISNA(VLOOKUP(E6423,#REF!,1,FALSE())),"?TYPE_IDENTIFIABLE","?REFERENTIAL"),"_")))))</f>
        <v> </v>
      </c>
      <c r="H6423" s="25" t="str">
        <f>IF(J6423&lt;&gt;1,"",IF(I6423="SBJ","CB","?"))</f>
        <v> </v>
      </c>
      <c r="I6423" s="26" t="str">
        <f>IF(OR(E6423="",E6423="!!!",F6423="NEW"),"",INDEX(B6422:B$2,-1+SUMPRODUCT(MAX(ROW(E6422:E$2)*(E6423=E6422:E$2)))))</f>
        <v> </v>
      </c>
      <c r="J6423" s="26" t="str">
        <f>IF(OR(E6423="",E6423="!!!",F6423="NEW"),"",COUNTBLANK(OFFSET(A$1,,,SUMPRODUCT(MAX(ROW(E$2:E6423)*(E6423=E$2:E6423)))))-COUNTBLANK(OFFSET(A$1,,,SUMPRODUCT(MAX(ROW(E$1:E6422)*(E2=E$1:E6422))))))</f>
        <v> </v>
      </c>
      <c r="K6423" s="26" t="str">
        <f>IF(OR(E6423="",E6423="!!!",F6423="NEW"),"",INDEX(J$1:J6422,SUMPRODUCT(MAX(ROW(E$1:E6422)*(E6423=E$1:E6422)))))</f>
        <v> </v>
      </c>
      <c r="L6423" s="27"/>
    </row>
    <row r="6424" spans="1:12">
      <c r="A6424" s="20" t="s">
        <v>1539</v>
      </c>
      <c r="B6424" s="21" t="s">
        <v>1215</v>
      </c>
      <c r="C6424" s="21" t="s">
        <v>1304</v>
      </c>
      <c r="D6424" s="21" t="s">
        <v>1188</v>
      </c>
      <c r="E6424" s="22">
        <f>IF(D6424="?OLD","!!!","")</f>
        <v/>
      </c>
      <c r="F6424" s="23" t="str">
        <f>IF(OR(E6424="",E6424="!!!"),"",IF(NOT(ISNA(VLOOKUP(E6424,E$1:E6423,1,FALSE()))),"OLD",IF(AND(E6424&lt;&gt;"",E6424&lt;&gt;"!!!"),"NEW","")))</f>
        <v> </v>
      </c>
      <c r="G6424" s="24" t="str">
        <f>IF(OR(E6424="",E6424="!!!"),"",IF(OR(J6424=0,AND(J6424=1,K6424=1),AND(J6424=1,I6424="SBJ"),AND(J6424=1,I6424=0)),"?IN_FOCUS",IF(J6424&lt;=2,"?ACTIVATED",IF(J6424&lt;&gt;"","?FAMILIAR",IF(F6424="NEW",IF(ISNA(VLOOKUP(E6424,#REF!,1,FALSE())),"?TYPE_IDENTIFIABLE","?REFERENTIAL"),"_")))))</f>
        <v> </v>
      </c>
      <c r="H6424" s="25" t="str">
        <f>IF(J6424&lt;&gt;1,"",IF(I6424="SBJ","CB","?"))</f>
        <v> </v>
      </c>
      <c r="I6424" s="26" t="str">
        <f>IF(OR(E6424="",E6424="!!!",F6424="NEW"),"",INDEX(B6423:B$2,-1+SUMPRODUCT(MAX(ROW(E6423:E$2)*(E6424=E6423:E$2)))))</f>
        <v> </v>
      </c>
      <c r="J6424" s="26" t="str">
        <f>IF(OR(E6424="",E6424="!!!",F6424="NEW"),"",COUNTBLANK(OFFSET(A$1,,,SUMPRODUCT(MAX(ROW(E$2:E6424)*(E6424=E$2:E6424)))))-COUNTBLANK(OFFSET(A$1,,,SUMPRODUCT(MAX(ROW(E$1:E6423)*(E2=E$1:E6423))))))</f>
        <v> </v>
      </c>
      <c r="K6424" s="26" t="str">
        <f>IF(OR(E6424="",E6424="!!!",F6424="NEW"),"",INDEX(J$1:J6423,SUMPRODUCT(MAX(ROW(E$1:E6423)*(E6424=E$1:E6423)))))</f>
        <v> </v>
      </c>
      <c r="L6424" s="27"/>
    </row>
    <row r="6425" spans="1:12">
      <c r="A6425" s="20" t="s">
        <v>1532</v>
      </c>
      <c r="B6425" s="21" t="s">
        <v>1199</v>
      </c>
      <c r="C6425" s="21" t="s">
        <v>1192</v>
      </c>
      <c r="E6425" s="22">
        <f>IF(D6425="?OLD","!!!","")</f>
        <v/>
      </c>
      <c r="F6425" s="23" t="str">
        <f>IF(OR(E6425="",E6425="!!!"),"",IF(NOT(ISNA(VLOOKUP(E6425,E$1:E6424,1,FALSE()))),"OLD",IF(AND(E6425&lt;&gt;"",E6425&lt;&gt;"!!!"),"NEW","")))</f>
        <v> </v>
      </c>
      <c r="G6425" s="24" t="str">
        <f>IF(OR(E6425="",E6425="!!!"),"",IF(OR(J6425=0,AND(J6425=1,K6425=1),AND(J6425=1,I6425="SBJ"),AND(J6425=1,I6425=0)),"?IN_FOCUS",IF(J6425&lt;=2,"?ACTIVATED",IF(J6425&lt;&gt;"","?FAMILIAR",IF(F6425="NEW",IF(ISNA(VLOOKUP(E6425,#REF!,1,FALSE())),"?TYPE_IDENTIFIABLE","?REFERENTIAL"),"_")))))</f>
        <v> </v>
      </c>
      <c r="H6425" s="25" t="str">
        <f>IF(J6425&lt;&gt;1,"",IF(I6425="SBJ","CB","?"))</f>
        <v> </v>
      </c>
      <c r="I6425" s="26" t="str">
        <f>IF(OR(E6425="",E6425="!!!",F6425="NEW"),"",INDEX(B6424:B$2,-1+SUMPRODUCT(MAX(ROW(E6424:E$2)*(E6425=E6424:E$2)))))</f>
        <v> </v>
      </c>
      <c r="J6425" s="26" t="str">
        <f>IF(OR(E6425="",E6425="!!!",F6425="NEW"),"",COUNTBLANK(OFFSET(A$1,,,SUMPRODUCT(MAX(ROW(E$2:E6425)*(E6425=E$2:E6425)))))-COUNTBLANK(OFFSET(A$1,,,SUMPRODUCT(MAX(ROW(E$1:E6424)*(E2=E$1:E6424))))))</f>
        <v> </v>
      </c>
      <c r="K6425" s="26" t="str">
        <f>IF(OR(E6425="",E6425="!!!",F6425="NEW"),"",INDEX(J$1:J6424,SUMPRODUCT(MAX(ROW(E$1:E6424)*(E6425=E$1:E6424)))))</f>
        <v> </v>
      </c>
      <c r="L6425" s="27"/>
    </row>
    <row r="6426" spans="1:12">
      <c r="A6426" s="20" t="s">
        <v>1443</v>
      </c>
      <c r="E6426" s="22">
        <f>IF(D6426="?OLD","!!!","")</f>
        <v/>
      </c>
      <c r="F6426" s="23" t="str">
        <f>IF(OR(E6426="",E6426="!!!"),"",IF(NOT(ISNA(VLOOKUP(E6426,E$1:E6425,1,FALSE()))),"OLD",IF(AND(E6426&lt;&gt;"",E6426&lt;&gt;"!!!"),"NEW","")))</f>
        <v> </v>
      </c>
      <c r="G6426" s="24" t="str">
        <f>IF(OR(E6426="",E6426="!!!"),"",IF(OR(J6426=0,AND(J6426=1,K6426=1),AND(J6426=1,I6426="SBJ"),AND(J6426=1,I6426=0)),"?IN_FOCUS",IF(J6426&lt;=2,"?ACTIVATED",IF(J6426&lt;&gt;"","?FAMILIAR",IF(F6426="NEW",IF(ISNA(VLOOKUP(E6426,#REF!,1,FALSE())),"?TYPE_IDENTIFIABLE","?REFERENTIAL"),"_")))))</f>
        <v> </v>
      </c>
      <c r="H6426" s="25" t="str">
        <f>IF(J6426&lt;&gt;1,"",IF(I6426="SBJ","CB","?"))</f>
        <v> </v>
      </c>
      <c r="I6426" s="26" t="str">
        <f>IF(OR(E6426="",E6426="!!!",F6426="NEW"),"",INDEX(B6425:B$2,-1+SUMPRODUCT(MAX(ROW(E6425:E$2)*(E6426=E6425:E$2)))))</f>
        <v> </v>
      </c>
      <c r="J6426" s="26" t="str">
        <f>IF(OR(E6426="",E6426="!!!",F6426="NEW"),"",COUNTBLANK(OFFSET(A$1,,,SUMPRODUCT(MAX(ROW(E$2:E6426)*(E6426=E$2:E6426)))))-COUNTBLANK(OFFSET(A$1,,,SUMPRODUCT(MAX(ROW(E$1:E6425)*(E2=E$1:E6425))))))</f>
        <v> </v>
      </c>
      <c r="K6426" s="26" t="str">
        <f>IF(OR(E6426="",E6426="!!!",F6426="NEW"),"",INDEX(J$1:J6425,SUMPRODUCT(MAX(ROW(E$1:E6425)*(E6426=E$1:E6425)))))</f>
        <v> </v>
      </c>
      <c r="L6426" s="27"/>
    </row>
    <row r="6427" spans="1:12">
      <c r="A6427" s="20" t="s">
        <v>1272</v>
      </c>
      <c r="E6427" s="22">
        <f>IF(D6427="?OLD","!!!","")</f>
        <v/>
      </c>
      <c r="F6427" s="23" t="str">
        <f>IF(OR(E6427="",E6427="!!!"),"",IF(NOT(ISNA(VLOOKUP(E6427,E$1:E6426,1,FALSE()))),"OLD",IF(AND(E6427&lt;&gt;"",E6427&lt;&gt;"!!!"),"NEW","")))</f>
        <v> </v>
      </c>
      <c r="G6427" s="24" t="str">
        <f>IF(OR(E6427="",E6427="!!!"),"",IF(OR(J6427=0,AND(J6427=1,K6427=1),AND(J6427=1,I6427="SBJ"),AND(J6427=1,I6427=0)),"?IN_FOCUS",IF(J6427&lt;=2,"?ACTIVATED",IF(J6427&lt;&gt;"","?FAMILIAR",IF(F6427="NEW",IF(ISNA(VLOOKUP(E6427,#REF!,1,FALSE())),"?TYPE_IDENTIFIABLE","?REFERENTIAL"),"_")))))</f>
        <v> </v>
      </c>
      <c r="H6427" s="25" t="str">
        <f>IF(J6427&lt;&gt;1,"",IF(I6427="SBJ","CB","?"))</f>
        <v> </v>
      </c>
      <c r="I6427" s="26" t="str">
        <f>IF(OR(E6427="",E6427="!!!",F6427="NEW"),"",INDEX(B6426:B$2,-1+SUMPRODUCT(MAX(ROW(E6426:E$2)*(E6427=E6426:E$2)))))</f>
        <v> </v>
      </c>
      <c r="J6427" s="26" t="str">
        <f>IF(OR(E6427="",E6427="!!!",F6427="NEW"),"",COUNTBLANK(OFFSET(A$1,,,SUMPRODUCT(MAX(ROW(E$2:E6427)*(E6427=E$2:E6427)))))-COUNTBLANK(OFFSET(A$1,,,SUMPRODUCT(MAX(ROW(E$1:E6426)*(E2=E$1:E6426))))))</f>
        <v> </v>
      </c>
      <c r="K6427" s="26" t="str">
        <f>IF(OR(E6427="",E6427="!!!",F6427="NEW"),"",INDEX(J$1:J6426,SUMPRODUCT(MAX(ROW(E$1:E6426)*(E6427=E$1:E6426)))))</f>
        <v> </v>
      </c>
      <c r="L6427" s="27"/>
    </row>
    <row r="6428" spans="1:12">
      <c r="A6428" s="20" t="s">
        <v>826</v>
      </c>
      <c r="E6428" s="22">
        <f>IF(D6428="?OLD","!!!","")</f>
        <v/>
      </c>
      <c r="F6428" s="23" t="str">
        <f>IF(OR(E6428="",E6428="!!!"),"",IF(NOT(ISNA(VLOOKUP(E6428,E$1:E6427,1,FALSE()))),"OLD",IF(AND(E6428&lt;&gt;"",E6428&lt;&gt;"!!!"),"NEW","")))</f>
        <v> </v>
      </c>
      <c r="G6428" s="24" t="str">
        <f>IF(OR(E6428="",E6428="!!!"),"",IF(OR(J6428=0,AND(J6428=1,K6428=1),AND(J6428=1,I6428="SBJ"),AND(J6428=1,I6428=0)),"?IN_FOCUS",IF(J6428&lt;=2,"?ACTIVATED",IF(J6428&lt;&gt;"","?FAMILIAR",IF(F6428="NEW",IF(ISNA(VLOOKUP(E6428,#REF!,1,FALSE())),"?TYPE_IDENTIFIABLE","?REFERENTIAL"),"_")))))</f>
        <v> </v>
      </c>
      <c r="H6428" s="25" t="str">
        <f>IF(J6428&lt;&gt;1,"",IF(I6428="SBJ","CB","?"))</f>
        <v> </v>
      </c>
      <c r="I6428" s="26" t="str">
        <f>IF(OR(E6428="",E6428="!!!",F6428="NEW"),"",INDEX(B6427:B$2,-1+SUMPRODUCT(MAX(ROW(E6427:E$2)*(E6428=E6427:E$2)))))</f>
        <v> </v>
      </c>
      <c r="J6428" s="26" t="str">
        <f>IF(OR(E6428="",E6428="!!!",F6428="NEW"),"",COUNTBLANK(OFFSET(A$1,,,SUMPRODUCT(MAX(ROW(E$2:E6428)*(E6428=E$2:E6428)))))-COUNTBLANK(OFFSET(A$1,,,SUMPRODUCT(MAX(ROW(E$1:E6427)*(E2=E$1:E6427))))))</f>
        <v> </v>
      </c>
      <c r="K6428" s="26" t="str">
        <f>IF(OR(E6428="",E6428="!!!",F6428="NEW"),"",INDEX(J$1:J6427,SUMPRODUCT(MAX(ROW(E$1:E6427)*(E6428=E$1:E6427)))))</f>
        <v> </v>
      </c>
      <c r="L6428" s="27"/>
    </row>
    <row r="6429" spans="1:12">
      <c r="A6429" s="20"/>
    </row>
    <row r="6430" spans="1:12">
      <c r="A6430" s="20" t="s">
        <v>2911</v>
      </c>
    </row>
    <row r="6431" spans="1:12">
      <c r="A6431" s="20" t="s">
        <v>1201</v>
      </c>
      <c r="B6431" s="21" t="s">
        <v>1202</v>
      </c>
      <c r="C6431" s="21" t="s">
        <v>1203</v>
      </c>
      <c r="D6431" s="21" t="s">
        <v>1188</v>
      </c>
      <c r="E6431" s="22">
        <f>IF(D6431="?OLD","!!!","")</f>
        <v/>
      </c>
      <c r="F6431" s="23" t="str">
        <f>IF(OR(E6431="",E6431="!!!"),"",IF(NOT(ISNA(VLOOKUP(E6431,E$1:E6430,1,FALSE()))),"OLD",IF(AND(E6431&lt;&gt;"",E6431&lt;&gt;"!!!"),"NEW","")))</f>
        <v> </v>
      </c>
      <c r="G6431" s="24" t="str">
        <f>IF(OR(E6431="",E6431="!!!"),"",IF(OR(J6431=0,AND(J6431=1,K6431=1),AND(J6431=1,I6431="SBJ"),AND(J6431=1,I6431=0)),"?IN_FOCUS",IF(J6431&lt;=2,"?ACTIVATED",IF(J6431&lt;&gt;"","?FAMILIAR",IF(F6431="NEW",IF(ISNA(VLOOKUP(E6431,#REF!,1,FALSE())),"?TYPE_IDENTIFIABLE","?REFERENTIAL"),"_")))))</f>
        <v> </v>
      </c>
      <c r="H6431" s="25" t="str">
        <f>IF(J6431&lt;&gt;1,"",IF(I6431="SBJ","CB","?"))</f>
        <v> </v>
      </c>
      <c r="I6431" s="26" t="str">
        <f>IF(OR(E6431="",E6431="!!!",F6431="NEW"),"",INDEX(B6430:B$2,-1+SUMPRODUCT(MAX(ROW(E6430:E$2)*(E6431=E6430:E$2)))))</f>
        <v> </v>
      </c>
      <c r="J6431" s="26" t="str">
        <f>IF(OR(E6431="",E6431="!!!",F6431="NEW"),"",COUNTBLANK(OFFSET(A$1,,,SUMPRODUCT(MAX(ROW(E$2:E6431)*(E6431=E$2:E6431)))))-COUNTBLANK(OFFSET(A$1,,,SUMPRODUCT(MAX(ROW(E$1:E6430)*(E2=E$1:E6430))))))</f>
        <v> </v>
      </c>
      <c r="K6431" s="26" t="str">
        <f>IF(OR(E6431="",E6431="!!!",F6431="NEW"),"",INDEX(J$1:J6430,SUMPRODUCT(MAX(ROW(E$1:E6430)*(E6431=E$1:E6430)))))</f>
        <v> </v>
      </c>
      <c r="L6431" s="27"/>
    </row>
    <row r="6432" spans="1:12">
      <c r="A6432" s="20" t="s">
        <v>1272</v>
      </c>
      <c r="E6432" s="22">
        <f>IF(D6432="?OLD","!!!","")</f>
        <v/>
      </c>
      <c r="F6432" s="23" t="str">
        <f>IF(OR(E6432="",E6432="!!!"),"",IF(NOT(ISNA(VLOOKUP(E6432,E$1:E6431,1,FALSE()))),"OLD",IF(AND(E6432&lt;&gt;"",E6432&lt;&gt;"!!!"),"NEW","")))</f>
        <v> </v>
      </c>
      <c r="G6432" s="24" t="str">
        <f>IF(OR(E6432="",E6432="!!!"),"",IF(OR(J6432=0,AND(J6432=1,K6432=1),AND(J6432=1,I6432="SBJ"),AND(J6432=1,I6432=0)),"?IN_FOCUS",IF(J6432&lt;=2,"?ACTIVATED",IF(J6432&lt;&gt;"","?FAMILIAR",IF(F6432="NEW",IF(ISNA(VLOOKUP(E6432,#REF!,1,FALSE())),"?TYPE_IDENTIFIABLE","?REFERENTIAL"),"_")))))</f>
        <v> </v>
      </c>
      <c r="H6432" s="25" t="str">
        <f>IF(J6432&lt;&gt;1,"",IF(I6432="SBJ","CB","?"))</f>
        <v> </v>
      </c>
      <c r="I6432" s="26" t="str">
        <f>IF(OR(E6432="",E6432="!!!",F6432="NEW"),"",INDEX(B6431:B$2,-1+SUMPRODUCT(MAX(ROW(E6431:E$2)*(E6432=E6431:E$2)))))</f>
        <v> </v>
      </c>
      <c r="J6432" s="26" t="str">
        <f>IF(OR(E6432="",E6432="!!!",F6432="NEW"),"",COUNTBLANK(OFFSET(A$1,,,SUMPRODUCT(MAX(ROW(E$2:E6432)*(E6432=E$2:E6432)))))-COUNTBLANK(OFFSET(A$1,,,SUMPRODUCT(MAX(ROW(E$1:E6431)*(E2=E$1:E6431))))))</f>
        <v> </v>
      </c>
      <c r="K6432" s="26" t="str">
        <f>IF(OR(E6432="",E6432="!!!",F6432="NEW"),"",INDEX(J$1:J6431,SUMPRODUCT(MAX(ROW(E$1:E6431)*(E6432=E$1:E6431)))))</f>
        <v> </v>
      </c>
      <c r="L6432" s="27"/>
    </row>
    <row r="6433" spans="1:12">
      <c r="A6433" s="20" t="s">
        <v>1502</v>
      </c>
      <c r="B6433" s="21" t="s">
        <v>1212</v>
      </c>
      <c r="E6433" s="22">
        <f>IF(D6433="?OLD","!!!","")</f>
        <v/>
      </c>
      <c r="F6433" s="23" t="str">
        <f>IF(OR(E6433="",E6433="!!!"),"",IF(NOT(ISNA(VLOOKUP(E6433,E$1:E6432,1,FALSE()))),"OLD",IF(AND(E6433&lt;&gt;"",E6433&lt;&gt;"!!!"),"NEW","")))</f>
        <v> </v>
      </c>
      <c r="G6433" s="24" t="str">
        <f>IF(OR(E6433="",E6433="!!!"),"",IF(OR(J6433=0,AND(J6433=1,K6433=1),AND(J6433=1,I6433="SBJ"),AND(J6433=1,I6433=0)),"?IN_FOCUS",IF(J6433&lt;=2,"?ACTIVATED",IF(J6433&lt;&gt;"","?FAMILIAR",IF(F6433="NEW",IF(ISNA(VLOOKUP(E6433,#REF!,1,FALSE())),"?TYPE_IDENTIFIABLE","?REFERENTIAL"),"_")))))</f>
        <v> </v>
      </c>
      <c r="H6433" s="25" t="str">
        <f>IF(J6433&lt;&gt;1,"",IF(I6433="SBJ","CB","?"))</f>
        <v> </v>
      </c>
      <c r="I6433" s="26" t="str">
        <f>IF(OR(E6433="",E6433="!!!",F6433="NEW"),"",INDEX(B6432:B$2,-1+SUMPRODUCT(MAX(ROW(E6432:E$2)*(E6433=E6432:E$2)))))</f>
        <v> </v>
      </c>
      <c r="J6433" s="26" t="str">
        <f>IF(OR(E6433="",E6433="!!!",F6433="NEW"),"",COUNTBLANK(OFFSET(A$1,,,SUMPRODUCT(MAX(ROW(E$2:E6433)*(E6433=E$2:E6433)))))-COUNTBLANK(OFFSET(A$1,,,SUMPRODUCT(MAX(ROW(E$1:E6432)*(E2=E$1:E6432))))))</f>
        <v> </v>
      </c>
      <c r="K6433" s="26" t="str">
        <f>IF(OR(E6433="",E6433="!!!",F6433="NEW"),"",INDEX(J$1:J6432,SUMPRODUCT(MAX(ROW(E$1:E6432)*(E6433=E$1:E6432)))))</f>
        <v> </v>
      </c>
      <c r="L6433" s="27"/>
    </row>
    <row r="6434" spans="1:12">
      <c r="A6434" s="20" t="s">
        <v>1443</v>
      </c>
      <c r="E6434" s="22">
        <f>IF(D6434="?OLD","!!!","")</f>
        <v/>
      </c>
      <c r="F6434" s="23" t="str">
        <f>IF(OR(E6434="",E6434="!!!"),"",IF(NOT(ISNA(VLOOKUP(E6434,E$1:E6433,1,FALSE()))),"OLD",IF(AND(E6434&lt;&gt;"",E6434&lt;&gt;"!!!"),"NEW","")))</f>
        <v> </v>
      </c>
      <c r="G6434" s="24" t="str">
        <f>IF(OR(E6434="",E6434="!!!"),"",IF(OR(J6434=0,AND(J6434=1,K6434=1),AND(J6434=1,I6434="SBJ"),AND(J6434=1,I6434=0)),"?IN_FOCUS",IF(J6434&lt;=2,"?ACTIVATED",IF(J6434&lt;&gt;"","?FAMILIAR",IF(F6434="NEW",IF(ISNA(VLOOKUP(E6434,#REF!,1,FALSE())),"?TYPE_IDENTIFIABLE","?REFERENTIAL"),"_")))))</f>
        <v> </v>
      </c>
      <c r="H6434" s="25" t="str">
        <f>IF(J6434&lt;&gt;1,"",IF(I6434="SBJ","CB","?"))</f>
        <v> </v>
      </c>
      <c r="I6434" s="26" t="str">
        <f>IF(OR(E6434="",E6434="!!!",F6434="NEW"),"",INDEX(B6433:B$2,-1+SUMPRODUCT(MAX(ROW(E6433:E$2)*(E6434=E6433:E$2)))))</f>
        <v> </v>
      </c>
      <c r="J6434" s="26" t="str">
        <f>IF(OR(E6434="",E6434="!!!",F6434="NEW"),"",COUNTBLANK(OFFSET(A$1,,,SUMPRODUCT(MAX(ROW(E$2:E6434)*(E6434=E$2:E6434)))))-COUNTBLANK(OFFSET(A$1,,,SUMPRODUCT(MAX(ROW(E$1:E6433)*(E2=E$1:E6433))))))</f>
        <v> </v>
      </c>
      <c r="K6434" s="26" t="str">
        <f>IF(OR(E6434="",E6434="!!!",F6434="NEW"),"",INDEX(J$1:J6433,SUMPRODUCT(MAX(ROW(E$1:E6433)*(E6434=E$1:E6433)))))</f>
        <v> </v>
      </c>
      <c r="L6434" s="27"/>
    </row>
    <row r="6435" spans="1:12">
      <c r="A6435" s="20" t="s">
        <v>1193</v>
      </c>
      <c r="E6435" s="22">
        <f>IF(D6435="?OLD","!!!","")</f>
        <v/>
      </c>
      <c r="F6435" s="23" t="str">
        <f>IF(OR(E6435="",E6435="!!!"),"",IF(NOT(ISNA(VLOOKUP(E6435,E$1:E6434,1,FALSE()))),"OLD",IF(AND(E6435&lt;&gt;"",E6435&lt;&gt;"!!!"),"NEW","")))</f>
        <v> </v>
      </c>
      <c r="G6435" s="24" t="str">
        <f>IF(OR(E6435="",E6435="!!!"),"",IF(OR(J6435=0,AND(J6435=1,K6435=1),AND(J6435=1,I6435="SBJ"),AND(J6435=1,I6435=0)),"?IN_FOCUS",IF(J6435&lt;=2,"?ACTIVATED",IF(J6435&lt;&gt;"","?FAMILIAR",IF(F6435="NEW",IF(ISNA(VLOOKUP(E6435,#REF!,1,FALSE())),"?TYPE_IDENTIFIABLE","?REFERENTIAL"),"_")))))</f>
        <v> </v>
      </c>
      <c r="H6435" s="25" t="str">
        <f>IF(J6435&lt;&gt;1,"",IF(I6435="SBJ","CB","?"))</f>
        <v> </v>
      </c>
      <c r="I6435" s="26" t="str">
        <f>IF(OR(E6435="",E6435="!!!",F6435="NEW"),"",INDEX(B6434:B$2,-1+SUMPRODUCT(MAX(ROW(E6434:E$2)*(E6435=E6434:E$2)))))</f>
        <v> </v>
      </c>
      <c r="J6435" s="26" t="str">
        <f>IF(OR(E6435="",E6435="!!!",F6435="NEW"),"",COUNTBLANK(OFFSET(A$1,,,SUMPRODUCT(MAX(ROW(E$2:E6435)*(E6435=E$2:E6435)))))-COUNTBLANK(OFFSET(A$1,,,SUMPRODUCT(MAX(ROW(E$1:E6434)*(E2=E$1:E6434))))))</f>
        <v> </v>
      </c>
      <c r="K6435" s="26" t="str">
        <f>IF(OR(E6435="",E6435="!!!",F6435="NEW"),"",INDEX(J$1:J6434,SUMPRODUCT(MAX(ROW(E$1:E6434)*(E6435=E$1:E6434)))))</f>
        <v> </v>
      </c>
      <c r="L6435" s="27"/>
    </row>
    <row r="6436" spans="1:12">
      <c r="A6436" s="20" t="s">
        <v>1520</v>
      </c>
      <c r="E6436" s="22">
        <f>IF(D6436="?OLD","!!!","")</f>
        <v/>
      </c>
      <c r="F6436" s="23" t="str">
        <f>IF(OR(E6436="",E6436="!!!"),"",IF(NOT(ISNA(VLOOKUP(E6436,E$1:E6435,1,FALSE()))),"OLD",IF(AND(E6436&lt;&gt;"",E6436&lt;&gt;"!!!"),"NEW","")))</f>
        <v> </v>
      </c>
      <c r="G6436" s="24" t="str">
        <f>IF(OR(E6436="",E6436="!!!"),"",IF(OR(J6436=0,AND(J6436=1,K6436=1),AND(J6436=1,I6436="SBJ"),AND(J6436=1,I6436=0)),"?IN_FOCUS",IF(J6436&lt;=2,"?ACTIVATED",IF(J6436&lt;&gt;"","?FAMILIAR",IF(F6436="NEW",IF(ISNA(VLOOKUP(E6436,#REF!,1,FALSE())),"?TYPE_IDENTIFIABLE","?REFERENTIAL"),"_")))))</f>
        <v> </v>
      </c>
      <c r="H6436" s="25" t="str">
        <f>IF(J6436&lt;&gt;1,"",IF(I6436="SBJ","CB","?"))</f>
        <v> </v>
      </c>
      <c r="I6436" s="26" t="str">
        <f>IF(OR(E6436="",E6436="!!!",F6436="NEW"),"",INDEX(B6435:B$2,-1+SUMPRODUCT(MAX(ROW(E6435:E$2)*(E6436=E6435:E$2)))))</f>
        <v> </v>
      </c>
      <c r="J6436" s="26" t="str">
        <f>IF(OR(E6436="",E6436="!!!",F6436="NEW"),"",COUNTBLANK(OFFSET(A$1,,,SUMPRODUCT(MAX(ROW(E$2:E6436)*(E6436=E$2:E6436)))))-COUNTBLANK(OFFSET(A$1,,,SUMPRODUCT(MAX(ROW(E$1:E6435)*(E2=E$1:E6435))))))</f>
        <v> </v>
      </c>
      <c r="K6436" s="26" t="str">
        <f>IF(OR(E6436="",E6436="!!!",F6436="NEW"),"",INDEX(J$1:J6435,SUMPRODUCT(MAX(ROW(E$1:E6435)*(E6436=E$1:E6435)))))</f>
        <v> </v>
      </c>
      <c r="L6436" s="27"/>
    </row>
    <row r="6437" spans="1:12">
      <c r="A6437" s="20" t="s">
        <v>1502</v>
      </c>
      <c r="E6437" s="22">
        <f>IF(D6437="?OLD","!!!","")</f>
        <v/>
      </c>
      <c r="F6437" s="23" t="str">
        <f>IF(OR(E6437="",E6437="!!!"),"",IF(NOT(ISNA(VLOOKUP(E6437,E$1:E6436,1,FALSE()))),"OLD",IF(AND(E6437&lt;&gt;"",E6437&lt;&gt;"!!!"),"NEW","")))</f>
        <v> </v>
      </c>
      <c r="G6437" s="24" t="str">
        <f>IF(OR(E6437="",E6437="!!!"),"",IF(OR(J6437=0,AND(J6437=1,K6437=1),AND(J6437=1,I6437="SBJ"),AND(J6437=1,I6437=0)),"?IN_FOCUS",IF(J6437&lt;=2,"?ACTIVATED",IF(J6437&lt;&gt;"","?FAMILIAR",IF(F6437="NEW",IF(ISNA(VLOOKUP(E6437,#REF!,1,FALSE())),"?TYPE_IDENTIFIABLE","?REFERENTIAL"),"_")))))</f>
        <v> </v>
      </c>
      <c r="H6437" s="25" t="str">
        <f>IF(J6437&lt;&gt;1,"",IF(I6437="SBJ","CB","?"))</f>
        <v> </v>
      </c>
      <c r="I6437" s="26" t="str">
        <f>IF(OR(E6437="",E6437="!!!",F6437="NEW"),"",INDEX(B6436:B$2,-1+SUMPRODUCT(MAX(ROW(E6436:E$2)*(E6437=E6436:E$2)))))</f>
        <v> </v>
      </c>
      <c r="J6437" s="26" t="str">
        <f>IF(OR(E6437="",E6437="!!!",F6437="NEW"),"",COUNTBLANK(OFFSET(A$1,,,SUMPRODUCT(MAX(ROW(E$2:E6437)*(E6437=E$2:E6437)))))-COUNTBLANK(OFFSET(A$1,,,SUMPRODUCT(MAX(ROW(E$1:E6436)*(E2=E$1:E6436))))))</f>
        <v> </v>
      </c>
      <c r="K6437" s="26" t="str">
        <f>IF(OR(E6437="",E6437="!!!",F6437="NEW"),"",INDEX(J$1:J6436,SUMPRODUCT(MAX(ROW(E$1:E6436)*(E6437=E$1:E6436)))))</f>
        <v> </v>
      </c>
      <c r="L6437" s="27"/>
    </row>
    <row r="6438" spans="1:12">
      <c r="A6438" s="20" t="s">
        <v>2081</v>
      </c>
      <c r="B6438" s="21" t="s">
        <v>1245</v>
      </c>
      <c r="C6438" s="21" t="s">
        <v>1196</v>
      </c>
      <c r="D6438" s="21" t="s">
        <v>1188</v>
      </c>
      <c r="E6438" s="22">
        <f>IF(D6438="?OLD","!!!","")</f>
        <v/>
      </c>
      <c r="F6438" s="23" t="str">
        <f>IF(OR(E6438="",E6438="!!!"),"",IF(NOT(ISNA(VLOOKUP(E6438,E$1:E6437,1,FALSE()))),"OLD",IF(AND(E6438&lt;&gt;"",E6438&lt;&gt;"!!!"),"NEW","")))</f>
        <v> </v>
      </c>
      <c r="G6438" s="24" t="str">
        <f>IF(OR(E6438="",E6438="!!!"),"",IF(OR(J6438=0,AND(J6438=1,K6438=1),AND(J6438=1,I6438="SBJ"),AND(J6438=1,I6438=0)),"?IN_FOCUS",IF(J6438&lt;=2,"?ACTIVATED",IF(J6438&lt;&gt;"","?FAMILIAR",IF(F6438="NEW",IF(ISNA(VLOOKUP(E6438,#REF!,1,FALSE())),"?TYPE_IDENTIFIABLE","?REFERENTIAL"),"_")))))</f>
        <v> </v>
      </c>
      <c r="H6438" s="25" t="str">
        <f>IF(J6438&lt;&gt;1,"",IF(I6438="SBJ","CB","?"))</f>
        <v> </v>
      </c>
      <c r="I6438" s="26" t="str">
        <f>IF(OR(E6438="",E6438="!!!",F6438="NEW"),"",INDEX(B6437:B$2,-1+SUMPRODUCT(MAX(ROW(E6437:E$2)*(E6438=E6437:E$2)))))</f>
        <v> </v>
      </c>
      <c r="J6438" s="26" t="str">
        <f>IF(OR(E6438="",E6438="!!!",F6438="NEW"),"",COUNTBLANK(OFFSET(A$1,,,SUMPRODUCT(MAX(ROW(E$2:E6438)*(E6438=E$2:E6438)))))-COUNTBLANK(OFFSET(A$1,,,SUMPRODUCT(MAX(ROW(E$1:E6437)*(E2=E$1:E6437))))))</f>
        <v> </v>
      </c>
      <c r="K6438" s="26" t="str">
        <f>IF(OR(E6438="",E6438="!!!",F6438="NEW"),"",INDEX(J$1:J6437,SUMPRODUCT(MAX(ROW(E$1:E6437)*(E6438=E$1:E6437)))))</f>
        <v> </v>
      </c>
      <c r="L6438" s="27"/>
    </row>
    <row r="6439" spans="1:12">
      <c r="A6439" s="20" t="s">
        <v>1337</v>
      </c>
      <c r="E6439" s="22">
        <f>IF(D6439="?OLD","!!!","")</f>
        <v/>
      </c>
      <c r="F6439" s="23" t="str">
        <f>IF(OR(E6439="",E6439="!!!"),"",IF(NOT(ISNA(VLOOKUP(E6439,E$1:E6438,1,FALSE()))),"OLD",IF(AND(E6439&lt;&gt;"",E6439&lt;&gt;"!!!"),"NEW","")))</f>
        <v> </v>
      </c>
      <c r="G6439" s="24" t="str">
        <f>IF(OR(E6439="",E6439="!!!"),"",IF(OR(J6439=0,AND(J6439=1,K6439=1),AND(J6439=1,I6439="SBJ"),AND(J6439=1,I6439=0)),"?IN_FOCUS",IF(J6439&lt;=2,"?ACTIVATED",IF(J6439&lt;&gt;"","?FAMILIAR",IF(F6439="NEW",IF(ISNA(VLOOKUP(E6439,#REF!,1,FALSE())),"?TYPE_IDENTIFIABLE","?REFERENTIAL"),"_")))))</f>
        <v> </v>
      </c>
      <c r="H6439" s="25" t="str">
        <f>IF(J6439&lt;&gt;1,"",IF(I6439="SBJ","CB","?"))</f>
        <v> </v>
      </c>
      <c r="I6439" s="26" t="str">
        <f>IF(OR(E6439="",E6439="!!!",F6439="NEW"),"",INDEX(B6438:B$2,-1+SUMPRODUCT(MAX(ROW(E6438:E$2)*(E6439=E6438:E$2)))))</f>
        <v> </v>
      </c>
      <c r="J6439" s="26" t="str">
        <f>IF(OR(E6439="",E6439="!!!",F6439="NEW"),"",COUNTBLANK(OFFSET(A$1,,,SUMPRODUCT(MAX(ROW(E$2:E6439)*(E6439=E$2:E6439)))))-COUNTBLANK(OFFSET(A$1,,,SUMPRODUCT(MAX(ROW(E$1:E6438)*(E2=E$1:E6438))))))</f>
        <v> </v>
      </c>
      <c r="K6439" s="26" t="str">
        <f>IF(OR(E6439="",E6439="!!!",F6439="NEW"),"",INDEX(J$1:J6438,SUMPRODUCT(MAX(ROW(E$1:E6438)*(E6439=E$1:E6438)))))</f>
        <v> </v>
      </c>
      <c r="L6439" s="27"/>
    </row>
    <row r="6440" spans="1:12">
      <c r="A6440" s="20" t="s">
        <v>130</v>
      </c>
      <c r="E6440" s="22">
        <f>IF(D6440="?OLD","!!!","")</f>
        <v/>
      </c>
      <c r="F6440" s="23" t="str">
        <f>IF(OR(E6440="",E6440="!!!"),"",IF(NOT(ISNA(VLOOKUP(E6440,E$1:E6439,1,FALSE()))),"OLD",IF(AND(E6440&lt;&gt;"",E6440&lt;&gt;"!!!"),"NEW","")))</f>
        <v> </v>
      </c>
      <c r="G6440" s="24" t="str">
        <f>IF(OR(E6440="",E6440="!!!"),"",IF(OR(J6440=0,AND(J6440=1,K6440=1),AND(J6440=1,I6440="SBJ"),AND(J6440=1,I6440=0)),"?IN_FOCUS",IF(J6440&lt;=2,"?ACTIVATED",IF(J6440&lt;&gt;"","?FAMILIAR",IF(F6440="NEW",IF(ISNA(VLOOKUP(E6440,#REF!,1,FALSE())),"?TYPE_IDENTIFIABLE","?REFERENTIAL"),"_")))))</f>
        <v> </v>
      </c>
      <c r="H6440" s="25" t="str">
        <f>IF(J6440&lt;&gt;1,"",IF(I6440="SBJ","CB","?"))</f>
        <v> </v>
      </c>
      <c r="I6440" s="26" t="str">
        <f>IF(OR(E6440="",E6440="!!!",F6440="NEW"),"",INDEX(B6439:B$2,-1+SUMPRODUCT(MAX(ROW(E6439:E$2)*(E6440=E6439:E$2)))))</f>
        <v> </v>
      </c>
      <c r="J6440" s="26" t="str">
        <f>IF(OR(E6440="",E6440="!!!",F6440="NEW"),"",COUNTBLANK(OFFSET(A$1,,,SUMPRODUCT(MAX(ROW(E$2:E6440)*(E6440=E$2:E6440)))))-COUNTBLANK(OFFSET(A$1,,,SUMPRODUCT(MAX(ROW(E$1:E6439)*(E2=E$1:E6439))))))</f>
        <v> </v>
      </c>
      <c r="K6440" s="26" t="str">
        <f>IF(OR(E6440="",E6440="!!!",F6440="NEW"),"",INDEX(J$1:J6439,SUMPRODUCT(MAX(ROW(E$1:E6439)*(E6440=E$1:E6439)))))</f>
        <v> </v>
      </c>
      <c r="L6440" s="27"/>
    </row>
    <row r="6441" spans="1:12">
      <c r="A6441" s="20" t="s">
        <v>1193</v>
      </c>
      <c r="E6441" s="22">
        <f>IF(D6441="?OLD","!!!","")</f>
        <v/>
      </c>
      <c r="F6441" s="23" t="str">
        <f>IF(OR(E6441="",E6441="!!!"),"",IF(NOT(ISNA(VLOOKUP(E6441,E$1:E6440,1,FALSE()))),"OLD",IF(AND(E6441&lt;&gt;"",E6441&lt;&gt;"!!!"),"NEW","")))</f>
        <v> </v>
      </c>
      <c r="G6441" s="24" t="str">
        <f>IF(OR(E6441="",E6441="!!!"),"",IF(OR(J6441=0,AND(J6441=1,K6441=1),AND(J6441=1,I6441="SBJ"),AND(J6441=1,I6441=0)),"?IN_FOCUS",IF(J6441&lt;=2,"?ACTIVATED",IF(J6441&lt;&gt;"","?FAMILIAR",IF(F6441="NEW",IF(ISNA(VLOOKUP(E6441,#REF!,1,FALSE())),"?TYPE_IDENTIFIABLE","?REFERENTIAL"),"_")))))</f>
        <v> </v>
      </c>
      <c r="H6441" s="25" t="str">
        <f>IF(J6441&lt;&gt;1,"",IF(I6441="SBJ","CB","?"))</f>
        <v> </v>
      </c>
      <c r="I6441" s="26" t="str">
        <f>IF(OR(E6441="",E6441="!!!",F6441="NEW"),"",INDEX(B6440:B$2,-1+SUMPRODUCT(MAX(ROW(E6440:E$2)*(E6441=E6440:E$2)))))</f>
        <v> </v>
      </c>
      <c r="J6441" s="26" t="str">
        <f>IF(OR(E6441="",E6441="!!!",F6441="NEW"),"",COUNTBLANK(OFFSET(A$1,,,SUMPRODUCT(MAX(ROW(E$2:E6441)*(E6441=E$2:E6441)))))-COUNTBLANK(OFFSET(A$1,,,SUMPRODUCT(MAX(ROW(E$1:E6440)*(E2=E$1:E6440))))))</f>
        <v> </v>
      </c>
      <c r="K6441" s="26" t="str">
        <f>IF(OR(E6441="",E6441="!!!",F6441="NEW"),"",INDEX(J$1:J6440,SUMPRODUCT(MAX(ROW(E$1:E6440)*(E6441=E$1:E6440)))))</f>
        <v> </v>
      </c>
      <c r="L6441" s="27"/>
    </row>
    <row r="6442" spans="1:12">
      <c r="A6442" s="20" t="s">
        <v>1302</v>
      </c>
      <c r="E6442" s="22">
        <f>IF(D6442="?OLD","!!!","")</f>
        <v/>
      </c>
      <c r="F6442" s="23" t="str">
        <f>IF(OR(E6442="",E6442="!!!"),"",IF(NOT(ISNA(VLOOKUP(E6442,E$1:E6441,1,FALSE()))),"OLD",IF(AND(E6442&lt;&gt;"",E6442&lt;&gt;"!!!"),"NEW","")))</f>
        <v> </v>
      </c>
      <c r="G6442" s="24" t="str">
        <f>IF(OR(E6442="",E6442="!!!"),"",IF(OR(J6442=0,AND(J6442=1,K6442=1),AND(J6442=1,I6442="SBJ"),AND(J6442=1,I6442=0)),"?IN_FOCUS",IF(J6442&lt;=2,"?ACTIVATED",IF(J6442&lt;&gt;"","?FAMILIAR",IF(F6442="NEW",IF(ISNA(VLOOKUP(E6442,#REF!,1,FALSE())),"?TYPE_IDENTIFIABLE","?REFERENTIAL"),"_")))))</f>
        <v> </v>
      </c>
      <c r="H6442" s="25" t="str">
        <f>IF(J6442&lt;&gt;1,"",IF(I6442="SBJ","CB","?"))</f>
        <v> </v>
      </c>
      <c r="I6442" s="26" t="str">
        <f>IF(OR(E6442="",E6442="!!!",F6442="NEW"),"",INDEX(B6441:B$2,-1+SUMPRODUCT(MAX(ROW(E6441:E$2)*(E6442=E6441:E$2)))))</f>
        <v> </v>
      </c>
      <c r="J6442" s="26" t="str">
        <f>IF(OR(E6442="",E6442="!!!",F6442="NEW"),"",COUNTBLANK(OFFSET(A$1,,,SUMPRODUCT(MAX(ROW(E$2:E6442)*(E6442=E$2:E6442)))))-COUNTBLANK(OFFSET(A$1,,,SUMPRODUCT(MAX(ROW(E$1:E6441)*(E2=E$1:E6441))))))</f>
        <v> </v>
      </c>
      <c r="K6442" s="26" t="str">
        <f>IF(OR(E6442="",E6442="!!!",F6442="NEW"),"",INDEX(J$1:J6441,SUMPRODUCT(MAX(ROW(E$1:E6441)*(E6442=E$1:E6441)))))</f>
        <v> </v>
      </c>
      <c r="L6442" s="27"/>
    </row>
    <row r="6443" spans="1:12">
      <c r="A6443" s="20" t="s">
        <v>1271</v>
      </c>
      <c r="B6443" s="21" t="s">
        <v>1248</v>
      </c>
      <c r="C6443" s="21" t="s">
        <v>1203</v>
      </c>
      <c r="D6443" s="21" t="s">
        <v>1188</v>
      </c>
      <c r="E6443" s="22">
        <f>IF(D6443="?OLD","!!!","")</f>
        <v/>
      </c>
      <c r="F6443" s="23" t="str">
        <f>IF(OR(E6443="",E6443="!!!"),"",IF(NOT(ISNA(VLOOKUP(E6443,E$1:E6442,1,FALSE()))),"OLD",IF(AND(E6443&lt;&gt;"",E6443&lt;&gt;"!!!"),"NEW","")))</f>
        <v> </v>
      </c>
      <c r="G6443" s="24" t="str">
        <f>IF(OR(E6443="",E6443="!!!"),"",IF(OR(J6443=0,AND(J6443=1,K6443=1),AND(J6443=1,I6443="SBJ"),AND(J6443=1,I6443=0)),"?IN_FOCUS",IF(J6443&lt;=2,"?ACTIVATED",IF(J6443&lt;&gt;"","?FAMILIAR",IF(F6443="NEW",IF(ISNA(VLOOKUP(E6443,#REF!,1,FALSE())),"?TYPE_IDENTIFIABLE","?REFERENTIAL"),"_")))))</f>
        <v> </v>
      </c>
      <c r="H6443" s="25" t="str">
        <f>IF(J6443&lt;&gt;1,"",IF(I6443="SBJ","CB","?"))</f>
        <v> </v>
      </c>
      <c r="I6443" s="26" t="str">
        <f>IF(OR(E6443="",E6443="!!!",F6443="NEW"),"",INDEX(B6442:B$2,-1+SUMPRODUCT(MAX(ROW(E6442:E$2)*(E6443=E6442:E$2)))))</f>
        <v> </v>
      </c>
      <c r="J6443" s="26" t="str">
        <f>IF(OR(E6443="",E6443="!!!",F6443="NEW"),"",COUNTBLANK(OFFSET(A$1,,,SUMPRODUCT(MAX(ROW(E$2:E6443)*(E6443=E$2:E6443)))))-COUNTBLANK(OFFSET(A$1,,,SUMPRODUCT(MAX(ROW(E$1:E6442)*(E2=E$1:E6442))))))</f>
        <v> </v>
      </c>
      <c r="K6443" s="26" t="str">
        <f>IF(OR(E6443="",E6443="!!!",F6443="NEW"),"",INDEX(J$1:J6442,SUMPRODUCT(MAX(ROW(E$1:E6442)*(E6443=E$1:E6442)))))</f>
        <v> </v>
      </c>
      <c r="L6443" s="27"/>
    </row>
    <row r="6444" spans="1:12">
      <c r="A6444" s="20" t="s">
        <v>2072</v>
      </c>
      <c r="E6444" s="22">
        <f>IF(D6444="?OLD","!!!","")</f>
        <v/>
      </c>
      <c r="F6444" s="23" t="str">
        <f>IF(OR(E6444="",E6444="!!!"),"",IF(NOT(ISNA(VLOOKUP(E6444,E$1:E6443,1,FALSE()))),"OLD",IF(AND(E6444&lt;&gt;"",E6444&lt;&gt;"!!!"),"NEW","")))</f>
        <v> </v>
      </c>
      <c r="G6444" s="24" t="str">
        <f>IF(OR(E6444="",E6444="!!!"),"",IF(OR(J6444=0,AND(J6444=1,K6444=1),AND(J6444=1,I6444="SBJ"),AND(J6444=1,I6444=0)),"?IN_FOCUS",IF(J6444&lt;=2,"?ACTIVATED",IF(J6444&lt;&gt;"","?FAMILIAR",IF(F6444="NEW",IF(ISNA(VLOOKUP(E6444,#REF!,1,FALSE())),"?TYPE_IDENTIFIABLE","?REFERENTIAL"),"_")))))</f>
        <v> </v>
      </c>
      <c r="H6444" s="25" t="str">
        <f>IF(J6444&lt;&gt;1,"",IF(I6444="SBJ","CB","?"))</f>
        <v> </v>
      </c>
      <c r="I6444" s="26" t="str">
        <f>IF(OR(E6444="",E6444="!!!",F6444="NEW"),"",INDEX(B6443:B$2,-1+SUMPRODUCT(MAX(ROW(E6443:E$2)*(E6444=E6443:E$2)))))</f>
        <v> </v>
      </c>
      <c r="J6444" s="26" t="str">
        <f>IF(OR(E6444="",E6444="!!!",F6444="NEW"),"",COUNTBLANK(OFFSET(A$1,,,SUMPRODUCT(MAX(ROW(E$2:E6444)*(E6444=E$2:E6444)))))-COUNTBLANK(OFFSET(A$1,,,SUMPRODUCT(MAX(ROW(E$1:E6443)*(E2=E$1:E6443))))))</f>
        <v> </v>
      </c>
      <c r="K6444" s="26" t="str">
        <f>IF(OR(E6444="",E6444="!!!",F6444="NEW"),"",INDEX(J$1:J6443,SUMPRODUCT(MAX(ROW(E$1:E6443)*(E6444=E$1:E6443)))))</f>
        <v> </v>
      </c>
      <c r="L6444" s="27"/>
    </row>
    <row r="6445" spans="1:12">
      <c r="A6445" s="20" t="s">
        <v>1539</v>
      </c>
      <c r="E6445" s="22">
        <f>IF(D6445="?OLD","!!!","")</f>
        <v/>
      </c>
      <c r="F6445" s="23" t="str">
        <f>IF(OR(E6445="",E6445="!!!"),"",IF(NOT(ISNA(VLOOKUP(E6445,E$1:E6444,1,FALSE()))),"OLD",IF(AND(E6445&lt;&gt;"",E6445&lt;&gt;"!!!"),"NEW","")))</f>
        <v> </v>
      </c>
      <c r="G6445" s="24" t="str">
        <f>IF(OR(E6445="",E6445="!!!"),"",IF(OR(J6445=0,AND(J6445=1,K6445=1),AND(J6445=1,I6445="SBJ"),AND(J6445=1,I6445=0)),"?IN_FOCUS",IF(J6445&lt;=2,"?ACTIVATED",IF(J6445&lt;&gt;"","?FAMILIAR",IF(F6445="NEW",IF(ISNA(VLOOKUP(E6445,#REF!,1,FALSE())),"?TYPE_IDENTIFIABLE","?REFERENTIAL"),"_")))))</f>
        <v> </v>
      </c>
      <c r="H6445" s="25" t="str">
        <f>IF(J6445&lt;&gt;1,"",IF(I6445="SBJ","CB","?"))</f>
        <v> </v>
      </c>
      <c r="I6445" s="26" t="str">
        <f>IF(OR(E6445="",E6445="!!!",F6445="NEW"),"",INDEX(B6444:B$2,-1+SUMPRODUCT(MAX(ROW(E6444:E$2)*(E6445=E6444:E$2)))))</f>
        <v> </v>
      </c>
      <c r="J6445" s="26" t="str">
        <f>IF(OR(E6445="",E6445="!!!",F6445="NEW"),"",COUNTBLANK(OFFSET(A$1,,,SUMPRODUCT(MAX(ROW(E$2:E6445)*(E6445=E$2:E6445)))))-COUNTBLANK(OFFSET(A$1,,,SUMPRODUCT(MAX(ROW(E$1:E6444)*(E2=E$1:E6444))))))</f>
        <v> </v>
      </c>
      <c r="K6445" s="26" t="str">
        <f>IF(OR(E6445="",E6445="!!!",F6445="NEW"),"",INDEX(J$1:J6444,SUMPRODUCT(MAX(ROW(E$1:E6444)*(E6445=E$1:E6444)))))</f>
        <v> </v>
      </c>
      <c r="L6445" s="27"/>
    </row>
    <row r="6446" spans="1:12">
      <c r="A6446" s="20" t="s">
        <v>2912</v>
      </c>
      <c r="B6446" s="21" t="s">
        <v>1248</v>
      </c>
      <c r="C6446" s="21" t="s">
        <v>1240</v>
      </c>
      <c r="E6446" s="22">
        <f>IF(D6446="?OLD","!!!","")</f>
        <v/>
      </c>
      <c r="F6446" s="23" t="str">
        <f>IF(OR(E6446="",E6446="!!!"),"",IF(NOT(ISNA(VLOOKUP(E6446,E$1:E6445,1,FALSE()))),"OLD",IF(AND(E6446&lt;&gt;"",E6446&lt;&gt;"!!!"),"NEW","")))</f>
        <v> </v>
      </c>
      <c r="G6446" s="24" t="str">
        <f>IF(OR(E6446="",E6446="!!!"),"",IF(OR(J6446=0,AND(J6446=1,K6446=1),AND(J6446=1,I6446="SBJ"),AND(J6446=1,I6446=0)),"?IN_FOCUS",IF(J6446&lt;=2,"?ACTIVATED",IF(J6446&lt;&gt;"","?FAMILIAR",IF(F6446="NEW",IF(ISNA(VLOOKUP(E6446,#REF!,1,FALSE())),"?TYPE_IDENTIFIABLE","?REFERENTIAL"),"_")))))</f>
        <v> </v>
      </c>
      <c r="H6446" s="25" t="str">
        <f>IF(J6446&lt;&gt;1,"",IF(I6446="SBJ","CB","?"))</f>
        <v> </v>
      </c>
      <c r="I6446" s="26" t="str">
        <f>IF(OR(E6446="",E6446="!!!",F6446="NEW"),"",INDEX(B6445:B$2,-1+SUMPRODUCT(MAX(ROW(E6445:E$2)*(E6446=E6445:E$2)))))</f>
        <v> </v>
      </c>
      <c r="J6446" s="26" t="str">
        <f>IF(OR(E6446="",E6446="!!!",F6446="NEW"),"",COUNTBLANK(OFFSET(A$1,,,SUMPRODUCT(MAX(ROW(E$2:E6446)*(E6446=E$2:E6446)))))-COUNTBLANK(OFFSET(A$1,,,SUMPRODUCT(MAX(ROW(E$1:E6445)*(E2=E$1:E6445))))))</f>
        <v> </v>
      </c>
      <c r="K6446" s="26" t="str">
        <f>IF(OR(E6446="",E6446="!!!",F6446="NEW"),"",INDEX(J$1:J6445,SUMPRODUCT(MAX(ROW(E$1:E6445)*(E6446=E$1:E6445)))))</f>
        <v> </v>
      </c>
      <c r="L6446" s="27"/>
    </row>
    <row r="6447" spans="1:12">
      <c r="A6447" s="20" t="s">
        <v>1359</v>
      </c>
      <c r="E6447" s="22">
        <f>IF(D6447="?OLD","!!!","")</f>
        <v/>
      </c>
      <c r="F6447" s="23" t="str">
        <f>IF(OR(E6447="",E6447="!!!"),"",IF(NOT(ISNA(VLOOKUP(E6447,E$1:E6446,1,FALSE()))),"OLD",IF(AND(E6447&lt;&gt;"",E6447&lt;&gt;"!!!"),"NEW","")))</f>
        <v> </v>
      </c>
      <c r="G6447" s="24" t="str">
        <f>IF(OR(E6447="",E6447="!!!"),"",IF(OR(J6447=0,AND(J6447=1,K6447=1),AND(J6447=1,I6447="SBJ"),AND(J6447=1,I6447=0)),"?IN_FOCUS",IF(J6447&lt;=2,"?ACTIVATED",IF(J6447&lt;&gt;"","?FAMILIAR",IF(F6447="NEW",IF(ISNA(VLOOKUP(E6447,#REF!,1,FALSE())),"?TYPE_IDENTIFIABLE","?REFERENTIAL"),"_")))))</f>
        <v> </v>
      </c>
      <c r="H6447" s="25" t="str">
        <f>IF(J6447&lt;&gt;1,"",IF(I6447="SBJ","CB","?"))</f>
        <v> </v>
      </c>
      <c r="I6447" s="26" t="str">
        <f>IF(OR(E6447="",E6447="!!!",F6447="NEW"),"",INDEX(B6446:B$2,-1+SUMPRODUCT(MAX(ROW(E6446:E$2)*(E6447=E6446:E$2)))))</f>
        <v> </v>
      </c>
      <c r="J6447" s="26" t="str">
        <f>IF(OR(E6447="",E6447="!!!",F6447="NEW"),"",COUNTBLANK(OFFSET(A$1,,,SUMPRODUCT(MAX(ROW(E$2:E6447)*(E6447=E$2:E6447)))))-COUNTBLANK(OFFSET(A$1,,,SUMPRODUCT(MAX(ROW(E$1:E6446)*(E2=E$1:E6446))))))</f>
        <v> </v>
      </c>
      <c r="K6447" s="26" t="str">
        <f>IF(OR(E6447="",E6447="!!!",F6447="NEW"),"",INDEX(J$1:J6446,SUMPRODUCT(MAX(ROW(E$1:E6446)*(E6447=E$1:E6446)))))</f>
        <v> </v>
      </c>
      <c r="L6447" s="27"/>
    </row>
    <row r="6448" spans="1:12">
      <c r="A6448" s="20" t="s">
        <v>1502</v>
      </c>
      <c r="E6448" s="22">
        <f>IF(D6448="?OLD","!!!","")</f>
        <v/>
      </c>
      <c r="F6448" s="23" t="str">
        <f>IF(OR(E6448="",E6448="!!!"),"",IF(NOT(ISNA(VLOOKUP(E6448,E$1:E6447,1,FALSE()))),"OLD",IF(AND(E6448&lt;&gt;"",E6448&lt;&gt;"!!!"),"NEW","")))</f>
        <v> </v>
      </c>
      <c r="G6448" s="24" t="str">
        <f>IF(OR(E6448="",E6448="!!!"),"",IF(OR(J6448=0,AND(J6448=1,K6448=1),AND(J6448=1,I6448="SBJ"),AND(J6448=1,I6448=0)),"?IN_FOCUS",IF(J6448&lt;=2,"?ACTIVATED",IF(J6448&lt;&gt;"","?FAMILIAR",IF(F6448="NEW",IF(ISNA(VLOOKUP(E6448,#REF!,1,FALSE())),"?TYPE_IDENTIFIABLE","?REFERENTIAL"),"_")))))</f>
        <v> </v>
      </c>
      <c r="H6448" s="25" t="str">
        <f>IF(J6448&lt;&gt;1,"",IF(I6448="SBJ","CB","?"))</f>
        <v> </v>
      </c>
      <c r="I6448" s="26" t="str">
        <f>IF(OR(E6448="",E6448="!!!",F6448="NEW"),"",INDEX(B6447:B$2,-1+SUMPRODUCT(MAX(ROW(E6447:E$2)*(E6448=E6447:E$2)))))</f>
        <v> </v>
      </c>
      <c r="J6448" s="26" t="str">
        <f>IF(OR(E6448="",E6448="!!!",F6448="NEW"),"",COUNTBLANK(OFFSET(A$1,,,SUMPRODUCT(MAX(ROW(E$2:E6448)*(E6448=E$2:E6448)))))-COUNTBLANK(OFFSET(A$1,,,SUMPRODUCT(MAX(ROW(E$1:E6447)*(E2=E$1:E6447))))))</f>
        <v> </v>
      </c>
      <c r="K6448" s="26" t="str">
        <f>IF(OR(E6448="",E6448="!!!",F6448="NEW"),"",INDEX(J$1:J6447,SUMPRODUCT(MAX(ROW(E$1:E6447)*(E6448=E$1:E6447)))))</f>
        <v> </v>
      </c>
      <c r="L6448" s="27"/>
    </row>
    <row r="6449" spans="1:12">
      <c r="A6449" s="20" t="s">
        <v>2209</v>
      </c>
      <c r="E6449" s="22">
        <f>IF(D6449="?OLD","!!!","")</f>
        <v/>
      </c>
      <c r="F6449" s="23" t="str">
        <f>IF(OR(E6449="",E6449="!!!"),"",IF(NOT(ISNA(VLOOKUP(E6449,E$1:E6448,1,FALSE()))),"OLD",IF(AND(E6449&lt;&gt;"",E6449&lt;&gt;"!!!"),"NEW","")))</f>
        <v> </v>
      </c>
      <c r="G6449" s="24" t="str">
        <f>IF(OR(E6449="",E6449="!!!"),"",IF(OR(J6449=0,AND(J6449=1,K6449=1),AND(J6449=1,I6449="SBJ"),AND(J6449=1,I6449=0)),"?IN_FOCUS",IF(J6449&lt;=2,"?ACTIVATED",IF(J6449&lt;&gt;"","?FAMILIAR",IF(F6449="NEW",IF(ISNA(VLOOKUP(E6449,#REF!,1,FALSE())),"?TYPE_IDENTIFIABLE","?REFERENTIAL"),"_")))))</f>
        <v> </v>
      </c>
      <c r="H6449" s="25" t="str">
        <f>IF(J6449&lt;&gt;1,"",IF(I6449="SBJ","CB","?"))</f>
        <v> </v>
      </c>
      <c r="I6449" s="26" t="str">
        <f>IF(OR(E6449="",E6449="!!!",F6449="NEW"),"",INDEX(B6448:B$2,-1+SUMPRODUCT(MAX(ROW(E6448:E$2)*(E6449=E6448:E$2)))))</f>
        <v> </v>
      </c>
      <c r="J6449" s="26" t="str">
        <f>IF(OR(E6449="",E6449="!!!",F6449="NEW"),"",COUNTBLANK(OFFSET(A$1,,,SUMPRODUCT(MAX(ROW(E$2:E6449)*(E6449=E$2:E6449)))))-COUNTBLANK(OFFSET(A$1,,,SUMPRODUCT(MAX(ROW(E$1:E6448)*(E2=E$1:E6448))))))</f>
        <v> </v>
      </c>
      <c r="K6449" s="26" t="str">
        <f>IF(OR(E6449="",E6449="!!!",F6449="NEW"),"",INDEX(J$1:J6448,SUMPRODUCT(MAX(ROW(E$1:E6448)*(E6449=E$1:E6448)))))</f>
        <v> </v>
      </c>
      <c r="L6449" s="27"/>
    </row>
    <row r="6450" spans="1:12">
      <c r="A6450" s="20" t="s">
        <v>2210</v>
      </c>
      <c r="B6450" s="21" t="s">
        <v>1199</v>
      </c>
      <c r="C6450" s="21" t="s">
        <v>1196</v>
      </c>
      <c r="D6450" s="21" t="s">
        <v>1188</v>
      </c>
      <c r="E6450" s="22">
        <f>IF(D6450="?OLD","!!!","")</f>
        <v/>
      </c>
      <c r="F6450" s="23" t="str">
        <f>IF(OR(E6450="",E6450="!!!"),"",IF(NOT(ISNA(VLOOKUP(E6450,E$1:E6449,1,FALSE()))),"OLD",IF(AND(E6450&lt;&gt;"",E6450&lt;&gt;"!!!"),"NEW","")))</f>
        <v> </v>
      </c>
      <c r="G6450" s="24" t="str">
        <f>IF(OR(E6450="",E6450="!!!"),"",IF(OR(J6450=0,AND(J6450=1,K6450=1),AND(J6450=1,I6450="SBJ"),AND(J6450=1,I6450=0)),"?IN_FOCUS",IF(J6450&lt;=2,"?ACTIVATED",IF(J6450&lt;&gt;"","?FAMILIAR",IF(F6450="NEW",IF(ISNA(VLOOKUP(E6450,#REF!,1,FALSE())),"?TYPE_IDENTIFIABLE","?REFERENTIAL"),"_")))))</f>
        <v> </v>
      </c>
      <c r="H6450" s="25" t="str">
        <f>IF(J6450&lt;&gt;1,"",IF(I6450="SBJ","CB","?"))</f>
        <v> </v>
      </c>
      <c r="I6450" s="26" t="str">
        <f>IF(OR(E6450="",E6450="!!!",F6450="NEW"),"",INDEX(B6449:B$2,-1+SUMPRODUCT(MAX(ROW(E6449:E$2)*(E6450=E6449:E$2)))))</f>
        <v> </v>
      </c>
      <c r="J6450" s="26" t="str">
        <f>IF(OR(E6450="",E6450="!!!",F6450="NEW"),"",COUNTBLANK(OFFSET(A$1,,,SUMPRODUCT(MAX(ROW(E$2:E6450)*(E6450=E$2:E6450)))))-COUNTBLANK(OFFSET(A$1,,,SUMPRODUCT(MAX(ROW(E$1:E6449)*(E2=E$1:E6449))))))</f>
        <v> </v>
      </c>
      <c r="K6450" s="26" t="str">
        <f>IF(OR(E6450="",E6450="!!!",F6450="NEW"),"",INDEX(J$1:J6449,SUMPRODUCT(MAX(ROW(E$1:E6449)*(E6450=E$1:E6449)))))</f>
        <v> </v>
      </c>
      <c r="L6450" s="27"/>
    </row>
    <row r="6451" spans="1:12">
      <c r="A6451" s="20" t="s">
        <v>1321</v>
      </c>
      <c r="E6451" s="22">
        <f>IF(D6451="?OLD","!!!","")</f>
        <v/>
      </c>
      <c r="F6451" s="23" t="str">
        <f>IF(OR(E6451="",E6451="!!!"),"",IF(NOT(ISNA(VLOOKUP(E6451,E$1:E6450,1,FALSE()))),"OLD",IF(AND(E6451&lt;&gt;"",E6451&lt;&gt;"!!!"),"NEW","")))</f>
        <v> </v>
      </c>
      <c r="G6451" s="24" t="str">
        <f>IF(OR(E6451="",E6451="!!!"),"",IF(OR(J6451=0,AND(J6451=1,K6451=1),AND(J6451=1,I6451="SBJ"),AND(J6451=1,I6451=0)),"?IN_FOCUS",IF(J6451&lt;=2,"?ACTIVATED",IF(J6451&lt;&gt;"","?FAMILIAR",IF(F6451="NEW",IF(ISNA(VLOOKUP(E6451,#REF!,1,FALSE())),"?TYPE_IDENTIFIABLE","?REFERENTIAL"),"_")))))</f>
        <v> </v>
      </c>
      <c r="H6451" s="25" t="str">
        <f>IF(J6451&lt;&gt;1,"",IF(I6451="SBJ","CB","?"))</f>
        <v> </v>
      </c>
      <c r="I6451" s="26" t="str">
        <f>IF(OR(E6451="",E6451="!!!",F6451="NEW"),"",INDEX(B6450:B$2,-1+SUMPRODUCT(MAX(ROW(E6450:E$2)*(E6451=E6450:E$2)))))</f>
        <v> </v>
      </c>
      <c r="J6451" s="26" t="str">
        <f>IF(OR(E6451="",E6451="!!!",F6451="NEW"),"",COUNTBLANK(OFFSET(A$1,,,SUMPRODUCT(MAX(ROW(E$2:E6451)*(E6451=E$2:E6451)))))-COUNTBLANK(OFFSET(A$1,,,SUMPRODUCT(MAX(ROW(E$1:E6450)*(E2=E$1:E6450))))))</f>
        <v> </v>
      </c>
      <c r="K6451" s="26" t="str">
        <f>IF(OR(E6451="",E6451="!!!",F6451="NEW"),"",INDEX(J$1:J6450,SUMPRODUCT(MAX(ROW(E$1:E6450)*(E6451=E$1:E6450)))))</f>
        <v> </v>
      </c>
      <c r="L6451" s="27"/>
    </row>
    <row r="6452" spans="1:12">
      <c r="A6452" s="20" t="s">
        <v>1337</v>
      </c>
      <c r="E6452" s="22">
        <f>IF(D6452="?OLD","!!!","")</f>
        <v/>
      </c>
      <c r="F6452" s="23" t="str">
        <f>IF(OR(E6452="",E6452="!!!"),"",IF(NOT(ISNA(VLOOKUP(E6452,E$1:E6451,1,FALSE()))),"OLD",IF(AND(E6452&lt;&gt;"",E6452&lt;&gt;"!!!"),"NEW","")))</f>
        <v> </v>
      </c>
      <c r="G6452" s="24" t="str">
        <f>IF(OR(E6452="",E6452="!!!"),"",IF(OR(J6452=0,AND(J6452=1,K6452=1),AND(J6452=1,I6452="SBJ"),AND(J6452=1,I6452=0)),"?IN_FOCUS",IF(J6452&lt;=2,"?ACTIVATED",IF(J6452&lt;&gt;"","?FAMILIAR",IF(F6452="NEW",IF(ISNA(VLOOKUP(E6452,#REF!,1,FALSE())),"?TYPE_IDENTIFIABLE","?REFERENTIAL"),"_")))))</f>
        <v> </v>
      </c>
      <c r="H6452" s="25" t="str">
        <f>IF(J6452&lt;&gt;1,"",IF(I6452="SBJ","CB","?"))</f>
        <v> </v>
      </c>
      <c r="I6452" s="26" t="str">
        <f>IF(OR(E6452="",E6452="!!!",F6452="NEW"),"",INDEX(B6451:B$2,-1+SUMPRODUCT(MAX(ROW(E6451:E$2)*(E6452=E6451:E$2)))))</f>
        <v> </v>
      </c>
      <c r="J6452" s="26" t="str">
        <f>IF(OR(E6452="",E6452="!!!",F6452="NEW"),"",COUNTBLANK(OFFSET(A$1,,,SUMPRODUCT(MAX(ROW(E$2:E6452)*(E6452=E$2:E6452)))))-COUNTBLANK(OFFSET(A$1,,,SUMPRODUCT(MAX(ROW(E$1:E6451)*(E2=E$1:E6451))))))</f>
        <v> </v>
      </c>
      <c r="K6452" s="26" t="str">
        <f>IF(OR(E6452="",E6452="!!!",F6452="NEW"),"",INDEX(J$1:J6451,SUMPRODUCT(MAX(ROW(E$1:E6451)*(E6452=E$1:E6451)))))</f>
        <v> </v>
      </c>
      <c r="L6452" s="27"/>
    </row>
    <row r="6453" spans="1:12">
      <c r="A6453" s="20" t="s">
        <v>2913</v>
      </c>
      <c r="E6453" s="22">
        <f>IF(D6453="?OLD","!!!","")</f>
        <v/>
      </c>
      <c r="F6453" s="23" t="str">
        <f>IF(OR(E6453="",E6453="!!!"),"",IF(NOT(ISNA(VLOOKUP(E6453,E$1:E6452,1,FALSE()))),"OLD",IF(AND(E6453&lt;&gt;"",E6453&lt;&gt;"!!!"),"NEW","")))</f>
        <v> </v>
      </c>
      <c r="G6453" s="24" t="str">
        <f>IF(OR(E6453="",E6453="!!!"),"",IF(OR(J6453=0,AND(J6453=1,K6453=1),AND(J6453=1,I6453="SBJ"),AND(J6453=1,I6453=0)),"?IN_FOCUS",IF(J6453&lt;=2,"?ACTIVATED",IF(J6453&lt;&gt;"","?FAMILIAR",IF(F6453="NEW",IF(ISNA(VLOOKUP(E6453,#REF!,1,FALSE())),"?TYPE_IDENTIFIABLE","?REFERENTIAL"),"_")))))</f>
        <v> </v>
      </c>
      <c r="H6453" s="25" t="str">
        <f>IF(J6453&lt;&gt;1,"",IF(I6453="SBJ","CB","?"))</f>
        <v> </v>
      </c>
      <c r="I6453" s="26" t="str">
        <f>IF(OR(E6453="",E6453="!!!",F6453="NEW"),"",INDEX(B6452:B$2,-1+SUMPRODUCT(MAX(ROW(E6452:E$2)*(E6453=E6452:E$2)))))</f>
        <v> </v>
      </c>
      <c r="J6453" s="26" t="str">
        <f>IF(OR(E6453="",E6453="!!!",F6453="NEW"),"",COUNTBLANK(OFFSET(A$1,,,SUMPRODUCT(MAX(ROW(E$2:E6453)*(E6453=E$2:E6453)))))-COUNTBLANK(OFFSET(A$1,,,SUMPRODUCT(MAX(ROW(E$1:E6452)*(E2=E$1:E6452))))))</f>
        <v> </v>
      </c>
      <c r="K6453" s="26" t="str">
        <f>IF(OR(E6453="",E6453="!!!",F6453="NEW"),"",INDEX(J$1:J6452,SUMPRODUCT(MAX(ROW(E$1:E6452)*(E6453=E$1:E6452)))))</f>
        <v> </v>
      </c>
      <c r="L6453" s="27"/>
    </row>
    <row r="6454" spans="1:12">
      <c r="A6454" s="20" t="s">
        <v>1725</v>
      </c>
      <c r="E6454" s="22">
        <f>IF(D6454="?OLD","!!!","")</f>
        <v/>
      </c>
      <c r="F6454" s="23" t="str">
        <f>IF(OR(E6454="",E6454="!!!"),"",IF(NOT(ISNA(VLOOKUP(E6454,E$1:E6453,1,FALSE()))),"OLD",IF(AND(E6454&lt;&gt;"",E6454&lt;&gt;"!!!"),"NEW","")))</f>
        <v> </v>
      </c>
      <c r="G6454" s="24" t="str">
        <f>IF(OR(E6454="",E6454="!!!"),"",IF(OR(J6454=0,AND(J6454=1,K6454=1),AND(J6454=1,I6454="SBJ"),AND(J6454=1,I6454=0)),"?IN_FOCUS",IF(J6454&lt;=2,"?ACTIVATED",IF(J6454&lt;&gt;"","?FAMILIAR",IF(F6454="NEW",IF(ISNA(VLOOKUP(E6454,#REF!,1,FALSE())),"?TYPE_IDENTIFIABLE","?REFERENTIAL"),"_")))))</f>
        <v> </v>
      </c>
      <c r="H6454" s="25" t="str">
        <f>IF(J6454&lt;&gt;1,"",IF(I6454="SBJ","CB","?"))</f>
        <v> </v>
      </c>
      <c r="I6454" s="26" t="str">
        <f>IF(OR(E6454="",E6454="!!!",F6454="NEW"),"",INDEX(B6453:B$2,-1+SUMPRODUCT(MAX(ROW(E6453:E$2)*(E6454=E6453:E$2)))))</f>
        <v> </v>
      </c>
      <c r="J6454" s="26" t="str">
        <f>IF(OR(E6454="",E6454="!!!",F6454="NEW"),"",COUNTBLANK(OFFSET(A$1,,,SUMPRODUCT(MAX(ROW(E$2:E6454)*(E6454=E$2:E6454)))))-COUNTBLANK(OFFSET(A$1,,,SUMPRODUCT(MAX(ROW(E$1:E6453)*(E2=E$1:E6453))))))</f>
        <v> </v>
      </c>
      <c r="K6454" s="26" t="str">
        <f>IF(OR(E6454="",E6454="!!!",F6454="NEW"),"",INDEX(J$1:J6453,SUMPRODUCT(MAX(ROW(E$1:E6453)*(E6454=E$1:E6453)))))</f>
        <v> </v>
      </c>
      <c r="L6454" s="27"/>
    </row>
    <row r="6455" spans="1:12">
      <c r="A6455" s="20" t="s">
        <v>2582</v>
      </c>
      <c r="B6455" s="21" t="s">
        <v>1199</v>
      </c>
      <c r="C6455" s="21" t="s">
        <v>1240</v>
      </c>
      <c r="E6455" s="22">
        <f>IF(D6455="?OLD","!!!","")</f>
        <v/>
      </c>
      <c r="F6455" s="23" t="str">
        <f>IF(OR(E6455="",E6455="!!!"),"",IF(NOT(ISNA(VLOOKUP(E6455,E$1:E6454,1,FALSE()))),"OLD",IF(AND(E6455&lt;&gt;"",E6455&lt;&gt;"!!!"),"NEW","")))</f>
        <v> </v>
      </c>
      <c r="G6455" s="24" t="str">
        <f>IF(OR(E6455="",E6455="!!!"),"",IF(OR(J6455=0,AND(J6455=1,K6455=1),AND(J6455=1,I6455="SBJ"),AND(J6455=1,I6455=0)),"?IN_FOCUS",IF(J6455&lt;=2,"?ACTIVATED",IF(J6455&lt;&gt;"","?FAMILIAR",IF(F6455="NEW",IF(ISNA(VLOOKUP(E6455,#REF!,1,FALSE())),"?TYPE_IDENTIFIABLE","?REFERENTIAL"),"_")))))</f>
        <v> </v>
      </c>
      <c r="H6455" s="25" t="str">
        <f>IF(J6455&lt;&gt;1,"",IF(I6455="SBJ","CB","?"))</f>
        <v> </v>
      </c>
      <c r="I6455" s="26" t="str">
        <f>IF(OR(E6455="",E6455="!!!",F6455="NEW"),"",INDEX(B6454:B$2,-1+SUMPRODUCT(MAX(ROW(E6454:E$2)*(E6455=E6454:E$2)))))</f>
        <v> </v>
      </c>
      <c r="J6455" s="26" t="str">
        <f>IF(OR(E6455="",E6455="!!!",F6455="NEW"),"",COUNTBLANK(OFFSET(A$1,,,SUMPRODUCT(MAX(ROW(E$2:E6455)*(E6455=E$2:E6455)))))-COUNTBLANK(OFFSET(A$1,,,SUMPRODUCT(MAX(ROW(E$1:E6454)*(E2=E$1:E6454))))))</f>
        <v> </v>
      </c>
      <c r="K6455" s="26" t="str">
        <f>IF(OR(E6455="",E6455="!!!",F6455="NEW"),"",INDEX(J$1:J6454,SUMPRODUCT(MAX(ROW(E$1:E6454)*(E6455=E$1:E6454)))))</f>
        <v> </v>
      </c>
      <c r="L6455" s="27"/>
    </row>
    <row r="6456" spans="1:12">
      <c r="A6456" s="20" t="s">
        <v>1157</v>
      </c>
      <c r="E6456" s="22">
        <f>IF(D6456="?OLD","!!!","")</f>
        <v/>
      </c>
      <c r="F6456" s="23" t="str">
        <f>IF(OR(E6456="",E6456="!!!"),"",IF(NOT(ISNA(VLOOKUP(E6456,E$1:E6455,1,FALSE()))),"OLD",IF(AND(E6456&lt;&gt;"",E6456&lt;&gt;"!!!"),"NEW","")))</f>
        <v> </v>
      </c>
      <c r="G6456" s="24" t="str">
        <f>IF(OR(E6456="",E6456="!!!"),"",IF(OR(J6456=0,AND(J6456=1,K6456=1),AND(J6456=1,I6456="SBJ"),AND(J6456=1,I6456=0)),"?IN_FOCUS",IF(J6456&lt;=2,"?ACTIVATED",IF(J6456&lt;&gt;"","?FAMILIAR",IF(F6456="NEW",IF(ISNA(VLOOKUP(E6456,#REF!,1,FALSE())),"?TYPE_IDENTIFIABLE","?REFERENTIAL"),"_")))))</f>
        <v> </v>
      </c>
      <c r="H6456" s="25" t="str">
        <f>IF(J6456&lt;&gt;1,"",IF(I6456="SBJ","CB","?"))</f>
        <v> </v>
      </c>
      <c r="I6456" s="26" t="str">
        <f>IF(OR(E6456="",E6456="!!!",F6456="NEW"),"",INDEX(B6455:B$2,-1+SUMPRODUCT(MAX(ROW(E6455:E$2)*(E6456=E6455:E$2)))))</f>
        <v> </v>
      </c>
      <c r="J6456" s="26" t="str">
        <f>IF(OR(E6456="",E6456="!!!",F6456="NEW"),"",COUNTBLANK(OFFSET(A$1,,,SUMPRODUCT(MAX(ROW(E$2:E6456)*(E6456=E$2:E6456)))))-COUNTBLANK(OFFSET(A$1,,,SUMPRODUCT(MAX(ROW(E$1:E6455)*(E2=E$1:E6455))))))</f>
        <v> </v>
      </c>
      <c r="K6456" s="26" t="str">
        <f>IF(OR(E6456="",E6456="!!!",F6456="NEW"),"",INDEX(J$1:J6455,SUMPRODUCT(MAX(ROW(E$1:E6455)*(E6456=E$1:E6455)))))</f>
        <v> </v>
      </c>
      <c r="L6456" s="27"/>
    </row>
    <row r="6457" spans="1:12">
      <c r="A6457" s="20" t="s">
        <v>826</v>
      </c>
      <c r="E6457" s="22">
        <f>IF(D6457="?OLD","!!!","")</f>
        <v/>
      </c>
      <c r="F6457" s="23" t="str">
        <f>IF(OR(E6457="",E6457="!!!"),"",IF(NOT(ISNA(VLOOKUP(E6457,E$1:E6456,1,FALSE()))),"OLD",IF(AND(E6457&lt;&gt;"",E6457&lt;&gt;"!!!"),"NEW","")))</f>
        <v> </v>
      </c>
      <c r="G6457" s="24" t="str">
        <f>IF(OR(E6457="",E6457="!!!"),"",IF(OR(J6457=0,AND(J6457=1,K6457=1),AND(J6457=1,I6457="SBJ"),AND(J6457=1,I6457=0)),"?IN_FOCUS",IF(J6457&lt;=2,"?ACTIVATED",IF(J6457&lt;&gt;"","?FAMILIAR",IF(F6457="NEW",IF(ISNA(VLOOKUP(E6457,#REF!,1,FALSE())),"?TYPE_IDENTIFIABLE","?REFERENTIAL"),"_")))))</f>
        <v> </v>
      </c>
      <c r="H6457" s="25" t="str">
        <f>IF(J6457&lt;&gt;1,"",IF(I6457="SBJ","CB","?"))</f>
        <v> </v>
      </c>
      <c r="I6457" s="26" t="str">
        <f>IF(OR(E6457="",E6457="!!!",F6457="NEW"),"",INDEX(B6456:B$2,-1+SUMPRODUCT(MAX(ROW(E6456:E$2)*(E6457=E6456:E$2)))))</f>
        <v> </v>
      </c>
      <c r="J6457" s="26" t="str">
        <f>IF(OR(E6457="",E6457="!!!",F6457="NEW"),"",COUNTBLANK(OFFSET(A$1,,,SUMPRODUCT(MAX(ROW(E$2:E6457)*(E6457=E$2:E6457)))))-COUNTBLANK(OFFSET(A$1,,,SUMPRODUCT(MAX(ROW(E$1:E6456)*(E2=E$1:E6456))))))</f>
        <v> </v>
      </c>
      <c r="K6457" s="26" t="str">
        <f>IF(OR(E6457="",E6457="!!!",F6457="NEW"),"",INDEX(J$1:J6456,SUMPRODUCT(MAX(ROW(E$1:E6456)*(E6457=E$1:E6456)))))</f>
        <v> </v>
      </c>
      <c r="L6457" s="27"/>
    </row>
    <row r="6458" spans="1:12">
      <c r="A6458" s="20"/>
    </row>
    <row r="6459" spans="1:12">
      <c r="A6459" s="20" t="s">
        <v>2914</v>
      </c>
    </row>
    <row r="6460" spans="1:12">
      <c r="A6460" s="20" t="s">
        <v>1270</v>
      </c>
      <c r="E6460" s="22">
        <f>IF(D6460="?OLD","!!!","")</f>
        <v/>
      </c>
      <c r="F6460" s="23" t="str">
        <f>IF(OR(E6460="",E6460="!!!"),"",IF(NOT(ISNA(VLOOKUP(E6460,E$1:E6459,1,FALSE()))),"OLD",IF(AND(E6460&lt;&gt;"",E6460&lt;&gt;"!!!"),"NEW","")))</f>
        <v> </v>
      </c>
      <c r="G6460" s="24" t="str">
        <f>IF(OR(E6460="",E6460="!!!"),"",IF(OR(J6460=0,AND(J6460=1,K6460=1),AND(J6460=1,I6460="SBJ"),AND(J6460=1,I6460=0)),"?IN_FOCUS",IF(J6460&lt;=2,"?ACTIVATED",IF(J6460&lt;&gt;"","?FAMILIAR",IF(F6460="NEW",IF(ISNA(VLOOKUP(E6460,#REF!,1,FALSE())),"?TYPE_IDENTIFIABLE","?REFERENTIAL"),"_")))))</f>
        <v> </v>
      </c>
      <c r="H6460" s="25" t="str">
        <f>IF(J6460&lt;&gt;1,"",IF(I6460="SBJ","CB","?"))</f>
        <v> </v>
      </c>
      <c r="I6460" s="26" t="str">
        <f>IF(OR(E6460="",E6460="!!!",F6460="NEW"),"",INDEX(B6459:B$2,-1+SUMPRODUCT(MAX(ROW(E6459:E$2)*(E6460=E6459:E$2)))))</f>
        <v> </v>
      </c>
      <c r="J6460" s="26" t="str">
        <f>IF(OR(E6460="",E6460="!!!",F6460="NEW"),"",COUNTBLANK(OFFSET(A$1,,,SUMPRODUCT(MAX(ROW(E$2:E6460)*(E6460=E$2:E6460)))))-COUNTBLANK(OFFSET(A$1,,,SUMPRODUCT(MAX(ROW(E$1:E6459)*(E2=E$1:E6459))))))</f>
        <v> </v>
      </c>
      <c r="K6460" s="26" t="str">
        <f>IF(OR(E6460="",E6460="!!!",F6460="NEW"),"",INDEX(J$1:J6459,SUMPRODUCT(MAX(ROW(E$1:E6459)*(E6460=E$1:E6459)))))</f>
        <v> </v>
      </c>
      <c r="L6460" s="27"/>
    </row>
    <row r="6461" spans="1:12">
      <c r="A6461" s="20" t="s">
        <v>1190</v>
      </c>
      <c r="E6461" s="22">
        <f>IF(D6461="?OLD","!!!","")</f>
        <v/>
      </c>
      <c r="F6461" s="23" t="str">
        <f>IF(OR(E6461="",E6461="!!!"),"",IF(NOT(ISNA(VLOOKUP(E6461,E$1:E6460,1,FALSE()))),"OLD",IF(AND(E6461&lt;&gt;"",E6461&lt;&gt;"!!!"),"NEW","")))</f>
        <v> </v>
      </c>
      <c r="G6461" s="24" t="str">
        <f>IF(OR(E6461="",E6461="!!!"),"",IF(OR(J6461=0,AND(J6461=1,K6461=1),AND(J6461=1,I6461="SBJ"),AND(J6461=1,I6461=0)),"?IN_FOCUS",IF(J6461&lt;=2,"?ACTIVATED",IF(J6461&lt;&gt;"","?FAMILIAR",IF(F6461="NEW",IF(ISNA(VLOOKUP(E6461,#REF!,1,FALSE())),"?TYPE_IDENTIFIABLE","?REFERENTIAL"),"_")))))</f>
        <v> </v>
      </c>
      <c r="H6461" s="25" t="str">
        <f>IF(J6461&lt;&gt;1,"",IF(I6461="SBJ","CB","?"))</f>
        <v> </v>
      </c>
      <c r="I6461" s="26" t="str">
        <f>IF(OR(E6461="",E6461="!!!",F6461="NEW"),"",INDEX(B6460:B$2,-1+SUMPRODUCT(MAX(ROW(E6460:E$2)*(E6461=E6460:E$2)))))</f>
        <v> </v>
      </c>
      <c r="J6461" s="26" t="str">
        <f>IF(OR(E6461="",E6461="!!!",F6461="NEW"),"",COUNTBLANK(OFFSET(A$1,,,SUMPRODUCT(MAX(ROW(E$2:E6461)*(E6461=E$2:E6461)))))-COUNTBLANK(OFFSET(A$1,,,SUMPRODUCT(MAX(ROW(E$1:E6460)*(E2=E$1:E6460))))))</f>
        <v> </v>
      </c>
      <c r="K6461" s="26" t="str">
        <f>IF(OR(E6461="",E6461="!!!",F6461="NEW"),"",INDEX(J$1:J6460,SUMPRODUCT(MAX(ROW(E$1:E6460)*(E6461=E$1:E6460)))))</f>
        <v> </v>
      </c>
      <c r="L6461" s="27"/>
    </row>
    <row r="6462" spans="1:12">
      <c r="A6462" s="20" t="s">
        <v>1288</v>
      </c>
      <c r="E6462" s="22">
        <f>IF(D6462="?OLD","!!!","")</f>
        <v/>
      </c>
      <c r="F6462" s="23" t="str">
        <f>IF(OR(E6462="",E6462="!!!"),"",IF(NOT(ISNA(VLOOKUP(E6462,E$1:E6461,1,FALSE()))),"OLD",IF(AND(E6462&lt;&gt;"",E6462&lt;&gt;"!!!"),"NEW","")))</f>
        <v> </v>
      </c>
      <c r="G6462" s="24" t="str">
        <f>IF(OR(E6462="",E6462="!!!"),"",IF(OR(J6462=0,AND(J6462=1,K6462=1),AND(J6462=1,I6462="SBJ"),AND(J6462=1,I6462=0)),"?IN_FOCUS",IF(J6462&lt;=2,"?ACTIVATED",IF(J6462&lt;&gt;"","?FAMILIAR",IF(F6462="NEW",IF(ISNA(VLOOKUP(E6462,#REF!,1,FALSE())),"?TYPE_IDENTIFIABLE","?REFERENTIAL"),"_")))))</f>
        <v> </v>
      </c>
      <c r="H6462" s="25" t="str">
        <f>IF(J6462&lt;&gt;1,"",IF(I6462="SBJ","CB","?"))</f>
        <v> </v>
      </c>
      <c r="I6462" s="26" t="str">
        <f>IF(OR(E6462="",E6462="!!!",F6462="NEW"),"",INDEX(B6461:B$2,-1+SUMPRODUCT(MAX(ROW(E6461:E$2)*(E6462=E6461:E$2)))))</f>
        <v> </v>
      </c>
      <c r="J6462" s="26" t="str">
        <f>IF(OR(E6462="",E6462="!!!",F6462="NEW"),"",COUNTBLANK(OFFSET(A$1,,,SUMPRODUCT(MAX(ROW(E$2:E6462)*(E6462=E$2:E6462)))))-COUNTBLANK(OFFSET(A$1,,,SUMPRODUCT(MAX(ROW(E$1:E6461)*(E2=E$1:E6461))))))</f>
        <v> </v>
      </c>
      <c r="K6462" s="26" t="str">
        <f>IF(OR(E6462="",E6462="!!!",F6462="NEW"),"",INDEX(J$1:J6461,SUMPRODUCT(MAX(ROW(E$1:E6461)*(E6462=E$1:E6461)))))</f>
        <v> </v>
      </c>
      <c r="L6462" s="27"/>
    </row>
    <row r="6463" spans="1:12">
      <c r="A6463" s="20" t="s">
        <v>1206</v>
      </c>
      <c r="E6463" s="22">
        <f>IF(D6463="?OLD","!!!","")</f>
        <v/>
      </c>
      <c r="F6463" s="23" t="str">
        <f>IF(OR(E6463="",E6463="!!!"),"",IF(NOT(ISNA(VLOOKUP(E6463,E$1:E6462,1,FALSE()))),"OLD",IF(AND(E6463&lt;&gt;"",E6463&lt;&gt;"!!!"),"NEW","")))</f>
        <v> </v>
      </c>
      <c r="G6463" s="24" t="str">
        <f>IF(OR(E6463="",E6463="!!!"),"",IF(OR(J6463=0,AND(J6463=1,K6463=1),AND(J6463=1,I6463="SBJ"),AND(J6463=1,I6463=0)),"?IN_FOCUS",IF(J6463&lt;=2,"?ACTIVATED",IF(J6463&lt;&gt;"","?FAMILIAR",IF(F6463="NEW",IF(ISNA(VLOOKUP(E6463,#REF!,1,FALSE())),"?TYPE_IDENTIFIABLE","?REFERENTIAL"),"_")))))</f>
        <v> </v>
      </c>
      <c r="H6463" s="25" t="str">
        <f>IF(J6463&lt;&gt;1,"",IF(I6463="SBJ","CB","?"))</f>
        <v> </v>
      </c>
      <c r="I6463" s="26" t="str">
        <f>IF(OR(E6463="",E6463="!!!",F6463="NEW"),"",INDEX(B6462:B$2,-1+SUMPRODUCT(MAX(ROW(E6462:E$2)*(E6463=E6462:E$2)))))</f>
        <v> </v>
      </c>
      <c r="J6463" s="26" t="str">
        <f>IF(OR(E6463="",E6463="!!!",F6463="NEW"),"",COUNTBLANK(OFFSET(A$1,,,SUMPRODUCT(MAX(ROW(E$2:E6463)*(E6463=E$2:E6463)))))-COUNTBLANK(OFFSET(A$1,,,SUMPRODUCT(MAX(ROW(E$1:E6462)*(E2=E$1:E6462))))))</f>
        <v> </v>
      </c>
      <c r="K6463" s="26" t="str">
        <f>IF(OR(E6463="",E6463="!!!",F6463="NEW"),"",INDEX(J$1:J6462,SUMPRODUCT(MAX(ROW(E$1:E6462)*(E6463=E$1:E6462)))))</f>
        <v> </v>
      </c>
      <c r="L6463" s="27"/>
    </row>
    <row r="6464" spans="1:12">
      <c r="A6464" s="20" t="s">
        <v>1129</v>
      </c>
      <c r="B6464" s="21" t="s">
        <v>1186</v>
      </c>
      <c r="C6464" s="21" t="s">
        <v>1401</v>
      </c>
      <c r="D6464" s="21" t="s">
        <v>1188</v>
      </c>
      <c r="E6464" s="22">
        <f>IF(D6464="?OLD","!!!","")</f>
        <v/>
      </c>
      <c r="F6464" s="23" t="str">
        <f>IF(OR(E6464="",E6464="!!!"),"",IF(NOT(ISNA(VLOOKUP(E6464,E$1:E6463,1,FALSE()))),"OLD",IF(AND(E6464&lt;&gt;"",E6464&lt;&gt;"!!!"),"NEW","")))</f>
        <v> </v>
      </c>
      <c r="G6464" s="24" t="str">
        <f>IF(OR(E6464="",E6464="!!!"),"",IF(OR(J6464=0,AND(J6464=1,K6464=1),AND(J6464=1,I6464="SBJ"),AND(J6464=1,I6464=0)),"?IN_FOCUS",IF(J6464&lt;=2,"?ACTIVATED",IF(J6464&lt;&gt;"","?FAMILIAR",IF(F6464="NEW",IF(ISNA(VLOOKUP(E6464,#REF!,1,FALSE())),"?TYPE_IDENTIFIABLE","?REFERENTIAL"),"_")))))</f>
        <v> </v>
      </c>
      <c r="H6464" s="25" t="str">
        <f>IF(J6464&lt;&gt;1,"",IF(I6464="SBJ","CB","?"))</f>
        <v> </v>
      </c>
      <c r="I6464" s="26" t="str">
        <f>IF(OR(E6464="",E6464="!!!",F6464="NEW"),"",INDEX(B6463:B$2,-1+SUMPRODUCT(MAX(ROW(E6463:E$2)*(E6464=E6463:E$2)))))</f>
        <v> </v>
      </c>
      <c r="J6464" s="26" t="str">
        <f>IF(OR(E6464="",E6464="!!!",F6464="NEW"),"",COUNTBLANK(OFFSET(A$1,,,SUMPRODUCT(MAX(ROW(E$2:E6464)*(E6464=E$2:E6464)))))-COUNTBLANK(OFFSET(A$1,,,SUMPRODUCT(MAX(ROW(E$1:E6463)*(E2=E$1:E6463))))))</f>
        <v> </v>
      </c>
      <c r="K6464" s="26" t="str">
        <f>IF(OR(E6464="",E6464="!!!",F6464="NEW"),"",INDEX(J$1:J6463,SUMPRODUCT(MAX(ROW(E$1:E6463)*(E6464=E$1:E6463)))))</f>
        <v> </v>
      </c>
      <c r="L6464" s="27"/>
    </row>
    <row r="6465" spans="1:12">
      <c r="A6465" s="20" t="s">
        <v>1193</v>
      </c>
      <c r="E6465" s="22">
        <f>IF(D6465="?OLD","!!!","")</f>
        <v/>
      </c>
      <c r="F6465" s="23" t="str">
        <f>IF(OR(E6465="",E6465="!!!"),"",IF(NOT(ISNA(VLOOKUP(E6465,E$1:E6464,1,FALSE()))),"OLD",IF(AND(E6465&lt;&gt;"",E6465&lt;&gt;"!!!"),"NEW","")))</f>
        <v> </v>
      </c>
      <c r="G6465" s="24" t="str">
        <f>IF(OR(E6465="",E6465="!!!"),"",IF(OR(J6465=0,AND(J6465=1,K6465=1),AND(J6465=1,I6465="SBJ"),AND(J6465=1,I6465=0)),"?IN_FOCUS",IF(J6465&lt;=2,"?ACTIVATED",IF(J6465&lt;&gt;"","?FAMILIAR",IF(F6465="NEW",IF(ISNA(VLOOKUP(E6465,#REF!,1,FALSE())),"?TYPE_IDENTIFIABLE","?REFERENTIAL"),"_")))))</f>
        <v> </v>
      </c>
      <c r="H6465" s="25" t="str">
        <f>IF(J6465&lt;&gt;1,"",IF(I6465="SBJ","CB","?"))</f>
        <v> </v>
      </c>
      <c r="I6465" s="26" t="str">
        <f>IF(OR(E6465="",E6465="!!!",F6465="NEW"),"",INDEX(B6464:B$2,-1+SUMPRODUCT(MAX(ROW(E6464:E$2)*(E6465=E6464:E$2)))))</f>
        <v> </v>
      </c>
      <c r="J6465" s="26" t="str">
        <f>IF(OR(E6465="",E6465="!!!",F6465="NEW"),"",COUNTBLANK(OFFSET(A$1,,,SUMPRODUCT(MAX(ROW(E$2:E6465)*(E6465=E$2:E6465)))))-COUNTBLANK(OFFSET(A$1,,,SUMPRODUCT(MAX(ROW(E$1:E6464)*(E2=E$1:E6464))))))</f>
        <v> </v>
      </c>
      <c r="K6465" s="26" t="str">
        <f>IF(OR(E6465="",E6465="!!!",F6465="NEW"),"",INDEX(J$1:J6464,SUMPRODUCT(MAX(ROW(E$1:E6464)*(E6465=E$1:E6464)))))</f>
        <v> </v>
      </c>
      <c r="L6465" s="27"/>
    </row>
    <row r="6466" spans="1:12">
      <c r="A6466" s="20" t="s">
        <v>2915</v>
      </c>
      <c r="E6466" s="22">
        <f>IF(D6466="?OLD","!!!","")</f>
        <v/>
      </c>
      <c r="F6466" s="23" t="str">
        <f>IF(OR(E6466="",E6466="!!!"),"",IF(NOT(ISNA(VLOOKUP(E6466,E$1:E6465,1,FALSE()))),"OLD",IF(AND(E6466&lt;&gt;"",E6466&lt;&gt;"!!!"),"NEW","")))</f>
        <v> </v>
      </c>
      <c r="G6466" s="24" t="str">
        <f>IF(OR(E6466="",E6466="!!!"),"",IF(OR(J6466=0,AND(J6466=1,K6466=1),AND(J6466=1,I6466="SBJ"),AND(J6466=1,I6466=0)),"?IN_FOCUS",IF(J6466&lt;=2,"?ACTIVATED",IF(J6466&lt;&gt;"","?FAMILIAR",IF(F6466="NEW",IF(ISNA(VLOOKUP(E6466,#REF!,1,FALSE())),"?TYPE_IDENTIFIABLE","?REFERENTIAL"),"_")))))</f>
        <v> </v>
      </c>
      <c r="H6466" s="25" t="str">
        <f>IF(J6466&lt;&gt;1,"",IF(I6466="SBJ","CB","?"))</f>
        <v> </v>
      </c>
      <c r="I6466" s="26" t="str">
        <f>IF(OR(E6466="",E6466="!!!",F6466="NEW"),"",INDEX(B6465:B$2,-1+SUMPRODUCT(MAX(ROW(E6465:E$2)*(E6466=E6465:E$2)))))</f>
        <v> </v>
      </c>
      <c r="J6466" s="26" t="str">
        <f>IF(OR(E6466="",E6466="!!!",F6466="NEW"),"",COUNTBLANK(OFFSET(A$1,,,SUMPRODUCT(MAX(ROW(E$2:E6466)*(E6466=E$2:E6466)))))-COUNTBLANK(OFFSET(A$1,,,SUMPRODUCT(MAX(ROW(E$1:E6465)*(E2=E$1:E6465))))))</f>
        <v> </v>
      </c>
      <c r="K6466" s="26" t="str">
        <f>IF(OR(E6466="",E6466="!!!",F6466="NEW"),"",INDEX(J$1:J6465,SUMPRODUCT(MAX(ROW(E$1:E6465)*(E6466=E$1:E6465)))))</f>
        <v> </v>
      </c>
      <c r="L6466" s="27"/>
    </row>
    <row r="6467" spans="1:12">
      <c r="A6467" s="20" t="s">
        <v>1197</v>
      </c>
      <c r="E6467" s="22">
        <f>IF(D6467="?OLD","!!!","")</f>
        <v/>
      </c>
      <c r="F6467" s="23" t="str">
        <f>IF(OR(E6467="",E6467="!!!"),"",IF(NOT(ISNA(VLOOKUP(E6467,E$1:E6466,1,FALSE()))),"OLD",IF(AND(E6467&lt;&gt;"",E6467&lt;&gt;"!!!"),"NEW","")))</f>
        <v> </v>
      </c>
      <c r="G6467" s="24" t="str">
        <f>IF(OR(E6467="",E6467="!!!"),"",IF(OR(J6467=0,AND(J6467=1,K6467=1),AND(J6467=1,I6467="SBJ"),AND(J6467=1,I6467=0)),"?IN_FOCUS",IF(J6467&lt;=2,"?ACTIVATED",IF(J6467&lt;&gt;"","?FAMILIAR",IF(F6467="NEW",IF(ISNA(VLOOKUP(E6467,#REF!,1,FALSE())),"?TYPE_IDENTIFIABLE","?REFERENTIAL"),"_")))))</f>
        <v> </v>
      </c>
      <c r="H6467" s="25" t="str">
        <f>IF(J6467&lt;&gt;1,"",IF(I6467="SBJ","CB","?"))</f>
        <v> </v>
      </c>
      <c r="I6467" s="26" t="str">
        <f>IF(OR(E6467="",E6467="!!!",F6467="NEW"),"",INDEX(B6466:B$2,-1+SUMPRODUCT(MAX(ROW(E6466:E$2)*(E6467=E6466:E$2)))))</f>
        <v> </v>
      </c>
      <c r="J6467" s="26" t="str">
        <f>IF(OR(E6467="",E6467="!!!",F6467="NEW"),"",COUNTBLANK(OFFSET(A$1,,,SUMPRODUCT(MAX(ROW(E$2:E6467)*(E6467=E$2:E6467)))))-COUNTBLANK(OFFSET(A$1,,,SUMPRODUCT(MAX(ROW(E$1:E6466)*(E2=E$1:E6466))))))</f>
        <v> </v>
      </c>
      <c r="K6467" s="26" t="str">
        <f>IF(OR(E6467="",E6467="!!!",F6467="NEW"),"",INDEX(J$1:J6466,SUMPRODUCT(MAX(ROW(E$1:E6466)*(E6467=E$1:E6466)))))</f>
        <v> </v>
      </c>
      <c r="L6467" s="27"/>
    </row>
    <row r="6468" spans="1:12">
      <c r="A6468" s="20" t="s">
        <v>2916</v>
      </c>
      <c r="B6468" s="21" t="s">
        <v>1186</v>
      </c>
      <c r="C6468" s="21" t="s">
        <v>1187</v>
      </c>
      <c r="D6468" s="21" t="s">
        <v>1188</v>
      </c>
      <c r="E6468" s="22">
        <f>IF(D6468="?OLD","!!!","")</f>
        <v/>
      </c>
      <c r="F6468" s="23" t="str">
        <f>IF(OR(E6468="",E6468="!!!"),"",IF(NOT(ISNA(VLOOKUP(E6468,E$1:E6467,1,FALSE()))),"OLD",IF(AND(E6468&lt;&gt;"",E6468&lt;&gt;"!!!"),"NEW","")))</f>
        <v> </v>
      </c>
      <c r="G6468" s="24" t="str">
        <f>IF(OR(E6468="",E6468="!!!"),"",IF(OR(J6468=0,AND(J6468=1,K6468=1),AND(J6468=1,I6468="SBJ"),AND(J6468=1,I6468=0)),"?IN_FOCUS",IF(J6468&lt;=2,"?ACTIVATED",IF(J6468&lt;&gt;"","?FAMILIAR",IF(F6468="NEW",IF(ISNA(VLOOKUP(E6468,#REF!,1,FALSE())),"?TYPE_IDENTIFIABLE","?REFERENTIAL"),"_")))))</f>
        <v> </v>
      </c>
      <c r="H6468" s="25" t="str">
        <f>IF(J6468&lt;&gt;1,"",IF(I6468="SBJ","CB","?"))</f>
        <v> </v>
      </c>
      <c r="I6468" s="26" t="str">
        <f>IF(OR(E6468="",E6468="!!!",F6468="NEW"),"",INDEX(B6467:B$2,-1+SUMPRODUCT(MAX(ROW(E6467:E$2)*(E6468=E6467:E$2)))))</f>
        <v> </v>
      </c>
      <c r="J6468" s="26" t="str">
        <f>IF(OR(E6468="",E6468="!!!",F6468="NEW"),"",COUNTBLANK(OFFSET(A$1,,,SUMPRODUCT(MAX(ROW(E$2:E6468)*(E6468=E$2:E6468)))))-COUNTBLANK(OFFSET(A$1,,,SUMPRODUCT(MAX(ROW(E$1:E6467)*(E2=E$1:E6467))))))</f>
        <v> </v>
      </c>
      <c r="K6468" s="26" t="str">
        <f>IF(OR(E6468="",E6468="!!!",F6468="NEW"),"",INDEX(J$1:J6467,SUMPRODUCT(MAX(ROW(E$1:E6467)*(E6468=E$1:E6467)))))</f>
        <v> </v>
      </c>
      <c r="L6468" s="27"/>
    </row>
    <row r="6469" spans="1:12">
      <c r="A6469" s="20" t="s">
        <v>1302</v>
      </c>
      <c r="E6469" s="22">
        <f>IF(D6469="?OLD","!!!","")</f>
        <v/>
      </c>
      <c r="F6469" s="23" t="str">
        <f>IF(OR(E6469="",E6469="!!!"),"",IF(NOT(ISNA(VLOOKUP(E6469,E$1:E6468,1,FALSE()))),"OLD",IF(AND(E6469&lt;&gt;"",E6469&lt;&gt;"!!!"),"NEW","")))</f>
        <v> </v>
      </c>
      <c r="G6469" s="24" t="str">
        <f>IF(OR(E6469="",E6469="!!!"),"",IF(OR(J6469=0,AND(J6469=1,K6469=1),AND(J6469=1,I6469="SBJ"),AND(J6469=1,I6469=0)),"?IN_FOCUS",IF(J6469&lt;=2,"?ACTIVATED",IF(J6469&lt;&gt;"","?FAMILIAR",IF(F6469="NEW",IF(ISNA(VLOOKUP(E6469,#REF!,1,FALSE())),"?TYPE_IDENTIFIABLE","?REFERENTIAL"),"_")))))</f>
        <v> </v>
      </c>
      <c r="H6469" s="25" t="str">
        <f>IF(J6469&lt;&gt;1,"",IF(I6469="SBJ","CB","?"))</f>
        <v> </v>
      </c>
      <c r="I6469" s="26" t="str">
        <f>IF(OR(E6469="",E6469="!!!",F6469="NEW"),"",INDEX(B6468:B$2,-1+SUMPRODUCT(MAX(ROW(E6468:E$2)*(E6469=E6468:E$2)))))</f>
        <v> </v>
      </c>
      <c r="J6469" s="26" t="str">
        <f>IF(OR(E6469="",E6469="!!!",F6469="NEW"),"",COUNTBLANK(OFFSET(A$1,,,SUMPRODUCT(MAX(ROW(E$2:E6469)*(E6469=E$2:E6469)))))-COUNTBLANK(OFFSET(A$1,,,SUMPRODUCT(MAX(ROW(E$1:E6468)*(E2=E$1:E6468))))))</f>
        <v> </v>
      </c>
      <c r="K6469" s="26" t="str">
        <f>IF(OR(E6469="",E6469="!!!",F6469="NEW"),"",INDEX(J$1:J6468,SUMPRODUCT(MAX(ROW(E$1:E6468)*(E6469=E$1:E6468)))))</f>
        <v> </v>
      </c>
      <c r="L6469" s="27"/>
    </row>
    <row r="6470" spans="1:12">
      <c r="A6470" s="20" t="s">
        <v>1297</v>
      </c>
      <c r="B6470" s="21" t="s">
        <v>1215</v>
      </c>
      <c r="C6470" s="21" t="s">
        <v>1216</v>
      </c>
      <c r="D6470" s="21" t="s">
        <v>1188</v>
      </c>
      <c r="E6470" s="22">
        <f>IF(D6470="?OLD","!!!","")</f>
        <v/>
      </c>
      <c r="F6470" s="23" t="str">
        <f>IF(OR(E6470="",E6470="!!!"),"",IF(NOT(ISNA(VLOOKUP(E6470,E$1:E6469,1,FALSE()))),"OLD",IF(AND(E6470&lt;&gt;"",E6470&lt;&gt;"!!!"),"NEW","")))</f>
        <v> </v>
      </c>
      <c r="G6470" s="24" t="str">
        <f>IF(OR(E6470="",E6470="!!!"),"",IF(OR(J6470=0,AND(J6470=1,K6470=1),AND(J6470=1,I6470="SBJ"),AND(J6470=1,I6470=0)),"?IN_FOCUS",IF(J6470&lt;=2,"?ACTIVATED",IF(J6470&lt;&gt;"","?FAMILIAR",IF(F6470="NEW",IF(ISNA(VLOOKUP(E6470,#REF!,1,FALSE())),"?TYPE_IDENTIFIABLE","?REFERENTIAL"),"_")))))</f>
        <v> </v>
      </c>
      <c r="H6470" s="25" t="str">
        <f>IF(J6470&lt;&gt;1,"",IF(I6470="SBJ","CB","?"))</f>
        <v> </v>
      </c>
      <c r="I6470" s="26" t="str">
        <f>IF(OR(E6470="",E6470="!!!",F6470="NEW"),"",INDEX(B6469:B$2,-1+SUMPRODUCT(MAX(ROW(E6469:E$2)*(E6470=E6469:E$2)))))</f>
        <v> </v>
      </c>
      <c r="J6470" s="26" t="str">
        <f>IF(OR(E6470="",E6470="!!!",F6470="NEW"),"",COUNTBLANK(OFFSET(A$1,,,SUMPRODUCT(MAX(ROW(E$2:E6470)*(E6470=E$2:E6470)))))-COUNTBLANK(OFFSET(A$1,,,SUMPRODUCT(MAX(ROW(E$1:E6469)*(E2=E$1:E6469))))))</f>
        <v> </v>
      </c>
      <c r="K6470" s="26" t="str">
        <f>IF(OR(E6470="",E6470="!!!",F6470="NEW"),"",INDEX(J$1:J6469,SUMPRODUCT(MAX(ROW(E$1:E6469)*(E6470=E$1:E6469)))))</f>
        <v> </v>
      </c>
      <c r="L6470" s="27"/>
    </row>
    <row r="6471" spans="1:12">
      <c r="A6471" s="20" t="s">
        <v>1713</v>
      </c>
      <c r="B6471" s="21" t="s">
        <v>1199</v>
      </c>
      <c r="C6471" s="21" t="s">
        <v>1218</v>
      </c>
      <c r="D6471" s="21" t="s">
        <v>1188</v>
      </c>
      <c r="E6471" s="22">
        <f>IF(D6471="?OLD","!!!","")</f>
        <v/>
      </c>
      <c r="F6471" s="23" t="str">
        <f>IF(OR(E6471="",E6471="!!!"),"",IF(NOT(ISNA(VLOOKUP(E6471,E$1:E6470,1,FALSE()))),"OLD",IF(AND(E6471&lt;&gt;"",E6471&lt;&gt;"!!!"),"NEW","")))</f>
        <v> </v>
      </c>
      <c r="G6471" s="24" t="str">
        <f>IF(OR(E6471="",E6471="!!!"),"",IF(OR(J6471=0,AND(J6471=1,K6471=1),AND(J6471=1,I6471="SBJ"),AND(J6471=1,I6471=0)),"?IN_FOCUS",IF(J6471&lt;=2,"?ACTIVATED",IF(J6471&lt;&gt;"","?FAMILIAR",IF(F6471="NEW",IF(ISNA(VLOOKUP(E6471,#REF!,1,FALSE())),"?TYPE_IDENTIFIABLE","?REFERENTIAL"),"_")))))</f>
        <v> </v>
      </c>
      <c r="H6471" s="25" t="str">
        <f>IF(J6471&lt;&gt;1,"",IF(I6471="SBJ","CB","?"))</f>
        <v> </v>
      </c>
      <c r="I6471" s="26" t="str">
        <f>IF(OR(E6471="",E6471="!!!",F6471="NEW"),"",INDEX(B6470:B$2,-1+SUMPRODUCT(MAX(ROW(E6470:E$2)*(E6471=E6470:E$2)))))</f>
        <v> </v>
      </c>
      <c r="J6471" s="26" t="str">
        <f>IF(OR(E6471="",E6471="!!!",F6471="NEW"),"",COUNTBLANK(OFFSET(A$1,,,SUMPRODUCT(MAX(ROW(E$2:E6471)*(E6471=E$2:E6471)))))-COUNTBLANK(OFFSET(A$1,,,SUMPRODUCT(MAX(ROW(E$1:E6470)*(E2=E$1:E6470))))))</f>
        <v> </v>
      </c>
      <c r="K6471" s="26" t="str">
        <f>IF(OR(E6471="",E6471="!!!",F6471="NEW"),"",INDEX(J$1:J6470,SUMPRODUCT(MAX(ROW(E$1:E6470)*(E6471=E$1:E6470)))))</f>
        <v> </v>
      </c>
      <c r="L6471" s="27"/>
    </row>
    <row r="6472" spans="1:12">
      <c r="A6472" s="20" t="s">
        <v>1193</v>
      </c>
      <c r="E6472" s="22">
        <f>IF(D6472="?OLD","!!!","")</f>
        <v/>
      </c>
      <c r="F6472" s="23" t="str">
        <f>IF(OR(E6472="",E6472="!!!"),"",IF(NOT(ISNA(VLOOKUP(E6472,E$1:E6471,1,FALSE()))),"OLD",IF(AND(E6472&lt;&gt;"",E6472&lt;&gt;"!!!"),"NEW","")))</f>
        <v> </v>
      </c>
      <c r="G6472" s="24" t="str">
        <f>IF(OR(E6472="",E6472="!!!"),"",IF(OR(J6472=0,AND(J6472=1,K6472=1),AND(J6472=1,I6472="SBJ"),AND(J6472=1,I6472=0)),"?IN_FOCUS",IF(J6472&lt;=2,"?ACTIVATED",IF(J6472&lt;&gt;"","?FAMILIAR",IF(F6472="NEW",IF(ISNA(VLOOKUP(E6472,#REF!,1,FALSE())),"?TYPE_IDENTIFIABLE","?REFERENTIAL"),"_")))))</f>
        <v> </v>
      </c>
      <c r="H6472" s="25" t="str">
        <f>IF(J6472&lt;&gt;1,"",IF(I6472="SBJ","CB","?"))</f>
        <v> </v>
      </c>
      <c r="I6472" s="26" t="str">
        <f>IF(OR(E6472="",E6472="!!!",F6472="NEW"),"",INDEX(B6471:B$2,-1+SUMPRODUCT(MAX(ROW(E6471:E$2)*(E6472=E6471:E$2)))))</f>
        <v> </v>
      </c>
      <c r="J6472" s="26" t="str">
        <f>IF(OR(E6472="",E6472="!!!",F6472="NEW"),"",COUNTBLANK(OFFSET(A$1,,,SUMPRODUCT(MAX(ROW(E$2:E6472)*(E6472=E$2:E6472)))))-COUNTBLANK(OFFSET(A$1,,,SUMPRODUCT(MAX(ROW(E$1:E6471)*(E2=E$1:E6471))))))</f>
        <v> </v>
      </c>
      <c r="K6472" s="26" t="str">
        <f>IF(OR(E6472="",E6472="!!!",F6472="NEW"),"",INDEX(J$1:J6471,SUMPRODUCT(MAX(ROW(E$1:E6471)*(E6472=E$1:E6471)))))</f>
        <v> </v>
      </c>
      <c r="L6472" s="27"/>
    </row>
    <row r="6473" spans="1:12">
      <c r="A6473" s="20" t="s">
        <v>1633</v>
      </c>
      <c r="E6473" s="22">
        <f>IF(D6473="?OLD","!!!","")</f>
        <v/>
      </c>
      <c r="F6473" s="23" t="str">
        <f>IF(OR(E6473="",E6473="!!!"),"",IF(NOT(ISNA(VLOOKUP(E6473,E$1:E6472,1,FALSE()))),"OLD",IF(AND(E6473&lt;&gt;"",E6473&lt;&gt;"!!!"),"NEW","")))</f>
        <v> </v>
      </c>
      <c r="G6473" s="24" t="str">
        <f>IF(OR(E6473="",E6473="!!!"),"",IF(OR(J6473=0,AND(J6473=1,K6473=1),AND(J6473=1,I6473="SBJ"),AND(J6473=1,I6473=0)),"?IN_FOCUS",IF(J6473&lt;=2,"?ACTIVATED",IF(J6473&lt;&gt;"","?FAMILIAR",IF(F6473="NEW",IF(ISNA(VLOOKUP(E6473,#REF!,1,FALSE())),"?TYPE_IDENTIFIABLE","?REFERENTIAL"),"_")))))</f>
        <v> </v>
      </c>
      <c r="H6473" s="25" t="str">
        <f>IF(J6473&lt;&gt;1,"",IF(I6473="SBJ","CB","?"))</f>
        <v> </v>
      </c>
      <c r="I6473" s="26" t="str">
        <f>IF(OR(E6473="",E6473="!!!",F6473="NEW"),"",INDEX(B6472:B$2,-1+SUMPRODUCT(MAX(ROW(E6472:E$2)*(E6473=E6472:E$2)))))</f>
        <v> </v>
      </c>
      <c r="J6473" s="26" t="str">
        <f>IF(OR(E6473="",E6473="!!!",F6473="NEW"),"",COUNTBLANK(OFFSET(A$1,,,SUMPRODUCT(MAX(ROW(E$2:E6473)*(E6473=E$2:E6473)))))-COUNTBLANK(OFFSET(A$1,,,SUMPRODUCT(MAX(ROW(E$1:E6472)*(E2=E$1:E6472))))))</f>
        <v> </v>
      </c>
      <c r="K6473" s="26" t="str">
        <f>IF(OR(E6473="",E6473="!!!",F6473="NEW"),"",INDEX(J$1:J6472,SUMPRODUCT(MAX(ROW(E$1:E6472)*(E6473=E$1:E6472)))))</f>
        <v> </v>
      </c>
      <c r="L6473" s="27"/>
    </row>
    <row r="6474" spans="1:12">
      <c r="A6474" s="20" t="s">
        <v>57</v>
      </c>
      <c r="B6474" s="21" t="s">
        <v>1248</v>
      </c>
      <c r="C6474" s="21" t="s">
        <v>1203</v>
      </c>
      <c r="D6474" s="21" t="s">
        <v>1188</v>
      </c>
      <c r="E6474" s="22">
        <f>IF(D6474="?OLD","!!!","")</f>
        <v/>
      </c>
      <c r="F6474" s="23" t="str">
        <f>IF(OR(E6474="",E6474="!!!"),"",IF(NOT(ISNA(VLOOKUP(E6474,E$1:E6473,1,FALSE()))),"OLD",IF(AND(E6474&lt;&gt;"",E6474&lt;&gt;"!!!"),"NEW","")))</f>
        <v> </v>
      </c>
      <c r="G6474" s="24" t="str">
        <f>IF(OR(E6474="",E6474="!!!"),"",IF(OR(J6474=0,AND(J6474=1,K6474=1),AND(J6474=1,I6474="SBJ"),AND(J6474=1,I6474=0)),"?IN_FOCUS",IF(J6474&lt;=2,"?ACTIVATED",IF(J6474&lt;&gt;"","?FAMILIAR",IF(F6474="NEW",IF(ISNA(VLOOKUP(E6474,#REF!,1,FALSE())),"?TYPE_IDENTIFIABLE","?REFERENTIAL"),"_")))))</f>
        <v> </v>
      </c>
      <c r="H6474" s="25" t="str">
        <f>IF(J6474&lt;&gt;1,"",IF(I6474="SBJ","CB","?"))</f>
        <v> </v>
      </c>
      <c r="I6474" s="26" t="str">
        <f>IF(OR(E6474="",E6474="!!!",F6474="NEW"),"",INDEX(B6473:B$2,-1+SUMPRODUCT(MAX(ROW(E6473:E$2)*(E6474=E6473:E$2)))))</f>
        <v> </v>
      </c>
      <c r="J6474" s="26" t="str">
        <f>IF(OR(E6474="",E6474="!!!",F6474="NEW"),"",COUNTBLANK(OFFSET(A$1,,,SUMPRODUCT(MAX(ROW(E$2:E6474)*(E6474=E$2:E6474)))))-COUNTBLANK(OFFSET(A$1,,,SUMPRODUCT(MAX(ROW(E$1:E6473)*(E2=E$1:E6473))))))</f>
        <v> </v>
      </c>
      <c r="K6474" s="26" t="str">
        <f>IF(OR(E6474="",E6474="!!!",F6474="NEW"),"",INDEX(J$1:J6473,SUMPRODUCT(MAX(ROW(E$1:E6473)*(E6474=E$1:E6473)))))</f>
        <v> </v>
      </c>
      <c r="L6474" s="27"/>
    </row>
    <row r="6475" spans="1:12">
      <c r="A6475" s="20" t="s">
        <v>2543</v>
      </c>
      <c r="E6475" s="22">
        <f>IF(D6475="?OLD","!!!","")</f>
        <v/>
      </c>
      <c r="F6475" s="23" t="str">
        <f>IF(OR(E6475="",E6475="!!!"),"",IF(NOT(ISNA(VLOOKUP(E6475,E$1:E6474,1,FALSE()))),"OLD",IF(AND(E6475&lt;&gt;"",E6475&lt;&gt;"!!!"),"NEW","")))</f>
        <v> </v>
      </c>
      <c r="G6475" s="24" t="str">
        <f>IF(OR(E6475="",E6475="!!!"),"",IF(OR(J6475=0,AND(J6475=1,K6475=1),AND(J6475=1,I6475="SBJ"),AND(J6475=1,I6475=0)),"?IN_FOCUS",IF(J6475&lt;=2,"?ACTIVATED",IF(J6475&lt;&gt;"","?FAMILIAR",IF(F6475="NEW",IF(ISNA(VLOOKUP(E6475,#REF!,1,FALSE())),"?TYPE_IDENTIFIABLE","?REFERENTIAL"),"_")))))</f>
        <v> </v>
      </c>
      <c r="H6475" s="25" t="str">
        <f>IF(J6475&lt;&gt;1,"",IF(I6475="SBJ","CB","?"))</f>
        <v> </v>
      </c>
      <c r="I6475" s="26" t="str">
        <f>IF(OR(E6475="",E6475="!!!",F6475="NEW"),"",INDEX(B6474:B$2,-1+SUMPRODUCT(MAX(ROW(E6474:E$2)*(E6475=E6474:E$2)))))</f>
        <v> </v>
      </c>
      <c r="J6475" s="26" t="str">
        <f>IF(OR(E6475="",E6475="!!!",F6475="NEW"),"",COUNTBLANK(OFFSET(A$1,,,SUMPRODUCT(MAX(ROW(E$2:E6475)*(E6475=E$2:E6475)))))-COUNTBLANK(OFFSET(A$1,,,SUMPRODUCT(MAX(ROW(E$1:E6474)*(E2=E$1:E6474))))))</f>
        <v> </v>
      </c>
      <c r="K6475" s="26" t="str">
        <f>IF(OR(E6475="",E6475="!!!",F6475="NEW"),"",INDEX(J$1:J6474,SUMPRODUCT(MAX(ROW(E$1:E6474)*(E6475=E$1:E6474)))))</f>
        <v> </v>
      </c>
      <c r="L6475" s="27"/>
    </row>
    <row r="6476" spans="1:12">
      <c r="A6476" s="20" t="s">
        <v>2917</v>
      </c>
      <c r="E6476" s="22">
        <f>IF(D6476="?OLD","!!!","")</f>
        <v/>
      </c>
      <c r="F6476" s="23" t="str">
        <f>IF(OR(E6476="",E6476="!!!"),"",IF(NOT(ISNA(VLOOKUP(E6476,E$1:E6475,1,FALSE()))),"OLD",IF(AND(E6476&lt;&gt;"",E6476&lt;&gt;"!!!"),"NEW","")))</f>
        <v> </v>
      </c>
      <c r="G6476" s="24" t="str">
        <f>IF(OR(E6476="",E6476="!!!"),"",IF(OR(J6476=0,AND(J6476=1,K6476=1),AND(J6476=1,I6476="SBJ"),AND(J6476=1,I6476=0)),"?IN_FOCUS",IF(J6476&lt;=2,"?ACTIVATED",IF(J6476&lt;&gt;"","?FAMILIAR",IF(F6476="NEW",IF(ISNA(VLOOKUP(E6476,#REF!,1,FALSE())),"?TYPE_IDENTIFIABLE","?REFERENTIAL"),"_")))))</f>
        <v> </v>
      </c>
      <c r="H6476" s="25" t="str">
        <f>IF(J6476&lt;&gt;1,"",IF(I6476="SBJ","CB","?"))</f>
        <v> </v>
      </c>
      <c r="I6476" s="26" t="str">
        <f>IF(OR(E6476="",E6476="!!!",F6476="NEW"),"",INDEX(B6475:B$2,-1+SUMPRODUCT(MAX(ROW(E6475:E$2)*(E6476=E6475:E$2)))))</f>
        <v> </v>
      </c>
      <c r="J6476" s="26" t="str">
        <f>IF(OR(E6476="",E6476="!!!",F6476="NEW"),"",COUNTBLANK(OFFSET(A$1,,,SUMPRODUCT(MAX(ROW(E$2:E6476)*(E6476=E$2:E6476)))))-COUNTBLANK(OFFSET(A$1,,,SUMPRODUCT(MAX(ROW(E$1:E6475)*(E2=E$1:E6475))))))</f>
        <v> </v>
      </c>
      <c r="K6476" s="26" t="str">
        <f>IF(OR(E6476="",E6476="!!!",F6476="NEW"),"",INDEX(J$1:J6475,SUMPRODUCT(MAX(ROW(E$1:E6475)*(E6476=E$1:E6475)))))</f>
        <v> </v>
      </c>
      <c r="L6476" s="27"/>
    </row>
    <row r="6477" spans="1:12">
      <c r="A6477" s="20" t="s">
        <v>1232</v>
      </c>
      <c r="E6477" s="22">
        <f>IF(D6477="?OLD","!!!","")</f>
        <v/>
      </c>
      <c r="F6477" s="23" t="str">
        <f>IF(OR(E6477="",E6477="!!!"),"",IF(NOT(ISNA(VLOOKUP(E6477,E$1:E6476,1,FALSE()))),"OLD",IF(AND(E6477&lt;&gt;"",E6477&lt;&gt;"!!!"),"NEW","")))</f>
        <v> </v>
      </c>
      <c r="G6477" s="24" t="str">
        <f>IF(OR(E6477="",E6477="!!!"),"",IF(OR(J6477=0,AND(J6477=1,K6477=1),AND(J6477=1,I6477="SBJ"),AND(J6477=1,I6477=0)),"?IN_FOCUS",IF(J6477&lt;=2,"?ACTIVATED",IF(J6477&lt;&gt;"","?FAMILIAR",IF(F6477="NEW",IF(ISNA(VLOOKUP(E6477,#REF!,1,FALSE())),"?TYPE_IDENTIFIABLE","?REFERENTIAL"),"_")))))</f>
        <v> </v>
      </c>
      <c r="H6477" s="25" t="str">
        <f>IF(J6477&lt;&gt;1,"",IF(I6477="SBJ","CB","?"))</f>
        <v> </v>
      </c>
      <c r="I6477" s="26" t="str">
        <f>IF(OR(E6477="",E6477="!!!",F6477="NEW"),"",INDEX(B6476:B$2,-1+SUMPRODUCT(MAX(ROW(E6476:E$2)*(E6477=E6476:E$2)))))</f>
        <v> </v>
      </c>
      <c r="J6477" s="26" t="str">
        <f>IF(OR(E6477="",E6477="!!!",F6477="NEW"),"",COUNTBLANK(OFFSET(A$1,,,SUMPRODUCT(MAX(ROW(E$2:E6477)*(E6477=E$2:E6477)))))-COUNTBLANK(OFFSET(A$1,,,SUMPRODUCT(MAX(ROW(E$1:E6476)*(E2=E$1:E6476))))))</f>
        <v> </v>
      </c>
      <c r="K6477" s="26" t="str">
        <f>IF(OR(E6477="",E6477="!!!",F6477="NEW"),"",INDEX(J$1:J6476,SUMPRODUCT(MAX(ROW(E$1:E6476)*(E6477=E$1:E6476)))))</f>
        <v> </v>
      </c>
      <c r="L6477" s="27"/>
    </row>
    <row r="6478" spans="1:12">
      <c r="A6478" s="20" t="s">
        <v>2918</v>
      </c>
      <c r="B6478" s="21" t="s">
        <v>1199</v>
      </c>
      <c r="C6478" s="21" t="s">
        <v>1187</v>
      </c>
      <c r="D6478" s="21" t="s">
        <v>1188</v>
      </c>
      <c r="E6478" s="22">
        <f>IF(D6478="?OLD","!!!","")</f>
        <v/>
      </c>
      <c r="F6478" s="23" t="str">
        <f>IF(OR(E6478="",E6478="!!!"),"",IF(NOT(ISNA(VLOOKUP(E6478,E$1:E6477,1,FALSE()))),"OLD",IF(AND(E6478&lt;&gt;"",E6478&lt;&gt;"!!!"),"NEW","")))</f>
        <v> </v>
      </c>
      <c r="G6478" s="24" t="str">
        <f>IF(OR(E6478="",E6478="!!!"),"",IF(OR(J6478=0,AND(J6478=1,K6478=1),AND(J6478=1,I6478="SBJ"),AND(J6478=1,I6478=0)),"?IN_FOCUS",IF(J6478&lt;=2,"?ACTIVATED",IF(J6478&lt;&gt;"","?FAMILIAR",IF(F6478="NEW",IF(ISNA(VLOOKUP(E6478,#REF!,1,FALSE())),"?TYPE_IDENTIFIABLE","?REFERENTIAL"),"_")))))</f>
        <v> </v>
      </c>
      <c r="H6478" s="25" t="str">
        <f>IF(J6478&lt;&gt;1,"",IF(I6478="SBJ","CB","?"))</f>
        <v> </v>
      </c>
      <c r="I6478" s="26" t="str">
        <f>IF(OR(E6478="",E6478="!!!",F6478="NEW"),"",INDEX(B6477:B$2,-1+SUMPRODUCT(MAX(ROW(E6477:E$2)*(E6478=E6477:E$2)))))</f>
        <v> </v>
      </c>
      <c r="J6478" s="26" t="str">
        <f>IF(OR(E6478="",E6478="!!!",F6478="NEW"),"",COUNTBLANK(OFFSET(A$1,,,SUMPRODUCT(MAX(ROW(E$2:E6478)*(E6478=E$2:E6478)))))-COUNTBLANK(OFFSET(A$1,,,SUMPRODUCT(MAX(ROW(E$1:E6477)*(E2=E$1:E6477))))))</f>
        <v> </v>
      </c>
      <c r="K6478" s="26" t="str">
        <f>IF(OR(E6478="",E6478="!!!",F6478="NEW"),"",INDEX(J$1:J6477,SUMPRODUCT(MAX(ROW(E$1:E6477)*(E6478=E$1:E6477)))))</f>
        <v> </v>
      </c>
      <c r="L6478" s="27"/>
    </row>
    <row r="6479" spans="1:12">
      <c r="A6479" s="20" t="s">
        <v>1193</v>
      </c>
      <c r="E6479" s="22">
        <f>IF(D6479="?OLD","!!!","")</f>
        <v/>
      </c>
      <c r="F6479" s="23" t="str">
        <f>IF(OR(E6479="",E6479="!!!"),"",IF(NOT(ISNA(VLOOKUP(E6479,E$1:E6478,1,FALSE()))),"OLD",IF(AND(E6479&lt;&gt;"",E6479&lt;&gt;"!!!"),"NEW","")))</f>
        <v> </v>
      </c>
      <c r="G6479" s="24" t="str">
        <f>IF(OR(E6479="",E6479="!!!"),"",IF(OR(J6479=0,AND(J6479=1,K6479=1),AND(J6479=1,I6479="SBJ"),AND(J6479=1,I6479=0)),"?IN_FOCUS",IF(J6479&lt;=2,"?ACTIVATED",IF(J6479&lt;&gt;"","?FAMILIAR",IF(F6479="NEW",IF(ISNA(VLOOKUP(E6479,#REF!,1,FALSE())),"?TYPE_IDENTIFIABLE","?REFERENTIAL"),"_")))))</f>
        <v> </v>
      </c>
      <c r="H6479" s="25" t="str">
        <f>IF(J6479&lt;&gt;1,"",IF(I6479="SBJ","CB","?"))</f>
        <v> </v>
      </c>
      <c r="I6479" s="26" t="str">
        <f>IF(OR(E6479="",E6479="!!!",F6479="NEW"),"",INDEX(B6478:B$2,-1+SUMPRODUCT(MAX(ROW(E6478:E$2)*(E6479=E6478:E$2)))))</f>
        <v> </v>
      </c>
      <c r="J6479" s="26" t="str">
        <f>IF(OR(E6479="",E6479="!!!",F6479="NEW"),"",COUNTBLANK(OFFSET(A$1,,,SUMPRODUCT(MAX(ROW(E$2:E6479)*(E6479=E$2:E6479)))))-COUNTBLANK(OFFSET(A$1,,,SUMPRODUCT(MAX(ROW(E$1:E6478)*(E2=E$1:E6478))))))</f>
        <v> </v>
      </c>
      <c r="K6479" s="26" t="str">
        <f>IF(OR(E6479="",E6479="!!!",F6479="NEW"),"",INDEX(J$1:J6478,SUMPRODUCT(MAX(ROW(E$1:E6478)*(E6479=E$1:E6478)))))</f>
        <v> </v>
      </c>
      <c r="L6479" s="27"/>
    </row>
    <row r="6480" spans="1:12">
      <c r="A6480" s="20" t="s">
        <v>1321</v>
      </c>
      <c r="E6480" s="22">
        <f>IF(D6480="?OLD","!!!","")</f>
        <v/>
      </c>
      <c r="F6480" s="23" t="str">
        <f>IF(OR(E6480="",E6480="!!!"),"",IF(NOT(ISNA(VLOOKUP(E6480,E$1:E6479,1,FALSE()))),"OLD",IF(AND(E6480&lt;&gt;"",E6480&lt;&gt;"!!!"),"NEW","")))</f>
        <v> </v>
      </c>
      <c r="G6480" s="24" t="str">
        <f>IF(OR(E6480="",E6480="!!!"),"",IF(OR(J6480=0,AND(J6480=1,K6480=1),AND(J6480=1,I6480="SBJ"),AND(J6480=1,I6480=0)),"?IN_FOCUS",IF(J6480&lt;=2,"?ACTIVATED",IF(J6480&lt;&gt;"","?FAMILIAR",IF(F6480="NEW",IF(ISNA(VLOOKUP(E6480,#REF!,1,FALSE())),"?TYPE_IDENTIFIABLE","?REFERENTIAL"),"_")))))</f>
        <v> </v>
      </c>
      <c r="H6480" s="25" t="str">
        <f>IF(J6480&lt;&gt;1,"",IF(I6480="SBJ","CB","?"))</f>
        <v> </v>
      </c>
      <c r="I6480" s="26" t="str">
        <f>IF(OR(E6480="",E6480="!!!",F6480="NEW"),"",INDEX(B6479:B$2,-1+SUMPRODUCT(MAX(ROW(E6479:E$2)*(E6480=E6479:E$2)))))</f>
        <v> </v>
      </c>
      <c r="J6480" s="26" t="str">
        <f>IF(OR(E6480="",E6480="!!!",F6480="NEW"),"",COUNTBLANK(OFFSET(A$1,,,SUMPRODUCT(MAX(ROW(E$2:E6480)*(E6480=E$2:E6480)))))-COUNTBLANK(OFFSET(A$1,,,SUMPRODUCT(MAX(ROW(E$1:E6479)*(E2=E$1:E6479))))))</f>
        <v> </v>
      </c>
      <c r="K6480" s="26" t="str">
        <f>IF(OR(E6480="",E6480="!!!",F6480="NEW"),"",INDEX(J$1:J6479,SUMPRODUCT(MAX(ROW(E$1:E6479)*(E6480=E$1:E6479)))))</f>
        <v> </v>
      </c>
      <c r="L6480" s="27"/>
    </row>
    <row r="6481" spans="1:12">
      <c r="A6481" s="20" t="s">
        <v>2169</v>
      </c>
      <c r="E6481" s="22">
        <f>IF(D6481="?OLD","!!!","")</f>
        <v/>
      </c>
      <c r="F6481" s="23" t="str">
        <f>IF(OR(E6481="",E6481="!!!"),"",IF(NOT(ISNA(VLOOKUP(E6481,E$1:E6480,1,FALSE()))),"OLD",IF(AND(E6481&lt;&gt;"",E6481&lt;&gt;"!!!"),"NEW","")))</f>
        <v> </v>
      </c>
      <c r="G6481" s="24" t="str">
        <f>IF(OR(E6481="",E6481="!!!"),"",IF(OR(J6481=0,AND(J6481=1,K6481=1),AND(J6481=1,I6481="SBJ"),AND(J6481=1,I6481=0)),"?IN_FOCUS",IF(J6481&lt;=2,"?ACTIVATED",IF(J6481&lt;&gt;"","?FAMILIAR",IF(F6481="NEW",IF(ISNA(VLOOKUP(E6481,#REF!,1,FALSE())),"?TYPE_IDENTIFIABLE","?REFERENTIAL"),"_")))))</f>
        <v> </v>
      </c>
      <c r="H6481" s="25" t="str">
        <f>IF(J6481&lt;&gt;1,"",IF(I6481="SBJ","CB","?"))</f>
        <v> </v>
      </c>
      <c r="I6481" s="26" t="str">
        <f>IF(OR(E6481="",E6481="!!!",F6481="NEW"),"",INDEX(B6480:B$2,-1+SUMPRODUCT(MAX(ROW(E6480:E$2)*(E6481=E6480:E$2)))))</f>
        <v> </v>
      </c>
      <c r="J6481" s="26" t="str">
        <f>IF(OR(E6481="",E6481="!!!",F6481="NEW"),"",COUNTBLANK(OFFSET(A$1,,,SUMPRODUCT(MAX(ROW(E$2:E6481)*(E6481=E$2:E6481)))))-COUNTBLANK(OFFSET(A$1,,,SUMPRODUCT(MAX(ROW(E$1:E6480)*(E2=E$1:E6480))))))</f>
        <v> </v>
      </c>
      <c r="K6481" s="26" t="str">
        <f>IF(OR(E6481="",E6481="!!!",F6481="NEW"),"",INDEX(J$1:J6480,SUMPRODUCT(MAX(ROW(E$1:E6480)*(E6481=E$1:E6480)))))</f>
        <v> </v>
      </c>
      <c r="L6481" s="27"/>
    </row>
    <row r="6482" spans="1:12">
      <c r="A6482" s="20" t="s">
        <v>1194</v>
      </c>
      <c r="E6482" s="22">
        <f>IF(D6482="?OLD","!!!","")</f>
        <v/>
      </c>
      <c r="F6482" s="23" t="str">
        <f>IF(OR(E6482="",E6482="!!!"),"",IF(NOT(ISNA(VLOOKUP(E6482,E$1:E6481,1,FALSE()))),"OLD",IF(AND(E6482&lt;&gt;"",E6482&lt;&gt;"!!!"),"NEW","")))</f>
        <v> </v>
      </c>
      <c r="G6482" s="24" t="str">
        <f>IF(OR(E6482="",E6482="!!!"),"",IF(OR(J6482=0,AND(J6482=1,K6482=1),AND(J6482=1,I6482="SBJ"),AND(J6482=1,I6482=0)),"?IN_FOCUS",IF(J6482&lt;=2,"?ACTIVATED",IF(J6482&lt;&gt;"","?FAMILIAR",IF(F6482="NEW",IF(ISNA(VLOOKUP(E6482,#REF!,1,FALSE())),"?TYPE_IDENTIFIABLE","?REFERENTIAL"),"_")))))</f>
        <v> </v>
      </c>
      <c r="H6482" s="25" t="str">
        <f>IF(J6482&lt;&gt;1,"",IF(I6482="SBJ","CB","?"))</f>
        <v> </v>
      </c>
      <c r="I6482" s="26" t="str">
        <f>IF(OR(E6482="",E6482="!!!",F6482="NEW"),"",INDEX(B6481:B$2,-1+SUMPRODUCT(MAX(ROW(E6481:E$2)*(E6482=E6481:E$2)))))</f>
        <v> </v>
      </c>
      <c r="J6482" s="26" t="str">
        <f>IF(OR(E6482="",E6482="!!!",F6482="NEW"),"",COUNTBLANK(OFFSET(A$1,,,SUMPRODUCT(MAX(ROW(E$2:E6482)*(E6482=E$2:E6482)))))-COUNTBLANK(OFFSET(A$1,,,SUMPRODUCT(MAX(ROW(E$1:E6481)*(E2=E$1:E6481))))))</f>
        <v> </v>
      </c>
      <c r="K6482" s="26" t="str">
        <f>IF(OR(E6482="",E6482="!!!",F6482="NEW"),"",INDEX(J$1:J6481,SUMPRODUCT(MAX(ROW(E$1:E6481)*(E6482=E$1:E6481)))))</f>
        <v> </v>
      </c>
      <c r="L6482" s="27"/>
    </row>
    <row r="6483" spans="1:12">
      <c r="A6483" s="20" t="s">
        <v>1603</v>
      </c>
      <c r="B6483" s="21" t="s">
        <v>1186</v>
      </c>
      <c r="C6483" s="21" t="s">
        <v>1187</v>
      </c>
      <c r="D6483" s="21" t="s">
        <v>1188</v>
      </c>
      <c r="E6483" s="22">
        <f>IF(D6483="?OLD","!!!","")</f>
        <v/>
      </c>
      <c r="F6483" s="23" t="str">
        <f>IF(OR(E6483="",E6483="!!!"),"",IF(NOT(ISNA(VLOOKUP(E6483,E$1:E6482,1,FALSE()))),"OLD",IF(AND(E6483&lt;&gt;"",E6483&lt;&gt;"!!!"),"NEW","")))</f>
        <v> </v>
      </c>
      <c r="G6483" s="24" t="str">
        <f>IF(OR(E6483="",E6483="!!!"),"",IF(OR(J6483=0,AND(J6483=1,K6483=1),AND(J6483=1,I6483="SBJ"),AND(J6483=1,I6483=0)),"?IN_FOCUS",IF(J6483&lt;=2,"?ACTIVATED",IF(J6483&lt;&gt;"","?FAMILIAR",IF(F6483="NEW",IF(ISNA(VLOOKUP(E6483,#REF!,1,FALSE())),"?TYPE_IDENTIFIABLE","?REFERENTIAL"),"_")))))</f>
        <v> </v>
      </c>
      <c r="H6483" s="25" t="str">
        <f>IF(J6483&lt;&gt;1,"",IF(I6483="SBJ","CB","?"))</f>
        <v> </v>
      </c>
      <c r="I6483" s="26" t="str">
        <f>IF(OR(E6483="",E6483="!!!",F6483="NEW"),"",INDEX(B6482:B$2,-1+SUMPRODUCT(MAX(ROW(E6482:E$2)*(E6483=E6482:E$2)))))</f>
        <v> </v>
      </c>
      <c r="J6483" s="26" t="str">
        <f>IF(OR(E6483="",E6483="!!!",F6483="NEW"),"",COUNTBLANK(OFFSET(A$1,,,SUMPRODUCT(MAX(ROW(E$2:E6483)*(E6483=E$2:E6483)))))-COUNTBLANK(OFFSET(A$1,,,SUMPRODUCT(MAX(ROW(E$1:E6482)*(E2=E$1:E6482))))))</f>
        <v> </v>
      </c>
      <c r="K6483" s="26" t="str">
        <f>IF(OR(E6483="",E6483="!!!",F6483="NEW"),"",INDEX(J$1:J6482,SUMPRODUCT(MAX(ROW(E$1:E6482)*(E6483=E$1:E6482)))))</f>
        <v> </v>
      </c>
      <c r="L6483" s="27"/>
    </row>
    <row r="6484" spans="1:12">
      <c r="A6484" s="20" t="s">
        <v>1193</v>
      </c>
      <c r="E6484" s="22">
        <f>IF(D6484="?OLD","!!!","")</f>
        <v/>
      </c>
      <c r="F6484" s="23" t="str">
        <f>IF(OR(E6484="",E6484="!!!"),"",IF(NOT(ISNA(VLOOKUP(E6484,E$1:E6483,1,FALSE()))),"OLD",IF(AND(E6484&lt;&gt;"",E6484&lt;&gt;"!!!"),"NEW","")))</f>
        <v> </v>
      </c>
      <c r="G6484" s="24" t="str">
        <f>IF(OR(E6484="",E6484="!!!"),"",IF(OR(J6484=0,AND(J6484=1,K6484=1),AND(J6484=1,I6484="SBJ"),AND(J6484=1,I6484=0)),"?IN_FOCUS",IF(J6484&lt;=2,"?ACTIVATED",IF(J6484&lt;&gt;"","?FAMILIAR",IF(F6484="NEW",IF(ISNA(VLOOKUP(E6484,#REF!,1,FALSE())),"?TYPE_IDENTIFIABLE","?REFERENTIAL"),"_")))))</f>
        <v> </v>
      </c>
      <c r="H6484" s="25" t="str">
        <f>IF(J6484&lt;&gt;1,"",IF(I6484="SBJ","CB","?"))</f>
        <v> </v>
      </c>
      <c r="I6484" s="26" t="str">
        <f>IF(OR(E6484="",E6484="!!!",F6484="NEW"),"",INDEX(B6483:B$2,-1+SUMPRODUCT(MAX(ROW(E6483:E$2)*(E6484=E6483:E$2)))))</f>
        <v> </v>
      </c>
      <c r="J6484" s="26" t="str">
        <f>IF(OR(E6484="",E6484="!!!",F6484="NEW"),"",COUNTBLANK(OFFSET(A$1,,,SUMPRODUCT(MAX(ROW(E$2:E6484)*(E6484=E$2:E6484)))))-COUNTBLANK(OFFSET(A$1,,,SUMPRODUCT(MAX(ROW(E$1:E6483)*(E2=E$1:E6483))))))</f>
        <v> </v>
      </c>
      <c r="K6484" s="26" t="str">
        <f>IF(OR(E6484="",E6484="!!!",F6484="NEW"),"",INDEX(J$1:J6483,SUMPRODUCT(MAX(ROW(E$1:E6483)*(E6484=E$1:E6483)))))</f>
        <v> </v>
      </c>
      <c r="L6484" s="27"/>
    </row>
    <row r="6485" spans="1:12">
      <c r="A6485" s="20" t="s">
        <v>1478</v>
      </c>
      <c r="E6485" s="22">
        <f>IF(D6485="?OLD","!!!","")</f>
        <v/>
      </c>
      <c r="F6485" s="23" t="str">
        <f>IF(OR(E6485="",E6485="!!!"),"",IF(NOT(ISNA(VLOOKUP(E6485,E$1:E6484,1,FALSE()))),"OLD",IF(AND(E6485&lt;&gt;"",E6485&lt;&gt;"!!!"),"NEW","")))</f>
        <v> </v>
      </c>
      <c r="G6485" s="24" t="str">
        <f>IF(OR(E6485="",E6485="!!!"),"",IF(OR(J6485=0,AND(J6485=1,K6485=1),AND(J6485=1,I6485="SBJ"),AND(J6485=1,I6485=0)),"?IN_FOCUS",IF(J6485&lt;=2,"?ACTIVATED",IF(J6485&lt;&gt;"","?FAMILIAR",IF(F6485="NEW",IF(ISNA(VLOOKUP(E6485,#REF!,1,FALSE())),"?TYPE_IDENTIFIABLE","?REFERENTIAL"),"_")))))</f>
        <v> </v>
      </c>
      <c r="H6485" s="25" t="str">
        <f>IF(J6485&lt;&gt;1,"",IF(I6485="SBJ","CB","?"))</f>
        <v> </v>
      </c>
      <c r="I6485" s="26" t="str">
        <f>IF(OR(E6485="",E6485="!!!",F6485="NEW"),"",INDEX(B6484:B$2,-1+SUMPRODUCT(MAX(ROW(E6484:E$2)*(E6485=E6484:E$2)))))</f>
        <v> </v>
      </c>
      <c r="J6485" s="26" t="str">
        <f>IF(OR(E6485="",E6485="!!!",F6485="NEW"),"",COUNTBLANK(OFFSET(A$1,,,SUMPRODUCT(MAX(ROW(E$2:E6485)*(E6485=E$2:E6485)))))-COUNTBLANK(OFFSET(A$1,,,SUMPRODUCT(MAX(ROW(E$1:E6484)*(E2=E$1:E6484))))))</f>
        <v> </v>
      </c>
      <c r="K6485" s="26" t="str">
        <f>IF(OR(E6485="",E6485="!!!",F6485="NEW"),"",INDEX(J$1:J6484,SUMPRODUCT(MAX(ROW(E$1:E6484)*(E6485=E$1:E6484)))))</f>
        <v> </v>
      </c>
      <c r="L6485" s="27"/>
    </row>
    <row r="6486" spans="1:12">
      <c r="A6486" s="20" t="s">
        <v>1232</v>
      </c>
      <c r="E6486" s="22">
        <f>IF(D6486="?OLD","!!!","")</f>
        <v/>
      </c>
      <c r="F6486" s="23" t="str">
        <f>IF(OR(E6486="",E6486="!!!"),"",IF(NOT(ISNA(VLOOKUP(E6486,E$1:E6485,1,FALSE()))),"OLD",IF(AND(E6486&lt;&gt;"",E6486&lt;&gt;"!!!"),"NEW","")))</f>
        <v> </v>
      </c>
      <c r="G6486" s="24" t="str">
        <f>IF(OR(E6486="",E6486="!!!"),"",IF(OR(J6486=0,AND(J6486=1,K6486=1),AND(J6486=1,I6486="SBJ"),AND(J6486=1,I6486=0)),"?IN_FOCUS",IF(J6486&lt;=2,"?ACTIVATED",IF(J6486&lt;&gt;"","?FAMILIAR",IF(F6486="NEW",IF(ISNA(VLOOKUP(E6486,#REF!,1,FALSE())),"?TYPE_IDENTIFIABLE","?REFERENTIAL"),"_")))))</f>
        <v> </v>
      </c>
      <c r="H6486" s="25" t="str">
        <f>IF(J6486&lt;&gt;1,"",IF(I6486="SBJ","CB","?"))</f>
        <v> </v>
      </c>
      <c r="I6486" s="26" t="str">
        <f>IF(OR(E6486="",E6486="!!!",F6486="NEW"),"",INDEX(B6485:B$2,-1+SUMPRODUCT(MAX(ROW(E6485:E$2)*(E6486=E6485:E$2)))))</f>
        <v> </v>
      </c>
      <c r="J6486" s="26" t="str">
        <f>IF(OR(E6486="",E6486="!!!",F6486="NEW"),"",COUNTBLANK(OFFSET(A$1,,,SUMPRODUCT(MAX(ROW(E$2:E6486)*(E6486=E$2:E6486)))))-COUNTBLANK(OFFSET(A$1,,,SUMPRODUCT(MAX(ROW(E$1:E6485)*(E2=E$1:E6485))))))</f>
        <v> </v>
      </c>
      <c r="K6486" s="26" t="str">
        <f>IF(OR(E6486="",E6486="!!!",F6486="NEW"),"",INDEX(J$1:J6485,SUMPRODUCT(MAX(ROW(E$1:E6485)*(E6486=E$1:E6485)))))</f>
        <v> </v>
      </c>
      <c r="L6486" s="27"/>
    </row>
    <row r="6487" spans="1:12">
      <c r="A6487" s="20" t="s">
        <v>2919</v>
      </c>
      <c r="B6487" s="21" t="s">
        <v>1199</v>
      </c>
      <c r="C6487" s="21" t="s">
        <v>1187</v>
      </c>
      <c r="D6487" s="21" t="s">
        <v>1188</v>
      </c>
      <c r="E6487" s="22">
        <f>IF(D6487="?OLD","!!!","")</f>
        <v/>
      </c>
      <c r="F6487" s="23" t="str">
        <f>IF(OR(E6487="",E6487="!!!"),"",IF(NOT(ISNA(VLOOKUP(E6487,E$1:E6486,1,FALSE()))),"OLD",IF(AND(E6487&lt;&gt;"",E6487&lt;&gt;"!!!"),"NEW","")))</f>
        <v> </v>
      </c>
      <c r="G6487" s="24" t="str">
        <f>IF(OR(E6487="",E6487="!!!"),"",IF(OR(J6487=0,AND(J6487=1,K6487=1),AND(J6487=1,I6487="SBJ"),AND(J6487=1,I6487=0)),"?IN_FOCUS",IF(J6487&lt;=2,"?ACTIVATED",IF(J6487&lt;&gt;"","?FAMILIAR",IF(F6487="NEW",IF(ISNA(VLOOKUP(E6487,#REF!,1,FALSE())),"?TYPE_IDENTIFIABLE","?REFERENTIAL"),"_")))))</f>
        <v> </v>
      </c>
      <c r="H6487" s="25" t="str">
        <f>IF(J6487&lt;&gt;1,"",IF(I6487="SBJ","CB","?"))</f>
        <v> </v>
      </c>
      <c r="I6487" s="26" t="str">
        <f>IF(OR(E6487="",E6487="!!!",F6487="NEW"),"",INDEX(B6486:B$2,-1+SUMPRODUCT(MAX(ROW(E6486:E$2)*(E6487=E6486:E$2)))))</f>
        <v> </v>
      </c>
      <c r="J6487" s="26" t="str">
        <f>IF(OR(E6487="",E6487="!!!",F6487="NEW"),"",COUNTBLANK(OFFSET(A$1,,,SUMPRODUCT(MAX(ROW(E$2:E6487)*(E6487=E$2:E6487)))))-COUNTBLANK(OFFSET(A$1,,,SUMPRODUCT(MAX(ROW(E$1:E6486)*(E2=E$1:E6486))))))</f>
        <v> </v>
      </c>
      <c r="K6487" s="26" t="str">
        <f>IF(OR(E6487="",E6487="!!!",F6487="NEW"),"",INDEX(J$1:J6486,SUMPRODUCT(MAX(ROW(E$1:E6486)*(E6487=E$1:E6486)))))</f>
        <v> </v>
      </c>
      <c r="L6487" s="27"/>
    </row>
    <row r="6488" spans="1:12">
      <c r="A6488" s="20" t="s">
        <v>1232</v>
      </c>
      <c r="E6488" s="22">
        <f>IF(D6488="?OLD","!!!","")</f>
        <v/>
      </c>
      <c r="F6488" s="23" t="str">
        <f>IF(OR(E6488="",E6488="!!!"),"",IF(NOT(ISNA(VLOOKUP(E6488,E$1:E6487,1,FALSE()))),"OLD",IF(AND(E6488&lt;&gt;"",E6488&lt;&gt;"!!!"),"NEW","")))</f>
        <v> </v>
      </c>
      <c r="G6488" s="24" t="str">
        <f>IF(OR(E6488="",E6488="!!!"),"",IF(OR(J6488=0,AND(J6488=1,K6488=1),AND(J6488=1,I6488="SBJ"),AND(J6488=1,I6488=0)),"?IN_FOCUS",IF(J6488&lt;=2,"?ACTIVATED",IF(J6488&lt;&gt;"","?FAMILIAR",IF(F6488="NEW",IF(ISNA(VLOOKUP(E6488,#REF!,1,FALSE())),"?TYPE_IDENTIFIABLE","?REFERENTIAL"),"_")))))</f>
        <v> </v>
      </c>
      <c r="H6488" s="25" t="str">
        <f>IF(J6488&lt;&gt;1,"",IF(I6488="SBJ","CB","?"))</f>
        <v> </v>
      </c>
      <c r="I6488" s="26" t="str">
        <f>IF(OR(E6488="",E6488="!!!",F6488="NEW"),"",INDEX(B6487:B$2,-1+SUMPRODUCT(MAX(ROW(E6487:E$2)*(E6488=E6487:E$2)))))</f>
        <v> </v>
      </c>
      <c r="J6488" s="26" t="str">
        <f>IF(OR(E6488="",E6488="!!!",F6488="NEW"),"",COUNTBLANK(OFFSET(A$1,,,SUMPRODUCT(MAX(ROW(E$2:E6488)*(E6488=E$2:E6488)))))-COUNTBLANK(OFFSET(A$1,,,SUMPRODUCT(MAX(ROW(E$1:E6487)*(E2=E$1:E6487))))))</f>
        <v> </v>
      </c>
      <c r="K6488" s="26" t="str">
        <f>IF(OR(E6488="",E6488="!!!",F6488="NEW"),"",INDEX(J$1:J6487,SUMPRODUCT(MAX(ROW(E$1:E6487)*(E6488=E$1:E6487)))))</f>
        <v> </v>
      </c>
      <c r="L6488" s="27"/>
    </row>
    <row r="6489" spans="1:12">
      <c r="A6489" s="20" t="s">
        <v>1297</v>
      </c>
      <c r="B6489" s="21" t="s">
        <v>1285</v>
      </c>
      <c r="C6489" s="21" t="s">
        <v>1216</v>
      </c>
      <c r="D6489" s="21" t="s">
        <v>1188</v>
      </c>
      <c r="E6489" s="22">
        <f>IF(D6489="?OLD","!!!","")</f>
        <v/>
      </c>
      <c r="F6489" s="23" t="str">
        <f>IF(OR(E6489="",E6489="!!!"),"",IF(NOT(ISNA(VLOOKUP(E6489,E$1:E6488,1,FALSE()))),"OLD",IF(AND(E6489&lt;&gt;"",E6489&lt;&gt;"!!!"),"NEW","")))</f>
        <v> </v>
      </c>
      <c r="G6489" s="24" t="str">
        <f>IF(OR(E6489="",E6489="!!!"),"",IF(OR(J6489=0,AND(J6489=1,K6489=1),AND(J6489=1,I6489="SBJ"),AND(J6489=1,I6489=0)),"?IN_FOCUS",IF(J6489&lt;=2,"?ACTIVATED",IF(J6489&lt;&gt;"","?FAMILIAR",IF(F6489="NEW",IF(ISNA(VLOOKUP(E6489,#REF!,1,FALSE())),"?TYPE_IDENTIFIABLE","?REFERENTIAL"),"_")))))</f>
        <v> </v>
      </c>
      <c r="H6489" s="25" t="str">
        <f>IF(J6489&lt;&gt;1,"",IF(I6489="SBJ","CB","?"))</f>
        <v> </v>
      </c>
      <c r="I6489" s="26" t="str">
        <f>IF(OR(E6489="",E6489="!!!",F6489="NEW"),"",INDEX(B6488:B$2,-1+SUMPRODUCT(MAX(ROW(E6488:E$2)*(E6489=E6488:E$2)))))</f>
        <v> </v>
      </c>
      <c r="J6489" s="26" t="str">
        <f>IF(OR(E6489="",E6489="!!!",F6489="NEW"),"",COUNTBLANK(OFFSET(A$1,,,SUMPRODUCT(MAX(ROW(E$2:E6489)*(E6489=E$2:E6489)))))-COUNTBLANK(OFFSET(A$1,,,SUMPRODUCT(MAX(ROW(E$1:E6488)*(E2=E$1:E6488))))))</f>
        <v> </v>
      </c>
      <c r="K6489" s="26" t="str">
        <f>IF(OR(E6489="",E6489="!!!",F6489="NEW"),"",INDEX(J$1:J6488,SUMPRODUCT(MAX(ROW(E$1:E6488)*(E6489=E$1:E6488)))))</f>
        <v> </v>
      </c>
      <c r="L6489" s="27"/>
    </row>
    <row r="6490" spans="1:12">
      <c r="A6490" s="20" t="s">
        <v>2920</v>
      </c>
      <c r="B6490" s="21" t="s">
        <v>1215</v>
      </c>
      <c r="C6490" s="21" t="s">
        <v>1218</v>
      </c>
      <c r="D6490" s="21" t="s">
        <v>1188</v>
      </c>
      <c r="E6490" s="22">
        <f>IF(D6490="?OLD","!!!","")</f>
        <v/>
      </c>
      <c r="F6490" s="23" t="str">
        <f>IF(OR(E6490="",E6490="!!!"),"",IF(NOT(ISNA(VLOOKUP(E6490,E$1:E6489,1,FALSE()))),"OLD",IF(AND(E6490&lt;&gt;"",E6490&lt;&gt;"!!!"),"NEW","")))</f>
        <v> </v>
      </c>
      <c r="G6490" s="24" t="str">
        <f>IF(OR(E6490="",E6490="!!!"),"",IF(OR(J6490=0,AND(J6490=1,K6490=1),AND(J6490=1,I6490="SBJ"),AND(J6490=1,I6490=0)),"?IN_FOCUS",IF(J6490&lt;=2,"?ACTIVATED",IF(J6490&lt;&gt;"","?FAMILIAR",IF(F6490="NEW",IF(ISNA(VLOOKUP(E6490,#REF!,1,FALSE())),"?TYPE_IDENTIFIABLE","?REFERENTIAL"),"_")))))</f>
        <v> </v>
      </c>
      <c r="H6490" s="25" t="str">
        <f>IF(J6490&lt;&gt;1,"",IF(I6490="SBJ","CB","?"))</f>
        <v> </v>
      </c>
      <c r="I6490" s="26" t="str">
        <f>IF(OR(E6490="",E6490="!!!",F6490="NEW"),"",INDEX(B6489:B$2,-1+SUMPRODUCT(MAX(ROW(E6489:E$2)*(E6490=E6489:E$2)))))</f>
        <v> </v>
      </c>
      <c r="J6490" s="26" t="str">
        <f>IF(OR(E6490="",E6490="!!!",F6490="NEW"),"",COUNTBLANK(OFFSET(A$1,,,SUMPRODUCT(MAX(ROW(E$2:E6490)*(E6490=E$2:E6490)))))-COUNTBLANK(OFFSET(A$1,,,SUMPRODUCT(MAX(ROW(E$1:E6489)*(E2=E$1:E6489))))))</f>
        <v> </v>
      </c>
      <c r="K6490" s="26" t="str">
        <f>IF(OR(E6490="",E6490="!!!",F6490="NEW"),"",INDEX(J$1:J6489,SUMPRODUCT(MAX(ROW(E$1:E6489)*(E6490=E$1:E6489)))))</f>
        <v> </v>
      </c>
      <c r="L6490" s="27"/>
    </row>
    <row r="6491" spans="1:12">
      <c r="A6491" s="20" t="s">
        <v>826</v>
      </c>
      <c r="E6491" s="22">
        <f>IF(D6491="?OLD","!!!","")</f>
        <v/>
      </c>
      <c r="F6491" s="23" t="str">
        <f>IF(OR(E6491="",E6491="!!!"),"",IF(NOT(ISNA(VLOOKUP(E6491,E$1:E6490,1,FALSE()))),"OLD",IF(AND(E6491&lt;&gt;"",E6491&lt;&gt;"!!!"),"NEW","")))</f>
        <v> </v>
      </c>
      <c r="G6491" s="24" t="str">
        <f>IF(OR(E6491="",E6491="!!!"),"",IF(OR(J6491=0,AND(J6491=1,K6491=1),AND(J6491=1,I6491="SBJ"),AND(J6491=1,I6491=0)),"?IN_FOCUS",IF(J6491&lt;=2,"?ACTIVATED",IF(J6491&lt;&gt;"","?FAMILIAR",IF(F6491="NEW",IF(ISNA(VLOOKUP(E6491,#REF!,1,FALSE())),"?TYPE_IDENTIFIABLE","?REFERENTIAL"),"_")))))</f>
        <v> </v>
      </c>
      <c r="H6491" s="25" t="str">
        <f>IF(J6491&lt;&gt;1,"",IF(I6491="SBJ","CB","?"))</f>
        <v> </v>
      </c>
      <c r="I6491" s="26" t="str">
        <f>IF(OR(E6491="",E6491="!!!",F6491="NEW"),"",INDEX(B6490:B$2,-1+SUMPRODUCT(MAX(ROW(E6490:E$2)*(E6491=E6490:E$2)))))</f>
        <v> </v>
      </c>
      <c r="J6491" s="26" t="str">
        <f>IF(OR(E6491="",E6491="!!!",F6491="NEW"),"",COUNTBLANK(OFFSET(A$1,,,SUMPRODUCT(MAX(ROW(E$2:E6491)*(E6491=E$2:E6491)))))-COUNTBLANK(OFFSET(A$1,,,SUMPRODUCT(MAX(ROW(E$1:E6490)*(E2=E$1:E6490))))))</f>
        <v> </v>
      </c>
      <c r="K6491" s="26" t="str">
        <f>IF(OR(E6491="",E6491="!!!",F6491="NEW"),"",INDEX(J$1:J6490,SUMPRODUCT(MAX(ROW(E$1:E6490)*(E6491=E$1:E6490)))))</f>
        <v> </v>
      </c>
      <c r="L6491" s="27"/>
    </row>
    <row r="6492" spans="1:12">
      <c r="A6492" s="20"/>
    </row>
    <row r="6493" spans="1:12">
      <c r="A6493" s="20" t="s">
        <v>2921</v>
      </c>
    </row>
    <row r="6494" spans="1:12">
      <c r="A6494" s="20" t="s">
        <v>1201</v>
      </c>
      <c r="B6494" s="21" t="s">
        <v>1202</v>
      </c>
      <c r="C6494" s="21" t="s">
        <v>1203</v>
      </c>
      <c r="D6494" s="21" t="s">
        <v>1188</v>
      </c>
      <c r="E6494" s="22">
        <f>IF(D6494="?OLD","!!!","")</f>
        <v/>
      </c>
      <c r="F6494" s="23" t="str">
        <f>IF(OR(E6494="",E6494="!!!"),"",IF(NOT(ISNA(VLOOKUP(E6494,E$1:E6493,1,FALSE()))),"OLD",IF(AND(E6494&lt;&gt;"",E6494&lt;&gt;"!!!"),"NEW","")))</f>
        <v> </v>
      </c>
      <c r="G6494" s="24" t="str">
        <f>IF(OR(E6494="",E6494="!!!"),"",IF(OR(J6494=0,AND(J6494=1,K6494=1),AND(J6494=1,I6494="SBJ"),AND(J6494=1,I6494=0)),"?IN_FOCUS",IF(J6494&lt;=2,"?ACTIVATED",IF(J6494&lt;&gt;"","?FAMILIAR",IF(F6494="NEW",IF(ISNA(VLOOKUP(E6494,#REF!,1,FALSE())),"?TYPE_IDENTIFIABLE","?REFERENTIAL"),"_")))))</f>
        <v> </v>
      </c>
      <c r="H6494" s="25" t="str">
        <f>IF(J6494&lt;&gt;1,"",IF(I6494="SBJ","CB","?"))</f>
        <v> </v>
      </c>
      <c r="I6494" s="26" t="str">
        <f>IF(OR(E6494="",E6494="!!!",F6494="NEW"),"",INDEX(B6493:B$2,-1+SUMPRODUCT(MAX(ROW(E6493:E$2)*(E6494=E6493:E$2)))))</f>
        <v> </v>
      </c>
      <c r="J6494" s="26" t="str">
        <f>IF(OR(E6494="",E6494="!!!",F6494="NEW"),"",COUNTBLANK(OFFSET(A$1,,,SUMPRODUCT(MAX(ROW(E$2:E6494)*(E6494=E$2:E6494)))))-COUNTBLANK(OFFSET(A$1,,,SUMPRODUCT(MAX(ROW(E$1:E6493)*(E2=E$1:E6493))))))</f>
        <v> </v>
      </c>
      <c r="K6494" s="26" t="str">
        <f>IF(OR(E6494="",E6494="!!!",F6494="NEW"),"",INDEX(J$1:J6493,SUMPRODUCT(MAX(ROW(E$1:E6493)*(E6494=E$1:E6493)))))</f>
        <v> </v>
      </c>
      <c r="L6494" s="27"/>
    </row>
    <row r="6495" spans="1:12">
      <c r="A6495" s="20" t="s">
        <v>1327</v>
      </c>
      <c r="E6495" s="22">
        <f>IF(D6495="?OLD","!!!","")</f>
        <v/>
      </c>
      <c r="F6495" s="23" t="str">
        <f>IF(OR(E6495="",E6495="!!!"),"",IF(NOT(ISNA(VLOOKUP(E6495,E$1:E6494,1,FALSE()))),"OLD",IF(AND(E6495&lt;&gt;"",E6495&lt;&gt;"!!!"),"NEW","")))</f>
        <v> </v>
      </c>
      <c r="G6495" s="24" t="str">
        <f>IF(OR(E6495="",E6495="!!!"),"",IF(OR(J6495=0,AND(J6495=1,K6495=1),AND(J6495=1,I6495="SBJ"),AND(J6495=1,I6495=0)),"?IN_FOCUS",IF(J6495&lt;=2,"?ACTIVATED",IF(J6495&lt;&gt;"","?FAMILIAR",IF(F6495="NEW",IF(ISNA(VLOOKUP(E6495,#REF!,1,FALSE())),"?TYPE_IDENTIFIABLE","?REFERENTIAL"),"_")))))</f>
        <v> </v>
      </c>
      <c r="H6495" s="25" t="str">
        <f>IF(J6495&lt;&gt;1,"",IF(I6495="SBJ","CB","?"))</f>
        <v> </v>
      </c>
      <c r="I6495" s="26" t="str">
        <f>IF(OR(E6495="",E6495="!!!",F6495="NEW"),"",INDEX(B6494:B$2,-1+SUMPRODUCT(MAX(ROW(E6494:E$2)*(E6495=E6494:E$2)))))</f>
        <v> </v>
      </c>
      <c r="J6495" s="26" t="str">
        <f>IF(OR(E6495="",E6495="!!!",F6495="NEW"),"",COUNTBLANK(OFFSET(A$1,,,SUMPRODUCT(MAX(ROW(E$2:E6495)*(E6495=E$2:E6495)))))-COUNTBLANK(OFFSET(A$1,,,SUMPRODUCT(MAX(ROW(E$1:E6494)*(E2=E$1:E6494))))))</f>
        <v> </v>
      </c>
      <c r="K6495" s="26" t="str">
        <f>IF(OR(E6495="",E6495="!!!",F6495="NEW"),"",INDEX(J$1:J6494,SUMPRODUCT(MAX(ROW(E$1:E6494)*(E6495=E$1:E6494)))))</f>
        <v> </v>
      </c>
      <c r="L6495" s="27"/>
    </row>
    <row r="6496" spans="1:12">
      <c r="A6496" s="20" t="s">
        <v>2922</v>
      </c>
      <c r="E6496" s="22">
        <f>IF(D6496="?OLD","!!!","")</f>
        <v/>
      </c>
      <c r="F6496" s="23" t="str">
        <f>IF(OR(E6496="",E6496="!!!"),"",IF(NOT(ISNA(VLOOKUP(E6496,E$1:E6495,1,FALSE()))),"OLD",IF(AND(E6496&lt;&gt;"",E6496&lt;&gt;"!!!"),"NEW","")))</f>
        <v> </v>
      </c>
      <c r="G6496" s="24" t="str">
        <f>IF(OR(E6496="",E6496="!!!"),"",IF(OR(J6496=0,AND(J6496=1,K6496=1),AND(J6496=1,I6496="SBJ"),AND(J6496=1,I6496=0)),"?IN_FOCUS",IF(J6496&lt;=2,"?ACTIVATED",IF(J6496&lt;&gt;"","?FAMILIAR",IF(F6496="NEW",IF(ISNA(VLOOKUP(E6496,#REF!,1,FALSE())),"?TYPE_IDENTIFIABLE","?REFERENTIAL"),"_")))))</f>
        <v> </v>
      </c>
      <c r="H6496" s="25" t="str">
        <f>IF(J6496&lt;&gt;1,"",IF(I6496="SBJ","CB","?"))</f>
        <v> </v>
      </c>
      <c r="I6496" s="26" t="str">
        <f>IF(OR(E6496="",E6496="!!!",F6496="NEW"),"",INDEX(B6495:B$2,-1+SUMPRODUCT(MAX(ROW(E6495:E$2)*(E6496=E6495:E$2)))))</f>
        <v> </v>
      </c>
      <c r="J6496" s="26" t="str">
        <f>IF(OR(E6496="",E6496="!!!",F6496="NEW"),"",COUNTBLANK(OFFSET(A$1,,,SUMPRODUCT(MAX(ROW(E$2:E6496)*(E6496=E$2:E6496)))))-COUNTBLANK(OFFSET(A$1,,,SUMPRODUCT(MAX(ROW(E$1:E6495)*(E2=E$1:E6495))))))</f>
        <v> </v>
      </c>
      <c r="K6496" s="26" t="str">
        <f>IF(OR(E6496="",E6496="!!!",F6496="NEW"),"",INDEX(J$1:J6495,SUMPRODUCT(MAX(ROW(E$1:E6495)*(E6496=E$1:E6495)))))</f>
        <v> </v>
      </c>
      <c r="L6496" s="27"/>
    </row>
    <row r="6497" spans="1:12">
      <c r="A6497" s="20" t="s">
        <v>1193</v>
      </c>
      <c r="E6497" s="22">
        <f>IF(D6497="?OLD","!!!","")</f>
        <v/>
      </c>
      <c r="F6497" s="23" t="str">
        <f>IF(OR(E6497="",E6497="!!!"),"",IF(NOT(ISNA(VLOOKUP(E6497,E$1:E6496,1,FALSE()))),"OLD",IF(AND(E6497&lt;&gt;"",E6497&lt;&gt;"!!!"),"NEW","")))</f>
        <v> </v>
      </c>
      <c r="G6497" s="24" t="str">
        <f>IF(OR(E6497="",E6497="!!!"),"",IF(OR(J6497=0,AND(J6497=1,K6497=1),AND(J6497=1,I6497="SBJ"),AND(J6497=1,I6497=0)),"?IN_FOCUS",IF(J6497&lt;=2,"?ACTIVATED",IF(J6497&lt;&gt;"","?FAMILIAR",IF(F6497="NEW",IF(ISNA(VLOOKUP(E6497,#REF!,1,FALSE())),"?TYPE_IDENTIFIABLE","?REFERENTIAL"),"_")))))</f>
        <v> </v>
      </c>
      <c r="H6497" s="25" t="str">
        <f>IF(J6497&lt;&gt;1,"",IF(I6497="SBJ","CB","?"))</f>
        <v> </v>
      </c>
      <c r="I6497" s="26" t="str">
        <f>IF(OR(E6497="",E6497="!!!",F6497="NEW"),"",INDEX(B6496:B$2,-1+SUMPRODUCT(MAX(ROW(E6496:E$2)*(E6497=E6496:E$2)))))</f>
        <v> </v>
      </c>
      <c r="J6497" s="26" t="str">
        <f>IF(OR(E6497="",E6497="!!!",F6497="NEW"),"",COUNTBLANK(OFFSET(A$1,,,SUMPRODUCT(MAX(ROW(E$2:E6497)*(E6497=E$2:E6497)))))-COUNTBLANK(OFFSET(A$1,,,SUMPRODUCT(MAX(ROW(E$1:E6496)*(E2=E$1:E6496))))))</f>
        <v> </v>
      </c>
      <c r="K6497" s="26" t="str">
        <f>IF(OR(E6497="",E6497="!!!",F6497="NEW"),"",INDEX(J$1:J6496,SUMPRODUCT(MAX(ROW(E$1:E6496)*(E6497=E$1:E6496)))))</f>
        <v> </v>
      </c>
      <c r="L6497" s="27"/>
    </row>
    <row r="6498" spans="1:12">
      <c r="A6498" s="20" t="s">
        <v>1309</v>
      </c>
      <c r="E6498" s="22">
        <f>IF(D6498="?OLD","!!!","")</f>
        <v/>
      </c>
      <c r="F6498" s="23" t="str">
        <f>IF(OR(E6498="",E6498="!!!"),"",IF(NOT(ISNA(VLOOKUP(E6498,E$1:E6497,1,FALSE()))),"OLD",IF(AND(E6498&lt;&gt;"",E6498&lt;&gt;"!!!"),"NEW","")))</f>
        <v> </v>
      </c>
      <c r="G6498" s="24" t="str">
        <f>IF(OR(E6498="",E6498="!!!"),"",IF(OR(J6498=0,AND(J6498=1,K6498=1),AND(J6498=1,I6498="SBJ"),AND(J6498=1,I6498=0)),"?IN_FOCUS",IF(J6498&lt;=2,"?ACTIVATED",IF(J6498&lt;&gt;"","?FAMILIAR",IF(F6498="NEW",IF(ISNA(VLOOKUP(E6498,#REF!,1,FALSE())),"?TYPE_IDENTIFIABLE","?REFERENTIAL"),"_")))))</f>
        <v> </v>
      </c>
      <c r="H6498" s="25" t="str">
        <f>IF(J6498&lt;&gt;1,"",IF(I6498="SBJ","CB","?"))</f>
        <v> </v>
      </c>
      <c r="I6498" s="26" t="str">
        <f>IF(OR(E6498="",E6498="!!!",F6498="NEW"),"",INDEX(B6497:B$2,-1+SUMPRODUCT(MAX(ROW(E6497:E$2)*(E6498=E6497:E$2)))))</f>
        <v> </v>
      </c>
      <c r="J6498" s="26" t="str">
        <f>IF(OR(E6498="",E6498="!!!",F6498="NEW"),"",COUNTBLANK(OFFSET(A$1,,,SUMPRODUCT(MAX(ROW(E$2:E6498)*(E6498=E$2:E6498)))))-COUNTBLANK(OFFSET(A$1,,,SUMPRODUCT(MAX(ROW(E$1:E6497)*(E2=E$1:E6497))))))</f>
        <v> </v>
      </c>
      <c r="K6498" s="26" t="str">
        <f>IF(OR(E6498="",E6498="!!!",F6498="NEW"),"",INDEX(J$1:J6497,SUMPRODUCT(MAX(ROW(E$1:E6497)*(E6498=E$1:E6497)))))</f>
        <v> </v>
      </c>
      <c r="L6498" s="27"/>
    </row>
    <row r="6499" spans="1:12">
      <c r="A6499" s="20" t="s">
        <v>2923</v>
      </c>
      <c r="E6499" s="22">
        <f>IF(D6499="?OLD","!!!","")</f>
        <v/>
      </c>
      <c r="F6499" s="23" t="str">
        <f>IF(OR(E6499="",E6499="!!!"),"",IF(NOT(ISNA(VLOOKUP(E6499,E$1:E6498,1,FALSE()))),"OLD",IF(AND(E6499&lt;&gt;"",E6499&lt;&gt;"!!!"),"NEW","")))</f>
        <v> </v>
      </c>
      <c r="G6499" s="24" t="str">
        <f>IF(OR(E6499="",E6499="!!!"),"",IF(OR(J6499=0,AND(J6499=1,K6499=1),AND(J6499=1,I6499="SBJ"),AND(J6499=1,I6499=0)),"?IN_FOCUS",IF(J6499&lt;=2,"?ACTIVATED",IF(J6499&lt;&gt;"","?FAMILIAR",IF(F6499="NEW",IF(ISNA(VLOOKUP(E6499,#REF!,1,FALSE())),"?TYPE_IDENTIFIABLE","?REFERENTIAL"),"_")))))</f>
        <v> </v>
      </c>
      <c r="H6499" s="25" t="str">
        <f>IF(J6499&lt;&gt;1,"",IF(I6499="SBJ","CB","?"))</f>
        <v> </v>
      </c>
      <c r="I6499" s="26" t="str">
        <f>IF(OR(E6499="",E6499="!!!",F6499="NEW"),"",INDEX(B6498:B$2,-1+SUMPRODUCT(MAX(ROW(E6498:E$2)*(E6499=E6498:E$2)))))</f>
        <v> </v>
      </c>
      <c r="J6499" s="26" t="str">
        <f>IF(OR(E6499="",E6499="!!!",F6499="NEW"),"",COUNTBLANK(OFFSET(A$1,,,SUMPRODUCT(MAX(ROW(E$2:E6499)*(E6499=E$2:E6499)))))-COUNTBLANK(OFFSET(A$1,,,SUMPRODUCT(MAX(ROW(E$1:E6498)*(E2=E$1:E6498))))))</f>
        <v> </v>
      </c>
      <c r="K6499" s="26" t="str">
        <f>IF(OR(E6499="",E6499="!!!",F6499="NEW"),"",INDEX(J$1:J6498,SUMPRODUCT(MAX(ROW(E$1:E6498)*(E6499=E$1:E6498)))))</f>
        <v> </v>
      </c>
      <c r="L6499" s="27"/>
    </row>
    <row r="6500" spans="1:12">
      <c r="A6500" s="20" t="s">
        <v>1226</v>
      </c>
      <c r="B6500" s="21" t="s">
        <v>1245</v>
      </c>
      <c r="E6500" s="22">
        <f>IF(D6500="?OLD","!!!","")</f>
        <v/>
      </c>
      <c r="F6500" s="23" t="str">
        <f>IF(OR(E6500="",E6500="!!!"),"",IF(NOT(ISNA(VLOOKUP(E6500,E$1:E6499,1,FALSE()))),"OLD",IF(AND(E6500&lt;&gt;"",E6500&lt;&gt;"!!!"),"NEW","")))</f>
        <v> </v>
      </c>
      <c r="G6500" s="24" t="str">
        <f>IF(OR(E6500="",E6500="!!!"),"",IF(OR(J6500=0,AND(J6500=1,K6500=1),AND(J6500=1,I6500="SBJ"),AND(J6500=1,I6500=0)),"?IN_FOCUS",IF(J6500&lt;=2,"?ACTIVATED",IF(J6500&lt;&gt;"","?FAMILIAR",IF(F6500="NEW",IF(ISNA(VLOOKUP(E6500,#REF!,1,FALSE())),"?TYPE_IDENTIFIABLE","?REFERENTIAL"),"_")))))</f>
        <v> </v>
      </c>
      <c r="H6500" s="25" t="str">
        <f>IF(J6500&lt;&gt;1,"",IF(I6500="SBJ","CB","?"))</f>
        <v> </v>
      </c>
      <c r="I6500" s="26" t="str">
        <f>IF(OR(E6500="",E6500="!!!",F6500="NEW"),"",INDEX(B6499:B$2,-1+SUMPRODUCT(MAX(ROW(E6499:E$2)*(E6500=E6499:E$2)))))</f>
        <v> </v>
      </c>
      <c r="J6500" s="26" t="str">
        <f>IF(OR(E6500="",E6500="!!!",F6500="NEW"),"",COUNTBLANK(OFFSET(A$1,,,SUMPRODUCT(MAX(ROW(E$2:E6500)*(E6500=E$2:E6500)))))-COUNTBLANK(OFFSET(A$1,,,SUMPRODUCT(MAX(ROW(E$1:E6499)*(E2=E$1:E6499))))))</f>
        <v> </v>
      </c>
      <c r="K6500" s="26" t="str">
        <f>IF(OR(E6500="",E6500="!!!",F6500="NEW"),"",INDEX(J$1:J6499,SUMPRODUCT(MAX(ROW(E$1:E6499)*(E6500=E$1:E6499)))))</f>
        <v> </v>
      </c>
      <c r="L6500" s="27"/>
    </row>
    <row r="6501" spans="1:12">
      <c r="A6501" s="20" t="s">
        <v>1502</v>
      </c>
      <c r="B6501" s="21" t="s">
        <v>1248</v>
      </c>
      <c r="E6501" s="22">
        <f>IF(D6501="?OLD","!!!","")</f>
        <v/>
      </c>
      <c r="F6501" s="23" t="str">
        <f>IF(OR(E6501="",E6501="!!!"),"",IF(NOT(ISNA(VLOOKUP(E6501,E$1:E6500,1,FALSE()))),"OLD",IF(AND(E6501&lt;&gt;"",E6501&lt;&gt;"!!!"),"NEW","")))</f>
        <v> </v>
      </c>
      <c r="G6501" s="24" t="str">
        <f>IF(OR(E6501="",E6501="!!!"),"",IF(OR(J6501=0,AND(J6501=1,K6501=1),AND(J6501=1,I6501="SBJ"),AND(J6501=1,I6501=0)),"?IN_FOCUS",IF(J6501&lt;=2,"?ACTIVATED",IF(J6501&lt;&gt;"","?FAMILIAR",IF(F6501="NEW",IF(ISNA(VLOOKUP(E6501,#REF!,1,FALSE())),"?TYPE_IDENTIFIABLE","?REFERENTIAL"),"_")))))</f>
        <v> </v>
      </c>
      <c r="H6501" s="25" t="str">
        <f>IF(J6501&lt;&gt;1,"",IF(I6501="SBJ","CB","?"))</f>
        <v> </v>
      </c>
      <c r="I6501" s="26" t="str">
        <f>IF(OR(E6501="",E6501="!!!",F6501="NEW"),"",INDEX(B6500:B$2,-1+SUMPRODUCT(MAX(ROW(E6500:E$2)*(E6501=E6500:E$2)))))</f>
        <v> </v>
      </c>
      <c r="J6501" s="26" t="str">
        <f>IF(OR(E6501="",E6501="!!!",F6501="NEW"),"",COUNTBLANK(OFFSET(A$1,,,SUMPRODUCT(MAX(ROW(E$2:E6501)*(E6501=E$2:E6501)))))-COUNTBLANK(OFFSET(A$1,,,SUMPRODUCT(MAX(ROW(E$1:E6500)*(E2=E$1:E6500))))))</f>
        <v> </v>
      </c>
      <c r="K6501" s="26" t="str">
        <f>IF(OR(E6501="",E6501="!!!",F6501="NEW"),"",INDEX(J$1:J6500,SUMPRODUCT(MAX(ROW(E$1:E6500)*(E6501=E$1:E6500)))))</f>
        <v> </v>
      </c>
      <c r="L6501" s="27"/>
    </row>
    <row r="6502" spans="1:12">
      <c r="A6502" s="20" t="s">
        <v>1227</v>
      </c>
      <c r="E6502" s="22">
        <f>IF(D6502="?OLD","!!!","")</f>
        <v/>
      </c>
      <c r="F6502" s="23" t="str">
        <f>IF(OR(E6502="",E6502="!!!"),"",IF(NOT(ISNA(VLOOKUP(E6502,E$1:E6501,1,FALSE()))),"OLD",IF(AND(E6502&lt;&gt;"",E6502&lt;&gt;"!!!"),"NEW","")))</f>
        <v> </v>
      </c>
      <c r="G6502" s="24" t="str">
        <f>IF(OR(E6502="",E6502="!!!"),"",IF(OR(J6502=0,AND(J6502=1,K6502=1),AND(J6502=1,I6502="SBJ"),AND(J6502=1,I6502=0)),"?IN_FOCUS",IF(J6502&lt;=2,"?ACTIVATED",IF(J6502&lt;&gt;"","?FAMILIAR",IF(F6502="NEW",IF(ISNA(VLOOKUP(E6502,#REF!,1,FALSE())),"?TYPE_IDENTIFIABLE","?REFERENTIAL"),"_")))))</f>
        <v> </v>
      </c>
      <c r="H6502" s="25" t="str">
        <f>IF(J6502&lt;&gt;1,"",IF(I6502="SBJ","CB","?"))</f>
        <v> </v>
      </c>
      <c r="I6502" s="26" t="str">
        <f>IF(OR(E6502="",E6502="!!!",F6502="NEW"),"",INDEX(B6501:B$2,-1+SUMPRODUCT(MAX(ROW(E6501:E$2)*(E6502=E6501:E$2)))))</f>
        <v> </v>
      </c>
      <c r="J6502" s="26" t="str">
        <f>IF(OR(E6502="",E6502="!!!",F6502="NEW"),"",COUNTBLANK(OFFSET(A$1,,,SUMPRODUCT(MAX(ROW(E$2:E6502)*(E6502=E$2:E6502)))))-COUNTBLANK(OFFSET(A$1,,,SUMPRODUCT(MAX(ROW(E$1:E6501)*(E2=E$1:E6501))))))</f>
        <v> </v>
      </c>
      <c r="K6502" s="26" t="str">
        <f>IF(OR(E6502="",E6502="!!!",F6502="NEW"),"",INDEX(J$1:J6501,SUMPRODUCT(MAX(ROW(E$1:E6501)*(E6502=E$1:E6501)))))</f>
        <v> </v>
      </c>
      <c r="L6502" s="27"/>
    </row>
    <row r="6503" spans="1:12">
      <c r="A6503" s="20" t="s">
        <v>1257</v>
      </c>
      <c r="E6503" s="22">
        <f>IF(D6503="?OLD","!!!","")</f>
        <v/>
      </c>
      <c r="F6503" s="23" t="str">
        <f>IF(OR(E6503="",E6503="!!!"),"",IF(NOT(ISNA(VLOOKUP(E6503,E$1:E6502,1,FALSE()))),"OLD",IF(AND(E6503&lt;&gt;"",E6503&lt;&gt;"!!!"),"NEW","")))</f>
        <v> </v>
      </c>
      <c r="G6503" s="24" t="str">
        <f>IF(OR(E6503="",E6503="!!!"),"",IF(OR(J6503=0,AND(J6503=1,K6503=1),AND(J6503=1,I6503="SBJ"),AND(J6503=1,I6503=0)),"?IN_FOCUS",IF(J6503&lt;=2,"?ACTIVATED",IF(J6503&lt;&gt;"","?FAMILIAR",IF(F6503="NEW",IF(ISNA(VLOOKUP(E6503,#REF!,1,FALSE())),"?TYPE_IDENTIFIABLE","?REFERENTIAL"),"_")))))</f>
        <v> </v>
      </c>
      <c r="H6503" s="25" t="str">
        <f>IF(J6503&lt;&gt;1,"",IF(I6503="SBJ","CB","?"))</f>
        <v> </v>
      </c>
      <c r="I6503" s="26" t="str">
        <f>IF(OR(E6503="",E6503="!!!",F6503="NEW"),"",INDEX(B6502:B$2,-1+SUMPRODUCT(MAX(ROW(E6502:E$2)*(E6503=E6502:E$2)))))</f>
        <v> </v>
      </c>
      <c r="J6503" s="26" t="str">
        <f>IF(OR(E6503="",E6503="!!!",F6503="NEW"),"",COUNTBLANK(OFFSET(A$1,,,SUMPRODUCT(MAX(ROW(E$2:E6503)*(E6503=E$2:E6503)))))-COUNTBLANK(OFFSET(A$1,,,SUMPRODUCT(MAX(ROW(E$1:E6502)*(E2=E$1:E6502))))))</f>
        <v> </v>
      </c>
      <c r="K6503" s="26" t="str">
        <f>IF(OR(E6503="",E6503="!!!",F6503="NEW"),"",INDEX(J$1:J6502,SUMPRODUCT(MAX(ROW(E$1:E6502)*(E6503=E$1:E6502)))))</f>
        <v> </v>
      </c>
      <c r="L6503" s="27"/>
    </row>
    <row r="6504" spans="1:12">
      <c r="A6504" s="20"/>
    </row>
    <row r="6505" spans="1:12">
      <c r="A6505" s="20" t="s">
        <v>2924</v>
      </c>
    </row>
    <row r="6506" spans="1:12">
      <c r="A6506" s="20" t="s">
        <v>1294</v>
      </c>
      <c r="B6506" s="21" t="s">
        <v>1202</v>
      </c>
      <c r="C6506" s="21" t="s">
        <v>1187</v>
      </c>
      <c r="D6506" s="21" t="s">
        <v>1188</v>
      </c>
      <c r="E6506" s="22">
        <f>IF(D6506="?OLD","!!!","")</f>
        <v/>
      </c>
      <c r="F6506" s="23" t="str">
        <f>IF(OR(E6506="",E6506="!!!"),"",IF(NOT(ISNA(VLOOKUP(E6506,E$1:E6505,1,FALSE()))),"OLD",IF(AND(E6506&lt;&gt;"",E6506&lt;&gt;"!!!"),"NEW","")))</f>
        <v> </v>
      </c>
      <c r="G6506" s="24" t="str">
        <f>IF(OR(E6506="",E6506="!!!"),"",IF(OR(J6506=0,AND(J6506=1,K6506=1),AND(J6506=1,I6506="SBJ"),AND(J6506=1,I6506=0)),"?IN_FOCUS",IF(J6506&lt;=2,"?ACTIVATED",IF(J6506&lt;&gt;"","?FAMILIAR",IF(F6506="NEW",IF(ISNA(VLOOKUP(E6506,#REF!,1,FALSE())),"?TYPE_IDENTIFIABLE","?REFERENTIAL"),"_")))))</f>
        <v> </v>
      </c>
      <c r="H6506" s="25" t="str">
        <f>IF(J6506&lt;&gt;1,"",IF(I6506="SBJ","CB","?"))</f>
        <v> </v>
      </c>
      <c r="I6506" s="26" t="str">
        <f>IF(OR(E6506="",E6506="!!!",F6506="NEW"),"",INDEX(B6505:B$2,-1+SUMPRODUCT(MAX(ROW(E6505:E$2)*(E6506=E6505:E$2)))))</f>
        <v> </v>
      </c>
      <c r="J6506" s="26" t="str">
        <f>IF(OR(E6506="",E6506="!!!",F6506="NEW"),"",COUNTBLANK(OFFSET(A$1,,,SUMPRODUCT(MAX(ROW(E$2:E6506)*(E6506=E$2:E6506)))))-COUNTBLANK(OFFSET(A$1,,,SUMPRODUCT(MAX(ROW(E$1:E6505)*(E2=E$1:E6505))))))</f>
        <v> </v>
      </c>
      <c r="K6506" s="26" t="str">
        <f>IF(OR(E6506="",E6506="!!!",F6506="NEW"),"",INDEX(J$1:J6505,SUMPRODUCT(MAX(ROW(E$1:E6505)*(E6506=E$1:E6505)))))</f>
        <v> </v>
      </c>
      <c r="L6506" s="27"/>
    </row>
    <row r="6507" spans="1:12">
      <c r="A6507" s="20" t="s">
        <v>1190</v>
      </c>
      <c r="E6507" s="22">
        <f>IF(D6507="?OLD","!!!","")</f>
        <v/>
      </c>
      <c r="F6507" s="23" t="str">
        <f>IF(OR(E6507="",E6507="!!!"),"",IF(NOT(ISNA(VLOOKUP(E6507,E$1:E6506,1,FALSE()))),"OLD",IF(AND(E6507&lt;&gt;"",E6507&lt;&gt;"!!!"),"NEW","")))</f>
        <v> </v>
      </c>
      <c r="G6507" s="24" t="str">
        <f>IF(OR(E6507="",E6507="!!!"),"",IF(OR(J6507=0,AND(J6507=1,K6507=1),AND(J6507=1,I6507="SBJ"),AND(J6507=1,I6507=0)),"?IN_FOCUS",IF(J6507&lt;=2,"?ACTIVATED",IF(J6507&lt;&gt;"","?FAMILIAR",IF(F6507="NEW",IF(ISNA(VLOOKUP(E6507,#REF!,1,FALSE())),"?TYPE_IDENTIFIABLE","?REFERENTIAL"),"_")))))</f>
        <v> </v>
      </c>
      <c r="H6507" s="25" t="str">
        <f>IF(J6507&lt;&gt;1,"",IF(I6507="SBJ","CB","?"))</f>
        <v> </v>
      </c>
      <c r="I6507" s="26" t="str">
        <f>IF(OR(E6507="",E6507="!!!",F6507="NEW"),"",INDEX(B6506:B$2,-1+SUMPRODUCT(MAX(ROW(E6506:E$2)*(E6507=E6506:E$2)))))</f>
        <v> </v>
      </c>
      <c r="J6507" s="26" t="str">
        <f>IF(OR(E6507="",E6507="!!!",F6507="NEW"),"",COUNTBLANK(OFFSET(A$1,,,SUMPRODUCT(MAX(ROW(E$2:E6507)*(E6507=E$2:E6507)))))-COUNTBLANK(OFFSET(A$1,,,SUMPRODUCT(MAX(ROW(E$1:E6506)*(E2=E$1:E6506))))))</f>
        <v> </v>
      </c>
      <c r="K6507" s="26" t="str">
        <f>IF(OR(E6507="",E6507="!!!",F6507="NEW"),"",INDEX(J$1:J6506,SUMPRODUCT(MAX(ROW(E$1:E6506)*(E6507=E$1:E6506)))))</f>
        <v> </v>
      </c>
      <c r="L6507" s="27"/>
    </row>
    <row r="6508" spans="1:12">
      <c r="A6508" s="20" t="s">
        <v>2919</v>
      </c>
      <c r="B6508" s="21" t="s">
        <v>1199</v>
      </c>
      <c r="C6508" s="21" t="s">
        <v>1187</v>
      </c>
      <c r="D6508" s="21" t="s">
        <v>1188</v>
      </c>
      <c r="E6508" s="22">
        <f>IF(D6508="?OLD","!!!","")</f>
        <v/>
      </c>
      <c r="F6508" s="23" t="str">
        <f>IF(OR(E6508="",E6508="!!!"),"",IF(NOT(ISNA(VLOOKUP(E6508,E$1:E6507,1,FALSE()))),"OLD",IF(AND(E6508&lt;&gt;"",E6508&lt;&gt;"!!!"),"NEW","")))</f>
        <v> </v>
      </c>
      <c r="G6508" s="24" t="str">
        <f>IF(OR(E6508="",E6508="!!!"),"",IF(OR(J6508=0,AND(J6508=1,K6508=1),AND(J6508=1,I6508="SBJ"),AND(J6508=1,I6508=0)),"?IN_FOCUS",IF(J6508&lt;=2,"?ACTIVATED",IF(J6508&lt;&gt;"","?FAMILIAR",IF(F6508="NEW",IF(ISNA(VLOOKUP(E6508,#REF!,1,FALSE())),"?TYPE_IDENTIFIABLE","?REFERENTIAL"),"_")))))</f>
        <v> </v>
      </c>
      <c r="H6508" s="25" t="str">
        <f>IF(J6508&lt;&gt;1,"",IF(I6508="SBJ","CB","?"))</f>
        <v> </v>
      </c>
      <c r="I6508" s="26" t="str">
        <f>IF(OR(E6508="",E6508="!!!",F6508="NEW"),"",INDEX(B6507:B$2,-1+SUMPRODUCT(MAX(ROW(E6507:E$2)*(E6508=E6507:E$2)))))</f>
        <v> </v>
      </c>
      <c r="J6508" s="26" t="str">
        <f>IF(OR(E6508="",E6508="!!!",F6508="NEW"),"",COUNTBLANK(OFFSET(A$1,,,SUMPRODUCT(MAX(ROW(E$2:E6508)*(E6508=E$2:E6508)))))-COUNTBLANK(OFFSET(A$1,,,SUMPRODUCT(MAX(ROW(E$1:E6507)*(E2=E$1:E6507))))))</f>
        <v> </v>
      </c>
      <c r="K6508" s="26" t="str">
        <f>IF(OR(E6508="",E6508="!!!",F6508="NEW"),"",INDEX(J$1:J6507,SUMPRODUCT(MAX(ROW(E$1:E6507)*(E6508=E$1:E6507)))))</f>
        <v> </v>
      </c>
      <c r="L6508" s="27"/>
    </row>
    <row r="6509" spans="1:12">
      <c r="A6509" s="20" t="s">
        <v>1265</v>
      </c>
      <c r="E6509" s="22">
        <f>IF(D6509="?OLD","!!!","")</f>
        <v/>
      </c>
      <c r="F6509" s="23" t="str">
        <f>IF(OR(E6509="",E6509="!!!"),"",IF(NOT(ISNA(VLOOKUP(E6509,E$1:E6508,1,FALSE()))),"OLD",IF(AND(E6509&lt;&gt;"",E6509&lt;&gt;"!!!"),"NEW","")))</f>
        <v> </v>
      </c>
      <c r="G6509" s="24" t="str">
        <f>IF(OR(E6509="",E6509="!!!"),"",IF(OR(J6509=0,AND(J6509=1,K6509=1),AND(J6509=1,I6509="SBJ"),AND(J6509=1,I6509=0)),"?IN_FOCUS",IF(J6509&lt;=2,"?ACTIVATED",IF(J6509&lt;&gt;"","?FAMILIAR",IF(F6509="NEW",IF(ISNA(VLOOKUP(E6509,#REF!,1,FALSE())),"?TYPE_IDENTIFIABLE","?REFERENTIAL"),"_")))))</f>
        <v> </v>
      </c>
      <c r="H6509" s="25" t="str">
        <f>IF(J6509&lt;&gt;1,"",IF(I6509="SBJ","CB","?"))</f>
        <v> </v>
      </c>
      <c r="I6509" s="26" t="str">
        <f>IF(OR(E6509="",E6509="!!!",F6509="NEW"),"",INDEX(B6508:B$2,-1+SUMPRODUCT(MAX(ROW(E6508:E$2)*(E6509=E6508:E$2)))))</f>
        <v> </v>
      </c>
      <c r="J6509" s="26" t="str">
        <f>IF(OR(E6509="",E6509="!!!",F6509="NEW"),"",COUNTBLANK(OFFSET(A$1,,,SUMPRODUCT(MAX(ROW(E$2:E6509)*(E6509=E$2:E6509)))))-COUNTBLANK(OFFSET(A$1,,,SUMPRODUCT(MAX(ROW(E$1:E6508)*(E2=E$1:E6508))))))</f>
        <v> </v>
      </c>
      <c r="K6509" s="26" t="str">
        <f>IF(OR(E6509="",E6509="!!!",F6509="NEW"),"",INDEX(J$1:J6508,SUMPRODUCT(MAX(ROW(E$1:E6508)*(E6509=E$1:E6508)))))</f>
        <v> </v>
      </c>
      <c r="L6509" s="27"/>
    </row>
    <row r="6510" spans="1:12">
      <c r="A6510" s="20" t="s">
        <v>1760</v>
      </c>
      <c r="E6510" s="22">
        <f>IF(D6510="?OLD","!!!","")</f>
        <v/>
      </c>
      <c r="F6510" s="23" t="str">
        <f>IF(OR(E6510="",E6510="!!!"),"",IF(NOT(ISNA(VLOOKUP(E6510,E$1:E6509,1,FALSE()))),"OLD",IF(AND(E6510&lt;&gt;"",E6510&lt;&gt;"!!!"),"NEW","")))</f>
        <v> </v>
      </c>
      <c r="G6510" s="24" t="str">
        <f>IF(OR(E6510="",E6510="!!!"),"",IF(OR(J6510=0,AND(J6510=1,K6510=1),AND(J6510=1,I6510="SBJ"),AND(J6510=1,I6510=0)),"?IN_FOCUS",IF(J6510&lt;=2,"?ACTIVATED",IF(J6510&lt;&gt;"","?FAMILIAR",IF(F6510="NEW",IF(ISNA(VLOOKUP(E6510,#REF!,1,FALSE())),"?TYPE_IDENTIFIABLE","?REFERENTIAL"),"_")))))</f>
        <v> </v>
      </c>
      <c r="H6510" s="25" t="str">
        <f>IF(J6510&lt;&gt;1,"",IF(I6510="SBJ","CB","?"))</f>
        <v> </v>
      </c>
      <c r="I6510" s="26" t="str">
        <f>IF(OR(E6510="",E6510="!!!",F6510="NEW"),"",INDEX(B6509:B$2,-1+SUMPRODUCT(MAX(ROW(E6509:E$2)*(E6510=E6509:E$2)))))</f>
        <v> </v>
      </c>
      <c r="J6510" s="26" t="str">
        <f>IF(OR(E6510="",E6510="!!!",F6510="NEW"),"",COUNTBLANK(OFFSET(A$1,,,SUMPRODUCT(MAX(ROW(E$2:E6510)*(E6510=E$2:E6510)))))-COUNTBLANK(OFFSET(A$1,,,SUMPRODUCT(MAX(ROW(E$1:E6509)*(E2=E$1:E6509))))))</f>
        <v> </v>
      </c>
      <c r="K6510" s="26" t="str">
        <f>IF(OR(E6510="",E6510="!!!",F6510="NEW"),"",INDEX(J$1:J6509,SUMPRODUCT(MAX(ROW(E$1:E6509)*(E6510=E$1:E6509)))))</f>
        <v> </v>
      </c>
      <c r="L6510" s="27"/>
    </row>
    <row r="6511" spans="1:12">
      <c r="A6511" s="20" t="s">
        <v>1193</v>
      </c>
      <c r="E6511" s="22">
        <f>IF(D6511="?OLD","!!!","")</f>
        <v/>
      </c>
      <c r="F6511" s="23" t="str">
        <f>IF(OR(E6511="",E6511="!!!"),"",IF(NOT(ISNA(VLOOKUP(E6511,E$1:E6510,1,FALSE()))),"OLD",IF(AND(E6511&lt;&gt;"",E6511&lt;&gt;"!!!"),"NEW","")))</f>
        <v> </v>
      </c>
      <c r="G6511" s="24" t="str">
        <f>IF(OR(E6511="",E6511="!!!"),"",IF(OR(J6511=0,AND(J6511=1,K6511=1),AND(J6511=1,I6511="SBJ"),AND(J6511=1,I6511=0)),"?IN_FOCUS",IF(J6511&lt;=2,"?ACTIVATED",IF(J6511&lt;&gt;"","?FAMILIAR",IF(F6511="NEW",IF(ISNA(VLOOKUP(E6511,#REF!,1,FALSE())),"?TYPE_IDENTIFIABLE","?REFERENTIAL"),"_")))))</f>
        <v> </v>
      </c>
      <c r="H6511" s="25" t="str">
        <f>IF(J6511&lt;&gt;1,"",IF(I6511="SBJ","CB","?"))</f>
        <v> </v>
      </c>
      <c r="I6511" s="26" t="str">
        <f>IF(OR(E6511="",E6511="!!!",F6511="NEW"),"",INDEX(B6510:B$2,-1+SUMPRODUCT(MAX(ROW(E6510:E$2)*(E6511=E6510:E$2)))))</f>
        <v> </v>
      </c>
      <c r="J6511" s="26" t="str">
        <f>IF(OR(E6511="",E6511="!!!",F6511="NEW"),"",COUNTBLANK(OFFSET(A$1,,,SUMPRODUCT(MAX(ROW(E$2:E6511)*(E6511=E$2:E6511)))))-COUNTBLANK(OFFSET(A$1,,,SUMPRODUCT(MAX(ROW(E$1:E6510)*(E2=E$1:E6510))))))</f>
        <v> </v>
      </c>
      <c r="K6511" s="26" t="str">
        <f>IF(OR(E6511="",E6511="!!!",F6511="NEW"),"",INDEX(J$1:J6510,SUMPRODUCT(MAX(ROW(E$1:E6510)*(E6511=E$1:E6510)))))</f>
        <v> </v>
      </c>
      <c r="L6511" s="27"/>
    </row>
    <row r="6512" spans="1:12">
      <c r="A6512" s="20" t="s">
        <v>1427</v>
      </c>
      <c r="E6512" s="22">
        <f>IF(D6512="?OLD","!!!","")</f>
        <v/>
      </c>
      <c r="F6512" s="23" t="str">
        <f>IF(OR(E6512="",E6512="!!!"),"",IF(NOT(ISNA(VLOOKUP(E6512,E$1:E6511,1,FALSE()))),"OLD",IF(AND(E6512&lt;&gt;"",E6512&lt;&gt;"!!!"),"NEW","")))</f>
        <v> </v>
      </c>
      <c r="G6512" s="24" t="str">
        <f>IF(OR(E6512="",E6512="!!!"),"",IF(OR(J6512=0,AND(J6512=1,K6512=1),AND(J6512=1,I6512="SBJ"),AND(J6512=1,I6512=0)),"?IN_FOCUS",IF(J6512&lt;=2,"?ACTIVATED",IF(J6512&lt;&gt;"","?FAMILIAR",IF(F6512="NEW",IF(ISNA(VLOOKUP(E6512,#REF!,1,FALSE())),"?TYPE_IDENTIFIABLE","?REFERENTIAL"),"_")))))</f>
        <v> </v>
      </c>
      <c r="H6512" s="25" t="str">
        <f>IF(J6512&lt;&gt;1,"",IF(I6512="SBJ","CB","?"))</f>
        <v> </v>
      </c>
      <c r="I6512" s="26" t="str">
        <f>IF(OR(E6512="",E6512="!!!",F6512="NEW"),"",INDEX(B6511:B$2,-1+SUMPRODUCT(MAX(ROW(E6511:E$2)*(E6512=E6511:E$2)))))</f>
        <v> </v>
      </c>
      <c r="J6512" s="26" t="str">
        <f>IF(OR(E6512="",E6512="!!!",F6512="NEW"),"",COUNTBLANK(OFFSET(A$1,,,SUMPRODUCT(MAX(ROW(E$2:E6512)*(E6512=E$2:E6512)))))-COUNTBLANK(OFFSET(A$1,,,SUMPRODUCT(MAX(ROW(E$1:E6511)*(E2=E$1:E6511))))))</f>
        <v> </v>
      </c>
      <c r="K6512" s="26" t="str">
        <f>IF(OR(E6512="",E6512="!!!",F6512="NEW"),"",INDEX(J$1:J6511,SUMPRODUCT(MAX(ROW(E$1:E6511)*(E6512=E$1:E6511)))))</f>
        <v> </v>
      </c>
      <c r="L6512" s="27"/>
    </row>
    <row r="6513" spans="1:12">
      <c r="A6513" s="20" t="s">
        <v>1271</v>
      </c>
      <c r="B6513" s="21" t="s">
        <v>1248</v>
      </c>
      <c r="C6513" s="21" t="s">
        <v>1203</v>
      </c>
      <c r="D6513" s="21" t="s">
        <v>1188</v>
      </c>
      <c r="E6513" s="22">
        <f>IF(D6513="?OLD","!!!","")</f>
        <v/>
      </c>
      <c r="F6513" s="23" t="str">
        <f>IF(OR(E6513="",E6513="!!!"),"",IF(NOT(ISNA(VLOOKUP(E6513,E$1:E6512,1,FALSE()))),"OLD",IF(AND(E6513&lt;&gt;"",E6513&lt;&gt;"!!!"),"NEW","")))</f>
        <v> </v>
      </c>
      <c r="G6513" s="24" t="str">
        <f>IF(OR(E6513="",E6513="!!!"),"",IF(OR(J6513=0,AND(J6513=1,K6513=1),AND(J6513=1,I6513="SBJ"),AND(J6513=1,I6513=0)),"?IN_FOCUS",IF(J6513&lt;=2,"?ACTIVATED",IF(J6513&lt;&gt;"","?FAMILIAR",IF(F6513="NEW",IF(ISNA(VLOOKUP(E6513,#REF!,1,FALSE())),"?TYPE_IDENTIFIABLE","?REFERENTIAL"),"_")))))</f>
        <v> </v>
      </c>
      <c r="H6513" s="25" t="str">
        <f>IF(J6513&lt;&gt;1,"",IF(I6513="SBJ","CB","?"))</f>
        <v> </v>
      </c>
      <c r="I6513" s="26" t="str">
        <f>IF(OR(E6513="",E6513="!!!",F6513="NEW"),"",INDEX(B6512:B$2,-1+SUMPRODUCT(MAX(ROW(E6512:E$2)*(E6513=E6512:E$2)))))</f>
        <v> </v>
      </c>
      <c r="J6513" s="26" t="str">
        <f>IF(OR(E6513="",E6513="!!!",F6513="NEW"),"",COUNTBLANK(OFFSET(A$1,,,SUMPRODUCT(MAX(ROW(E$2:E6513)*(E6513=E$2:E6513)))))-COUNTBLANK(OFFSET(A$1,,,SUMPRODUCT(MAX(ROW(E$1:E6512)*(E2=E$1:E6512))))))</f>
        <v> </v>
      </c>
      <c r="K6513" s="26" t="str">
        <f>IF(OR(E6513="",E6513="!!!",F6513="NEW"),"",INDEX(J$1:J6512,SUMPRODUCT(MAX(ROW(E$1:E6512)*(E6513=E$1:E6512)))))</f>
        <v> </v>
      </c>
      <c r="L6513" s="27"/>
    </row>
    <row r="6514" spans="1:12">
      <c r="A6514" s="20" t="s">
        <v>185</v>
      </c>
      <c r="B6514" s="21" t="s">
        <v>1245</v>
      </c>
      <c r="C6514" s="21" t="s">
        <v>1203</v>
      </c>
      <c r="D6514" s="21" t="s">
        <v>1188</v>
      </c>
      <c r="E6514" s="22">
        <f>IF(D6514="?OLD","!!!","")</f>
        <v/>
      </c>
      <c r="F6514" s="23" t="str">
        <f>IF(OR(E6514="",E6514="!!!"),"",IF(NOT(ISNA(VLOOKUP(E6514,E$1:E6513,1,FALSE()))),"OLD",IF(AND(E6514&lt;&gt;"",E6514&lt;&gt;"!!!"),"NEW","")))</f>
        <v> </v>
      </c>
      <c r="G6514" s="24" t="str">
        <f>IF(OR(E6514="",E6514="!!!"),"",IF(OR(J6514=0,AND(J6514=1,K6514=1),AND(J6514=1,I6514="SBJ"),AND(J6514=1,I6514=0)),"?IN_FOCUS",IF(J6514&lt;=2,"?ACTIVATED",IF(J6514&lt;&gt;"","?FAMILIAR",IF(F6514="NEW",IF(ISNA(VLOOKUP(E6514,#REF!,1,FALSE())),"?TYPE_IDENTIFIABLE","?REFERENTIAL"),"_")))))</f>
        <v> </v>
      </c>
      <c r="H6514" s="25" t="str">
        <f>IF(J6514&lt;&gt;1,"",IF(I6514="SBJ","CB","?"))</f>
        <v> </v>
      </c>
      <c r="I6514" s="26" t="str">
        <f>IF(OR(E6514="",E6514="!!!",F6514="NEW"),"",INDEX(B6513:B$2,-1+SUMPRODUCT(MAX(ROW(E6513:E$2)*(E6514=E6513:E$2)))))</f>
        <v> </v>
      </c>
      <c r="J6514" s="26" t="str">
        <f>IF(OR(E6514="",E6514="!!!",F6514="NEW"),"",COUNTBLANK(OFFSET(A$1,,,SUMPRODUCT(MAX(ROW(E$2:E6514)*(E6514=E$2:E6514)))))-COUNTBLANK(OFFSET(A$1,,,SUMPRODUCT(MAX(ROW(E$1:E6513)*(E2=E$1:E6513))))))</f>
        <v> </v>
      </c>
      <c r="K6514" s="26" t="str">
        <f>IF(OR(E6514="",E6514="!!!",F6514="NEW"),"",INDEX(J$1:J6513,SUMPRODUCT(MAX(ROW(E$1:E6513)*(E6514=E$1:E6513)))))</f>
        <v> </v>
      </c>
      <c r="L6514" s="27"/>
    </row>
    <row r="6515" spans="1:12">
      <c r="A6515" s="20" t="s">
        <v>2700</v>
      </c>
      <c r="E6515" s="22">
        <f>IF(D6515="?OLD","!!!","")</f>
        <v/>
      </c>
      <c r="F6515" s="23" t="str">
        <f>IF(OR(E6515="",E6515="!!!"),"",IF(NOT(ISNA(VLOOKUP(E6515,E$1:E6514,1,FALSE()))),"OLD",IF(AND(E6515&lt;&gt;"",E6515&lt;&gt;"!!!"),"NEW","")))</f>
        <v> </v>
      </c>
      <c r="G6515" s="24" t="str">
        <f>IF(OR(E6515="",E6515="!!!"),"",IF(OR(J6515=0,AND(J6515=1,K6515=1),AND(J6515=1,I6515="SBJ"),AND(J6515=1,I6515=0)),"?IN_FOCUS",IF(J6515&lt;=2,"?ACTIVATED",IF(J6515&lt;&gt;"","?FAMILIAR",IF(F6515="NEW",IF(ISNA(VLOOKUP(E6515,#REF!,1,FALSE())),"?TYPE_IDENTIFIABLE","?REFERENTIAL"),"_")))))</f>
        <v> </v>
      </c>
      <c r="H6515" s="25" t="str">
        <f>IF(J6515&lt;&gt;1,"",IF(I6515="SBJ","CB","?"))</f>
        <v> </v>
      </c>
      <c r="I6515" s="26" t="str">
        <f>IF(OR(E6515="",E6515="!!!",F6515="NEW"),"",INDEX(B6514:B$2,-1+SUMPRODUCT(MAX(ROW(E6514:E$2)*(E6515=E6514:E$2)))))</f>
        <v> </v>
      </c>
      <c r="J6515" s="26" t="str">
        <f>IF(OR(E6515="",E6515="!!!",F6515="NEW"),"",COUNTBLANK(OFFSET(A$1,,,SUMPRODUCT(MAX(ROW(E$2:E6515)*(E6515=E$2:E6515)))))-COUNTBLANK(OFFSET(A$1,,,SUMPRODUCT(MAX(ROW(E$1:E6514)*(E2=E$1:E6514))))))</f>
        <v> </v>
      </c>
      <c r="K6515" s="26" t="str">
        <f>IF(OR(E6515="",E6515="!!!",F6515="NEW"),"",INDEX(J$1:J6514,SUMPRODUCT(MAX(ROW(E$1:E6514)*(E6515=E$1:E6514)))))</f>
        <v> </v>
      </c>
      <c r="L6515" s="27"/>
    </row>
    <row r="6516" spans="1:12">
      <c r="A6516" s="20" t="s">
        <v>1740</v>
      </c>
      <c r="E6516" s="22">
        <f>IF(D6516="?OLD","!!!","")</f>
        <v/>
      </c>
      <c r="F6516" s="23" t="str">
        <f>IF(OR(E6516="",E6516="!!!"),"",IF(NOT(ISNA(VLOOKUP(E6516,E$1:E6515,1,FALSE()))),"OLD",IF(AND(E6516&lt;&gt;"",E6516&lt;&gt;"!!!"),"NEW","")))</f>
        <v> </v>
      </c>
      <c r="G6516" s="24" t="str">
        <f>IF(OR(E6516="",E6516="!!!"),"",IF(OR(J6516=0,AND(J6516=1,K6516=1),AND(J6516=1,I6516="SBJ"),AND(J6516=1,I6516=0)),"?IN_FOCUS",IF(J6516&lt;=2,"?ACTIVATED",IF(J6516&lt;&gt;"","?FAMILIAR",IF(F6516="NEW",IF(ISNA(VLOOKUP(E6516,#REF!,1,FALSE())),"?TYPE_IDENTIFIABLE","?REFERENTIAL"),"_")))))</f>
        <v> </v>
      </c>
      <c r="H6516" s="25" t="str">
        <f>IF(J6516&lt;&gt;1,"",IF(I6516="SBJ","CB","?"))</f>
        <v> </v>
      </c>
      <c r="I6516" s="26" t="str">
        <f>IF(OR(E6516="",E6516="!!!",F6516="NEW"),"",INDEX(B6515:B$2,-1+SUMPRODUCT(MAX(ROW(E6515:E$2)*(E6516=E6515:E$2)))))</f>
        <v> </v>
      </c>
      <c r="J6516" s="26" t="str">
        <f>IF(OR(E6516="",E6516="!!!",F6516="NEW"),"",COUNTBLANK(OFFSET(A$1,,,SUMPRODUCT(MAX(ROW(E$2:E6516)*(E6516=E$2:E6516)))))-COUNTBLANK(OFFSET(A$1,,,SUMPRODUCT(MAX(ROW(E$1:E6515)*(E2=E$1:E6515))))))</f>
        <v> </v>
      </c>
      <c r="K6516" s="26" t="str">
        <f>IF(OR(E6516="",E6516="!!!",F6516="NEW"),"",INDEX(J$1:J6515,SUMPRODUCT(MAX(ROW(E$1:E6515)*(E6516=E$1:E6515)))))</f>
        <v> </v>
      </c>
      <c r="L6516" s="27"/>
    </row>
    <row r="6517" spans="1:12">
      <c r="A6517" s="20" t="s">
        <v>826</v>
      </c>
      <c r="E6517" s="22">
        <f>IF(D6517="?OLD","!!!","")</f>
        <v/>
      </c>
      <c r="F6517" s="23" t="str">
        <f>IF(OR(E6517="",E6517="!!!"),"",IF(NOT(ISNA(VLOOKUP(E6517,E$1:E6516,1,FALSE()))),"OLD",IF(AND(E6517&lt;&gt;"",E6517&lt;&gt;"!!!"),"NEW","")))</f>
        <v> </v>
      </c>
      <c r="G6517" s="24" t="str">
        <f>IF(OR(E6517="",E6517="!!!"),"",IF(OR(J6517=0,AND(J6517=1,K6517=1),AND(J6517=1,I6517="SBJ"),AND(J6517=1,I6517=0)),"?IN_FOCUS",IF(J6517&lt;=2,"?ACTIVATED",IF(J6517&lt;&gt;"","?FAMILIAR",IF(F6517="NEW",IF(ISNA(VLOOKUP(E6517,#REF!,1,FALSE())),"?TYPE_IDENTIFIABLE","?REFERENTIAL"),"_")))))</f>
        <v> </v>
      </c>
      <c r="H6517" s="25" t="str">
        <f>IF(J6517&lt;&gt;1,"",IF(I6517="SBJ","CB","?"))</f>
        <v> </v>
      </c>
      <c r="I6517" s="26" t="str">
        <f>IF(OR(E6517="",E6517="!!!",F6517="NEW"),"",INDEX(B6516:B$2,-1+SUMPRODUCT(MAX(ROW(E6516:E$2)*(E6517=E6516:E$2)))))</f>
        <v> </v>
      </c>
      <c r="J6517" s="26" t="str">
        <f>IF(OR(E6517="",E6517="!!!",F6517="NEW"),"",COUNTBLANK(OFFSET(A$1,,,SUMPRODUCT(MAX(ROW(E$2:E6517)*(E6517=E$2:E6517)))))-COUNTBLANK(OFFSET(A$1,,,SUMPRODUCT(MAX(ROW(E$1:E6516)*(E2=E$1:E6516))))))</f>
        <v> </v>
      </c>
      <c r="K6517" s="26" t="str">
        <f>IF(OR(E6517="",E6517="!!!",F6517="NEW"),"",INDEX(J$1:J6516,SUMPRODUCT(MAX(ROW(E$1:E6516)*(E6517=E$1:E6516)))))</f>
        <v> </v>
      </c>
      <c r="L6517" s="27"/>
    </row>
    <row r="6518" spans="1:12">
      <c r="A6518" s="20"/>
    </row>
    <row r="6519" spans="1:12">
      <c r="A6519" s="20" t="s">
        <v>2925</v>
      </c>
    </row>
    <row r="6520" spans="1:12">
      <c r="A6520" s="20" t="s">
        <v>1264</v>
      </c>
      <c r="B6520" s="21" t="s">
        <v>1202</v>
      </c>
      <c r="C6520" s="21" t="s">
        <v>1203</v>
      </c>
      <c r="D6520" s="21" t="s">
        <v>1188</v>
      </c>
      <c r="E6520" s="22">
        <f>IF(D6520="?OLD","!!!","")</f>
        <v/>
      </c>
      <c r="F6520" s="23" t="str">
        <f>IF(OR(E6520="",E6520="!!!"),"",IF(NOT(ISNA(VLOOKUP(E6520,E$1:E6519,1,FALSE()))),"OLD",IF(AND(E6520&lt;&gt;"",E6520&lt;&gt;"!!!"),"NEW","")))</f>
        <v> </v>
      </c>
      <c r="G6520" s="24" t="str">
        <f>IF(OR(E6520="",E6520="!!!"),"",IF(OR(J6520=0,AND(J6520=1,K6520=1),AND(J6520=1,I6520="SBJ"),AND(J6520=1,I6520=0)),"?IN_FOCUS",IF(J6520&lt;=2,"?ACTIVATED",IF(J6520&lt;&gt;"","?FAMILIAR",IF(F6520="NEW",IF(ISNA(VLOOKUP(E6520,#REF!,1,FALSE())),"?TYPE_IDENTIFIABLE","?REFERENTIAL"),"_")))))</f>
        <v> </v>
      </c>
      <c r="H6520" s="25" t="str">
        <f>IF(J6520&lt;&gt;1,"",IF(I6520="SBJ","CB","?"))</f>
        <v> </v>
      </c>
      <c r="I6520" s="26" t="str">
        <f>IF(OR(E6520="",E6520="!!!",F6520="NEW"),"",INDEX(B6519:B$2,-1+SUMPRODUCT(MAX(ROW(E6519:E$2)*(E6520=E6519:E$2)))))</f>
        <v> </v>
      </c>
      <c r="J6520" s="26" t="str">
        <f>IF(OR(E6520="",E6520="!!!",F6520="NEW"),"",COUNTBLANK(OFFSET(A$1,,,SUMPRODUCT(MAX(ROW(E$2:E6520)*(E6520=E$2:E6520)))))-COUNTBLANK(OFFSET(A$1,,,SUMPRODUCT(MAX(ROW(E$1:E6519)*(E2=E$1:E6519))))))</f>
        <v> </v>
      </c>
      <c r="K6520" s="26" t="str">
        <f>IF(OR(E6520="",E6520="!!!",F6520="NEW"),"",INDEX(J$1:J6519,SUMPRODUCT(MAX(ROW(E$1:E6519)*(E6520=E$1:E6519)))))</f>
        <v> </v>
      </c>
      <c r="L6520" s="27"/>
    </row>
    <row r="6521" spans="1:12">
      <c r="A6521" s="20" t="s">
        <v>1265</v>
      </c>
      <c r="E6521" s="22">
        <f>IF(D6521="?OLD","!!!","")</f>
        <v/>
      </c>
      <c r="F6521" s="23" t="str">
        <f>IF(OR(E6521="",E6521="!!!"),"",IF(NOT(ISNA(VLOOKUP(E6521,E$1:E6520,1,FALSE()))),"OLD",IF(AND(E6521&lt;&gt;"",E6521&lt;&gt;"!!!"),"NEW","")))</f>
        <v> </v>
      </c>
      <c r="G6521" s="24" t="str">
        <f>IF(OR(E6521="",E6521="!!!"),"",IF(OR(J6521=0,AND(J6521=1,K6521=1),AND(J6521=1,I6521="SBJ"),AND(J6521=1,I6521=0)),"?IN_FOCUS",IF(J6521&lt;=2,"?ACTIVATED",IF(J6521&lt;&gt;"","?FAMILIAR",IF(F6521="NEW",IF(ISNA(VLOOKUP(E6521,#REF!,1,FALSE())),"?TYPE_IDENTIFIABLE","?REFERENTIAL"),"_")))))</f>
        <v> </v>
      </c>
      <c r="H6521" s="25" t="str">
        <f>IF(J6521&lt;&gt;1,"",IF(I6521="SBJ","CB","?"))</f>
        <v> </v>
      </c>
      <c r="I6521" s="26" t="str">
        <f>IF(OR(E6521="",E6521="!!!",F6521="NEW"),"",INDEX(B6520:B$2,-1+SUMPRODUCT(MAX(ROW(E6520:E$2)*(E6521=E6520:E$2)))))</f>
        <v> </v>
      </c>
      <c r="J6521" s="26" t="str">
        <f>IF(OR(E6521="",E6521="!!!",F6521="NEW"),"",COUNTBLANK(OFFSET(A$1,,,SUMPRODUCT(MAX(ROW(E$2:E6521)*(E6521=E$2:E6521)))))-COUNTBLANK(OFFSET(A$1,,,SUMPRODUCT(MAX(ROW(E$1:E6520)*(E2=E$1:E6520))))))</f>
        <v> </v>
      </c>
      <c r="K6521" s="26" t="str">
        <f>IF(OR(E6521="",E6521="!!!",F6521="NEW"),"",INDEX(J$1:J6520,SUMPRODUCT(MAX(ROW(E$1:E6520)*(E6521=E$1:E6520)))))</f>
        <v> </v>
      </c>
      <c r="L6521" s="27"/>
    </row>
    <row r="6522" spans="1:12">
      <c r="A6522" s="20" t="s">
        <v>1440</v>
      </c>
      <c r="B6522" s="21" t="s">
        <v>1186</v>
      </c>
      <c r="C6522" s="21" t="s">
        <v>1246</v>
      </c>
      <c r="D6522" s="21" t="s">
        <v>1188</v>
      </c>
      <c r="E6522" s="22">
        <f>IF(D6522="?OLD","!!!","")</f>
        <v/>
      </c>
      <c r="F6522" s="23" t="str">
        <f>IF(OR(E6522="",E6522="!!!"),"",IF(NOT(ISNA(VLOOKUP(E6522,E$1:E6521,1,FALSE()))),"OLD",IF(AND(E6522&lt;&gt;"",E6522&lt;&gt;"!!!"),"NEW","")))</f>
        <v> </v>
      </c>
      <c r="G6522" s="24" t="str">
        <f>IF(OR(E6522="",E6522="!!!"),"",IF(OR(J6522=0,AND(J6522=1,K6522=1),AND(J6522=1,I6522="SBJ"),AND(J6522=1,I6522=0)),"?IN_FOCUS",IF(J6522&lt;=2,"?ACTIVATED",IF(J6522&lt;&gt;"","?FAMILIAR",IF(F6522="NEW",IF(ISNA(VLOOKUP(E6522,#REF!,1,FALSE())),"?TYPE_IDENTIFIABLE","?REFERENTIAL"),"_")))))</f>
        <v> </v>
      </c>
      <c r="H6522" s="25" t="str">
        <f>IF(J6522&lt;&gt;1,"",IF(I6522="SBJ","CB","?"))</f>
        <v> </v>
      </c>
      <c r="I6522" s="26" t="str">
        <f>IF(OR(E6522="",E6522="!!!",F6522="NEW"),"",INDEX(B6521:B$2,-1+SUMPRODUCT(MAX(ROW(E6521:E$2)*(E6522=E6521:E$2)))))</f>
        <v> </v>
      </c>
      <c r="J6522" s="26" t="str">
        <f>IF(OR(E6522="",E6522="!!!",F6522="NEW"),"",COUNTBLANK(OFFSET(A$1,,,SUMPRODUCT(MAX(ROW(E$2:E6522)*(E6522=E$2:E6522)))))-COUNTBLANK(OFFSET(A$1,,,SUMPRODUCT(MAX(ROW(E$1:E6521)*(E2=E$1:E6521))))))</f>
        <v> </v>
      </c>
      <c r="K6522" s="26" t="str">
        <f>IF(OR(E6522="",E6522="!!!",F6522="NEW"),"",INDEX(J$1:J6521,SUMPRODUCT(MAX(ROW(E$1:E6521)*(E6522=E$1:E6521)))))</f>
        <v> </v>
      </c>
      <c r="L6522" s="27"/>
    </row>
    <row r="6523" spans="1:12">
      <c r="A6523" s="20" t="s">
        <v>2926</v>
      </c>
      <c r="E6523" s="22">
        <f>IF(D6523="?OLD","!!!","")</f>
        <v/>
      </c>
      <c r="F6523" s="23" t="str">
        <f>IF(OR(E6523="",E6523="!!!"),"",IF(NOT(ISNA(VLOOKUP(E6523,E$1:E6522,1,FALSE()))),"OLD",IF(AND(E6523&lt;&gt;"",E6523&lt;&gt;"!!!"),"NEW","")))</f>
        <v> </v>
      </c>
      <c r="G6523" s="24" t="str">
        <f>IF(OR(E6523="",E6523="!!!"),"",IF(OR(J6523=0,AND(J6523=1,K6523=1),AND(J6523=1,I6523="SBJ"),AND(J6523=1,I6523=0)),"?IN_FOCUS",IF(J6523&lt;=2,"?ACTIVATED",IF(J6523&lt;&gt;"","?FAMILIAR",IF(F6523="NEW",IF(ISNA(VLOOKUP(E6523,#REF!,1,FALSE())),"?TYPE_IDENTIFIABLE","?REFERENTIAL"),"_")))))</f>
        <v> </v>
      </c>
      <c r="H6523" s="25" t="str">
        <f>IF(J6523&lt;&gt;1,"",IF(I6523="SBJ","CB","?"))</f>
        <v> </v>
      </c>
      <c r="I6523" s="26" t="str">
        <f>IF(OR(E6523="",E6523="!!!",F6523="NEW"),"",INDEX(B6522:B$2,-1+SUMPRODUCT(MAX(ROW(E6522:E$2)*(E6523=E6522:E$2)))))</f>
        <v> </v>
      </c>
      <c r="J6523" s="26" t="str">
        <f>IF(OR(E6523="",E6523="!!!",F6523="NEW"),"",COUNTBLANK(OFFSET(A$1,,,SUMPRODUCT(MAX(ROW(E$2:E6523)*(E6523=E$2:E6523)))))-COUNTBLANK(OFFSET(A$1,,,SUMPRODUCT(MAX(ROW(E$1:E6522)*(E2=E$1:E6522))))))</f>
        <v> </v>
      </c>
      <c r="K6523" s="26" t="str">
        <f>IF(OR(E6523="",E6523="!!!",F6523="NEW"),"",INDEX(J$1:J6522,SUMPRODUCT(MAX(ROW(E$1:E6522)*(E6523=E$1:E6522)))))</f>
        <v> </v>
      </c>
      <c r="L6523" s="27"/>
    </row>
    <row r="6524" spans="1:12">
      <c r="A6524" s="20" t="s">
        <v>826</v>
      </c>
      <c r="E6524" s="22">
        <f>IF(D6524="?OLD","!!!","")</f>
        <v/>
      </c>
      <c r="F6524" s="23" t="str">
        <f>IF(OR(E6524="",E6524="!!!"),"",IF(NOT(ISNA(VLOOKUP(E6524,E$1:E6523,1,FALSE()))),"OLD",IF(AND(E6524&lt;&gt;"",E6524&lt;&gt;"!!!"),"NEW","")))</f>
        <v> </v>
      </c>
      <c r="G6524" s="24" t="str">
        <f>IF(OR(E6524="",E6524="!!!"),"",IF(OR(J6524=0,AND(J6524=1,K6524=1),AND(J6524=1,I6524="SBJ"),AND(J6524=1,I6524=0)),"?IN_FOCUS",IF(J6524&lt;=2,"?ACTIVATED",IF(J6524&lt;&gt;"","?FAMILIAR",IF(F6524="NEW",IF(ISNA(VLOOKUP(E6524,#REF!,1,FALSE())),"?TYPE_IDENTIFIABLE","?REFERENTIAL"),"_")))))</f>
        <v> </v>
      </c>
      <c r="H6524" s="25" t="str">
        <f>IF(J6524&lt;&gt;1,"",IF(I6524="SBJ","CB","?"))</f>
        <v> </v>
      </c>
      <c r="I6524" s="26" t="str">
        <f>IF(OR(E6524="",E6524="!!!",F6524="NEW"),"",INDEX(B6523:B$2,-1+SUMPRODUCT(MAX(ROW(E6523:E$2)*(E6524=E6523:E$2)))))</f>
        <v> </v>
      </c>
      <c r="J6524" s="26" t="str">
        <f>IF(OR(E6524="",E6524="!!!",F6524="NEW"),"",COUNTBLANK(OFFSET(A$1,,,SUMPRODUCT(MAX(ROW(E$2:E6524)*(E6524=E$2:E6524)))))-COUNTBLANK(OFFSET(A$1,,,SUMPRODUCT(MAX(ROW(E$1:E6523)*(E2=E$1:E6523))))))</f>
        <v> </v>
      </c>
      <c r="K6524" s="26" t="str">
        <f>IF(OR(E6524="",E6524="!!!",F6524="NEW"),"",INDEX(J$1:J6523,SUMPRODUCT(MAX(ROW(E$1:E6523)*(E6524=E$1:E6523)))))</f>
        <v> </v>
      </c>
      <c r="L6524" s="27"/>
    </row>
    <row r="6525" spans="1:12">
      <c r="A6525" s="20"/>
    </row>
    <row r="6526" spans="1:12">
      <c r="A6526" s="20" t="s">
        <v>1369</v>
      </c>
      <c r="E6526" s="22">
        <f>IF(D6526="?OLD","!!!","")</f>
        <v/>
      </c>
      <c r="F6526" s="23" t="str">
        <f>IF(OR(E6526="",E6526="!!!"),"",IF(NOT(ISNA(VLOOKUP(E6526,E$1:E6525,1,FALSE()))),"OLD",IF(AND(E6526&lt;&gt;"",E6526&lt;&gt;"!!!"),"NEW","")))</f>
        <v> </v>
      </c>
      <c r="G6526" s="24" t="str">
        <f>IF(OR(E6526="",E6526="!!!"),"",IF(OR(J6526=0,AND(J6526=1,K6526=1),AND(J6526=1,I6526="SBJ"),AND(J6526=1,I6526=0)),"?IN_FOCUS",IF(J6526&lt;=2,"?ACTIVATED",IF(J6526&lt;&gt;"","?FAMILIAR",IF(F6526="NEW",IF(ISNA(VLOOKUP(E6526,#REF!,1,FALSE())),"?TYPE_IDENTIFIABLE","?REFERENTIAL"),"_")))))</f>
        <v> </v>
      </c>
      <c r="H6526" s="25" t="str">
        <f>IF(J6526&lt;&gt;1,"",IF(I6526="SBJ","CB","?"))</f>
        <v> </v>
      </c>
      <c r="I6526" s="26" t="str">
        <f>IF(OR(E6526="",E6526="!!!",F6526="NEW"),"",INDEX(B6525:B$2,-1+SUMPRODUCT(MAX(ROW(E6525:E$2)*(E6526=E6525:E$2)))))</f>
        <v> </v>
      </c>
      <c r="J6526" s="26" t="str">
        <f>IF(OR(E6526="",E6526="!!!",F6526="NEW"),"",COUNTBLANK(OFFSET(A$1,,,SUMPRODUCT(MAX(ROW(E$2:E6526)*(E6526=E$2:E6526)))))-COUNTBLANK(OFFSET(A$1,,,SUMPRODUCT(MAX(ROW(E$1:E6525)*(E2=E$1:E6525))))))</f>
        <v> </v>
      </c>
      <c r="K6526" s="26" t="str">
        <f>IF(OR(E6526="",E6526="!!!",F6526="NEW"),"",INDEX(J$1:J6525,SUMPRODUCT(MAX(ROW(E$1:E6525)*(E6526=E$1:E6525)))))</f>
        <v> </v>
      </c>
      <c r="L6526" s="27"/>
    </row>
    <row r="6527" spans="1:12">
      <c r="A6527" s="20" t="s">
        <v>2927</v>
      </c>
    </row>
    <row r="6528" spans="1:12">
      <c r="A6528" s="20" t="s">
        <v>1270</v>
      </c>
      <c r="E6528" s="22">
        <f>IF(D6528="?OLD","!!!","")</f>
        <v/>
      </c>
      <c r="F6528" s="23" t="str">
        <f>IF(OR(E6528="",E6528="!!!"),"",IF(NOT(ISNA(VLOOKUP(E6528,E$1:E6527,1,FALSE()))),"OLD",IF(AND(E6528&lt;&gt;"",E6528&lt;&gt;"!!!"),"NEW","")))</f>
        <v> </v>
      </c>
      <c r="G6528" s="24" t="str">
        <f>IF(OR(E6528="",E6528="!!!"),"",IF(OR(J6528=0,AND(J6528=1,K6528=1),AND(J6528=1,I6528="SBJ"),AND(J6528=1,I6528=0)),"?IN_FOCUS",IF(J6528&lt;=2,"?ACTIVATED",IF(J6528&lt;&gt;"","?FAMILIAR",IF(F6528="NEW",IF(ISNA(VLOOKUP(E6528,#REF!,1,FALSE())),"?TYPE_IDENTIFIABLE","?REFERENTIAL"),"_")))))</f>
        <v> </v>
      </c>
      <c r="H6528" s="25" t="str">
        <f>IF(J6528&lt;&gt;1,"",IF(I6528="SBJ","CB","?"))</f>
        <v> </v>
      </c>
      <c r="I6528" s="26" t="str">
        <f>IF(OR(E6528="",E6528="!!!",F6528="NEW"),"",INDEX(B6527:B$2,-1+SUMPRODUCT(MAX(ROW(E6527:E$2)*(E6528=E6527:E$2)))))</f>
        <v> </v>
      </c>
      <c r="J6528" s="26" t="str">
        <f>IF(OR(E6528="",E6528="!!!",F6528="NEW"),"",COUNTBLANK(OFFSET(A$1,,,SUMPRODUCT(MAX(ROW(E$2:E6528)*(E6528=E$2:E6528)))))-COUNTBLANK(OFFSET(A$1,,,SUMPRODUCT(MAX(ROW(E$1:E6527)*(E2=E$1:E6527))))))</f>
        <v> </v>
      </c>
      <c r="K6528" s="26" t="str">
        <f>IF(OR(E6528="",E6528="!!!",F6528="NEW"),"",INDEX(J$1:J6527,SUMPRODUCT(MAX(ROW(E$1:E6527)*(E6528=E$1:E6527)))))</f>
        <v> </v>
      </c>
      <c r="L6528" s="27"/>
    </row>
    <row r="6529" spans="1:12">
      <c r="A6529" s="20" t="s">
        <v>1190</v>
      </c>
      <c r="E6529" s="22">
        <f>IF(D6529="?OLD","!!!","")</f>
        <v/>
      </c>
      <c r="F6529" s="23" t="str">
        <f>IF(OR(E6529="",E6529="!!!"),"",IF(NOT(ISNA(VLOOKUP(E6529,E$1:E6528,1,FALSE()))),"OLD",IF(AND(E6529&lt;&gt;"",E6529&lt;&gt;"!!!"),"NEW","")))</f>
        <v> </v>
      </c>
      <c r="G6529" s="24" t="str">
        <f>IF(OR(E6529="",E6529="!!!"),"",IF(OR(J6529=0,AND(J6529=1,K6529=1),AND(J6529=1,I6529="SBJ"),AND(J6529=1,I6529=0)),"?IN_FOCUS",IF(J6529&lt;=2,"?ACTIVATED",IF(J6529&lt;&gt;"","?FAMILIAR",IF(F6529="NEW",IF(ISNA(VLOOKUP(E6529,#REF!,1,FALSE())),"?TYPE_IDENTIFIABLE","?REFERENTIAL"),"_")))))</f>
        <v> </v>
      </c>
      <c r="H6529" s="25" t="str">
        <f>IF(J6529&lt;&gt;1,"",IF(I6529="SBJ","CB","?"))</f>
        <v> </v>
      </c>
      <c r="I6529" s="26" t="str">
        <f>IF(OR(E6529="",E6529="!!!",F6529="NEW"),"",INDEX(B6528:B$2,-1+SUMPRODUCT(MAX(ROW(E6528:E$2)*(E6529=E6528:E$2)))))</f>
        <v> </v>
      </c>
      <c r="J6529" s="26" t="str">
        <f>IF(OR(E6529="",E6529="!!!",F6529="NEW"),"",COUNTBLANK(OFFSET(A$1,,,SUMPRODUCT(MAX(ROW(E$2:E6529)*(E6529=E$2:E6529)))))-COUNTBLANK(OFFSET(A$1,,,SUMPRODUCT(MAX(ROW(E$1:E6528)*(E2=E$1:E6528))))))</f>
        <v> </v>
      </c>
      <c r="K6529" s="26" t="str">
        <f>IF(OR(E6529="",E6529="!!!",F6529="NEW"),"",INDEX(J$1:J6528,SUMPRODUCT(MAX(ROW(E$1:E6528)*(E6529=E$1:E6528)))))</f>
        <v> </v>
      </c>
      <c r="L6529" s="27"/>
    </row>
    <row r="6530" spans="1:12">
      <c r="A6530" s="20" t="s">
        <v>1552</v>
      </c>
      <c r="E6530" s="22">
        <f>IF(D6530="?OLD","!!!","")</f>
        <v/>
      </c>
      <c r="F6530" s="23" t="str">
        <f>IF(OR(E6530="",E6530="!!!"),"",IF(NOT(ISNA(VLOOKUP(E6530,E$1:E6529,1,FALSE()))),"OLD",IF(AND(E6530&lt;&gt;"",E6530&lt;&gt;"!!!"),"NEW","")))</f>
        <v> </v>
      </c>
      <c r="G6530" s="24" t="str">
        <f>IF(OR(E6530="",E6530="!!!"),"",IF(OR(J6530=0,AND(J6530=1,K6530=1),AND(J6530=1,I6530="SBJ"),AND(J6530=1,I6530=0)),"?IN_FOCUS",IF(J6530&lt;=2,"?ACTIVATED",IF(J6530&lt;&gt;"","?FAMILIAR",IF(F6530="NEW",IF(ISNA(VLOOKUP(E6530,#REF!,1,FALSE())),"?TYPE_IDENTIFIABLE","?REFERENTIAL"),"_")))))</f>
        <v> </v>
      </c>
      <c r="H6530" s="25" t="str">
        <f>IF(J6530&lt;&gt;1,"",IF(I6530="SBJ","CB","?"))</f>
        <v> </v>
      </c>
      <c r="I6530" s="26" t="str">
        <f>IF(OR(E6530="",E6530="!!!",F6530="NEW"),"",INDEX(B6529:B$2,-1+SUMPRODUCT(MAX(ROW(E6529:E$2)*(E6530=E6529:E$2)))))</f>
        <v> </v>
      </c>
      <c r="J6530" s="26" t="str">
        <f>IF(OR(E6530="",E6530="!!!",F6530="NEW"),"",COUNTBLANK(OFFSET(A$1,,,SUMPRODUCT(MAX(ROW(E$2:E6530)*(E6530=E$2:E6530)))))-COUNTBLANK(OFFSET(A$1,,,SUMPRODUCT(MAX(ROW(E$1:E6529)*(E2=E$1:E6529))))))</f>
        <v> </v>
      </c>
      <c r="K6530" s="26" t="str">
        <f>IF(OR(E6530="",E6530="!!!",F6530="NEW"),"",INDEX(J$1:J6529,SUMPRODUCT(MAX(ROW(E$1:E6529)*(E6530=E$1:E6529)))))</f>
        <v> </v>
      </c>
      <c r="L6530" s="27"/>
    </row>
    <row r="6531" spans="1:12">
      <c r="A6531" s="20" t="s">
        <v>2928</v>
      </c>
      <c r="B6531" s="21" t="s">
        <v>1202</v>
      </c>
      <c r="C6531" s="21" t="s">
        <v>1196</v>
      </c>
      <c r="D6531" s="21" t="s">
        <v>1188</v>
      </c>
      <c r="E6531" s="22">
        <f>IF(D6531="?OLD","!!!","")</f>
        <v/>
      </c>
      <c r="F6531" s="23" t="str">
        <f>IF(OR(E6531="",E6531="!!!"),"",IF(NOT(ISNA(VLOOKUP(E6531,E$1:E6530,1,FALSE()))),"OLD",IF(AND(E6531&lt;&gt;"",E6531&lt;&gt;"!!!"),"NEW","")))</f>
        <v> </v>
      </c>
      <c r="G6531" s="24" t="str">
        <f>IF(OR(E6531="",E6531="!!!"),"",IF(OR(J6531=0,AND(J6531=1,K6531=1),AND(J6531=1,I6531="SBJ"),AND(J6531=1,I6531=0)),"?IN_FOCUS",IF(J6531&lt;=2,"?ACTIVATED",IF(J6531&lt;&gt;"","?FAMILIAR",IF(F6531="NEW",IF(ISNA(VLOOKUP(E6531,#REF!,1,FALSE())),"?TYPE_IDENTIFIABLE","?REFERENTIAL"),"_")))))</f>
        <v> </v>
      </c>
      <c r="H6531" s="25" t="str">
        <f>IF(J6531&lt;&gt;1,"",IF(I6531="SBJ","CB","?"))</f>
        <v> </v>
      </c>
      <c r="I6531" s="26" t="str">
        <f>IF(OR(E6531="",E6531="!!!",F6531="NEW"),"",INDEX(B6530:B$2,-1+SUMPRODUCT(MAX(ROW(E6530:E$2)*(E6531=E6530:E$2)))))</f>
        <v> </v>
      </c>
      <c r="J6531" s="26" t="str">
        <f>IF(OR(E6531="",E6531="!!!",F6531="NEW"),"",COUNTBLANK(OFFSET(A$1,,,SUMPRODUCT(MAX(ROW(E$2:E6531)*(E6531=E$2:E6531)))))-COUNTBLANK(OFFSET(A$1,,,SUMPRODUCT(MAX(ROW(E$1:E6530)*(E2=E$1:E6530))))))</f>
        <v> </v>
      </c>
      <c r="K6531" s="26" t="str">
        <f>IF(OR(E6531="",E6531="!!!",F6531="NEW"),"",INDEX(J$1:J6530,SUMPRODUCT(MAX(ROW(E$1:E6530)*(E6531=E$1:E6530)))))</f>
        <v> </v>
      </c>
      <c r="L6531" s="27"/>
    </row>
    <row r="6532" spans="1:12">
      <c r="A6532" s="20" t="s">
        <v>1208</v>
      </c>
      <c r="E6532" s="22">
        <f>IF(D6532="?OLD","!!!","")</f>
        <v/>
      </c>
      <c r="F6532" s="23" t="str">
        <f>IF(OR(E6532="",E6532="!!!"),"",IF(NOT(ISNA(VLOOKUP(E6532,E$1:E6531,1,FALSE()))),"OLD",IF(AND(E6532&lt;&gt;"",E6532&lt;&gt;"!!!"),"NEW","")))</f>
        <v> </v>
      </c>
      <c r="G6532" s="24" t="str">
        <f>IF(OR(E6532="",E6532="!!!"),"",IF(OR(J6532=0,AND(J6532=1,K6532=1),AND(J6532=1,I6532="SBJ"),AND(J6532=1,I6532=0)),"?IN_FOCUS",IF(J6532&lt;=2,"?ACTIVATED",IF(J6532&lt;&gt;"","?FAMILIAR",IF(F6532="NEW",IF(ISNA(VLOOKUP(E6532,#REF!,1,FALSE())),"?TYPE_IDENTIFIABLE","?REFERENTIAL"),"_")))))</f>
        <v> </v>
      </c>
      <c r="H6532" s="25" t="str">
        <f>IF(J6532&lt;&gt;1,"",IF(I6532="SBJ","CB","?"))</f>
        <v> </v>
      </c>
      <c r="I6532" s="26" t="str">
        <f>IF(OR(E6532="",E6532="!!!",F6532="NEW"),"",INDEX(B6531:B$2,-1+SUMPRODUCT(MAX(ROW(E6531:E$2)*(E6532=E6531:E$2)))))</f>
        <v> </v>
      </c>
      <c r="J6532" s="26" t="str">
        <f>IF(OR(E6532="",E6532="!!!",F6532="NEW"),"",COUNTBLANK(OFFSET(A$1,,,SUMPRODUCT(MAX(ROW(E$2:E6532)*(E6532=E$2:E6532)))))-COUNTBLANK(OFFSET(A$1,,,SUMPRODUCT(MAX(ROW(E$1:E6531)*(E2=E$1:E6531))))))</f>
        <v> </v>
      </c>
      <c r="K6532" s="26" t="str">
        <f>IF(OR(E6532="",E6532="!!!",F6532="NEW"),"",INDEX(J$1:J6531,SUMPRODUCT(MAX(ROW(E$1:E6531)*(E6532=E$1:E6531)))))</f>
        <v> </v>
      </c>
      <c r="L6532" s="27"/>
    </row>
    <row r="6533" spans="1:12">
      <c r="A6533" s="20" t="s">
        <v>1209</v>
      </c>
      <c r="B6533" s="21" t="s">
        <v>1199</v>
      </c>
      <c r="C6533" s="21" t="s">
        <v>1187</v>
      </c>
      <c r="D6533" s="21" t="s">
        <v>1188</v>
      </c>
      <c r="E6533" s="22">
        <f>IF(D6533="?OLD","!!!","")</f>
        <v/>
      </c>
      <c r="F6533" s="23" t="str">
        <f>IF(OR(E6533="",E6533="!!!"),"",IF(NOT(ISNA(VLOOKUP(E6533,E$1:E6532,1,FALSE()))),"OLD",IF(AND(E6533&lt;&gt;"",E6533&lt;&gt;"!!!"),"NEW","")))</f>
        <v> </v>
      </c>
      <c r="G6533" s="24" t="str">
        <f>IF(OR(E6533="",E6533="!!!"),"",IF(OR(J6533=0,AND(J6533=1,K6533=1),AND(J6533=1,I6533="SBJ"),AND(J6533=1,I6533=0)),"?IN_FOCUS",IF(J6533&lt;=2,"?ACTIVATED",IF(J6533&lt;&gt;"","?FAMILIAR",IF(F6533="NEW",IF(ISNA(VLOOKUP(E6533,#REF!,1,FALSE())),"?TYPE_IDENTIFIABLE","?REFERENTIAL"),"_")))))</f>
        <v> </v>
      </c>
      <c r="H6533" s="25" t="str">
        <f>IF(J6533&lt;&gt;1,"",IF(I6533="SBJ","CB","?"))</f>
        <v> </v>
      </c>
      <c r="I6533" s="26" t="str">
        <f>IF(OR(E6533="",E6533="!!!",F6533="NEW"),"",INDEX(B6532:B$2,-1+SUMPRODUCT(MAX(ROW(E6532:E$2)*(E6533=E6532:E$2)))))</f>
        <v> </v>
      </c>
      <c r="J6533" s="26" t="str">
        <f>IF(OR(E6533="",E6533="!!!",F6533="NEW"),"",COUNTBLANK(OFFSET(A$1,,,SUMPRODUCT(MAX(ROW(E$2:E6533)*(E6533=E$2:E6533)))))-COUNTBLANK(OFFSET(A$1,,,SUMPRODUCT(MAX(ROW(E$1:E6532)*(E2=E$1:E6532))))))</f>
        <v> </v>
      </c>
      <c r="K6533" s="26" t="str">
        <f>IF(OR(E6533="",E6533="!!!",F6533="NEW"),"",INDEX(J$1:J6532,SUMPRODUCT(MAX(ROW(E$1:E6532)*(E6533=E$1:E6532)))))</f>
        <v> </v>
      </c>
      <c r="L6533" s="27"/>
    </row>
    <row r="6534" spans="1:12">
      <c r="A6534" s="20" t="s">
        <v>1341</v>
      </c>
      <c r="E6534" s="22">
        <f>IF(D6534="?OLD","!!!","")</f>
        <v/>
      </c>
      <c r="F6534" s="23" t="str">
        <f>IF(OR(E6534="",E6534="!!!"),"",IF(NOT(ISNA(VLOOKUP(E6534,E$1:E6533,1,FALSE()))),"OLD",IF(AND(E6534&lt;&gt;"",E6534&lt;&gt;"!!!"),"NEW","")))</f>
        <v> </v>
      </c>
      <c r="G6534" s="24" t="str">
        <f>IF(OR(E6534="",E6534="!!!"),"",IF(OR(J6534=0,AND(J6534=1,K6534=1),AND(J6534=1,I6534="SBJ"),AND(J6534=1,I6534=0)),"?IN_FOCUS",IF(J6534&lt;=2,"?ACTIVATED",IF(J6534&lt;&gt;"","?FAMILIAR",IF(F6534="NEW",IF(ISNA(VLOOKUP(E6534,#REF!,1,FALSE())),"?TYPE_IDENTIFIABLE","?REFERENTIAL"),"_")))))</f>
        <v> </v>
      </c>
      <c r="H6534" s="25" t="str">
        <f>IF(J6534&lt;&gt;1,"",IF(I6534="SBJ","CB","?"))</f>
        <v> </v>
      </c>
      <c r="I6534" s="26" t="str">
        <f>IF(OR(E6534="",E6534="!!!",F6534="NEW"),"",INDEX(B6533:B$2,-1+SUMPRODUCT(MAX(ROW(E6533:E$2)*(E6534=E6533:E$2)))))</f>
        <v> </v>
      </c>
      <c r="J6534" s="26" t="str">
        <f>IF(OR(E6534="",E6534="!!!",F6534="NEW"),"",COUNTBLANK(OFFSET(A$1,,,SUMPRODUCT(MAX(ROW(E$2:E6534)*(E6534=E$2:E6534)))))-COUNTBLANK(OFFSET(A$1,,,SUMPRODUCT(MAX(ROW(E$1:E6533)*(E2=E$1:E6533))))))</f>
        <v> </v>
      </c>
      <c r="K6534" s="26" t="str">
        <f>IF(OR(E6534="",E6534="!!!",F6534="NEW"),"",INDEX(J$1:J6533,SUMPRODUCT(MAX(ROW(E$1:E6533)*(E6534=E$1:E6533)))))</f>
        <v> </v>
      </c>
      <c r="L6534" s="27"/>
    </row>
    <row r="6535" spans="1:12">
      <c r="A6535" s="20" t="s">
        <v>1374</v>
      </c>
      <c r="E6535" s="22">
        <f>IF(D6535="?OLD","!!!","")</f>
        <v/>
      </c>
      <c r="F6535" s="23" t="str">
        <f>IF(OR(E6535="",E6535="!!!"),"",IF(NOT(ISNA(VLOOKUP(E6535,E$1:E6534,1,FALSE()))),"OLD",IF(AND(E6535&lt;&gt;"",E6535&lt;&gt;"!!!"),"NEW","")))</f>
        <v> </v>
      </c>
      <c r="G6535" s="24" t="str">
        <f>IF(OR(E6535="",E6535="!!!"),"",IF(OR(J6535=0,AND(J6535=1,K6535=1),AND(J6535=1,I6535="SBJ"),AND(J6535=1,I6535=0)),"?IN_FOCUS",IF(J6535&lt;=2,"?ACTIVATED",IF(J6535&lt;&gt;"","?FAMILIAR",IF(F6535="NEW",IF(ISNA(VLOOKUP(E6535,#REF!,1,FALSE())),"?TYPE_IDENTIFIABLE","?REFERENTIAL"),"_")))))</f>
        <v> </v>
      </c>
      <c r="H6535" s="25" t="str">
        <f>IF(J6535&lt;&gt;1,"",IF(I6535="SBJ","CB","?"))</f>
        <v> </v>
      </c>
      <c r="I6535" s="26" t="str">
        <f>IF(OR(E6535="",E6535="!!!",F6535="NEW"),"",INDEX(B6534:B$2,-1+SUMPRODUCT(MAX(ROW(E6534:E$2)*(E6535=E6534:E$2)))))</f>
        <v> </v>
      </c>
      <c r="J6535" s="26" t="str">
        <f>IF(OR(E6535="",E6535="!!!",F6535="NEW"),"",COUNTBLANK(OFFSET(A$1,,,SUMPRODUCT(MAX(ROW(E$2:E6535)*(E6535=E$2:E6535)))))-COUNTBLANK(OFFSET(A$1,,,SUMPRODUCT(MAX(ROW(E$1:E6534)*(E2=E$1:E6534))))))</f>
        <v> </v>
      </c>
      <c r="K6535" s="26" t="str">
        <f>IF(OR(E6535="",E6535="!!!",F6535="NEW"),"",INDEX(J$1:J6534,SUMPRODUCT(MAX(ROW(E$1:E6534)*(E6535=E$1:E6534)))))</f>
        <v> </v>
      </c>
      <c r="L6535" s="27"/>
    </row>
    <row r="6536" spans="1:12">
      <c r="A6536" s="20" t="s">
        <v>2929</v>
      </c>
      <c r="B6536" s="21" t="s">
        <v>1186</v>
      </c>
      <c r="C6536" s="21" t="s">
        <v>1192</v>
      </c>
      <c r="E6536" s="22">
        <f>IF(D6536="?OLD","!!!","")</f>
        <v/>
      </c>
      <c r="F6536" s="23" t="str">
        <f>IF(OR(E6536="",E6536="!!!"),"",IF(NOT(ISNA(VLOOKUP(E6536,E$1:E6535,1,FALSE()))),"OLD",IF(AND(E6536&lt;&gt;"",E6536&lt;&gt;"!!!"),"NEW","")))</f>
        <v> </v>
      </c>
      <c r="G6536" s="24" t="str">
        <f>IF(OR(E6536="",E6536="!!!"),"",IF(OR(J6536=0,AND(J6536=1,K6536=1),AND(J6536=1,I6536="SBJ"),AND(J6536=1,I6536=0)),"?IN_FOCUS",IF(J6536&lt;=2,"?ACTIVATED",IF(J6536&lt;&gt;"","?FAMILIAR",IF(F6536="NEW",IF(ISNA(VLOOKUP(E6536,#REF!,1,FALSE())),"?TYPE_IDENTIFIABLE","?REFERENTIAL"),"_")))))</f>
        <v> </v>
      </c>
      <c r="H6536" s="25" t="str">
        <f>IF(J6536&lt;&gt;1,"",IF(I6536="SBJ","CB","?"))</f>
        <v> </v>
      </c>
      <c r="I6536" s="26" t="str">
        <f>IF(OR(E6536="",E6536="!!!",F6536="NEW"),"",INDEX(B6535:B$2,-1+SUMPRODUCT(MAX(ROW(E6535:E$2)*(E6536=E6535:E$2)))))</f>
        <v> </v>
      </c>
      <c r="J6536" s="26" t="str">
        <f>IF(OR(E6536="",E6536="!!!",F6536="NEW"),"",COUNTBLANK(OFFSET(A$1,,,SUMPRODUCT(MAX(ROW(E$2:E6536)*(E6536=E$2:E6536)))))-COUNTBLANK(OFFSET(A$1,,,SUMPRODUCT(MAX(ROW(E$1:E6535)*(E2=E$1:E6535))))))</f>
        <v> </v>
      </c>
      <c r="K6536" s="26" t="str">
        <f>IF(OR(E6536="",E6536="!!!",F6536="NEW"),"",INDEX(J$1:J6535,SUMPRODUCT(MAX(ROW(E$1:E6535)*(E6536=E$1:E6535)))))</f>
        <v> </v>
      </c>
      <c r="L6536" s="27"/>
    </row>
    <row r="6537" spans="1:12">
      <c r="A6537" s="20" t="s">
        <v>1300</v>
      </c>
      <c r="E6537" s="22">
        <f>IF(D6537="?OLD","!!!","")</f>
        <v/>
      </c>
      <c r="F6537" s="23" t="str">
        <f>IF(OR(E6537="",E6537="!!!"),"",IF(NOT(ISNA(VLOOKUP(E6537,E$1:E6536,1,FALSE()))),"OLD",IF(AND(E6537&lt;&gt;"",E6537&lt;&gt;"!!!"),"NEW","")))</f>
        <v> </v>
      </c>
      <c r="G6537" s="24" t="str">
        <f>IF(OR(E6537="",E6537="!!!"),"",IF(OR(J6537=0,AND(J6537=1,K6537=1),AND(J6537=1,I6537="SBJ"),AND(J6537=1,I6537=0)),"?IN_FOCUS",IF(J6537&lt;=2,"?ACTIVATED",IF(J6537&lt;&gt;"","?FAMILIAR",IF(F6537="NEW",IF(ISNA(VLOOKUP(E6537,#REF!,1,FALSE())),"?TYPE_IDENTIFIABLE","?REFERENTIAL"),"_")))))</f>
        <v> </v>
      </c>
      <c r="H6537" s="25" t="str">
        <f>IF(J6537&lt;&gt;1,"",IF(I6537="SBJ","CB","?"))</f>
        <v> </v>
      </c>
      <c r="I6537" s="26" t="str">
        <f>IF(OR(E6537="",E6537="!!!",F6537="NEW"),"",INDEX(B6536:B$2,-1+SUMPRODUCT(MAX(ROW(E6536:E$2)*(E6537=E6536:E$2)))))</f>
        <v> </v>
      </c>
      <c r="J6537" s="26" t="str">
        <f>IF(OR(E6537="",E6537="!!!",F6537="NEW"),"",COUNTBLANK(OFFSET(A$1,,,SUMPRODUCT(MAX(ROW(E$2:E6537)*(E6537=E$2:E6537)))))-COUNTBLANK(OFFSET(A$1,,,SUMPRODUCT(MAX(ROW(E$1:E6536)*(E2=E$1:E6536))))))</f>
        <v> </v>
      </c>
      <c r="K6537" s="26" t="str">
        <f>IF(OR(E6537="",E6537="!!!",F6537="NEW"),"",INDEX(J$1:J6536,SUMPRODUCT(MAX(ROW(E$1:E6536)*(E6537=E$1:E6536)))))</f>
        <v> </v>
      </c>
      <c r="L6537" s="27"/>
    </row>
    <row r="6538" spans="1:12">
      <c r="A6538" s="20" t="s">
        <v>2930</v>
      </c>
      <c r="B6538" s="21" t="s">
        <v>1186</v>
      </c>
      <c r="C6538" s="21" t="s">
        <v>1192</v>
      </c>
      <c r="E6538" s="22">
        <f>IF(D6538="?OLD","!!!","")</f>
        <v/>
      </c>
      <c r="F6538" s="23" t="str">
        <f>IF(OR(E6538="",E6538="!!!"),"",IF(NOT(ISNA(VLOOKUP(E6538,E$1:E6537,1,FALSE()))),"OLD",IF(AND(E6538&lt;&gt;"",E6538&lt;&gt;"!!!"),"NEW","")))</f>
        <v> </v>
      </c>
      <c r="G6538" s="24" t="str">
        <f>IF(OR(E6538="",E6538="!!!"),"",IF(OR(J6538=0,AND(J6538=1,K6538=1),AND(J6538=1,I6538="SBJ"),AND(J6538=1,I6538=0)),"?IN_FOCUS",IF(J6538&lt;=2,"?ACTIVATED",IF(J6538&lt;&gt;"","?FAMILIAR",IF(F6538="NEW",IF(ISNA(VLOOKUP(E6538,#REF!,1,FALSE())),"?TYPE_IDENTIFIABLE","?REFERENTIAL"),"_")))))</f>
        <v> </v>
      </c>
      <c r="H6538" s="25" t="str">
        <f>IF(J6538&lt;&gt;1,"",IF(I6538="SBJ","CB","?"))</f>
        <v> </v>
      </c>
      <c r="I6538" s="26" t="str">
        <f>IF(OR(E6538="",E6538="!!!",F6538="NEW"),"",INDEX(B6537:B$2,-1+SUMPRODUCT(MAX(ROW(E6537:E$2)*(E6538=E6537:E$2)))))</f>
        <v> </v>
      </c>
      <c r="J6538" s="26" t="str">
        <f>IF(OR(E6538="",E6538="!!!",F6538="NEW"),"",COUNTBLANK(OFFSET(A$1,,,SUMPRODUCT(MAX(ROW(E$2:E6538)*(E6538=E$2:E6538)))))-COUNTBLANK(OFFSET(A$1,,,SUMPRODUCT(MAX(ROW(E$1:E6537)*(E2=E$1:E6537))))))</f>
        <v> </v>
      </c>
      <c r="K6538" s="26" t="str">
        <f>IF(OR(E6538="",E6538="!!!",F6538="NEW"),"",INDEX(J$1:J6537,SUMPRODUCT(MAX(ROW(E$1:E6537)*(E6538=E$1:E6537)))))</f>
        <v> </v>
      </c>
      <c r="L6538" s="27"/>
    </row>
    <row r="6539" spans="1:12">
      <c r="A6539" s="20" t="s">
        <v>1374</v>
      </c>
      <c r="E6539" s="22">
        <f>IF(D6539="?OLD","!!!","")</f>
        <v/>
      </c>
      <c r="F6539" s="23" t="str">
        <f>IF(OR(E6539="",E6539="!!!"),"",IF(NOT(ISNA(VLOOKUP(E6539,E$1:E6538,1,FALSE()))),"OLD",IF(AND(E6539&lt;&gt;"",E6539&lt;&gt;"!!!"),"NEW","")))</f>
        <v> </v>
      </c>
      <c r="G6539" s="24" t="str">
        <f>IF(OR(E6539="",E6539="!!!"),"",IF(OR(J6539=0,AND(J6539=1,K6539=1),AND(J6539=1,I6539="SBJ"),AND(J6539=1,I6539=0)),"?IN_FOCUS",IF(J6539&lt;=2,"?ACTIVATED",IF(J6539&lt;&gt;"","?FAMILIAR",IF(F6539="NEW",IF(ISNA(VLOOKUP(E6539,#REF!,1,FALSE())),"?TYPE_IDENTIFIABLE","?REFERENTIAL"),"_")))))</f>
        <v> </v>
      </c>
      <c r="H6539" s="25" t="str">
        <f>IF(J6539&lt;&gt;1,"",IF(I6539="SBJ","CB","?"))</f>
        <v> </v>
      </c>
      <c r="I6539" s="26" t="str">
        <f>IF(OR(E6539="",E6539="!!!",F6539="NEW"),"",INDEX(B6538:B$2,-1+SUMPRODUCT(MAX(ROW(E6538:E$2)*(E6539=E6538:E$2)))))</f>
        <v> </v>
      </c>
      <c r="J6539" s="26" t="str">
        <f>IF(OR(E6539="",E6539="!!!",F6539="NEW"),"",COUNTBLANK(OFFSET(A$1,,,SUMPRODUCT(MAX(ROW(E$2:E6539)*(E6539=E$2:E6539)))))-COUNTBLANK(OFFSET(A$1,,,SUMPRODUCT(MAX(ROW(E$1:E6538)*(E2=E$1:E6538))))))</f>
        <v> </v>
      </c>
      <c r="K6539" s="26" t="str">
        <f>IF(OR(E6539="",E6539="!!!",F6539="NEW"),"",INDEX(J$1:J6538,SUMPRODUCT(MAX(ROW(E$1:E6538)*(E6539=E$1:E6538)))))</f>
        <v> </v>
      </c>
      <c r="L6539" s="27"/>
    </row>
    <row r="6540" spans="1:12">
      <c r="A6540" s="20" t="s">
        <v>826</v>
      </c>
      <c r="E6540" s="22">
        <f>IF(D6540="?OLD","!!!","")</f>
        <v/>
      </c>
      <c r="F6540" s="23" t="str">
        <f>IF(OR(E6540="",E6540="!!!"),"",IF(NOT(ISNA(VLOOKUP(E6540,E$1:E6539,1,FALSE()))),"OLD",IF(AND(E6540&lt;&gt;"",E6540&lt;&gt;"!!!"),"NEW","")))</f>
        <v> </v>
      </c>
      <c r="G6540" s="24" t="str">
        <f>IF(OR(E6540="",E6540="!!!"),"",IF(OR(J6540=0,AND(J6540=1,K6540=1),AND(J6540=1,I6540="SBJ"),AND(J6540=1,I6540=0)),"?IN_FOCUS",IF(J6540&lt;=2,"?ACTIVATED",IF(J6540&lt;&gt;"","?FAMILIAR",IF(F6540="NEW",IF(ISNA(VLOOKUP(E6540,#REF!,1,FALSE())),"?TYPE_IDENTIFIABLE","?REFERENTIAL"),"_")))))</f>
        <v> </v>
      </c>
      <c r="H6540" s="25" t="str">
        <f>IF(J6540&lt;&gt;1,"",IF(I6540="SBJ","CB","?"))</f>
        <v> </v>
      </c>
      <c r="I6540" s="26" t="str">
        <f>IF(OR(E6540="",E6540="!!!",F6540="NEW"),"",INDEX(B6539:B$2,-1+SUMPRODUCT(MAX(ROW(E6539:E$2)*(E6540=E6539:E$2)))))</f>
        <v> </v>
      </c>
      <c r="J6540" s="26" t="str">
        <f>IF(OR(E6540="",E6540="!!!",F6540="NEW"),"",COUNTBLANK(OFFSET(A$1,,,SUMPRODUCT(MAX(ROW(E$2:E6540)*(E6540=E$2:E6540)))))-COUNTBLANK(OFFSET(A$1,,,SUMPRODUCT(MAX(ROW(E$1:E6539)*(E2=E$1:E6539))))))</f>
        <v> </v>
      </c>
      <c r="K6540" s="26" t="str">
        <f>IF(OR(E6540="",E6540="!!!",F6540="NEW"),"",INDEX(J$1:J6539,SUMPRODUCT(MAX(ROW(E$1:E6539)*(E6540=E$1:E6539)))))</f>
        <v> </v>
      </c>
      <c r="L6540" s="27"/>
    </row>
    <row r="6541" spans="1:12">
      <c r="A6541" s="20"/>
    </row>
    <row r="6542" spans="1:12">
      <c r="A6542" s="20" t="s">
        <v>2931</v>
      </c>
    </row>
    <row r="6543" spans="1:12">
      <c r="A6543" s="20" t="s">
        <v>1333</v>
      </c>
      <c r="E6543" s="22">
        <f>IF(D6543="?OLD","!!!","")</f>
        <v/>
      </c>
      <c r="F6543" s="23" t="str">
        <f>IF(OR(E6543="",E6543="!!!"),"",IF(NOT(ISNA(VLOOKUP(E6543,E$1:E6542,1,FALSE()))),"OLD",IF(AND(E6543&lt;&gt;"",E6543&lt;&gt;"!!!"),"NEW","")))</f>
        <v> </v>
      </c>
      <c r="G6543" s="24" t="str">
        <f>IF(OR(E6543="",E6543="!!!"),"",IF(OR(J6543=0,AND(J6543=1,K6543=1),AND(J6543=1,I6543="SBJ"),AND(J6543=1,I6543=0)),"?IN_FOCUS",IF(J6543&lt;=2,"?ACTIVATED",IF(J6543&lt;&gt;"","?FAMILIAR",IF(F6543="NEW",IF(ISNA(VLOOKUP(E6543,#REF!,1,FALSE())),"?TYPE_IDENTIFIABLE","?REFERENTIAL"),"_")))))</f>
        <v> </v>
      </c>
      <c r="H6543" s="25" t="str">
        <f>IF(J6543&lt;&gt;1,"",IF(I6543="SBJ","CB","?"))</f>
        <v> </v>
      </c>
      <c r="I6543" s="26" t="str">
        <f>IF(OR(E6543="",E6543="!!!",F6543="NEW"),"",INDEX(B6542:B$2,-1+SUMPRODUCT(MAX(ROW(E6542:E$2)*(E6543=E6542:E$2)))))</f>
        <v> </v>
      </c>
      <c r="J6543" s="26" t="str">
        <f>IF(OR(E6543="",E6543="!!!",F6543="NEW"),"",COUNTBLANK(OFFSET(A$1,,,SUMPRODUCT(MAX(ROW(E$2:E6543)*(E6543=E$2:E6543)))))-COUNTBLANK(OFFSET(A$1,,,SUMPRODUCT(MAX(ROW(E$1:E6542)*(E2=E$1:E6542))))))</f>
        <v> </v>
      </c>
      <c r="K6543" s="26" t="str">
        <f>IF(OR(E6543="",E6543="!!!",F6543="NEW"),"",INDEX(J$1:J6542,SUMPRODUCT(MAX(ROW(E$1:E6542)*(E6543=E$1:E6542)))))</f>
        <v> </v>
      </c>
      <c r="L6543" s="27"/>
    </row>
    <row r="6544" spans="1:12">
      <c r="A6544" s="20" t="s">
        <v>57</v>
      </c>
      <c r="B6544" s="21" t="s">
        <v>1202</v>
      </c>
      <c r="C6544" s="21" t="s">
        <v>1203</v>
      </c>
      <c r="D6544" s="21" t="s">
        <v>1188</v>
      </c>
      <c r="E6544" s="22">
        <f>IF(D6544="?OLD","!!!","")</f>
        <v/>
      </c>
      <c r="F6544" s="23" t="str">
        <f>IF(OR(E6544="",E6544="!!!"),"",IF(NOT(ISNA(VLOOKUP(E6544,E$1:E6543,1,FALSE()))),"OLD",IF(AND(E6544&lt;&gt;"",E6544&lt;&gt;"!!!"),"NEW","")))</f>
        <v> </v>
      </c>
      <c r="G6544" s="24" t="str">
        <f>IF(OR(E6544="",E6544="!!!"),"",IF(OR(J6544=0,AND(J6544=1,K6544=1),AND(J6544=1,I6544="SBJ"),AND(J6544=1,I6544=0)),"?IN_FOCUS",IF(J6544&lt;=2,"?ACTIVATED",IF(J6544&lt;&gt;"","?FAMILIAR",IF(F6544="NEW",IF(ISNA(VLOOKUP(E6544,#REF!,1,FALSE())),"?TYPE_IDENTIFIABLE","?REFERENTIAL"),"_")))))</f>
        <v> </v>
      </c>
      <c r="H6544" s="25" t="str">
        <f>IF(J6544&lt;&gt;1,"",IF(I6544="SBJ","CB","?"))</f>
        <v> </v>
      </c>
      <c r="I6544" s="26" t="str">
        <f>IF(OR(E6544="",E6544="!!!",F6544="NEW"),"",INDEX(B6543:B$2,-1+SUMPRODUCT(MAX(ROW(E6543:E$2)*(E6544=E6543:E$2)))))</f>
        <v> </v>
      </c>
      <c r="J6544" s="26" t="str">
        <f>IF(OR(E6544="",E6544="!!!",F6544="NEW"),"",COUNTBLANK(OFFSET(A$1,,,SUMPRODUCT(MAX(ROW(E$2:E6544)*(E6544=E$2:E6544)))))-COUNTBLANK(OFFSET(A$1,,,SUMPRODUCT(MAX(ROW(E$1:E6543)*(E2=E$1:E6543))))))</f>
        <v> </v>
      </c>
      <c r="K6544" s="26" t="str">
        <f>IF(OR(E6544="",E6544="!!!",F6544="NEW"),"",INDEX(J$1:J6543,SUMPRODUCT(MAX(ROW(E$1:E6543)*(E6544=E$1:E6543)))))</f>
        <v> </v>
      </c>
      <c r="L6544" s="27"/>
    </row>
    <row r="6545" spans="1:12">
      <c r="A6545" s="20" t="s">
        <v>185</v>
      </c>
      <c r="B6545" s="21" t="s">
        <v>1212</v>
      </c>
      <c r="C6545" s="21" t="s">
        <v>1203</v>
      </c>
      <c r="D6545" s="21" t="s">
        <v>1188</v>
      </c>
      <c r="E6545" s="22">
        <f>IF(D6545="?OLD","!!!","")</f>
        <v/>
      </c>
      <c r="F6545" s="23" t="str">
        <f>IF(OR(E6545="",E6545="!!!"),"",IF(NOT(ISNA(VLOOKUP(E6545,E$1:E6544,1,FALSE()))),"OLD",IF(AND(E6545&lt;&gt;"",E6545&lt;&gt;"!!!"),"NEW","")))</f>
        <v> </v>
      </c>
      <c r="G6545" s="24" t="str">
        <f>IF(OR(E6545="",E6545="!!!"),"",IF(OR(J6545=0,AND(J6545=1,K6545=1),AND(J6545=1,I6545="SBJ"),AND(J6545=1,I6545=0)),"?IN_FOCUS",IF(J6545&lt;=2,"?ACTIVATED",IF(J6545&lt;&gt;"","?FAMILIAR",IF(F6545="NEW",IF(ISNA(VLOOKUP(E6545,#REF!,1,FALSE())),"?TYPE_IDENTIFIABLE","?REFERENTIAL"),"_")))))</f>
        <v> </v>
      </c>
      <c r="H6545" s="25" t="str">
        <f>IF(J6545&lt;&gt;1,"",IF(I6545="SBJ","CB","?"))</f>
        <v> </v>
      </c>
      <c r="I6545" s="26" t="str">
        <f>IF(OR(E6545="",E6545="!!!",F6545="NEW"),"",INDEX(B6544:B$2,-1+SUMPRODUCT(MAX(ROW(E6544:E$2)*(E6545=E6544:E$2)))))</f>
        <v> </v>
      </c>
      <c r="J6545" s="26" t="str">
        <f>IF(OR(E6545="",E6545="!!!",F6545="NEW"),"",COUNTBLANK(OFFSET(A$1,,,SUMPRODUCT(MAX(ROW(E$2:E6545)*(E6545=E$2:E6545)))))-COUNTBLANK(OFFSET(A$1,,,SUMPRODUCT(MAX(ROW(E$1:E6544)*(E2=E$1:E6544))))))</f>
        <v> </v>
      </c>
      <c r="K6545" s="26" t="str">
        <f>IF(OR(E6545="",E6545="!!!",F6545="NEW"),"",INDEX(J$1:J6544,SUMPRODUCT(MAX(ROW(E$1:E6544)*(E6545=E$1:E6544)))))</f>
        <v> </v>
      </c>
      <c r="L6545" s="27"/>
    </row>
    <row r="6546" spans="1:12">
      <c r="A6546" s="20" t="s">
        <v>1232</v>
      </c>
      <c r="E6546" s="22">
        <f>IF(D6546="?OLD","!!!","")</f>
        <v/>
      </c>
      <c r="F6546" s="23" t="str">
        <f>IF(OR(E6546="",E6546="!!!"),"",IF(NOT(ISNA(VLOOKUP(E6546,E$1:E6545,1,FALSE()))),"OLD",IF(AND(E6546&lt;&gt;"",E6546&lt;&gt;"!!!"),"NEW","")))</f>
        <v> </v>
      </c>
      <c r="G6546" s="24" t="str">
        <f>IF(OR(E6546="",E6546="!!!"),"",IF(OR(J6546=0,AND(J6546=1,K6546=1),AND(J6546=1,I6546="SBJ"),AND(J6546=1,I6546=0)),"?IN_FOCUS",IF(J6546&lt;=2,"?ACTIVATED",IF(J6546&lt;&gt;"","?FAMILIAR",IF(F6546="NEW",IF(ISNA(VLOOKUP(E6546,#REF!,1,FALSE())),"?TYPE_IDENTIFIABLE","?REFERENTIAL"),"_")))))</f>
        <v> </v>
      </c>
      <c r="H6546" s="25" t="str">
        <f>IF(J6546&lt;&gt;1,"",IF(I6546="SBJ","CB","?"))</f>
        <v> </v>
      </c>
      <c r="I6546" s="26" t="str">
        <f>IF(OR(E6546="",E6546="!!!",F6546="NEW"),"",INDEX(B6545:B$2,-1+SUMPRODUCT(MAX(ROW(E6545:E$2)*(E6546=E6545:E$2)))))</f>
        <v> </v>
      </c>
      <c r="J6546" s="26" t="str">
        <f>IF(OR(E6546="",E6546="!!!",F6546="NEW"),"",COUNTBLANK(OFFSET(A$1,,,SUMPRODUCT(MAX(ROW(E$2:E6546)*(E6546=E$2:E6546)))))-COUNTBLANK(OFFSET(A$1,,,SUMPRODUCT(MAX(ROW(E$1:E6545)*(E2=E$1:E6545))))))</f>
        <v> </v>
      </c>
      <c r="K6546" s="26" t="str">
        <f>IF(OR(E6546="",E6546="!!!",F6546="NEW"),"",INDEX(J$1:J6545,SUMPRODUCT(MAX(ROW(E$1:E6545)*(E6546=E$1:E6545)))))</f>
        <v> </v>
      </c>
      <c r="L6546" s="27"/>
    </row>
    <row r="6547" spans="1:12">
      <c r="A6547" s="20" t="s">
        <v>1901</v>
      </c>
      <c r="E6547" s="22">
        <f>IF(D6547="?OLD","!!!","")</f>
        <v/>
      </c>
      <c r="F6547" s="23" t="str">
        <f>IF(OR(E6547="",E6547="!!!"),"",IF(NOT(ISNA(VLOOKUP(E6547,E$1:E6546,1,FALSE()))),"OLD",IF(AND(E6547&lt;&gt;"",E6547&lt;&gt;"!!!"),"NEW","")))</f>
        <v> </v>
      </c>
      <c r="G6547" s="24" t="str">
        <f>IF(OR(E6547="",E6547="!!!"),"",IF(OR(J6547=0,AND(J6547=1,K6547=1),AND(J6547=1,I6547="SBJ"),AND(J6547=1,I6547=0)),"?IN_FOCUS",IF(J6547&lt;=2,"?ACTIVATED",IF(J6547&lt;&gt;"","?FAMILIAR",IF(F6547="NEW",IF(ISNA(VLOOKUP(E6547,#REF!,1,FALSE())),"?TYPE_IDENTIFIABLE","?REFERENTIAL"),"_")))))</f>
        <v> </v>
      </c>
      <c r="H6547" s="25" t="str">
        <f>IF(J6547&lt;&gt;1,"",IF(I6547="SBJ","CB","?"))</f>
        <v> </v>
      </c>
      <c r="I6547" s="26" t="str">
        <f>IF(OR(E6547="",E6547="!!!",F6547="NEW"),"",INDEX(B6546:B$2,-1+SUMPRODUCT(MAX(ROW(E6546:E$2)*(E6547=E6546:E$2)))))</f>
        <v> </v>
      </c>
      <c r="J6547" s="26" t="str">
        <f>IF(OR(E6547="",E6547="!!!",F6547="NEW"),"",COUNTBLANK(OFFSET(A$1,,,SUMPRODUCT(MAX(ROW(E$2:E6547)*(E6547=E$2:E6547)))))-COUNTBLANK(OFFSET(A$1,,,SUMPRODUCT(MAX(ROW(E$1:E6546)*(E2=E$1:E6546))))))</f>
        <v> </v>
      </c>
      <c r="K6547" s="26" t="str">
        <f>IF(OR(E6547="",E6547="!!!",F6547="NEW"),"",INDEX(J$1:J6546,SUMPRODUCT(MAX(ROW(E$1:E6546)*(E6547=E$1:E6546)))))</f>
        <v> </v>
      </c>
      <c r="L6547" s="27"/>
    </row>
    <row r="6548" spans="1:12">
      <c r="A6548" s="20" t="s">
        <v>2016</v>
      </c>
      <c r="E6548" s="22">
        <f>IF(D6548="?OLD","!!!","")</f>
        <v/>
      </c>
      <c r="F6548" s="23" t="str">
        <f>IF(OR(E6548="",E6548="!!!"),"",IF(NOT(ISNA(VLOOKUP(E6548,E$1:E6547,1,FALSE()))),"OLD",IF(AND(E6548&lt;&gt;"",E6548&lt;&gt;"!!!"),"NEW","")))</f>
        <v> </v>
      </c>
      <c r="G6548" s="24" t="str">
        <f>IF(OR(E6548="",E6548="!!!"),"",IF(OR(J6548=0,AND(J6548=1,K6548=1),AND(J6548=1,I6548="SBJ"),AND(J6548=1,I6548=0)),"?IN_FOCUS",IF(J6548&lt;=2,"?ACTIVATED",IF(J6548&lt;&gt;"","?FAMILIAR",IF(F6548="NEW",IF(ISNA(VLOOKUP(E6548,#REF!,1,FALSE())),"?TYPE_IDENTIFIABLE","?REFERENTIAL"),"_")))))</f>
        <v> </v>
      </c>
      <c r="H6548" s="25" t="str">
        <f>IF(J6548&lt;&gt;1,"",IF(I6548="SBJ","CB","?"))</f>
        <v> </v>
      </c>
      <c r="I6548" s="26" t="str">
        <f>IF(OR(E6548="",E6548="!!!",F6548="NEW"),"",INDEX(B6547:B$2,-1+SUMPRODUCT(MAX(ROW(E6547:E$2)*(E6548=E6547:E$2)))))</f>
        <v> </v>
      </c>
      <c r="J6548" s="26" t="str">
        <f>IF(OR(E6548="",E6548="!!!",F6548="NEW"),"",COUNTBLANK(OFFSET(A$1,,,SUMPRODUCT(MAX(ROW(E$2:E6548)*(E6548=E$2:E6548)))))-COUNTBLANK(OFFSET(A$1,,,SUMPRODUCT(MAX(ROW(E$1:E6547)*(E2=E$1:E6547))))))</f>
        <v> </v>
      </c>
      <c r="K6548" s="26" t="str">
        <f>IF(OR(E6548="",E6548="!!!",F6548="NEW"),"",INDEX(J$1:J6547,SUMPRODUCT(MAX(ROW(E$1:E6547)*(E6548=E$1:E6547)))))</f>
        <v> </v>
      </c>
      <c r="L6548" s="27"/>
    </row>
    <row r="6549" spans="1:12">
      <c r="A6549" s="20" t="s">
        <v>2932</v>
      </c>
      <c r="B6549" s="21" t="s">
        <v>1186</v>
      </c>
      <c r="C6549" s="21" t="s">
        <v>1231</v>
      </c>
      <c r="E6549" s="22">
        <f>IF(D6549="?OLD","!!!","")</f>
        <v/>
      </c>
      <c r="F6549" s="23" t="str">
        <f>IF(OR(E6549="",E6549="!!!"),"",IF(NOT(ISNA(VLOOKUP(E6549,E$1:E6548,1,FALSE()))),"OLD",IF(AND(E6549&lt;&gt;"",E6549&lt;&gt;"!!!"),"NEW","")))</f>
        <v> </v>
      </c>
      <c r="G6549" s="24" t="str">
        <f>IF(OR(E6549="",E6549="!!!"),"",IF(OR(J6549=0,AND(J6549=1,K6549=1),AND(J6549=1,I6549="SBJ"),AND(J6549=1,I6549=0)),"?IN_FOCUS",IF(J6549&lt;=2,"?ACTIVATED",IF(J6549&lt;&gt;"","?FAMILIAR",IF(F6549="NEW",IF(ISNA(VLOOKUP(E6549,#REF!,1,FALSE())),"?TYPE_IDENTIFIABLE","?REFERENTIAL"),"_")))))</f>
        <v> </v>
      </c>
      <c r="H6549" s="25" t="str">
        <f>IF(J6549&lt;&gt;1,"",IF(I6549="SBJ","CB","?"))</f>
        <v> </v>
      </c>
      <c r="I6549" s="26" t="str">
        <f>IF(OR(E6549="",E6549="!!!",F6549="NEW"),"",INDEX(B6548:B$2,-1+SUMPRODUCT(MAX(ROW(E6548:E$2)*(E6549=E6548:E$2)))))</f>
        <v> </v>
      </c>
      <c r="J6549" s="26" t="str">
        <f>IF(OR(E6549="",E6549="!!!",F6549="NEW"),"",COUNTBLANK(OFFSET(A$1,,,SUMPRODUCT(MAX(ROW(E$2:E6549)*(E6549=E$2:E6549)))))-COUNTBLANK(OFFSET(A$1,,,SUMPRODUCT(MAX(ROW(E$1:E6548)*(E2=E$1:E6548))))))</f>
        <v> </v>
      </c>
      <c r="K6549" s="26" t="str">
        <f>IF(OR(E6549="",E6549="!!!",F6549="NEW"),"",INDEX(J$1:J6548,SUMPRODUCT(MAX(ROW(E$1:E6548)*(E6549=E$1:E6548)))))</f>
        <v> </v>
      </c>
      <c r="L6549" s="27"/>
    </row>
    <row r="6550" spans="1:12">
      <c r="A6550" s="20" t="s">
        <v>1149</v>
      </c>
      <c r="E6550" s="22">
        <f>IF(D6550="?OLD","!!!","")</f>
        <v/>
      </c>
      <c r="F6550" s="23" t="str">
        <f>IF(OR(E6550="",E6550="!!!"),"",IF(NOT(ISNA(VLOOKUP(E6550,E$1:E6549,1,FALSE()))),"OLD",IF(AND(E6550&lt;&gt;"",E6550&lt;&gt;"!!!"),"NEW","")))</f>
        <v> </v>
      </c>
      <c r="G6550" s="24" t="str">
        <f>IF(OR(E6550="",E6550="!!!"),"",IF(OR(J6550=0,AND(J6550=1,K6550=1),AND(J6550=1,I6550="SBJ"),AND(J6550=1,I6550=0)),"?IN_FOCUS",IF(J6550&lt;=2,"?ACTIVATED",IF(J6550&lt;&gt;"","?FAMILIAR",IF(F6550="NEW",IF(ISNA(VLOOKUP(E6550,#REF!,1,FALSE())),"?TYPE_IDENTIFIABLE","?REFERENTIAL"),"_")))))</f>
        <v> </v>
      </c>
      <c r="H6550" s="25" t="str">
        <f>IF(J6550&lt;&gt;1,"",IF(I6550="SBJ","CB","?"))</f>
        <v> </v>
      </c>
      <c r="I6550" s="26" t="str">
        <f>IF(OR(E6550="",E6550="!!!",F6550="NEW"),"",INDEX(B6549:B$2,-1+SUMPRODUCT(MAX(ROW(E6549:E$2)*(E6550=E6549:E$2)))))</f>
        <v> </v>
      </c>
      <c r="J6550" s="26" t="str">
        <f>IF(OR(E6550="",E6550="!!!",F6550="NEW"),"",COUNTBLANK(OFFSET(A$1,,,SUMPRODUCT(MAX(ROW(E$2:E6550)*(E6550=E$2:E6550)))))-COUNTBLANK(OFFSET(A$1,,,SUMPRODUCT(MAX(ROW(E$1:E6549)*(E2=E$1:E6549))))))</f>
        <v> </v>
      </c>
      <c r="K6550" s="26" t="str">
        <f>IF(OR(E6550="",E6550="!!!",F6550="NEW"),"",INDEX(J$1:J6549,SUMPRODUCT(MAX(ROW(E$1:E6549)*(E6550=E$1:E6549)))))</f>
        <v> </v>
      </c>
      <c r="L6550" s="27"/>
    </row>
    <row r="6551" spans="1:12">
      <c r="A6551" s="20" t="s">
        <v>2933</v>
      </c>
      <c r="E6551" s="22">
        <f>IF(D6551="?OLD","!!!","")</f>
        <v/>
      </c>
      <c r="F6551" s="23" t="str">
        <f>IF(OR(E6551="",E6551="!!!"),"",IF(NOT(ISNA(VLOOKUP(E6551,E$1:E6550,1,FALSE()))),"OLD",IF(AND(E6551&lt;&gt;"",E6551&lt;&gt;"!!!"),"NEW","")))</f>
        <v> </v>
      </c>
      <c r="G6551" s="24" t="str">
        <f>IF(OR(E6551="",E6551="!!!"),"",IF(OR(J6551=0,AND(J6551=1,K6551=1),AND(J6551=1,I6551="SBJ"),AND(J6551=1,I6551=0)),"?IN_FOCUS",IF(J6551&lt;=2,"?ACTIVATED",IF(J6551&lt;&gt;"","?FAMILIAR",IF(F6551="NEW",IF(ISNA(VLOOKUP(E6551,#REF!,1,FALSE())),"?TYPE_IDENTIFIABLE","?REFERENTIAL"),"_")))))</f>
        <v> </v>
      </c>
      <c r="H6551" s="25" t="str">
        <f>IF(J6551&lt;&gt;1,"",IF(I6551="SBJ","CB","?"))</f>
        <v> </v>
      </c>
      <c r="I6551" s="26" t="str">
        <f>IF(OR(E6551="",E6551="!!!",F6551="NEW"),"",INDEX(B6550:B$2,-1+SUMPRODUCT(MAX(ROW(E6550:E$2)*(E6551=E6550:E$2)))))</f>
        <v> </v>
      </c>
      <c r="J6551" s="26" t="str">
        <f>IF(OR(E6551="",E6551="!!!",F6551="NEW"),"",COUNTBLANK(OFFSET(A$1,,,SUMPRODUCT(MAX(ROW(E$2:E6551)*(E6551=E$2:E6551)))))-COUNTBLANK(OFFSET(A$1,,,SUMPRODUCT(MAX(ROW(E$1:E6550)*(E2=E$1:E6550))))))</f>
        <v> </v>
      </c>
      <c r="K6551" s="26" t="str">
        <f>IF(OR(E6551="",E6551="!!!",F6551="NEW"),"",INDEX(J$1:J6550,SUMPRODUCT(MAX(ROW(E$1:E6550)*(E6551=E$1:E6550)))))</f>
        <v> </v>
      </c>
      <c r="L6551" s="27"/>
    </row>
    <row r="6552" spans="1:12">
      <c r="A6552" s="20" t="s">
        <v>1193</v>
      </c>
      <c r="E6552" s="22">
        <f>IF(D6552="?OLD","!!!","")</f>
        <v/>
      </c>
      <c r="F6552" s="23" t="str">
        <f>IF(OR(E6552="",E6552="!!!"),"",IF(NOT(ISNA(VLOOKUP(E6552,E$1:E6551,1,FALSE()))),"OLD",IF(AND(E6552&lt;&gt;"",E6552&lt;&gt;"!!!"),"NEW","")))</f>
        <v> </v>
      </c>
      <c r="G6552" s="24" t="str">
        <f>IF(OR(E6552="",E6552="!!!"),"",IF(OR(J6552=0,AND(J6552=1,K6552=1),AND(J6552=1,I6552="SBJ"),AND(J6552=1,I6552=0)),"?IN_FOCUS",IF(J6552&lt;=2,"?ACTIVATED",IF(J6552&lt;&gt;"","?FAMILIAR",IF(F6552="NEW",IF(ISNA(VLOOKUP(E6552,#REF!,1,FALSE())),"?TYPE_IDENTIFIABLE","?REFERENTIAL"),"_")))))</f>
        <v> </v>
      </c>
      <c r="H6552" s="25" t="str">
        <f>IF(J6552&lt;&gt;1,"",IF(I6552="SBJ","CB","?"))</f>
        <v> </v>
      </c>
      <c r="I6552" s="26" t="str">
        <f>IF(OR(E6552="",E6552="!!!",F6552="NEW"),"",INDEX(B6551:B$2,-1+SUMPRODUCT(MAX(ROW(E6551:E$2)*(E6552=E6551:E$2)))))</f>
        <v> </v>
      </c>
      <c r="J6552" s="26" t="str">
        <f>IF(OR(E6552="",E6552="!!!",F6552="NEW"),"",COUNTBLANK(OFFSET(A$1,,,SUMPRODUCT(MAX(ROW(E$2:E6552)*(E6552=E$2:E6552)))))-COUNTBLANK(OFFSET(A$1,,,SUMPRODUCT(MAX(ROW(E$1:E6551)*(E2=E$1:E6551))))))</f>
        <v> </v>
      </c>
      <c r="K6552" s="26" t="str">
        <f>IF(OR(E6552="",E6552="!!!",F6552="NEW"),"",INDEX(J$1:J6551,SUMPRODUCT(MAX(ROW(E$1:E6551)*(E6552=E$1:E6551)))))</f>
        <v> </v>
      </c>
      <c r="L6552" s="27"/>
    </row>
    <row r="6553" spans="1:12">
      <c r="A6553" s="20" t="s">
        <v>1253</v>
      </c>
      <c r="B6553" s="21" t="s">
        <v>1248</v>
      </c>
      <c r="C6553" s="21" t="s">
        <v>1246</v>
      </c>
      <c r="D6553" s="21" t="s">
        <v>1188</v>
      </c>
      <c r="E6553" s="22">
        <f>IF(D6553="?OLD","!!!","")</f>
        <v/>
      </c>
      <c r="F6553" s="23" t="str">
        <f>IF(OR(E6553="",E6553="!!!"),"",IF(NOT(ISNA(VLOOKUP(E6553,E$1:E6552,1,FALSE()))),"OLD",IF(AND(E6553&lt;&gt;"",E6553&lt;&gt;"!!!"),"NEW","")))</f>
        <v> </v>
      </c>
      <c r="G6553" s="24" t="str">
        <f>IF(OR(E6553="",E6553="!!!"),"",IF(OR(J6553=0,AND(J6553=1,K6553=1),AND(J6553=1,I6553="SBJ"),AND(J6553=1,I6553=0)),"?IN_FOCUS",IF(J6553&lt;=2,"?ACTIVATED",IF(J6553&lt;&gt;"","?FAMILIAR",IF(F6553="NEW",IF(ISNA(VLOOKUP(E6553,#REF!,1,FALSE())),"?TYPE_IDENTIFIABLE","?REFERENTIAL"),"_")))))</f>
        <v> </v>
      </c>
      <c r="H6553" s="25" t="str">
        <f>IF(J6553&lt;&gt;1,"",IF(I6553="SBJ","CB","?"))</f>
        <v> </v>
      </c>
      <c r="I6553" s="26" t="str">
        <f>IF(OR(E6553="",E6553="!!!",F6553="NEW"),"",INDEX(B6552:B$2,-1+SUMPRODUCT(MAX(ROW(E6552:E$2)*(E6553=E6552:E$2)))))</f>
        <v> </v>
      </c>
      <c r="J6553" s="26" t="str">
        <f>IF(OR(E6553="",E6553="!!!",F6553="NEW"),"",COUNTBLANK(OFFSET(A$1,,,SUMPRODUCT(MAX(ROW(E$2:E6553)*(E6553=E$2:E6553)))))-COUNTBLANK(OFFSET(A$1,,,SUMPRODUCT(MAX(ROW(E$1:E6552)*(E2=E$1:E6552))))))</f>
        <v> </v>
      </c>
      <c r="K6553" s="26" t="str">
        <f>IF(OR(E6553="",E6553="!!!",F6553="NEW"),"",INDEX(J$1:J6552,SUMPRODUCT(MAX(ROW(E$1:E6552)*(E6553=E$1:E6552)))))</f>
        <v> </v>
      </c>
      <c r="L6553" s="27"/>
    </row>
    <row r="6554" spans="1:12">
      <c r="A6554" s="20" t="s">
        <v>1265</v>
      </c>
      <c r="E6554" s="22">
        <f>IF(D6554="?OLD","!!!","")</f>
        <v/>
      </c>
      <c r="F6554" s="23" t="str">
        <f>IF(OR(E6554="",E6554="!!!"),"",IF(NOT(ISNA(VLOOKUP(E6554,E$1:E6553,1,FALSE()))),"OLD",IF(AND(E6554&lt;&gt;"",E6554&lt;&gt;"!!!"),"NEW","")))</f>
        <v> </v>
      </c>
      <c r="G6554" s="24" t="str">
        <f>IF(OR(E6554="",E6554="!!!"),"",IF(OR(J6554=0,AND(J6554=1,K6554=1),AND(J6554=1,I6554="SBJ"),AND(J6554=1,I6554=0)),"?IN_FOCUS",IF(J6554&lt;=2,"?ACTIVATED",IF(J6554&lt;&gt;"","?FAMILIAR",IF(F6554="NEW",IF(ISNA(VLOOKUP(E6554,#REF!,1,FALSE())),"?TYPE_IDENTIFIABLE","?REFERENTIAL"),"_")))))</f>
        <v> </v>
      </c>
      <c r="H6554" s="25" t="str">
        <f>IF(J6554&lt;&gt;1,"",IF(I6554="SBJ","CB","?"))</f>
        <v> </v>
      </c>
      <c r="I6554" s="26" t="str">
        <f>IF(OR(E6554="",E6554="!!!",F6554="NEW"),"",INDEX(B6553:B$2,-1+SUMPRODUCT(MAX(ROW(E6553:E$2)*(E6554=E6553:E$2)))))</f>
        <v> </v>
      </c>
      <c r="J6554" s="26" t="str">
        <f>IF(OR(E6554="",E6554="!!!",F6554="NEW"),"",COUNTBLANK(OFFSET(A$1,,,SUMPRODUCT(MAX(ROW(E$2:E6554)*(E6554=E$2:E6554)))))-COUNTBLANK(OFFSET(A$1,,,SUMPRODUCT(MAX(ROW(E$1:E6553)*(E2=E$1:E6553))))))</f>
        <v> </v>
      </c>
      <c r="K6554" s="26" t="str">
        <f>IF(OR(E6554="",E6554="!!!",F6554="NEW"),"",INDEX(J$1:J6553,SUMPRODUCT(MAX(ROW(E$1:E6553)*(E6554=E$1:E6553)))))</f>
        <v> </v>
      </c>
      <c r="L6554" s="27"/>
    </row>
    <row r="6555" spans="1:12">
      <c r="A6555" s="20" t="s">
        <v>1570</v>
      </c>
      <c r="E6555" s="22">
        <f>IF(D6555="?OLD","!!!","")</f>
        <v/>
      </c>
      <c r="F6555" s="23" t="str">
        <f>IF(OR(E6555="",E6555="!!!"),"",IF(NOT(ISNA(VLOOKUP(E6555,E$1:E6554,1,FALSE()))),"OLD",IF(AND(E6555&lt;&gt;"",E6555&lt;&gt;"!!!"),"NEW","")))</f>
        <v> </v>
      </c>
      <c r="G6555" s="24" t="str">
        <f>IF(OR(E6555="",E6555="!!!"),"",IF(OR(J6555=0,AND(J6555=1,K6555=1),AND(J6555=1,I6555="SBJ"),AND(J6555=1,I6555=0)),"?IN_FOCUS",IF(J6555&lt;=2,"?ACTIVATED",IF(J6555&lt;&gt;"","?FAMILIAR",IF(F6555="NEW",IF(ISNA(VLOOKUP(E6555,#REF!,1,FALSE())),"?TYPE_IDENTIFIABLE","?REFERENTIAL"),"_")))))</f>
        <v> </v>
      </c>
      <c r="H6555" s="25" t="str">
        <f>IF(J6555&lt;&gt;1,"",IF(I6555="SBJ","CB","?"))</f>
        <v> </v>
      </c>
      <c r="I6555" s="26" t="str">
        <f>IF(OR(E6555="",E6555="!!!",F6555="NEW"),"",INDEX(B6554:B$2,-1+SUMPRODUCT(MAX(ROW(E6554:E$2)*(E6555=E6554:E$2)))))</f>
        <v> </v>
      </c>
      <c r="J6555" s="26" t="str">
        <f>IF(OR(E6555="",E6555="!!!",F6555="NEW"),"",COUNTBLANK(OFFSET(A$1,,,SUMPRODUCT(MAX(ROW(E$2:E6555)*(E6555=E$2:E6555)))))-COUNTBLANK(OFFSET(A$1,,,SUMPRODUCT(MAX(ROW(E$1:E6554)*(E2=E$1:E6554))))))</f>
        <v> </v>
      </c>
      <c r="K6555" s="26" t="str">
        <f>IF(OR(E6555="",E6555="!!!",F6555="NEW"),"",INDEX(J$1:J6554,SUMPRODUCT(MAX(ROW(E$1:E6554)*(E6555=E$1:E6554)))))</f>
        <v> </v>
      </c>
      <c r="L6555" s="27"/>
    </row>
    <row r="6556" spans="1:12">
      <c r="A6556" s="20" t="s">
        <v>2932</v>
      </c>
      <c r="B6556" s="21" t="s">
        <v>1186</v>
      </c>
      <c r="C6556" s="21" t="s">
        <v>1240</v>
      </c>
      <c r="E6556" s="22">
        <f>IF(D6556="?OLD","!!!","")</f>
        <v/>
      </c>
      <c r="F6556" s="23" t="str">
        <f>IF(OR(E6556="",E6556="!!!"),"",IF(NOT(ISNA(VLOOKUP(E6556,E$1:E6555,1,FALSE()))),"OLD",IF(AND(E6556&lt;&gt;"",E6556&lt;&gt;"!!!"),"NEW","")))</f>
        <v> </v>
      </c>
      <c r="G6556" s="24" t="str">
        <f>IF(OR(E6556="",E6556="!!!"),"",IF(OR(J6556=0,AND(J6556=1,K6556=1),AND(J6556=1,I6556="SBJ"),AND(J6556=1,I6556=0)),"?IN_FOCUS",IF(J6556&lt;=2,"?ACTIVATED",IF(J6556&lt;&gt;"","?FAMILIAR",IF(F6556="NEW",IF(ISNA(VLOOKUP(E6556,#REF!,1,FALSE())),"?TYPE_IDENTIFIABLE","?REFERENTIAL"),"_")))))</f>
        <v> </v>
      </c>
      <c r="H6556" s="25" t="str">
        <f>IF(J6556&lt;&gt;1,"",IF(I6556="SBJ","CB","?"))</f>
        <v> </v>
      </c>
      <c r="I6556" s="26" t="str">
        <f>IF(OR(E6556="",E6556="!!!",F6556="NEW"),"",INDEX(B6555:B$2,-1+SUMPRODUCT(MAX(ROW(E6555:E$2)*(E6556=E6555:E$2)))))</f>
        <v> </v>
      </c>
      <c r="J6556" s="26" t="str">
        <f>IF(OR(E6556="",E6556="!!!",F6556="NEW"),"",COUNTBLANK(OFFSET(A$1,,,SUMPRODUCT(MAX(ROW(E$2:E6556)*(E6556=E$2:E6556)))))-COUNTBLANK(OFFSET(A$1,,,SUMPRODUCT(MAX(ROW(E$1:E6555)*(E2=E$1:E6555))))))</f>
        <v> </v>
      </c>
      <c r="K6556" s="26" t="str">
        <f>IF(OR(E6556="",E6556="!!!",F6556="NEW"),"",INDEX(J$1:J6555,SUMPRODUCT(MAX(ROW(E$1:E6555)*(E6556=E$1:E6555)))))</f>
        <v> </v>
      </c>
      <c r="L6556" s="27"/>
    </row>
    <row r="6557" spans="1:12">
      <c r="A6557" s="20" t="s">
        <v>1193</v>
      </c>
      <c r="E6557" s="22">
        <f>IF(D6557="?OLD","!!!","")</f>
        <v/>
      </c>
      <c r="F6557" s="23" t="str">
        <f>IF(OR(E6557="",E6557="!!!"),"",IF(NOT(ISNA(VLOOKUP(E6557,E$1:E6556,1,FALSE()))),"OLD",IF(AND(E6557&lt;&gt;"",E6557&lt;&gt;"!!!"),"NEW","")))</f>
        <v> </v>
      </c>
      <c r="G6557" s="24" t="str">
        <f>IF(OR(E6557="",E6557="!!!"),"",IF(OR(J6557=0,AND(J6557=1,K6557=1),AND(J6557=1,I6557="SBJ"),AND(J6557=1,I6557=0)),"?IN_FOCUS",IF(J6557&lt;=2,"?ACTIVATED",IF(J6557&lt;&gt;"","?FAMILIAR",IF(F6557="NEW",IF(ISNA(VLOOKUP(E6557,#REF!,1,FALSE())),"?TYPE_IDENTIFIABLE","?REFERENTIAL"),"_")))))</f>
        <v> </v>
      </c>
      <c r="H6557" s="25" t="str">
        <f>IF(J6557&lt;&gt;1,"",IF(I6557="SBJ","CB","?"))</f>
        <v> </v>
      </c>
      <c r="I6557" s="26" t="str">
        <f>IF(OR(E6557="",E6557="!!!",F6557="NEW"),"",INDEX(B6556:B$2,-1+SUMPRODUCT(MAX(ROW(E6556:E$2)*(E6557=E6556:E$2)))))</f>
        <v> </v>
      </c>
      <c r="J6557" s="26" t="str">
        <f>IF(OR(E6557="",E6557="!!!",F6557="NEW"),"",COUNTBLANK(OFFSET(A$1,,,SUMPRODUCT(MAX(ROW(E$2:E6557)*(E6557=E$2:E6557)))))-COUNTBLANK(OFFSET(A$1,,,SUMPRODUCT(MAX(ROW(E$1:E6556)*(E2=E$1:E6556))))))</f>
        <v> </v>
      </c>
      <c r="K6557" s="26" t="str">
        <f>IF(OR(E6557="",E6557="!!!",F6557="NEW"),"",INDEX(J$1:J6556,SUMPRODUCT(MAX(ROW(E$1:E6556)*(E6557=E$1:E6556)))))</f>
        <v> </v>
      </c>
      <c r="L6557" s="27"/>
    </row>
    <row r="6558" spans="1:12">
      <c r="A6558" s="20" t="s">
        <v>1194</v>
      </c>
      <c r="B6558" s="21" t="s">
        <v>1311</v>
      </c>
      <c r="E6558" s="22">
        <f>IF(D6558="?OLD","!!!","")</f>
        <v/>
      </c>
      <c r="F6558" s="23" t="str">
        <f>IF(OR(E6558="",E6558="!!!"),"",IF(NOT(ISNA(VLOOKUP(E6558,E$1:E6557,1,FALSE()))),"OLD",IF(AND(E6558&lt;&gt;"",E6558&lt;&gt;"!!!"),"NEW","")))</f>
        <v> </v>
      </c>
      <c r="G6558" s="24" t="str">
        <f>IF(OR(E6558="",E6558="!!!"),"",IF(OR(J6558=0,AND(J6558=1,K6558=1),AND(J6558=1,I6558="SBJ"),AND(J6558=1,I6558=0)),"?IN_FOCUS",IF(J6558&lt;=2,"?ACTIVATED",IF(J6558&lt;&gt;"","?FAMILIAR",IF(F6558="NEW",IF(ISNA(VLOOKUP(E6558,#REF!,1,FALSE())),"?TYPE_IDENTIFIABLE","?REFERENTIAL"),"_")))))</f>
        <v> </v>
      </c>
      <c r="H6558" s="25" t="str">
        <f>IF(J6558&lt;&gt;1,"",IF(I6558="SBJ","CB","?"))</f>
        <v> </v>
      </c>
      <c r="I6558" s="26" t="str">
        <f>IF(OR(E6558="",E6558="!!!",F6558="NEW"),"",INDEX(B6557:B$2,-1+SUMPRODUCT(MAX(ROW(E6557:E$2)*(E6558=E6557:E$2)))))</f>
        <v> </v>
      </c>
      <c r="J6558" s="26" t="str">
        <f>IF(OR(E6558="",E6558="!!!",F6558="NEW"),"",COUNTBLANK(OFFSET(A$1,,,SUMPRODUCT(MAX(ROW(E$2:E6558)*(E6558=E$2:E6558)))))-COUNTBLANK(OFFSET(A$1,,,SUMPRODUCT(MAX(ROW(E$1:E6557)*(E2=E$1:E6557))))))</f>
        <v> </v>
      </c>
      <c r="K6558" s="26" t="str">
        <f>IF(OR(E6558="",E6558="!!!",F6558="NEW"),"",INDEX(J$1:J6557,SUMPRODUCT(MAX(ROW(E$1:E6557)*(E6558=E$1:E6557)))))</f>
        <v> </v>
      </c>
      <c r="L6558" s="27"/>
    </row>
    <row r="6559" spans="1:12">
      <c r="A6559" s="20" t="s">
        <v>185</v>
      </c>
      <c r="B6559" s="21" t="s">
        <v>1311</v>
      </c>
      <c r="C6559" s="21" t="s">
        <v>1203</v>
      </c>
      <c r="D6559" s="21" t="s">
        <v>1188</v>
      </c>
      <c r="E6559" s="22">
        <f>IF(D6559="?OLD","!!!","")</f>
        <v/>
      </c>
      <c r="F6559" s="23" t="str">
        <f>IF(OR(E6559="",E6559="!!!"),"",IF(NOT(ISNA(VLOOKUP(E6559,E$1:E6558,1,FALSE()))),"OLD",IF(AND(E6559&lt;&gt;"",E6559&lt;&gt;"!!!"),"NEW","")))</f>
        <v> </v>
      </c>
      <c r="G6559" s="24" t="str">
        <f>IF(OR(E6559="",E6559="!!!"),"",IF(OR(J6559=0,AND(J6559=1,K6559=1),AND(J6559=1,I6559="SBJ"),AND(J6559=1,I6559=0)),"?IN_FOCUS",IF(J6559&lt;=2,"?ACTIVATED",IF(J6559&lt;&gt;"","?FAMILIAR",IF(F6559="NEW",IF(ISNA(VLOOKUP(E6559,#REF!,1,FALSE())),"?TYPE_IDENTIFIABLE","?REFERENTIAL"),"_")))))</f>
        <v> </v>
      </c>
      <c r="H6559" s="25" t="str">
        <f>IF(J6559&lt;&gt;1,"",IF(I6559="SBJ","CB","?"))</f>
        <v> </v>
      </c>
      <c r="I6559" s="26" t="str">
        <f>IF(OR(E6559="",E6559="!!!",F6559="NEW"),"",INDEX(B6558:B$2,-1+SUMPRODUCT(MAX(ROW(E6558:E$2)*(E6559=E6558:E$2)))))</f>
        <v> </v>
      </c>
      <c r="J6559" s="26" t="str">
        <f>IF(OR(E6559="",E6559="!!!",F6559="NEW"),"",COUNTBLANK(OFFSET(A$1,,,SUMPRODUCT(MAX(ROW(E$2:E6559)*(E6559=E$2:E6559)))))-COUNTBLANK(OFFSET(A$1,,,SUMPRODUCT(MAX(ROW(E$1:E6558)*(E2=E$1:E6558))))))</f>
        <v> </v>
      </c>
      <c r="K6559" s="26" t="str">
        <f>IF(OR(E6559="",E6559="!!!",F6559="NEW"),"",INDEX(J$1:J6558,SUMPRODUCT(MAX(ROW(E$1:E6558)*(E6559=E$1:E6558)))))</f>
        <v> </v>
      </c>
      <c r="L6559" s="27"/>
    </row>
    <row r="6560" spans="1:12">
      <c r="A6560" s="20" t="s">
        <v>2400</v>
      </c>
      <c r="E6560" s="22">
        <f>IF(D6560="?OLD","!!!","")</f>
        <v/>
      </c>
      <c r="F6560" s="23" t="str">
        <f>IF(OR(E6560="",E6560="!!!"),"",IF(NOT(ISNA(VLOOKUP(E6560,E$1:E6559,1,FALSE()))),"OLD",IF(AND(E6560&lt;&gt;"",E6560&lt;&gt;"!!!"),"NEW","")))</f>
        <v> </v>
      </c>
      <c r="G6560" s="24" t="str">
        <f>IF(OR(E6560="",E6560="!!!"),"",IF(OR(J6560=0,AND(J6560=1,K6560=1),AND(J6560=1,I6560="SBJ"),AND(J6560=1,I6560=0)),"?IN_FOCUS",IF(J6560&lt;=2,"?ACTIVATED",IF(J6560&lt;&gt;"","?FAMILIAR",IF(F6560="NEW",IF(ISNA(VLOOKUP(E6560,#REF!,1,FALSE())),"?TYPE_IDENTIFIABLE","?REFERENTIAL"),"_")))))</f>
        <v> </v>
      </c>
      <c r="H6560" s="25" t="str">
        <f>IF(J6560&lt;&gt;1,"",IF(I6560="SBJ","CB","?"))</f>
        <v> </v>
      </c>
      <c r="I6560" s="26" t="str">
        <f>IF(OR(E6560="",E6560="!!!",F6560="NEW"),"",INDEX(B6559:B$2,-1+SUMPRODUCT(MAX(ROW(E6559:E$2)*(E6560=E6559:E$2)))))</f>
        <v> </v>
      </c>
      <c r="J6560" s="26" t="str">
        <f>IF(OR(E6560="",E6560="!!!",F6560="NEW"),"",COUNTBLANK(OFFSET(A$1,,,SUMPRODUCT(MAX(ROW(E$2:E6560)*(E6560=E$2:E6560)))))-COUNTBLANK(OFFSET(A$1,,,SUMPRODUCT(MAX(ROW(E$1:E6559)*(E2=E$1:E6559))))))</f>
        <v> </v>
      </c>
      <c r="K6560" s="26" t="str">
        <f>IF(OR(E6560="",E6560="!!!",F6560="NEW"),"",INDEX(J$1:J6559,SUMPRODUCT(MAX(ROW(E$1:E6559)*(E6560=E$1:E6559)))))</f>
        <v> </v>
      </c>
      <c r="L6560" s="27"/>
    </row>
    <row r="6561" spans="1:12">
      <c r="A6561" s="20" t="s">
        <v>1265</v>
      </c>
      <c r="E6561" s="22">
        <f>IF(D6561="?OLD","!!!","")</f>
        <v/>
      </c>
      <c r="F6561" s="23" t="str">
        <f>IF(OR(E6561="",E6561="!!!"),"",IF(NOT(ISNA(VLOOKUP(E6561,E$1:E6560,1,FALSE()))),"OLD",IF(AND(E6561&lt;&gt;"",E6561&lt;&gt;"!!!"),"NEW","")))</f>
        <v> </v>
      </c>
      <c r="G6561" s="24" t="str">
        <f>IF(OR(E6561="",E6561="!!!"),"",IF(OR(J6561=0,AND(J6561=1,K6561=1),AND(J6561=1,I6561="SBJ"),AND(J6561=1,I6561=0)),"?IN_FOCUS",IF(J6561&lt;=2,"?ACTIVATED",IF(J6561&lt;&gt;"","?FAMILIAR",IF(F6561="NEW",IF(ISNA(VLOOKUP(E6561,#REF!,1,FALSE())),"?TYPE_IDENTIFIABLE","?REFERENTIAL"),"_")))))</f>
        <v> </v>
      </c>
      <c r="H6561" s="25" t="str">
        <f>IF(J6561&lt;&gt;1,"",IF(I6561="SBJ","CB","?"))</f>
        <v> </v>
      </c>
      <c r="I6561" s="26" t="str">
        <f>IF(OR(E6561="",E6561="!!!",F6561="NEW"),"",INDEX(B6560:B$2,-1+SUMPRODUCT(MAX(ROW(E6560:E$2)*(E6561=E6560:E$2)))))</f>
        <v> </v>
      </c>
      <c r="J6561" s="26" t="str">
        <f>IF(OR(E6561="",E6561="!!!",F6561="NEW"),"",COUNTBLANK(OFFSET(A$1,,,SUMPRODUCT(MAX(ROW(E$2:E6561)*(E6561=E$2:E6561)))))-COUNTBLANK(OFFSET(A$1,,,SUMPRODUCT(MAX(ROW(E$1:E6560)*(E2=E$1:E6560))))))</f>
        <v> </v>
      </c>
      <c r="K6561" s="26" t="str">
        <f>IF(OR(E6561="",E6561="!!!",F6561="NEW"),"",INDEX(J$1:J6560,SUMPRODUCT(MAX(ROW(E$1:E6560)*(E6561=E$1:E6560)))))</f>
        <v> </v>
      </c>
      <c r="L6561" s="27"/>
    </row>
    <row r="6562" spans="1:12">
      <c r="A6562" s="20" t="s">
        <v>1193</v>
      </c>
      <c r="E6562" s="22">
        <f>IF(D6562="?OLD","!!!","")</f>
        <v/>
      </c>
      <c r="F6562" s="23" t="str">
        <f>IF(OR(E6562="",E6562="!!!"),"",IF(NOT(ISNA(VLOOKUP(E6562,E$1:E6561,1,FALSE()))),"OLD",IF(AND(E6562&lt;&gt;"",E6562&lt;&gt;"!!!"),"NEW","")))</f>
        <v> </v>
      </c>
      <c r="G6562" s="24" t="str">
        <f>IF(OR(E6562="",E6562="!!!"),"",IF(OR(J6562=0,AND(J6562=1,K6562=1),AND(J6562=1,I6562="SBJ"),AND(J6562=1,I6562=0)),"?IN_FOCUS",IF(J6562&lt;=2,"?ACTIVATED",IF(J6562&lt;&gt;"","?FAMILIAR",IF(F6562="NEW",IF(ISNA(VLOOKUP(E6562,#REF!,1,FALSE())),"?TYPE_IDENTIFIABLE","?REFERENTIAL"),"_")))))</f>
        <v> </v>
      </c>
      <c r="H6562" s="25" t="str">
        <f>IF(J6562&lt;&gt;1,"",IF(I6562="SBJ","CB","?"))</f>
        <v> </v>
      </c>
      <c r="I6562" s="26" t="str">
        <f>IF(OR(E6562="",E6562="!!!",F6562="NEW"),"",INDEX(B6561:B$2,-1+SUMPRODUCT(MAX(ROW(E6561:E$2)*(E6562=E6561:E$2)))))</f>
        <v> </v>
      </c>
      <c r="J6562" s="26" t="str">
        <f>IF(OR(E6562="",E6562="!!!",F6562="NEW"),"",COUNTBLANK(OFFSET(A$1,,,SUMPRODUCT(MAX(ROW(E$2:E6562)*(E6562=E$2:E6562)))))-COUNTBLANK(OFFSET(A$1,,,SUMPRODUCT(MAX(ROW(E$1:E6561)*(E2=E$1:E6561))))))</f>
        <v> </v>
      </c>
      <c r="K6562" s="26" t="str">
        <f>IF(OR(E6562="",E6562="!!!",F6562="NEW"),"",INDEX(J$1:J6561,SUMPRODUCT(MAX(ROW(E$1:E6561)*(E6562=E$1:E6561)))))</f>
        <v> </v>
      </c>
      <c r="L6562" s="27"/>
    </row>
    <row r="6563" spans="1:12">
      <c r="A6563" s="20" t="s">
        <v>1709</v>
      </c>
      <c r="E6563" s="22">
        <f>IF(D6563="?OLD","!!!","")</f>
        <v/>
      </c>
      <c r="F6563" s="23" t="str">
        <f>IF(OR(E6563="",E6563="!!!"),"",IF(NOT(ISNA(VLOOKUP(E6563,E$1:E6562,1,FALSE()))),"OLD",IF(AND(E6563&lt;&gt;"",E6563&lt;&gt;"!!!"),"NEW","")))</f>
        <v> </v>
      </c>
      <c r="G6563" s="24" t="str">
        <f>IF(OR(E6563="",E6563="!!!"),"",IF(OR(J6563=0,AND(J6563=1,K6563=1),AND(J6563=1,I6563="SBJ"),AND(J6563=1,I6563=0)),"?IN_FOCUS",IF(J6563&lt;=2,"?ACTIVATED",IF(J6563&lt;&gt;"","?FAMILIAR",IF(F6563="NEW",IF(ISNA(VLOOKUP(E6563,#REF!,1,FALSE())),"?TYPE_IDENTIFIABLE","?REFERENTIAL"),"_")))))</f>
        <v> </v>
      </c>
      <c r="H6563" s="25" t="str">
        <f>IF(J6563&lt;&gt;1,"",IF(I6563="SBJ","CB","?"))</f>
        <v> </v>
      </c>
      <c r="I6563" s="26" t="str">
        <f>IF(OR(E6563="",E6563="!!!",F6563="NEW"),"",INDEX(B6562:B$2,-1+SUMPRODUCT(MAX(ROW(E6562:E$2)*(E6563=E6562:E$2)))))</f>
        <v> </v>
      </c>
      <c r="J6563" s="26" t="str">
        <f>IF(OR(E6563="",E6563="!!!",F6563="NEW"),"",COUNTBLANK(OFFSET(A$1,,,SUMPRODUCT(MAX(ROW(E$2:E6563)*(E6563=E$2:E6563)))))-COUNTBLANK(OFFSET(A$1,,,SUMPRODUCT(MAX(ROW(E$1:E6562)*(E2=E$1:E6562))))))</f>
        <v> </v>
      </c>
      <c r="K6563" s="26" t="str">
        <f>IF(OR(E6563="",E6563="!!!",F6563="NEW"),"",INDEX(J$1:J6562,SUMPRODUCT(MAX(ROW(E$1:E6562)*(E6563=E$1:E6562)))))</f>
        <v> </v>
      </c>
      <c r="L6563" s="27"/>
    </row>
    <row r="6564" spans="1:12">
      <c r="A6564" s="20" t="s">
        <v>1302</v>
      </c>
      <c r="E6564" s="22">
        <f>IF(D6564="?OLD","!!!","")</f>
        <v/>
      </c>
      <c r="F6564" s="23" t="str">
        <f>IF(OR(E6564="",E6564="!!!"),"",IF(NOT(ISNA(VLOOKUP(E6564,E$1:E6563,1,FALSE()))),"OLD",IF(AND(E6564&lt;&gt;"",E6564&lt;&gt;"!!!"),"NEW","")))</f>
        <v> </v>
      </c>
      <c r="G6564" s="24" t="str">
        <f>IF(OR(E6564="",E6564="!!!"),"",IF(OR(J6564=0,AND(J6564=1,K6564=1),AND(J6564=1,I6564="SBJ"),AND(J6564=1,I6564=0)),"?IN_FOCUS",IF(J6564&lt;=2,"?ACTIVATED",IF(J6564&lt;&gt;"","?FAMILIAR",IF(F6564="NEW",IF(ISNA(VLOOKUP(E6564,#REF!,1,FALSE())),"?TYPE_IDENTIFIABLE","?REFERENTIAL"),"_")))))</f>
        <v> </v>
      </c>
      <c r="H6564" s="25" t="str">
        <f>IF(J6564&lt;&gt;1,"",IF(I6564="SBJ","CB","?"))</f>
        <v> </v>
      </c>
      <c r="I6564" s="26" t="str">
        <f>IF(OR(E6564="",E6564="!!!",F6564="NEW"),"",INDEX(B6563:B$2,-1+SUMPRODUCT(MAX(ROW(E6563:E$2)*(E6564=E6563:E$2)))))</f>
        <v> </v>
      </c>
      <c r="J6564" s="26" t="str">
        <f>IF(OR(E6564="",E6564="!!!",F6564="NEW"),"",COUNTBLANK(OFFSET(A$1,,,SUMPRODUCT(MAX(ROW(E$2:E6564)*(E6564=E$2:E6564)))))-COUNTBLANK(OFFSET(A$1,,,SUMPRODUCT(MAX(ROW(E$1:E6563)*(E2=E$1:E6563))))))</f>
        <v> </v>
      </c>
      <c r="K6564" s="26" t="str">
        <f>IF(OR(E6564="",E6564="!!!",F6564="NEW"),"",INDEX(J$1:J6563,SUMPRODUCT(MAX(ROW(E$1:E6563)*(E6564=E$1:E6563)))))</f>
        <v> </v>
      </c>
      <c r="L6564" s="27"/>
    </row>
    <row r="6565" spans="1:12">
      <c r="A6565" s="20" t="s">
        <v>1573</v>
      </c>
      <c r="E6565" s="22">
        <f>IF(D6565="?OLD","!!!","")</f>
        <v/>
      </c>
      <c r="F6565" s="23" t="str">
        <f>IF(OR(E6565="",E6565="!!!"),"",IF(NOT(ISNA(VLOOKUP(E6565,E$1:E6564,1,FALSE()))),"OLD",IF(AND(E6565&lt;&gt;"",E6565&lt;&gt;"!!!"),"NEW","")))</f>
        <v> </v>
      </c>
      <c r="G6565" s="24" t="str">
        <f>IF(OR(E6565="",E6565="!!!"),"",IF(OR(J6565=0,AND(J6565=1,K6565=1),AND(J6565=1,I6565="SBJ"),AND(J6565=1,I6565=0)),"?IN_FOCUS",IF(J6565&lt;=2,"?ACTIVATED",IF(J6565&lt;&gt;"","?FAMILIAR",IF(F6565="NEW",IF(ISNA(VLOOKUP(E6565,#REF!,1,FALSE())),"?TYPE_IDENTIFIABLE","?REFERENTIAL"),"_")))))</f>
        <v> </v>
      </c>
      <c r="H6565" s="25" t="str">
        <f>IF(J6565&lt;&gt;1,"",IF(I6565="SBJ","CB","?"))</f>
        <v> </v>
      </c>
      <c r="I6565" s="26" t="str">
        <f>IF(OR(E6565="",E6565="!!!",F6565="NEW"),"",INDEX(B6564:B$2,-1+SUMPRODUCT(MAX(ROW(E6564:E$2)*(E6565=E6564:E$2)))))</f>
        <v> </v>
      </c>
      <c r="J6565" s="26" t="str">
        <f>IF(OR(E6565="",E6565="!!!",F6565="NEW"),"",COUNTBLANK(OFFSET(A$1,,,SUMPRODUCT(MAX(ROW(E$2:E6565)*(E6565=E$2:E6565)))))-COUNTBLANK(OFFSET(A$1,,,SUMPRODUCT(MAX(ROW(E$1:E6564)*(E2=E$1:E6564))))))</f>
        <v> </v>
      </c>
      <c r="K6565" s="26" t="str">
        <f>IF(OR(E6565="",E6565="!!!",F6565="NEW"),"",INDEX(J$1:J6564,SUMPRODUCT(MAX(ROW(E$1:E6564)*(E6565=E$1:E6564)))))</f>
        <v> </v>
      </c>
      <c r="L6565" s="27"/>
    </row>
    <row r="6566" spans="1:12">
      <c r="A6566" s="20" t="s">
        <v>2934</v>
      </c>
      <c r="E6566" s="22">
        <f>IF(D6566="?OLD","!!!","")</f>
        <v/>
      </c>
      <c r="F6566" s="23" t="str">
        <f>IF(OR(E6566="",E6566="!!!"),"",IF(NOT(ISNA(VLOOKUP(E6566,E$1:E6565,1,FALSE()))),"OLD",IF(AND(E6566&lt;&gt;"",E6566&lt;&gt;"!!!"),"NEW","")))</f>
        <v> </v>
      </c>
      <c r="G6566" s="24" t="str">
        <f>IF(OR(E6566="",E6566="!!!"),"",IF(OR(J6566=0,AND(J6566=1,K6566=1),AND(J6566=1,I6566="SBJ"),AND(J6566=1,I6566=0)),"?IN_FOCUS",IF(J6566&lt;=2,"?ACTIVATED",IF(J6566&lt;&gt;"","?FAMILIAR",IF(F6566="NEW",IF(ISNA(VLOOKUP(E6566,#REF!,1,FALSE())),"?TYPE_IDENTIFIABLE","?REFERENTIAL"),"_")))))</f>
        <v> </v>
      </c>
      <c r="H6566" s="25" t="str">
        <f>IF(J6566&lt;&gt;1,"",IF(I6566="SBJ","CB","?"))</f>
        <v> </v>
      </c>
      <c r="I6566" s="26" t="str">
        <f>IF(OR(E6566="",E6566="!!!",F6566="NEW"),"",INDEX(B6565:B$2,-1+SUMPRODUCT(MAX(ROW(E6565:E$2)*(E6566=E6565:E$2)))))</f>
        <v> </v>
      </c>
      <c r="J6566" s="26" t="str">
        <f>IF(OR(E6566="",E6566="!!!",F6566="NEW"),"",COUNTBLANK(OFFSET(A$1,,,SUMPRODUCT(MAX(ROW(E$2:E6566)*(E6566=E$2:E6566)))))-COUNTBLANK(OFFSET(A$1,,,SUMPRODUCT(MAX(ROW(E$1:E6565)*(E2=E$1:E6565))))))</f>
        <v> </v>
      </c>
      <c r="K6566" s="26" t="str">
        <f>IF(OR(E6566="",E6566="!!!",F6566="NEW"),"",INDEX(J$1:J6565,SUMPRODUCT(MAX(ROW(E$1:E6565)*(E6566=E$1:E6565)))))</f>
        <v> </v>
      </c>
      <c r="L6566" s="27"/>
    </row>
    <row r="6567" spans="1:12">
      <c r="A6567" s="20" t="s">
        <v>1337</v>
      </c>
      <c r="E6567" s="22">
        <f>IF(D6567="?OLD","!!!","")</f>
        <v/>
      </c>
      <c r="F6567" s="23" t="str">
        <f>IF(OR(E6567="",E6567="!!!"),"",IF(NOT(ISNA(VLOOKUP(E6567,E$1:E6566,1,FALSE()))),"OLD",IF(AND(E6567&lt;&gt;"",E6567&lt;&gt;"!!!"),"NEW","")))</f>
        <v> </v>
      </c>
      <c r="G6567" s="24" t="str">
        <f>IF(OR(E6567="",E6567="!!!"),"",IF(OR(J6567=0,AND(J6567=1,K6567=1),AND(J6567=1,I6567="SBJ"),AND(J6567=1,I6567=0)),"?IN_FOCUS",IF(J6567&lt;=2,"?ACTIVATED",IF(J6567&lt;&gt;"","?FAMILIAR",IF(F6567="NEW",IF(ISNA(VLOOKUP(E6567,#REF!,1,FALSE())),"?TYPE_IDENTIFIABLE","?REFERENTIAL"),"_")))))</f>
        <v> </v>
      </c>
      <c r="H6567" s="25" t="str">
        <f>IF(J6567&lt;&gt;1,"",IF(I6567="SBJ","CB","?"))</f>
        <v> </v>
      </c>
      <c r="I6567" s="26" t="str">
        <f>IF(OR(E6567="",E6567="!!!",F6567="NEW"),"",INDEX(B6566:B$2,-1+SUMPRODUCT(MAX(ROW(E6566:E$2)*(E6567=E6566:E$2)))))</f>
        <v> </v>
      </c>
      <c r="J6567" s="26" t="str">
        <f>IF(OR(E6567="",E6567="!!!",F6567="NEW"),"",COUNTBLANK(OFFSET(A$1,,,SUMPRODUCT(MAX(ROW(E$2:E6567)*(E6567=E$2:E6567)))))-COUNTBLANK(OFFSET(A$1,,,SUMPRODUCT(MAX(ROW(E$1:E6566)*(E2=E$1:E6566))))))</f>
        <v> </v>
      </c>
      <c r="K6567" s="26" t="str">
        <f>IF(OR(E6567="",E6567="!!!",F6567="NEW"),"",INDEX(J$1:J6566,SUMPRODUCT(MAX(ROW(E$1:E6566)*(E6567=E$1:E6566)))))</f>
        <v> </v>
      </c>
      <c r="L6567" s="27"/>
    </row>
    <row r="6568" spans="1:12">
      <c r="A6568" s="20" t="s">
        <v>670</v>
      </c>
      <c r="E6568" s="22">
        <f>IF(D6568="?OLD","!!!","")</f>
        <v/>
      </c>
      <c r="F6568" s="23" t="str">
        <f>IF(OR(E6568="",E6568="!!!"),"",IF(NOT(ISNA(VLOOKUP(E6568,E$1:E6567,1,FALSE()))),"OLD",IF(AND(E6568&lt;&gt;"",E6568&lt;&gt;"!!!"),"NEW","")))</f>
        <v> </v>
      </c>
      <c r="G6568" s="24" t="str">
        <f>IF(OR(E6568="",E6568="!!!"),"",IF(OR(J6568=0,AND(J6568=1,K6568=1),AND(J6568=1,I6568="SBJ"),AND(J6568=1,I6568=0)),"?IN_FOCUS",IF(J6568&lt;=2,"?ACTIVATED",IF(J6568&lt;&gt;"","?FAMILIAR",IF(F6568="NEW",IF(ISNA(VLOOKUP(E6568,#REF!,1,FALSE())),"?TYPE_IDENTIFIABLE","?REFERENTIAL"),"_")))))</f>
        <v> </v>
      </c>
      <c r="H6568" s="25" t="str">
        <f>IF(J6568&lt;&gt;1,"",IF(I6568="SBJ","CB","?"))</f>
        <v> </v>
      </c>
      <c r="I6568" s="26" t="str">
        <f>IF(OR(E6568="",E6568="!!!",F6568="NEW"),"",INDEX(B6567:B$2,-1+SUMPRODUCT(MAX(ROW(E6567:E$2)*(E6568=E6567:E$2)))))</f>
        <v> </v>
      </c>
      <c r="J6568" s="26" t="str">
        <f>IF(OR(E6568="",E6568="!!!",F6568="NEW"),"",COUNTBLANK(OFFSET(A$1,,,SUMPRODUCT(MAX(ROW(E$2:E6568)*(E6568=E$2:E6568)))))-COUNTBLANK(OFFSET(A$1,,,SUMPRODUCT(MAX(ROW(E$1:E6567)*(E2=E$1:E6567))))))</f>
        <v> </v>
      </c>
      <c r="K6568" s="26" t="str">
        <f>IF(OR(E6568="",E6568="!!!",F6568="NEW"),"",INDEX(J$1:J6567,SUMPRODUCT(MAX(ROW(E$1:E6567)*(E6568=E$1:E6567)))))</f>
        <v> </v>
      </c>
      <c r="L6568" s="27"/>
    </row>
    <row r="6569" spans="1:12">
      <c r="A6569" s="20" t="s">
        <v>1257</v>
      </c>
      <c r="E6569" s="22">
        <f>IF(D6569="?OLD","!!!","")</f>
        <v/>
      </c>
      <c r="F6569" s="23" t="str">
        <f>IF(OR(E6569="",E6569="!!!"),"",IF(NOT(ISNA(VLOOKUP(E6569,E$1:E6568,1,FALSE()))),"OLD",IF(AND(E6569&lt;&gt;"",E6569&lt;&gt;"!!!"),"NEW","")))</f>
        <v> </v>
      </c>
      <c r="G6569" s="24" t="str">
        <f>IF(OR(E6569="",E6569="!!!"),"",IF(OR(J6569=0,AND(J6569=1,K6569=1),AND(J6569=1,I6569="SBJ"),AND(J6569=1,I6569=0)),"?IN_FOCUS",IF(J6569&lt;=2,"?ACTIVATED",IF(J6569&lt;&gt;"","?FAMILIAR",IF(F6569="NEW",IF(ISNA(VLOOKUP(E6569,#REF!,1,FALSE())),"?TYPE_IDENTIFIABLE","?REFERENTIAL"),"_")))))</f>
        <v> </v>
      </c>
      <c r="H6569" s="25" t="str">
        <f>IF(J6569&lt;&gt;1,"",IF(I6569="SBJ","CB","?"))</f>
        <v> </v>
      </c>
      <c r="I6569" s="26" t="str">
        <f>IF(OR(E6569="",E6569="!!!",F6569="NEW"),"",INDEX(B6568:B$2,-1+SUMPRODUCT(MAX(ROW(E6568:E$2)*(E6569=E6568:E$2)))))</f>
        <v> </v>
      </c>
      <c r="J6569" s="26" t="str">
        <f>IF(OR(E6569="",E6569="!!!",F6569="NEW"),"",COUNTBLANK(OFFSET(A$1,,,SUMPRODUCT(MAX(ROW(E$2:E6569)*(E6569=E$2:E6569)))))-COUNTBLANK(OFFSET(A$1,,,SUMPRODUCT(MAX(ROW(E$1:E6568)*(E2=E$1:E6568))))))</f>
        <v> </v>
      </c>
      <c r="K6569" s="26" t="str">
        <f>IF(OR(E6569="",E6569="!!!",F6569="NEW"),"",INDEX(J$1:J6568,SUMPRODUCT(MAX(ROW(E$1:E6568)*(E6569=E$1:E6568)))))</f>
        <v> </v>
      </c>
      <c r="L6569" s="27"/>
    </row>
    <row r="6570" spans="1:12">
      <c r="A6570" s="20"/>
    </row>
    <row r="6571" spans="1:12">
      <c r="A6571" s="20" t="s">
        <v>2935</v>
      </c>
    </row>
    <row r="6572" spans="1:12">
      <c r="A6572" s="20" t="s">
        <v>1294</v>
      </c>
      <c r="E6572" s="22">
        <f>IF(D6572="?OLD","!!!","")</f>
        <v/>
      </c>
      <c r="F6572" s="23" t="str">
        <f>IF(OR(E6572="",E6572="!!!"),"",IF(NOT(ISNA(VLOOKUP(E6572,E$1:E6571,1,FALSE()))),"OLD",IF(AND(E6572&lt;&gt;"",E6572&lt;&gt;"!!!"),"NEW","")))</f>
        <v> </v>
      </c>
      <c r="G6572" s="24" t="str">
        <f>IF(OR(E6572="",E6572="!!!"),"",IF(OR(J6572=0,AND(J6572=1,K6572=1),AND(J6572=1,I6572="SBJ"),AND(J6572=1,I6572=0)),"?IN_FOCUS",IF(J6572&lt;=2,"?ACTIVATED",IF(J6572&lt;&gt;"","?FAMILIAR",IF(F6572="NEW",IF(ISNA(VLOOKUP(E6572,#REF!,1,FALSE())),"?TYPE_IDENTIFIABLE","?REFERENTIAL"),"_")))))</f>
        <v> </v>
      </c>
      <c r="H6572" s="25" t="str">
        <f>IF(J6572&lt;&gt;1,"",IF(I6572="SBJ","CB","?"))</f>
        <v> </v>
      </c>
      <c r="I6572" s="26" t="str">
        <f>IF(OR(E6572="",E6572="!!!",F6572="NEW"),"",INDEX(B6571:B$2,-1+SUMPRODUCT(MAX(ROW(E6571:E$2)*(E6572=E6571:E$2)))))</f>
        <v> </v>
      </c>
      <c r="J6572" s="26" t="str">
        <f>IF(OR(E6572="",E6572="!!!",F6572="NEW"),"",COUNTBLANK(OFFSET(A$1,,,SUMPRODUCT(MAX(ROW(E$2:E6572)*(E6572=E$2:E6572)))))-COUNTBLANK(OFFSET(A$1,,,SUMPRODUCT(MAX(ROW(E$1:E6571)*(E2=E$1:E6571))))))</f>
        <v> </v>
      </c>
      <c r="K6572" s="26" t="str">
        <f>IF(OR(E6572="",E6572="!!!",F6572="NEW"),"",INDEX(J$1:J6571,SUMPRODUCT(MAX(ROW(E$1:E6571)*(E6572=E$1:E6571)))))</f>
        <v> </v>
      </c>
      <c r="L6572" s="27"/>
    </row>
    <row r="6573" spans="1:12">
      <c r="A6573" s="20" t="s">
        <v>1190</v>
      </c>
      <c r="E6573" s="22">
        <f>IF(D6573="?OLD","!!!","")</f>
        <v/>
      </c>
      <c r="F6573" s="23" t="str">
        <f>IF(OR(E6573="",E6573="!!!"),"",IF(NOT(ISNA(VLOOKUP(E6573,E$1:E6572,1,FALSE()))),"OLD",IF(AND(E6573&lt;&gt;"",E6573&lt;&gt;"!!!"),"NEW","")))</f>
        <v> </v>
      </c>
      <c r="G6573" s="24" t="str">
        <f>IF(OR(E6573="",E6573="!!!"),"",IF(OR(J6573=0,AND(J6573=1,K6573=1),AND(J6573=1,I6573="SBJ"),AND(J6573=1,I6573=0)),"?IN_FOCUS",IF(J6573&lt;=2,"?ACTIVATED",IF(J6573&lt;&gt;"","?FAMILIAR",IF(F6573="NEW",IF(ISNA(VLOOKUP(E6573,#REF!,1,FALSE())),"?TYPE_IDENTIFIABLE","?REFERENTIAL"),"_")))))</f>
        <v> </v>
      </c>
      <c r="H6573" s="25" t="str">
        <f>IF(J6573&lt;&gt;1,"",IF(I6573="SBJ","CB","?"))</f>
        <v> </v>
      </c>
      <c r="I6573" s="26" t="str">
        <f>IF(OR(E6573="",E6573="!!!",F6573="NEW"),"",INDEX(B6572:B$2,-1+SUMPRODUCT(MAX(ROW(E6572:E$2)*(E6573=E6572:E$2)))))</f>
        <v> </v>
      </c>
      <c r="J6573" s="26" t="str">
        <f>IF(OR(E6573="",E6573="!!!",F6573="NEW"),"",COUNTBLANK(OFFSET(A$1,,,SUMPRODUCT(MAX(ROW(E$2:E6573)*(E6573=E$2:E6573)))))-COUNTBLANK(OFFSET(A$1,,,SUMPRODUCT(MAX(ROW(E$1:E6572)*(E2=E$1:E6572))))))</f>
        <v> </v>
      </c>
      <c r="K6573" s="26" t="str">
        <f>IF(OR(E6573="",E6573="!!!",F6573="NEW"),"",INDEX(J$1:J6572,SUMPRODUCT(MAX(ROW(E$1:E6572)*(E6573=E$1:E6572)))))</f>
        <v> </v>
      </c>
      <c r="L6573" s="27"/>
    </row>
    <row r="6574" spans="1:12">
      <c r="A6574" s="20" t="s">
        <v>1201</v>
      </c>
      <c r="B6574" s="21" t="s">
        <v>1202</v>
      </c>
      <c r="C6574" s="21" t="s">
        <v>1203</v>
      </c>
      <c r="D6574" s="21" t="s">
        <v>1188</v>
      </c>
      <c r="E6574" s="22">
        <f>IF(D6574="?OLD","!!!","")</f>
        <v/>
      </c>
      <c r="F6574" s="23" t="str">
        <f>IF(OR(E6574="",E6574="!!!"),"",IF(NOT(ISNA(VLOOKUP(E6574,E$1:E6573,1,FALSE()))),"OLD",IF(AND(E6574&lt;&gt;"",E6574&lt;&gt;"!!!"),"NEW","")))</f>
        <v> </v>
      </c>
      <c r="G6574" s="24" t="str">
        <f>IF(OR(E6574="",E6574="!!!"),"",IF(OR(J6574=0,AND(J6574=1,K6574=1),AND(J6574=1,I6574="SBJ"),AND(J6574=1,I6574=0)),"?IN_FOCUS",IF(J6574&lt;=2,"?ACTIVATED",IF(J6574&lt;&gt;"","?FAMILIAR",IF(F6574="NEW",IF(ISNA(VLOOKUP(E6574,#REF!,1,FALSE())),"?TYPE_IDENTIFIABLE","?REFERENTIAL"),"_")))))</f>
        <v> </v>
      </c>
      <c r="H6574" s="25" t="str">
        <f>IF(J6574&lt;&gt;1,"",IF(I6574="SBJ","CB","?"))</f>
        <v> </v>
      </c>
      <c r="I6574" s="26" t="str">
        <f>IF(OR(E6574="",E6574="!!!",F6574="NEW"),"",INDEX(B6573:B$2,-1+SUMPRODUCT(MAX(ROW(E6573:E$2)*(E6574=E6573:E$2)))))</f>
        <v> </v>
      </c>
      <c r="J6574" s="26" t="str">
        <f>IF(OR(E6574="",E6574="!!!",F6574="NEW"),"",COUNTBLANK(OFFSET(A$1,,,SUMPRODUCT(MAX(ROW(E$2:E6574)*(E6574=E$2:E6574)))))-COUNTBLANK(OFFSET(A$1,,,SUMPRODUCT(MAX(ROW(E$1:E6573)*(E2=E$1:E6573))))))</f>
        <v> </v>
      </c>
      <c r="K6574" s="26" t="str">
        <f>IF(OR(E6574="",E6574="!!!",F6574="NEW"),"",INDEX(J$1:J6573,SUMPRODUCT(MAX(ROW(E$1:E6573)*(E6574=E$1:E6573)))))</f>
        <v> </v>
      </c>
      <c r="L6574" s="27"/>
    </row>
    <row r="6575" spans="1:12">
      <c r="A6575" s="20" t="s">
        <v>1372</v>
      </c>
      <c r="E6575" s="22">
        <f>IF(D6575="?OLD","!!!","")</f>
        <v/>
      </c>
      <c r="F6575" s="23" t="str">
        <f>IF(OR(E6575="",E6575="!!!"),"",IF(NOT(ISNA(VLOOKUP(E6575,E$1:E6574,1,FALSE()))),"OLD",IF(AND(E6575&lt;&gt;"",E6575&lt;&gt;"!!!"),"NEW","")))</f>
        <v> </v>
      </c>
      <c r="G6575" s="24" t="str">
        <f>IF(OR(E6575="",E6575="!!!"),"",IF(OR(J6575=0,AND(J6575=1,K6575=1),AND(J6575=1,I6575="SBJ"),AND(J6575=1,I6575=0)),"?IN_FOCUS",IF(J6575&lt;=2,"?ACTIVATED",IF(J6575&lt;&gt;"","?FAMILIAR",IF(F6575="NEW",IF(ISNA(VLOOKUP(E6575,#REF!,1,FALSE())),"?TYPE_IDENTIFIABLE","?REFERENTIAL"),"_")))))</f>
        <v> </v>
      </c>
      <c r="H6575" s="25" t="str">
        <f>IF(J6575&lt;&gt;1,"",IF(I6575="SBJ","CB","?"))</f>
        <v> </v>
      </c>
      <c r="I6575" s="26" t="str">
        <f>IF(OR(E6575="",E6575="!!!",F6575="NEW"),"",INDEX(B6574:B$2,-1+SUMPRODUCT(MAX(ROW(E6574:E$2)*(E6575=E6574:E$2)))))</f>
        <v> </v>
      </c>
      <c r="J6575" s="26" t="str">
        <f>IF(OR(E6575="",E6575="!!!",F6575="NEW"),"",COUNTBLANK(OFFSET(A$1,,,SUMPRODUCT(MAX(ROW(E$2:E6575)*(E6575=E$2:E6575)))))-COUNTBLANK(OFFSET(A$1,,,SUMPRODUCT(MAX(ROW(E$1:E6574)*(E2=E$1:E6574))))))</f>
        <v> </v>
      </c>
      <c r="K6575" s="26" t="str">
        <f>IF(OR(E6575="",E6575="!!!",F6575="NEW"),"",INDEX(J$1:J6574,SUMPRODUCT(MAX(ROW(E$1:E6574)*(E6575=E$1:E6574)))))</f>
        <v> </v>
      </c>
      <c r="L6575" s="27"/>
    </row>
    <row r="6576" spans="1:12">
      <c r="A6576" s="20" t="s">
        <v>96</v>
      </c>
      <c r="E6576" s="22">
        <f>IF(D6576="?OLD","!!!","")</f>
        <v/>
      </c>
      <c r="F6576" s="23" t="str">
        <f>IF(OR(E6576="",E6576="!!!"),"",IF(NOT(ISNA(VLOOKUP(E6576,E$1:E6575,1,FALSE()))),"OLD",IF(AND(E6576&lt;&gt;"",E6576&lt;&gt;"!!!"),"NEW","")))</f>
        <v> </v>
      </c>
      <c r="G6576" s="24" t="str">
        <f>IF(OR(E6576="",E6576="!!!"),"",IF(OR(J6576=0,AND(J6576=1,K6576=1),AND(J6576=1,I6576="SBJ"),AND(J6576=1,I6576=0)),"?IN_FOCUS",IF(J6576&lt;=2,"?ACTIVATED",IF(J6576&lt;&gt;"","?FAMILIAR",IF(F6576="NEW",IF(ISNA(VLOOKUP(E6576,#REF!,1,FALSE())),"?TYPE_IDENTIFIABLE","?REFERENTIAL"),"_")))))</f>
        <v> </v>
      </c>
      <c r="H6576" s="25" t="str">
        <f>IF(J6576&lt;&gt;1,"",IF(I6576="SBJ","CB","?"))</f>
        <v> </v>
      </c>
      <c r="I6576" s="26" t="str">
        <f>IF(OR(E6576="",E6576="!!!",F6576="NEW"),"",INDEX(B6575:B$2,-1+SUMPRODUCT(MAX(ROW(E6575:E$2)*(E6576=E6575:E$2)))))</f>
        <v> </v>
      </c>
      <c r="J6576" s="26" t="str">
        <f>IF(OR(E6576="",E6576="!!!",F6576="NEW"),"",COUNTBLANK(OFFSET(A$1,,,SUMPRODUCT(MAX(ROW(E$2:E6576)*(E6576=E$2:E6576)))))-COUNTBLANK(OFFSET(A$1,,,SUMPRODUCT(MAX(ROW(E$1:E6575)*(E2=E$1:E6575))))))</f>
        <v> </v>
      </c>
      <c r="K6576" s="26" t="str">
        <f>IF(OR(E6576="",E6576="!!!",F6576="NEW"),"",INDEX(J$1:J6575,SUMPRODUCT(MAX(ROW(E$1:E6575)*(E6576=E$1:E6575)))))</f>
        <v> </v>
      </c>
      <c r="L6576" s="27"/>
    </row>
    <row r="6577" spans="1:12">
      <c r="A6577" s="20" t="s">
        <v>1193</v>
      </c>
      <c r="E6577" s="22">
        <f>IF(D6577="?OLD","!!!","")</f>
        <v/>
      </c>
      <c r="F6577" s="23" t="str">
        <f>IF(OR(E6577="",E6577="!!!"),"",IF(NOT(ISNA(VLOOKUP(E6577,E$1:E6576,1,FALSE()))),"OLD",IF(AND(E6577&lt;&gt;"",E6577&lt;&gt;"!!!"),"NEW","")))</f>
        <v> </v>
      </c>
      <c r="G6577" s="24" t="str">
        <f>IF(OR(E6577="",E6577="!!!"),"",IF(OR(J6577=0,AND(J6577=1,K6577=1),AND(J6577=1,I6577="SBJ"),AND(J6577=1,I6577=0)),"?IN_FOCUS",IF(J6577&lt;=2,"?ACTIVATED",IF(J6577&lt;&gt;"","?FAMILIAR",IF(F6577="NEW",IF(ISNA(VLOOKUP(E6577,#REF!,1,FALSE())),"?TYPE_IDENTIFIABLE","?REFERENTIAL"),"_")))))</f>
        <v> </v>
      </c>
      <c r="H6577" s="25" t="str">
        <f>IF(J6577&lt;&gt;1,"",IF(I6577="SBJ","CB","?"))</f>
        <v> </v>
      </c>
      <c r="I6577" s="26" t="str">
        <f>IF(OR(E6577="",E6577="!!!",F6577="NEW"),"",INDEX(B6576:B$2,-1+SUMPRODUCT(MAX(ROW(E6576:E$2)*(E6577=E6576:E$2)))))</f>
        <v> </v>
      </c>
      <c r="J6577" s="26" t="str">
        <f>IF(OR(E6577="",E6577="!!!",F6577="NEW"),"",COUNTBLANK(OFFSET(A$1,,,SUMPRODUCT(MAX(ROW(E$2:E6577)*(E6577=E$2:E6577)))))-COUNTBLANK(OFFSET(A$1,,,SUMPRODUCT(MAX(ROW(E$1:E6576)*(E2=E$1:E6576))))))</f>
        <v> </v>
      </c>
      <c r="K6577" s="26" t="str">
        <f>IF(OR(E6577="",E6577="!!!",F6577="NEW"),"",INDEX(J$1:J6576,SUMPRODUCT(MAX(ROW(E$1:E6576)*(E6577=E$1:E6576)))))</f>
        <v> </v>
      </c>
      <c r="L6577" s="27"/>
    </row>
    <row r="6578" spans="1:12">
      <c r="A6578" s="20" t="s">
        <v>1366</v>
      </c>
      <c r="E6578" s="22">
        <f>IF(D6578="?OLD","!!!","")</f>
        <v/>
      </c>
      <c r="F6578" s="23" t="str">
        <f>IF(OR(E6578="",E6578="!!!"),"",IF(NOT(ISNA(VLOOKUP(E6578,E$1:E6577,1,FALSE()))),"OLD",IF(AND(E6578&lt;&gt;"",E6578&lt;&gt;"!!!"),"NEW","")))</f>
        <v> </v>
      </c>
      <c r="G6578" s="24" t="str">
        <f>IF(OR(E6578="",E6578="!!!"),"",IF(OR(J6578=0,AND(J6578=1,K6578=1),AND(J6578=1,I6578="SBJ"),AND(J6578=1,I6578=0)),"?IN_FOCUS",IF(J6578&lt;=2,"?ACTIVATED",IF(J6578&lt;&gt;"","?FAMILIAR",IF(F6578="NEW",IF(ISNA(VLOOKUP(E6578,#REF!,1,FALSE())),"?TYPE_IDENTIFIABLE","?REFERENTIAL"),"_")))))</f>
        <v> </v>
      </c>
      <c r="H6578" s="25" t="str">
        <f>IF(J6578&lt;&gt;1,"",IF(I6578="SBJ","CB","?"))</f>
        <v> </v>
      </c>
      <c r="I6578" s="26" t="str">
        <f>IF(OR(E6578="",E6578="!!!",F6578="NEW"),"",INDEX(B6577:B$2,-1+SUMPRODUCT(MAX(ROW(E6577:E$2)*(E6578=E6577:E$2)))))</f>
        <v> </v>
      </c>
      <c r="J6578" s="26" t="str">
        <f>IF(OR(E6578="",E6578="!!!",F6578="NEW"),"",COUNTBLANK(OFFSET(A$1,,,SUMPRODUCT(MAX(ROW(E$2:E6578)*(E6578=E$2:E6578)))))-COUNTBLANK(OFFSET(A$1,,,SUMPRODUCT(MAX(ROW(E$1:E6577)*(E2=E$1:E6577))))))</f>
        <v> </v>
      </c>
      <c r="K6578" s="26" t="str">
        <f>IF(OR(E6578="",E6578="!!!",F6578="NEW"),"",INDEX(J$1:J6577,SUMPRODUCT(MAX(ROW(E$1:E6577)*(E6578=E$1:E6577)))))</f>
        <v> </v>
      </c>
      <c r="L6578" s="27"/>
    </row>
    <row r="6579" spans="1:12">
      <c r="A6579" s="20" t="s">
        <v>1502</v>
      </c>
      <c r="E6579" s="22">
        <f>IF(D6579="?OLD","!!!","")</f>
        <v/>
      </c>
      <c r="F6579" s="23" t="str">
        <f>IF(OR(E6579="",E6579="!!!"),"",IF(NOT(ISNA(VLOOKUP(E6579,E$1:E6578,1,FALSE()))),"OLD",IF(AND(E6579&lt;&gt;"",E6579&lt;&gt;"!!!"),"NEW","")))</f>
        <v> </v>
      </c>
      <c r="G6579" s="24" t="str">
        <f>IF(OR(E6579="",E6579="!!!"),"",IF(OR(J6579=0,AND(J6579=1,K6579=1),AND(J6579=1,I6579="SBJ"),AND(J6579=1,I6579=0)),"?IN_FOCUS",IF(J6579&lt;=2,"?ACTIVATED",IF(J6579&lt;&gt;"","?FAMILIAR",IF(F6579="NEW",IF(ISNA(VLOOKUP(E6579,#REF!,1,FALSE())),"?TYPE_IDENTIFIABLE","?REFERENTIAL"),"_")))))</f>
        <v> </v>
      </c>
      <c r="H6579" s="25" t="str">
        <f>IF(J6579&lt;&gt;1,"",IF(I6579="SBJ","CB","?"))</f>
        <v> </v>
      </c>
      <c r="I6579" s="26" t="str">
        <f>IF(OR(E6579="",E6579="!!!",F6579="NEW"),"",INDEX(B6578:B$2,-1+SUMPRODUCT(MAX(ROW(E6578:E$2)*(E6579=E6578:E$2)))))</f>
        <v> </v>
      </c>
      <c r="J6579" s="26" t="str">
        <f>IF(OR(E6579="",E6579="!!!",F6579="NEW"),"",COUNTBLANK(OFFSET(A$1,,,SUMPRODUCT(MAX(ROW(E$2:E6579)*(E6579=E$2:E6579)))))-COUNTBLANK(OFFSET(A$1,,,SUMPRODUCT(MAX(ROW(E$1:E6578)*(E2=E$1:E6578))))))</f>
        <v> </v>
      </c>
      <c r="K6579" s="26" t="str">
        <f>IF(OR(E6579="",E6579="!!!",F6579="NEW"),"",INDEX(J$1:J6578,SUMPRODUCT(MAX(ROW(E$1:E6578)*(E6579=E$1:E6578)))))</f>
        <v> </v>
      </c>
      <c r="L6579" s="27"/>
    </row>
    <row r="6580" spans="1:12">
      <c r="A6580" s="20" t="s">
        <v>2901</v>
      </c>
      <c r="E6580" s="22">
        <f>IF(D6580="?OLD","!!!","")</f>
        <v/>
      </c>
      <c r="F6580" s="23" t="str">
        <f>IF(OR(E6580="",E6580="!!!"),"",IF(NOT(ISNA(VLOOKUP(E6580,E$1:E6579,1,FALSE()))),"OLD",IF(AND(E6580&lt;&gt;"",E6580&lt;&gt;"!!!"),"NEW","")))</f>
        <v> </v>
      </c>
      <c r="G6580" s="24" t="str">
        <f>IF(OR(E6580="",E6580="!!!"),"",IF(OR(J6580=0,AND(J6580=1,K6580=1),AND(J6580=1,I6580="SBJ"),AND(J6580=1,I6580=0)),"?IN_FOCUS",IF(J6580&lt;=2,"?ACTIVATED",IF(J6580&lt;&gt;"","?FAMILIAR",IF(F6580="NEW",IF(ISNA(VLOOKUP(E6580,#REF!,1,FALSE())),"?TYPE_IDENTIFIABLE","?REFERENTIAL"),"_")))))</f>
        <v> </v>
      </c>
      <c r="H6580" s="25" t="str">
        <f>IF(J6580&lt;&gt;1,"",IF(I6580="SBJ","CB","?"))</f>
        <v> </v>
      </c>
      <c r="I6580" s="26" t="str">
        <f>IF(OR(E6580="",E6580="!!!",F6580="NEW"),"",INDEX(B6579:B$2,-1+SUMPRODUCT(MAX(ROW(E6579:E$2)*(E6580=E6579:E$2)))))</f>
        <v> </v>
      </c>
      <c r="J6580" s="26" t="str">
        <f>IF(OR(E6580="",E6580="!!!",F6580="NEW"),"",COUNTBLANK(OFFSET(A$1,,,SUMPRODUCT(MAX(ROW(E$2:E6580)*(E6580=E$2:E6580)))))-COUNTBLANK(OFFSET(A$1,,,SUMPRODUCT(MAX(ROW(E$1:E6579)*(E2=E$1:E6579))))))</f>
        <v> </v>
      </c>
      <c r="K6580" s="26" t="str">
        <f>IF(OR(E6580="",E6580="!!!",F6580="NEW"),"",INDEX(J$1:J6579,SUMPRODUCT(MAX(ROW(E$1:E6579)*(E6580=E$1:E6579)))))</f>
        <v> </v>
      </c>
      <c r="L6580" s="27"/>
    </row>
    <row r="6581" spans="1:12">
      <c r="A6581" s="20" t="s">
        <v>1395</v>
      </c>
      <c r="B6581" s="21" t="s">
        <v>1248</v>
      </c>
      <c r="C6581" s="21" t="s">
        <v>1196</v>
      </c>
      <c r="D6581" s="21" t="s">
        <v>1188</v>
      </c>
      <c r="E6581" s="22">
        <f>IF(D6581="?OLD","!!!","")</f>
        <v/>
      </c>
      <c r="F6581" s="23" t="str">
        <f>IF(OR(E6581="",E6581="!!!"),"",IF(NOT(ISNA(VLOOKUP(E6581,E$1:E6580,1,FALSE()))),"OLD",IF(AND(E6581&lt;&gt;"",E6581&lt;&gt;"!!!"),"NEW","")))</f>
        <v> </v>
      </c>
      <c r="G6581" s="24" t="str">
        <f>IF(OR(E6581="",E6581="!!!"),"",IF(OR(J6581=0,AND(J6581=1,K6581=1),AND(J6581=1,I6581="SBJ"),AND(J6581=1,I6581=0)),"?IN_FOCUS",IF(J6581&lt;=2,"?ACTIVATED",IF(J6581&lt;&gt;"","?FAMILIAR",IF(F6581="NEW",IF(ISNA(VLOOKUP(E6581,#REF!,1,FALSE())),"?TYPE_IDENTIFIABLE","?REFERENTIAL"),"_")))))</f>
        <v> </v>
      </c>
      <c r="H6581" s="25" t="str">
        <f>IF(J6581&lt;&gt;1,"",IF(I6581="SBJ","CB","?"))</f>
        <v> </v>
      </c>
      <c r="I6581" s="26" t="str">
        <f>IF(OR(E6581="",E6581="!!!",F6581="NEW"),"",INDEX(B6580:B$2,-1+SUMPRODUCT(MAX(ROW(E6580:E$2)*(E6581=E6580:E$2)))))</f>
        <v> </v>
      </c>
      <c r="J6581" s="26" t="str">
        <f>IF(OR(E6581="",E6581="!!!",F6581="NEW"),"",COUNTBLANK(OFFSET(A$1,,,SUMPRODUCT(MAX(ROW(E$2:E6581)*(E6581=E$2:E6581)))))-COUNTBLANK(OFFSET(A$1,,,SUMPRODUCT(MAX(ROW(E$1:E6580)*(E2=E$1:E6580))))))</f>
        <v> </v>
      </c>
      <c r="K6581" s="26" t="str">
        <f>IF(OR(E6581="",E6581="!!!",F6581="NEW"),"",INDEX(J$1:J6580,SUMPRODUCT(MAX(ROW(E$1:E6580)*(E6581=E$1:E6580)))))</f>
        <v> </v>
      </c>
      <c r="L6581" s="27"/>
    </row>
    <row r="6582" spans="1:12">
      <c r="A6582" s="20" t="s">
        <v>1515</v>
      </c>
      <c r="B6582" s="21" t="s">
        <v>1245</v>
      </c>
      <c r="C6582" s="21" t="s">
        <v>1246</v>
      </c>
      <c r="D6582" s="21" t="s">
        <v>1188</v>
      </c>
      <c r="E6582" s="22">
        <f>IF(D6582="?OLD","!!!","")</f>
        <v/>
      </c>
      <c r="F6582" s="23" t="str">
        <f>IF(OR(E6582="",E6582="!!!"),"",IF(NOT(ISNA(VLOOKUP(E6582,E$1:E6581,1,FALSE()))),"OLD",IF(AND(E6582&lt;&gt;"",E6582&lt;&gt;"!!!"),"NEW","")))</f>
        <v> </v>
      </c>
      <c r="G6582" s="24" t="str">
        <f>IF(OR(E6582="",E6582="!!!"),"",IF(OR(J6582=0,AND(J6582=1,K6582=1),AND(J6582=1,I6582="SBJ"),AND(J6582=1,I6582=0)),"?IN_FOCUS",IF(J6582&lt;=2,"?ACTIVATED",IF(J6582&lt;&gt;"","?FAMILIAR",IF(F6582="NEW",IF(ISNA(VLOOKUP(E6582,#REF!,1,FALSE())),"?TYPE_IDENTIFIABLE","?REFERENTIAL"),"_")))))</f>
        <v> </v>
      </c>
      <c r="H6582" s="25" t="str">
        <f>IF(J6582&lt;&gt;1,"",IF(I6582="SBJ","CB","?"))</f>
        <v> </v>
      </c>
      <c r="I6582" s="26" t="str">
        <f>IF(OR(E6582="",E6582="!!!",F6582="NEW"),"",INDEX(B6581:B$2,-1+SUMPRODUCT(MAX(ROW(E6581:E$2)*(E6582=E6581:E$2)))))</f>
        <v> </v>
      </c>
      <c r="J6582" s="26" t="str">
        <f>IF(OR(E6582="",E6582="!!!",F6582="NEW"),"",COUNTBLANK(OFFSET(A$1,,,SUMPRODUCT(MAX(ROW(E$2:E6582)*(E6582=E$2:E6582)))))-COUNTBLANK(OFFSET(A$1,,,SUMPRODUCT(MAX(ROW(E$1:E6581)*(E2=E$1:E6581))))))</f>
        <v> </v>
      </c>
      <c r="K6582" s="26" t="str">
        <f>IF(OR(E6582="",E6582="!!!",F6582="NEW"),"",INDEX(J$1:J6581,SUMPRODUCT(MAX(ROW(E$1:E6581)*(E6582=E$1:E6581)))))</f>
        <v> </v>
      </c>
      <c r="L6582" s="27"/>
    </row>
    <row r="6583" spans="1:12">
      <c r="A6583" s="20" t="s">
        <v>2010</v>
      </c>
      <c r="B6583" s="21" t="s">
        <v>1199</v>
      </c>
      <c r="C6583" s="21" t="s">
        <v>1308</v>
      </c>
      <c r="D6583" s="21" t="s">
        <v>1188</v>
      </c>
      <c r="E6583" s="22">
        <f>IF(D6583="?OLD","!!!","")</f>
        <v/>
      </c>
      <c r="F6583" s="23" t="str">
        <f>IF(OR(E6583="",E6583="!!!"),"",IF(NOT(ISNA(VLOOKUP(E6583,E$1:E6582,1,FALSE()))),"OLD",IF(AND(E6583&lt;&gt;"",E6583&lt;&gt;"!!!"),"NEW","")))</f>
        <v> </v>
      </c>
      <c r="G6583" s="24" t="str">
        <f>IF(OR(E6583="",E6583="!!!"),"",IF(OR(J6583=0,AND(J6583=1,K6583=1),AND(J6583=1,I6583="SBJ"),AND(J6583=1,I6583=0)),"?IN_FOCUS",IF(J6583&lt;=2,"?ACTIVATED",IF(J6583&lt;&gt;"","?FAMILIAR",IF(F6583="NEW",IF(ISNA(VLOOKUP(E6583,#REF!,1,FALSE())),"?TYPE_IDENTIFIABLE","?REFERENTIAL"),"_")))))</f>
        <v> </v>
      </c>
      <c r="H6583" s="25" t="str">
        <f>IF(J6583&lt;&gt;1,"",IF(I6583="SBJ","CB","?"))</f>
        <v> </v>
      </c>
      <c r="I6583" s="26" t="str">
        <f>IF(OR(E6583="",E6583="!!!",F6583="NEW"),"",INDEX(B6582:B$2,-1+SUMPRODUCT(MAX(ROW(E6582:E$2)*(E6583=E6582:E$2)))))</f>
        <v> </v>
      </c>
      <c r="J6583" s="26" t="str">
        <f>IF(OR(E6583="",E6583="!!!",F6583="NEW"),"",COUNTBLANK(OFFSET(A$1,,,SUMPRODUCT(MAX(ROW(E$2:E6583)*(E6583=E$2:E6583)))))-COUNTBLANK(OFFSET(A$1,,,SUMPRODUCT(MAX(ROW(E$1:E6582)*(E2=E$1:E6582))))))</f>
        <v> </v>
      </c>
      <c r="K6583" s="26" t="str">
        <f>IF(OR(E6583="",E6583="!!!",F6583="NEW"),"",INDEX(J$1:J6582,SUMPRODUCT(MAX(ROW(E$1:E6582)*(E6583=E$1:E6582)))))</f>
        <v> </v>
      </c>
      <c r="L6583" s="27"/>
    </row>
    <row r="6584" spans="1:12">
      <c r="A6584" s="20" t="s">
        <v>2936</v>
      </c>
      <c r="E6584" s="22">
        <f>IF(D6584="?OLD","!!!","")</f>
        <v/>
      </c>
      <c r="F6584" s="23" t="str">
        <f>IF(OR(E6584="",E6584="!!!"),"",IF(NOT(ISNA(VLOOKUP(E6584,E$1:E6583,1,FALSE()))),"OLD",IF(AND(E6584&lt;&gt;"",E6584&lt;&gt;"!!!"),"NEW","")))</f>
        <v> </v>
      </c>
      <c r="G6584" s="24" t="str">
        <f>IF(OR(E6584="",E6584="!!!"),"",IF(OR(J6584=0,AND(J6584=1,K6584=1),AND(J6584=1,I6584="SBJ"),AND(J6584=1,I6584=0)),"?IN_FOCUS",IF(J6584&lt;=2,"?ACTIVATED",IF(J6584&lt;&gt;"","?FAMILIAR",IF(F6584="NEW",IF(ISNA(VLOOKUP(E6584,#REF!,1,FALSE())),"?TYPE_IDENTIFIABLE","?REFERENTIAL"),"_")))))</f>
        <v> </v>
      </c>
      <c r="H6584" s="25" t="str">
        <f>IF(J6584&lt;&gt;1,"",IF(I6584="SBJ","CB","?"))</f>
        <v> </v>
      </c>
      <c r="I6584" s="26" t="str">
        <f>IF(OR(E6584="",E6584="!!!",F6584="NEW"),"",INDEX(B6583:B$2,-1+SUMPRODUCT(MAX(ROW(E6583:E$2)*(E6584=E6583:E$2)))))</f>
        <v> </v>
      </c>
      <c r="J6584" s="26" t="str">
        <f>IF(OR(E6584="",E6584="!!!",F6584="NEW"),"",COUNTBLANK(OFFSET(A$1,,,SUMPRODUCT(MAX(ROW(E$2:E6584)*(E6584=E$2:E6584)))))-COUNTBLANK(OFFSET(A$1,,,SUMPRODUCT(MAX(ROW(E$1:E6583)*(E2=E$1:E6583))))))</f>
        <v> </v>
      </c>
      <c r="K6584" s="26" t="str">
        <f>IF(OR(E6584="",E6584="!!!",F6584="NEW"),"",INDEX(J$1:J6583,SUMPRODUCT(MAX(ROW(E$1:E6583)*(E6584=E$1:E6583)))))</f>
        <v> </v>
      </c>
      <c r="L6584" s="27"/>
    </row>
    <row r="6585" spans="1:12">
      <c r="A6585" s="20" t="s">
        <v>1278</v>
      </c>
      <c r="E6585" s="22">
        <f>IF(D6585="?OLD","!!!","")</f>
        <v/>
      </c>
      <c r="F6585" s="23" t="str">
        <f>IF(OR(E6585="",E6585="!!!"),"",IF(NOT(ISNA(VLOOKUP(E6585,E$1:E6584,1,FALSE()))),"OLD",IF(AND(E6585&lt;&gt;"",E6585&lt;&gt;"!!!"),"NEW","")))</f>
        <v> </v>
      </c>
      <c r="G6585" s="24" t="str">
        <f>IF(OR(E6585="",E6585="!!!"),"",IF(OR(J6585=0,AND(J6585=1,K6585=1),AND(J6585=1,I6585="SBJ"),AND(J6585=1,I6585=0)),"?IN_FOCUS",IF(J6585&lt;=2,"?ACTIVATED",IF(J6585&lt;&gt;"","?FAMILIAR",IF(F6585="NEW",IF(ISNA(VLOOKUP(E6585,#REF!,1,FALSE())),"?TYPE_IDENTIFIABLE","?REFERENTIAL"),"_")))))</f>
        <v> </v>
      </c>
      <c r="H6585" s="25" t="str">
        <f>IF(J6585&lt;&gt;1,"",IF(I6585="SBJ","CB","?"))</f>
        <v> </v>
      </c>
      <c r="I6585" s="26" t="str">
        <f>IF(OR(E6585="",E6585="!!!",F6585="NEW"),"",INDEX(B6584:B$2,-1+SUMPRODUCT(MAX(ROW(E6584:E$2)*(E6585=E6584:E$2)))))</f>
        <v> </v>
      </c>
      <c r="J6585" s="26" t="str">
        <f>IF(OR(E6585="",E6585="!!!",F6585="NEW"),"",COUNTBLANK(OFFSET(A$1,,,SUMPRODUCT(MAX(ROW(E$2:E6585)*(E6585=E$2:E6585)))))-COUNTBLANK(OFFSET(A$1,,,SUMPRODUCT(MAX(ROW(E$1:E6584)*(E2=E$1:E6584))))))</f>
        <v> </v>
      </c>
      <c r="K6585" s="26" t="str">
        <f>IF(OR(E6585="",E6585="!!!",F6585="NEW"),"",INDEX(J$1:J6584,SUMPRODUCT(MAX(ROW(E$1:E6584)*(E6585=E$1:E6584)))))</f>
        <v> </v>
      </c>
      <c r="L6585" s="27"/>
    </row>
    <row r="6586" spans="1:12">
      <c r="A6586" s="20" t="s">
        <v>1193</v>
      </c>
      <c r="E6586" s="22">
        <f>IF(D6586="?OLD","!!!","")</f>
        <v/>
      </c>
      <c r="F6586" s="23" t="str">
        <f>IF(OR(E6586="",E6586="!!!"),"",IF(NOT(ISNA(VLOOKUP(E6586,E$1:E6585,1,FALSE()))),"OLD",IF(AND(E6586&lt;&gt;"",E6586&lt;&gt;"!!!"),"NEW","")))</f>
        <v> </v>
      </c>
      <c r="G6586" s="24" t="str">
        <f>IF(OR(E6586="",E6586="!!!"),"",IF(OR(J6586=0,AND(J6586=1,K6586=1),AND(J6586=1,I6586="SBJ"),AND(J6586=1,I6586=0)),"?IN_FOCUS",IF(J6586&lt;=2,"?ACTIVATED",IF(J6586&lt;&gt;"","?FAMILIAR",IF(F6586="NEW",IF(ISNA(VLOOKUP(E6586,#REF!,1,FALSE())),"?TYPE_IDENTIFIABLE","?REFERENTIAL"),"_")))))</f>
        <v> </v>
      </c>
      <c r="H6586" s="25" t="str">
        <f>IF(J6586&lt;&gt;1,"",IF(I6586="SBJ","CB","?"))</f>
        <v> </v>
      </c>
      <c r="I6586" s="26" t="str">
        <f>IF(OR(E6586="",E6586="!!!",F6586="NEW"),"",INDEX(B6585:B$2,-1+SUMPRODUCT(MAX(ROW(E6585:E$2)*(E6586=E6585:E$2)))))</f>
        <v> </v>
      </c>
      <c r="J6586" s="26" t="str">
        <f>IF(OR(E6586="",E6586="!!!",F6586="NEW"),"",COUNTBLANK(OFFSET(A$1,,,SUMPRODUCT(MAX(ROW(E$2:E6586)*(E6586=E$2:E6586)))))-COUNTBLANK(OFFSET(A$1,,,SUMPRODUCT(MAX(ROW(E$1:E6585)*(E2=E$1:E6585))))))</f>
        <v> </v>
      </c>
      <c r="K6586" s="26" t="str">
        <f>IF(OR(E6586="",E6586="!!!",F6586="NEW"),"",INDEX(J$1:J6585,SUMPRODUCT(MAX(ROW(E$1:E6585)*(E6586=E$1:E6585)))))</f>
        <v> </v>
      </c>
      <c r="L6586" s="27"/>
    </row>
    <row r="6587" spans="1:12">
      <c r="A6587" s="20" t="s">
        <v>1366</v>
      </c>
      <c r="E6587" s="22">
        <f>IF(D6587="?OLD","!!!","")</f>
        <v/>
      </c>
      <c r="F6587" s="23" t="str">
        <f>IF(OR(E6587="",E6587="!!!"),"",IF(NOT(ISNA(VLOOKUP(E6587,E$1:E6586,1,FALSE()))),"OLD",IF(AND(E6587&lt;&gt;"",E6587&lt;&gt;"!!!"),"NEW","")))</f>
        <v> </v>
      </c>
      <c r="G6587" s="24" t="str">
        <f>IF(OR(E6587="",E6587="!!!"),"",IF(OR(J6587=0,AND(J6587=1,K6587=1),AND(J6587=1,I6587="SBJ"),AND(J6587=1,I6587=0)),"?IN_FOCUS",IF(J6587&lt;=2,"?ACTIVATED",IF(J6587&lt;&gt;"","?FAMILIAR",IF(F6587="NEW",IF(ISNA(VLOOKUP(E6587,#REF!,1,FALSE())),"?TYPE_IDENTIFIABLE","?REFERENTIAL"),"_")))))</f>
        <v> </v>
      </c>
      <c r="H6587" s="25" t="str">
        <f>IF(J6587&lt;&gt;1,"",IF(I6587="SBJ","CB","?"))</f>
        <v> </v>
      </c>
      <c r="I6587" s="26" t="str">
        <f>IF(OR(E6587="",E6587="!!!",F6587="NEW"),"",INDEX(B6586:B$2,-1+SUMPRODUCT(MAX(ROW(E6586:E$2)*(E6587=E6586:E$2)))))</f>
        <v> </v>
      </c>
      <c r="J6587" s="26" t="str">
        <f>IF(OR(E6587="",E6587="!!!",F6587="NEW"),"",COUNTBLANK(OFFSET(A$1,,,SUMPRODUCT(MAX(ROW(E$2:E6587)*(E6587=E$2:E6587)))))-COUNTBLANK(OFFSET(A$1,,,SUMPRODUCT(MAX(ROW(E$1:E6586)*(E2=E$1:E6586))))))</f>
        <v> </v>
      </c>
      <c r="K6587" s="26" t="str">
        <f>IF(OR(E6587="",E6587="!!!",F6587="NEW"),"",INDEX(J$1:J6586,SUMPRODUCT(MAX(ROW(E$1:E6586)*(E6587=E$1:E6586)))))</f>
        <v> </v>
      </c>
      <c r="L6587" s="27"/>
    </row>
    <row r="6588" spans="1:12">
      <c r="A6588" s="20" t="s">
        <v>2937</v>
      </c>
      <c r="B6588" s="21" t="s">
        <v>1311</v>
      </c>
      <c r="C6588" s="21" t="s">
        <v>1192</v>
      </c>
      <c r="E6588" s="22">
        <f>IF(D6588="?OLD","!!!","")</f>
        <v/>
      </c>
      <c r="F6588" s="23" t="str">
        <f>IF(OR(E6588="",E6588="!!!"),"",IF(NOT(ISNA(VLOOKUP(E6588,E$1:E6587,1,FALSE()))),"OLD",IF(AND(E6588&lt;&gt;"",E6588&lt;&gt;"!!!"),"NEW","")))</f>
        <v> </v>
      </c>
      <c r="G6588" s="24" t="str">
        <f>IF(OR(E6588="",E6588="!!!"),"",IF(OR(J6588=0,AND(J6588=1,K6588=1),AND(J6588=1,I6588="SBJ"),AND(J6588=1,I6588=0)),"?IN_FOCUS",IF(J6588&lt;=2,"?ACTIVATED",IF(J6588&lt;&gt;"","?FAMILIAR",IF(F6588="NEW",IF(ISNA(VLOOKUP(E6588,#REF!,1,FALSE())),"?TYPE_IDENTIFIABLE","?REFERENTIAL"),"_")))))</f>
        <v> </v>
      </c>
      <c r="H6588" s="25" t="str">
        <f>IF(J6588&lt;&gt;1,"",IF(I6588="SBJ","CB","?"))</f>
        <v> </v>
      </c>
      <c r="I6588" s="26" t="str">
        <f>IF(OR(E6588="",E6588="!!!",F6588="NEW"),"",INDEX(B6587:B$2,-1+SUMPRODUCT(MAX(ROW(E6587:E$2)*(E6588=E6587:E$2)))))</f>
        <v> </v>
      </c>
      <c r="J6588" s="26" t="str">
        <f>IF(OR(E6588="",E6588="!!!",F6588="NEW"),"",COUNTBLANK(OFFSET(A$1,,,SUMPRODUCT(MAX(ROW(E$2:E6588)*(E6588=E$2:E6588)))))-COUNTBLANK(OFFSET(A$1,,,SUMPRODUCT(MAX(ROW(E$1:E6587)*(E2=E$1:E6587))))))</f>
        <v> </v>
      </c>
      <c r="K6588" s="26" t="str">
        <f>IF(OR(E6588="",E6588="!!!",F6588="NEW"),"",INDEX(J$1:J6587,SUMPRODUCT(MAX(ROW(E$1:E6587)*(E6588=E$1:E6587)))))</f>
        <v> </v>
      </c>
      <c r="L6588" s="27"/>
    </row>
    <row r="6589" spans="1:12">
      <c r="A6589" s="20" t="s">
        <v>1213</v>
      </c>
      <c r="E6589" s="22">
        <f>IF(D6589="?OLD","!!!","")</f>
        <v/>
      </c>
      <c r="F6589" s="23" t="str">
        <f>IF(OR(E6589="",E6589="!!!"),"",IF(NOT(ISNA(VLOOKUP(E6589,E$1:E6588,1,FALSE()))),"OLD",IF(AND(E6589&lt;&gt;"",E6589&lt;&gt;"!!!"),"NEW","")))</f>
        <v> </v>
      </c>
      <c r="G6589" s="24" t="str">
        <f>IF(OR(E6589="",E6589="!!!"),"",IF(OR(J6589=0,AND(J6589=1,K6589=1),AND(J6589=1,I6589="SBJ"),AND(J6589=1,I6589=0)),"?IN_FOCUS",IF(J6589&lt;=2,"?ACTIVATED",IF(J6589&lt;&gt;"","?FAMILIAR",IF(F6589="NEW",IF(ISNA(VLOOKUP(E6589,#REF!,1,FALSE())),"?TYPE_IDENTIFIABLE","?REFERENTIAL"),"_")))))</f>
        <v> </v>
      </c>
      <c r="H6589" s="25" t="str">
        <f>IF(J6589&lt;&gt;1,"",IF(I6589="SBJ","CB","?"))</f>
        <v> </v>
      </c>
      <c r="I6589" s="26" t="str">
        <f>IF(OR(E6589="",E6589="!!!",F6589="NEW"),"",INDEX(B6588:B$2,-1+SUMPRODUCT(MAX(ROW(E6588:E$2)*(E6589=E6588:E$2)))))</f>
        <v> </v>
      </c>
      <c r="J6589" s="26" t="str">
        <f>IF(OR(E6589="",E6589="!!!",F6589="NEW"),"",COUNTBLANK(OFFSET(A$1,,,SUMPRODUCT(MAX(ROW(E$2:E6589)*(E6589=E$2:E6589)))))-COUNTBLANK(OFFSET(A$1,,,SUMPRODUCT(MAX(ROW(E$1:E6588)*(E2=E$1:E6588))))))</f>
        <v> </v>
      </c>
      <c r="K6589" s="26" t="str">
        <f>IF(OR(E6589="",E6589="!!!",F6589="NEW"),"",INDEX(J$1:J6588,SUMPRODUCT(MAX(ROW(E$1:E6588)*(E6589=E$1:E6588)))))</f>
        <v> </v>
      </c>
      <c r="L6589" s="27"/>
    </row>
    <row r="6590" spans="1:12">
      <c r="A6590" s="20" t="s">
        <v>2502</v>
      </c>
      <c r="E6590" s="22">
        <f>IF(D6590="?OLD","!!!","")</f>
        <v/>
      </c>
      <c r="F6590" s="23" t="str">
        <f>IF(OR(E6590="",E6590="!!!"),"",IF(NOT(ISNA(VLOOKUP(E6590,E$1:E6589,1,FALSE()))),"OLD",IF(AND(E6590&lt;&gt;"",E6590&lt;&gt;"!!!"),"NEW","")))</f>
        <v> </v>
      </c>
      <c r="G6590" s="24" t="str">
        <f>IF(OR(E6590="",E6590="!!!"),"",IF(OR(J6590=0,AND(J6590=1,K6590=1),AND(J6590=1,I6590="SBJ"),AND(J6590=1,I6590=0)),"?IN_FOCUS",IF(J6590&lt;=2,"?ACTIVATED",IF(J6590&lt;&gt;"","?FAMILIAR",IF(F6590="NEW",IF(ISNA(VLOOKUP(E6590,#REF!,1,FALSE())),"?TYPE_IDENTIFIABLE","?REFERENTIAL"),"_")))))</f>
        <v> </v>
      </c>
      <c r="H6590" s="25" t="str">
        <f>IF(J6590&lt;&gt;1,"",IF(I6590="SBJ","CB","?"))</f>
        <v> </v>
      </c>
      <c r="I6590" s="26" t="str">
        <f>IF(OR(E6590="",E6590="!!!",F6590="NEW"),"",INDEX(B6589:B$2,-1+SUMPRODUCT(MAX(ROW(E6589:E$2)*(E6590=E6589:E$2)))))</f>
        <v> </v>
      </c>
      <c r="J6590" s="26" t="str">
        <f>IF(OR(E6590="",E6590="!!!",F6590="NEW"),"",COUNTBLANK(OFFSET(A$1,,,SUMPRODUCT(MAX(ROW(E$2:E6590)*(E6590=E$2:E6590)))))-COUNTBLANK(OFFSET(A$1,,,SUMPRODUCT(MAX(ROW(E$1:E6589)*(E2=E$1:E6589))))))</f>
        <v> </v>
      </c>
      <c r="K6590" s="26" t="str">
        <f>IF(OR(E6590="",E6590="!!!",F6590="NEW"),"",INDEX(J$1:J6589,SUMPRODUCT(MAX(ROW(E$1:E6589)*(E6590=E$1:E6589)))))</f>
        <v> </v>
      </c>
      <c r="L6590" s="27"/>
    </row>
    <row r="6591" spans="1:12">
      <c r="A6591" s="20" t="s">
        <v>2503</v>
      </c>
      <c r="B6591" s="21" t="s">
        <v>1215</v>
      </c>
      <c r="C6591" s="21" t="s">
        <v>1192</v>
      </c>
      <c r="E6591" s="22">
        <f>IF(D6591="?OLD","!!!","")</f>
        <v/>
      </c>
      <c r="F6591" s="23" t="str">
        <f>IF(OR(E6591="",E6591="!!!"),"",IF(NOT(ISNA(VLOOKUP(E6591,E$1:E6590,1,FALSE()))),"OLD",IF(AND(E6591&lt;&gt;"",E6591&lt;&gt;"!!!"),"NEW","")))</f>
        <v> </v>
      </c>
      <c r="G6591" s="24" t="str">
        <f>IF(OR(E6591="",E6591="!!!"),"",IF(OR(J6591=0,AND(J6591=1,K6591=1),AND(J6591=1,I6591="SBJ"),AND(J6591=1,I6591=0)),"?IN_FOCUS",IF(J6591&lt;=2,"?ACTIVATED",IF(J6591&lt;&gt;"","?FAMILIAR",IF(F6591="NEW",IF(ISNA(VLOOKUP(E6591,#REF!,1,FALSE())),"?TYPE_IDENTIFIABLE","?REFERENTIAL"),"_")))))</f>
        <v> </v>
      </c>
      <c r="H6591" s="25" t="str">
        <f>IF(J6591&lt;&gt;1,"",IF(I6591="SBJ","CB","?"))</f>
        <v> </v>
      </c>
      <c r="I6591" s="26" t="str">
        <f>IF(OR(E6591="",E6591="!!!",F6591="NEW"),"",INDEX(B6590:B$2,-1+SUMPRODUCT(MAX(ROW(E6590:E$2)*(E6591=E6590:E$2)))))</f>
        <v> </v>
      </c>
      <c r="J6591" s="26" t="str">
        <f>IF(OR(E6591="",E6591="!!!",F6591="NEW"),"",COUNTBLANK(OFFSET(A$1,,,SUMPRODUCT(MAX(ROW(E$2:E6591)*(E6591=E$2:E6591)))))-COUNTBLANK(OFFSET(A$1,,,SUMPRODUCT(MAX(ROW(E$1:E6590)*(E2=E$1:E6590))))))</f>
        <v> </v>
      </c>
      <c r="K6591" s="26" t="str">
        <f>IF(OR(E6591="",E6591="!!!",F6591="NEW"),"",INDEX(J$1:J6590,SUMPRODUCT(MAX(ROW(E$1:E6590)*(E6591=E$1:E6590)))))</f>
        <v> </v>
      </c>
      <c r="L6591" s="27"/>
    </row>
    <row r="6592" spans="1:12">
      <c r="A6592" s="20" t="s">
        <v>2938</v>
      </c>
      <c r="E6592" s="22">
        <f>IF(D6592="?OLD","!!!","")</f>
        <v/>
      </c>
      <c r="F6592" s="23" t="str">
        <f>IF(OR(E6592="",E6592="!!!"),"",IF(NOT(ISNA(VLOOKUP(E6592,E$1:E6591,1,FALSE()))),"OLD",IF(AND(E6592&lt;&gt;"",E6592&lt;&gt;"!!!"),"NEW","")))</f>
        <v> </v>
      </c>
      <c r="G6592" s="24" t="str">
        <f>IF(OR(E6592="",E6592="!!!"),"",IF(OR(J6592=0,AND(J6592=1,K6592=1),AND(J6592=1,I6592="SBJ"),AND(J6592=1,I6592=0)),"?IN_FOCUS",IF(J6592&lt;=2,"?ACTIVATED",IF(J6592&lt;&gt;"","?FAMILIAR",IF(F6592="NEW",IF(ISNA(VLOOKUP(E6592,#REF!,1,FALSE())),"?TYPE_IDENTIFIABLE","?REFERENTIAL"),"_")))))</f>
        <v> </v>
      </c>
      <c r="H6592" s="25" t="str">
        <f>IF(J6592&lt;&gt;1,"",IF(I6592="SBJ","CB","?"))</f>
        <v> </v>
      </c>
      <c r="I6592" s="26" t="str">
        <f>IF(OR(E6592="",E6592="!!!",F6592="NEW"),"",INDEX(B6591:B$2,-1+SUMPRODUCT(MAX(ROW(E6591:E$2)*(E6592=E6591:E$2)))))</f>
        <v> </v>
      </c>
      <c r="J6592" s="26" t="str">
        <f>IF(OR(E6592="",E6592="!!!",F6592="NEW"),"",COUNTBLANK(OFFSET(A$1,,,SUMPRODUCT(MAX(ROW(E$2:E6592)*(E6592=E$2:E6592)))))-COUNTBLANK(OFFSET(A$1,,,SUMPRODUCT(MAX(ROW(E$1:E6591)*(E2=E$1:E6591))))))</f>
        <v> </v>
      </c>
      <c r="K6592" s="26" t="str">
        <f>IF(OR(E6592="",E6592="!!!",F6592="NEW"),"",INDEX(J$1:J6591,SUMPRODUCT(MAX(ROW(E$1:E6591)*(E6592=E$1:E6591)))))</f>
        <v> </v>
      </c>
      <c r="L6592" s="27"/>
    </row>
    <row r="6593" spans="1:12">
      <c r="A6593" s="20" t="s">
        <v>1260</v>
      </c>
      <c r="E6593" s="22">
        <f>IF(D6593="?OLD","!!!","")</f>
        <v/>
      </c>
      <c r="F6593" s="23" t="str">
        <f>IF(OR(E6593="",E6593="!!!"),"",IF(NOT(ISNA(VLOOKUP(E6593,E$1:E6592,1,FALSE()))),"OLD",IF(AND(E6593&lt;&gt;"",E6593&lt;&gt;"!!!"),"NEW","")))</f>
        <v> </v>
      </c>
      <c r="G6593" s="24" t="str">
        <f>IF(OR(E6593="",E6593="!!!"),"",IF(OR(J6593=0,AND(J6593=1,K6593=1),AND(J6593=1,I6593="SBJ"),AND(J6593=1,I6593=0)),"?IN_FOCUS",IF(J6593&lt;=2,"?ACTIVATED",IF(J6593&lt;&gt;"","?FAMILIAR",IF(F6593="NEW",IF(ISNA(VLOOKUP(E6593,#REF!,1,FALSE())),"?TYPE_IDENTIFIABLE","?REFERENTIAL"),"_")))))</f>
        <v> </v>
      </c>
      <c r="H6593" s="25" t="str">
        <f>IF(J6593&lt;&gt;1,"",IF(I6593="SBJ","CB","?"))</f>
        <v> </v>
      </c>
      <c r="I6593" s="26" t="str">
        <f>IF(OR(E6593="",E6593="!!!",F6593="NEW"),"",INDEX(B6592:B$2,-1+SUMPRODUCT(MAX(ROW(E6592:E$2)*(E6593=E6592:E$2)))))</f>
        <v> </v>
      </c>
      <c r="J6593" s="26" t="str">
        <f>IF(OR(E6593="",E6593="!!!",F6593="NEW"),"",COUNTBLANK(OFFSET(A$1,,,SUMPRODUCT(MAX(ROW(E$2:E6593)*(E6593=E$2:E6593)))))-COUNTBLANK(OFFSET(A$1,,,SUMPRODUCT(MAX(ROW(E$1:E6592)*(E2=E$1:E6592))))))</f>
        <v> </v>
      </c>
      <c r="K6593" s="26" t="str">
        <f>IF(OR(E6593="",E6593="!!!",F6593="NEW"),"",INDEX(J$1:J6592,SUMPRODUCT(MAX(ROW(E$1:E6592)*(E6593=E$1:E6592)))))</f>
        <v> </v>
      </c>
      <c r="L6593" s="27"/>
    </row>
    <row r="6594" spans="1:12">
      <c r="A6594" s="20" t="s">
        <v>1193</v>
      </c>
      <c r="E6594" s="22">
        <f>IF(D6594="?OLD","!!!","")</f>
        <v/>
      </c>
      <c r="F6594" s="23" t="str">
        <f>IF(OR(E6594="",E6594="!!!"),"",IF(NOT(ISNA(VLOOKUP(E6594,E$1:E6593,1,FALSE()))),"OLD",IF(AND(E6594&lt;&gt;"",E6594&lt;&gt;"!!!"),"NEW","")))</f>
        <v> </v>
      </c>
      <c r="G6594" s="24" t="str">
        <f>IF(OR(E6594="",E6594="!!!"),"",IF(OR(J6594=0,AND(J6594=1,K6594=1),AND(J6594=1,I6594="SBJ"),AND(J6594=1,I6594=0)),"?IN_FOCUS",IF(J6594&lt;=2,"?ACTIVATED",IF(J6594&lt;&gt;"","?FAMILIAR",IF(F6594="NEW",IF(ISNA(VLOOKUP(E6594,#REF!,1,FALSE())),"?TYPE_IDENTIFIABLE","?REFERENTIAL"),"_")))))</f>
        <v> </v>
      </c>
      <c r="H6594" s="25" t="str">
        <f>IF(J6594&lt;&gt;1,"",IF(I6594="SBJ","CB","?"))</f>
        <v> </v>
      </c>
      <c r="I6594" s="26" t="str">
        <f>IF(OR(E6594="",E6594="!!!",F6594="NEW"),"",INDEX(B6593:B$2,-1+SUMPRODUCT(MAX(ROW(E6593:E$2)*(E6594=E6593:E$2)))))</f>
        <v> </v>
      </c>
      <c r="J6594" s="26" t="str">
        <f>IF(OR(E6594="",E6594="!!!",F6594="NEW"),"",COUNTBLANK(OFFSET(A$1,,,SUMPRODUCT(MAX(ROW(E$2:E6594)*(E6594=E$2:E6594)))))-COUNTBLANK(OFFSET(A$1,,,SUMPRODUCT(MAX(ROW(E$1:E6593)*(E2=E$1:E6593))))))</f>
        <v> </v>
      </c>
      <c r="K6594" s="26" t="str">
        <f>IF(OR(E6594="",E6594="!!!",F6594="NEW"),"",INDEX(J$1:J6593,SUMPRODUCT(MAX(ROW(E$1:E6593)*(E6594=E$1:E6593)))))</f>
        <v> </v>
      </c>
      <c r="L6594" s="27"/>
    </row>
    <row r="6595" spans="1:12">
      <c r="A6595" s="20" t="s">
        <v>1478</v>
      </c>
      <c r="E6595" s="22">
        <f>IF(D6595="?OLD","!!!","")</f>
        <v/>
      </c>
      <c r="F6595" s="23" t="str">
        <f>IF(OR(E6595="",E6595="!!!"),"",IF(NOT(ISNA(VLOOKUP(E6595,E$1:E6594,1,FALSE()))),"OLD",IF(AND(E6595&lt;&gt;"",E6595&lt;&gt;"!!!"),"NEW","")))</f>
        <v> </v>
      </c>
      <c r="G6595" s="24" t="str">
        <f>IF(OR(E6595="",E6595="!!!"),"",IF(OR(J6595=0,AND(J6595=1,K6595=1),AND(J6595=1,I6595="SBJ"),AND(J6595=1,I6595=0)),"?IN_FOCUS",IF(J6595&lt;=2,"?ACTIVATED",IF(J6595&lt;&gt;"","?FAMILIAR",IF(F6595="NEW",IF(ISNA(VLOOKUP(E6595,#REF!,1,FALSE())),"?TYPE_IDENTIFIABLE","?REFERENTIAL"),"_")))))</f>
        <v> </v>
      </c>
      <c r="H6595" s="25" t="str">
        <f>IF(J6595&lt;&gt;1,"",IF(I6595="SBJ","CB","?"))</f>
        <v> </v>
      </c>
      <c r="I6595" s="26" t="str">
        <f>IF(OR(E6595="",E6595="!!!",F6595="NEW"),"",INDEX(B6594:B$2,-1+SUMPRODUCT(MAX(ROW(E6594:E$2)*(E6595=E6594:E$2)))))</f>
        <v> </v>
      </c>
      <c r="J6595" s="26" t="str">
        <f>IF(OR(E6595="",E6595="!!!",F6595="NEW"),"",COUNTBLANK(OFFSET(A$1,,,SUMPRODUCT(MAX(ROW(E$2:E6595)*(E6595=E$2:E6595)))))-COUNTBLANK(OFFSET(A$1,,,SUMPRODUCT(MAX(ROW(E$1:E6594)*(E2=E$1:E6594))))))</f>
        <v> </v>
      </c>
      <c r="K6595" s="26" t="str">
        <f>IF(OR(E6595="",E6595="!!!",F6595="NEW"),"",INDEX(J$1:J6594,SUMPRODUCT(MAX(ROW(E$1:E6594)*(E6595=E$1:E6594)))))</f>
        <v> </v>
      </c>
      <c r="L6595" s="27"/>
    </row>
    <row r="6596" spans="1:12">
      <c r="A6596" s="20" t="s">
        <v>427</v>
      </c>
      <c r="B6596" s="21" t="s">
        <v>1296</v>
      </c>
      <c r="C6596" s="21" t="s">
        <v>1246</v>
      </c>
      <c r="D6596" s="21" t="s">
        <v>1188</v>
      </c>
      <c r="E6596" s="22">
        <f>IF(D6596="?OLD","!!!","")</f>
        <v/>
      </c>
      <c r="F6596" s="23" t="str">
        <f>IF(OR(E6596="",E6596="!!!"),"",IF(NOT(ISNA(VLOOKUP(E6596,E$1:E6595,1,FALSE()))),"OLD",IF(AND(E6596&lt;&gt;"",E6596&lt;&gt;"!!!"),"NEW","")))</f>
        <v> </v>
      </c>
      <c r="G6596" s="24" t="str">
        <f>IF(OR(E6596="",E6596="!!!"),"",IF(OR(J6596=0,AND(J6596=1,K6596=1),AND(J6596=1,I6596="SBJ"),AND(J6596=1,I6596=0)),"?IN_FOCUS",IF(J6596&lt;=2,"?ACTIVATED",IF(J6596&lt;&gt;"","?FAMILIAR",IF(F6596="NEW",IF(ISNA(VLOOKUP(E6596,#REF!,1,FALSE())),"?TYPE_IDENTIFIABLE","?REFERENTIAL"),"_")))))</f>
        <v> </v>
      </c>
      <c r="H6596" s="25" t="str">
        <f>IF(J6596&lt;&gt;1,"",IF(I6596="SBJ","CB","?"))</f>
        <v> </v>
      </c>
      <c r="I6596" s="26" t="str">
        <f>IF(OR(E6596="",E6596="!!!",F6596="NEW"),"",INDEX(B6595:B$2,-1+SUMPRODUCT(MAX(ROW(E6595:E$2)*(E6596=E6595:E$2)))))</f>
        <v> </v>
      </c>
      <c r="J6596" s="26" t="str">
        <f>IF(OR(E6596="",E6596="!!!",F6596="NEW"),"",COUNTBLANK(OFFSET(A$1,,,SUMPRODUCT(MAX(ROW(E$2:E6596)*(E6596=E$2:E6596)))))-COUNTBLANK(OFFSET(A$1,,,SUMPRODUCT(MAX(ROW(E$1:E6595)*(E2=E$1:E6595))))))</f>
        <v> </v>
      </c>
      <c r="K6596" s="26" t="str">
        <f>IF(OR(E6596="",E6596="!!!",F6596="NEW"),"",INDEX(J$1:J6595,SUMPRODUCT(MAX(ROW(E$1:E6595)*(E6596=E$1:E6595)))))</f>
        <v> </v>
      </c>
      <c r="L6596" s="27"/>
    </row>
    <row r="6597" spans="1:12">
      <c r="A6597" s="20" t="s">
        <v>1427</v>
      </c>
      <c r="E6597" s="22">
        <f>IF(D6597="?OLD","!!!","")</f>
        <v/>
      </c>
      <c r="F6597" s="23" t="str">
        <f>IF(OR(E6597="",E6597="!!!"),"",IF(NOT(ISNA(VLOOKUP(E6597,E$1:E6596,1,FALSE()))),"OLD",IF(AND(E6597&lt;&gt;"",E6597&lt;&gt;"!!!"),"NEW","")))</f>
        <v> </v>
      </c>
      <c r="G6597" s="24" t="str">
        <f>IF(OR(E6597="",E6597="!!!"),"",IF(OR(J6597=0,AND(J6597=1,K6597=1),AND(J6597=1,I6597="SBJ"),AND(J6597=1,I6597=0)),"?IN_FOCUS",IF(J6597&lt;=2,"?ACTIVATED",IF(J6597&lt;&gt;"","?FAMILIAR",IF(F6597="NEW",IF(ISNA(VLOOKUP(E6597,#REF!,1,FALSE())),"?TYPE_IDENTIFIABLE","?REFERENTIAL"),"_")))))</f>
        <v> </v>
      </c>
      <c r="H6597" s="25" t="str">
        <f>IF(J6597&lt;&gt;1,"",IF(I6597="SBJ","CB","?"))</f>
        <v> </v>
      </c>
      <c r="I6597" s="26" t="str">
        <f>IF(OR(E6597="",E6597="!!!",F6597="NEW"),"",INDEX(B6596:B$2,-1+SUMPRODUCT(MAX(ROW(E6596:E$2)*(E6597=E6596:E$2)))))</f>
        <v> </v>
      </c>
      <c r="J6597" s="26" t="str">
        <f>IF(OR(E6597="",E6597="!!!",F6597="NEW"),"",COUNTBLANK(OFFSET(A$1,,,SUMPRODUCT(MAX(ROW(E$2:E6597)*(E6597=E$2:E6597)))))-COUNTBLANK(OFFSET(A$1,,,SUMPRODUCT(MAX(ROW(E$1:E6596)*(E2=E$1:E6596))))))</f>
        <v> </v>
      </c>
      <c r="K6597" s="26" t="str">
        <f>IF(OR(E6597="",E6597="!!!",F6597="NEW"),"",INDEX(J$1:J6596,SUMPRODUCT(MAX(ROW(E$1:E6596)*(E6597=E$1:E6596)))))</f>
        <v> </v>
      </c>
      <c r="L6597" s="27"/>
    </row>
    <row r="6598" spans="1:12">
      <c r="A6598" s="20" t="s">
        <v>2939</v>
      </c>
      <c r="B6598" s="21" t="s">
        <v>1285</v>
      </c>
      <c r="C6598" s="21" t="s">
        <v>1192</v>
      </c>
      <c r="E6598" s="22">
        <f>IF(D6598="?OLD","!!!","")</f>
        <v/>
      </c>
      <c r="F6598" s="23" t="str">
        <f>IF(OR(E6598="",E6598="!!!"),"",IF(NOT(ISNA(VLOOKUP(E6598,E$1:E6597,1,FALSE()))),"OLD",IF(AND(E6598&lt;&gt;"",E6598&lt;&gt;"!!!"),"NEW","")))</f>
        <v> </v>
      </c>
      <c r="G6598" s="24" t="str">
        <f>IF(OR(E6598="",E6598="!!!"),"",IF(OR(J6598=0,AND(J6598=1,K6598=1),AND(J6598=1,I6598="SBJ"),AND(J6598=1,I6598=0)),"?IN_FOCUS",IF(J6598&lt;=2,"?ACTIVATED",IF(J6598&lt;&gt;"","?FAMILIAR",IF(F6598="NEW",IF(ISNA(VLOOKUP(E6598,#REF!,1,FALSE())),"?TYPE_IDENTIFIABLE","?REFERENTIAL"),"_")))))</f>
        <v> </v>
      </c>
      <c r="H6598" s="25" t="str">
        <f>IF(J6598&lt;&gt;1,"",IF(I6598="SBJ","CB","?"))</f>
        <v> </v>
      </c>
      <c r="I6598" s="26" t="str">
        <f>IF(OR(E6598="",E6598="!!!",F6598="NEW"),"",INDEX(B6597:B$2,-1+SUMPRODUCT(MAX(ROW(E6597:E$2)*(E6598=E6597:E$2)))))</f>
        <v> </v>
      </c>
      <c r="J6598" s="26" t="str">
        <f>IF(OR(E6598="",E6598="!!!",F6598="NEW"),"",COUNTBLANK(OFFSET(A$1,,,SUMPRODUCT(MAX(ROW(E$2:E6598)*(E6598=E$2:E6598)))))-COUNTBLANK(OFFSET(A$1,,,SUMPRODUCT(MAX(ROW(E$1:E6597)*(E2=E$1:E6597))))))</f>
        <v> </v>
      </c>
      <c r="K6598" s="26" t="str">
        <f>IF(OR(E6598="",E6598="!!!",F6598="NEW"),"",INDEX(J$1:J6597,SUMPRODUCT(MAX(ROW(E$1:E6597)*(E6598=E$1:E6597)))))</f>
        <v> </v>
      </c>
      <c r="L6598" s="27"/>
    </row>
    <row r="6599" spans="1:12">
      <c r="A6599" s="20" t="s">
        <v>670</v>
      </c>
      <c r="E6599" s="22">
        <f>IF(D6599="?OLD","!!!","")</f>
        <v/>
      </c>
      <c r="F6599" s="23" t="str">
        <f>IF(OR(E6599="",E6599="!!!"),"",IF(NOT(ISNA(VLOOKUP(E6599,E$1:E6598,1,FALSE()))),"OLD",IF(AND(E6599&lt;&gt;"",E6599&lt;&gt;"!!!"),"NEW","")))</f>
        <v> </v>
      </c>
      <c r="G6599" s="24" t="str">
        <f>IF(OR(E6599="",E6599="!!!"),"",IF(OR(J6599=0,AND(J6599=1,K6599=1),AND(J6599=1,I6599="SBJ"),AND(J6599=1,I6599=0)),"?IN_FOCUS",IF(J6599&lt;=2,"?ACTIVATED",IF(J6599&lt;&gt;"","?FAMILIAR",IF(F6599="NEW",IF(ISNA(VLOOKUP(E6599,#REF!,1,FALSE())),"?TYPE_IDENTIFIABLE","?REFERENTIAL"),"_")))))</f>
        <v> </v>
      </c>
      <c r="H6599" s="25" t="str">
        <f>IF(J6599&lt;&gt;1,"",IF(I6599="SBJ","CB","?"))</f>
        <v> </v>
      </c>
      <c r="I6599" s="26" t="str">
        <f>IF(OR(E6599="",E6599="!!!",F6599="NEW"),"",INDEX(B6598:B$2,-1+SUMPRODUCT(MAX(ROW(E6598:E$2)*(E6599=E6598:E$2)))))</f>
        <v> </v>
      </c>
      <c r="J6599" s="26" t="str">
        <f>IF(OR(E6599="",E6599="!!!",F6599="NEW"),"",COUNTBLANK(OFFSET(A$1,,,SUMPRODUCT(MAX(ROW(E$2:E6599)*(E6599=E$2:E6599)))))-COUNTBLANK(OFFSET(A$1,,,SUMPRODUCT(MAX(ROW(E$1:E6598)*(E2=E$1:E6598))))))</f>
        <v> </v>
      </c>
      <c r="K6599" s="26" t="str">
        <f>IF(OR(E6599="",E6599="!!!",F6599="NEW"),"",INDEX(J$1:J6598,SUMPRODUCT(MAX(ROW(E$1:E6598)*(E6599=E$1:E6598)))))</f>
        <v> </v>
      </c>
      <c r="L6599" s="27"/>
    </row>
    <row r="6600" spans="1:12">
      <c r="A6600" s="20" t="s">
        <v>1213</v>
      </c>
      <c r="E6600" s="22">
        <f>IF(D6600="?OLD","!!!","")</f>
        <v/>
      </c>
      <c r="F6600" s="23" t="str">
        <f>IF(OR(E6600="",E6600="!!!"),"",IF(NOT(ISNA(VLOOKUP(E6600,E$1:E6599,1,FALSE()))),"OLD",IF(AND(E6600&lt;&gt;"",E6600&lt;&gt;"!!!"),"NEW","")))</f>
        <v> </v>
      </c>
      <c r="G6600" s="24" t="str">
        <f>IF(OR(E6600="",E6600="!!!"),"",IF(OR(J6600=0,AND(J6600=1,K6600=1),AND(J6600=1,I6600="SBJ"),AND(J6600=1,I6600=0)),"?IN_FOCUS",IF(J6600&lt;=2,"?ACTIVATED",IF(J6600&lt;&gt;"","?FAMILIAR",IF(F6600="NEW",IF(ISNA(VLOOKUP(E6600,#REF!,1,FALSE())),"?TYPE_IDENTIFIABLE","?REFERENTIAL"),"_")))))</f>
        <v> </v>
      </c>
      <c r="H6600" s="25" t="str">
        <f>IF(J6600&lt;&gt;1,"",IF(I6600="SBJ","CB","?"))</f>
        <v> </v>
      </c>
      <c r="I6600" s="26" t="str">
        <f>IF(OR(E6600="",E6600="!!!",F6600="NEW"),"",INDEX(B6599:B$2,-1+SUMPRODUCT(MAX(ROW(E6599:E$2)*(E6600=E6599:E$2)))))</f>
        <v> </v>
      </c>
      <c r="J6600" s="26" t="str">
        <f>IF(OR(E6600="",E6600="!!!",F6600="NEW"),"",COUNTBLANK(OFFSET(A$1,,,SUMPRODUCT(MAX(ROW(E$2:E6600)*(E6600=E$2:E6600)))))-COUNTBLANK(OFFSET(A$1,,,SUMPRODUCT(MAX(ROW(E$1:E6599)*(E2=E$1:E6599))))))</f>
        <v> </v>
      </c>
      <c r="K6600" s="26" t="str">
        <f>IF(OR(E6600="",E6600="!!!",F6600="NEW"),"",INDEX(J$1:J6599,SUMPRODUCT(MAX(ROW(E$1:E6599)*(E6600=E$1:E6599)))))</f>
        <v> </v>
      </c>
      <c r="L6600" s="27"/>
    </row>
    <row r="6601" spans="1:12">
      <c r="A6601" s="20" t="s">
        <v>2940</v>
      </c>
      <c r="E6601" s="22">
        <f>IF(D6601="?OLD","!!!","")</f>
        <v/>
      </c>
      <c r="F6601" s="23" t="str">
        <f>IF(OR(E6601="",E6601="!!!"),"",IF(NOT(ISNA(VLOOKUP(E6601,E$1:E6600,1,FALSE()))),"OLD",IF(AND(E6601&lt;&gt;"",E6601&lt;&gt;"!!!"),"NEW","")))</f>
        <v> </v>
      </c>
      <c r="G6601" s="24" t="str">
        <f>IF(OR(E6601="",E6601="!!!"),"",IF(OR(J6601=0,AND(J6601=1,K6601=1),AND(J6601=1,I6601="SBJ"),AND(J6601=1,I6601=0)),"?IN_FOCUS",IF(J6601&lt;=2,"?ACTIVATED",IF(J6601&lt;&gt;"","?FAMILIAR",IF(F6601="NEW",IF(ISNA(VLOOKUP(E6601,#REF!,1,FALSE())),"?TYPE_IDENTIFIABLE","?REFERENTIAL"),"_")))))</f>
        <v> </v>
      </c>
      <c r="H6601" s="25" t="str">
        <f>IF(J6601&lt;&gt;1,"",IF(I6601="SBJ","CB","?"))</f>
        <v> </v>
      </c>
      <c r="I6601" s="26" t="str">
        <f>IF(OR(E6601="",E6601="!!!",F6601="NEW"),"",INDEX(B6600:B$2,-1+SUMPRODUCT(MAX(ROW(E6600:E$2)*(E6601=E6600:E$2)))))</f>
        <v> </v>
      </c>
      <c r="J6601" s="26" t="str">
        <f>IF(OR(E6601="",E6601="!!!",F6601="NEW"),"",COUNTBLANK(OFFSET(A$1,,,SUMPRODUCT(MAX(ROW(E$2:E6601)*(E6601=E$2:E6601)))))-COUNTBLANK(OFFSET(A$1,,,SUMPRODUCT(MAX(ROW(E$1:E6600)*(E2=E$1:E6600))))))</f>
        <v> </v>
      </c>
      <c r="K6601" s="26" t="str">
        <f>IF(OR(E6601="",E6601="!!!",F6601="NEW"),"",INDEX(J$1:J6600,SUMPRODUCT(MAX(ROW(E$1:E6600)*(E6601=E$1:E6600)))))</f>
        <v> </v>
      </c>
      <c r="L6601" s="27"/>
    </row>
    <row r="6602" spans="1:12">
      <c r="A6602" s="20" t="s">
        <v>2502</v>
      </c>
      <c r="E6602" s="22">
        <f>IF(D6602="?OLD","!!!","")</f>
        <v/>
      </c>
      <c r="F6602" s="23" t="str">
        <f>IF(OR(E6602="",E6602="!!!"),"",IF(NOT(ISNA(VLOOKUP(E6602,E$1:E6601,1,FALSE()))),"OLD",IF(AND(E6602&lt;&gt;"",E6602&lt;&gt;"!!!"),"NEW","")))</f>
        <v> </v>
      </c>
      <c r="G6602" s="24" t="str">
        <f>IF(OR(E6602="",E6602="!!!"),"",IF(OR(J6602=0,AND(J6602=1,K6602=1),AND(J6602=1,I6602="SBJ"),AND(J6602=1,I6602=0)),"?IN_FOCUS",IF(J6602&lt;=2,"?ACTIVATED",IF(J6602&lt;&gt;"","?FAMILIAR",IF(F6602="NEW",IF(ISNA(VLOOKUP(E6602,#REF!,1,FALSE())),"?TYPE_IDENTIFIABLE","?REFERENTIAL"),"_")))))</f>
        <v> </v>
      </c>
      <c r="H6602" s="25" t="str">
        <f>IF(J6602&lt;&gt;1,"",IF(I6602="SBJ","CB","?"))</f>
        <v> </v>
      </c>
      <c r="I6602" s="26" t="str">
        <f>IF(OR(E6602="",E6602="!!!",F6602="NEW"),"",INDEX(B6601:B$2,-1+SUMPRODUCT(MAX(ROW(E6601:E$2)*(E6602=E6601:E$2)))))</f>
        <v> </v>
      </c>
      <c r="J6602" s="26" t="str">
        <f>IF(OR(E6602="",E6602="!!!",F6602="NEW"),"",COUNTBLANK(OFFSET(A$1,,,SUMPRODUCT(MAX(ROW(E$2:E6602)*(E6602=E$2:E6602)))))-COUNTBLANK(OFFSET(A$1,,,SUMPRODUCT(MAX(ROW(E$1:E6601)*(E2=E$1:E6601))))))</f>
        <v> </v>
      </c>
      <c r="K6602" s="26" t="str">
        <f>IF(OR(E6602="",E6602="!!!",F6602="NEW"),"",INDEX(J$1:J6601,SUMPRODUCT(MAX(ROW(E$1:E6601)*(E6602=E$1:E6601)))))</f>
        <v> </v>
      </c>
      <c r="L6602" s="27"/>
    </row>
    <row r="6603" spans="1:12">
      <c r="A6603" s="20" t="s">
        <v>2503</v>
      </c>
      <c r="B6603" s="21" t="s">
        <v>1285</v>
      </c>
      <c r="C6603" s="21" t="s">
        <v>1192</v>
      </c>
      <c r="E6603" s="22">
        <f>IF(D6603="?OLD","!!!","")</f>
        <v/>
      </c>
      <c r="F6603" s="23" t="str">
        <f>IF(OR(E6603="",E6603="!!!"),"",IF(NOT(ISNA(VLOOKUP(E6603,E$1:E6602,1,FALSE()))),"OLD",IF(AND(E6603&lt;&gt;"",E6603&lt;&gt;"!!!"),"NEW","")))</f>
        <v> </v>
      </c>
      <c r="G6603" s="24" t="str">
        <f>IF(OR(E6603="",E6603="!!!"),"",IF(OR(J6603=0,AND(J6603=1,K6603=1),AND(J6603=1,I6603="SBJ"),AND(J6603=1,I6603=0)),"?IN_FOCUS",IF(J6603&lt;=2,"?ACTIVATED",IF(J6603&lt;&gt;"","?FAMILIAR",IF(F6603="NEW",IF(ISNA(VLOOKUP(E6603,#REF!,1,FALSE())),"?TYPE_IDENTIFIABLE","?REFERENTIAL"),"_")))))</f>
        <v> </v>
      </c>
      <c r="H6603" s="25" t="str">
        <f>IF(J6603&lt;&gt;1,"",IF(I6603="SBJ","CB","?"))</f>
        <v> </v>
      </c>
      <c r="I6603" s="26" t="str">
        <f>IF(OR(E6603="",E6603="!!!",F6603="NEW"),"",INDEX(B6602:B$2,-1+SUMPRODUCT(MAX(ROW(E6602:E$2)*(E6603=E6602:E$2)))))</f>
        <v> </v>
      </c>
      <c r="J6603" s="26" t="str">
        <f>IF(OR(E6603="",E6603="!!!",F6603="NEW"),"",COUNTBLANK(OFFSET(A$1,,,SUMPRODUCT(MAX(ROW(E$2:E6603)*(E6603=E$2:E6603)))))-COUNTBLANK(OFFSET(A$1,,,SUMPRODUCT(MAX(ROW(E$1:E6602)*(E2=E$1:E6602))))))</f>
        <v> </v>
      </c>
      <c r="K6603" s="26" t="str">
        <f>IF(OR(E6603="",E6603="!!!",F6603="NEW"),"",INDEX(J$1:J6602,SUMPRODUCT(MAX(ROW(E$1:E6602)*(E6603=E$1:E6602)))))</f>
        <v> </v>
      </c>
      <c r="L6603" s="27"/>
    </row>
    <row r="6604" spans="1:12">
      <c r="A6604" s="20" t="s">
        <v>2941</v>
      </c>
      <c r="E6604" s="22">
        <f>IF(D6604="?OLD","!!!","")</f>
        <v/>
      </c>
      <c r="F6604" s="23" t="str">
        <f>IF(OR(E6604="",E6604="!!!"),"",IF(NOT(ISNA(VLOOKUP(E6604,E$1:E6603,1,FALSE()))),"OLD",IF(AND(E6604&lt;&gt;"",E6604&lt;&gt;"!!!"),"NEW","")))</f>
        <v> </v>
      </c>
      <c r="G6604" s="24" t="str">
        <f>IF(OR(E6604="",E6604="!!!"),"",IF(OR(J6604=0,AND(J6604=1,K6604=1),AND(J6604=1,I6604="SBJ"),AND(J6604=1,I6604=0)),"?IN_FOCUS",IF(J6604&lt;=2,"?ACTIVATED",IF(J6604&lt;&gt;"","?FAMILIAR",IF(F6604="NEW",IF(ISNA(VLOOKUP(E6604,#REF!,1,FALSE())),"?TYPE_IDENTIFIABLE","?REFERENTIAL"),"_")))))</f>
        <v> </v>
      </c>
      <c r="H6604" s="25" t="str">
        <f>IF(J6604&lt;&gt;1,"",IF(I6604="SBJ","CB","?"))</f>
        <v> </v>
      </c>
      <c r="I6604" s="26" t="str">
        <f>IF(OR(E6604="",E6604="!!!",F6604="NEW"),"",INDEX(B6603:B$2,-1+SUMPRODUCT(MAX(ROW(E6603:E$2)*(E6604=E6603:E$2)))))</f>
        <v> </v>
      </c>
      <c r="J6604" s="26" t="str">
        <f>IF(OR(E6604="",E6604="!!!",F6604="NEW"),"",COUNTBLANK(OFFSET(A$1,,,SUMPRODUCT(MAX(ROW(E$2:E6604)*(E6604=E$2:E6604)))))-COUNTBLANK(OFFSET(A$1,,,SUMPRODUCT(MAX(ROW(E$1:E6603)*(E2=E$1:E6603))))))</f>
        <v> </v>
      </c>
      <c r="K6604" s="26" t="str">
        <f>IF(OR(E6604="",E6604="!!!",F6604="NEW"),"",INDEX(J$1:J6603,SUMPRODUCT(MAX(ROW(E$1:E6603)*(E6604=E$1:E6603)))))</f>
        <v> </v>
      </c>
      <c r="L6604" s="27"/>
    </row>
    <row r="6605" spans="1:12">
      <c r="A6605" s="20" t="s">
        <v>1193</v>
      </c>
      <c r="E6605" s="22">
        <f>IF(D6605="?OLD","!!!","")</f>
        <v/>
      </c>
      <c r="F6605" s="23" t="str">
        <f>IF(OR(E6605="",E6605="!!!"),"",IF(NOT(ISNA(VLOOKUP(E6605,E$1:E6604,1,FALSE()))),"OLD",IF(AND(E6605&lt;&gt;"",E6605&lt;&gt;"!!!"),"NEW","")))</f>
        <v> </v>
      </c>
      <c r="G6605" s="24" t="str">
        <f>IF(OR(E6605="",E6605="!!!"),"",IF(OR(J6605=0,AND(J6605=1,K6605=1),AND(J6605=1,I6605="SBJ"),AND(J6605=1,I6605=0)),"?IN_FOCUS",IF(J6605&lt;=2,"?ACTIVATED",IF(J6605&lt;&gt;"","?FAMILIAR",IF(F6605="NEW",IF(ISNA(VLOOKUP(E6605,#REF!,1,FALSE())),"?TYPE_IDENTIFIABLE","?REFERENTIAL"),"_")))))</f>
        <v> </v>
      </c>
      <c r="H6605" s="25" t="str">
        <f>IF(J6605&lt;&gt;1,"",IF(I6605="SBJ","CB","?"))</f>
        <v> </v>
      </c>
      <c r="I6605" s="26" t="str">
        <f>IF(OR(E6605="",E6605="!!!",F6605="NEW"),"",INDEX(B6604:B$2,-1+SUMPRODUCT(MAX(ROW(E6604:E$2)*(E6605=E6604:E$2)))))</f>
        <v> </v>
      </c>
      <c r="J6605" s="26" t="str">
        <f>IF(OR(E6605="",E6605="!!!",F6605="NEW"),"",COUNTBLANK(OFFSET(A$1,,,SUMPRODUCT(MAX(ROW(E$2:E6605)*(E6605=E$2:E6605)))))-COUNTBLANK(OFFSET(A$1,,,SUMPRODUCT(MAX(ROW(E$1:E6604)*(E2=E$1:E6604))))))</f>
        <v> </v>
      </c>
      <c r="K6605" s="26" t="str">
        <f>IF(OR(E6605="",E6605="!!!",F6605="NEW"),"",INDEX(J$1:J6604,SUMPRODUCT(MAX(ROW(E$1:E6604)*(E6605=E$1:E6604)))))</f>
        <v> </v>
      </c>
      <c r="L6605" s="27"/>
    </row>
    <row r="6606" spans="1:12">
      <c r="A6606" s="20" t="s">
        <v>1302</v>
      </c>
      <c r="E6606" s="22">
        <f>IF(D6606="?OLD","!!!","")</f>
        <v/>
      </c>
      <c r="F6606" s="23" t="str">
        <f>IF(OR(E6606="",E6606="!!!"),"",IF(NOT(ISNA(VLOOKUP(E6606,E$1:E6605,1,FALSE()))),"OLD",IF(AND(E6606&lt;&gt;"",E6606&lt;&gt;"!!!"),"NEW","")))</f>
        <v> </v>
      </c>
      <c r="G6606" s="24" t="str">
        <f>IF(OR(E6606="",E6606="!!!"),"",IF(OR(J6606=0,AND(J6606=1,K6606=1),AND(J6606=1,I6606="SBJ"),AND(J6606=1,I6606=0)),"?IN_FOCUS",IF(J6606&lt;=2,"?ACTIVATED",IF(J6606&lt;&gt;"","?FAMILIAR",IF(F6606="NEW",IF(ISNA(VLOOKUP(E6606,#REF!,1,FALSE())),"?TYPE_IDENTIFIABLE","?REFERENTIAL"),"_")))))</f>
        <v> </v>
      </c>
      <c r="H6606" s="25" t="str">
        <f>IF(J6606&lt;&gt;1,"",IF(I6606="SBJ","CB","?"))</f>
        <v> </v>
      </c>
      <c r="I6606" s="26" t="str">
        <f>IF(OR(E6606="",E6606="!!!",F6606="NEW"),"",INDEX(B6605:B$2,-1+SUMPRODUCT(MAX(ROW(E6605:E$2)*(E6606=E6605:E$2)))))</f>
        <v> </v>
      </c>
      <c r="J6606" s="26" t="str">
        <f>IF(OR(E6606="",E6606="!!!",F6606="NEW"),"",COUNTBLANK(OFFSET(A$1,,,SUMPRODUCT(MAX(ROW(E$2:E6606)*(E6606=E$2:E6606)))))-COUNTBLANK(OFFSET(A$1,,,SUMPRODUCT(MAX(ROW(E$1:E6605)*(E2=E$1:E6605))))))</f>
        <v> </v>
      </c>
      <c r="K6606" s="26" t="str">
        <f>IF(OR(E6606="",E6606="!!!",F6606="NEW"),"",INDEX(J$1:J6605,SUMPRODUCT(MAX(ROW(E$1:E6605)*(E6606=E$1:E6605)))))</f>
        <v> </v>
      </c>
      <c r="L6606" s="27"/>
    </row>
    <row r="6607" spans="1:12">
      <c r="A6607" s="20" t="s">
        <v>427</v>
      </c>
      <c r="B6607" s="21" t="s">
        <v>1248</v>
      </c>
      <c r="C6607" s="21" t="s">
        <v>1246</v>
      </c>
      <c r="D6607" s="21" t="s">
        <v>1188</v>
      </c>
      <c r="E6607" s="22">
        <f>IF(D6607="?OLD","!!!","")</f>
        <v/>
      </c>
      <c r="F6607" s="23" t="str">
        <f>IF(OR(E6607="",E6607="!!!"),"",IF(NOT(ISNA(VLOOKUP(E6607,E$1:E6606,1,FALSE()))),"OLD",IF(AND(E6607&lt;&gt;"",E6607&lt;&gt;"!!!"),"NEW","")))</f>
        <v> </v>
      </c>
      <c r="G6607" s="24" t="str">
        <f>IF(OR(E6607="",E6607="!!!"),"",IF(OR(J6607=0,AND(J6607=1,K6607=1),AND(J6607=1,I6607="SBJ"),AND(J6607=1,I6607=0)),"?IN_FOCUS",IF(J6607&lt;=2,"?ACTIVATED",IF(J6607&lt;&gt;"","?FAMILIAR",IF(F6607="NEW",IF(ISNA(VLOOKUP(E6607,#REF!,1,FALSE())),"?TYPE_IDENTIFIABLE","?REFERENTIAL"),"_")))))</f>
        <v> </v>
      </c>
      <c r="H6607" s="25" t="str">
        <f>IF(J6607&lt;&gt;1,"",IF(I6607="SBJ","CB","?"))</f>
        <v> </v>
      </c>
      <c r="I6607" s="26" t="str">
        <f>IF(OR(E6607="",E6607="!!!",F6607="NEW"),"",INDEX(B6606:B$2,-1+SUMPRODUCT(MAX(ROW(E6606:E$2)*(E6607=E6606:E$2)))))</f>
        <v> </v>
      </c>
      <c r="J6607" s="26" t="str">
        <f>IF(OR(E6607="",E6607="!!!",F6607="NEW"),"",COUNTBLANK(OFFSET(A$1,,,SUMPRODUCT(MAX(ROW(E$2:E6607)*(E6607=E$2:E6607)))))-COUNTBLANK(OFFSET(A$1,,,SUMPRODUCT(MAX(ROW(E$1:E6606)*(E2=E$1:E6606))))))</f>
        <v> </v>
      </c>
      <c r="K6607" s="26" t="str">
        <f>IF(OR(E6607="",E6607="!!!",F6607="NEW"),"",INDEX(J$1:J6606,SUMPRODUCT(MAX(ROW(E$1:E6606)*(E6607=E$1:E6606)))))</f>
        <v> </v>
      </c>
      <c r="L6607" s="27"/>
    </row>
    <row r="6608" spans="1:12">
      <c r="A6608" s="20" t="s">
        <v>1444</v>
      </c>
      <c r="E6608" s="22">
        <f>IF(D6608="?OLD","!!!","")</f>
        <v/>
      </c>
      <c r="F6608" s="23" t="str">
        <f>IF(OR(E6608="",E6608="!!!"),"",IF(NOT(ISNA(VLOOKUP(E6608,E$1:E6607,1,FALSE()))),"OLD",IF(AND(E6608&lt;&gt;"",E6608&lt;&gt;"!!!"),"NEW","")))</f>
        <v> </v>
      </c>
      <c r="G6608" s="24" t="str">
        <f>IF(OR(E6608="",E6608="!!!"),"",IF(OR(J6608=0,AND(J6608=1,K6608=1),AND(J6608=1,I6608="SBJ"),AND(J6608=1,I6608=0)),"?IN_FOCUS",IF(J6608&lt;=2,"?ACTIVATED",IF(J6608&lt;&gt;"","?FAMILIAR",IF(F6608="NEW",IF(ISNA(VLOOKUP(E6608,#REF!,1,FALSE())),"?TYPE_IDENTIFIABLE","?REFERENTIAL"),"_")))))</f>
        <v> </v>
      </c>
      <c r="H6608" s="25" t="str">
        <f>IF(J6608&lt;&gt;1,"",IF(I6608="SBJ","CB","?"))</f>
        <v> </v>
      </c>
      <c r="I6608" s="26" t="str">
        <f>IF(OR(E6608="",E6608="!!!",F6608="NEW"),"",INDEX(B6607:B$2,-1+SUMPRODUCT(MAX(ROW(E6607:E$2)*(E6608=E6607:E$2)))))</f>
        <v> </v>
      </c>
      <c r="J6608" s="26" t="str">
        <f>IF(OR(E6608="",E6608="!!!",F6608="NEW"),"",COUNTBLANK(OFFSET(A$1,,,SUMPRODUCT(MAX(ROW(E$2:E6608)*(E6608=E$2:E6608)))))-COUNTBLANK(OFFSET(A$1,,,SUMPRODUCT(MAX(ROW(E$1:E6607)*(E2=E$1:E6607))))))</f>
        <v> </v>
      </c>
      <c r="K6608" s="26" t="str">
        <f>IF(OR(E6608="",E6608="!!!",F6608="NEW"),"",INDEX(J$1:J6607,SUMPRODUCT(MAX(ROW(E$1:E6607)*(E6608=E$1:E6607)))))</f>
        <v> </v>
      </c>
      <c r="L6608" s="27"/>
    </row>
    <row r="6609" spans="1:12">
      <c r="A6609" s="20" t="s">
        <v>1462</v>
      </c>
      <c r="B6609" s="21" t="s">
        <v>1215</v>
      </c>
      <c r="C6609" s="21" t="s">
        <v>1304</v>
      </c>
      <c r="D6609" s="21" t="s">
        <v>1188</v>
      </c>
      <c r="E6609" s="22">
        <f>IF(D6609="?OLD","!!!","")</f>
        <v/>
      </c>
      <c r="F6609" s="23" t="str">
        <f>IF(OR(E6609="",E6609="!!!"),"",IF(NOT(ISNA(VLOOKUP(E6609,E$1:E6608,1,FALSE()))),"OLD",IF(AND(E6609&lt;&gt;"",E6609&lt;&gt;"!!!"),"NEW","")))</f>
        <v> </v>
      </c>
      <c r="G6609" s="24" t="str">
        <f>IF(OR(E6609="",E6609="!!!"),"",IF(OR(J6609=0,AND(J6609=1,K6609=1),AND(J6609=1,I6609="SBJ"),AND(J6609=1,I6609=0)),"?IN_FOCUS",IF(J6609&lt;=2,"?ACTIVATED",IF(J6609&lt;&gt;"","?FAMILIAR",IF(F6609="NEW",IF(ISNA(VLOOKUP(E6609,#REF!,1,FALSE())),"?TYPE_IDENTIFIABLE","?REFERENTIAL"),"_")))))</f>
        <v> </v>
      </c>
      <c r="H6609" s="25" t="str">
        <f>IF(J6609&lt;&gt;1,"",IF(I6609="SBJ","CB","?"))</f>
        <v> </v>
      </c>
      <c r="I6609" s="26" t="str">
        <f>IF(OR(E6609="",E6609="!!!",F6609="NEW"),"",INDEX(B6608:B$2,-1+SUMPRODUCT(MAX(ROW(E6608:E$2)*(E6609=E6608:E$2)))))</f>
        <v> </v>
      </c>
      <c r="J6609" s="26" t="str">
        <f>IF(OR(E6609="",E6609="!!!",F6609="NEW"),"",COUNTBLANK(OFFSET(A$1,,,SUMPRODUCT(MAX(ROW(E$2:E6609)*(E6609=E$2:E6609)))))-COUNTBLANK(OFFSET(A$1,,,SUMPRODUCT(MAX(ROW(E$1:E6608)*(E2=E$1:E6608))))))</f>
        <v> </v>
      </c>
      <c r="K6609" s="26" t="str">
        <f>IF(OR(E6609="",E6609="!!!",F6609="NEW"),"",INDEX(J$1:J6608,SUMPRODUCT(MAX(ROW(E$1:E6608)*(E6609=E$1:E6608)))))</f>
        <v> </v>
      </c>
      <c r="L6609" s="27"/>
    </row>
    <row r="6610" spans="1:12">
      <c r="A6610" s="20" t="s">
        <v>2942</v>
      </c>
      <c r="B6610" s="21" t="s">
        <v>1245</v>
      </c>
      <c r="C6610" s="21" t="s">
        <v>1192</v>
      </c>
      <c r="E6610" s="22">
        <f>IF(D6610="?OLD","!!!","")</f>
        <v/>
      </c>
      <c r="F6610" s="23" t="str">
        <f>IF(OR(E6610="",E6610="!!!"),"",IF(NOT(ISNA(VLOOKUP(E6610,E$1:E6609,1,FALSE()))),"OLD",IF(AND(E6610&lt;&gt;"",E6610&lt;&gt;"!!!"),"NEW","")))</f>
        <v> </v>
      </c>
      <c r="G6610" s="24" t="str">
        <f>IF(OR(E6610="",E6610="!!!"),"",IF(OR(J6610=0,AND(J6610=1,K6610=1),AND(J6610=1,I6610="SBJ"),AND(J6610=1,I6610=0)),"?IN_FOCUS",IF(J6610&lt;=2,"?ACTIVATED",IF(J6610&lt;&gt;"","?FAMILIAR",IF(F6610="NEW",IF(ISNA(VLOOKUP(E6610,#REF!,1,FALSE())),"?TYPE_IDENTIFIABLE","?REFERENTIAL"),"_")))))</f>
        <v> </v>
      </c>
      <c r="H6610" s="25" t="str">
        <f>IF(J6610&lt;&gt;1,"",IF(I6610="SBJ","CB","?"))</f>
        <v> </v>
      </c>
      <c r="I6610" s="26" t="str">
        <f>IF(OR(E6610="",E6610="!!!",F6610="NEW"),"",INDEX(B6609:B$2,-1+SUMPRODUCT(MAX(ROW(E6609:E$2)*(E6610=E6609:E$2)))))</f>
        <v> </v>
      </c>
      <c r="J6610" s="26" t="str">
        <f>IF(OR(E6610="",E6610="!!!",F6610="NEW"),"",COUNTBLANK(OFFSET(A$1,,,SUMPRODUCT(MAX(ROW(E$2:E6610)*(E6610=E$2:E6610)))))-COUNTBLANK(OFFSET(A$1,,,SUMPRODUCT(MAX(ROW(E$1:E6609)*(E2=E$1:E6609))))))</f>
        <v> </v>
      </c>
      <c r="K6610" s="26" t="str">
        <f>IF(OR(E6610="",E6610="!!!",F6610="NEW"),"",INDEX(J$1:J6609,SUMPRODUCT(MAX(ROW(E$1:E6609)*(E6610=E$1:E6609)))))</f>
        <v> </v>
      </c>
      <c r="L6610" s="27"/>
    </row>
    <row r="6611" spans="1:12">
      <c r="A6611" s="20" t="s">
        <v>1321</v>
      </c>
      <c r="E6611" s="22">
        <f>IF(D6611="?OLD","!!!","")</f>
        <v/>
      </c>
      <c r="F6611" s="23" t="str">
        <f>IF(OR(E6611="",E6611="!!!"),"",IF(NOT(ISNA(VLOOKUP(E6611,E$1:E6610,1,FALSE()))),"OLD",IF(AND(E6611&lt;&gt;"",E6611&lt;&gt;"!!!"),"NEW","")))</f>
        <v> </v>
      </c>
      <c r="G6611" s="24" t="str">
        <f>IF(OR(E6611="",E6611="!!!"),"",IF(OR(J6611=0,AND(J6611=1,K6611=1),AND(J6611=1,I6611="SBJ"),AND(J6611=1,I6611=0)),"?IN_FOCUS",IF(J6611&lt;=2,"?ACTIVATED",IF(J6611&lt;&gt;"","?FAMILIAR",IF(F6611="NEW",IF(ISNA(VLOOKUP(E6611,#REF!,1,FALSE())),"?TYPE_IDENTIFIABLE","?REFERENTIAL"),"_")))))</f>
        <v> </v>
      </c>
      <c r="H6611" s="25" t="str">
        <f>IF(J6611&lt;&gt;1,"",IF(I6611="SBJ","CB","?"))</f>
        <v> </v>
      </c>
      <c r="I6611" s="26" t="str">
        <f>IF(OR(E6611="",E6611="!!!",F6611="NEW"),"",INDEX(B6610:B$2,-1+SUMPRODUCT(MAX(ROW(E6610:E$2)*(E6611=E6610:E$2)))))</f>
        <v> </v>
      </c>
      <c r="J6611" s="26" t="str">
        <f>IF(OR(E6611="",E6611="!!!",F6611="NEW"),"",COUNTBLANK(OFFSET(A$1,,,SUMPRODUCT(MAX(ROW(E$2:E6611)*(E6611=E$2:E6611)))))-COUNTBLANK(OFFSET(A$1,,,SUMPRODUCT(MAX(ROW(E$1:E6610)*(E2=E$1:E6610))))))</f>
        <v> </v>
      </c>
      <c r="K6611" s="26" t="str">
        <f>IF(OR(E6611="",E6611="!!!",F6611="NEW"),"",INDEX(J$1:J6610,SUMPRODUCT(MAX(ROW(E$1:E6610)*(E6611=E$1:E6610)))))</f>
        <v> </v>
      </c>
      <c r="L6611" s="27"/>
    </row>
    <row r="6612" spans="1:12">
      <c r="A6612" s="20" t="s">
        <v>1157</v>
      </c>
      <c r="E6612" s="22">
        <f>IF(D6612="?OLD","!!!","")</f>
        <v/>
      </c>
      <c r="F6612" s="23" t="str">
        <f>IF(OR(E6612="",E6612="!!!"),"",IF(NOT(ISNA(VLOOKUP(E6612,E$1:E6611,1,FALSE()))),"OLD",IF(AND(E6612&lt;&gt;"",E6612&lt;&gt;"!!!"),"NEW","")))</f>
        <v> </v>
      </c>
      <c r="G6612" s="24" t="str">
        <f>IF(OR(E6612="",E6612="!!!"),"",IF(OR(J6612=0,AND(J6612=1,K6612=1),AND(J6612=1,I6612="SBJ"),AND(J6612=1,I6612=0)),"?IN_FOCUS",IF(J6612&lt;=2,"?ACTIVATED",IF(J6612&lt;&gt;"","?FAMILIAR",IF(F6612="NEW",IF(ISNA(VLOOKUP(E6612,#REF!,1,FALSE())),"?TYPE_IDENTIFIABLE","?REFERENTIAL"),"_")))))</f>
        <v> </v>
      </c>
      <c r="H6612" s="25" t="str">
        <f>IF(J6612&lt;&gt;1,"",IF(I6612="SBJ","CB","?"))</f>
        <v> </v>
      </c>
      <c r="I6612" s="26" t="str">
        <f>IF(OR(E6612="",E6612="!!!",F6612="NEW"),"",INDEX(B6611:B$2,-1+SUMPRODUCT(MAX(ROW(E6611:E$2)*(E6612=E6611:E$2)))))</f>
        <v> </v>
      </c>
      <c r="J6612" s="26" t="str">
        <f>IF(OR(E6612="",E6612="!!!",F6612="NEW"),"",COUNTBLANK(OFFSET(A$1,,,SUMPRODUCT(MAX(ROW(E$2:E6612)*(E6612=E$2:E6612)))))-COUNTBLANK(OFFSET(A$1,,,SUMPRODUCT(MAX(ROW(E$1:E6611)*(E2=E$1:E6611))))))</f>
        <v> </v>
      </c>
      <c r="K6612" s="26" t="str">
        <f>IF(OR(E6612="",E6612="!!!",F6612="NEW"),"",INDEX(J$1:J6611,SUMPRODUCT(MAX(ROW(E$1:E6611)*(E6612=E$1:E6611)))))</f>
        <v> </v>
      </c>
      <c r="L6612" s="27"/>
    </row>
    <row r="6613" spans="1:12">
      <c r="A6613" s="20" t="s">
        <v>1193</v>
      </c>
      <c r="E6613" s="22">
        <f>IF(D6613="?OLD","!!!","")</f>
        <v/>
      </c>
      <c r="F6613" s="23" t="str">
        <f>IF(OR(E6613="",E6613="!!!"),"",IF(NOT(ISNA(VLOOKUP(E6613,E$1:E6612,1,FALSE()))),"OLD",IF(AND(E6613&lt;&gt;"",E6613&lt;&gt;"!!!"),"NEW","")))</f>
        <v> </v>
      </c>
      <c r="G6613" s="24" t="str">
        <f>IF(OR(E6613="",E6613="!!!"),"",IF(OR(J6613=0,AND(J6613=1,K6613=1),AND(J6613=1,I6613="SBJ"),AND(J6613=1,I6613=0)),"?IN_FOCUS",IF(J6613&lt;=2,"?ACTIVATED",IF(J6613&lt;&gt;"","?FAMILIAR",IF(F6613="NEW",IF(ISNA(VLOOKUP(E6613,#REF!,1,FALSE())),"?TYPE_IDENTIFIABLE","?REFERENTIAL"),"_")))))</f>
        <v> </v>
      </c>
      <c r="H6613" s="25" t="str">
        <f>IF(J6613&lt;&gt;1,"",IF(I6613="SBJ","CB","?"))</f>
        <v> </v>
      </c>
      <c r="I6613" s="26" t="str">
        <f>IF(OR(E6613="",E6613="!!!",F6613="NEW"),"",INDEX(B6612:B$2,-1+SUMPRODUCT(MAX(ROW(E6612:E$2)*(E6613=E6612:E$2)))))</f>
        <v> </v>
      </c>
      <c r="J6613" s="26" t="str">
        <f>IF(OR(E6613="",E6613="!!!",F6613="NEW"),"",COUNTBLANK(OFFSET(A$1,,,SUMPRODUCT(MAX(ROW(E$2:E6613)*(E6613=E$2:E6613)))))-COUNTBLANK(OFFSET(A$1,,,SUMPRODUCT(MAX(ROW(E$1:E6612)*(E2=E$1:E6612))))))</f>
        <v> </v>
      </c>
      <c r="K6613" s="26" t="str">
        <f>IF(OR(E6613="",E6613="!!!",F6613="NEW"),"",INDEX(J$1:J6612,SUMPRODUCT(MAX(ROW(E$1:E6612)*(E6613=E$1:E6612)))))</f>
        <v> </v>
      </c>
      <c r="L6613" s="27"/>
    </row>
    <row r="6614" spans="1:12">
      <c r="A6614" s="20" t="s">
        <v>1520</v>
      </c>
      <c r="E6614" s="22">
        <f>IF(D6614="?OLD","!!!","")</f>
        <v/>
      </c>
      <c r="F6614" s="23" t="str">
        <f>IF(OR(E6614="",E6614="!!!"),"",IF(NOT(ISNA(VLOOKUP(E6614,E$1:E6613,1,FALSE()))),"OLD",IF(AND(E6614&lt;&gt;"",E6614&lt;&gt;"!!!"),"NEW","")))</f>
        <v> </v>
      </c>
      <c r="G6614" s="24" t="str">
        <f>IF(OR(E6614="",E6614="!!!"),"",IF(OR(J6614=0,AND(J6614=1,K6614=1),AND(J6614=1,I6614="SBJ"),AND(J6614=1,I6614=0)),"?IN_FOCUS",IF(J6614&lt;=2,"?ACTIVATED",IF(J6614&lt;&gt;"","?FAMILIAR",IF(F6614="NEW",IF(ISNA(VLOOKUP(E6614,#REF!,1,FALSE())),"?TYPE_IDENTIFIABLE","?REFERENTIAL"),"_")))))</f>
        <v> </v>
      </c>
      <c r="H6614" s="25" t="str">
        <f>IF(J6614&lt;&gt;1,"",IF(I6614="SBJ","CB","?"))</f>
        <v> </v>
      </c>
      <c r="I6614" s="26" t="str">
        <f>IF(OR(E6614="",E6614="!!!",F6614="NEW"),"",INDEX(B6613:B$2,-1+SUMPRODUCT(MAX(ROW(E6613:E$2)*(E6614=E6613:E$2)))))</f>
        <v> </v>
      </c>
      <c r="J6614" s="26" t="str">
        <f>IF(OR(E6614="",E6614="!!!",F6614="NEW"),"",COUNTBLANK(OFFSET(A$1,,,SUMPRODUCT(MAX(ROW(E$2:E6614)*(E6614=E$2:E6614)))))-COUNTBLANK(OFFSET(A$1,,,SUMPRODUCT(MAX(ROW(E$1:E6613)*(E2=E$1:E6613))))))</f>
        <v> </v>
      </c>
      <c r="K6614" s="26" t="str">
        <f>IF(OR(E6614="",E6614="!!!",F6614="NEW"),"",INDEX(J$1:J6613,SUMPRODUCT(MAX(ROW(E$1:E6613)*(E6614=E$1:E6613)))))</f>
        <v> </v>
      </c>
      <c r="L6614" s="27"/>
    </row>
    <row r="6615" spans="1:12">
      <c r="A6615" s="20" t="s">
        <v>1494</v>
      </c>
      <c r="E6615" s="22">
        <f>IF(D6615="?OLD","!!!","")</f>
        <v/>
      </c>
      <c r="F6615" s="23" t="str">
        <f>IF(OR(E6615="",E6615="!!!"),"",IF(NOT(ISNA(VLOOKUP(E6615,E$1:E6614,1,FALSE()))),"OLD",IF(AND(E6615&lt;&gt;"",E6615&lt;&gt;"!!!"),"NEW","")))</f>
        <v> </v>
      </c>
      <c r="G6615" s="24" t="str">
        <f>IF(OR(E6615="",E6615="!!!"),"",IF(OR(J6615=0,AND(J6615=1,K6615=1),AND(J6615=1,I6615="SBJ"),AND(J6615=1,I6615=0)),"?IN_FOCUS",IF(J6615&lt;=2,"?ACTIVATED",IF(J6615&lt;&gt;"","?FAMILIAR",IF(F6615="NEW",IF(ISNA(VLOOKUP(E6615,#REF!,1,FALSE())),"?TYPE_IDENTIFIABLE","?REFERENTIAL"),"_")))))</f>
        <v> </v>
      </c>
      <c r="H6615" s="25" t="str">
        <f>IF(J6615&lt;&gt;1,"",IF(I6615="SBJ","CB","?"))</f>
        <v> </v>
      </c>
      <c r="I6615" s="26" t="str">
        <f>IF(OR(E6615="",E6615="!!!",F6615="NEW"),"",INDEX(B6614:B$2,-1+SUMPRODUCT(MAX(ROW(E6614:E$2)*(E6615=E6614:E$2)))))</f>
        <v> </v>
      </c>
      <c r="J6615" s="26" t="str">
        <f>IF(OR(E6615="",E6615="!!!",F6615="NEW"),"",COUNTBLANK(OFFSET(A$1,,,SUMPRODUCT(MAX(ROW(E$2:E6615)*(E6615=E$2:E6615)))))-COUNTBLANK(OFFSET(A$1,,,SUMPRODUCT(MAX(ROW(E$1:E6614)*(E2=E$1:E6614))))))</f>
        <v> </v>
      </c>
      <c r="K6615" s="26" t="str">
        <f>IF(OR(E6615="",E6615="!!!",F6615="NEW"),"",INDEX(J$1:J6614,SUMPRODUCT(MAX(ROW(E$1:E6614)*(E6615=E$1:E6614)))))</f>
        <v> </v>
      </c>
      <c r="L6615" s="27"/>
    </row>
    <row r="6616" spans="1:12">
      <c r="A6616" s="20" t="s">
        <v>2943</v>
      </c>
      <c r="E6616" s="22">
        <f>IF(D6616="?OLD","!!!","")</f>
        <v/>
      </c>
      <c r="F6616" s="23" t="str">
        <f>IF(OR(E6616="",E6616="!!!"),"",IF(NOT(ISNA(VLOOKUP(E6616,E$1:E6615,1,FALSE()))),"OLD",IF(AND(E6616&lt;&gt;"",E6616&lt;&gt;"!!!"),"NEW","")))</f>
        <v> </v>
      </c>
      <c r="G6616" s="24" t="str">
        <f>IF(OR(E6616="",E6616="!!!"),"",IF(OR(J6616=0,AND(J6616=1,K6616=1),AND(J6616=1,I6616="SBJ"),AND(J6616=1,I6616=0)),"?IN_FOCUS",IF(J6616&lt;=2,"?ACTIVATED",IF(J6616&lt;&gt;"","?FAMILIAR",IF(F6616="NEW",IF(ISNA(VLOOKUP(E6616,#REF!,1,FALSE())),"?TYPE_IDENTIFIABLE","?REFERENTIAL"),"_")))))</f>
        <v> </v>
      </c>
      <c r="H6616" s="25" t="str">
        <f>IF(J6616&lt;&gt;1,"",IF(I6616="SBJ","CB","?"))</f>
        <v> </v>
      </c>
      <c r="I6616" s="26" t="str">
        <f>IF(OR(E6616="",E6616="!!!",F6616="NEW"),"",INDEX(B6615:B$2,-1+SUMPRODUCT(MAX(ROW(E6615:E$2)*(E6616=E6615:E$2)))))</f>
        <v> </v>
      </c>
      <c r="J6616" s="26" t="str">
        <f>IF(OR(E6616="",E6616="!!!",F6616="NEW"),"",COUNTBLANK(OFFSET(A$1,,,SUMPRODUCT(MAX(ROW(E$2:E6616)*(E6616=E$2:E6616)))))-COUNTBLANK(OFFSET(A$1,,,SUMPRODUCT(MAX(ROW(E$1:E6615)*(E2=E$1:E6615))))))</f>
        <v> </v>
      </c>
      <c r="K6616" s="26" t="str">
        <f>IF(OR(E6616="",E6616="!!!",F6616="NEW"),"",INDEX(J$1:J6615,SUMPRODUCT(MAX(ROW(E$1:E6615)*(E6616=E$1:E6615)))))</f>
        <v> </v>
      </c>
      <c r="L6616" s="27"/>
    </row>
    <row r="6617" spans="1:12">
      <c r="A6617" s="20" t="s">
        <v>1345</v>
      </c>
      <c r="B6617" s="21" t="s">
        <v>1313</v>
      </c>
      <c r="C6617" s="21" t="s">
        <v>1231</v>
      </c>
      <c r="E6617" s="22">
        <f>IF(D6617="?OLD","!!!","")</f>
        <v/>
      </c>
      <c r="F6617" s="23" t="str">
        <f>IF(OR(E6617="",E6617="!!!"),"",IF(NOT(ISNA(VLOOKUP(E6617,E$1:E6616,1,FALSE()))),"OLD",IF(AND(E6617&lt;&gt;"",E6617&lt;&gt;"!!!"),"NEW","")))</f>
        <v> </v>
      </c>
      <c r="G6617" s="24" t="str">
        <f>IF(OR(E6617="",E6617="!!!"),"",IF(OR(J6617=0,AND(J6617=1,K6617=1),AND(J6617=1,I6617="SBJ"),AND(J6617=1,I6617=0)),"?IN_FOCUS",IF(J6617&lt;=2,"?ACTIVATED",IF(J6617&lt;&gt;"","?FAMILIAR",IF(F6617="NEW",IF(ISNA(VLOOKUP(E6617,#REF!,1,FALSE())),"?TYPE_IDENTIFIABLE","?REFERENTIAL"),"_")))))</f>
        <v> </v>
      </c>
      <c r="H6617" s="25" t="str">
        <f>IF(J6617&lt;&gt;1,"",IF(I6617="SBJ","CB","?"))</f>
        <v> </v>
      </c>
      <c r="I6617" s="26" t="str">
        <f>IF(OR(E6617="",E6617="!!!",F6617="NEW"),"",INDEX(B6616:B$2,-1+SUMPRODUCT(MAX(ROW(E6616:E$2)*(E6617=E6616:E$2)))))</f>
        <v> </v>
      </c>
      <c r="J6617" s="26" t="str">
        <f>IF(OR(E6617="",E6617="!!!",F6617="NEW"),"",COUNTBLANK(OFFSET(A$1,,,SUMPRODUCT(MAX(ROW(E$2:E6617)*(E6617=E$2:E6617)))))-COUNTBLANK(OFFSET(A$1,,,SUMPRODUCT(MAX(ROW(E$1:E6616)*(E2=E$1:E6616))))))</f>
        <v> </v>
      </c>
      <c r="K6617" s="26" t="str">
        <f>IF(OR(E6617="",E6617="!!!",F6617="NEW"),"",INDEX(J$1:J6616,SUMPRODUCT(MAX(ROW(E$1:E6616)*(E6617=E$1:E6616)))))</f>
        <v> </v>
      </c>
      <c r="L6617" s="27"/>
    </row>
    <row r="6618" spans="1:12">
      <c r="A6618" s="20" t="s">
        <v>1337</v>
      </c>
      <c r="E6618" s="22">
        <f>IF(D6618="?OLD","!!!","")</f>
        <v/>
      </c>
      <c r="F6618" s="23" t="str">
        <f>IF(OR(E6618="",E6618="!!!"),"",IF(NOT(ISNA(VLOOKUP(E6618,E$1:E6617,1,FALSE()))),"OLD",IF(AND(E6618&lt;&gt;"",E6618&lt;&gt;"!!!"),"NEW","")))</f>
        <v> </v>
      </c>
      <c r="G6618" s="24" t="str">
        <f>IF(OR(E6618="",E6618="!!!"),"",IF(OR(J6618=0,AND(J6618=1,K6618=1),AND(J6618=1,I6618="SBJ"),AND(J6618=1,I6618=0)),"?IN_FOCUS",IF(J6618&lt;=2,"?ACTIVATED",IF(J6618&lt;&gt;"","?FAMILIAR",IF(F6618="NEW",IF(ISNA(VLOOKUP(E6618,#REF!,1,FALSE())),"?TYPE_IDENTIFIABLE","?REFERENTIAL"),"_")))))</f>
        <v> </v>
      </c>
      <c r="H6618" s="25" t="str">
        <f>IF(J6618&lt;&gt;1,"",IF(I6618="SBJ","CB","?"))</f>
        <v> </v>
      </c>
      <c r="I6618" s="26" t="str">
        <f>IF(OR(E6618="",E6618="!!!",F6618="NEW"),"",INDEX(B6617:B$2,-1+SUMPRODUCT(MAX(ROW(E6617:E$2)*(E6618=E6617:E$2)))))</f>
        <v> </v>
      </c>
      <c r="J6618" s="26" t="str">
        <f>IF(OR(E6618="",E6618="!!!",F6618="NEW"),"",COUNTBLANK(OFFSET(A$1,,,SUMPRODUCT(MAX(ROW(E$2:E6618)*(E6618=E$2:E6618)))))-COUNTBLANK(OFFSET(A$1,,,SUMPRODUCT(MAX(ROW(E$1:E6617)*(E2=E$1:E6617))))))</f>
        <v> </v>
      </c>
      <c r="K6618" s="26" t="str">
        <f>IF(OR(E6618="",E6618="!!!",F6618="NEW"),"",INDEX(J$1:J6617,SUMPRODUCT(MAX(ROW(E$1:E6617)*(E6618=E$1:E6617)))))</f>
        <v> </v>
      </c>
      <c r="L6618" s="27"/>
    </row>
    <row r="6619" spans="1:12">
      <c r="A6619" s="20" t="s">
        <v>163</v>
      </c>
      <c r="E6619" s="22">
        <f>IF(D6619="?OLD","!!!","")</f>
        <v/>
      </c>
      <c r="F6619" s="23" t="str">
        <f>IF(OR(E6619="",E6619="!!!"),"",IF(NOT(ISNA(VLOOKUP(E6619,E$1:E6618,1,FALSE()))),"OLD",IF(AND(E6619&lt;&gt;"",E6619&lt;&gt;"!!!"),"NEW","")))</f>
        <v> </v>
      </c>
      <c r="G6619" s="24" t="str">
        <f>IF(OR(E6619="",E6619="!!!"),"",IF(OR(J6619=0,AND(J6619=1,K6619=1),AND(J6619=1,I6619="SBJ"),AND(J6619=1,I6619=0)),"?IN_FOCUS",IF(J6619&lt;=2,"?ACTIVATED",IF(J6619&lt;&gt;"","?FAMILIAR",IF(F6619="NEW",IF(ISNA(VLOOKUP(E6619,#REF!,1,FALSE())),"?TYPE_IDENTIFIABLE","?REFERENTIAL"),"_")))))</f>
        <v> </v>
      </c>
      <c r="H6619" s="25" t="str">
        <f>IF(J6619&lt;&gt;1,"",IF(I6619="SBJ","CB","?"))</f>
        <v> </v>
      </c>
      <c r="I6619" s="26" t="str">
        <f>IF(OR(E6619="",E6619="!!!",F6619="NEW"),"",INDEX(B6618:B$2,-1+SUMPRODUCT(MAX(ROW(E6618:E$2)*(E6619=E6618:E$2)))))</f>
        <v> </v>
      </c>
      <c r="J6619" s="26" t="str">
        <f>IF(OR(E6619="",E6619="!!!",F6619="NEW"),"",COUNTBLANK(OFFSET(A$1,,,SUMPRODUCT(MAX(ROW(E$2:E6619)*(E6619=E$2:E6619)))))-COUNTBLANK(OFFSET(A$1,,,SUMPRODUCT(MAX(ROW(E$1:E6618)*(E2=E$1:E6618))))))</f>
        <v> </v>
      </c>
      <c r="K6619" s="26" t="str">
        <f>IF(OR(E6619="",E6619="!!!",F6619="NEW"),"",INDEX(J$1:J6618,SUMPRODUCT(MAX(ROW(E$1:E6618)*(E6619=E$1:E6618)))))</f>
        <v> </v>
      </c>
      <c r="L6619" s="27"/>
    </row>
    <row r="6620" spans="1:12">
      <c r="A6620" s="20" t="s">
        <v>826</v>
      </c>
      <c r="E6620" s="22">
        <f>IF(D6620="?OLD","!!!","")</f>
        <v/>
      </c>
      <c r="F6620" s="23" t="str">
        <f>IF(OR(E6620="",E6620="!!!"),"",IF(NOT(ISNA(VLOOKUP(E6620,E$1:E6619,1,FALSE()))),"OLD",IF(AND(E6620&lt;&gt;"",E6620&lt;&gt;"!!!"),"NEW","")))</f>
        <v> </v>
      </c>
      <c r="G6620" s="24" t="str">
        <f>IF(OR(E6620="",E6620="!!!"),"",IF(OR(J6620=0,AND(J6620=1,K6620=1),AND(J6620=1,I6620="SBJ"),AND(J6620=1,I6620=0)),"?IN_FOCUS",IF(J6620&lt;=2,"?ACTIVATED",IF(J6620&lt;&gt;"","?FAMILIAR",IF(F6620="NEW",IF(ISNA(VLOOKUP(E6620,#REF!,1,FALSE())),"?TYPE_IDENTIFIABLE","?REFERENTIAL"),"_")))))</f>
        <v> </v>
      </c>
      <c r="H6620" s="25" t="str">
        <f>IF(J6620&lt;&gt;1,"",IF(I6620="SBJ","CB","?"))</f>
        <v> </v>
      </c>
      <c r="I6620" s="26" t="str">
        <f>IF(OR(E6620="",E6620="!!!",F6620="NEW"),"",INDEX(B6619:B$2,-1+SUMPRODUCT(MAX(ROW(E6619:E$2)*(E6620=E6619:E$2)))))</f>
        <v> </v>
      </c>
      <c r="J6620" s="26" t="str">
        <f>IF(OR(E6620="",E6620="!!!",F6620="NEW"),"",COUNTBLANK(OFFSET(A$1,,,SUMPRODUCT(MAX(ROW(E$2:E6620)*(E6620=E$2:E6620)))))-COUNTBLANK(OFFSET(A$1,,,SUMPRODUCT(MAX(ROW(E$1:E6619)*(E2=E$1:E6619))))))</f>
        <v> </v>
      </c>
      <c r="K6620" s="26" t="str">
        <f>IF(OR(E6620="",E6620="!!!",F6620="NEW"),"",INDEX(J$1:J6619,SUMPRODUCT(MAX(ROW(E$1:E6619)*(E6620=E$1:E6619)))))</f>
        <v> </v>
      </c>
      <c r="L6620" s="27"/>
    </row>
    <row r="6621" spans="1:12">
      <c r="A6621" s="20"/>
    </row>
    <row r="6622" spans="1:12">
      <c r="A6622" s="20" t="s">
        <v>2944</v>
      </c>
    </row>
    <row r="6623" spans="1:12">
      <c r="A6623" s="20" t="s">
        <v>1364</v>
      </c>
      <c r="B6623" s="21" t="s">
        <v>1202</v>
      </c>
      <c r="C6623" s="21" t="s">
        <v>1246</v>
      </c>
      <c r="D6623" s="21" t="s">
        <v>1188</v>
      </c>
      <c r="E6623" s="22">
        <f>IF(D6623="?OLD","!!!","")</f>
        <v/>
      </c>
      <c r="F6623" s="23" t="str">
        <f>IF(OR(E6623="",E6623="!!!"),"",IF(NOT(ISNA(VLOOKUP(E6623,E$1:E6622,1,FALSE()))),"OLD",IF(AND(E6623&lt;&gt;"",E6623&lt;&gt;"!!!"),"NEW","")))</f>
        <v> </v>
      </c>
      <c r="G6623" s="24" t="str">
        <f>IF(OR(E6623="",E6623="!!!"),"",IF(OR(J6623=0,AND(J6623=1,K6623=1),AND(J6623=1,I6623="SBJ"),AND(J6623=1,I6623=0)),"?IN_FOCUS",IF(J6623&lt;=2,"?ACTIVATED",IF(J6623&lt;&gt;"","?FAMILIAR",IF(F6623="NEW",IF(ISNA(VLOOKUP(E6623,#REF!,1,FALSE())),"?TYPE_IDENTIFIABLE","?REFERENTIAL"),"_")))))</f>
        <v> </v>
      </c>
      <c r="H6623" s="25" t="str">
        <f>IF(J6623&lt;&gt;1,"",IF(I6623="SBJ","CB","?"))</f>
        <v> </v>
      </c>
      <c r="I6623" s="26" t="str">
        <f>IF(OR(E6623="",E6623="!!!",F6623="NEW"),"",INDEX(B6622:B$2,-1+SUMPRODUCT(MAX(ROW(E6622:E$2)*(E6623=E6622:E$2)))))</f>
        <v> </v>
      </c>
      <c r="J6623" s="26" t="str">
        <f>IF(OR(E6623="",E6623="!!!",F6623="NEW"),"",COUNTBLANK(OFFSET(A$1,,,SUMPRODUCT(MAX(ROW(E$2:E6623)*(E6623=E$2:E6623)))))-COUNTBLANK(OFFSET(A$1,,,SUMPRODUCT(MAX(ROW(E$1:E6622)*(E2=E$1:E6622))))))</f>
        <v> </v>
      </c>
      <c r="K6623" s="26" t="str">
        <f>IF(OR(E6623="",E6623="!!!",F6623="NEW"),"",INDEX(J$1:J6622,SUMPRODUCT(MAX(ROW(E$1:E6622)*(E6623=E$1:E6622)))))</f>
        <v> </v>
      </c>
      <c r="L6623" s="27"/>
    </row>
    <row r="6624" spans="1:12">
      <c r="A6624" s="20" t="s">
        <v>1444</v>
      </c>
      <c r="E6624" s="22">
        <f>IF(D6624="?OLD","!!!","")</f>
        <v/>
      </c>
      <c r="F6624" s="23" t="str">
        <f>IF(OR(E6624="",E6624="!!!"),"",IF(NOT(ISNA(VLOOKUP(E6624,E$1:E6623,1,FALSE()))),"OLD",IF(AND(E6624&lt;&gt;"",E6624&lt;&gt;"!!!"),"NEW","")))</f>
        <v> </v>
      </c>
      <c r="G6624" s="24" t="str">
        <f>IF(OR(E6624="",E6624="!!!"),"",IF(OR(J6624=0,AND(J6624=1,K6624=1),AND(J6624=1,I6624="SBJ"),AND(J6624=1,I6624=0)),"?IN_FOCUS",IF(J6624&lt;=2,"?ACTIVATED",IF(J6624&lt;&gt;"","?FAMILIAR",IF(F6624="NEW",IF(ISNA(VLOOKUP(E6624,#REF!,1,FALSE())),"?TYPE_IDENTIFIABLE","?REFERENTIAL"),"_")))))</f>
        <v> </v>
      </c>
      <c r="H6624" s="25" t="str">
        <f>IF(J6624&lt;&gt;1,"",IF(I6624="SBJ","CB","?"))</f>
        <v> </v>
      </c>
      <c r="I6624" s="26" t="str">
        <f>IF(OR(E6624="",E6624="!!!",F6624="NEW"),"",INDEX(B6623:B$2,-1+SUMPRODUCT(MAX(ROW(E6623:E$2)*(E6624=E6623:E$2)))))</f>
        <v> </v>
      </c>
      <c r="J6624" s="26" t="str">
        <f>IF(OR(E6624="",E6624="!!!",F6624="NEW"),"",COUNTBLANK(OFFSET(A$1,,,SUMPRODUCT(MAX(ROW(E$2:E6624)*(E6624=E$2:E6624)))))-COUNTBLANK(OFFSET(A$1,,,SUMPRODUCT(MAX(ROW(E$1:E6623)*(E2=E$1:E6623))))))</f>
        <v> </v>
      </c>
      <c r="K6624" s="26" t="str">
        <f>IF(OR(E6624="",E6624="!!!",F6624="NEW"),"",INDEX(J$1:J6623,SUMPRODUCT(MAX(ROW(E$1:E6623)*(E6624=E$1:E6623)))))</f>
        <v> </v>
      </c>
      <c r="L6624" s="27"/>
    </row>
    <row r="6625" spans="1:12">
      <c r="A6625" s="20" t="s">
        <v>1462</v>
      </c>
      <c r="B6625" s="21" t="s">
        <v>1199</v>
      </c>
      <c r="C6625" s="21" t="s">
        <v>1304</v>
      </c>
      <c r="D6625" s="21" t="s">
        <v>1188</v>
      </c>
      <c r="E6625" s="22">
        <f>IF(D6625="?OLD","!!!","")</f>
        <v/>
      </c>
      <c r="F6625" s="23" t="str">
        <f>IF(OR(E6625="",E6625="!!!"),"",IF(NOT(ISNA(VLOOKUP(E6625,E$1:E6624,1,FALSE()))),"OLD",IF(AND(E6625&lt;&gt;"",E6625&lt;&gt;"!!!"),"NEW","")))</f>
        <v> </v>
      </c>
      <c r="G6625" s="24" t="str">
        <f>IF(OR(E6625="",E6625="!!!"),"",IF(OR(J6625=0,AND(J6625=1,K6625=1),AND(J6625=1,I6625="SBJ"),AND(J6625=1,I6625=0)),"?IN_FOCUS",IF(J6625&lt;=2,"?ACTIVATED",IF(J6625&lt;&gt;"","?FAMILIAR",IF(F6625="NEW",IF(ISNA(VLOOKUP(E6625,#REF!,1,FALSE())),"?TYPE_IDENTIFIABLE","?REFERENTIAL"),"_")))))</f>
        <v> </v>
      </c>
      <c r="H6625" s="25" t="str">
        <f>IF(J6625&lt;&gt;1,"",IF(I6625="SBJ","CB","?"))</f>
        <v> </v>
      </c>
      <c r="I6625" s="26" t="str">
        <f>IF(OR(E6625="",E6625="!!!",F6625="NEW"),"",INDEX(B6624:B$2,-1+SUMPRODUCT(MAX(ROW(E6624:E$2)*(E6625=E6624:E$2)))))</f>
        <v> </v>
      </c>
      <c r="J6625" s="26" t="str">
        <f>IF(OR(E6625="",E6625="!!!",F6625="NEW"),"",COUNTBLANK(OFFSET(A$1,,,SUMPRODUCT(MAX(ROW(E$2:E6625)*(E6625=E$2:E6625)))))-COUNTBLANK(OFFSET(A$1,,,SUMPRODUCT(MAX(ROW(E$1:E6624)*(E2=E$1:E6624))))))</f>
        <v> </v>
      </c>
      <c r="K6625" s="26" t="str">
        <f>IF(OR(E6625="",E6625="!!!",F6625="NEW"),"",INDEX(J$1:J6624,SUMPRODUCT(MAX(ROW(E$1:E6624)*(E6625=E$1:E6624)))))</f>
        <v> </v>
      </c>
      <c r="L6625" s="27"/>
    </row>
    <row r="6626" spans="1:12">
      <c r="A6626" s="20" t="s">
        <v>914</v>
      </c>
      <c r="B6626" s="21" t="s">
        <v>1202</v>
      </c>
      <c r="C6626" s="21" t="s">
        <v>1192</v>
      </c>
      <c r="E6626" s="22">
        <f>IF(D6626="?OLD","!!!","")</f>
        <v/>
      </c>
      <c r="F6626" s="23" t="str">
        <f>IF(OR(E6626="",E6626="!!!"),"",IF(NOT(ISNA(VLOOKUP(E6626,E$1:E6625,1,FALSE()))),"OLD",IF(AND(E6626&lt;&gt;"",E6626&lt;&gt;"!!!"),"NEW","")))</f>
        <v> </v>
      </c>
      <c r="G6626" s="24" t="str">
        <f>IF(OR(E6626="",E6626="!!!"),"",IF(OR(J6626=0,AND(J6626=1,K6626=1),AND(J6626=1,I6626="SBJ"),AND(J6626=1,I6626=0)),"?IN_FOCUS",IF(J6626&lt;=2,"?ACTIVATED",IF(J6626&lt;&gt;"","?FAMILIAR",IF(F6626="NEW",IF(ISNA(VLOOKUP(E6626,#REF!,1,FALSE())),"?TYPE_IDENTIFIABLE","?REFERENTIAL"),"_")))))</f>
        <v> </v>
      </c>
      <c r="H6626" s="25" t="str">
        <f>IF(J6626&lt;&gt;1,"",IF(I6626="SBJ","CB","?"))</f>
        <v> </v>
      </c>
      <c r="I6626" s="26" t="str">
        <f>IF(OR(E6626="",E6626="!!!",F6626="NEW"),"",INDEX(B6625:B$2,-1+SUMPRODUCT(MAX(ROW(E6625:E$2)*(E6626=E6625:E$2)))))</f>
        <v> </v>
      </c>
      <c r="J6626" s="26" t="str">
        <f>IF(OR(E6626="",E6626="!!!",F6626="NEW"),"",COUNTBLANK(OFFSET(A$1,,,SUMPRODUCT(MAX(ROW(E$2:E6626)*(E6626=E$2:E6626)))))-COUNTBLANK(OFFSET(A$1,,,SUMPRODUCT(MAX(ROW(E$1:E6625)*(E2=E$1:E6625))))))</f>
        <v> </v>
      </c>
      <c r="K6626" s="26" t="str">
        <f>IF(OR(E6626="",E6626="!!!",F6626="NEW"),"",INDEX(J$1:J6625,SUMPRODUCT(MAX(ROW(E$1:E6625)*(E6626=E$1:E6625)))))</f>
        <v> </v>
      </c>
      <c r="L6626" s="27"/>
    </row>
    <row r="6627" spans="1:12">
      <c r="A6627" s="20" t="s">
        <v>1321</v>
      </c>
      <c r="E6627" s="22">
        <f>IF(D6627="?OLD","!!!","")</f>
        <v/>
      </c>
      <c r="F6627" s="23" t="str">
        <f>IF(OR(E6627="",E6627="!!!"),"",IF(NOT(ISNA(VLOOKUP(E6627,E$1:E6626,1,FALSE()))),"OLD",IF(AND(E6627&lt;&gt;"",E6627&lt;&gt;"!!!"),"NEW","")))</f>
        <v> </v>
      </c>
      <c r="G6627" s="24" t="str">
        <f>IF(OR(E6627="",E6627="!!!"),"",IF(OR(J6627=0,AND(J6627=1,K6627=1),AND(J6627=1,I6627="SBJ"),AND(J6627=1,I6627=0)),"?IN_FOCUS",IF(J6627&lt;=2,"?ACTIVATED",IF(J6627&lt;&gt;"","?FAMILIAR",IF(F6627="NEW",IF(ISNA(VLOOKUP(E6627,#REF!,1,FALSE())),"?TYPE_IDENTIFIABLE","?REFERENTIAL"),"_")))))</f>
        <v> </v>
      </c>
      <c r="H6627" s="25" t="str">
        <f>IF(J6627&lt;&gt;1,"",IF(I6627="SBJ","CB","?"))</f>
        <v> </v>
      </c>
      <c r="I6627" s="26" t="str">
        <f>IF(OR(E6627="",E6627="!!!",F6627="NEW"),"",INDEX(B6626:B$2,-1+SUMPRODUCT(MAX(ROW(E6626:E$2)*(E6627=E6626:E$2)))))</f>
        <v> </v>
      </c>
      <c r="J6627" s="26" t="str">
        <f>IF(OR(E6627="",E6627="!!!",F6627="NEW"),"",COUNTBLANK(OFFSET(A$1,,,SUMPRODUCT(MAX(ROW(E$2:E6627)*(E6627=E$2:E6627)))))-COUNTBLANK(OFFSET(A$1,,,SUMPRODUCT(MAX(ROW(E$1:E6626)*(E2=E$1:E6626))))))</f>
        <v> </v>
      </c>
      <c r="K6627" s="26" t="str">
        <f>IF(OR(E6627="",E6627="!!!",F6627="NEW"),"",INDEX(J$1:J6626,SUMPRODUCT(MAX(ROW(E$1:E6626)*(E6627=E$1:E6626)))))</f>
        <v> </v>
      </c>
      <c r="L6627" s="27"/>
    </row>
    <row r="6628" spans="1:12">
      <c r="A6628" s="20" t="s">
        <v>1157</v>
      </c>
      <c r="E6628" s="22">
        <f>IF(D6628="?OLD","!!!","")</f>
        <v/>
      </c>
      <c r="F6628" s="23" t="str">
        <f>IF(OR(E6628="",E6628="!!!"),"",IF(NOT(ISNA(VLOOKUP(E6628,E$1:E6627,1,FALSE()))),"OLD",IF(AND(E6628&lt;&gt;"",E6628&lt;&gt;"!!!"),"NEW","")))</f>
        <v> </v>
      </c>
      <c r="G6628" s="24" t="str">
        <f>IF(OR(E6628="",E6628="!!!"),"",IF(OR(J6628=0,AND(J6628=1,K6628=1),AND(J6628=1,I6628="SBJ"),AND(J6628=1,I6628=0)),"?IN_FOCUS",IF(J6628&lt;=2,"?ACTIVATED",IF(J6628&lt;&gt;"","?FAMILIAR",IF(F6628="NEW",IF(ISNA(VLOOKUP(E6628,#REF!,1,FALSE())),"?TYPE_IDENTIFIABLE","?REFERENTIAL"),"_")))))</f>
        <v> </v>
      </c>
      <c r="H6628" s="25" t="str">
        <f>IF(J6628&lt;&gt;1,"",IF(I6628="SBJ","CB","?"))</f>
        <v> </v>
      </c>
      <c r="I6628" s="26" t="str">
        <f>IF(OR(E6628="",E6628="!!!",F6628="NEW"),"",INDEX(B6627:B$2,-1+SUMPRODUCT(MAX(ROW(E6627:E$2)*(E6628=E6627:E$2)))))</f>
        <v> </v>
      </c>
      <c r="J6628" s="26" t="str">
        <f>IF(OR(E6628="",E6628="!!!",F6628="NEW"),"",COUNTBLANK(OFFSET(A$1,,,SUMPRODUCT(MAX(ROW(E$2:E6628)*(E6628=E$2:E6628)))))-COUNTBLANK(OFFSET(A$1,,,SUMPRODUCT(MAX(ROW(E$1:E6627)*(E2=E$1:E6627))))))</f>
        <v> </v>
      </c>
      <c r="K6628" s="26" t="str">
        <f>IF(OR(E6628="",E6628="!!!",F6628="NEW"),"",INDEX(J$1:J6627,SUMPRODUCT(MAX(ROW(E$1:E6627)*(E6628=E$1:E6627)))))</f>
        <v> </v>
      </c>
      <c r="L6628" s="27"/>
    </row>
    <row r="6629" spans="1:12">
      <c r="A6629" s="20" t="s">
        <v>1193</v>
      </c>
      <c r="E6629" s="22">
        <f>IF(D6629="?OLD","!!!","")</f>
        <v/>
      </c>
      <c r="F6629" s="23" t="str">
        <f>IF(OR(E6629="",E6629="!!!"),"",IF(NOT(ISNA(VLOOKUP(E6629,E$1:E6628,1,FALSE()))),"OLD",IF(AND(E6629&lt;&gt;"",E6629&lt;&gt;"!!!"),"NEW","")))</f>
        <v> </v>
      </c>
      <c r="G6629" s="24" t="str">
        <f>IF(OR(E6629="",E6629="!!!"),"",IF(OR(J6629=0,AND(J6629=1,K6629=1),AND(J6629=1,I6629="SBJ"),AND(J6629=1,I6629=0)),"?IN_FOCUS",IF(J6629&lt;=2,"?ACTIVATED",IF(J6629&lt;&gt;"","?FAMILIAR",IF(F6629="NEW",IF(ISNA(VLOOKUP(E6629,#REF!,1,FALSE())),"?TYPE_IDENTIFIABLE","?REFERENTIAL"),"_")))))</f>
        <v> </v>
      </c>
      <c r="H6629" s="25" t="str">
        <f>IF(J6629&lt;&gt;1,"",IF(I6629="SBJ","CB","?"))</f>
        <v> </v>
      </c>
      <c r="I6629" s="26" t="str">
        <f>IF(OR(E6629="",E6629="!!!",F6629="NEW"),"",INDEX(B6628:B$2,-1+SUMPRODUCT(MAX(ROW(E6628:E$2)*(E6629=E6628:E$2)))))</f>
        <v> </v>
      </c>
      <c r="J6629" s="26" t="str">
        <f>IF(OR(E6629="",E6629="!!!",F6629="NEW"),"",COUNTBLANK(OFFSET(A$1,,,SUMPRODUCT(MAX(ROW(E$2:E6629)*(E6629=E$2:E6629)))))-COUNTBLANK(OFFSET(A$1,,,SUMPRODUCT(MAX(ROW(E$1:E6628)*(E2=E$1:E6628))))))</f>
        <v> </v>
      </c>
      <c r="K6629" s="26" t="str">
        <f>IF(OR(E6629="",E6629="!!!",F6629="NEW"),"",INDEX(J$1:J6628,SUMPRODUCT(MAX(ROW(E$1:E6628)*(E6629=E$1:E6628)))))</f>
        <v> </v>
      </c>
      <c r="L6629" s="27"/>
    </row>
    <row r="6630" spans="1:12">
      <c r="A6630" s="20" t="s">
        <v>1520</v>
      </c>
      <c r="E6630" s="22">
        <f>IF(D6630="?OLD","!!!","")</f>
        <v/>
      </c>
      <c r="F6630" s="23" t="str">
        <f>IF(OR(E6630="",E6630="!!!"),"",IF(NOT(ISNA(VLOOKUP(E6630,E$1:E6629,1,FALSE()))),"OLD",IF(AND(E6630&lt;&gt;"",E6630&lt;&gt;"!!!"),"NEW","")))</f>
        <v> </v>
      </c>
      <c r="G6630" s="24" t="str">
        <f>IF(OR(E6630="",E6630="!!!"),"",IF(OR(J6630=0,AND(J6630=1,K6630=1),AND(J6630=1,I6630="SBJ"),AND(J6630=1,I6630=0)),"?IN_FOCUS",IF(J6630&lt;=2,"?ACTIVATED",IF(J6630&lt;&gt;"","?FAMILIAR",IF(F6630="NEW",IF(ISNA(VLOOKUP(E6630,#REF!,1,FALSE())),"?TYPE_IDENTIFIABLE","?REFERENTIAL"),"_")))))</f>
        <v> </v>
      </c>
      <c r="H6630" s="25" t="str">
        <f>IF(J6630&lt;&gt;1,"",IF(I6630="SBJ","CB","?"))</f>
        <v> </v>
      </c>
      <c r="I6630" s="26" t="str">
        <f>IF(OR(E6630="",E6630="!!!",F6630="NEW"),"",INDEX(B6629:B$2,-1+SUMPRODUCT(MAX(ROW(E6629:E$2)*(E6630=E6629:E$2)))))</f>
        <v> </v>
      </c>
      <c r="J6630" s="26" t="str">
        <f>IF(OR(E6630="",E6630="!!!",F6630="NEW"),"",COUNTBLANK(OFFSET(A$1,,,SUMPRODUCT(MAX(ROW(E$2:E6630)*(E6630=E$2:E6630)))))-COUNTBLANK(OFFSET(A$1,,,SUMPRODUCT(MAX(ROW(E$1:E6629)*(E2=E$1:E6629))))))</f>
        <v> </v>
      </c>
      <c r="K6630" s="26" t="str">
        <f>IF(OR(E6630="",E6630="!!!",F6630="NEW"),"",INDEX(J$1:J6629,SUMPRODUCT(MAX(ROW(E$1:E6629)*(E6630=E$1:E6629)))))</f>
        <v> </v>
      </c>
      <c r="L6630" s="27"/>
    </row>
    <row r="6631" spans="1:12">
      <c r="A6631" s="20" t="s">
        <v>1532</v>
      </c>
      <c r="B6631" s="21" t="s">
        <v>1245</v>
      </c>
      <c r="C6631" s="21" t="s">
        <v>1192</v>
      </c>
      <c r="E6631" s="22">
        <f>IF(D6631="?OLD","!!!","")</f>
        <v/>
      </c>
      <c r="F6631" s="23" t="str">
        <f>IF(OR(E6631="",E6631="!!!"),"",IF(NOT(ISNA(VLOOKUP(E6631,E$1:E6630,1,FALSE()))),"OLD",IF(AND(E6631&lt;&gt;"",E6631&lt;&gt;"!!!"),"NEW","")))</f>
        <v> </v>
      </c>
      <c r="G6631" s="24" t="str">
        <f>IF(OR(E6631="",E6631="!!!"),"",IF(OR(J6631=0,AND(J6631=1,K6631=1),AND(J6631=1,I6631="SBJ"),AND(J6631=1,I6631=0)),"?IN_FOCUS",IF(J6631&lt;=2,"?ACTIVATED",IF(J6631&lt;&gt;"","?FAMILIAR",IF(F6631="NEW",IF(ISNA(VLOOKUP(E6631,#REF!,1,FALSE())),"?TYPE_IDENTIFIABLE","?REFERENTIAL"),"_")))))</f>
        <v> </v>
      </c>
      <c r="H6631" s="25" t="str">
        <f>IF(J6631&lt;&gt;1,"",IF(I6631="SBJ","CB","?"))</f>
        <v> </v>
      </c>
      <c r="I6631" s="26" t="str">
        <f>IF(OR(E6631="",E6631="!!!",F6631="NEW"),"",INDEX(B6630:B$2,-1+SUMPRODUCT(MAX(ROW(E6630:E$2)*(E6631=E6630:E$2)))))</f>
        <v> </v>
      </c>
      <c r="J6631" s="26" t="str">
        <f>IF(OR(E6631="",E6631="!!!",F6631="NEW"),"",COUNTBLANK(OFFSET(A$1,,,SUMPRODUCT(MAX(ROW(E$2:E6631)*(E6631=E$2:E6631)))))-COUNTBLANK(OFFSET(A$1,,,SUMPRODUCT(MAX(ROW(E$1:E6630)*(E2=E$1:E6630))))))</f>
        <v> </v>
      </c>
      <c r="K6631" s="26" t="str">
        <f>IF(OR(E6631="",E6631="!!!",F6631="NEW"),"",INDEX(J$1:J6630,SUMPRODUCT(MAX(ROW(E$1:E6630)*(E6631=E$1:E6630)))))</f>
        <v> </v>
      </c>
      <c r="L6631" s="27"/>
    </row>
    <row r="6632" spans="1:12">
      <c r="A6632" s="20" t="s">
        <v>1337</v>
      </c>
      <c r="E6632" s="22">
        <f>IF(D6632="?OLD","!!!","")</f>
        <v/>
      </c>
      <c r="F6632" s="23" t="str">
        <f>IF(OR(E6632="",E6632="!!!"),"",IF(NOT(ISNA(VLOOKUP(E6632,E$1:E6631,1,FALSE()))),"OLD",IF(AND(E6632&lt;&gt;"",E6632&lt;&gt;"!!!"),"NEW","")))</f>
        <v> </v>
      </c>
      <c r="G6632" s="24" t="str">
        <f>IF(OR(E6632="",E6632="!!!"),"",IF(OR(J6632=0,AND(J6632=1,K6632=1),AND(J6632=1,I6632="SBJ"),AND(J6632=1,I6632=0)),"?IN_FOCUS",IF(J6632&lt;=2,"?ACTIVATED",IF(J6632&lt;&gt;"","?FAMILIAR",IF(F6632="NEW",IF(ISNA(VLOOKUP(E6632,#REF!,1,FALSE())),"?TYPE_IDENTIFIABLE","?REFERENTIAL"),"_")))))</f>
        <v> </v>
      </c>
      <c r="H6632" s="25" t="str">
        <f>IF(J6632&lt;&gt;1,"",IF(I6632="SBJ","CB","?"))</f>
        <v> </v>
      </c>
      <c r="I6632" s="26" t="str">
        <f>IF(OR(E6632="",E6632="!!!",F6632="NEW"),"",INDEX(B6631:B$2,-1+SUMPRODUCT(MAX(ROW(E6631:E$2)*(E6632=E6631:E$2)))))</f>
        <v> </v>
      </c>
      <c r="J6632" s="26" t="str">
        <f>IF(OR(E6632="",E6632="!!!",F6632="NEW"),"",COUNTBLANK(OFFSET(A$1,,,SUMPRODUCT(MAX(ROW(E$2:E6632)*(E6632=E$2:E6632)))))-COUNTBLANK(OFFSET(A$1,,,SUMPRODUCT(MAX(ROW(E$1:E6631)*(E2=E$1:E6631))))))</f>
        <v> </v>
      </c>
      <c r="K6632" s="26" t="str">
        <f>IF(OR(E6632="",E6632="!!!",F6632="NEW"),"",INDEX(J$1:J6631,SUMPRODUCT(MAX(ROW(E$1:E6631)*(E6632=E$1:E6631)))))</f>
        <v> </v>
      </c>
      <c r="L6632" s="27"/>
    </row>
    <row r="6633" spans="1:12">
      <c r="A6633" s="20" t="s">
        <v>163</v>
      </c>
      <c r="E6633" s="22">
        <f>IF(D6633="?OLD","!!!","")</f>
        <v/>
      </c>
      <c r="F6633" s="23" t="str">
        <f>IF(OR(E6633="",E6633="!!!"),"",IF(NOT(ISNA(VLOOKUP(E6633,E$1:E6632,1,FALSE()))),"OLD",IF(AND(E6633&lt;&gt;"",E6633&lt;&gt;"!!!"),"NEW","")))</f>
        <v> </v>
      </c>
      <c r="G6633" s="24" t="str">
        <f>IF(OR(E6633="",E6633="!!!"),"",IF(OR(J6633=0,AND(J6633=1,K6633=1),AND(J6633=1,I6633="SBJ"),AND(J6633=1,I6633=0)),"?IN_FOCUS",IF(J6633&lt;=2,"?ACTIVATED",IF(J6633&lt;&gt;"","?FAMILIAR",IF(F6633="NEW",IF(ISNA(VLOOKUP(E6633,#REF!,1,FALSE())),"?TYPE_IDENTIFIABLE","?REFERENTIAL"),"_")))))</f>
        <v> </v>
      </c>
      <c r="H6633" s="25" t="str">
        <f>IF(J6633&lt;&gt;1,"",IF(I6633="SBJ","CB","?"))</f>
        <v> </v>
      </c>
      <c r="I6633" s="26" t="str">
        <f>IF(OR(E6633="",E6633="!!!",F6633="NEW"),"",INDEX(B6632:B$2,-1+SUMPRODUCT(MAX(ROW(E6632:E$2)*(E6633=E6632:E$2)))))</f>
        <v> </v>
      </c>
      <c r="J6633" s="26" t="str">
        <f>IF(OR(E6633="",E6633="!!!",F6633="NEW"),"",COUNTBLANK(OFFSET(A$1,,,SUMPRODUCT(MAX(ROW(E$2:E6633)*(E6633=E$2:E6633)))))-COUNTBLANK(OFFSET(A$1,,,SUMPRODUCT(MAX(ROW(E$1:E6632)*(E2=E$1:E6632))))))</f>
        <v> </v>
      </c>
      <c r="K6633" s="26" t="str">
        <f>IF(OR(E6633="",E6633="!!!",F6633="NEW"),"",INDEX(J$1:J6632,SUMPRODUCT(MAX(ROW(E$1:E6632)*(E6633=E$1:E6632)))))</f>
        <v> </v>
      </c>
      <c r="L6633" s="27"/>
    </row>
    <row r="6634" spans="1:12">
      <c r="A6634" s="20" t="s">
        <v>826</v>
      </c>
      <c r="E6634" s="22">
        <f>IF(D6634="?OLD","!!!","")</f>
        <v/>
      </c>
      <c r="F6634" s="23" t="str">
        <f>IF(OR(E6634="",E6634="!!!"),"",IF(NOT(ISNA(VLOOKUP(E6634,E$1:E6633,1,FALSE()))),"OLD",IF(AND(E6634&lt;&gt;"",E6634&lt;&gt;"!!!"),"NEW","")))</f>
        <v> </v>
      </c>
      <c r="G6634" s="24" t="str">
        <f>IF(OR(E6634="",E6634="!!!"),"",IF(OR(J6634=0,AND(J6634=1,K6634=1),AND(J6634=1,I6634="SBJ"),AND(J6634=1,I6634=0)),"?IN_FOCUS",IF(J6634&lt;=2,"?ACTIVATED",IF(J6634&lt;&gt;"","?FAMILIAR",IF(F6634="NEW",IF(ISNA(VLOOKUP(E6634,#REF!,1,FALSE())),"?TYPE_IDENTIFIABLE","?REFERENTIAL"),"_")))))</f>
        <v> </v>
      </c>
      <c r="H6634" s="25" t="str">
        <f>IF(J6634&lt;&gt;1,"",IF(I6634="SBJ","CB","?"))</f>
        <v> </v>
      </c>
      <c r="I6634" s="26" t="str">
        <f>IF(OR(E6634="",E6634="!!!",F6634="NEW"),"",INDEX(B6633:B$2,-1+SUMPRODUCT(MAX(ROW(E6633:E$2)*(E6634=E6633:E$2)))))</f>
        <v> </v>
      </c>
      <c r="J6634" s="26" t="str">
        <f>IF(OR(E6634="",E6634="!!!",F6634="NEW"),"",COUNTBLANK(OFFSET(A$1,,,SUMPRODUCT(MAX(ROW(E$2:E6634)*(E6634=E$2:E6634)))))-COUNTBLANK(OFFSET(A$1,,,SUMPRODUCT(MAX(ROW(E$1:E6633)*(E2=E$1:E6633))))))</f>
        <v> </v>
      </c>
      <c r="K6634" s="26" t="str">
        <f>IF(OR(E6634="",E6634="!!!",F6634="NEW"),"",INDEX(J$1:J6633,SUMPRODUCT(MAX(ROW(E$1:E6633)*(E6634=E$1:E6633)))))</f>
        <v> </v>
      </c>
      <c r="L6634" s="27"/>
    </row>
    <row r="6635" spans="1:12">
      <c r="A6635" s="20"/>
    </row>
    <row r="6636" spans="1:12">
      <c r="A6636" s="20" t="s">
        <v>2945</v>
      </c>
    </row>
    <row r="6637" spans="1:12">
      <c r="A6637" s="20" t="s">
        <v>959</v>
      </c>
      <c r="E6637" s="22">
        <f>IF(D6637="?OLD","!!!","")</f>
        <v/>
      </c>
      <c r="F6637" s="23" t="str">
        <f>IF(OR(E6637="",E6637="!!!"),"",IF(NOT(ISNA(VLOOKUP(E6637,E$1:E6636,1,FALSE()))),"OLD",IF(AND(E6637&lt;&gt;"",E6637&lt;&gt;"!!!"),"NEW","")))</f>
        <v> </v>
      </c>
      <c r="G6637" s="24" t="str">
        <f>IF(OR(E6637="",E6637="!!!"),"",IF(OR(J6637=0,AND(J6637=1,K6637=1),AND(J6637=1,I6637="SBJ"),AND(J6637=1,I6637=0)),"?IN_FOCUS",IF(J6637&lt;=2,"?ACTIVATED",IF(J6637&lt;&gt;"","?FAMILIAR",IF(F6637="NEW",IF(ISNA(VLOOKUP(E6637,#REF!,1,FALSE())),"?TYPE_IDENTIFIABLE","?REFERENTIAL"),"_")))))</f>
        <v> </v>
      </c>
      <c r="H6637" s="25" t="str">
        <f>IF(J6637&lt;&gt;1,"",IF(I6637="SBJ","CB","?"))</f>
        <v> </v>
      </c>
      <c r="I6637" s="26" t="str">
        <f>IF(OR(E6637="",E6637="!!!",F6637="NEW"),"",INDEX(B6636:B$2,-1+SUMPRODUCT(MAX(ROW(E6636:E$2)*(E6637=E6636:E$2)))))</f>
        <v> </v>
      </c>
      <c r="J6637" s="26" t="str">
        <f>IF(OR(E6637="",E6637="!!!",F6637="NEW"),"",COUNTBLANK(OFFSET(A$1,,,SUMPRODUCT(MAX(ROW(E$2:E6637)*(E6637=E$2:E6637)))))-COUNTBLANK(OFFSET(A$1,,,SUMPRODUCT(MAX(ROW(E$1:E6636)*(E2=E$1:E6636))))))</f>
        <v> </v>
      </c>
      <c r="K6637" s="26" t="str">
        <f>IF(OR(E6637="",E6637="!!!",F6637="NEW"),"",INDEX(J$1:J6636,SUMPRODUCT(MAX(ROW(E$1:E6636)*(E6637=E$1:E6636)))))</f>
        <v> </v>
      </c>
      <c r="L6637" s="27"/>
    </row>
    <row r="6638" spans="1:12">
      <c r="A6638" s="20" t="s">
        <v>1271</v>
      </c>
      <c r="B6638" s="21" t="s">
        <v>1202</v>
      </c>
      <c r="C6638" s="21" t="s">
        <v>1203</v>
      </c>
      <c r="D6638" s="21" t="s">
        <v>1188</v>
      </c>
      <c r="E6638" s="22">
        <f>IF(D6638="?OLD","!!!","")</f>
        <v/>
      </c>
      <c r="F6638" s="23" t="str">
        <f>IF(OR(E6638="",E6638="!!!"),"",IF(NOT(ISNA(VLOOKUP(E6638,E$1:E6637,1,FALSE()))),"OLD",IF(AND(E6638&lt;&gt;"",E6638&lt;&gt;"!!!"),"NEW","")))</f>
        <v> </v>
      </c>
      <c r="G6638" s="24" t="str">
        <f>IF(OR(E6638="",E6638="!!!"),"",IF(OR(J6638=0,AND(J6638=1,K6638=1),AND(J6638=1,I6638="SBJ"),AND(J6638=1,I6638=0)),"?IN_FOCUS",IF(J6638&lt;=2,"?ACTIVATED",IF(J6638&lt;&gt;"","?FAMILIAR",IF(F6638="NEW",IF(ISNA(VLOOKUP(E6638,#REF!,1,FALSE())),"?TYPE_IDENTIFIABLE","?REFERENTIAL"),"_")))))</f>
        <v> </v>
      </c>
      <c r="H6638" s="25" t="str">
        <f>IF(J6638&lt;&gt;1,"",IF(I6638="SBJ","CB","?"))</f>
        <v> </v>
      </c>
      <c r="I6638" s="26" t="str">
        <f>IF(OR(E6638="",E6638="!!!",F6638="NEW"),"",INDEX(B6637:B$2,-1+SUMPRODUCT(MAX(ROW(E6637:E$2)*(E6638=E6637:E$2)))))</f>
        <v> </v>
      </c>
      <c r="J6638" s="26" t="str">
        <f>IF(OR(E6638="",E6638="!!!",F6638="NEW"),"",COUNTBLANK(OFFSET(A$1,,,SUMPRODUCT(MAX(ROW(E$2:E6638)*(E6638=E$2:E6638)))))-COUNTBLANK(OFFSET(A$1,,,SUMPRODUCT(MAX(ROW(E$1:E6637)*(E2=E$1:E6637))))))</f>
        <v> </v>
      </c>
      <c r="K6638" s="26" t="str">
        <f>IF(OR(E6638="",E6638="!!!",F6638="NEW"),"",INDEX(J$1:J6637,SUMPRODUCT(MAX(ROW(E$1:E6637)*(E6638=E$1:E6637)))))</f>
        <v> </v>
      </c>
      <c r="L6638" s="27"/>
    </row>
    <row r="6639" spans="1:12">
      <c r="A6639" s="20" t="s">
        <v>1654</v>
      </c>
      <c r="E6639" s="22">
        <f>IF(D6639="?OLD","!!!","")</f>
        <v/>
      </c>
      <c r="F6639" s="23" t="str">
        <f>IF(OR(E6639="",E6639="!!!"),"",IF(NOT(ISNA(VLOOKUP(E6639,E$1:E6638,1,FALSE()))),"OLD",IF(AND(E6639&lt;&gt;"",E6639&lt;&gt;"!!!"),"NEW","")))</f>
        <v> </v>
      </c>
      <c r="G6639" s="24" t="str">
        <f>IF(OR(E6639="",E6639="!!!"),"",IF(OR(J6639=0,AND(J6639=1,K6639=1),AND(J6639=1,I6639="SBJ"),AND(J6639=1,I6639=0)),"?IN_FOCUS",IF(J6639&lt;=2,"?ACTIVATED",IF(J6639&lt;&gt;"","?FAMILIAR",IF(F6639="NEW",IF(ISNA(VLOOKUP(E6639,#REF!,1,FALSE())),"?TYPE_IDENTIFIABLE","?REFERENTIAL"),"_")))))</f>
        <v> </v>
      </c>
      <c r="H6639" s="25" t="str">
        <f>IF(J6639&lt;&gt;1,"",IF(I6639="SBJ","CB","?"))</f>
        <v> </v>
      </c>
      <c r="I6639" s="26" t="str">
        <f>IF(OR(E6639="",E6639="!!!",F6639="NEW"),"",INDEX(B6638:B$2,-1+SUMPRODUCT(MAX(ROW(E6638:E$2)*(E6639=E6638:E$2)))))</f>
        <v> </v>
      </c>
      <c r="J6639" s="26" t="str">
        <f>IF(OR(E6639="",E6639="!!!",F6639="NEW"),"",COUNTBLANK(OFFSET(A$1,,,SUMPRODUCT(MAX(ROW(E$2:E6639)*(E6639=E$2:E6639)))))-COUNTBLANK(OFFSET(A$1,,,SUMPRODUCT(MAX(ROW(E$1:E6638)*(E2=E$1:E6638))))))</f>
        <v> </v>
      </c>
      <c r="K6639" s="26" t="str">
        <f>IF(OR(E6639="",E6639="!!!",F6639="NEW"),"",INDEX(J$1:J6638,SUMPRODUCT(MAX(ROW(E$1:E6638)*(E6639=E$1:E6638)))))</f>
        <v> </v>
      </c>
      <c r="L6639" s="27"/>
    </row>
    <row r="6640" spans="1:12">
      <c r="A6640" s="20" t="s">
        <v>1193</v>
      </c>
      <c r="E6640" s="22">
        <f>IF(D6640="?OLD","!!!","")</f>
        <v/>
      </c>
      <c r="F6640" s="23" t="str">
        <f>IF(OR(E6640="",E6640="!!!"),"",IF(NOT(ISNA(VLOOKUP(E6640,E$1:E6639,1,FALSE()))),"OLD",IF(AND(E6640&lt;&gt;"",E6640&lt;&gt;"!!!"),"NEW","")))</f>
        <v> </v>
      </c>
      <c r="G6640" s="24" t="str">
        <f>IF(OR(E6640="",E6640="!!!"),"",IF(OR(J6640=0,AND(J6640=1,K6640=1),AND(J6640=1,I6640="SBJ"),AND(J6640=1,I6640=0)),"?IN_FOCUS",IF(J6640&lt;=2,"?ACTIVATED",IF(J6640&lt;&gt;"","?FAMILIAR",IF(F6640="NEW",IF(ISNA(VLOOKUP(E6640,#REF!,1,FALSE())),"?TYPE_IDENTIFIABLE","?REFERENTIAL"),"_")))))</f>
        <v> </v>
      </c>
      <c r="H6640" s="25" t="str">
        <f>IF(J6640&lt;&gt;1,"",IF(I6640="SBJ","CB","?"))</f>
        <v> </v>
      </c>
      <c r="I6640" s="26" t="str">
        <f>IF(OR(E6640="",E6640="!!!",F6640="NEW"),"",INDEX(B6639:B$2,-1+SUMPRODUCT(MAX(ROW(E6639:E$2)*(E6640=E6639:E$2)))))</f>
        <v> </v>
      </c>
      <c r="J6640" s="26" t="str">
        <f>IF(OR(E6640="",E6640="!!!",F6640="NEW"),"",COUNTBLANK(OFFSET(A$1,,,SUMPRODUCT(MAX(ROW(E$2:E6640)*(E6640=E$2:E6640)))))-COUNTBLANK(OFFSET(A$1,,,SUMPRODUCT(MAX(ROW(E$1:E6639)*(E2=E$1:E6639))))))</f>
        <v> </v>
      </c>
      <c r="K6640" s="26" t="str">
        <f>IF(OR(E6640="",E6640="!!!",F6640="NEW"),"",INDEX(J$1:J6639,SUMPRODUCT(MAX(ROW(E$1:E6639)*(E6640=E$1:E6639)))))</f>
        <v> </v>
      </c>
      <c r="L6640" s="27"/>
    </row>
    <row r="6641" spans="1:12">
      <c r="A6641" s="20" t="s">
        <v>1537</v>
      </c>
      <c r="E6641" s="22">
        <f>IF(D6641="?OLD","!!!","")</f>
        <v/>
      </c>
      <c r="F6641" s="23" t="str">
        <f>IF(OR(E6641="",E6641="!!!"),"",IF(NOT(ISNA(VLOOKUP(E6641,E$1:E6640,1,FALSE()))),"OLD",IF(AND(E6641&lt;&gt;"",E6641&lt;&gt;"!!!"),"NEW","")))</f>
        <v> </v>
      </c>
      <c r="G6641" s="24" t="str">
        <f>IF(OR(E6641="",E6641="!!!"),"",IF(OR(J6641=0,AND(J6641=1,K6641=1),AND(J6641=1,I6641="SBJ"),AND(J6641=1,I6641=0)),"?IN_FOCUS",IF(J6641&lt;=2,"?ACTIVATED",IF(J6641&lt;&gt;"","?FAMILIAR",IF(F6641="NEW",IF(ISNA(VLOOKUP(E6641,#REF!,1,FALSE())),"?TYPE_IDENTIFIABLE","?REFERENTIAL"),"_")))))</f>
        <v> </v>
      </c>
      <c r="H6641" s="25" t="str">
        <f>IF(J6641&lt;&gt;1,"",IF(I6641="SBJ","CB","?"))</f>
        <v> </v>
      </c>
      <c r="I6641" s="26" t="str">
        <f>IF(OR(E6641="",E6641="!!!",F6641="NEW"),"",INDEX(B6640:B$2,-1+SUMPRODUCT(MAX(ROW(E6640:E$2)*(E6641=E6640:E$2)))))</f>
        <v> </v>
      </c>
      <c r="J6641" s="26" t="str">
        <f>IF(OR(E6641="",E6641="!!!",F6641="NEW"),"",COUNTBLANK(OFFSET(A$1,,,SUMPRODUCT(MAX(ROW(E$2:E6641)*(E6641=E$2:E6641)))))-COUNTBLANK(OFFSET(A$1,,,SUMPRODUCT(MAX(ROW(E$1:E6640)*(E2=E$1:E6640))))))</f>
        <v> </v>
      </c>
      <c r="K6641" s="26" t="str">
        <f>IF(OR(E6641="",E6641="!!!",F6641="NEW"),"",INDEX(J$1:J6640,SUMPRODUCT(MAX(ROW(E$1:E6640)*(E6641=E$1:E6640)))))</f>
        <v> </v>
      </c>
      <c r="L6641" s="27"/>
    </row>
    <row r="6642" spans="1:12">
      <c r="A6642" s="20" t="s">
        <v>427</v>
      </c>
      <c r="B6642" s="21" t="s">
        <v>1248</v>
      </c>
      <c r="C6642" s="21" t="s">
        <v>1246</v>
      </c>
      <c r="D6642" s="21" t="s">
        <v>1188</v>
      </c>
      <c r="E6642" s="22">
        <f>IF(D6642="?OLD","!!!","")</f>
        <v/>
      </c>
      <c r="F6642" s="23" t="str">
        <f>IF(OR(E6642="",E6642="!!!"),"",IF(NOT(ISNA(VLOOKUP(E6642,E$1:E6641,1,FALSE()))),"OLD",IF(AND(E6642&lt;&gt;"",E6642&lt;&gt;"!!!"),"NEW","")))</f>
        <v> </v>
      </c>
      <c r="G6642" s="24" t="str">
        <f>IF(OR(E6642="",E6642="!!!"),"",IF(OR(J6642=0,AND(J6642=1,K6642=1),AND(J6642=1,I6642="SBJ"),AND(J6642=1,I6642=0)),"?IN_FOCUS",IF(J6642&lt;=2,"?ACTIVATED",IF(J6642&lt;&gt;"","?FAMILIAR",IF(F6642="NEW",IF(ISNA(VLOOKUP(E6642,#REF!,1,FALSE())),"?TYPE_IDENTIFIABLE","?REFERENTIAL"),"_")))))</f>
        <v> </v>
      </c>
      <c r="H6642" s="25" t="str">
        <f>IF(J6642&lt;&gt;1,"",IF(I6642="SBJ","CB","?"))</f>
        <v> </v>
      </c>
      <c r="I6642" s="26" t="str">
        <f>IF(OR(E6642="",E6642="!!!",F6642="NEW"),"",INDEX(B6641:B$2,-1+SUMPRODUCT(MAX(ROW(E6641:E$2)*(E6642=E6641:E$2)))))</f>
        <v> </v>
      </c>
      <c r="J6642" s="26" t="str">
        <f>IF(OR(E6642="",E6642="!!!",F6642="NEW"),"",COUNTBLANK(OFFSET(A$1,,,SUMPRODUCT(MAX(ROW(E$2:E6642)*(E6642=E$2:E6642)))))-COUNTBLANK(OFFSET(A$1,,,SUMPRODUCT(MAX(ROW(E$1:E6641)*(E2=E$1:E6641))))))</f>
        <v> </v>
      </c>
      <c r="K6642" s="26" t="str">
        <f>IF(OR(E6642="",E6642="!!!",F6642="NEW"),"",INDEX(J$1:J6641,SUMPRODUCT(MAX(ROW(E$1:E6641)*(E6642=E$1:E6641)))))</f>
        <v> </v>
      </c>
      <c r="L6642" s="27"/>
    </row>
    <row r="6643" spans="1:12">
      <c r="A6643" s="20" t="s">
        <v>2946</v>
      </c>
      <c r="E6643" s="22">
        <f>IF(D6643="?OLD","!!!","")</f>
        <v/>
      </c>
      <c r="F6643" s="23" t="str">
        <f>IF(OR(E6643="",E6643="!!!"),"",IF(NOT(ISNA(VLOOKUP(E6643,E$1:E6642,1,FALSE()))),"OLD",IF(AND(E6643&lt;&gt;"",E6643&lt;&gt;"!!!"),"NEW","")))</f>
        <v> </v>
      </c>
      <c r="G6643" s="24" t="str">
        <f>IF(OR(E6643="",E6643="!!!"),"",IF(OR(J6643=0,AND(J6643=1,K6643=1),AND(J6643=1,I6643="SBJ"),AND(J6643=1,I6643=0)),"?IN_FOCUS",IF(J6643&lt;=2,"?ACTIVATED",IF(J6643&lt;&gt;"","?FAMILIAR",IF(F6643="NEW",IF(ISNA(VLOOKUP(E6643,#REF!,1,FALSE())),"?TYPE_IDENTIFIABLE","?REFERENTIAL"),"_")))))</f>
        <v> </v>
      </c>
      <c r="H6643" s="25" t="str">
        <f>IF(J6643&lt;&gt;1,"",IF(I6643="SBJ","CB","?"))</f>
        <v> </v>
      </c>
      <c r="I6643" s="26" t="str">
        <f>IF(OR(E6643="",E6643="!!!",F6643="NEW"),"",INDEX(B6642:B$2,-1+SUMPRODUCT(MAX(ROW(E6642:E$2)*(E6643=E6642:E$2)))))</f>
        <v> </v>
      </c>
      <c r="J6643" s="26" t="str">
        <f>IF(OR(E6643="",E6643="!!!",F6643="NEW"),"",COUNTBLANK(OFFSET(A$1,,,SUMPRODUCT(MAX(ROW(E$2:E6643)*(E6643=E$2:E6643)))))-COUNTBLANK(OFFSET(A$1,,,SUMPRODUCT(MAX(ROW(E$1:E6642)*(E2=E$1:E6642))))))</f>
        <v> </v>
      </c>
      <c r="K6643" s="26" t="str">
        <f>IF(OR(E6643="",E6643="!!!",F6643="NEW"),"",INDEX(J$1:J6642,SUMPRODUCT(MAX(ROW(E$1:E6642)*(E6643=E$1:E6642)))))</f>
        <v> </v>
      </c>
      <c r="L6643" s="27"/>
    </row>
    <row r="6644" spans="1:12">
      <c r="A6644" s="20" t="s">
        <v>1193</v>
      </c>
      <c r="E6644" s="22">
        <f>IF(D6644="?OLD","!!!","")</f>
        <v/>
      </c>
      <c r="F6644" s="23" t="str">
        <f>IF(OR(E6644="",E6644="!!!"),"",IF(NOT(ISNA(VLOOKUP(E6644,E$1:E6643,1,FALSE()))),"OLD",IF(AND(E6644&lt;&gt;"",E6644&lt;&gt;"!!!"),"NEW","")))</f>
        <v> </v>
      </c>
      <c r="G6644" s="24" t="str">
        <f>IF(OR(E6644="",E6644="!!!"),"",IF(OR(J6644=0,AND(J6644=1,K6644=1),AND(J6644=1,I6644="SBJ"),AND(J6644=1,I6644=0)),"?IN_FOCUS",IF(J6644&lt;=2,"?ACTIVATED",IF(J6644&lt;&gt;"","?FAMILIAR",IF(F6644="NEW",IF(ISNA(VLOOKUP(E6644,#REF!,1,FALSE())),"?TYPE_IDENTIFIABLE","?REFERENTIAL"),"_")))))</f>
        <v> </v>
      </c>
      <c r="H6644" s="25" t="str">
        <f>IF(J6644&lt;&gt;1,"",IF(I6644="SBJ","CB","?"))</f>
        <v> </v>
      </c>
      <c r="I6644" s="26" t="str">
        <f>IF(OR(E6644="",E6644="!!!",F6644="NEW"),"",INDEX(B6643:B$2,-1+SUMPRODUCT(MAX(ROW(E6643:E$2)*(E6644=E6643:E$2)))))</f>
        <v> </v>
      </c>
      <c r="J6644" s="26" t="str">
        <f>IF(OR(E6644="",E6644="!!!",F6644="NEW"),"",COUNTBLANK(OFFSET(A$1,,,SUMPRODUCT(MAX(ROW(E$2:E6644)*(E6644=E$2:E6644)))))-COUNTBLANK(OFFSET(A$1,,,SUMPRODUCT(MAX(ROW(E$1:E6643)*(E2=E$1:E6643))))))</f>
        <v> </v>
      </c>
      <c r="K6644" s="26" t="str">
        <f>IF(OR(E6644="",E6644="!!!",F6644="NEW"),"",INDEX(J$1:J6643,SUMPRODUCT(MAX(ROW(E$1:E6643)*(E6644=E$1:E6643)))))</f>
        <v> </v>
      </c>
      <c r="L6644" s="27"/>
    </row>
    <row r="6645" spans="1:12">
      <c r="A6645" s="20" t="s">
        <v>1530</v>
      </c>
      <c r="E6645" s="22">
        <f>IF(D6645="?OLD","!!!","")</f>
        <v/>
      </c>
      <c r="F6645" s="23" t="str">
        <f>IF(OR(E6645="",E6645="!!!"),"",IF(NOT(ISNA(VLOOKUP(E6645,E$1:E6644,1,FALSE()))),"OLD",IF(AND(E6645&lt;&gt;"",E6645&lt;&gt;"!!!"),"NEW","")))</f>
        <v> </v>
      </c>
      <c r="G6645" s="24" t="str">
        <f>IF(OR(E6645="",E6645="!!!"),"",IF(OR(J6645=0,AND(J6645=1,K6645=1),AND(J6645=1,I6645="SBJ"),AND(J6645=1,I6645=0)),"?IN_FOCUS",IF(J6645&lt;=2,"?ACTIVATED",IF(J6645&lt;&gt;"","?FAMILIAR",IF(F6645="NEW",IF(ISNA(VLOOKUP(E6645,#REF!,1,FALSE())),"?TYPE_IDENTIFIABLE","?REFERENTIAL"),"_")))))</f>
        <v> </v>
      </c>
      <c r="H6645" s="25" t="str">
        <f>IF(J6645&lt;&gt;1,"",IF(I6645="SBJ","CB","?"))</f>
        <v> </v>
      </c>
      <c r="I6645" s="26" t="str">
        <f>IF(OR(E6645="",E6645="!!!",F6645="NEW"),"",INDEX(B6644:B$2,-1+SUMPRODUCT(MAX(ROW(E6644:E$2)*(E6645=E6644:E$2)))))</f>
        <v> </v>
      </c>
      <c r="J6645" s="26" t="str">
        <f>IF(OR(E6645="",E6645="!!!",F6645="NEW"),"",COUNTBLANK(OFFSET(A$1,,,SUMPRODUCT(MAX(ROW(E$2:E6645)*(E6645=E$2:E6645)))))-COUNTBLANK(OFFSET(A$1,,,SUMPRODUCT(MAX(ROW(E$1:E6644)*(E2=E$1:E6644))))))</f>
        <v> </v>
      </c>
      <c r="K6645" s="26" t="str">
        <f>IF(OR(E6645="",E6645="!!!",F6645="NEW"),"",INDEX(J$1:J6644,SUMPRODUCT(MAX(ROW(E$1:E6644)*(E6645=E$1:E6644)))))</f>
        <v> </v>
      </c>
      <c r="L6645" s="27"/>
    </row>
    <row r="6646" spans="1:12">
      <c r="A6646" s="20" t="s">
        <v>427</v>
      </c>
      <c r="B6646" s="21" t="s">
        <v>1311</v>
      </c>
      <c r="C6646" s="21" t="s">
        <v>1246</v>
      </c>
      <c r="D6646" s="21" t="s">
        <v>1188</v>
      </c>
      <c r="E6646" s="22">
        <f>IF(D6646="?OLD","!!!","")</f>
        <v/>
      </c>
      <c r="F6646" s="23" t="str">
        <f>IF(OR(E6646="",E6646="!!!"),"",IF(NOT(ISNA(VLOOKUP(E6646,E$1:E6645,1,FALSE()))),"OLD",IF(AND(E6646&lt;&gt;"",E6646&lt;&gt;"!!!"),"NEW","")))</f>
        <v> </v>
      </c>
      <c r="G6646" s="24" t="str">
        <f>IF(OR(E6646="",E6646="!!!"),"",IF(OR(J6646=0,AND(J6646=1,K6646=1),AND(J6646=1,I6646="SBJ"),AND(J6646=1,I6646=0)),"?IN_FOCUS",IF(J6646&lt;=2,"?ACTIVATED",IF(J6646&lt;&gt;"","?FAMILIAR",IF(F6646="NEW",IF(ISNA(VLOOKUP(E6646,#REF!,1,FALSE())),"?TYPE_IDENTIFIABLE","?REFERENTIAL"),"_")))))</f>
        <v> </v>
      </c>
      <c r="H6646" s="25" t="str">
        <f>IF(J6646&lt;&gt;1,"",IF(I6646="SBJ","CB","?"))</f>
        <v> </v>
      </c>
      <c r="I6646" s="26" t="str">
        <f>IF(OR(E6646="",E6646="!!!",F6646="NEW"),"",INDEX(B6645:B$2,-1+SUMPRODUCT(MAX(ROW(E6645:E$2)*(E6646=E6645:E$2)))))</f>
        <v> </v>
      </c>
      <c r="J6646" s="26" t="str">
        <f>IF(OR(E6646="",E6646="!!!",F6646="NEW"),"",COUNTBLANK(OFFSET(A$1,,,SUMPRODUCT(MAX(ROW(E$2:E6646)*(E6646=E$2:E6646)))))-COUNTBLANK(OFFSET(A$1,,,SUMPRODUCT(MAX(ROW(E$1:E6645)*(E2=E$1:E6645))))))</f>
        <v> </v>
      </c>
      <c r="K6646" s="26" t="str">
        <f>IF(OR(E6646="",E6646="!!!",F6646="NEW"),"",INDEX(J$1:J6645,SUMPRODUCT(MAX(ROW(E$1:E6645)*(E6646=E$1:E6645)))))</f>
        <v> </v>
      </c>
      <c r="L6646" s="27"/>
    </row>
    <row r="6647" spans="1:12">
      <c r="A6647" s="20" t="s">
        <v>1494</v>
      </c>
      <c r="E6647" s="22">
        <f>IF(D6647="?OLD","!!!","")</f>
        <v/>
      </c>
      <c r="F6647" s="23" t="str">
        <f>IF(OR(E6647="",E6647="!!!"),"",IF(NOT(ISNA(VLOOKUP(E6647,E$1:E6646,1,FALSE()))),"OLD",IF(AND(E6647&lt;&gt;"",E6647&lt;&gt;"!!!"),"NEW","")))</f>
        <v> </v>
      </c>
      <c r="G6647" s="24" t="str">
        <f>IF(OR(E6647="",E6647="!!!"),"",IF(OR(J6647=0,AND(J6647=1,K6647=1),AND(J6647=1,I6647="SBJ"),AND(J6647=1,I6647=0)),"?IN_FOCUS",IF(J6647&lt;=2,"?ACTIVATED",IF(J6647&lt;&gt;"","?FAMILIAR",IF(F6647="NEW",IF(ISNA(VLOOKUP(E6647,#REF!,1,FALSE())),"?TYPE_IDENTIFIABLE","?REFERENTIAL"),"_")))))</f>
        <v> </v>
      </c>
      <c r="H6647" s="25" t="str">
        <f>IF(J6647&lt;&gt;1,"",IF(I6647="SBJ","CB","?"))</f>
        <v> </v>
      </c>
      <c r="I6647" s="26" t="str">
        <f>IF(OR(E6647="",E6647="!!!",F6647="NEW"),"",INDEX(B6646:B$2,-1+SUMPRODUCT(MAX(ROW(E6646:E$2)*(E6647=E6646:E$2)))))</f>
        <v> </v>
      </c>
      <c r="J6647" s="26" t="str">
        <f>IF(OR(E6647="",E6647="!!!",F6647="NEW"),"",COUNTBLANK(OFFSET(A$1,,,SUMPRODUCT(MAX(ROW(E$2:E6647)*(E6647=E$2:E6647)))))-COUNTBLANK(OFFSET(A$1,,,SUMPRODUCT(MAX(ROW(E$1:E6646)*(E2=E$1:E6646))))))</f>
        <v> </v>
      </c>
      <c r="K6647" s="26" t="str">
        <f>IF(OR(E6647="",E6647="!!!",F6647="NEW"),"",INDEX(J$1:J6646,SUMPRODUCT(MAX(ROW(E$1:E6646)*(E6647=E$1:E6646)))))</f>
        <v> </v>
      </c>
      <c r="L6647" s="27"/>
    </row>
    <row r="6648" spans="1:12">
      <c r="A6648" s="20" t="s">
        <v>2947</v>
      </c>
      <c r="E6648" s="22">
        <f>IF(D6648="?OLD","!!!","")</f>
        <v/>
      </c>
      <c r="F6648" s="23" t="str">
        <f>IF(OR(E6648="",E6648="!!!"),"",IF(NOT(ISNA(VLOOKUP(E6648,E$1:E6647,1,FALSE()))),"OLD",IF(AND(E6648&lt;&gt;"",E6648&lt;&gt;"!!!"),"NEW","")))</f>
        <v> </v>
      </c>
      <c r="G6648" s="24" t="str">
        <f>IF(OR(E6648="",E6648="!!!"),"",IF(OR(J6648=0,AND(J6648=1,K6648=1),AND(J6648=1,I6648="SBJ"),AND(J6648=1,I6648=0)),"?IN_FOCUS",IF(J6648&lt;=2,"?ACTIVATED",IF(J6648&lt;&gt;"","?FAMILIAR",IF(F6648="NEW",IF(ISNA(VLOOKUP(E6648,#REF!,1,FALSE())),"?TYPE_IDENTIFIABLE","?REFERENTIAL"),"_")))))</f>
        <v> </v>
      </c>
      <c r="H6648" s="25" t="str">
        <f>IF(J6648&lt;&gt;1,"",IF(I6648="SBJ","CB","?"))</f>
        <v> </v>
      </c>
      <c r="I6648" s="26" t="str">
        <f>IF(OR(E6648="",E6648="!!!",F6648="NEW"),"",INDEX(B6647:B$2,-1+SUMPRODUCT(MAX(ROW(E6647:E$2)*(E6648=E6647:E$2)))))</f>
        <v> </v>
      </c>
      <c r="J6648" s="26" t="str">
        <f>IF(OR(E6648="",E6648="!!!",F6648="NEW"),"",COUNTBLANK(OFFSET(A$1,,,SUMPRODUCT(MAX(ROW(E$2:E6648)*(E6648=E$2:E6648)))))-COUNTBLANK(OFFSET(A$1,,,SUMPRODUCT(MAX(ROW(E$1:E6647)*(E2=E$1:E6647))))))</f>
        <v> </v>
      </c>
      <c r="K6648" s="26" t="str">
        <f>IF(OR(E6648="",E6648="!!!",F6648="NEW"),"",INDEX(J$1:J6647,SUMPRODUCT(MAX(ROW(E$1:E6647)*(E6648=E$1:E6647)))))</f>
        <v> </v>
      </c>
      <c r="L6648" s="27"/>
    </row>
    <row r="6649" spans="1:12">
      <c r="A6649" s="20" t="s">
        <v>1345</v>
      </c>
      <c r="B6649" s="21" t="s">
        <v>1313</v>
      </c>
      <c r="C6649" s="21" t="s">
        <v>1231</v>
      </c>
      <c r="E6649" s="22">
        <f>IF(D6649="?OLD","!!!","")</f>
        <v/>
      </c>
      <c r="F6649" s="23" t="str">
        <f>IF(OR(E6649="",E6649="!!!"),"",IF(NOT(ISNA(VLOOKUP(E6649,E$1:E6648,1,FALSE()))),"OLD",IF(AND(E6649&lt;&gt;"",E6649&lt;&gt;"!!!"),"NEW","")))</f>
        <v> </v>
      </c>
      <c r="G6649" s="24" t="str">
        <f>IF(OR(E6649="",E6649="!!!"),"",IF(OR(J6649=0,AND(J6649=1,K6649=1),AND(J6649=1,I6649="SBJ"),AND(J6649=1,I6649=0)),"?IN_FOCUS",IF(J6649&lt;=2,"?ACTIVATED",IF(J6649&lt;&gt;"","?FAMILIAR",IF(F6649="NEW",IF(ISNA(VLOOKUP(E6649,#REF!,1,FALSE())),"?TYPE_IDENTIFIABLE","?REFERENTIAL"),"_")))))</f>
        <v> </v>
      </c>
      <c r="H6649" s="25" t="str">
        <f>IF(J6649&lt;&gt;1,"",IF(I6649="SBJ","CB","?"))</f>
        <v> </v>
      </c>
      <c r="I6649" s="26" t="str">
        <f>IF(OR(E6649="",E6649="!!!",F6649="NEW"),"",INDEX(B6648:B$2,-1+SUMPRODUCT(MAX(ROW(E6648:E$2)*(E6649=E6648:E$2)))))</f>
        <v> </v>
      </c>
      <c r="J6649" s="26" t="str">
        <f>IF(OR(E6649="",E6649="!!!",F6649="NEW"),"",COUNTBLANK(OFFSET(A$1,,,SUMPRODUCT(MAX(ROW(E$2:E6649)*(E6649=E$2:E6649)))))-COUNTBLANK(OFFSET(A$1,,,SUMPRODUCT(MAX(ROW(E$1:E6648)*(E2=E$1:E6648))))))</f>
        <v> </v>
      </c>
      <c r="K6649" s="26" t="str">
        <f>IF(OR(E6649="",E6649="!!!",F6649="NEW"),"",INDEX(J$1:J6648,SUMPRODUCT(MAX(ROW(E$1:E6648)*(E6649=E$1:E6648)))))</f>
        <v> </v>
      </c>
      <c r="L6649" s="27"/>
    </row>
    <row r="6650" spans="1:12">
      <c r="A6650" s="20" t="s">
        <v>163</v>
      </c>
      <c r="E6650" s="22">
        <f>IF(D6650="?OLD","!!!","")</f>
        <v/>
      </c>
      <c r="F6650" s="23" t="str">
        <f>IF(OR(E6650="",E6650="!!!"),"",IF(NOT(ISNA(VLOOKUP(E6650,E$1:E6649,1,FALSE()))),"OLD",IF(AND(E6650&lt;&gt;"",E6650&lt;&gt;"!!!"),"NEW","")))</f>
        <v> </v>
      </c>
      <c r="G6650" s="24" t="str">
        <f>IF(OR(E6650="",E6650="!!!"),"",IF(OR(J6650=0,AND(J6650=1,K6650=1),AND(J6650=1,I6650="SBJ"),AND(J6650=1,I6650=0)),"?IN_FOCUS",IF(J6650&lt;=2,"?ACTIVATED",IF(J6650&lt;&gt;"","?FAMILIAR",IF(F6650="NEW",IF(ISNA(VLOOKUP(E6650,#REF!,1,FALSE())),"?TYPE_IDENTIFIABLE","?REFERENTIAL"),"_")))))</f>
        <v> </v>
      </c>
      <c r="H6650" s="25" t="str">
        <f>IF(J6650&lt;&gt;1,"",IF(I6650="SBJ","CB","?"))</f>
        <v> </v>
      </c>
      <c r="I6650" s="26" t="str">
        <f>IF(OR(E6650="",E6650="!!!",F6650="NEW"),"",INDEX(B6649:B$2,-1+SUMPRODUCT(MAX(ROW(E6649:E$2)*(E6650=E6649:E$2)))))</f>
        <v> </v>
      </c>
      <c r="J6650" s="26" t="str">
        <f>IF(OR(E6650="",E6650="!!!",F6650="NEW"),"",COUNTBLANK(OFFSET(A$1,,,SUMPRODUCT(MAX(ROW(E$2:E6650)*(E6650=E$2:E6650)))))-COUNTBLANK(OFFSET(A$1,,,SUMPRODUCT(MAX(ROW(E$1:E6649)*(E2=E$1:E6649))))))</f>
        <v> </v>
      </c>
      <c r="K6650" s="26" t="str">
        <f>IF(OR(E6650="",E6650="!!!",F6650="NEW"),"",INDEX(J$1:J6649,SUMPRODUCT(MAX(ROW(E$1:E6649)*(E6650=E$1:E6649)))))</f>
        <v> </v>
      </c>
      <c r="L6650" s="27"/>
    </row>
    <row r="6651" spans="1:12">
      <c r="A6651" s="20" t="s">
        <v>1302</v>
      </c>
      <c r="E6651" s="22">
        <f>IF(D6651="?OLD","!!!","")</f>
        <v/>
      </c>
      <c r="F6651" s="23" t="str">
        <f>IF(OR(E6651="",E6651="!!!"),"",IF(NOT(ISNA(VLOOKUP(E6651,E$1:E6650,1,FALSE()))),"OLD",IF(AND(E6651&lt;&gt;"",E6651&lt;&gt;"!!!"),"NEW","")))</f>
        <v> </v>
      </c>
      <c r="G6651" s="24" t="str">
        <f>IF(OR(E6651="",E6651="!!!"),"",IF(OR(J6651=0,AND(J6651=1,K6651=1),AND(J6651=1,I6651="SBJ"),AND(J6651=1,I6651=0)),"?IN_FOCUS",IF(J6651&lt;=2,"?ACTIVATED",IF(J6651&lt;&gt;"","?FAMILIAR",IF(F6651="NEW",IF(ISNA(VLOOKUP(E6651,#REF!,1,FALSE())),"?TYPE_IDENTIFIABLE","?REFERENTIAL"),"_")))))</f>
        <v> </v>
      </c>
      <c r="H6651" s="25" t="str">
        <f>IF(J6651&lt;&gt;1,"",IF(I6651="SBJ","CB","?"))</f>
        <v> </v>
      </c>
      <c r="I6651" s="26" t="str">
        <f>IF(OR(E6651="",E6651="!!!",F6651="NEW"),"",INDEX(B6650:B$2,-1+SUMPRODUCT(MAX(ROW(E6650:E$2)*(E6651=E6650:E$2)))))</f>
        <v> </v>
      </c>
      <c r="J6651" s="26" t="str">
        <f>IF(OR(E6651="",E6651="!!!",F6651="NEW"),"",COUNTBLANK(OFFSET(A$1,,,SUMPRODUCT(MAX(ROW(E$2:E6651)*(E6651=E$2:E6651)))))-COUNTBLANK(OFFSET(A$1,,,SUMPRODUCT(MAX(ROW(E$1:E6650)*(E2=E$1:E6650))))))</f>
        <v> </v>
      </c>
      <c r="K6651" s="26" t="str">
        <f>IF(OR(E6651="",E6651="!!!",F6651="NEW"),"",INDEX(J$1:J6650,SUMPRODUCT(MAX(ROW(E$1:E6650)*(E6651=E$1:E6650)))))</f>
        <v> </v>
      </c>
      <c r="L6651" s="27"/>
    </row>
    <row r="6652" spans="1:12">
      <c r="A6652" s="20" t="s">
        <v>1883</v>
      </c>
      <c r="B6652" s="21" t="s">
        <v>1215</v>
      </c>
      <c r="C6652" s="21" t="s">
        <v>1192</v>
      </c>
      <c r="E6652" s="22">
        <f>IF(D6652="?OLD","!!!","")</f>
        <v/>
      </c>
      <c r="F6652" s="23" t="str">
        <f>IF(OR(E6652="",E6652="!!!"),"",IF(NOT(ISNA(VLOOKUP(E6652,E$1:E6651,1,FALSE()))),"OLD",IF(AND(E6652&lt;&gt;"",E6652&lt;&gt;"!!!"),"NEW","")))</f>
        <v> </v>
      </c>
      <c r="G6652" s="24" t="str">
        <f>IF(OR(E6652="",E6652="!!!"),"",IF(OR(J6652=0,AND(J6652=1,K6652=1),AND(J6652=1,I6652="SBJ"),AND(J6652=1,I6652=0)),"?IN_FOCUS",IF(J6652&lt;=2,"?ACTIVATED",IF(J6652&lt;&gt;"","?FAMILIAR",IF(F6652="NEW",IF(ISNA(VLOOKUP(E6652,#REF!,1,FALSE())),"?TYPE_IDENTIFIABLE","?REFERENTIAL"),"_")))))</f>
        <v> </v>
      </c>
      <c r="H6652" s="25" t="str">
        <f>IF(J6652&lt;&gt;1,"",IF(I6652="SBJ","CB","?"))</f>
        <v> </v>
      </c>
      <c r="I6652" s="26" t="str">
        <f>IF(OR(E6652="",E6652="!!!",F6652="NEW"),"",INDEX(B6651:B$2,-1+SUMPRODUCT(MAX(ROW(E6651:E$2)*(E6652=E6651:E$2)))))</f>
        <v> </v>
      </c>
      <c r="J6652" s="26" t="str">
        <f>IF(OR(E6652="",E6652="!!!",F6652="NEW"),"",COUNTBLANK(OFFSET(A$1,,,SUMPRODUCT(MAX(ROW(E$2:E6652)*(E6652=E$2:E6652)))))-COUNTBLANK(OFFSET(A$1,,,SUMPRODUCT(MAX(ROW(E$1:E6651)*(E2=E$1:E6651))))))</f>
        <v> </v>
      </c>
      <c r="K6652" s="26" t="str">
        <f>IF(OR(E6652="",E6652="!!!",F6652="NEW"),"",INDEX(J$1:J6651,SUMPRODUCT(MAX(ROW(E$1:E6651)*(E6652=E$1:E6651)))))</f>
        <v> </v>
      </c>
      <c r="L6652" s="27"/>
    </row>
    <row r="6653" spans="1:12">
      <c r="A6653" s="20" t="s">
        <v>826</v>
      </c>
      <c r="E6653" s="22">
        <f>IF(D6653="?OLD","!!!","")</f>
        <v/>
      </c>
      <c r="F6653" s="23" t="str">
        <f>IF(OR(E6653="",E6653="!!!"),"",IF(NOT(ISNA(VLOOKUP(E6653,E$1:E6652,1,FALSE()))),"OLD",IF(AND(E6653&lt;&gt;"",E6653&lt;&gt;"!!!"),"NEW","")))</f>
        <v> </v>
      </c>
      <c r="G6653" s="24" t="str">
        <f>IF(OR(E6653="",E6653="!!!"),"",IF(OR(J6653=0,AND(J6653=1,K6653=1),AND(J6653=1,I6653="SBJ"),AND(J6653=1,I6653=0)),"?IN_FOCUS",IF(J6653&lt;=2,"?ACTIVATED",IF(J6653&lt;&gt;"","?FAMILIAR",IF(F6653="NEW",IF(ISNA(VLOOKUP(E6653,#REF!,1,FALSE())),"?TYPE_IDENTIFIABLE","?REFERENTIAL"),"_")))))</f>
        <v> </v>
      </c>
      <c r="H6653" s="25" t="str">
        <f>IF(J6653&lt;&gt;1,"",IF(I6653="SBJ","CB","?"))</f>
        <v> </v>
      </c>
      <c r="I6653" s="26" t="str">
        <f>IF(OR(E6653="",E6653="!!!",F6653="NEW"),"",INDEX(B6652:B$2,-1+SUMPRODUCT(MAX(ROW(E6652:E$2)*(E6653=E6652:E$2)))))</f>
        <v> </v>
      </c>
      <c r="J6653" s="26" t="str">
        <f>IF(OR(E6653="",E6653="!!!",F6653="NEW"),"",COUNTBLANK(OFFSET(A$1,,,SUMPRODUCT(MAX(ROW(E$2:E6653)*(E6653=E$2:E6653)))))-COUNTBLANK(OFFSET(A$1,,,SUMPRODUCT(MAX(ROW(E$1:E6652)*(E2=E$1:E6652))))))</f>
        <v> </v>
      </c>
      <c r="K6653" s="26" t="str">
        <f>IF(OR(E6653="",E6653="!!!",F6653="NEW"),"",INDEX(J$1:J6652,SUMPRODUCT(MAX(ROW(E$1:E6652)*(E6653=E$1:E6652)))))</f>
        <v> </v>
      </c>
      <c r="L6653" s="27"/>
    </row>
    <row r="6654" spans="1:12">
      <c r="A6654" s="20"/>
    </row>
    <row r="6655" spans="1:12">
      <c r="A6655" s="20" t="s">
        <v>2948</v>
      </c>
    </row>
    <row r="6656" spans="1:12">
      <c r="A6656" s="20" t="s">
        <v>1201</v>
      </c>
      <c r="B6656" s="21" t="s">
        <v>1202</v>
      </c>
      <c r="C6656" s="21" t="s">
        <v>1203</v>
      </c>
      <c r="D6656" s="21" t="s">
        <v>1188</v>
      </c>
      <c r="E6656" s="22">
        <f>IF(D6656="?OLD","!!!","")</f>
        <v/>
      </c>
      <c r="F6656" s="23" t="str">
        <f>IF(OR(E6656="",E6656="!!!"),"",IF(NOT(ISNA(VLOOKUP(E6656,E$1:E6655,1,FALSE()))),"OLD",IF(AND(E6656&lt;&gt;"",E6656&lt;&gt;"!!!"),"NEW","")))</f>
        <v> </v>
      </c>
      <c r="G6656" s="24" t="str">
        <f>IF(OR(E6656="",E6656="!!!"),"",IF(OR(J6656=0,AND(J6656=1,K6656=1),AND(J6656=1,I6656="SBJ"),AND(J6656=1,I6656=0)),"?IN_FOCUS",IF(J6656&lt;=2,"?ACTIVATED",IF(J6656&lt;&gt;"","?FAMILIAR",IF(F6656="NEW",IF(ISNA(VLOOKUP(E6656,#REF!,1,FALSE())),"?TYPE_IDENTIFIABLE","?REFERENTIAL"),"_")))))</f>
        <v> </v>
      </c>
      <c r="H6656" s="25" t="str">
        <f>IF(J6656&lt;&gt;1,"",IF(I6656="SBJ","CB","?"))</f>
        <v> </v>
      </c>
      <c r="I6656" s="26" t="str">
        <f>IF(OR(E6656="",E6656="!!!",F6656="NEW"),"",INDEX(B6655:B$2,-1+SUMPRODUCT(MAX(ROW(E6655:E$2)*(E6656=E6655:E$2)))))</f>
        <v> </v>
      </c>
      <c r="J6656" s="26" t="str">
        <f>IF(OR(E6656="",E6656="!!!",F6656="NEW"),"",COUNTBLANK(OFFSET(A$1,,,SUMPRODUCT(MAX(ROW(E$2:E6656)*(E6656=E$2:E6656)))))-COUNTBLANK(OFFSET(A$1,,,SUMPRODUCT(MAX(ROW(E$1:E6655)*(E2=E$1:E6655))))))</f>
        <v> </v>
      </c>
      <c r="K6656" s="26" t="str">
        <f>IF(OR(E6656="",E6656="!!!",F6656="NEW"),"",INDEX(J$1:J6655,SUMPRODUCT(MAX(ROW(E$1:E6655)*(E6656=E$1:E6655)))))</f>
        <v> </v>
      </c>
      <c r="L6656" s="27"/>
    </row>
    <row r="6657" spans="1:12">
      <c r="A6657" s="20" t="s">
        <v>2949</v>
      </c>
      <c r="E6657" s="22">
        <f>IF(D6657="?OLD","!!!","")</f>
        <v/>
      </c>
      <c r="F6657" s="23" t="str">
        <f>IF(OR(E6657="",E6657="!!!"),"",IF(NOT(ISNA(VLOOKUP(E6657,E$1:E6656,1,FALSE()))),"OLD",IF(AND(E6657&lt;&gt;"",E6657&lt;&gt;"!!!"),"NEW","")))</f>
        <v> </v>
      </c>
      <c r="G6657" s="24" t="str">
        <f>IF(OR(E6657="",E6657="!!!"),"",IF(OR(J6657=0,AND(J6657=1,K6657=1),AND(J6657=1,I6657="SBJ"),AND(J6657=1,I6657=0)),"?IN_FOCUS",IF(J6657&lt;=2,"?ACTIVATED",IF(J6657&lt;&gt;"","?FAMILIAR",IF(F6657="NEW",IF(ISNA(VLOOKUP(E6657,#REF!,1,FALSE())),"?TYPE_IDENTIFIABLE","?REFERENTIAL"),"_")))))</f>
        <v> </v>
      </c>
      <c r="H6657" s="25" t="str">
        <f>IF(J6657&lt;&gt;1,"",IF(I6657="SBJ","CB","?"))</f>
        <v> </v>
      </c>
      <c r="I6657" s="26" t="str">
        <f>IF(OR(E6657="",E6657="!!!",F6657="NEW"),"",INDEX(B6656:B$2,-1+SUMPRODUCT(MAX(ROW(E6656:E$2)*(E6657=E6656:E$2)))))</f>
        <v> </v>
      </c>
      <c r="J6657" s="26" t="str">
        <f>IF(OR(E6657="",E6657="!!!",F6657="NEW"),"",COUNTBLANK(OFFSET(A$1,,,SUMPRODUCT(MAX(ROW(E$2:E6657)*(E6657=E$2:E6657)))))-COUNTBLANK(OFFSET(A$1,,,SUMPRODUCT(MAX(ROW(E$1:E6656)*(E2=E$1:E6656))))))</f>
        <v> </v>
      </c>
      <c r="K6657" s="26" t="str">
        <f>IF(OR(E6657="",E6657="!!!",F6657="NEW"),"",INDEX(J$1:J6656,SUMPRODUCT(MAX(ROW(E$1:E6656)*(E6657=E$1:E6656)))))</f>
        <v> </v>
      </c>
      <c r="L6657" s="27"/>
    </row>
    <row r="6658" spans="1:12">
      <c r="A6658" s="20" t="s">
        <v>1312</v>
      </c>
      <c r="B6658" s="21" t="s">
        <v>1212</v>
      </c>
      <c r="E6658" s="22">
        <f>IF(D6658="?OLD","!!!","")</f>
        <v/>
      </c>
      <c r="F6658" s="23" t="str">
        <f>IF(OR(E6658="",E6658="!!!"),"",IF(NOT(ISNA(VLOOKUP(E6658,E$1:E6657,1,FALSE()))),"OLD",IF(AND(E6658&lt;&gt;"",E6658&lt;&gt;"!!!"),"NEW","")))</f>
        <v> </v>
      </c>
      <c r="G6658" s="24" t="str">
        <f>IF(OR(E6658="",E6658="!!!"),"",IF(OR(J6658=0,AND(J6658=1,K6658=1),AND(J6658=1,I6658="SBJ"),AND(J6658=1,I6658=0)),"?IN_FOCUS",IF(J6658&lt;=2,"?ACTIVATED",IF(J6658&lt;&gt;"","?FAMILIAR",IF(F6658="NEW",IF(ISNA(VLOOKUP(E6658,#REF!,1,FALSE())),"?TYPE_IDENTIFIABLE","?REFERENTIAL"),"_")))))</f>
        <v> </v>
      </c>
      <c r="H6658" s="25" t="str">
        <f>IF(J6658&lt;&gt;1,"",IF(I6658="SBJ","CB","?"))</f>
        <v> </v>
      </c>
      <c r="I6658" s="26" t="str">
        <f>IF(OR(E6658="",E6658="!!!",F6658="NEW"),"",INDEX(B6657:B$2,-1+SUMPRODUCT(MAX(ROW(E6657:E$2)*(E6658=E6657:E$2)))))</f>
        <v> </v>
      </c>
      <c r="J6658" s="26" t="str">
        <f>IF(OR(E6658="",E6658="!!!",F6658="NEW"),"",COUNTBLANK(OFFSET(A$1,,,SUMPRODUCT(MAX(ROW(E$2:E6658)*(E6658=E$2:E6658)))))-COUNTBLANK(OFFSET(A$1,,,SUMPRODUCT(MAX(ROW(E$1:E6657)*(E2=E$1:E6657))))))</f>
        <v> </v>
      </c>
      <c r="K6658" s="26" t="str">
        <f>IF(OR(E6658="",E6658="!!!",F6658="NEW"),"",INDEX(J$1:J6657,SUMPRODUCT(MAX(ROW(E$1:E6657)*(E6658=E$1:E6657)))))</f>
        <v> </v>
      </c>
      <c r="L6658" s="27"/>
    </row>
    <row r="6659" spans="1:12">
      <c r="A6659" s="20" t="s">
        <v>2076</v>
      </c>
      <c r="E6659" s="22">
        <f>IF(D6659="?OLD","!!!","")</f>
        <v/>
      </c>
      <c r="F6659" s="23" t="str">
        <f>IF(OR(E6659="",E6659="!!!"),"",IF(NOT(ISNA(VLOOKUP(E6659,E$1:E6658,1,FALSE()))),"OLD",IF(AND(E6659&lt;&gt;"",E6659&lt;&gt;"!!!"),"NEW","")))</f>
        <v> </v>
      </c>
      <c r="G6659" s="24" t="str">
        <f>IF(OR(E6659="",E6659="!!!"),"",IF(OR(J6659=0,AND(J6659=1,K6659=1),AND(J6659=1,I6659="SBJ"),AND(J6659=1,I6659=0)),"?IN_FOCUS",IF(J6659&lt;=2,"?ACTIVATED",IF(J6659&lt;&gt;"","?FAMILIAR",IF(F6659="NEW",IF(ISNA(VLOOKUP(E6659,#REF!,1,FALSE())),"?TYPE_IDENTIFIABLE","?REFERENTIAL"),"_")))))</f>
        <v> </v>
      </c>
      <c r="H6659" s="25" t="str">
        <f>IF(J6659&lt;&gt;1,"",IF(I6659="SBJ","CB","?"))</f>
        <v> </v>
      </c>
      <c r="I6659" s="26" t="str">
        <f>IF(OR(E6659="",E6659="!!!",F6659="NEW"),"",INDEX(B6658:B$2,-1+SUMPRODUCT(MAX(ROW(E6658:E$2)*(E6659=E6658:E$2)))))</f>
        <v> </v>
      </c>
      <c r="J6659" s="26" t="str">
        <f>IF(OR(E6659="",E6659="!!!",F6659="NEW"),"",COUNTBLANK(OFFSET(A$1,,,SUMPRODUCT(MAX(ROW(E$2:E6659)*(E6659=E$2:E6659)))))-COUNTBLANK(OFFSET(A$1,,,SUMPRODUCT(MAX(ROW(E$1:E6658)*(E2=E$1:E6658))))))</f>
        <v> </v>
      </c>
      <c r="K6659" s="26" t="str">
        <f>IF(OR(E6659="",E6659="!!!",F6659="NEW"),"",INDEX(J$1:J6658,SUMPRODUCT(MAX(ROW(E$1:E6658)*(E6659=E$1:E6658)))))</f>
        <v> </v>
      </c>
      <c r="L6659" s="27"/>
    </row>
    <row r="6660" spans="1:12">
      <c r="A6660" s="20" t="s">
        <v>1193</v>
      </c>
      <c r="E6660" s="22">
        <f>IF(D6660="?OLD","!!!","")</f>
        <v/>
      </c>
      <c r="F6660" s="23" t="str">
        <f>IF(OR(E6660="",E6660="!!!"),"",IF(NOT(ISNA(VLOOKUP(E6660,E$1:E6659,1,FALSE()))),"OLD",IF(AND(E6660&lt;&gt;"",E6660&lt;&gt;"!!!"),"NEW","")))</f>
        <v> </v>
      </c>
      <c r="G6660" s="24" t="str">
        <f>IF(OR(E6660="",E6660="!!!"),"",IF(OR(J6660=0,AND(J6660=1,K6660=1),AND(J6660=1,I6660="SBJ"),AND(J6660=1,I6660=0)),"?IN_FOCUS",IF(J6660&lt;=2,"?ACTIVATED",IF(J6660&lt;&gt;"","?FAMILIAR",IF(F6660="NEW",IF(ISNA(VLOOKUP(E6660,#REF!,1,FALSE())),"?TYPE_IDENTIFIABLE","?REFERENTIAL"),"_")))))</f>
        <v> </v>
      </c>
      <c r="H6660" s="25" t="str">
        <f>IF(J6660&lt;&gt;1,"",IF(I6660="SBJ","CB","?"))</f>
        <v> </v>
      </c>
      <c r="I6660" s="26" t="str">
        <f>IF(OR(E6660="",E6660="!!!",F6660="NEW"),"",INDEX(B6659:B$2,-1+SUMPRODUCT(MAX(ROW(E6659:E$2)*(E6660=E6659:E$2)))))</f>
        <v> </v>
      </c>
      <c r="J6660" s="26" t="str">
        <f>IF(OR(E6660="",E6660="!!!",F6660="NEW"),"",COUNTBLANK(OFFSET(A$1,,,SUMPRODUCT(MAX(ROW(E$2:E6660)*(E6660=E$2:E6660)))))-COUNTBLANK(OFFSET(A$1,,,SUMPRODUCT(MAX(ROW(E$1:E6659)*(E2=E$1:E6659))))))</f>
        <v> </v>
      </c>
      <c r="K6660" s="26" t="str">
        <f>IF(OR(E6660="",E6660="!!!",F6660="NEW"),"",INDEX(J$1:J6659,SUMPRODUCT(MAX(ROW(E$1:E6659)*(E6660=E$1:E6659)))))</f>
        <v> </v>
      </c>
      <c r="L6660" s="27"/>
    </row>
    <row r="6661" spans="1:12">
      <c r="A6661" s="20" t="s">
        <v>1300</v>
      </c>
      <c r="E6661" s="22">
        <f>IF(D6661="?OLD","!!!","")</f>
        <v/>
      </c>
      <c r="F6661" s="23" t="str">
        <f>IF(OR(E6661="",E6661="!!!"),"",IF(NOT(ISNA(VLOOKUP(E6661,E$1:E6660,1,FALSE()))),"OLD",IF(AND(E6661&lt;&gt;"",E6661&lt;&gt;"!!!"),"NEW","")))</f>
        <v> </v>
      </c>
      <c r="G6661" s="24" t="str">
        <f>IF(OR(E6661="",E6661="!!!"),"",IF(OR(J6661=0,AND(J6661=1,K6661=1),AND(J6661=1,I6661="SBJ"),AND(J6661=1,I6661=0)),"?IN_FOCUS",IF(J6661&lt;=2,"?ACTIVATED",IF(J6661&lt;&gt;"","?FAMILIAR",IF(F6661="NEW",IF(ISNA(VLOOKUP(E6661,#REF!,1,FALSE())),"?TYPE_IDENTIFIABLE","?REFERENTIAL"),"_")))))</f>
        <v> </v>
      </c>
      <c r="H6661" s="25" t="str">
        <f>IF(J6661&lt;&gt;1,"",IF(I6661="SBJ","CB","?"))</f>
        <v> </v>
      </c>
      <c r="I6661" s="26" t="str">
        <f>IF(OR(E6661="",E6661="!!!",F6661="NEW"),"",INDEX(B6660:B$2,-1+SUMPRODUCT(MAX(ROW(E6660:E$2)*(E6661=E6660:E$2)))))</f>
        <v> </v>
      </c>
      <c r="J6661" s="26" t="str">
        <f>IF(OR(E6661="",E6661="!!!",F6661="NEW"),"",COUNTBLANK(OFFSET(A$1,,,SUMPRODUCT(MAX(ROW(E$2:E6661)*(E6661=E$2:E6661)))))-COUNTBLANK(OFFSET(A$1,,,SUMPRODUCT(MAX(ROW(E$1:E6660)*(E2=E$1:E6660))))))</f>
        <v> </v>
      </c>
      <c r="K6661" s="26" t="str">
        <f>IF(OR(E6661="",E6661="!!!",F6661="NEW"),"",INDEX(J$1:J6660,SUMPRODUCT(MAX(ROW(E$1:E6660)*(E6661=E$1:E6660)))))</f>
        <v> </v>
      </c>
      <c r="L6661" s="27"/>
    </row>
    <row r="6662" spans="1:12">
      <c r="A6662" s="20" t="s">
        <v>2950</v>
      </c>
      <c r="B6662" s="21" t="s">
        <v>1245</v>
      </c>
      <c r="C6662" s="21" t="s">
        <v>1262</v>
      </c>
      <c r="E6662" s="22">
        <f>IF(D6662="?OLD","!!!","")</f>
        <v/>
      </c>
      <c r="F6662" s="23" t="str">
        <f>IF(OR(E6662="",E6662="!!!"),"",IF(NOT(ISNA(VLOOKUP(E6662,E$1:E6661,1,FALSE()))),"OLD",IF(AND(E6662&lt;&gt;"",E6662&lt;&gt;"!!!"),"NEW","")))</f>
        <v> </v>
      </c>
      <c r="G6662" s="24" t="str">
        <f>IF(OR(E6662="",E6662="!!!"),"",IF(OR(J6662=0,AND(J6662=1,K6662=1),AND(J6662=1,I6662="SBJ"),AND(J6662=1,I6662=0)),"?IN_FOCUS",IF(J6662&lt;=2,"?ACTIVATED",IF(J6662&lt;&gt;"","?FAMILIAR",IF(F6662="NEW",IF(ISNA(VLOOKUP(E6662,#REF!,1,FALSE())),"?TYPE_IDENTIFIABLE","?REFERENTIAL"),"_")))))</f>
        <v> </v>
      </c>
      <c r="H6662" s="25" t="str">
        <f>IF(J6662&lt;&gt;1,"",IF(I6662="SBJ","CB","?"))</f>
        <v> </v>
      </c>
      <c r="I6662" s="26" t="str">
        <f>IF(OR(E6662="",E6662="!!!",F6662="NEW"),"",INDEX(B6661:B$2,-1+SUMPRODUCT(MAX(ROW(E6661:E$2)*(E6662=E6661:E$2)))))</f>
        <v> </v>
      </c>
      <c r="J6662" s="26" t="str">
        <f>IF(OR(E6662="",E6662="!!!",F6662="NEW"),"",COUNTBLANK(OFFSET(A$1,,,SUMPRODUCT(MAX(ROW(E$2:E6662)*(E6662=E$2:E6662)))))-COUNTBLANK(OFFSET(A$1,,,SUMPRODUCT(MAX(ROW(E$1:E6661)*(E2=E$1:E6661))))))</f>
        <v> </v>
      </c>
      <c r="K6662" s="26" t="str">
        <f>IF(OR(E6662="",E6662="!!!",F6662="NEW"),"",INDEX(J$1:J6661,SUMPRODUCT(MAX(ROW(E$1:E6661)*(E6662=E$1:E6661)))))</f>
        <v> </v>
      </c>
      <c r="L6662" s="27"/>
    </row>
    <row r="6663" spans="1:12">
      <c r="A6663" s="20" t="s">
        <v>1232</v>
      </c>
      <c r="E6663" s="22">
        <f>IF(D6663="?OLD","!!!","")</f>
        <v/>
      </c>
      <c r="F6663" s="23" t="str">
        <f>IF(OR(E6663="",E6663="!!!"),"",IF(NOT(ISNA(VLOOKUP(E6663,E$1:E6662,1,FALSE()))),"OLD",IF(AND(E6663&lt;&gt;"",E6663&lt;&gt;"!!!"),"NEW","")))</f>
        <v> </v>
      </c>
      <c r="G6663" s="24" t="str">
        <f>IF(OR(E6663="",E6663="!!!"),"",IF(OR(J6663=0,AND(J6663=1,K6663=1),AND(J6663=1,I6663="SBJ"),AND(J6663=1,I6663=0)),"?IN_FOCUS",IF(J6663&lt;=2,"?ACTIVATED",IF(J6663&lt;&gt;"","?FAMILIAR",IF(F6663="NEW",IF(ISNA(VLOOKUP(E6663,#REF!,1,FALSE())),"?TYPE_IDENTIFIABLE","?REFERENTIAL"),"_")))))</f>
        <v> </v>
      </c>
      <c r="H6663" s="25" t="str">
        <f>IF(J6663&lt;&gt;1,"",IF(I6663="SBJ","CB","?"))</f>
        <v> </v>
      </c>
      <c r="I6663" s="26" t="str">
        <f>IF(OR(E6663="",E6663="!!!",F6663="NEW"),"",INDEX(B6662:B$2,-1+SUMPRODUCT(MAX(ROW(E6662:E$2)*(E6663=E6662:E$2)))))</f>
        <v> </v>
      </c>
      <c r="J6663" s="26" t="str">
        <f>IF(OR(E6663="",E6663="!!!",F6663="NEW"),"",COUNTBLANK(OFFSET(A$1,,,SUMPRODUCT(MAX(ROW(E$2:E6663)*(E6663=E$2:E6663)))))-COUNTBLANK(OFFSET(A$1,,,SUMPRODUCT(MAX(ROW(E$1:E6662)*(E2=E$1:E6662))))))</f>
        <v> </v>
      </c>
      <c r="K6663" s="26" t="str">
        <f>IF(OR(E6663="",E6663="!!!",F6663="NEW"),"",INDEX(J$1:J6662,SUMPRODUCT(MAX(ROW(E$1:E6662)*(E6663=E$1:E6662)))))</f>
        <v> </v>
      </c>
      <c r="L6663" s="27"/>
    </row>
    <row r="6664" spans="1:12">
      <c r="A6664" s="20" t="s">
        <v>1206</v>
      </c>
      <c r="E6664" s="22">
        <f>IF(D6664="?OLD","!!!","")</f>
        <v/>
      </c>
      <c r="F6664" s="23" t="str">
        <f>IF(OR(E6664="",E6664="!!!"),"",IF(NOT(ISNA(VLOOKUP(E6664,E$1:E6663,1,FALSE()))),"OLD",IF(AND(E6664&lt;&gt;"",E6664&lt;&gt;"!!!"),"NEW","")))</f>
        <v> </v>
      </c>
      <c r="G6664" s="24" t="str">
        <f>IF(OR(E6664="",E6664="!!!"),"",IF(OR(J6664=0,AND(J6664=1,K6664=1),AND(J6664=1,I6664="SBJ"),AND(J6664=1,I6664=0)),"?IN_FOCUS",IF(J6664&lt;=2,"?ACTIVATED",IF(J6664&lt;&gt;"","?FAMILIAR",IF(F6664="NEW",IF(ISNA(VLOOKUP(E6664,#REF!,1,FALSE())),"?TYPE_IDENTIFIABLE","?REFERENTIAL"),"_")))))</f>
        <v> </v>
      </c>
      <c r="H6664" s="25" t="str">
        <f>IF(J6664&lt;&gt;1,"",IF(I6664="SBJ","CB","?"))</f>
        <v> </v>
      </c>
      <c r="I6664" s="26" t="str">
        <f>IF(OR(E6664="",E6664="!!!",F6664="NEW"),"",INDEX(B6663:B$2,-1+SUMPRODUCT(MAX(ROW(E6663:E$2)*(E6664=E6663:E$2)))))</f>
        <v> </v>
      </c>
      <c r="J6664" s="26" t="str">
        <f>IF(OR(E6664="",E6664="!!!",F6664="NEW"),"",COUNTBLANK(OFFSET(A$1,,,SUMPRODUCT(MAX(ROW(E$2:E6664)*(E6664=E$2:E6664)))))-COUNTBLANK(OFFSET(A$1,,,SUMPRODUCT(MAX(ROW(E$1:E6663)*(E2=E$1:E6663))))))</f>
        <v> </v>
      </c>
      <c r="K6664" s="26" t="str">
        <f>IF(OR(E6664="",E6664="!!!",F6664="NEW"),"",INDEX(J$1:J6663,SUMPRODUCT(MAX(ROW(E$1:E6663)*(E6664=E$1:E6663)))))</f>
        <v> </v>
      </c>
      <c r="L6664" s="27"/>
    </row>
    <row r="6665" spans="1:12">
      <c r="A6665" s="20" t="s">
        <v>1336</v>
      </c>
      <c r="B6665" s="21" t="s">
        <v>1215</v>
      </c>
      <c r="C6665" s="21" t="s">
        <v>1196</v>
      </c>
      <c r="D6665" s="21" t="s">
        <v>1188</v>
      </c>
      <c r="E6665" s="22">
        <f>IF(D6665="?OLD","!!!","")</f>
        <v/>
      </c>
      <c r="F6665" s="23" t="str">
        <f>IF(OR(E6665="",E6665="!!!"),"",IF(NOT(ISNA(VLOOKUP(E6665,E$1:E6664,1,FALSE()))),"OLD",IF(AND(E6665&lt;&gt;"",E6665&lt;&gt;"!!!"),"NEW","")))</f>
        <v> </v>
      </c>
      <c r="G6665" s="24" t="str">
        <f>IF(OR(E6665="",E6665="!!!"),"",IF(OR(J6665=0,AND(J6665=1,K6665=1),AND(J6665=1,I6665="SBJ"),AND(J6665=1,I6665=0)),"?IN_FOCUS",IF(J6665&lt;=2,"?ACTIVATED",IF(J6665&lt;&gt;"","?FAMILIAR",IF(F6665="NEW",IF(ISNA(VLOOKUP(E6665,#REF!,1,FALSE())),"?TYPE_IDENTIFIABLE","?REFERENTIAL"),"_")))))</f>
        <v> </v>
      </c>
      <c r="H6665" s="25" t="str">
        <f>IF(J6665&lt;&gt;1,"",IF(I6665="SBJ","CB","?"))</f>
        <v> </v>
      </c>
      <c r="I6665" s="26" t="str">
        <f>IF(OR(E6665="",E6665="!!!",F6665="NEW"),"",INDEX(B6664:B$2,-1+SUMPRODUCT(MAX(ROW(E6664:E$2)*(E6665=E6664:E$2)))))</f>
        <v> </v>
      </c>
      <c r="J6665" s="26" t="str">
        <f>IF(OR(E6665="",E6665="!!!",F6665="NEW"),"",COUNTBLANK(OFFSET(A$1,,,SUMPRODUCT(MAX(ROW(E$2:E6665)*(E6665=E$2:E6665)))))-COUNTBLANK(OFFSET(A$1,,,SUMPRODUCT(MAX(ROW(E$1:E6664)*(E2=E$1:E6664))))))</f>
        <v> </v>
      </c>
      <c r="K6665" s="26" t="str">
        <f>IF(OR(E6665="",E6665="!!!",F6665="NEW"),"",INDEX(J$1:J6664,SUMPRODUCT(MAX(ROW(E$1:E6664)*(E6665=E$1:E6664)))))</f>
        <v> </v>
      </c>
      <c r="L6665" s="27"/>
    </row>
    <row r="6666" spans="1:12">
      <c r="A6666" s="20" t="s">
        <v>2951</v>
      </c>
      <c r="E6666" s="22">
        <f>IF(D6666="?OLD","!!!","")</f>
        <v/>
      </c>
      <c r="F6666" s="23" t="str">
        <f>IF(OR(E6666="",E6666="!!!"),"",IF(NOT(ISNA(VLOOKUP(E6666,E$1:E6665,1,FALSE()))),"OLD",IF(AND(E6666&lt;&gt;"",E6666&lt;&gt;"!!!"),"NEW","")))</f>
        <v> </v>
      </c>
      <c r="G6666" s="24" t="str">
        <f>IF(OR(E6666="",E6666="!!!"),"",IF(OR(J6666=0,AND(J6666=1,K6666=1),AND(J6666=1,I6666="SBJ"),AND(J6666=1,I6666=0)),"?IN_FOCUS",IF(J6666&lt;=2,"?ACTIVATED",IF(J6666&lt;&gt;"","?FAMILIAR",IF(F6666="NEW",IF(ISNA(VLOOKUP(E6666,#REF!,1,FALSE())),"?TYPE_IDENTIFIABLE","?REFERENTIAL"),"_")))))</f>
        <v> </v>
      </c>
      <c r="H6666" s="25" t="str">
        <f>IF(J6666&lt;&gt;1,"",IF(I6666="SBJ","CB","?"))</f>
        <v> </v>
      </c>
      <c r="I6666" s="26" t="str">
        <f>IF(OR(E6666="",E6666="!!!",F6666="NEW"),"",INDEX(B6665:B$2,-1+SUMPRODUCT(MAX(ROW(E6665:E$2)*(E6666=E6665:E$2)))))</f>
        <v> </v>
      </c>
      <c r="J6666" s="26" t="str">
        <f>IF(OR(E6666="",E6666="!!!",F6666="NEW"),"",COUNTBLANK(OFFSET(A$1,,,SUMPRODUCT(MAX(ROW(E$2:E6666)*(E6666=E$2:E6666)))))-COUNTBLANK(OFFSET(A$1,,,SUMPRODUCT(MAX(ROW(E$1:E6665)*(E2=E$1:E6665))))))</f>
        <v> </v>
      </c>
      <c r="K6666" s="26" t="str">
        <f>IF(OR(E6666="",E6666="!!!",F6666="NEW"),"",INDEX(J$1:J6665,SUMPRODUCT(MAX(ROW(E$1:E6665)*(E6666=E$1:E6665)))))</f>
        <v> </v>
      </c>
      <c r="L6666" s="27"/>
    </row>
    <row r="6667" spans="1:12">
      <c r="A6667" s="20" t="s">
        <v>1193</v>
      </c>
      <c r="E6667" s="22">
        <f>IF(D6667="?OLD","!!!","")</f>
        <v/>
      </c>
      <c r="F6667" s="23" t="str">
        <f>IF(OR(E6667="",E6667="!!!"),"",IF(NOT(ISNA(VLOOKUP(E6667,E$1:E6666,1,FALSE()))),"OLD",IF(AND(E6667&lt;&gt;"",E6667&lt;&gt;"!!!"),"NEW","")))</f>
        <v> </v>
      </c>
      <c r="G6667" s="24" t="str">
        <f>IF(OR(E6667="",E6667="!!!"),"",IF(OR(J6667=0,AND(J6667=1,K6667=1),AND(J6667=1,I6667="SBJ"),AND(J6667=1,I6667=0)),"?IN_FOCUS",IF(J6667&lt;=2,"?ACTIVATED",IF(J6667&lt;&gt;"","?FAMILIAR",IF(F6667="NEW",IF(ISNA(VLOOKUP(E6667,#REF!,1,FALSE())),"?TYPE_IDENTIFIABLE","?REFERENTIAL"),"_")))))</f>
        <v> </v>
      </c>
      <c r="H6667" s="25" t="str">
        <f>IF(J6667&lt;&gt;1,"",IF(I6667="SBJ","CB","?"))</f>
        <v> </v>
      </c>
      <c r="I6667" s="26" t="str">
        <f>IF(OR(E6667="",E6667="!!!",F6667="NEW"),"",INDEX(B6666:B$2,-1+SUMPRODUCT(MAX(ROW(E6666:E$2)*(E6667=E6666:E$2)))))</f>
        <v> </v>
      </c>
      <c r="J6667" s="26" t="str">
        <f>IF(OR(E6667="",E6667="!!!",F6667="NEW"),"",COUNTBLANK(OFFSET(A$1,,,SUMPRODUCT(MAX(ROW(E$2:E6667)*(E6667=E$2:E6667)))))-COUNTBLANK(OFFSET(A$1,,,SUMPRODUCT(MAX(ROW(E$1:E6666)*(E2=E$1:E6666))))))</f>
        <v> </v>
      </c>
      <c r="K6667" s="26" t="str">
        <f>IF(OR(E6667="",E6667="!!!",F6667="NEW"),"",INDEX(J$1:J6666,SUMPRODUCT(MAX(ROW(E$1:E6666)*(E6667=E$1:E6666)))))</f>
        <v> </v>
      </c>
      <c r="L6667" s="27"/>
    </row>
    <row r="6668" spans="1:12">
      <c r="A6668" s="20" t="s">
        <v>1520</v>
      </c>
      <c r="E6668" s="22">
        <f>IF(D6668="?OLD","!!!","")</f>
        <v/>
      </c>
      <c r="F6668" s="23" t="str">
        <f>IF(OR(E6668="",E6668="!!!"),"",IF(NOT(ISNA(VLOOKUP(E6668,E$1:E6667,1,FALSE()))),"OLD",IF(AND(E6668&lt;&gt;"",E6668&lt;&gt;"!!!"),"NEW","")))</f>
        <v> </v>
      </c>
      <c r="G6668" s="24" t="str">
        <f>IF(OR(E6668="",E6668="!!!"),"",IF(OR(J6668=0,AND(J6668=1,K6668=1),AND(J6668=1,I6668="SBJ"),AND(J6668=1,I6668=0)),"?IN_FOCUS",IF(J6668&lt;=2,"?ACTIVATED",IF(J6668&lt;&gt;"","?FAMILIAR",IF(F6668="NEW",IF(ISNA(VLOOKUP(E6668,#REF!,1,FALSE())),"?TYPE_IDENTIFIABLE","?REFERENTIAL"),"_")))))</f>
        <v> </v>
      </c>
      <c r="H6668" s="25" t="str">
        <f>IF(J6668&lt;&gt;1,"",IF(I6668="SBJ","CB","?"))</f>
        <v> </v>
      </c>
      <c r="I6668" s="26" t="str">
        <f>IF(OR(E6668="",E6668="!!!",F6668="NEW"),"",INDEX(B6667:B$2,-1+SUMPRODUCT(MAX(ROW(E6667:E$2)*(E6668=E6667:E$2)))))</f>
        <v> </v>
      </c>
      <c r="J6668" s="26" t="str">
        <f>IF(OR(E6668="",E6668="!!!",F6668="NEW"),"",COUNTBLANK(OFFSET(A$1,,,SUMPRODUCT(MAX(ROW(E$2:E6668)*(E6668=E$2:E6668)))))-COUNTBLANK(OFFSET(A$1,,,SUMPRODUCT(MAX(ROW(E$1:E6667)*(E2=E$1:E6667))))))</f>
        <v> </v>
      </c>
      <c r="K6668" s="26" t="str">
        <f>IF(OR(E6668="",E6668="!!!",F6668="NEW"),"",INDEX(J$1:J6667,SUMPRODUCT(MAX(ROW(E$1:E6667)*(E6668=E$1:E6667)))))</f>
        <v> </v>
      </c>
      <c r="L6668" s="27"/>
    </row>
    <row r="6669" spans="1:12">
      <c r="A6669" s="20" t="s">
        <v>1502</v>
      </c>
      <c r="B6669" s="21" t="s">
        <v>1313</v>
      </c>
      <c r="C6669" s="21" t="s">
        <v>1216</v>
      </c>
      <c r="D6669" s="21" t="s">
        <v>1188</v>
      </c>
      <c r="E6669" s="22">
        <f>IF(D6669="?OLD","!!!","")</f>
        <v/>
      </c>
      <c r="F6669" s="23" t="str">
        <f>IF(OR(E6669="",E6669="!!!"),"",IF(NOT(ISNA(VLOOKUP(E6669,E$1:E6668,1,FALSE()))),"OLD",IF(AND(E6669&lt;&gt;"",E6669&lt;&gt;"!!!"),"NEW","")))</f>
        <v> </v>
      </c>
      <c r="G6669" s="24" t="str">
        <f>IF(OR(E6669="",E6669="!!!"),"",IF(OR(J6669=0,AND(J6669=1,K6669=1),AND(J6669=1,I6669="SBJ"),AND(J6669=1,I6669=0)),"?IN_FOCUS",IF(J6669&lt;=2,"?ACTIVATED",IF(J6669&lt;&gt;"","?FAMILIAR",IF(F6669="NEW",IF(ISNA(VLOOKUP(E6669,#REF!,1,FALSE())),"?TYPE_IDENTIFIABLE","?REFERENTIAL"),"_")))))</f>
        <v> </v>
      </c>
      <c r="H6669" s="25" t="str">
        <f>IF(J6669&lt;&gt;1,"",IF(I6669="SBJ","CB","?"))</f>
        <v> </v>
      </c>
      <c r="I6669" s="26" t="str">
        <f>IF(OR(E6669="",E6669="!!!",F6669="NEW"),"",INDEX(B6668:B$2,-1+SUMPRODUCT(MAX(ROW(E6668:E$2)*(E6669=E6668:E$2)))))</f>
        <v> </v>
      </c>
      <c r="J6669" s="26" t="str">
        <f>IF(OR(E6669="",E6669="!!!",F6669="NEW"),"",COUNTBLANK(OFFSET(A$1,,,SUMPRODUCT(MAX(ROW(E$2:E6669)*(E6669=E$2:E6669)))))-COUNTBLANK(OFFSET(A$1,,,SUMPRODUCT(MAX(ROW(E$1:E6668)*(E2=E$1:E6668))))))</f>
        <v> </v>
      </c>
      <c r="K6669" s="26" t="str">
        <f>IF(OR(E6669="",E6669="!!!",F6669="NEW"),"",INDEX(J$1:J6668,SUMPRODUCT(MAX(ROW(E$1:E6668)*(E6669=E$1:E6668)))))</f>
        <v> </v>
      </c>
      <c r="L6669" s="27"/>
    </row>
    <row r="6670" spans="1:12">
      <c r="A6670" s="20" t="s">
        <v>2952</v>
      </c>
      <c r="E6670" s="22">
        <f>IF(D6670="?OLD","!!!","")</f>
        <v/>
      </c>
      <c r="F6670" s="23" t="str">
        <f>IF(OR(E6670="",E6670="!!!"),"",IF(NOT(ISNA(VLOOKUP(E6670,E$1:E6669,1,FALSE()))),"OLD",IF(AND(E6670&lt;&gt;"",E6670&lt;&gt;"!!!"),"NEW","")))</f>
        <v> </v>
      </c>
      <c r="G6670" s="24" t="str">
        <f>IF(OR(E6670="",E6670="!!!"),"",IF(OR(J6670=0,AND(J6670=1,K6670=1),AND(J6670=1,I6670="SBJ"),AND(J6670=1,I6670=0)),"?IN_FOCUS",IF(J6670&lt;=2,"?ACTIVATED",IF(J6670&lt;&gt;"","?FAMILIAR",IF(F6670="NEW",IF(ISNA(VLOOKUP(E6670,#REF!,1,FALSE())),"?TYPE_IDENTIFIABLE","?REFERENTIAL"),"_")))))</f>
        <v> </v>
      </c>
      <c r="H6670" s="25" t="str">
        <f>IF(J6670&lt;&gt;1,"",IF(I6670="SBJ","CB","?"))</f>
        <v> </v>
      </c>
      <c r="I6670" s="26" t="str">
        <f>IF(OR(E6670="",E6670="!!!",F6670="NEW"),"",INDEX(B6669:B$2,-1+SUMPRODUCT(MAX(ROW(E6669:E$2)*(E6670=E6669:E$2)))))</f>
        <v> </v>
      </c>
      <c r="J6670" s="26" t="str">
        <f>IF(OR(E6670="",E6670="!!!",F6670="NEW"),"",COUNTBLANK(OFFSET(A$1,,,SUMPRODUCT(MAX(ROW(E$2:E6670)*(E6670=E$2:E6670)))))-COUNTBLANK(OFFSET(A$1,,,SUMPRODUCT(MAX(ROW(E$1:E6669)*(E2=E$1:E6669))))))</f>
        <v> </v>
      </c>
      <c r="K6670" s="26" t="str">
        <f>IF(OR(E6670="",E6670="!!!",F6670="NEW"),"",INDEX(J$1:J6669,SUMPRODUCT(MAX(ROW(E$1:E6669)*(E6670=E$1:E6669)))))</f>
        <v> </v>
      </c>
      <c r="L6670" s="27"/>
    </row>
    <row r="6671" spans="1:12">
      <c r="A6671" s="20" t="s">
        <v>826</v>
      </c>
      <c r="E6671" s="22">
        <f>IF(D6671="?OLD","!!!","")</f>
        <v/>
      </c>
      <c r="F6671" s="23" t="str">
        <f>IF(OR(E6671="",E6671="!!!"),"",IF(NOT(ISNA(VLOOKUP(E6671,E$1:E6670,1,FALSE()))),"OLD",IF(AND(E6671&lt;&gt;"",E6671&lt;&gt;"!!!"),"NEW","")))</f>
        <v> </v>
      </c>
      <c r="G6671" s="24" t="str">
        <f>IF(OR(E6671="",E6671="!!!"),"",IF(OR(J6671=0,AND(J6671=1,K6671=1),AND(J6671=1,I6671="SBJ"),AND(J6671=1,I6671=0)),"?IN_FOCUS",IF(J6671&lt;=2,"?ACTIVATED",IF(J6671&lt;&gt;"","?FAMILIAR",IF(F6671="NEW",IF(ISNA(VLOOKUP(E6671,#REF!,1,FALSE())),"?TYPE_IDENTIFIABLE","?REFERENTIAL"),"_")))))</f>
        <v> </v>
      </c>
      <c r="H6671" s="25" t="str">
        <f>IF(J6671&lt;&gt;1,"",IF(I6671="SBJ","CB","?"))</f>
        <v> </v>
      </c>
      <c r="I6671" s="26" t="str">
        <f>IF(OR(E6671="",E6671="!!!",F6671="NEW"),"",INDEX(B6670:B$2,-1+SUMPRODUCT(MAX(ROW(E6670:E$2)*(E6671=E6670:E$2)))))</f>
        <v> </v>
      </c>
      <c r="J6671" s="26" t="str">
        <f>IF(OR(E6671="",E6671="!!!",F6671="NEW"),"",COUNTBLANK(OFFSET(A$1,,,SUMPRODUCT(MAX(ROW(E$2:E6671)*(E6671=E$2:E6671)))))-COUNTBLANK(OFFSET(A$1,,,SUMPRODUCT(MAX(ROW(E$1:E6670)*(E2=E$1:E6670))))))</f>
        <v> </v>
      </c>
      <c r="K6671" s="26" t="str">
        <f>IF(OR(E6671="",E6671="!!!",F6671="NEW"),"",INDEX(J$1:J6670,SUMPRODUCT(MAX(ROW(E$1:E6670)*(E6671=E$1:E6670)))))</f>
        <v> </v>
      </c>
      <c r="L6671" s="27"/>
    </row>
    <row r="6672" spans="1:12">
      <c r="A6672" s="20"/>
    </row>
    <row r="6673" spans="1:12">
      <c r="A6673" s="20" t="s">
        <v>2953</v>
      </c>
    </row>
    <row r="6674" spans="1:12">
      <c r="A6674" s="20" t="s">
        <v>1201</v>
      </c>
      <c r="B6674" s="21" t="s">
        <v>1202</v>
      </c>
      <c r="C6674" s="21" t="s">
        <v>1203</v>
      </c>
      <c r="D6674" s="21" t="s">
        <v>1188</v>
      </c>
      <c r="E6674" s="22">
        <f>IF(D6674="?OLD","!!!","")</f>
        <v/>
      </c>
      <c r="F6674" s="23" t="str">
        <f>IF(OR(E6674="",E6674="!!!"),"",IF(NOT(ISNA(VLOOKUP(E6674,E$1:E6673,1,FALSE()))),"OLD",IF(AND(E6674&lt;&gt;"",E6674&lt;&gt;"!!!"),"NEW","")))</f>
        <v> </v>
      </c>
      <c r="G6674" s="24" t="str">
        <f>IF(OR(E6674="",E6674="!!!"),"",IF(OR(J6674=0,AND(J6674=1,K6674=1),AND(J6674=1,I6674="SBJ"),AND(J6674=1,I6674=0)),"?IN_FOCUS",IF(J6674&lt;=2,"?ACTIVATED",IF(J6674&lt;&gt;"","?FAMILIAR",IF(F6674="NEW",IF(ISNA(VLOOKUP(E6674,#REF!,1,FALSE())),"?TYPE_IDENTIFIABLE","?REFERENTIAL"),"_")))))</f>
        <v> </v>
      </c>
      <c r="H6674" s="25" t="str">
        <f>IF(J6674&lt;&gt;1,"",IF(I6674="SBJ","CB","?"))</f>
        <v> </v>
      </c>
      <c r="I6674" s="26" t="str">
        <f>IF(OR(E6674="",E6674="!!!",F6674="NEW"),"",INDEX(B6673:B$2,-1+SUMPRODUCT(MAX(ROW(E6673:E$2)*(E6674=E6673:E$2)))))</f>
        <v> </v>
      </c>
      <c r="J6674" s="26" t="str">
        <f>IF(OR(E6674="",E6674="!!!",F6674="NEW"),"",COUNTBLANK(OFFSET(A$1,,,SUMPRODUCT(MAX(ROW(E$2:E6674)*(E6674=E$2:E6674)))))-COUNTBLANK(OFFSET(A$1,,,SUMPRODUCT(MAX(ROW(E$1:E6673)*(E2=E$1:E6673))))))</f>
        <v> </v>
      </c>
      <c r="K6674" s="26" t="str">
        <f>IF(OR(E6674="",E6674="!!!",F6674="NEW"),"",INDEX(J$1:J6673,SUMPRODUCT(MAX(ROW(E$1:E6673)*(E6674=E$1:E6673)))))</f>
        <v> </v>
      </c>
      <c r="L6674" s="27"/>
    </row>
    <row r="6675" spans="1:12">
      <c r="A6675" s="20" t="s">
        <v>2282</v>
      </c>
      <c r="E6675" s="22">
        <f>IF(D6675="?OLD","!!!","")</f>
        <v/>
      </c>
      <c r="F6675" s="23" t="str">
        <f>IF(OR(E6675="",E6675="!!!"),"",IF(NOT(ISNA(VLOOKUP(E6675,E$1:E6674,1,FALSE()))),"OLD",IF(AND(E6675&lt;&gt;"",E6675&lt;&gt;"!!!"),"NEW","")))</f>
        <v> </v>
      </c>
      <c r="G6675" s="24" t="str">
        <f>IF(OR(E6675="",E6675="!!!"),"",IF(OR(J6675=0,AND(J6675=1,K6675=1),AND(J6675=1,I6675="SBJ"),AND(J6675=1,I6675=0)),"?IN_FOCUS",IF(J6675&lt;=2,"?ACTIVATED",IF(J6675&lt;&gt;"","?FAMILIAR",IF(F6675="NEW",IF(ISNA(VLOOKUP(E6675,#REF!,1,FALSE())),"?TYPE_IDENTIFIABLE","?REFERENTIAL"),"_")))))</f>
        <v> </v>
      </c>
      <c r="H6675" s="25" t="str">
        <f>IF(J6675&lt;&gt;1,"",IF(I6675="SBJ","CB","?"))</f>
        <v> </v>
      </c>
      <c r="I6675" s="26" t="str">
        <f>IF(OR(E6675="",E6675="!!!",F6675="NEW"),"",INDEX(B6674:B$2,-1+SUMPRODUCT(MAX(ROW(E6674:E$2)*(E6675=E6674:E$2)))))</f>
        <v> </v>
      </c>
      <c r="J6675" s="26" t="str">
        <f>IF(OR(E6675="",E6675="!!!",F6675="NEW"),"",COUNTBLANK(OFFSET(A$1,,,SUMPRODUCT(MAX(ROW(E$2:E6675)*(E6675=E$2:E6675)))))-COUNTBLANK(OFFSET(A$1,,,SUMPRODUCT(MAX(ROW(E$1:E6674)*(E2=E$1:E6674))))))</f>
        <v> </v>
      </c>
      <c r="K6675" s="26" t="str">
        <f>IF(OR(E6675="",E6675="!!!",F6675="NEW"),"",INDEX(J$1:J6674,SUMPRODUCT(MAX(ROW(E$1:E6674)*(E6675=E$1:E6674)))))</f>
        <v> </v>
      </c>
      <c r="L6675" s="27"/>
    </row>
    <row r="6676" spans="1:12">
      <c r="A6676" s="20" t="s">
        <v>2601</v>
      </c>
      <c r="B6676" s="21" t="s">
        <v>1212</v>
      </c>
      <c r="C6676" s="21" t="s">
        <v>1203</v>
      </c>
      <c r="D6676" s="21" t="s">
        <v>1188</v>
      </c>
      <c r="E6676" s="22">
        <f>IF(D6676="?OLD","!!!","")</f>
        <v/>
      </c>
      <c r="F6676" s="23" t="str">
        <f>IF(OR(E6676="",E6676="!!!"),"",IF(NOT(ISNA(VLOOKUP(E6676,E$1:E6675,1,FALSE()))),"OLD",IF(AND(E6676&lt;&gt;"",E6676&lt;&gt;"!!!"),"NEW","")))</f>
        <v> </v>
      </c>
      <c r="G6676" s="24" t="str">
        <f>IF(OR(E6676="",E6676="!!!"),"",IF(OR(J6676=0,AND(J6676=1,K6676=1),AND(J6676=1,I6676="SBJ"),AND(J6676=1,I6676=0)),"?IN_FOCUS",IF(J6676&lt;=2,"?ACTIVATED",IF(J6676&lt;&gt;"","?FAMILIAR",IF(F6676="NEW",IF(ISNA(VLOOKUP(E6676,#REF!,1,FALSE())),"?TYPE_IDENTIFIABLE","?REFERENTIAL"),"_")))))</f>
        <v> </v>
      </c>
      <c r="H6676" s="25" t="str">
        <f>IF(J6676&lt;&gt;1,"",IF(I6676="SBJ","CB","?"))</f>
        <v> </v>
      </c>
      <c r="I6676" s="26" t="str">
        <f>IF(OR(E6676="",E6676="!!!",F6676="NEW"),"",INDEX(B6675:B$2,-1+SUMPRODUCT(MAX(ROW(E6675:E$2)*(E6676=E6675:E$2)))))</f>
        <v> </v>
      </c>
      <c r="J6676" s="26" t="str">
        <f>IF(OR(E6676="",E6676="!!!",F6676="NEW"),"",COUNTBLANK(OFFSET(A$1,,,SUMPRODUCT(MAX(ROW(E$2:E6676)*(E6676=E$2:E6676)))))-COUNTBLANK(OFFSET(A$1,,,SUMPRODUCT(MAX(ROW(E$1:E6675)*(E2=E$1:E6675))))))</f>
        <v> </v>
      </c>
      <c r="K6676" s="26" t="str">
        <f>IF(OR(E6676="",E6676="!!!",F6676="NEW"),"",INDEX(J$1:J6675,SUMPRODUCT(MAX(ROW(E$1:E6675)*(E6676=E$1:E6675)))))</f>
        <v> </v>
      </c>
      <c r="L6676" s="27"/>
    </row>
    <row r="6677" spans="1:12">
      <c r="A6677" s="20" t="s">
        <v>1914</v>
      </c>
      <c r="E6677" s="22">
        <f>IF(D6677="?OLD","!!!","")</f>
        <v/>
      </c>
      <c r="F6677" s="23" t="str">
        <f>IF(OR(E6677="",E6677="!!!"),"",IF(NOT(ISNA(VLOOKUP(E6677,E$1:E6676,1,FALSE()))),"OLD",IF(AND(E6677&lt;&gt;"",E6677&lt;&gt;"!!!"),"NEW","")))</f>
        <v> </v>
      </c>
      <c r="G6677" s="24" t="str">
        <f>IF(OR(E6677="",E6677="!!!"),"",IF(OR(J6677=0,AND(J6677=1,K6677=1),AND(J6677=1,I6677="SBJ"),AND(J6677=1,I6677=0)),"?IN_FOCUS",IF(J6677&lt;=2,"?ACTIVATED",IF(J6677&lt;&gt;"","?FAMILIAR",IF(F6677="NEW",IF(ISNA(VLOOKUP(E6677,#REF!,1,FALSE())),"?TYPE_IDENTIFIABLE","?REFERENTIAL"),"_")))))</f>
        <v> </v>
      </c>
      <c r="H6677" s="25" t="str">
        <f>IF(J6677&lt;&gt;1,"",IF(I6677="SBJ","CB","?"))</f>
        <v> </v>
      </c>
      <c r="I6677" s="26" t="str">
        <f>IF(OR(E6677="",E6677="!!!",F6677="NEW"),"",INDEX(B6676:B$2,-1+SUMPRODUCT(MAX(ROW(E6676:E$2)*(E6677=E6676:E$2)))))</f>
        <v> </v>
      </c>
      <c r="J6677" s="26" t="str">
        <f>IF(OR(E6677="",E6677="!!!",F6677="NEW"),"",COUNTBLANK(OFFSET(A$1,,,SUMPRODUCT(MAX(ROW(E$2:E6677)*(E6677=E$2:E6677)))))-COUNTBLANK(OFFSET(A$1,,,SUMPRODUCT(MAX(ROW(E$1:E6676)*(E2=E$1:E6676))))))</f>
        <v> </v>
      </c>
      <c r="K6677" s="26" t="str">
        <f>IF(OR(E6677="",E6677="!!!",F6677="NEW"),"",INDEX(J$1:J6676,SUMPRODUCT(MAX(ROW(E$1:E6676)*(E6677=E$1:E6676)))))</f>
        <v> </v>
      </c>
      <c r="L6677" s="27"/>
    </row>
    <row r="6678" spans="1:12">
      <c r="A6678" s="20" t="s">
        <v>826</v>
      </c>
      <c r="E6678" s="22">
        <f>IF(D6678="?OLD","!!!","")</f>
        <v/>
      </c>
      <c r="F6678" s="23" t="str">
        <f>IF(OR(E6678="",E6678="!!!"),"",IF(NOT(ISNA(VLOOKUP(E6678,E$1:E6677,1,FALSE()))),"OLD",IF(AND(E6678&lt;&gt;"",E6678&lt;&gt;"!!!"),"NEW","")))</f>
        <v> </v>
      </c>
      <c r="G6678" s="24" t="str">
        <f>IF(OR(E6678="",E6678="!!!"),"",IF(OR(J6678=0,AND(J6678=1,K6678=1),AND(J6678=1,I6678="SBJ"),AND(J6678=1,I6678=0)),"?IN_FOCUS",IF(J6678&lt;=2,"?ACTIVATED",IF(J6678&lt;&gt;"","?FAMILIAR",IF(F6678="NEW",IF(ISNA(VLOOKUP(E6678,#REF!,1,FALSE())),"?TYPE_IDENTIFIABLE","?REFERENTIAL"),"_")))))</f>
        <v> </v>
      </c>
      <c r="H6678" s="25" t="str">
        <f>IF(J6678&lt;&gt;1,"",IF(I6678="SBJ","CB","?"))</f>
        <v> </v>
      </c>
      <c r="I6678" s="26" t="str">
        <f>IF(OR(E6678="",E6678="!!!",F6678="NEW"),"",INDEX(B6677:B$2,-1+SUMPRODUCT(MAX(ROW(E6677:E$2)*(E6678=E6677:E$2)))))</f>
        <v> </v>
      </c>
      <c r="J6678" s="26" t="str">
        <f>IF(OR(E6678="",E6678="!!!",F6678="NEW"),"",COUNTBLANK(OFFSET(A$1,,,SUMPRODUCT(MAX(ROW(E$2:E6678)*(E6678=E$2:E6678)))))-COUNTBLANK(OFFSET(A$1,,,SUMPRODUCT(MAX(ROW(E$1:E6677)*(E2=E$1:E6677))))))</f>
        <v> </v>
      </c>
      <c r="K6678" s="26" t="str">
        <f>IF(OR(E6678="",E6678="!!!",F6678="NEW"),"",INDEX(J$1:J6677,SUMPRODUCT(MAX(ROW(E$1:E6677)*(E6678=E$1:E6677)))))</f>
        <v> </v>
      </c>
      <c r="L6678" s="27"/>
    </row>
    <row r="6679" spans="1:12">
      <c r="A6679" s="20"/>
    </row>
    <row r="6680" spans="1:12">
      <c r="A6680" s="20" t="s">
        <v>2954</v>
      </c>
    </row>
    <row r="6681" spans="1:12">
      <c r="A6681" s="20" t="s">
        <v>1270</v>
      </c>
      <c r="B6681" s="21" t="s">
        <v>1202</v>
      </c>
      <c r="C6681" s="21" t="s">
        <v>1187</v>
      </c>
      <c r="D6681" s="21" t="s">
        <v>1188</v>
      </c>
      <c r="E6681" s="22">
        <f>IF(D6681="?OLD","!!!","")</f>
        <v/>
      </c>
      <c r="F6681" s="23" t="str">
        <f>IF(OR(E6681="",E6681="!!!"),"",IF(NOT(ISNA(VLOOKUP(E6681,E$1:E6680,1,FALSE()))),"OLD",IF(AND(E6681&lt;&gt;"",E6681&lt;&gt;"!!!"),"NEW","")))</f>
        <v> </v>
      </c>
      <c r="G6681" s="24" t="str">
        <f>IF(OR(E6681="",E6681="!!!"),"",IF(OR(J6681=0,AND(J6681=1,K6681=1),AND(J6681=1,I6681="SBJ"),AND(J6681=1,I6681=0)),"?IN_FOCUS",IF(J6681&lt;=2,"?ACTIVATED",IF(J6681&lt;&gt;"","?FAMILIAR",IF(F6681="NEW",IF(ISNA(VLOOKUP(E6681,#REF!,1,FALSE())),"?TYPE_IDENTIFIABLE","?REFERENTIAL"),"_")))))</f>
        <v> </v>
      </c>
      <c r="H6681" s="25" t="str">
        <f>IF(J6681&lt;&gt;1,"",IF(I6681="SBJ","CB","?"))</f>
        <v> </v>
      </c>
      <c r="I6681" s="26" t="str">
        <f>IF(OR(E6681="",E6681="!!!",F6681="NEW"),"",INDEX(B6680:B$2,-1+SUMPRODUCT(MAX(ROW(E6680:E$2)*(E6681=E6680:E$2)))))</f>
        <v> </v>
      </c>
      <c r="J6681" s="26" t="str">
        <f>IF(OR(E6681="",E6681="!!!",F6681="NEW"),"",COUNTBLANK(OFFSET(A$1,,,SUMPRODUCT(MAX(ROW(E$2:E6681)*(E6681=E$2:E6681)))))-COUNTBLANK(OFFSET(A$1,,,SUMPRODUCT(MAX(ROW(E$1:E6680)*(E2=E$1:E6680))))))</f>
        <v> </v>
      </c>
      <c r="K6681" s="26" t="str">
        <f>IF(OR(E6681="",E6681="!!!",F6681="NEW"),"",INDEX(J$1:J6680,SUMPRODUCT(MAX(ROW(E$1:E6680)*(E6681=E$1:E6680)))))</f>
        <v> </v>
      </c>
      <c r="L6681" s="27"/>
    </row>
    <row r="6682" spans="1:12">
      <c r="A6682" s="20" t="s">
        <v>1190</v>
      </c>
      <c r="E6682" s="22">
        <f>IF(D6682="?OLD","!!!","")</f>
        <v/>
      </c>
      <c r="F6682" s="23" t="str">
        <f>IF(OR(E6682="",E6682="!!!"),"",IF(NOT(ISNA(VLOOKUP(E6682,E$1:E6681,1,FALSE()))),"OLD",IF(AND(E6682&lt;&gt;"",E6682&lt;&gt;"!!!"),"NEW","")))</f>
        <v> </v>
      </c>
      <c r="G6682" s="24" t="str">
        <f>IF(OR(E6682="",E6682="!!!"),"",IF(OR(J6682=0,AND(J6682=1,K6682=1),AND(J6682=1,I6682="SBJ"),AND(J6682=1,I6682=0)),"?IN_FOCUS",IF(J6682&lt;=2,"?ACTIVATED",IF(J6682&lt;&gt;"","?FAMILIAR",IF(F6682="NEW",IF(ISNA(VLOOKUP(E6682,#REF!,1,FALSE())),"?TYPE_IDENTIFIABLE","?REFERENTIAL"),"_")))))</f>
        <v> </v>
      </c>
      <c r="H6682" s="25" t="str">
        <f>IF(J6682&lt;&gt;1,"",IF(I6682="SBJ","CB","?"))</f>
        <v> </v>
      </c>
      <c r="I6682" s="26" t="str">
        <f>IF(OR(E6682="",E6682="!!!",F6682="NEW"),"",INDEX(B6681:B$2,-1+SUMPRODUCT(MAX(ROW(E6681:E$2)*(E6682=E6681:E$2)))))</f>
        <v> </v>
      </c>
      <c r="J6682" s="26" t="str">
        <f>IF(OR(E6682="",E6682="!!!",F6682="NEW"),"",COUNTBLANK(OFFSET(A$1,,,SUMPRODUCT(MAX(ROW(E$2:E6682)*(E6682=E$2:E6682)))))-COUNTBLANK(OFFSET(A$1,,,SUMPRODUCT(MAX(ROW(E$1:E6681)*(E2=E$1:E6681))))))</f>
        <v> </v>
      </c>
      <c r="K6682" s="26" t="str">
        <f>IF(OR(E6682="",E6682="!!!",F6682="NEW"),"",INDEX(J$1:J6681,SUMPRODUCT(MAX(ROW(E$1:E6681)*(E6682=E$1:E6681)))))</f>
        <v> </v>
      </c>
      <c r="L6682" s="27"/>
    </row>
    <row r="6683" spans="1:12">
      <c r="A6683" s="20" t="s">
        <v>1219</v>
      </c>
      <c r="E6683" s="22">
        <f>IF(D6683="?OLD","!!!","")</f>
        <v/>
      </c>
      <c r="F6683" s="23" t="str">
        <f>IF(OR(E6683="",E6683="!!!"),"",IF(NOT(ISNA(VLOOKUP(E6683,E$1:E6682,1,FALSE()))),"OLD",IF(AND(E6683&lt;&gt;"",E6683&lt;&gt;"!!!"),"NEW","")))</f>
        <v> </v>
      </c>
      <c r="G6683" s="24" t="str">
        <f>IF(OR(E6683="",E6683="!!!"),"",IF(OR(J6683=0,AND(J6683=1,K6683=1),AND(J6683=1,I6683="SBJ"),AND(J6683=1,I6683=0)),"?IN_FOCUS",IF(J6683&lt;=2,"?ACTIVATED",IF(J6683&lt;&gt;"","?FAMILIAR",IF(F6683="NEW",IF(ISNA(VLOOKUP(E6683,#REF!,1,FALSE())),"?TYPE_IDENTIFIABLE","?REFERENTIAL"),"_")))))</f>
        <v> </v>
      </c>
      <c r="H6683" s="25" t="str">
        <f>IF(J6683&lt;&gt;1,"",IF(I6683="SBJ","CB","?"))</f>
        <v> </v>
      </c>
      <c r="I6683" s="26" t="str">
        <f>IF(OR(E6683="",E6683="!!!",F6683="NEW"),"",INDEX(B6682:B$2,-1+SUMPRODUCT(MAX(ROW(E6682:E$2)*(E6683=E6682:E$2)))))</f>
        <v> </v>
      </c>
      <c r="J6683" s="26" t="str">
        <f>IF(OR(E6683="",E6683="!!!",F6683="NEW"),"",COUNTBLANK(OFFSET(A$1,,,SUMPRODUCT(MAX(ROW(E$2:E6683)*(E6683=E$2:E6683)))))-COUNTBLANK(OFFSET(A$1,,,SUMPRODUCT(MAX(ROW(E$1:E6682)*(E2=E$1:E6682))))))</f>
        <v> </v>
      </c>
      <c r="K6683" s="26" t="str">
        <f>IF(OR(E6683="",E6683="!!!",F6683="NEW"),"",INDEX(J$1:J6682,SUMPRODUCT(MAX(ROW(E$1:E6682)*(E6683=E$1:E6682)))))</f>
        <v> </v>
      </c>
      <c r="L6683" s="27"/>
    </row>
    <row r="6684" spans="1:12">
      <c r="A6684" s="20" t="s">
        <v>1193</v>
      </c>
      <c r="E6684" s="22">
        <f>IF(D6684="?OLD","!!!","")</f>
        <v/>
      </c>
      <c r="F6684" s="23" t="str">
        <f>IF(OR(E6684="",E6684="!!!"),"",IF(NOT(ISNA(VLOOKUP(E6684,E$1:E6683,1,FALSE()))),"OLD",IF(AND(E6684&lt;&gt;"",E6684&lt;&gt;"!!!"),"NEW","")))</f>
        <v> </v>
      </c>
      <c r="G6684" s="24" t="str">
        <f>IF(OR(E6684="",E6684="!!!"),"",IF(OR(J6684=0,AND(J6684=1,K6684=1),AND(J6684=1,I6684="SBJ"),AND(J6684=1,I6684=0)),"?IN_FOCUS",IF(J6684&lt;=2,"?ACTIVATED",IF(J6684&lt;&gt;"","?FAMILIAR",IF(F6684="NEW",IF(ISNA(VLOOKUP(E6684,#REF!,1,FALSE())),"?TYPE_IDENTIFIABLE","?REFERENTIAL"),"_")))))</f>
        <v> </v>
      </c>
      <c r="H6684" s="25" t="str">
        <f>IF(J6684&lt;&gt;1,"",IF(I6684="SBJ","CB","?"))</f>
        <v> </v>
      </c>
      <c r="I6684" s="26" t="str">
        <f>IF(OR(E6684="",E6684="!!!",F6684="NEW"),"",INDEX(B6683:B$2,-1+SUMPRODUCT(MAX(ROW(E6683:E$2)*(E6684=E6683:E$2)))))</f>
        <v> </v>
      </c>
      <c r="J6684" s="26" t="str">
        <f>IF(OR(E6684="",E6684="!!!",F6684="NEW"),"",COUNTBLANK(OFFSET(A$1,,,SUMPRODUCT(MAX(ROW(E$2:E6684)*(E6684=E$2:E6684)))))-COUNTBLANK(OFFSET(A$1,,,SUMPRODUCT(MAX(ROW(E$1:E6683)*(E2=E$1:E6683))))))</f>
        <v> </v>
      </c>
      <c r="K6684" s="26" t="str">
        <f>IF(OR(E6684="",E6684="!!!",F6684="NEW"),"",INDEX(J$1:J6683,SUMPRODUCT(MAX(ROW(E$1:E6683)*(E6684=E$1:E6683)))))</f>
        <v> </v>
      </c>
      <c r="L6684" s="27"/>
    </row>
    <row r="6685" spans="1:12">
      <c r="A6685" s="20" t="s">
        <v>2282</v>
      </c>
      <c r="E6685" s="22">
        <f>IF(D6685="?OLD","!!!","")</f>
        <v/>
      </c>
      <c r="F6685" s="23" t="str">
        <f>IF(OR(E6685="",E6685="!!!"),"",IF(NOT(ISNA(VLOOKUP(E6685,E$1:E6684,1,FALSE()))),"OLD",IF(AND(E6685&lt;&gt;"",E6685&lt;&gt;"!!!"),"NEW","")))</f>
        <v> </v>
      </c>
      <c r="G6685" s="24" t="str">
        <f>IF(OR(E6685="",E6685="!!!"),"",IF(OR(J6685=0,AND(J6685=1,K6685=1),AND(J6685=1,I6685="SBJ"),AND(J6685=1,I6685=0)),"?IN_FOCUS",IF(J6685&lt;=2,"?ACTIVATED",IF(J6685&lt;&gt;"","?FAMILIAR",IF(F6685="NEW",IF(ISNA(VLOOKUP(E6685,#REF!,1,FALSE())),"?TYPE_IDENTIFIABLE","?REFERENTIAL"),"_")))))</f>
        <v> </v>
      </c>
      <c r="H6685" s="25" t="str">
        <f>IF(J6685&lt;&gt;1,"",IF(I6685="SBJ","CB","?"))</f>
        <v> </v>
      </c>
      <c r="I6685" s="26" t="str">
        <f>IF(OR(E6685="",E6685="!!!",F6685="NEW"),"",INDEX(B6684:B$2,-1+SUMPRODUCT(MAX(ROW(E6684:E$2)*(E6685=E6684:E$2)))))</f>
        <v> </v>
      </c>
      <c r="J6685" s="26" t="str">
        <f>IF(OR(E6685="",E6685="!!!",F6685="NEW"),"",COUNTBLANK(OFFSET(A$1,,,SUMPRODUCT(MAX(ROW(E$2:E6685)*(E6685=E$2:E6685)))))-COUNTBLANK(OFFSET(A$1,,,SUMPRODUCT(MAX(ROW(E$1:E6684)*(E2=E$1:E6684))))))</f>
        <v> </v>
      </c>
      <c r="K6685" s="26" t="str">
        <f>IF(OR(E6685="",E6685="!!!",F6685="NEW"),"",INDEX(J$1:J6684,SUMPRODUCT(MAX(ROW(E$1:E6684)*(E6685=E$1:E6684)))))</f>
        <v> </v>
      </c>
      <c r="L6685" s="27"/>
    </row>
    <row r="6686" spans="1:12">
      <c r="A6686" s="20" t="s">
        <v>1251</v>
      </c>
      <c r="E6686" s="22">
        <f>IF(D6686="?OLD","!!!","")</f>
        <v/>
      </c>
      <c r="F6686" s="23" t="str">
        <f>IF(OR(E6686="",E6686="!!!"),"",IF(NOT(ISNA(VLOOKUP(E6686,E$1:E6685,1,FALSE()))),"OLD",IF(AND(E6686&lt;&gt;"",E6686&lt;&gt;"!!!"),"NEW","")))</f>
        <v> </v>
      </c>
      <c r="G6686" s="24" t="str">
        <f>IF(OR(E6686="",E6686="!!!"),"",IF(OR(J6686=0,AND(J6686=1,K6686=1),AND(J6686=1,I6686="SBJ"),AND(J6686=1,I6686=0)),"?IN_FOCUS",IF(J6686&lt;=2,"?ACTIVATED",IF(J6686&lt;&gt;"","?FAMILIAR",IF(F6686="NEW",IF(ISNA(VLOOKUP(E6686,#REF!,1,FALSE())),"?TYPE_IDENTIFIABLE","?REFERENTIAL"),"_")))))</f>
        <v> </v>
      </c>
      <c r="H6686" s="25" t="str">
        <f>IF(J6686&lt;&gt;1,"",IF(I6686="SBJ","CB","?"))</f>
        <v> </v>
      </c>
      <c r="I6686" s="26" t="str">
        <f>IF(OR(E6686="",E6686="!!!",F6686="NEW"),"",INDEX(B6685:B$2,-1+SUMPRODUCT(MAX(ROW(E6685:E$2)*(E6686=E6685:E$2)))))</f>
        <v> </v>
      </c>
      <c r="J6686" s="26" t="str">
        <f>IF(OR(E6686="",E6686="!!!",F6686="NEW"),"",COUNTBLANK(OFFSET(A$1,,,SUMPRODUCT(MAX(ROW(E$2:E6686)*(E6686=E$2:E6686)))))-COUNTBLANK(OFFSET(A$1,,,SUMPRODUCT(MAX(ROW(E$1:E6685)*(E2=E$1:E6685))))))</f>
        <v> </v>
      </c>
      <c r="K6686" s="26" t="str">
        <f>IF(OR(E6686="",E6686="!!!",F6686="NEW"),"",INDEX(J$1:J6685,SUMPRODUCT(MAX(ROW(E$1:E6685)*(E6686=E$1:E6685)))))</f>
        <v> </v>
      </c>
      <c r="L6686" s="27"/>
    </row>
    <row r="6687" spans="1:12">
      <c r="A668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2024-12-05T17:55:27Z</dcterms:created>
  <dcterms:modified xsi:type="dcterms:W3CDTF">2024-12-05T17:55:27Z</dcterms:modified>
</cp:coreProperties>
</file>