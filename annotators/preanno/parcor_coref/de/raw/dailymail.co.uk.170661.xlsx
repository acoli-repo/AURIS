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<sst xmlns="http://schemas.openxmlformats.org/spreadsheetml/2006/main" count="1113" uniqueCount="408">
  <si>
    <t>ID</t>
  </si>
  <si>
    <t>PRED_ID</t>
  </si>
  <si>
    <t>MARKER_AUTO</t>
  </si>
  <si>
    <t>PREDICATE</t>
  </si>
  <si>
    <t>TEXT</t>
  </si>
  <si>
    <t>SENTENCE</t>
  </si>
  <si>
    <t>MARKER</t>
  </si>
  <si>
    <t>TARGET</t>
  </si>
  <si>
    <t>RELATION</t>
  </si>
  <si>
    <t>COMMENT</t>
  </si>
  <si>
    <t>1</t>
  </si>
  <si>
    <t>5</t>
  </si>
  <si>
    <t>Nachdem?</t>
  </si>
  <si>
    <t>organisieren</t>
  </si>
  <si>
    <t>Assistenzärzte möchten weitere Streiks organisieren , nachdem sie Jeremy Hunts Vorschlag abgelehnt haben</t>
  </si>
  <si>
    <t>file://conllu/de/dailymail.co.uk.170661.conllu#s1_0</t>
  </si>
  <si>
    <t>_</t>
  </si>
  <si>
    <t>2</t>
  </si>
  <si>
    <t>4</t>
  </si>
  <si>
    <t>hoffen</t>
  </si>
  <si>
    <t>Die Minister hatten gehofft , den Streit über die Änderungen durch Annahme eines reformierten Vertrages mit den Funktionären der British Medical Association beenden zu können , aber 58 Prozent der 37.000 Assistenzärzte , die bei einer Wahl abstimmten , lehnten ihn ab .</t>
  </si>
  <si>
    <t>file://conllu/de/dailymail.co.uk.170661.conllu#s2_0</t>
  </si>
  <si>
    <t>8</t>
  </si>
  <si>
    <t>erhalten</t>
  </si>
  <si>
    <t>Die ersten Assistenzärzte sollen einen neuen Vertrag erhalten , der Änderungen zu Nacht und Wochenendarbeiten enthält , um die Pflege zu ungastlichen Uhrzeiten zu verbessern .</t>
  </si>
  <si>
    <t>file://conllu/de/dailymail.co.uk.170661.conllu#s4_0</t>
  </si>
  <si>
    <t>22</t>
  </si>
  <si>
    <t>haben</t>
  </si>
  <si>
    <t>Dr Ellen McCourt , die Vorsitzende des BMA Kommittees für Assistenzärzte teilte letzte Nacht in einer Mitteilung mit : &amp;quot; Assistenzärzte haben zu dem vorgeschlagenen Vertrag nach wie vor ernsthafte Bedenken , insbesondere , dass es die derzeitige Belegschaftskrise anheizen und es verabsäumen wird , alle Ärzte gerecht zu behandeln . &amp;quot;</t>
  </si>
  <si>
    <t>file://conllu/de/dailymail.co.uk.170661.conllu#s5_0</t>
  </si>
  <si>
    <t>6</t>
  </si>
  <si>
    <t>29</t>
  </si>
  <si>
    <t>laufen</t>
  </si>
  <si>
    <t>Bei nur acht Wochen , die noch verbleiben , bis die erste Gruppe von Ärzten unter den neuen Vertrag fallen , müssen Fortschritte gemacht werden und die Zeit läuft aus .</t>
  </si>
  <si>
    <t>file://conllu/de/dailymail.co.uk.170661.conllu#s6_0</t>
  </si>
  <si>
    <t>7</t>
  </si>
  <si>
    <t>12</t>
  </si>
  <si>
    <t>stoßen</t>
  </si>
  <si>
    <t>Bemühungen seitens des BMA zur zu der Lösung der Streitigkeiten durch Gespräche stießen bei der Regierung auf Widerwillen sich zu beteiligen und manchmal auf ohrenbetäubendes Schweigen .</t>
  </si>
  <si>
    <t>file://conllu/de/dailymail.co.uk.170661.conllu#s7_0</t>
  </si>
  <si>
    <t>geschehen</t>
  </si>
  <si>
    <t>Das geschah des eines Versprechens , das Jeremy Hunt erst letzten Monat darüber gemacht hatte , dass seine Tür immer offenstehen würde .</t>
  </si>
  <si>
    <t>file://conllu/de/dailymail.co.uk.170661.conllu#s8_0</t>
  </si>
  <si>
    <t>9</t>
  </si>
  <si>
    <t>handeln</t>
  </si>
  <si>
    <t>&amp;quot; Jeremy Hunt muss jetzt handeln , die Aufzwingung aufheben und die Sorgen der Assistenzärzte ansprechen &amp;quot; .</t>
  </si>
  <si>
    <t>file://conllu/de/dailymail.co.uk.170661.conllu#s9_0</t>
  </si>
  <si>
    <t>10</t>
  </si>
  <si>
    <t>13</t>
  </si>
  <si>
    <t>machen</t>
  </si>
  <si>
    <t>Sollte er dies nicht tun , so haben es die Assistenzärzte deutlich gemacht , dass sie bereit sind , weitere Arbeitskampfmaßnahmen durchzuführen .</t>
  </si>
  <si>
    <t>file://conllu/de/dailymail.co.uk.170661.conllu#s10_0</t>
  </si>
  <si>
    <t>11</t>
  </si>
  <si>
    <t>einbeziehen (einbeziehen sehen)</t>
  </si>
  <si>
    <t>Der letzte Streik Ende April sah einen Aufschub von beinahe 13.000 Routineoperationen und 100.000 Terminen vor , da Krankenschwestern und Fachärzte einbezogen wurden , um Ärzten auf der Streikpostenkette Deckung zu gewähren .</t>
  </si>
  <si>
    <t>file://conllu/de/dailymail.co.uk.170661.conllu#s11_0</t>
  </si>
  <si>
    <t>Die Minister hatten gehofft , den Streit über die Änderungen durch eine Annahme des reformierten Vertrages mit den Funktionären der British Medical Association beenden zu können .</t>
  </si>
  <si>
    <t>file://conllu/de/dailymail.co.uk.170661.conllu#s12_0</t>
  </si>
  <si>
    <t>Wochendentlohnung</t>
  </si>
  <si>
    <t>Die BMA möchte eine bessere Wochendentlohnung für die 54.000 Assistenzärzte , die dem Vertrag unterliegen werden .</t>
  </si>
  <si>
    <t>file://conllu/de/dailymail.co.uk.170661.conllu#s13_0</t>
  </si>
  <si>
    <t>14</t>
  </si>
  <si>
    <t>fordern</t>
  </si>
  <si>
    <t>Daniel Mortimer , Generaldirektor der NHS Mitarbeiter , forderte die Assistenzärzte dazu auf , den Streik zu beenden .</t>
  </si>
  <si>
    <t>file://conllu/de/dailymail.co.uk.170661.conllu#s14_0</t>
  </si>
  <si>
    <t>15</t>
  </si>
  <si>
    <t>sagen</t>
  </si>
  <si>
    <t>Mortimer sagte : &amp;quot; Arbeitskampfmaßnahmen erreichen nichts der nur wenig , belasten aber bereits überbelastete Teams und Dienstleister und bereiten den Patienten , Pflegern und ihren Familien nur Sorgen , Not und Unterbrechung . &amp;quot;</t>
  </si>
  <si>
    <t>file://conllu/de/dailymail.co.uk.170661.conllu#s15_0</t>
  </si>
  <si>
    <t>16</t>
  </si>
  <si>
    <t>31</t>
  </si>
  <si>
    <t>antworten (antworten sprechen)</t>
  </si>
  <si>
    <t>In den letzten zwei Monaten haben wir mir dem Kommittee der Assistenzärzte gesprochen und mit dem Gesundheitsministerium sowie anderen Ministerien positiv auf die Bedenken hinsichtlich der Vormundschaft und des Whistleblowings geantwortet .</t>
  </si>
  <si>
    <t>file://conllu/de/dailymail.co.uk.170661.conllu#s16_0</t>
  </si>
  <si>
    <t>17</t>
  </si>
  <si>
    <t>3</t>
  </si>
  <si>
    <t>Die Arbeitgeber hofften , dass das fortgeführte positive Engagement zu anderen wichtigen Themen wie Entsendung , Flexibilität bei Schulungen , zusätzliche Schulungen für diejenigen , die von einer beruflichen Auszeit zurückkehren , Schulungsksten , gegenseitige Anerkennung des Lehrplans , Fortbildungsurlaub und das geschlechtsspezifische Lohngefälle in der Medizin ein Zeichen dafür waren , wie ernst es die Arbeitgeber , das Health Education England und das Gesundheitsministerium bezüglich der Einhaltung der Vereinbarungen mit der BMA im in dem November , Februar und Mai waren .</t>
  </si>
  <si>
    <t>file://conllu/de/dailymail.co.uk.170661.conllu#s17_0</t>
  </si>
  <si>
    <t>WORD</t>
  </si>
  <si>
    <t>GR</t>
  </si>
  <si>
    <t>NP_TYPE</t>
  </si>
  <si>
    <t>REF_AUTO</t>
  </si>
  <si>
    <t>COREF</t>
  </si>
  <si>
    <t>REF</t>
  </si>
  <si>
    <t>IS</t>
  </si>
  <si>
    <t>CB</t>
  </si>
  <si>
    <t>GR_ANTE</t>
  </si>
  <si>
    <t>REF_DIST</t>
  </si>
  <si>
    <t>REF_DIST_ANTE</t>
  </si>
  <si>
    <t># text = Assistenzärzte möchten weitere Streiks organisieren, nachdem sie Jeremy Hunts Vorschlag abgelehnt haben</t>
  </si>
  <si>
    <t>Assistenzärzte</t>
  </si>
  <si>
    <t>SBJ</t>
  </si>
  <si>
    <t>indef-np.bare</t>
  </si>
  <si>
    <t>möchten</t>
  </si>
  <si>
    <t>weitere</t>
  </si>
  <si>
    <t>Streiks</t>
  </si>
  <si>
    <t>OBJ</t>
  </si>
  <si>
    <t>,</t>
  </si>
  <si>
    <t>nachdem</t>
  </si>
  <si>
    <t>sie</t>
  </si>
  <si>
    <t>SBJ_2</t>
  </si>
  <si>
    <t>pron</t>
  </si>
  <si>
    <t>?OLD</t>
  </si>
  <si>
    <t>Jeremy</t>
  </si>
  <si>
    <t>ne</t>
  </si>
  <si>
    <t>Hunts</t>
  </si>
  <si>
    <t>Vorschlag</t>
  </si>
  <si>
    <t>OBJ_2</t>
  </si>
  <si>
    <t>abgelehnt</t>
  </si>
  <si>
    <t># text = Die Minister hatten gehofft, den Streit über die Änderungen durch Annahme eines reformierten Vertrages mit den Funktionären der British Medical Association beenden zu können, aber 58 Prozent der 37.000 Assistenzärzte, die bei einer Wahl abstimmten, lehnten ihn ab.</t>
  </si>
  <si>
    <t>Die</t>
  </si>
  <si>
    <t>Minister</t>
  </si>
  <si>
    <t>def-np.the</t>
  </si>
  <si>
    <t>hatten</t>
  </si>
  <si>
    <t>gehofft</t>
  </si>
  <si>
    <t>den</t>
  </si>
  <si>
    <t>Streit</t>
  </si>
  <si>
    <t>über</t>
  </si>
  <si>
    <t>die</t>
  </si>
  <si>
    <t>Änderungen</t>
  </si>
  <si>
    <t>other_3</t>
  </si>
  <si>
    <t>durch</t>
  </si>
  <si>
    <t>Annahme</t>
  </si>
  <si>
    <t>other_4</t>
  </si>
  <si>
    <t>eines</t>
  </si>
  <si>
    <t>reformierten</t>
  </si>
  <si>
    <t>Vertrages</t>
  </si>
  <si>
    <t>other_5</t>
  </si>
  <si>
    <t>indef-np.a</t>
  </si>
  <si>
    <t>mit</t>
  </si>
  <si>
    <t>Funktionären</t>
  </si>
  <si>
    <t>def-np.poss</t>
  </si>
  <si>
    <t>der</t>
  </si>
  <si>
    <t>British</t>
  </si>
  <si>
    <t>Medical</t>
  </si>
  <si>
    <t>Association</t>
  </si>
  <si>
    <t>beenden</t>
  </si>
  <si>
    <t>zu</t>
  </si>
  <si>
    <t>können</t>
  </si>
  <si>
    <t>aber</t>
  </si>
  <si>
    <t>58</t>
  </si>
  <si>
    <t>Prozent</t>
  </si>
  <si>
    <t>indef-np.quant</t>
  </si>
  <si>
    <t>37.000</t>
  </si>
  <si>
    <t>SBJ_3</t>
  </si>
  <si>
    <t>def-np.quant</t>
  </si>
  <si>
    <t>SBJ_5</t>
  </si>
  <si>
    <t>bei</t>
  </si>
  <si>
    <t>einer</t>
  </si>
  <si>
    <t>Wahl</t>
  </si>
  <si>
    <t>abstimmten</t>
  </si>
  <si>
    <t>lehnten</t>
  </si>
  <si>
    <t>ihn</t>
  </si>
  <si>
    <t>pron.pper</t>
  </si>
  <si>
    <t>ab</t>
  </si>
  <si>
    <t>.</t>
  </si>
  <si>
    <t>--</t>
  </si>
  <si>
    <t># text = Im Juli hatte Hunt Pläne enthüllt, den Vertrag zwangsweise einzuführen und sagte, dass die NHS sich in einem \"Niemandsland\" befände und jede weitere Verzögerung für die Mitarbeiter und Patienten schädlich wäre.</t>
  </si>
  <si>
    <t>In</t>
  </si>
  <si>
    <t>dem</t>
  </si>
  <si>
    <t>Juli</t>
  </si>
  <si>
    <t>other</t>
  </si>
  <si>
    <t>hatte</t>
  </si>
  <si>
    <t>Hunt</t>
  </si>
  <si>
    <t>Pläne</t>
  </si>
  <si>
    <t>enthüllt</t>
  </si>
  <si>
    <t>Vertrag</t>
  </si>
  <si>
    <t>zwangsweise</t>
  </si>
  <si>
    <t>einzuführen</t>
  </si>
  <si>
    <t>und</t>
  </si>
  <si>
    <t>sagte</t>
  </si>
  <si>
    <t>dass</t>
  </si>
  <si>
    <t>NHS</t>
  </si>
  <si>
    <t>sich</t>
  </si>
  <si>
    <t>OBJ_3</t>
  </si>
  <si>
    <t>in</t>
  </si>
  <si>
    <t>einem</t>
  </si>
  <si>
    <t>&amp;quot;</t>
  </si>
  <si>
    <t>Niemandsland</t>
  </si>
  <si>
    <t>befände</t>
  </si>
  <si>
    <t>jede</t>
  </si>
  <si>
    <t>pron.pind</t>
  </si>
  <si>
    <t>Verzögerung</t>
  </si>
  <si>
    <t>SBJ_4</t>
  </si>
  <si>
    <t>für</t>
  </si>
  <si>
    <t>Mitarbeiter</t>
  </si>
  <si>
    <t>Patienten</t>
  </si>
  <si>
    <t>schädlich</t>
  </si>
  <si>
    <t>wäre</t>
  </si>
  <si>
    <t># text = Die ersten Assistenzärzte sollen einen neuen Vertrag erhalten, der Änderungen zu Nacht- und Wochenendarbeiten enthält, um die Pflege zu ungastlichen Uhrzeiten zu verbessern.</t>
  </si>
  <si>
    <t>ersten</t>
  </si>
  <si>
    <t>sollen</t>
  </si>
  <si>
    <t>einen</t>
  </si>
  <si>
    <t>neuen</t>
  </si>
  <si>
    <t>Nacht</t>
  </si>
  <si>
    <t>other_2</t>
  </si>
  <si>
    <t>Wochenendarbeiten</t>
  </si>
  <si>
    <t>enthält</t>
  </si>
  <si>
    <t>um</t>
  </si>
  <si>
    <t>Pflege</t>
  </si>
  <si>
    <t>ungastlichen</t>
  </si>
  <si>
    <t>Uhrzeiten</t>
  </si>
  <si>
    <t>verbessern</t>
  </si>
  <si>
    <t># text = Dr Ellen McCourt, die Vorsitzende des BMA Kommittees für Assistenzärzte teilte letzte Nacht in einer Mitteilung mit: \"Assistenzärzte haben zu dem vorgeschlagenen Vertrag nach wie vor ernsthafte Bedenken, insbesondere, dass es die derzeitige Belegschaftskrise anheizen und es verabsäumen wird, alle Ärzte gerecht zu behandeln.\"</t>
  </si>
  <si>
    <t>Dr</t>
  </si>
  <si>
    <t>Ellen</t>
  </si>
  <si>
    <t>McCourt</t>
  </si>
  <si>
    <t>Vorsitzende</t>
  </si>
  <si>
    <t>des</t>
  </si>
  <si>
    <t>BMA</t>
  </si>
  <si>
    <t>Kommittees</t>
  </si>
  <si>
    <t>teilte</t>
  </si>
  <si>
    <t>letzte</t>
  </si>
  <si>
    <t>Mitteilung</t>
  </si>
  <si>
    <t>:</t>
  </si>
  <si>
    <t>vorgeschlagenen</t>
  </si>
  <si>
    <t>nach</t>
  </si>
  <si>
    <t>wie</t>
  </si>
  <si>
    <t>vor</t>
  </si>
  <si>
    <t>ernsthafte</t>
  </si>
  <si>
    <t>Bedenken</t>
  </si>
  <si>
    <t>insbesondere</t>
  </si>
  <si>
    <t>es</t>
  </si>
  <si>
    <t>derzeitige</t>
  </si>
  <si>
    <t>Belegschaftskrise</t>
  </si>
  <si>
    <t>anheizen</t>
  </si>
  <si>
    <t>verabsäumen</t>
  </si>
  <si>
    <t>wird</t>
  </si>
  <si>
    <t>alle</t>
  </si>
  <si>
    <t>Ärzte</t>
  </si>
  <si>
    <t>gerecht</t>
  </si>
  <si>
    <t>behandeln</t>
  </si>
  <si>
    <t># text = Bei nur acht Wochen, die noch verbleiben, bis die erste Gruppe von Ärzten unter den neuen Vertrag fallen, müssen Fortschritte gemacht werden und die Zeit läuft aus.</t>
  </si>
  <si>
    <t>Bei</t>
  </si>
  <si>
    <t>nur</t>
  </si>
  <si>
    <t>acht</t>
  </si>
  <si>
    <t>Wochen</t>
  </si>
  <si>
    <t>noch</t>
  </si>
  <si>
    <t>verbleiben</t>
  </si>
  <si>
    <t>bis</t>
  </si>
  <si>
    <t>erste</t>
  </si>
  <si>
    <t>Gruppe</t>
  </si>
  <si>
    <t>von</t>
  </si>
  <si>
    <t>Ärzten</t>
  </si>
  <si>
    <t>other_6</t>
  </si>
  <si>
    <t>unter</t>
  </si>
  <si>
    <t>fallen</t>
  </si>
  <si>
    <t>müssen</t>
  </si>
  <si>
    <t>Fortschritte</t>
  </si>
  <si>
    <t>gemacht</t>
  </si>
  <si>
    <t>werden</t>
  </si>
  <si>
    <t>Zeit</t>
  </si>
  <si>
    <t>läuft</t>
  </si>
  <si>
    <t>aus</t>
  </si>
  <si>
    <t># text = Bemühungen seitens des BMA zur Lösung der Streitigkeiten durch Gespräche stießen bei der Regierung auf Widerwillen sich zu beteiligen und manchmal auf ohrenbetäubendes Schweigen.</t>
  </si>
  <si>
    <t>Bemühungen</t>
  </si>
  <si>
    <t>seitens</t>
  </si>
  <si>
    <t>Lösung</t>
  </si>
  <si>
    <t>Streitigkeiten</t>
  </si>
  <si>
    <t>Gespräche</t>
  </si>
  <si>
    <t>stießen</t>
  </si>
  <si>
    <t>Regierung</t>
  </si>
  <si>
    <t>auf</t>
  </si>
  <si>
    <t>Widerwillen</t>
  </si>
  <si>
    <t>beteiligen</t>
  </si>
  <si>
    <t>manchmal</t>
  </si>
  <si>
    <t>ohrenbetäubendes</t>
  </si>
  <si>
    <t>Schweigen</t>
  </si>
  <si>
    <t># text = Das geschah des eines Versprechens, das Jeremy Hunt erst letzten Monat darüber gemacht hatte, dass seine Tür immer offenstehen würde.</t>
  </si>
  <si>
    <t>Das</t>
  </si>
  <si>
    <t>pron.pds</t>
  </si>
  <si>
    <t>geschah</t>
  </si>
  <si>
    <t>Versprechens</t>
  </si>
  <si>
    <t>das</t>
  </si>
  <si>
    <t>erst</t>
  </si>
  <si>
    <t>letzten</t>
  </si>
  <si>
    <t>Monat</t>
  </si>
  <si>
    <t>darüber</t>
  </si>
  <si>
    <t>seine</t>
  </si>
  <si>
    <t>Tür</t>
  </si>
  <si>
    <t>indef-np</t>
  </si>
  <si>
    <t>immer</t>
  </si>
  <si>
    <t>offenstehen</t>
  </si>
  <si>
    <t>würde</t>
  </si>
  <si>
    <t># text = "Jeremy Hunt muss jetzt handeln, die Aufzwingung aufheben und die Sorgen der Assistenzärzte ansprechen".</t>
  </si>
  <si>
    <t>muss</t>
  </si>
  <si>
    <t>jetzt</t>
  </si>
  <si>
    <t>Aufzwingung</t>
  </si>
  <si>
    <t>aufheben</t>
  </si>
  <si>
    <t>Sorgen</t>
  </si>
  <si>
    <t>ansprechen</t>
  </si>
  <si>
    <t># text = Sollte er dies nicht tun, so haben es die Assistenzärzte deutlich gemacht, dass sie bereit sind, weitere Arbeitskampfmaßnahmen durchzuführen.</t>
  </si>
  <si>
    <t>Sollte</t>
  </si>
  <si>
    <t>er</t>
  </si>
  <si>
    <t>dies</t>
  </si>
  <si>
    <t>nicht</t>
  </si>
  <si>
    <t>tun</t>
  </si>
  <si>
    <t>so</t>
  </si>
  <si>
    <t>deutlich</t>
  </si>
  <si>
    <t>bereit</t>
  </si>
  <si>
    <t>sind</t>
  </si>
  <si>
    <t>Arbeitskampfmaßnahmen</t>
  </si>
  <si>
    <t>durchzuführen</t>
  </si>
  <si>
    <t># text = Der letzte Streik Ende April sah einen Aufschub von beinahe 13.000 Routineoperationen und 100.000 Terminen vor, da Krankenschwestern und Fachärzte einbezogen wurden, um Ärzten auf der Streikpostenkette Deckung zu gewähren.</t>
  </si>
  <si>
    <t>Der</t>
  </si>
  <si>
    <t>Streik</t>
  </si>
  <si>
    <t>Ende</t>
  </si>
  <si>
    <t>April</t>
  </si>
  <si>
    <t>sah</t>
  </si>
  <si>
    <t>Aufschub</t>
  </si>
  <si>
    <t>beinahe</t>
  </si>
  <si>
    <t>13.000</t>
  </si>
  <si>
    <t>Routineoperationen</t>
  </si>
  <si>
    <t>100.000</t>
  </si>
  <si>
    <t>Terminen</t>
  </si>
  <si>
    <t>da</t>
  </si>
  <si>
    <t>Krankenschwestern</t>
  </si>
  <si>
    <t>Fachärzte</t>
  </si>
  <si>
    <t>einbezogen</t>
  </si>
  <si>
    <t>wurden</t>
  </si>
  <si>
    <t>Streikpostenkette</t>
  </si>
  <si>
    <t>Deckung</t>
  </si>
  <si>
    <t>gewähren</t>
  </si>
  <si>
    <t># text = Die Minister hatten gehofft, den Streit über die Änderungen durch eine Annahme des reformierten Vertrages mit den Funktionären der British Medical Association beenden zu können.</t>
  </si>
  <si>
    <t>eine</t>
  </si>
  <si>
    <t># text = Die BMA möchte eine bessere Wochendentlohnung für die 54.000 Assistenzärzte, die dem Vertrag unterliegen werden.</t>
  </si>
  <si>
    <t>möchte</t>
  </si>
  <si>
    <t>bessere</t>
  </si>
  <si>
    <t>54.000</t>
  </si>
  <si>
    <t>unterliegen</t>
  </si>
  <si>
    <t># text = Daniel Mortimer, Generaldirektor der NHS Mitarbeiter, forderte die Assistenzärzte dazu auf, den Streik zu beenden.</t>
  </si>
  <si>
    <t>Daniel</t>
  </si>
  <si>
    <t>Mortimer</t>
  </si>
  <si>
    <t>Generaldirektor</t>
  </si>
  <si>
    <t>forderte</t>
  </si>
  <si>
    <t>dazu</t>
  </si>
  <si>
    <t># text = Mortimer sagte: "Arbeitskampfmaßnahmen erreichen nichts der nur wenig, belasten aber bereits überbelastete Teams und Dienstleister und bereiten den Patienten, Pflegern und ihren Familien nur Sorgen, Not und Unterbrechung."</t>
  </si>
  <si>
    <t>erreichen</t>
  </si>
  <si>
    <t>nichts</t>
  </si>
  <si>
    <t>wenig</t>
  </si>
  <si>
    <t>belasten</t>
  </si>
  <si>
    <t>bereits</t>
  </si>
  <si>
    <t>überbelastete</t>
  </si>
  <si>
    <t>Teams</t>
  </si>
  <si>
    <t>Dienstleister</t>
  </si>
  <si>
    <t>bereiten</t>
  </si>
  <si>
    <t>OBJ_4</t>
  </si>
  <si>
    <t>Pflegern</t>
  </si>
  <si>
    <t>ihren</t>
  </si>
  <si>
    <t>Familien</t>
  </si>
  <si>
    <t>Not</t>
  </si>
  <si>
    <t>Unterbrechung</t>
  </si>
  <si>
    <t># text = In den letzten zwei Monaten haben wir mir dem Kommittee der Assistenzärzte gesprochen und mit dem Gesundheitsministerium sowie anderen Ministerien positiv auf die Bedenken hinsichtlich der Vormundschaft und des Whistleblowings geantwortet.</t>
  </si>
  <si>
    <t>zwei</t>
  </si>
  <si>
    <t>Monaten</t>
  </si>
  <si>
    <t>wir</t>
  </si>
  <si>
    <t>mir</t>
  </si>
  <si>
    <t>Kommittee</t>
  </si>
  <si>
    <t>gesprochen</t>
  </si>
  <si>
    <t>Gesundheitsministerium</t>
  </si>
  <si>
    <t>sowie</t>
  </si>
  <si>
    <t>anderen</t>
  </si>
  <si>
    <t>Ministerien</t>
  </si>
  <si>
    <t>positiv</t>
  </si>
  <si>
    <t>hinsichtlich</t>
  </si>
  <si>
    <t>Vormundschaft</t>
  </si>
  <si>
    <t>Whistleblowings</t>
  </si>
  <si>
    <t>geantwortet</t>
  </si>
  <si>
    <t># text = Die Arbeitgeber hofften, dass das fortgeführte positive Engagement zu anderen wichtigen Themen - wie Entsendung, Flexibilität bei Schulungen, zusätzliche Schulungen für diejenigen, die von einer beruflichen Auszeit zurückkehren, Schulungsksten, gegenseitige Anerkennung des Lehrplans, Fortbildungsurlaub und das geschlechtsspezifische Lohngefälle in der Medizin - ein Zeichen dafür waren, wie ernst es die Arbeitgeber, das Health Education England und das Gesundheitsministerium bezüglich der Einhaltung der Vereinbarungen mit der BMA im November, Februar und Mai waren.</t>
  </si>
  <si>
    <t>Arbeitgeber</t>
  </si>
  <si>
    <t>hofften</t>
  </si>
  <si>
    <t>fortgeführte</t>
  </si>
  <si>
    <t>positive</t>
  </si>
  <si>
    <t>Engagement</t>
  </si>
  <si>
    <t>wichtigen</t>
  </si>
  <si>
    <t>Themen</t>
  </si>
  <si>
    <t>Entsendung</t>
  </si>
  <si>
    <t>Flexibilität</t>
  </si>
  <si>
    <t>Schulungen</t>
  </si>
  <si>
    <t>zusätzliche</t>
  </si>
  <si>
    <t>diejenigen</t>
  </si>
  <si>
    <t>SBJ_6</t>
  </si>
  <si>
    <t>beruflichen</t>
  </si>
  <si>
    <t>Auszeit</t>
  </si>
  <si>
    <t>zurückkehren</t>
  </si>
  <si>
    <t>Schulungsksten</t>
  </si>
  <si>
    <t>gegenseitige</t>
  </si>
  <si>
    <t>Anerkennung</t>
  </si>
  <si>
    <t>Lehrplans</t>
  </si>
  <si>
    <t>Fortbildungsurlaub</t>
  </si>
  <si>
    <t>geschlechtsspezifische</t>
  </si>
  <si>
    <t>Lohngefälle</t>
  </si>
  <si>
    <t>Medizin</t>
  </si>
  <si>
    <t>ein</t>
  </si>
  <si>
    <t>Zeichen</t>
  </si>
  <si>
    <t>dafür</t>
  </si>
  <si>
    <t>pron.padv</t>
  </si>
  <si>
    <t>waren</t>
  </si>
  <si>
    <t>ernst</t>
  </si>
  <si>
    <t>Health</t>
  </si>
  <si>
    <t>Education</t>
  </si>
  <si>
    <t>England</t>
  </si>
  <si>
    <t>bezüglich</t>
  </si>
  <si>
    <t>Einhaltung</t>
  </si>
  <si>
    <t>Vereinbarungen</t>
  </si>
  <si>
    <t>November</t>
  </si>
  <si>
    <t>Februar</t>
  </si>
  <si>
    <t>Mai</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</si>
</sst>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0" borderId="0" xfId="0" applyAlignment="1" applyProtection="1">
      <alignment horizontal="center"/>
      <protection locked="0"/>
    </xf>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7"/>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f>IF(A2=1,"_",IF(C2="_","???",C2))</f>
        <v/>
      </c>
      <c r="H2" s="10" t="s">
        <v>16</v>
      </c>
      <c r="I2" s="11" t="s">
        <v>16</v>
      </c>
      <c r="J2" s="12"/>
    </row>
    <row r="3" spans="1:10" ht="60" customHeight="1">
      <c r="A3" s="6" t="s">
        <v>17</v>
      </c>
      <c r="B3" s="6" t="s">
        <v>18</v>
      </c>
      <c r="C3" s="6" t="s">
        <v>16</v>
      </c>
      <c r="D3" s="7" t="s">
        <v>19</v>
      </c>
      <c r="E3" s="8" t="s">
        <v>20</v>
      </c>
      <c r="F3" s="6" t="s">
        <v>21</v>
      </c>
      <c r="G3" s="9">
        <f>IF(A3=1,"_",IF(C3="_","???",C3))</f>
        <v/>
      </c>
      <c r="H3" s="10" t="s">
        <v>16</v>
      </c>
      <c r="I3" s="11" t="s">
        <v>16</v>
      </c>
      <c r="J3" s="12"/>
    </row>
    <row r="4" spans="1:10" ht="60" customHeight="1">
      <c r="A4" s="6" t="s">
        <v>18</v>
      </c>
      <c r="B4" s="6" t="s">
        <v>22</v>
      </c>
      <c r="C4" s="6" t="s">
        <v>16</v>
      </c>
      <c r="D4" s="7" t="s">
        <v>23</v>
      </c>
      <c r="E4" s="8" t="s">
        <v>24</v>
      </c>
      <c r="F4" s="6" t="s">
        <v>25</v>
      </c>
      <c r="G4" s="9">
        <f>IF(A4=1,"_",IF(C4="_","???",C4))</f>
        <v/>
      </c>
      <c r="H4" s="10" t="s">
        <v>16</v>
      </c>
      <c r="I4" s="11" t="s">
        <v>16</v>
      </c>
      <c r="J4" s="12"/>
    </row>
    <row r="5" spans="1:10" ht="60" customHeight="1">
      <c r="A5" s="6" t="s">
        <v>11</v>
      </c>
      <c r="B5" s="6" t="s">
        <v>26</v>
      </c>
      <c r="C5" s="6" t="s">
        <v>16</v>
      </c>
      <c r="D5" s="7" t="s">
        <v>27</v>
      </c>
      <c r="E5" s="8" t="s">
        <v>28</v>
      </c>
      <c r="F5" s="6" t="s">
        <v>29</v>
      </c>
      <c r="G5" s="9">
        <f>IF(A5=1,"_",IF(C5="_","???",C5))</f>
        <v/>
      </c>
      <c r="H5" s="10" t="s">
        <v>16</v>
      </c>
      <c r="I5" s="11" t="s">
        <v>16</v>
      </c>
      <c r="J5" s="12"/>
    </row>
    <row r="6" spans="1:10" ht="60" customHeight="1">
      <c r="A6" s="6" t="s">
        <v>30</v>
      </c>
      <c r="B6" s="6" t="s">
        <v>31</v>
      </c>
      <c r="C6" s="6" t="s">
        <v>16</v>
      </c>
      <c r="D6" s="7" t="s">
        <v>32</v>
      </c>
      <c r="E6" s="8" t="s">
        <v>33</v>
      </c>
      <c r="F6" s="6" t="s">
        <v>34</v>
      </c>
      <c r="G6" s="9">
        <f>IF(A6=1,"_",IF(C6="_","???",C6))</f>
        <v/>
      </c>
      <c r="H6" s="10" t="s">
        <v>16</v>
      </c>
      <c r="I6" s="11" t="s">
        <v>16</v>
      </c>
      <c r="J6" s="12"/>
    </row>
    <row r="7" spans="1:10" ht="60" customHeight="1">
      <c r="A7" s="6" t="s">
        <v>35</v>
      </c>
      <c r="B7" s="6" t="s">
        <v>36</v>
      </c>
      <c r="C7" s="6" t="s">
        <v>16</v>
      </c>
      <c r="D7" s="7" t="s">
        <v>37</v>
      </c>
      <c r="E7" s="8" t="s">
        <v>38</v>
      </c>
      <c r="F7" s="6" t="s">
        <v>39</v>
      </c>
      <c r="G7" s="9">
        <f>IF(A7=1,"_",IF(C7="_","???",C7))</f>
        <v/>
      </c>
      <c r="H7" s="10" t="s">
        <v>16</v>
      </c>
      <c r="I7" s="11" t="s">
        <v>16</v>
      </c>
      <c r="J7" s="12"/>
    </row>
    <row r="8" spans="1:10" ht="60" customHeight="1">
      <c r="A8" s="6" t="s">
        <v>22</v>
      </c>
      <c r="B8" s="6" t="s">
        <v>17</v>
      </c>
      <c r="C8" s="6" t="s">
        <v>16</v>
      </c>
      <c r="D8" s="7" t="s">
        <v>40</v>
      </c>
      <c r="E8" s="8" t="s">
        <v>41</v>
      </c>
      <c r="F8" s="6" t="s">
        <v>42</v>
      </c>
      <c r="G8" s="9">
        <f>IF(A8=1,"_",IF(C8="_","???",C8))</f>
        <v/>
      </c>
      <c r="H8" s="10" t="s">
        <v>16</v>
      </c>
      <c r="I8" s="11" t="s">
        <v>16</v>
      </c>
      <c r="J8" s="12"/>
    </row>
    <row r="9" spans="1:10" ht="60" customHeight="1">
      <c r="A9" s="6" t="s">
        <v>43</v>
      </c>
      <c r="B9" s="6" t="s">
        <v>30</v>
      </c>
      <c r="C9" s="6" t="s">
        <v>16</v>
      </c>
      <c r="D9" s="7" t="s">
        <v>44</v>
      </c>
      <c r="E9" s="8" t="s">
        <v>45</v>
      </c>
      <c r="F9" s="6" t="s">
        <v>46</v>
      </c>
      <c r="G9" s="9">
        <f>IF(A9=1,"_",IF(C9="_","???",C9))</f>
        <v/>
      </c>
      <c r="H9" s="10" t="s">
        <v>16</v>
      </c>
      <c r="I9" s="11" t="s">
        <v>16</v>
      </c>
      <c r="J9" s="12"/>
    </row>
    <row r="10" spans="1:10" ht="60" customHeight="1">
      <c r="A10" s="6" t="s">
        <v>47</v>
      </c>
      <c r="B10" s="6" t="s">
        <v>48</v>
      </c>
      <c r="C10" s="6" t="s">
        <v>16</v>
      </c>
      <c r="D10" s="7" t="s">
        <v>49</v>
      </c>
      <c r="E10" s="8" t="s">
        <v>50</v>
      </c>
      <c r="F10" s="6" t="s">
        <v>51</v>
      </c>
      <c r="G10" s="9">
        <f>IF(A10=1,"_",IF(C10="_","???",C10))</f>
        <v/>
      </c>
      <c r="H10" s="10" t="s">
        <v>16</v>
      </c>
      <c r="I10" s="11" t="s">
        <v>16</v>
      </c>
      <c r="J10" s="12"/>
    </row>
    <row r="11" spans="1:10" ht="60" customHeight="1">
      <c r="A11" s="6" t="s">
        <v>52</v>
      </c>
      <c r="B11" s="6" t="s">
        <v>26</v>
      </c>
      <c r="C11" s="6" t="s">
        <v>16</v>
      </c>
      <c r="D11" s="7" t="s">
        <v>53</v>
      </c>
      <c r="E11" s="8" t="s">
        <v>54</v>
      </c>
      <c r="F11" s="6" t="s">
        <v>55</v>
      </c>
      <c r="G11" s="9">
        <f>IF(A11=1,"_",IF(C11="_","???",C11))</f>
        <v/>
      </c>
      <c r="H11" s="10" t="s">
        <v>16</v>
      </c>
      <c r="I11" s="11" t="s">
        <v>16</v>
      </c>
      <c r="J11" s="12"/>
    </row>
    <row r="12" spans="1:10" ht="60" customHeight="1">
      <c r="A12" s="6" t="s">
        <v>36</v>
      </c>
      <c r="B12" s="6" t="s">
        <v>18</v>
      </c>
      <c r="C12" s="6" t="s">
        <v>16</v>
      </c>
      <c r="D12" s="7" t="s">
        <v>19</v>
      </c>
      <c r="E12" s="8" t="s">
        <v>56</v>
      </c>
      <c r="F12" s="6" t="s">
        <v>57</v>
      </c>
      <c r="G12" s="9">
        <f>IF(A12=1,"_",IF(C12="_","???",C12))</f>
        <v/>
      </c>
      <c r="H12" s="10" t="s">
        <v>16</v>
      </c>
      <c r="I12" s="11" t="s">
        <v>16</v>
      </c>
      <c r="J12" s="12"/>
    </row>
    <row r="13" spans="1:10" ht="60" customHeight="1">
      <c r="A13" s="6" t="s">
        <v>48</v>
      </c>
      <c r="B13" s="6" t="s">
        <v>30</v>
      </c>
      <c r="C13" s="6" t="s">
        <v>16</v>
      </c>
      <c r="D13" s="7" t="s">
        <v>58</v>
      </c>
      <c r="E13" s="8" t="s">
        <v>59</v>
      </c>
      <c r="F13" s="6" t="s">
        <v>60</v>
      </c>
      <c r="G13" s="9">
        <f>IF(A13=1,"_",IF(C13="_","???",C13))</f>
        <v/>
      </c>
      <c r="H13" s="10" t="s">
        <v>16</v>
      </c>
      <c r="I13" s="11" t="s">
        <v>16</v>
      </c>
      <c r="J13" s="12"/>
    </row>
    <row r="14" spans="1:10" ht="60" customHeight="1">
      <c r="A14" s="6" t="s">
        <v>61</v>
      </c>
      <c r="B14" s="6" t="s">
        <v>43</v>
      </c>
      <c r="C14" s="6" t="s">
        <v>16</v>
      </c>
      <c r="D14" s="7" t="s">
        <v>62</v>
      </c>
      <c r="E14" s="8" t="s">
        <v>63</v>
      </c>
      <c r="F14" s="6" t="s">
        <v>64</v>
      </c>
      <c r="G14" s="9">
        <f>IF(A14=1,"_",IF(C14="_","???",C14))</f>
        <v/>
      </c>
      <c r="H14" s="10" t="s">
        <v>16</v>
      </c>
      <c r="I14" s="11" t="s">
        <v>16</v>
      </c>
      <c r="J14" s="12"/>
    </row>
    <row r="15" spans="1:10" ht="60" customHeight="1">
      <c r="A15" s="6" t="s">
        <v>65</v>
      </c>
      <c r="B15" s="6" t="s">
        <v>17</v>
      </c>
      <c r="C15" s="6" t="s">
        <v>16</v>
      </c>
      <c r="D15" s="7" t="s">
        <v>66</v>
      </c>
      <c r="E15" s="8" t="s">
        <v>67</v>
      </c>
      <c r="F15" s="6" t="s">
        <v>68</v>
      </c>
      <c r="G15" s="9">
        <f>IF(A15=1,"_",IF(C15="_","???",C15))</f>
        <v/>
      </c>
      <c r="H15" s="10" t="s">
        <v>16</v>
      </c>
      <c r="I15" s="11" t="s">
        <v>16</v>
      </c>
      <c r="J15" s="12"/>
    </row>
    <row r="16" spans="1:10" ht="60" customHeight="1">
      <c r="A16" s="6" t="s">
        <v>69</v>
      </c>
      <c r="B16" s="6" t="s">
        <v>70</v>
      </c>
      <c r="C16" s="6" t="s">
        <v>16</v>
      </c>
      <c r="D16" s="7" t="s">
        <v>71</v>
      </c>
      <c r="E16" s="8" t="s">
        <v>72</v>
      </c>
      <c r="F16" s="6" t="s">
        <v>73</v>
      </c>
      <c r="G16" s="9">
        <f>IF(A16=1,"_",IF(C16="_","???",C16))</f>
        <v/>
      </c>
      <c r="H16" s="10" t="s">
        <v>16</v>
      </c>
      <c r="I16" s="11" t="s">
        <v>16</v>
      </c>
      <c r="J16" s="12"/>
    </row>
    <row r="17" spans="1:10" ht="60" customHeight="1">
      <c r="A17" s="6" t="s">
        <v>74</v>
      </c>
      <c r="B17" s="6" t="s">
        <v>75</v>
      </c>
      <c r="C17" s="6" t="s">
        <v>16</v>
      </c>
      <c r="D17" s="7" t="s">
        <v>19</v>
      </c>
      <c r="E17" s="8" t="s">
        <v>76</v>
      </c>
      <c r="F17" s="6" t="s">
        <v>77</v>
      </c>
      <c r="G17" s="9">
        <f>IF(A17=1,"_",IF(C17="_","???",C17))</f>
        <v/>
      </c>
      <c r="H17" s="10" t="s">
        <v>16</v>
      </c>
      <c r="I17" s="11" t="s">
        <v>16</v>
      </c>
      <c r="J17"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579"/>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78</v>
      </c>
      <c r="B1" s="13" t="s">
        <v>79</v>
      </c>
      <c r="C1" s="13" t="s">
        <v>80</v>
      </c>
      <c r="D1" s="13" t="s">
        <v>81</v>
      </c>
      <c r="E1" s="14" t="s">
        <v>82</v>
      </c>
      <c r="F1" s="15" t="s">
        <v>83</v>
      </c>
      <c r="G1" s="16" t="s">
        <v>84</v>
      </c>
      <c r="H1" s="17" t="s">
        <v>85</v>
      </c>
      <c r="I1" s="18" t="s">
        <v>86</v>
      </c>
      <c r="J1" s="18" t="s">
        <v>87</v>
      </c>
      <c r="K1" s="18" t="s">
        <v>88</v>
      </c>
      <c r="L1" s="19" t="s">
        <v>9</v>
      </c>
    </row>
    <row r="2" spans="1:12">
      <c r="A2" s="20" t="s">
        <v>89</v>
      </c>
    </row>
    <row r="3" spans="1:12">
      <c r="A3" s="20" t="s">
        <v>90</v>
      </c>
      <c r="B3" s="21" t="s">
        <v>91</v>
      </c>
      <c r="C3" s="21" t="s">
        <v>92</v>
      </c>
      <c r="E3" s="22">
        <f>IF(D3="?OLD","!!!","")</f>
        <v/>
      </c>
      <c r="F3" s="23" t="str">
        <f>IF(OR(E3="",E3="!!!"),"",IF(NOT(ISNA(VLOOKUP(E3,E$1:E2,1,FALSE()))),"OLD",IF(AND(E3&lt;&gt;"",E3&lt;&gt;"!!!"),"NEW","")))</f>
        <v> </v>
      </c>
      <c r="G3" s="24" t="str">
        <f>IF(OR(E3="",E3="!!!"),"",IF(OR(J3=0,AND(J3=1,K3=1),AND(J3=1,I3="SBJ"),AND(J3=1,I3=0)),"?IN_FOCUS",IF(J3&lt;=2,"?ACTIVATED",IF(J3&lt;&gt;"","?FAMILIAR",IF(F3="NEW",IF(ISNA(VLOOKUP(E3,#REF!,1,FALSE())),"?TYPE_IDENTIFIABLE","?REFERENTIAL"),"_")))))</f>
        <v> </v>
      </c>
      <c r="H3" s="25" t="str">
        <f>IF(J3&lt;&gt;1,"",IF(I3="SBJ","CB","?"))</f>
        <v> </v>
      </c>
      <c r="I3" s="26" t="str">
        <f>IF(OR(E3="",E3="!!!",F3="NEW"),"",INDEX(B2:B$2,-1+SUMPRODUCT(MAX(ROW(E2:E$2)*(E3=E2:E$2)))))</f>
        <v> </v>
      </c>
      <c r="J3" s="26" t="str">
        <f>IF(OR(E3="",E3="!!!",F3="NEW"),"",COUNTBLANK(OFFSET(A$1,,,SUMPRODUCT(MAX(ROW(E$2:E3)*(E3=E$2:E3)))))-COUNTBLANK(OFFSET(A$1,,,SUMPRODUCT(MAX(ROW(E$1:E2)*(E2=E$1:E2))))))</f>
        <v> </v>
      </c>
      <c r="K3" s="26" t="str">
        <f>IF(OR(E3="",E3="!!!",F3="NEW"),"",INDEX(J$1:J2,SUMPRODUCT(MAX(ROW(E$1:E2)*(E3=E$1:E2)))))</f>
        <v> </v>
      </c>
      <c r="L3" s="27"/>
    </row>
    <row r="4" spans="1:12">
      <c r="A4" s="20" t="s">
        <v>93</v>
      </c>
      <c r="E4" s="22">
        <f>IF(D4="?OLD","!!!","")</f>
        <v/>
      </c>
      <c r="F4" s="23" t="str">
        <f>IF(OR(E4="",E4="!!!"),"",IF(NOT(ISNA(VLOOKUP(E4,E$1:E3,1,FALSE()))),"OLD",IF(AND(E4&lt;&gt;"",E4&lt;&gt;"!!!"),"NEW","")))</f>
        <v> </v>
      </c>
      <c r="G4" s="24" t="str">
        <f>IF(OR(E4="",E4="!!!"),"",IF(OR(J4=0,AND(J4=1,K4=1),AND(J4=1,I4="SBJ"),AND(J4=1,I4=0)),"?IN_FOCUS",IF(J4&lt;=2,"?ACTIVATED",IF(J4&lt;&gt;"","?FAMILIAR",IF(F4="NEW",IF(ISNA(VLOOKUP(E4,#REF!,1,FALSE())),"?TYPE_IDENTIFIABLE","?REFERENTIAL"),"_")))))</f>
        <v> </v>
      </c>
      <c r="H4" s="25" t="str">
        <f>IF(J4&lt;&gt;1,"",IF(I4="SBJ","CB","?"))</f>
        <v> </v>
      </c>
      <c r="I4" s="26" t="str">
        <f>IF(OR(E4="",E4="!!!",F4="NEW"),"",INDEX(B3:B$2,-1+SUMPRODUCT(MAX(ROW(E3:E$2)*(E4=E3:E$2)))))</f>
        <v> </v>
      </c>
      <c r="J4" s="26" t="str">
        <f>IF(OR(E4="",E4="!!!",F4="NEW"),"",COUNTBLANK(OFFSET(A$1,,,SUMPRODUCT(MAX(ROW(E$2:E4)*(E4=E$2:E4)))))-COUNTBLANK(OFFSET(A$1,,,SUMPRODUCT(MAX(ROW(E$1:E3)*(E2=E$1:E3))))))</f>
        <v> </v>
      </c>
      <c r="K4" s="26" t="str">
        <f>IF(OR(E4="",E4="!!!",F4="NEW"),"",INDEX(J$1:J3,SUMPRODUCT(MAX(ROW(E$1:E3)*(E4=E$1:E3)))))</f>
        <v> </v>
      </c>
      <c r="L4" s="27"/>
    </row>
    <row r="5" spans="1:12">
      <c r="A5" s="20" t="s">
        <v>94</v>
      </c>
      <c r="E5" s="22">
        <f>IF(D5="?OLD","!!!","")</f>
        <v/>
      </c>
      <c r="F5" s="23" t="str">
        <f>IF(OR(E5="",E5="!!!"),"",IF(NOT(ISNA(VLOOKUP(E5,E$1:E4,1,FALSE()))),"OLD",IF(AND(E5&lt;&gt;"",E5&lt;&gt;"!!!"),"NEW","")))</f>
        <v> </v>
      </c>
      <c r="G5" s="24" t="str">
        <f>IF(OR(E5="",E5="!!!"),"",IF(OR(J5=0,AND(J5=1,K5=1),AND(J5=1,I5="SBJ"),AND(J5=1,I5=0)),"?IN_FOCUS",IF(J5&lt;=2,"?ACTIVATED",IF(J5&lt;&gt;"","?FAMILIAR",IF(F5="NEW",IF(ISNA(VLOOKUP(E5,#REF!,1,FALSE())),"?TYPE_IDENTIFIABLE","?REFERENTIAL"),"_")))))</f>
        <v> </v>
      </c>
      <c r="H5" s="25" t="str">
        <f>IF(J5&lt;&gt;1,"",IF(I5="SBJ","CB","?"))</f>
        <v> </v>
      </c>
      <c r="I5" s="26" t="str">
        <f>IF(OR(E5="",E5="!!!",F5="NEW"),"",INDEX(B4:B$2,-1+SUMPRODUCT(MAX(ROW(E4:E$2)*(E5=E4:E$2)))))</f>
        <v> </v>
      </c>
      <c r="J5" s="26" t="str">
        <f>IF(OR(E5="",E5="!!!",F5="NEW"),"",COUNTBLANK(OFFSET(A$1,,,SUMPRODUCT(MAX(ROW(E$2:E5)*(E5=E$2:E5)))))-COUNTBLANK(OFFSET(A$1,,,SUMPRODUCT(MAX(ROW(E$1:E4)*(E2=E$1:E4))))))</f>
        <v> </v>
      </c>
      <c r="K5" s="26" t="str">
        <f>IF(OR(E5="",E5="!!!",F5="NEW"),"",INDEX(J$1:J4,SUMPRODUCT(MAX(ROW(E$1:E4)*(E5=E$1:E4)))))</f>
        <v> </v>
      </c>
      <c r="L5" s="27"/>
    </row>
    <row r="6" spans="1:12">
      <c r="A6" s="20" t="s">
        <v>95</v>
      </c>
      <c r="B6" s="21" t="s">
        <v>96</v>
      </c>
      <c r="C6" s="21" t="s">
        <v>92</v>
      </c>
      <c r="E6" s="22">
        <f>IF(D6="?OLD","!!!","")</f>
        <v/>
      </c>
      <c r="F6" s="23" t="str">
        <f>IF(OR(E6="",E6="!!!"),"",IF(NOT(ISNA(VLOOKUP(E6,E$1:E5,1,FALSE()))),"OLD",IF(AND(E6&lt;&gt;"",E6&lt;&gt;"!!!"),"NEW","")))</f>
        <v> </v>
      </c>
      <c r="G6" s="24" t="str">
        <f>IF(OR(E6="",E6="!!!"),"",IF(OR(J6=0,AND(J6=1,K6=1),AND(J6=1,I6="SBJ"),AND(J6=1,I6=0)),"?IN_FOCUS",IF(J6&lt;=2,"?ACTIVATED",IF(J6&lt;&gt;"","?FAMILIAR",IF(F6="NEW",IF(ISNA(VLOOKUP(E6,#REF!,1,FALSE())),"?TYPE_IDENTIFIABLE","?REFERENTIAL"),"_")))))</f>
        <v> </v>
      </c>
      <c r="H6" s="25" t="str">
        <f>IF(J6&lt;&gt;1,"",IF(I6="SBJ","CB","?"))</f>
        <v> </v>
      </c>
      <c r="I6" s="26" t="str">
        <f>IF(OR(E6="",E6="!!!",F6="NEW"),"",INDEX(B5:B$2,-1+SUMPRODUCT(MAX(ROW(E5:E$2)*(E6=E5:E$2)))))</f>
        <v> </v>
      </c>
      <c r="J6" s="26" t="str">
        <f>IF(OR(E6="",E6="!!!",F6="NEW"),"",COUNTBLANK(OFFSET(A$1,,,SUMPRODUCT(MAX(ROW(E$2:E6)*(E6=E$2:E6)))))-COUNTBLANK(OFFSET(A$1,,,SUMPRODUCT(MAX(ROW(E$1:E5)*(E2=E$1:E5))))))</f>
        <v> </v>
      </c>
      <c r="K6" s="26" t="str">
        <f>IF(OR(E6="",E6="!!!",F6="NEW"),"",INDEX(J$1:J5,SUMPRODUCT(MAX(ROW(E$1:E5)*(E6=E$1:E5)))))</f>
        <v> </v>
      </c>
      <c r="L6" s="27"/>
    </row>
    <row r="7" spans="1:12">
      <c r="A7" s="20" t="s">
        <v>13</v>
      </c>
      <c r="E7" s="22">
        <f>IF(D7="?OLD","!!!","")</f>
        <v/>
      </c>
      <c r="F7" s="23" t="str">
        <f>IF(OR(E7="",E7="!!!"),"",IF(NOT(ISNA(VLOOKUP(E7,E$1:E6,1,FALSE()))),"OLD",IF(AND(E7&lt;&gt;"",E7&lt;&gt;"!!!"),"NEW","")))</f>
        <v> </v>
      </c>
      <c r="G7" s="24" t="str">
        <f>IF(OR(E7="",E7="!!!"),"",IF(OR(J7=0,AND(J7=1,K7=1),AND(J7=1,I7="SBJ"),AND(J7=1,I7=0)),"?IN_FOCUS",IF(J7&lt;=2,"?ACTIVATED",IF(J7&lt;&gt;"","?FAMILIAR",IF(F7="NEW",IF(ISNA(VLOOKUP(E7,#REF!,1,FALSE())),"?TYPE_IDENTIFIABLE","?REFERENTIAL"),"_")))))</f>
        <v> </v>
      </c>
      <c r="H7" s="25" t="str">
        <f>IF(J7&lt;&gt;1,"",IF(I7="SBJ","CB","?"))</f>
        <v> </v>
      </c>
      <c r="I7" s="26" t="str">
        <f>IF(OR(E7="",E7="!!!",F7="NEW"),"",INDEX(B6:B$2,-1+SUMPRODUCT(MAX(ROW(E6:E$2)*(E7=E6:E$2)))))</f>
        <v> </v>
      </c>
      <c r="J7" s="26" t="str">
        <f>IF(OR(E7="",E7="!!!",F7="NEW"),"",COUNTBLANK(OFFSET(A$1,,,SUMPRODUCT(MAX(ROW(E$2:E7)*(E7=E$2:E7)))))-COUNTBLANK(OFFSET(A$1,,,SUMPRODUCT(MAX(ROW(E$1:E6)*(E2=E$1:E6))))))</f>
        <v> </v>
      </c>
      <c r="K7" s="26" t="str">
        <f>IF(OR(E7="",E7="!!!",F7="NEW"),"",INDEX(J$1:J6,SUMPRODUCT(MAX(ROW(E$1:E6)*(E7=E$1:E6)))))</f>
        <v> </v>
      </c>
      <c r="L7" s="27"/>
    </row>
    <row r="8" spans="1:12">
      <c r="A8" s="20" t="s">
        <v>97</v>
      </c>
      <c r="E8" s="22">
        <f>IF(D8="?OLD","!!!","")</f>
        <v/>
      </c>
      <c r="F8" s="23" t="str">
        <f>IF(OR(E8="",E8="!!!"),"",IF(NOT(ISNA(VLOOKUP(E8,E$1:E7,1,FALSE()))),"OLD",IF(AND(E8&lt;&gt;"",E8&lt;&gt;"!!!"),"NEW","")))</f>
        <v> </v>
      </c>
      <c r="G8" s="24" t="str">
        <f>IF(OR(E8="",E8="!!!"),"",IF(OR(J8=0,AND(J8=1,K8=1),AND(J8=1,I8="SBJ"),AND(J8=1,I8=0)),"?IN_FOCUS",IF(J8&lt;=2,"?ACTIVATED",IF(J8&lt;&gt;"","?FAMILIAR",IF(F8="NEW",IF(ISNA(VLOOKUP(E8,#REF!,1,FALSE())),"?TYPE_IDENTIFIABLE","?REFERENTIAL"),"_")))))</f>
        <v> </v>
      </c>
      <c r="H8" s="25" t="str">
        <f>IF(J8&lt;&gt;1,"",IF(I8="SBJ","CB","?"))</f>
        <v> </v>
      </c>
      <c r="I8" s="26" t="str">
        <f>IF(OR(E8="",E8="!!!",F8="NEW"),"",INDEX(B7:B$2,-1+SUMPRODUCT(MAX(ROW(E7:E$2)*(E8=E7:E$2)))))</f>
        <v> </v>
      </c>
      <c r="J8" s="26" t="str">
        <f>IF(OR(E8="",E8="!!!",F8="NEW"),"",COUNTBLANK(OFFSET(A$1,,,SUMPRODUCT(MAX(ROW(E$2:E8)*(E8=E$2:E8)))))-COUNTBLANK(OFFSET(A$1,,,SUMPRODUCT(MAX(ROW(E$1:E7)*(E2=E$1:E7))))))</f>
        <v> </v>
      </c>
      <c r="K8" s="26" t="str">
        <f>IF(OR(E8="",E8="!!!",F8="NEW"),"",INDEX(J$1:J7,SUMPRODUCT(MAX(ROW(E$1:E7)*(E8=E$1:E7)))))</f>
        <v> </v>
      </c>
      <c r="L8" s="27"/>
    </row>
    <row r="9" spans="1:12">
      <c r="A9" s="20" t="s">
        <v>98</v>
      </c>
      <c r="E9" s="22">
        <f>IF(D9="?OLD","!!!","")</f>
        <v/>
      </c>
      <c r="F9" s="23" t="str">
        <f>IF(OR(E9="",E9="!!!"),"",IF(NOT(ISNA(VLOOKUP(E9,E$1:E8,1,FALSE()))),"OLD",IF(AND(E9&lt;&gt;"",E9&lt;&gt;"!!!"),"NEW","")))</f>
        <v> </v>
      </c>
      <c r="G9" s="24" t="str">
        <f>IF(OR(E9="",E9="!!!"),"",IF(OR(J9=0,AND(J9=1,K9=1),AND(J9=1,I9="SBJ"),AND(J9=1,I9=0)),"?IN_FOCUS",IF(J9&lt;=2,"?ACTIVATED",IF(J9&lt;&gt;"","?FAMILIAR",IF(F9="NEW",IF(ISNA(VLOOKUP(E9,#REF!,1,FALSE())),"?TYPE_IDENTIFIABLE","?REFERENTIAL"),"_")))))</f>
        <v> </v>
      </c>
      <c r="H9" s="25" t="str">
        <f>IF(J9&lt;&gt;1,"",IF(I9="SBJ","CB","?"))</f>
        <v> </v>
      </c>
      <c r="I9" s="26" t="str">
        <f>IF(OR(E9="",E9="!!!",F9="NEW"),"",INDEX(B8:B$2,-1+SUMPRODUCT(MAX(ROW(E8:E$2)*(E9=E8:E$2)))))</f>
        <v> </v>
      </c>
      <c r="J9" s="26" t="str">
        <f>IF(OR(E9="",E9="!!!",F9="NEW"),"",COUNTBLANK(OFFSET(A$1,,,SUMPRODUCT(MAX(ROW(E$2:E9)*(E9=E$2:E9)))))-COUNTBLANK(OFFSET(A$1,,,SUMPRODUCT(MAX(ROW(E$1:E8)*(E2=E$1:E8))))))</f>
        <v> </v>
      </c>
      <c r="K9" s="26" t="str">
        <f>IF(OR(E9="",E9="!!!",F9="NEW"),"",INDEX(J$1:J8,SUMPRODUCT(MAX(ROW(E$1:E8)*(E9=E$1:E8)))))</f>
        <v> </v>
      </c>
      <c r="L9" s="27"/>
    </row>
    <row r="10" spans="1:12">
      <c r="A10" s="20" t="s">
        <v>99</v>
      </c>
      <c r="B10" s="21" t="s">
        <v>100</v>
      </c>
      <c r="C10" s="21" t="s">
        <v>101</v>
      </c>
      <c r="D10" s="21" t="s">
        <v>102</v>
      </c>
      <c r="E10" s="22">
        <f>IF(D10="?OLD","!!!","")</f>
        <v/>
      </c>
      <c r="F10" s="23" t="str">
        <f>IF(OR(E10="",E10="!!!"),"",IF(NOT(ISNA(VLOOKUP(E10,E$1:E9,1,FALSE()))),"OLD",IF(AND(E10&lt;&gt;"",E10&lt;&gt;"!!!"),"NEW","")))</f>
        <v> </v>
      </c>
      <c r="G10" s="24" t="str">
        <f>IF(OR(E10="",E10="!!!"),"",IF(OR(J10=0,AND(J10=1,K10=1),AND(J10=1,I10="SBJ"),AND(J10=1,I10=0)),"?IN_FOCUS",IF(J10&lt;=2,"?ACTIVATED",IF(J10&lt;&gt;"","?FAMILIAR",IF(F10="NEW",IF(ISNA(VLOOKUP(E10,#REF!,1,FALSE())),"?TYPE_IDENTIFIABLE","?REFERENTIAL"),"_")))))</f>
        <v> </v>
      </c>
      <c r="H10" s="25" t="str">
        <f>IF(J10&lt;&gt;1,"",IF(I10="SBJ","CB","?"))</f>
        <v> </v>
      </c>
      <c r="I10" s="26" t="str">
        <f>IF(OR(E10="",E10="!!!",F10="NEW"),"",INDEX(B9:B$2,-1+SUMPRODUCT(MAX(ROW(E9:E$2)*(E10=E9:E$2)))))</f>
        <v> </v>
      </c>
      <c r="J10" s="26" t="str">
        <f>IF(OR(E10="",E10="!!!",F10="NEW"),"",COUNTBLANK(OFFSET(A$1,,,SUMPRODUCT(MAX(ROW(E$2:E10)*(E10=E$2:E10)))))-COUNTBLANK(OFFSET(A$1,,,SUMPRODUCT(MAX(ROW(E$1:E9)*(E2=E$1:E9))))))</f>
        <v> </v>
      </c>
      <c r="K10" s="26" t="str">
        <f>IF(OR(E10="",E10="!!!",F10="NEW"),"",INDEX(J$1:J9,SUMPRODUCT(MAX(ROW(E$1:E9)*(E10=E$1:E9)))))</f>
        <v> </v>
      </c>
      <c r="L10" s="27"/>
    </row>
    <row r="11" spans="1:12">
      <c r="A11" s="20" t="s">
        <v>103</v>
      </c>
      <c r="B11" s="21" t="s">
        <v>100</v>
      </c>
      <c r="C11" s="21" t="s">
        <v>104</v>
      </c>
      <c r="D11" s="21" t="s">
        <v>102</v>
      </c>
      <c r="E11" s="22">
        <f>IF(D11="?OLD","!!!","")</f>
        <v/>
      </c>
      <c r="F11" s="23" t="str">
        <f>IF(OR(E11="",E11="!!!"),"",IF(NOT(ISNA(VLOOKUP(E11,E$1:E10,1,FALSE()))),"OLD",IF(AND(E11&lt;&gt;"",E11&lt;&gt;"!!!"),"NEW","")))</f>
        <v> </v>
      </c>
      <c r="G11" s="24" t="str">
        <f>IF(OR(E11="",E11="!!!"),"",IF(OR(J11=0,AND(J11=1,K11=1),AND(J11=1,I11="SBJ"),AND(J11=1,I11=0)),"?IN_FOCUS",IF(J11&lt;=2,"?ACTIVATED",IF(J11&lt;&gt;"","?FAMILIAR",IF(F11="NEW",IF(ISNA(VLOOKUP(E11,#REF!,1,FALSE())),"?TYPE_IDENTIFIABLE","?REFERENTIAL"),"_")))))</f>
        <v> </v>
      </c>
      <c r="H11" s="25" t="str">
        <f>IF(J11&lt;&gt;1,"",IF(I11="SBJ","CB","?"))</f>
        <v> </v>
      </c>
      <c r="I11" s="26" t="str">
        <f>IF(OR(E11="",E11="!!!",F11="NEW"),"",INDEX(B10:B$2,-1+SUMPRODUCT(MAX(ROW(E10:E$2)*(E11=E10:E$2)))))</f>
        <v> </v>
      </c>
      <c r="J11" s="26" t="str">
        <f>IF(OR(E11="",E11="!!!",F11="NEW"),"",COUNTBLANK(OFFSET(A$1,,,SUMPRODUCT(MAX(ROW(E$2:E11)*(E11=E$2:E11)))))-COUNTBLANK(OFFSET(A$1,,,SUMPRODUCT(MAX(ROW(E$1:E10)*(E2=E$1:E10))))))</f>
        <v> </v>
      </c>
      <c r="K11" s="26" t="str">
        <f>IF(OR(E11="",E11="!!!",F11="NEW"),"",INDEX(J$1:J10,SUMPRODUCT(MAX(ROW(E$1:E10)*(E11=E$1:E10)))))</f>
        <v> </v>
      </c>
      <c r="L11" s="27"/>
    </row>
    <row r="12" spans="1:12">
      <c r="A12" s="20" t="s">
        <v>105</v>
      </c>
      <c r="E12" s="22">
        <f>IF(D12="?OLD","!!!","")</f>
        <v/>
      </c>
      <c r="F12" s="23" t="str">
        <f>IF(OR(E12="",E12="!!!"),"",IF(NOT(ISNA(VLOOKUP(E12,E$1:E11,1,FALSE()))),"OLD",IF(AND(E12&lt;&gt;"",E12&lt;&gt;"!!!"),"NEW","")))</f>
        <v> </v>
      </c>
      <c r="G12" s="24" t="str">
        <f>IF(OR(E12="",E12="!!!"),"",IF(OR(J12=0,AND(J12=1,K12=1),AND(J12=1,I12="SBJ"),AND(J12=1,I12=0)),"?IN_FOCUS",IF(J12&lt;=2,"?ACTIVATED",IF(J12&lt;&gt;"","?FAMILIAR",IF(F12="NEW",IF(ISNA(VLOOKUP(E12,#REF!,1,FALSE())),"?TYPE_IDENTIFIABLE","?REFERENTIAL"),"_")))))</f>
        <v> </v>
      </c>
      <c r="H12" s="25" t="str">
        <f>IF(J12&lt;&gt;1,"",IF(I12="SBJ","CB","?"))</f>
        <v> </v>
      </c>
      <c r="I12" s="26" t="str">
        <f>IF(OR(E12="",E12="!!!",F12="NEW"),"",INDEX(B11:B$2,-1+SUMPRODUCT(MAX(ROW(E11:E$2)*(E12=E11:E$2)))))</f>
        <v> </v>
      </c>
      <c r="J12" s="26" t="str">
        <f>IF(OR(E12="",E12="!!!",F12="NEW"),"",COUNTBLANK(OFFSET(A$1,,,SUMPRODUCT(MAX(ROW(E$2:E12)*(E12=E$2:E12)))))-COUNTBLANK(OFFSET(A$1,,,SUMPRODUCT(MAX(ROW(E$1:E11)*(E2=E$1:E11))))))</f>
        <v> </v>
      </c>
      <c r="K12" s="26" t="str">
        <f>IF(OR(E12="",E12="!!!",F12="NEW"),"",INDEX(J$1:J11,SUMPRODUCT(MAX(ROW(E$1:E11)*(E12=E$1:E11)))))</f>
        <v> </v>
      </c>
      <c r="L12" s="27"/>
    </row>
    <row r="13" spans="1:12">
      <c r="A13" s="20" t="s">
        <v>106</v>
      </c>
      <c r="B13" s="21" t="s">
        <v>107</v>
      </c>
      <c r="C13" s="21" t="s">
        <v>92</v>
      </c>
      <c r="E13" s="22">
        <f>IF(D13="?OLD","!!!","")</f>
        <v/>
      </c>
      <c r="F13" s="23" t="str">
        <f>IF(OR(E13="",E13="!!!"),"",IF(NOT(ISNA(VLOOKUP(E13,E$1:E12,1,FALSE()))),"OLD",IF(AND(E13&lt;&gt;"",E13&lt;&gt;"!!!"),"NEW","")))</f>
        <v> </v>
      </c>
      <c r="G13" s="24" t="str">
        <f>IF(OR(E13="",E13="!!!"),"",IF(OR(J13=0,AND(J13=1,K13=1),AND(J13=1,I13="SBJ"),AND(J13=1,I13=0)),"?IN_FOCUS",IF(J13&lt;=2,"?ACTIVATED",IF(J13&lt;&gt;"","?FAMILIAR",IF(F13="NEW",IF(ISNA(VLOOKUP(E13,#REF!,1,FALSE())),"?TYPE_IDENTIFIABLE","?REFERENTIAL"),"_")))))</f>
        <v> </v>
      </c>
      <c r="H13" s="25" t="str">
        <f>IF(J13&lt;&gt;1,"",IF(I13="SBJ","CB","?"))</f>
        <v> </v>
      </c>
      <c r="I13" s="26" t="str">
        <f>IF(OR(E13="",E13="!!!",F13="NEW"),"",INDEX(B12:B$2,-1+SUMPRODUCT(MAX(ROW(E12:E$2)*(E13=E12:E$2)))))</f>
        <v> </v>
      </c>
      <c r="J13" s="26" t="str">
        <f>IF(OR(E13="",E13="!!!",F13="NEW"),"",COUNTBLANK(OFFSET(A$1,,,SUMPRODUCT(MAX(ROW(E$2:E13)*(E13=E$2:E13)))))-COUNTBLANK(OFFSET(A$1,,,SUMPRODUCT(MAX(ROW(E$1:E12)*(E2=E$1:E12))))))</f>
        <v> </v>
      </c>
      <c r="K13" s="26" t="str">
        <f>IF(OR(E13="",E13="!!!",F13="NEW"),"",INDEX(J$1:J12,SUMPRODUCT(MAX(ROW(E$1:E12)*(E13=E$1:E12)))))</f>
        <v> </v>
      </c>
      <c r="L13" s="27"/>
    </row>
    <row r="14" spans="1:12">
      <c r="A14" s="20" t="s">
        <v>108</v>
      </c>
      <c r="E14" s="22">
        <f>IF(D14="?OLD","!!!","")</f>
        <v/>
      </c>
      <c r="F14" s="23" t="str">
        <f>IF(OR(E14="",E14="!!!"),"",IF(NOT(ISNA(VLOOKUP(E14,E$1:E13,1,FALSE()))),"OLD",IF(AND(E14&lt;&gt;"",E14&lt;&gt;"!!!"),"NEW","")))</f>
        <v> </v>
      </c>
      <c r="G14" s="24" t="str">
        <f>IF(OR(E14="",E14="!!!"),"",IF(OR(J14=0,AND(J14=1,K14=1),AND(J14=1,I14="SBJ"),AND(J14=1,I14=0)),"?IN_FOCUS",IF(J14&lt;=2,"?ACTIVATED",IF(J14&lt;&gt;"","?FAMILIAR",IF(F14="NEW",IF(ISNA(VLOOKUP(E14,#REF!,1,FALSE())),"?TYPE_IDENTIFIABLE","?REFERENTIAL"),"_")))))</f>
        <v> </v>
      </c>
      <c r="H14" s="25" t="str">
        <f>IF(J14&lt;&gt;1,"",IF(I14="SBJ","CB","?"))</f>
        <v> </v>
      </c>
      <c r="I14" s="26" t="str">
        <f>IF(OR(E14="",E14="!!!",F14="NEW"),"",INDEX(B13:B$2,-1+SUMPRODUCT(MAX(ROW(E13:E$2)*(E14=E13:E$2)))))</f>
        <v> </v>
      </c>
      <c r="J14" s="26" t="str">
        <f>IF(OR(E14="",E14="!!!",F14="NEW"),"",COUNTBLANK(OFFSET(A$1,,,SUMPRODUCT(MAX(ROW(E$2:E14)*(E14=E$2:E14)))))-COUNTBLANK(OFFSET(A$1,,,SUMPRODUCT(MAX(ROW(E$1:E13)*(E2=E$1:E13))))))</f>
        <v> </v>
      </c>
      <c r="K14" s="26" t="str">
        <f>IF(OR(E14="",E14="!!!",F14="NEW"),"",INDEX(J$1:J13,SUMPRODUCT(MAX(ROW(E$1:E13)*(E14=E$1:E13)))))</f>
        <v> </v>
      </c>
      <c r="L14" s="27"/>
    </row>
    <row r="15" spans="1:12">
      <c r="A15" s="20" t="s">
        <v>27</v>
      </c>
      <c r="E15" s="22">
        <f>IF(D15="?OLD","!!!","")</f>
        <v/>
      </c>
      <c r="F15" s="23" t="str">
        <f>IF(OR(E15="",E15="!!!"),"",IF(NOT(ISNA(VLOOKUP(E15,E$1:E14,1,FALSE()))),"OLD",IF(AND(E15&lt;&gt;"",E15&lt;&gt;"!!!"),"NEW","")))</f>
        <v> </v>
      </c>
      <c r="G15" s="24" t="str">
        <f>IF(OR(E15="",E15="!!!"),"",IF(OR(J15=0,AND(J15=1,K15=1),AND(J15=1,I15="SBJ"),AND(J15=1,I15=0)),"?IN_FOCUS",IF(J15&lt;=2,"?ACTIVATED",IF(J15&lt;&gt;"","?FAMILIAR",IF(F15="NEW",IF(ISNA(VLOOKUP(E15,#REF!,1,FALSE())),"?TYPE_IDENTIFIABLE","?REFERENTIAL"),"_")))))</f>
        <v> </v>
      </c>
      <c r="H15" s="25" t="str">
        <f>IF(J15&lt;&gt;1,"",IF(I15="SBJ","CB","?"))</f>
        <v> </v>
      </c>
      <c r="I15" s="26" t="str">
        <f>IF(OR(E15="",E15="!!!",F15="NEW"),"",INDEX(B14:B$2,-1+SUMPRODUCT(MAX(ROW(E14:E$2)*(E15=E14:E$2)))))</f>
        <v> </v>
      </c>
      <c r="J15" s="26" t="str">
        <f>IF(OR(E15="",E15="!!!",F15="NEW"),"",COUNTBLANK(OFFSET(A$1,,,SUMPRODUCT(MAX(ROW(E$2:E15)*(E15=E$2:E15)))))-COUNTBLANK(OFFSET(A$1,,,SUMPRODUCT(MAX(ROW(E$1:E14)*(E2=E$1:E14))))))</f>
        <v> </v>
      </c>
      <c r="K15" s="26" t="str">
        <f>IF(OR(E15="",E15="!!!",F15="NEW"),"",INDEX(J$1:J14,SUMPRODUCT(MAX(ROW(E$1:E14)*(E15=E$1:E14)))))</f>
        <v> </v>
      </c>
      <c r="L15" s="27"/>
    </row>
    <row r="16" spans="1:12">
      <c r="A16" s="20"/>
    </row>
    <row r="17" spans="1:12">
      <c r="A17" s="20" t="s">
        <v>109</v>
      </c>
    </row>
    <row r="18" spans="1:12">
      <c r="A18" s="20" t="s">
        <v>110</v>
      </c>
      <c r="E18" s="22">
        <f>IF(D18="?OLD","!!!","")</f>
        <v/>
      </c>
      <c r="F18" s="23" t="str">
        <f>IF(OR(E18="",E18="!!!"),"",IF(NOT(ISNA(VLOOKUP(E18,E$1:E17,1,FALSE()))),"OLD",IF(AND(E18&lt;&gt;"",E18&lt;&gt;"!!!"),"NEW","")))</f>
        <v> </v>
      </c>
      <c r="G18" s="24" t="str">
        <f>IF(OR(E18="",E18="!!!"),"",IF(OR(J18=0,AND(J18=1,K18=1),AND(J18=1,I18="SBJ"),AND(J18=1,I18=0)),"?IN_FOCUS",IF(J18&lt;=2,"?ACTIVATED",IF(J18&lt;&gt;"","?FAMILIAR",IF(F18="NEW",IF(ISNA(VLOOKUP(E18,#REF!,1,FALSE())),"?TYPE_IDENTIFIABLE","?REFERENTIAL"),"_")))))</f>
        <v> </v>
      </c>
      <c r="H18" s="25" t="str">
        <f>IF(J18&lt;&gt;1,"",IF(I18="SBJ","CB","?"))</f>
        <v> </v>
      </c>
      <c r="I18" s="26" t="str">
        <f>IF(OR(E18="",E18="!!!",F18="NEW"),"",INDEX(B17:B$2,-1+SUMPRODUCT(MAX(ROW(E17:E$2)*(E18=E17:E$2)))))</f>
        <v> </v>
      </c>
      <c r="J18" s="26" t="str">
        <f>IF(OR(E18="",E18="!!!",F18="NEW"),"",COUNTBLANK(OFFSET(A$1,,,SUMPRODUCT(MAX(ROW(E$2:E18)*(E18=E$2:E18)))))-COUNTBLANK(OFFSET(A$1,,,SUMPRODUCT(MAX(ROW(E$1:E17)*(E2=E$1:E17))))))</f>
        <v> </v>
      </c>
      <c r="K18" s="26" t="str">
        <f>IF(OR(E18="",E18="!!!",F18="NEW"),"",INDEX(J$1:J17,SUMPRODUCT(MAX(ROW(E$1:E17)*(E18=E$1:E17)))))</f>
        <v> </v>
      </c>
      <c r="L18" s="27"/>
    </row>
    <row r="19" spans="1:12">
      <c r="A19" s="20" t="s">
        <v>111</v>
      </c>
      <c r="B19" s="21" t="s">
        <v>91</v>
      </c>
      <c r="C19" s="21" t="s">
        <v>112</v>
      </c>
      <c r="D19" s="21" t="s">
        <v>102</v>
      </c>
      <c r="E19" s="22">
        <f>IF(D19="?OLD","!!!","")</f>
        <v/>
      </c>
      <c r="F19" s="23" t="str">
        <f>IF(OR(E19="",E19="!!!"),"",IF(NOT(ISNA(VLOOKUP(E19,E$1:E18,1,FALSE()))),"OLD",IF(AND(E19&lt;&gt;"",E19&lt;&gt;"!!!"),"NEW","")))</f>
        <v> </v>
      </c>
      <c r="G19" s="24" t="str">
        <f>IF(OR(E19="",E19="!!!"),"",IF(OR(J19=0,AND(J19=1,K19=1),AND(J19=1,I19="SBJ"),AND(J19=1,I19=0)),"?IN_FOCUS",IF(J19&lt;=2,"?ACTIVATED",IF(J19&lt;&gt;"","?FAMILIAR",IF(F19="NEW",IF(ISNA(VLOOKUP(E19,#REF!,1,FALSE())),"?TYPE_IDENTIFIABLE","?REFERENTIAL"),"_")))))</f>
        <v> </v>
      </c>
      <c r="H19" s="25" t="str">
        <f>IF(J19&lt;&gt;1,"",IF(I19="SBJ","CB","?"))</f>
        <v> </v>
      </c>
      <c r="I19" s="26" t="str">
        <f>IF(OR(E19="",E19="!!!",F19="NEW"),"",INDEX(B18:B$2,-1+SUMPRODUCT(MAX(ROW(E18:E$2)*(E19=E18:E$2)))))</f>
        <v> </v>
      </c>
      <c r="J19" s="26" t="str">
        <f>IF(OR(E19="",E19="!!!",F19="NEW"),"",COUNTBLANK(OFFSET(A$1,,,SUMPRODUCT(MAX(ROW(E$2:E19)*(E19=E$2:E19)))))-COUNTBLANK(OFFSET(A$1,,,SUMPRODUCT(MAX(ROW(E$1:E18)*(E2=E$1:E18))))))</f>
        <v> </v>
      </c>
      <c r="K19" s="26" t="str">
        <f>IF(OR(E19="",E19="!!!",F19="NEW"),"",INDEX(J$1:J18,SUMPRODUCT(MAX(ROW(E$1:E18)*(E19=E$1:E18)))))</f>
        <v> </v>
      </c>
      <c r="L19" s="27"/>
    </row>
    <row r="20" spans="1:12">
      <c r="A20" s="20" t="s">
        <v>113</v>
      </c>
      <c r="E20" s="22">
        <f>IF(D20="?OLD","!!!","")</f>
        <v/>
      </c>
      <c r="F20" s="23" t="str">
        <f>IF(OR(E20="",E20="!!!"),"",IF(NOT(ISNA(VLOOKUP(E20,E$1:E19,1,FALSE()))),"OLD",IF(AND(E20&lt;&gt;"",E20&lt;&gt;"!!!"),"NEW","")))</f>
        <v> </v>
      </c>
      <c r="G20" s="24" t="str">
        <f>IF(OR(E20="",E20="!!!"),"",IF(OR(J20=0,AND(J20=1,K20=1),AND(J20=1,I20="SBJ"),AND(J20=1,I20=0)),"?IN_FOCUS",IF(J20&lt;=2,"?ACTIVATED",IF(J20&lt;&gt;"","?FAMILIAR",IF(F20="NEW",IF(ISNA(VLOOKUP(E20,#REF!,1,FALSE())),"?TYPE_IDENTIFIABLE","?REFERENTIAL"),"_")))))</f>
        <v> </v>
      </c>
      <c r="H20" s="25" t="str">
        <f>IF(J20&lt;&gt;1,"",IF(I20="SBJ","CB","?"))</f>
        <v> </v>
      </c>
      <c r="I20" s="26" t="str">
        <f>IF(OR(E20="",E20="!!!",F20="NEW"),"",INDEX(B19:B$2,-1+SUMPRODUCT(MAX(ROW(E19:E$2)*(E20=E19:E$2)))))</f>
        <v> </v>
      </c>
      <c r="J20" s="26" t="str">
        <f>IF(OR(E20="",E20="!!!",F20="NEW"),"",COUNTBLANK(OFFSET(A$1,,,SUMPRODUCT(MAX(ROW(E$2:E20)*(E20=E$2:E20)))))-COUNTBLANK(OFFSET(A$1,,,SUMPRODUCT(MAX(ROW(E$1:E19)*(E2=E$1:E19))))))</f>
        <v> </v>
      </c>
      <c r="K20" s="26" t="str">
        <f>IF(OR(E20="",E20="!!!",F20="NEW"),"",INDEX(J$1:J19,SUMPRODUCT(MAX(ROW(E$1:E19)*(E20=E$1:E19)))))</f>
        <v> </v>
      </c>
      <c r="L20" s="27"/>
    </row>
    <row r="21" spans="1:12">
      <c r="A21" s="20" t="s">
        <v>114</v>
      </c>
      <c r="E21" s="22">
        <f>IF(D21="?OLD","!!!","")</f>
        <v/>
      </c>
      <c r="F21" s="23" t="str">
        <f>IF(OR(E21="",E21="!!!"),"",IF(NOT(ISNA(VLOOKUP(E21,E$1:E20,1,FALSE()))),"OLD",IF(AND(E21&lt;&gt;"",E21&lt;&gt;"!!!"),"NEW","")))</f>
        <v> </v>
      </c>
      <c r="G21" s="24" t="str">
        <f>IF(OR(E21="",E21="!!!"),"",IF(OR(J21=0,AND(J21=1,K21=1),AND(J21=1,I21="SBJ"),AND(J21=1,I21=0)),"?IN_FOCUS",IF(J21&lt;=2,"?ACTIVATED",IF(J21&lt;&gt;"","?FAMILIAR",IF(F21="NEW",IF(ISNA(VLOOKUP(E21,#REF!,1,FALSE())),"?TYPE_IDENTIFIABLE","?REFERENTIAL"),"_")))))</f>
        <v> </v>
      </c>
      <c r="H21" s="25" t="str">
        <f>IF(J21&lt;&gt;1,"",IF(I21="SBJ","CB","?"))</f>
        <v> </v>
      </c>
      <c r="I21" s="26" t="str">
        <f>IF(OR(E21="",E21="!!!",F21="NEW"),"",INDEX(B20:B$2,-1+SUMPRODUCT(MAX(ROW(E20:E$2)*(E21=E20:E$2)))))</f>
        <v> </v>
      </c>
      <c r="J21" s="26" t="str">
        <f>IF(OR(E21="",E21="!!!",F21="NEW"),"",COUNTBLANK(OFFSET(A$1,,,SUMPRODUCT(MAX(ROW(E$2:E21)*(E21=E$2:E21)))))-COUNTBLANK(OFFSET(A$1,,,SUMPRODUCT(MAX(ROW(E$1:E20)*(E2=E$1:E20))))))</f>
        <v> </v>
      </c>
      <c r="K21" s="26" t="str">
        <f>IF(OR(E21="",E21="!!!",F21="NEW"),"",INDEX(J$1:J20,SUMPRODUCT(MAX(ROW(E$1:E20)*(E21=E$1:E20)))))</f>
        <v> </v>
      </c>
      <c r="L21" s="27"/>
    </row>
    <row r="22" spans="1:12">
      <c r="A22" s="20" t="s">
        <v>97</v>
      </c>
      <c r="E22" s="22">
        <f>IF(D22="?OLD","!!!","")</f>
        <v/>
      </c>
      <c r="F22" s="23" t="str">
        <f>IF(OR(E22="",E22="!!!"),"",IF(NOT(ISNA(VLOOKUP(E22,E$1:E21,1,FALSE()))),"OLD",IF(AND(E22&lt;&gt;"",E22&lt;&gt;"!!!"),"NEW","")))</f>
        <v> </v>
      </c>
      <c r="G22" s="24" t="str">
        <f>IF(OR(E22="",E22="!!!"),"",IF(OR(J22=0,AND(J22=1,K22=1),AND(J22=1,I22="SBJ"),AND(J22=1,I22=0)),"?IN_FOCUS",IF(J22&lt;=2,"?ACTIVATED",IF(J22&lt;&gt;"","?FAMILIAR",IF(F22="NEW",IF(ISNA(VLOOKUP(E22,#REF!,1,FALSE())),"?TYPE_IDENTIFIABLE","?REFERENTIAL"),"_")))))</f>
        <v> </v>
      </c>
      <c r="H22" s="25" t="str">
        <f>IF(J22&lt;&gt;1,"",IF(I22="SBJ","CB","?"))</f>
        <v> </v>
      </c>
      <c r="I22" s="26" t="str">
        <f>IF(OR(E22="",E22="!!!",F22="NEW"),"",INDEX(B21:B$2,-1+SUMPRODUCT(MAX(ROW(E21:E$2)*(E22=E21:E$2)))))</f>
        <v> </v>
      </c>
      <c r="J22" s="26" t="str">
        <f>IF(OR(E22="",E22="!!!",F22="NEW"),"",COUNTBLANK(OFFSET(A$1,,,SUMPRODUCT(MAX(ROW(E$2:E22)*(E22=E$2:E22)))))-COUNTBLANK(OFFSET(A$1,,,SUMPRODUCT(MAX(ROW(E$1:E21)*(E2=E$1:E21))))))</f>
        <v> </v>
      </c>
      <c r="K22" s="26" t="str">
        <f>IF(OR(E22="",E22="!!!",F22="NEW"),"",INDEX(J$1:J21,SUMPRODUCT(MAX(ROW(E$1:E21)*(E22=E$1:E21)))))</f>
        <v> </v>
      </c>
      <c r="L22" s="27"/>
    </row>
    <row r="23" spans="1:12">
      <c r="A23" s="20" t="s">
        <v>115</v>
      </c>
      <c r="E23" s="22">
        <f>IF(D23="?OLD","!!!","")</f>
        <v/>
      </c>
      <c r="F23" s="23" t="str">
        <f>IF(OR(E23="",E23="!!!"),"",IF(NOT(ISNA(VLOOKUP(E23,E$1:E22,1,FALSE()))),"OLD",IF(AND(E23&lt;&gt;"",E23&lt;&gt;"!!!"),"NEW","")))</f>
        <v> </v>
      </c>
      <c r="G23" s="24" t="str">
        <f>IF(OR(E23="",E23="!!!"),"",IF(OR(J23=0,AND(J23=1,K23=1),AND(J23=1,I23="SBJ"),AND(J23=1,I23=0)),"?IN_FOCUS",IF(J23&lt;=2,"?ACTIVATED",IF(J23&lt;&gt;"","?FAMILIAR",IF(F23="NEW",IF(ISNA(VLOOKUP(E23,#REF!,1,FALSE())),"?TYPE_IDENTIFIABLE","?REFERENTIAL"),"_")))))</f>
        <v> </v>
      </c>
      <c r="H23" s="25" t="str">
        <f>IF(J23&lt;&gt;1,"",IF(I23="SBJ","CB","?"))</f>
        <v> </v>
      </c>
      <c r="I23" s="26" t="str">
        <f>IF(OR(E23="",E23="!!!",F23="NEW"),"",INDEX(B22:B$2,-1+SUMPRODUCT(MAX(ROW(E22:E$2)*(E23=E22:E$2)))))</f>
        <v> </v>
      </c>
      <c r="J23" s="26" t="str">
        <f>IF(OR(E23="",E23="!!!",F23="NEW"),"",COUNTBLANK(OFFSET(A$1,,,SUMPRODUCT(MAX(ROW(E$2:E23)*(E23=E$2:E23)))))-COUNTBLANK(OFFSET(A$1,,,SUMPRODUCT(MAX(ROW(E$1:E22)*(E2=E$1:E22))))))</f>
        <v> </v>
      </c>
      <c r="K23" s="26" t="str">
        <f>IF(OR(E23="",E23="!!!",F23="NEW"),"",INDEX(J$1:J22,SUMPRODUCT(MAX(ROW(E$1:E22)*(E23=E$1:E22)))))</f>
        <v> </v>
      </c>
      <c r="L23" s="27"/>
    </row>
    <row r="24" spans="1:12">
      <c r="A24" s="20" t="s">
        <v>116</v>
      </c>
      <c r="B24" s="21" t="s">
        <v>107</v>
      </c>
      <c r="C24" s="21" t="s">
        <v>112</v>
      </c>
      <c r="D24" s="21" t="s">
        <v>102</v>
      </c>
      <c r="E24" s="22">
        <f>IF(D24="?OLD","!!!","")</f>
        <v/>
      </c>
      <c r="F24" s="23" t="str">
        <f>IF(OR(E24="",E24="!!!"),"",IF(NOT(ISNA(VLOOKUP(E24,E$1:E23,1,FALSE()))),"OLD",IF(AND(E24&lt;&gt;"",E24&lt;&gt;"!!!"),"NEW","")))</f>
        <v> </v>
      </c>
      <c r="G24" s="24" t="str">
        <f>IF(OR(E24="",E24="!!!"),"",IF(OR(J24=0,AND(J24=1,K24=1),AND(J24=1,I24="SBJ"),AND(J24=1,I24=0)),"?IN_FOCUS",IF(J24&lt;=2,"?ACTIVATED",IF(J24&lt;&gt;"","?FAMILIAR",IF(F24="NEW",IF(ISNA(VLOOKUP(E24,#REF!,1,FALSE())),"?TYPE_IDENTIFIABLE","?REFERENTIAL"),"_")))))</f>
        <v> </v>
      </c>
      <c r="H24" s="25" t="str">
        <f>IF(J24&lt;&gt;1,"",IF(I24="SBJ","CB","?"))</f>
        <v> </v>
      </c>
      <c r="I24" s="26" t="str">
        <f>IF(OR(E24="",E24="!!!",F24="NEW"),"",INDEX(B23:B$2,-1+SUMPRODUCT(MAX(ROW(E23:E$2)*(E24=E23:E$2)))))</f>
        <v> </v>
      </c>
      <c r="J24" s="26" t="str">
        <f>IF(OR(E24="",E24="!!!",F24="NEW"),"",COUNTBLANK(OFFSET(A$1,,,SUMPRODUCT(MAX(ROW(E$2:E24)*(E24=E$2:E24)))))-COUNTBLANK(OFFSET(A$1,,,SUMPRODUCT(MAX(ROW(E$1:E23)*(E2=E$1:E23))))))</f>
        <v> </v>
      </c>
      <c r="K24" s="26" t="str">
        <f>IF(OR(E24="",E24="!!!",F24="NEW"),"",INDEX(J$1:J23,SUMPRODUCT(MAX(ROW(E$1:E23)*(E24=E$1:E23)))))</f>
        <v> </v>
      </c>
      <c r="L24" s="27"/>
    </row>
    <row r="25" spans="1:12">
      <c r="A25" s="20" t="s">
        <v>117</v>
      </c>
      <c r="E25" s="22">
        <f>IF(D25="?OLD","!!!","")</f>
        <v/>
      </c>
      <c r="F25" s="23" t="str">
        <f>IF(OR(E25="",E25="!!!"),"",IF(NOT(ISNA(VLOOKUP(E25,E$1:E24,1,FALSE()))),"OLD",IF(AND(E25&lt;&gt;"",E25&lt;&gt;"!!!"),"NEW","")))</f>
        <v> </v>
      </c>
      <c r="G25" s="24" t="str">
        <f>IF(OR(E25="",E25="!!!"),"",IF(OR(J25=0,AND(J25=1,K25=1),AND(J25=1,I25="SBJ"),AND(J25=1,I25=0)),"?IN_FOCUS",IF(J25&lt;=2,"?ACTIVATED",IF(J25&lt;&gt;"","?FAMILIAR",IF(F25="NEW",IF(ISNA(VLOOKUP(E25,#REF!,1,FALSE())),"?TYPE_IDENTIFIABLE","?REFERENTIAL"),"_")))))</f>
        <v> </v>
      </c>
      <c r="H25" s="25" t="str">
        <f>IF(J25&lt;&gt;1,"",IF(I25="SBJ","CB","?"))</f>
        <v> </v>
      </c>
      <c r="I25" s="26" t="str">
        <f>IF(OR(E25="",E25="!!!",F25="NEW"),"",INDEX(B24:B$2,-1+SUMPRODUCT(MAX(ROW(E24:E$2)*(E25=E24:E$2)))))</f>
        <v> </v>
      </c>
      <c r="J25" s="26" t="str">
        <f>IF(OR(E25="",E25="!!!",F25="NEW"),"",COUNTBLANK(OFFSET(A$1,,,SUMPRODUCT(MAX(ROW(E$2:E25)*(E25=E$2:E25)))))-COUNTBLANK(OFFSET(A$1,,,SUMPRODUCT(MAX(ROW(E$1:E24)*(E2=E$1:E24))))))</f>
        <v> </v>
      </c>
      <c r="K25" s="26" t="str">
        <f>IF(OR(E25="",E25="!!!",F25="NEW"),"",INDEX(J$1:J24,SUMPRODUCT(MAX(ROW(E$1:E24)*(E25=E$1:E24)))))</f>
        <v> </v>
      </c>
      <c r="L25" s="27"/>
    </row>
    <row r="26" spans="1:12">
      <c r="A26" s="20" t="s">
        <v>118</v>
      </c>
      <c r="E26" s="22">
        <f>IF(D26="?OLD","!!!","")</f>
        <v/>
      </c>
      <c r="F26" s="23" t="str">
        <f>IF(OR(E26="",E26="!!!"),"",IF(NOT(ISNA(VLOOKUP(E26,E$1:E25,1,FALSE()))),"OLD",IF(AND(E26&lt;&gt;"",E26&lt;&gt;"!!!"),"NEW","")))</f>
        <v> </v>
      </c>
      <c r="G26" s="24" t="str">
        <f>IF(OR(E26="",E26="!!!"),"",IF(OR(J26=0,AND(J26=1,K26=1),AND(J26=1,I26="SBJ"),AND(J26=1,I26=0)),"?IN_FOCUS",IF(J26&lt;=2,"?ACTIVATED",IF(J26&lt;&gt;"","?FAMILIAR",IF(F26="NEW",IF(ISNA(VLOOKUP(E26,#REF!,1,FALSE())),"?TYPE_IDENTIFIABLE","?REFERENTIAL"),"_")))))</f>
        <v> </v>
      </c>
      <c r="H26" s="25" t="str">
        <f>IF(J26&lt;&gt;1,"",IF(I26="SBJ","CB","?"))</f>
        <v> </v>
      </c>
      <c r="I26" s="26" t="str">
        <f>IF(OR(E26="",E26="!!!",F26="NEW"),"",INDEX(B25:B$2,-1+SUMPRODUCT(MAX(ROW(E25:E$2)*(E26=E25:E$2)))))</f>
        <v> </v>
      </c>
      <c r="J26" s="26" t="str">
        <f>IF(OR(E26="",E26="!!!",F26="NEW"),"",COUNTBLANK(OFFSET(A$1,,,SUMPRODUCT(MAX(ROW(E$2:E26)*(E26=E$2:E26)))))-COUNTBLANK(OFFSET(A$1,,,SUMPRODUCT(MAX(ROW(E$1:E25)*(E2=E$1:E25))))))</f>
        <v> </v>
      </c>
      <c r="K26" s="26" t="str">
        <f>IF(OR(E26="",E26="!!!",F26="NEW"),"",INDEX(J$1:J25,SUMPRODUCT(MAX(ROW(E$1:E25)*(E26=E$1:E25)))))</f>
        <v> </v>
      </c>
      <c r="L26" s="27"/>
    </row>
    <row r="27" spans="1:12">
      <c r="A27" s="20" t="s">
        <v>119</v>
      </c>
      <c r="B27" s="21" t="s">
        <v>120</v>
      </c>
      <c r="C27" s="21" t="s">
        <v>112</v>
      </c>
      <c r="D27" s="21" t="s">
        <v>102</v>
      </c>
      <c r="E27" s="22">
        <f>IF(D27="?OLD","!!!","")</f>
        <v/>
      </c>
      <c r="F27" s="23" t="str">
        <f>IF(OR(E27="",E27="!!!"),"",IF(NOT(ISNA(VLOOKUP(E27,E$1:E26,1,FALSE()))),"OLD",IF(AND(E27&lt;&gt;"",E27&lt;&gt;"!!!"),"NEW","")))</f>
        <v> </v>
      </c>
      <c r="G27" s="24" t="str">
        <f>IF(OR(E27="",E27="!!!"),"",IF(OR(J27=0,AND(J27=1,K27=1),AND(J27=1,I27="SBJ"),AND(J27=1,I27=0)),"?IN_FOCUS",IF(J27&lt;=2,"?ACTIVATED",IF(J27&lt;&gt;"","?FAMILIAR",IF(F27="NEW",IF(ISNA(VLOOKUP(E27,#REF!,1,FALSE())),"?TYPE_IDENTIFIABLE","?REFERENTIAL"),"_")))))</f>
        <v> </v>
      </c>
      <c r="H27" s="25" t="str">
        <f>IF(J27&lt;&gt;1,"",IF(I27="SBJ","CB","?"))</f>
        <v> </v>
      </c>
      <c r="I27" s="26" t="str">
        <f>IF(OR(E27="",E27="!!!",F27="NEW"),"",INDEX(B26:B$2,-1+SUMPRODUCT(MAX(ROW(E26:E$2)*(E27=E26:E$2)))))</f>
        <v> </v>
      </c>
      <c r="J27" s="26" t="str">
        <f>IF(OR(E27="",E27="!!!",F27="NEW"),"",COUNTBLANK(OFFSET(A$1,,,SUMPRODUCT(MAX(ROW(E$2:E27)*(E27=E$2:E27)))))-COUNTBLANK(OFFSET(A$1,,,SUMPRODUCT(MAX(ROW(E$1:E26)*(E2=E$1:E26))))))</f>
        <v> </v>
      </c>
      <c r="K27" s="26" t="str">
        <f>IF(OR(E27="",E27="!!!",F27="NEW"),"",INDEX(J$1:J26,SUMPRODUCT(MAX(ROW(E$1:E26)*(E27=E$1:E26)))))</f>
        <v> </v>
      </c>
      <c r="L27" s="27"/>
    </row>
    <row r="28" spans="1:12">
      <c r="A28" s="20" t="s">
        <v>121</v>
      </c>
      <c r="E28" s="22">
        <f>IF(D28="?OLD","!!!","")</f>
        <v/>
      </c>
      <c r="F28" s="23" t="str">
        <f>IF(OR(E28="",E28="!!!"),"",IF(NOT(ISNA(VLOOKUP(E28,E$1:E27,1,FALSE()))),"OLD",IF(AND(E28&lt;&gt;"",E28&lt;&gt;"!!!"),"NEW","")))</f>
        <v> </v>
      </c>
      <c r="G28" s="24" t="str">
        <f>IF(OR(E28="",E28="!!!"),"",IF(OR(J28=0,AND(J28=1,K28=1),AND(J28=1,I28="SBJ"),AND(J28=1,I28=0)),"?IN_FOCUS",IF(J28&lt;=2,"?ACTIVATED",IF(J28&lt;&gt;"","?FAMILIAR",IF(F28="NEW",IF(ISNA(VLOOKUP(E28,#REF!,1,FALSE())),"?TYPE_IDENTIFIABLE","?REFERENTIAL"),"_")))))</f>
        <v> </v>
      </c>
      <c r="H28" s="25" t="str">
        <f>IF(J28&lt;&gt;1,"",IF(I28="SBJ","CB","?"))</f>
        <v> </v>
      </c>
      <c r="I28" s="26" t="str">
        <f>IF(OR(E28="",E28="!!!",F28="NEW"),"",INDEX(B27:B$2,-1+SUMPRODUCT(MAX(ROW(E27:E$2)*(E28=E27:E$2)))))</f>
        <v> </v>
      </c>
      <c r="J28" s="26" t="str">
        <f>IF(OR(E28="",E28="!!!",F28="NEW"),"",COUNTBLANK(OFFSET(A$1,,,SUMPRODUCT(MAX(ROW(E$2:E28)*(E28=E$2:E28)))))-COUNTBLANK(OFFSET(A$1,,,SUMPRODUCT(MAX(ROW(E$1:E27)*(E2=E$1:E27))))))</f>
        <v> </v>
      </c>
      <c r="K28" s="26" t="str">
        <f>IF(OR(E28="",E28="!!!",F28="NEW"),"",INDEX(J$1:J27,SUMPRODUCT(MAX(ROW(E$1:E27)*(E28=E$1:E27)))))</f>
        <v> </v>
      </c>
      <c r="L28" s="27"/>
    </row>
    <row r="29" spans="1:12">
      <c r="A29" s="20" t="s">
        <v>122</v>
      </c>
      <c r="B29" s="21" t="s">
        <v>123</v>
      </c>
      <c r="C29" s="21" t="s">
        <v>92</v>
      </c>
      <c r="E29" s="22">
        <f>IF(D29="?OLD","!!!","")</f>
        <v/>
      </c>
      <c r="F29" s="23" t="str">
        <f>IF(OR(E29="",E29="!!!"),"",IF(NOT(ISNA(VLOOKUP(E29,E$1:E28,1,FALSE()))),"OLD",IF(AND(E29&lt;&gt;"",E29&lt;&gt;"!!!"),"NEW","")))</f>
        <v> </v>
      </c>
      <c r="G29" s="24" t="str">
        <f>IF(OR(E29="",E29="!!!"),"",IF(OR(J29=0,AND(J29=1,K29=1),AND(J29=1,I29="SBJ"),AND(J29=1,I29=0)),"?IN_FOCUS",IF(J29&lt;=2,"?ACTIVATED",IF(J29&lt;&gt;"","?FAMILIAR",IF(F29="NEW",IF(ISNA(VLOOKUP(E29,#REF!,1,FALSE())),"?TYPE_IDENTIFIABLE","?REFERENTIAL"),"_")))))</f>
        <v> </v>
      </c>
      <c r="H29" s="25" t="str">
        <f>IF(J29&lt;&gt;1,"",IF(I29="SBJ","CB","?"))</f>
        <v> </v>
      </c>
      <c r="I29" s="26" t="str">
        <f>IF(OR(E29="",E29="!!!",F29="NEW"),"",INDEX(B28:B$2,-1+SUMPRODUCT(MAX(ROW(E28:E$2)*(E29=E28:E$2)))))</f>
        <v> </v>
      </c>
      <c r="J29" s="26" t="str">
        <f>IF(OR(E29="",E29="!!!",F29="NEW"),"",COUNTBLANK(OFFSET(A$1,,,SUMPRODUCT(MAX(ROW(E$2:E29)*(E29=E$2:E29)))))-COUNTBLANK(OFFSET(A$1,,,SUMPRODUCT(MAX(ROW(E$1:E28)*(E2=E$1:E28))))))</f>
        <v> </v>
      </c>
      <c r="K29" s="26" t="str">
        <f>IF(OR(E29="",E29="!!!",F29="NEW"),"",INDEX(J$1:J28,SUMPRODUCT(MAX(ROW(E$1:E28)*(E29=E$1:E28)))))</f>
        <v> </v>
      </c>
      <c r="L29" s="27"/>
    </row>
    <row r="30" spans="1:12">
      <c r="A30" s="20" t="s">
        <v>124</v>
      </c>
      <c r="E30" s="22">
        <f>IF(D30="?OLD","!!!","")</f>
        <v/>
      </c>
      <c r="F30" s="23" t="str">
        <f>IF(OR(E30="",E30="!!!"),"",IF(NOT(ISNA(VLOOKUP(E30,E$1:E29,1,FALSE()))),"OLD",IF(AND(E30&lt;&gt;"",E30&lt;&gt;"!!!"),"NEW","")))</f>
        <v> </v>
      </c>
      <c r="G30" s="24" t="str">
        <f>IF(OR(E30="",E30="!!!"),"",IF(OR(J30=0,AND(J30=1,K30=1),AND(J30=1,I30="SBJ"),AND(J30=1,I30=0)),"?IN_FOCUS",IF(J30&lt;=2,"?ACTIVATED",IF(J30&lt;&gt;"","?FAMILIAR",IF(F30="NEW",IF(ISNA(VLOOKUP(E30,#REF!,1,FALSE())),"?TYPE_IDENTIFIABLE","?REFERENTIAL"),"_")))))</f>
        <v> </v>
      </c>
      <c r="H30" s="25" t="str">
        <f>IF(J30&lt;&gt;1,"",IF(I30="SBJ","CB","?"))</f>
        <v> </v>
      </c>
      <c r="I30" s="26" t="str">
        <f>IF(OR(E30="",E30="!!!",F30="NEW"),"",INDEX(B29:B$2,-1+SUMPRODUCT(MAX(ROW(E29:E$2)*(E30=E29:E$2)))))</f>
        <v> </v>
      </c>
      <c r="J30" s="26" t="str">
        <f>IF(OR(E30="",E30="!!!",F30="NEW"),"",COUNTBLANK(OFFSET(A$1,,,SUMPRODUCT(MAX(ROW(E$2:E30)*(E30=E$2:E30)))))-COUNTBLANK(OFFSET(A$1,,,SUMPRODUCT(MAX(ROW(E$1:E29)*(E2=E$1:E29))))))</f>
        <v> </v>
      </c>
      <c r="K30" s="26" t="str">
        <f>IF(OR(E30="",E30="!!!",F30="NEW"),"",INDEX(J$1:J29,SUMPRODUCT(MAX(ROW(E$1:E29)*(E30=E$1:E29)))))</f>
        <v> </v>
      </c>
      <c r="L30" s="27"/>
    </row>
    <row r="31" spans="1:12">
      <c r="A31" s="20" t="s">
        <v>125</v>
      </c>
      <c r="E31" s="22">
        <f>IF(D31="?OLD","!!!","")</f>
        <v/>
      </c>
      <c r="F31" s="23" t="str">
        <f>IF(OR(E31="",E31="!!!"),"",IF(NOT(ISNA(VLOOKUP(E31,E$1:E30,1,FALSE()))),"OLD",IF(AND(E31&lt;&gt;"",E31&lt;&gt;"!!!"),"NEW","")))</f>
        <v> </v>
      </c>
      <c r="G31" s="24" t="str">
        <f>IF(OR(E31="",E31="!!!"),"",IF(OR(J31=0,AND(J31=1,K31=1),AND(J31=1,I31="SBJ"),AND(J31=1,I31=0)),"?IN_FOCUS",IF(J31&lt;=2,"?ACTIVATED",IF(J31&lt;&gt;"","?FAMILIAR",IF(F31="NEW",IF(ISNA(VLOOKUP(E31,#REF!,1,FALSE())),"?TYPE_IDENTIFIABLE","?REFERENTIAL"),"_")))))</f>
        <v> </v>
      </c>
      <c r="H31" s="25" t="str">
        <f>IF(J31&lt;&gt;1,"",IF(I31="SBJ","CB","?"))</f>
        <v> </v>
      </c>
      <c r="I31" s="26" t="str">
        <f>IF(OR(E31="",E31="!!!",F31="NEW"),"",INDEX(B30:B$2,-1+SUMPRODUCT(MAX(ROW(E30:E$2)*(E31=E30:E$2)))))</f>
        <v> </v>
      </c>
      <c r="J31" s="26" t="str">
        <f>IF(OR(E31="",E31="!!!",F31="NEW"),"",COUNTBLANK(OFFSET(A$1,,,SUMPRODUCT(MAX(ROW(E$2:E31)*(E31=E$2:E31)))))-COUNTBLANK(OFFSET(A$1,,,SUMPRODUCT(MAX(ROW(E$1:E30)*(E2=E$1:E30))))))</f>
        <v> </v>
      </c>
      <c r="K31" s="26" t="str">
        <f>IF(OR(E31="",E31="!!!",F31="NEW"),"",INDEX(J$1:J30,SUMPRODUCT(MAX(ROW(E$1:E30)*(E31=E$1:E30)))))</f>
        <v> </v>
      </c>
      <c r="L31" s="27"/>
    </row>
    <row r="32" spans="1:12">
      <c r="A32" s="20" t="s">
        <v>126</v>
      </c>
      <c r="B32" s="21" t="s">
        <v>127</v>
      </c>
      <c r="C32" s="21" t="s">
        <v>128</v>
      </c>
      <c r="E32" s="22">
        <f>IF(D32="?OLD","!!!","")</f>
        <v/>
      </c>
      <c r="F32" s="23" t="str">
        <f>IF(OR(E32="",E32="!!!"),"",IF(NOT(ISNA(VLOOKUP(E32,E$1:E31,1,FALSE()))),"OLD",IF(AND(E32&lt;&gt;"",E32&lt;&gt;"!!!"),"NEW","")))</f>
        <v> </v>
      </c>
      <c r="G32" s="24" t="str">
        <f>IF(OR(E32="",E32="!!!"),"",IF(OR(J32=0,AND(J32=1,K32=1),AND(J32=1,I32="SBJ"),AND(J32=1,I32=0)),"?IN_FOCUS",IF(J32&lt;=2,"?ACTIVATED",IF(J32&lt;&gt;"","?FAMILIAR",IF(F32="NEW",IF(ISNA(VLOOKUP(E32,#REF!,1,FALSE())),"?TYPE_IDENTIFIABLE","?REFERENTIAL"),"_")))))</f>
        <v> </v>
      </c>
      <c r="H32" s="25" t="str">
        <f>IF(J32&lt;&gt;1,"",IF(I32="SBJ","CB","?"))</f>
        <v> </v>
      </c>
      <c r="I32" s="26" t="str">
        <f>IF(OR(E32="",E32="!!!",F32="NEW"),"",INDEX(B31:B$2,-1+SUMPRODUCT(MAX(ROW(E31:E$2)*(E32=E31:E$2)))))</f>
        <v> </v>
      </c>
      <c r="J32" s="26" t="str">
        <f>IF(OR(E32="",E32="!!!",F32="NEW"),"",COUNTBLANK(OFFSET(A$1,,,SUMPRODUCT(MAX(ROW(E$2:E32)*(E32=E$2:E32)))))-COUNTBLANK(OFFSET(A$1,,,SUMPRODUCT(MAX(ROW(E$1:E31)*(E2=E$1:E31))))))</f>
        <v> </v>
      </c>
      <c r="K32" s="26" t="str">
        <f>IF(OR(E32="",E32="!!!",F32="NEW"),"",INDEX(J$1:J31,SUMPRODUCT(MAX(ROW(E$1:E31)*(E32=E$1:E31)))))</f>
        <v> </v>
      </c>
      <c r="L32" s="27"/>
    </row>
    <row r="33" spans="1:12">
      <c r="A33" s="20" t="s">
        <v>129</v>
      </c>
      <c r="E33" s="22">
        <f>IF(D33="?OLD","!!!","")</f>
        <v/>
      </c>
      <c r="F33" s="23" t="str">
        <f>IF(OR(E33="",E33="!!!"),"",IF(NOT(ISNA(VLOOKUP(E33,E$1:E32,1,FALSE()))),"OLD",IF(AND(E33&lt;&gt;"",E33&lt;&gt;"!!!"),"NEW","")))</f>
        <v> </v>
      </c>
      <c r="G33" s="24" t="str">
        <f>IF(OR(E33="",E33="!!!"),"",IF(OR(J33=0,AND(J33=1,K33=1),AND(J33=1,I33="SBJ"),AND(J33=1,I33=0)),"?IN_FOCUS",IF(J33&lt;=2,"?ACTIVATED",IF(J33&lt;&gt;"","?FAMILIAR",IF(F33="NEW",IF(ISNA(VLOOKUP(E33,#REF!,1,FALSE())),"?TYPE_IDENTIFIABLE","?REFERENTIAL"),"_")))))</f>
        <v> </v>
      </c>
      <c r="H33" s="25" t="str">
        <f>IF(J33&lt;&gt;1,"",IF(I33="SBJ","CB","?"))</f>
        <v> </v>
      </c>
      <c r="I33" s="26" t="str">
        <f>IF(OR(E33="",E33="!!!",F33="NEW"),"",INDEX(B32:B$2,-1+SUMPRODUCT(MAX(ROW(E32:E$2)*(E33=E32:E$2)))))</f>
        <v> </v>
      </c>
      <c r="J33" s="26" t="str">
        <f>IF(OR(E33="",E33="!!!",F33="NEW"),"",COUNTBLANK(OFFSET(A$1,,,SUMPRODUCT(MAX(ROW(E$2:E33)*(E33=E$2:E33)))))-COUNTBLANK(OFFSET(A$1,,,SUMPRODUCT(MAX(ROW(E$1:E32)*(E2=E$1:E32))))))</f>
        <v> </v>
      </c>
      <c r="K33" s="26" t="str">
        <f>IF(OR(E33="",E33="!!!",F33="NEW"),"",INDEX(J$1:J32,SUMPRODUCT(MAX(ROW(E$1:E32)*(E33=E$1:E32)))))</f>
        <v> </v>
      </c>
      <c r="L33" s="27"/>
    </row>
    <row r="34" spans="1:12">
      <c r="A34" s="20" t="s">
        <v>115</v>
      </c>
      <c r="E34" s="22">
        <f>IF(D34="?OLD","!!!","")</f>
        <v/>
      </c>
      <c r="F34" s="23" t="str">
        <f>IF(OR(E34="",E34="!!!"),"",IF(NOT(ISNA(VLOOKUP(E34,E$1:E33,1,FALSE()))),"OLD",IF(AND(E34&lt;&gt;"",E34&lt;&gt;"!!!"),"NEW","")))</f>
        <v> </v>
      </c>
      <c r="G34" s="24" t="str">
        <f>IF(OR(E34="",E34="!!!"),"",IF(OR(J34=0,AND(J34=1,K34=1),AND(J34=1,I34="SBJ"),AND(J34=1,I34=0)),"?IN_FOCUS",IF(J34&lt;=2,"?ACTIVATED",IF(J34&lt;&gt;"","?FAMILIAR",IF(F34="NEW",IF(ISNA(VLOOKUP(E34,#REF!,1,FALSE())),"?TYPE_IDENTIFIABLE","?REFERENTIAL"),"_")))))</f>
        <v> </v>
      </c>
      <c r="H34" s="25" t="str">
        <f>IF(J34&lt;&gt;1,"",IF(I34="SBJ","CB","?"))</f>
        <v> </v>
      </c>
      <c r="I34" s="26" t="str">
        <f>IF(OR(E34="",E34="!!!",F34="NEW"),"",INDEX(B33:B$2,-1+SUMPRODUCT(MAX(ROW(E33:E$2)*(E34=E33:E$2)))))</f>
        <v> </v>
      </c>
      <c r="J34" s="26" t="str">
        <f>IF(OR(E34="",E34="!!!",F34="NEW"),"",COUNTBLANK(OFFSET(A$1,,,SUMPRODUCT(MAX(ROW(E$2:E34)*(E34=E$2:E34)))))-COUNTBLANK(OFFSET(A$1,,,SUMPRODUCT(MAX(ROW(E$1:E33)*(E2=E$1:E33))))))</f>
        <v> </v>
      </c>
      <c r="K34" s="26" t="str">
        <f>IF(OR(E34="",E34="!!!",F34="NEW"),"",INDEX(J$1:J33,SUMPRODUCT(MAX(ROW(E$1:E33)*(E34=E$1:E33)))))</f>
        <v> </v>
      </c>
      <c r="L34" s="27"/>
    </row>
    <row r="35" spans="1:12">
      <c r="A35" s="20" t="s">
        <v>130</v>
      </c>
      <c r="B35" s="21" t="s">
        <v>123</v>
      </c>
      <c r="C35" s="21" t="s">
        <v>131</v>
      </c>
      <c r="D35" s="21" t="s">
        <v>102</v>
      </c>
      <c r="E35" s="22">
        <f>IF(D35="?OLD","!!!","")</f>
        <v/>
      </c>
      <c r="F35" s="23" t="str">
        <f>IF(OR(E35="",E35="!!!"),"",IF(NOT(ISNA(VLOOKUP(E35,E$1:E34,1,FALSE()))),"OLD",IF(AND(E35&lt;&gt;"",E35&lt;&gt;"!!!"),"NEW","")))</f>
        <v> </v>
      </c>
      <c r="G35" s="24" t="str">
        <f>IF(OR(E35="",E35="!!!"),"",IF(OR(J35=0,AND(J35=1,K35=1),AND(J35=1,I35="SBJ"),AND(J35=1,I35=0)),"?IN_FOCUS",IF(J35&lt;=2,"?ACTIVATED",IF(J35&lt;&gt;"","?FAMILIAR",IF(F35="NEW",IF(ISNA(VLOOKUP(E35,#REF!,1,FALSE())),"?TYPE_IDENTIFIABLE","?REFERENTIAL"),"_")))))</f>
        <v> </v>
      </c>
      <c r="H35" s="25" t="str">
        <f>IF(J35&lt;&gt;1,"",IF(I35="SBJ","CB","?"))</f>
        <v> </v>
      </c>
      <c r="I35" s="26" t="str">
        <f>IF(OR(E35="",E35="!!!",F35="NEW"),"",INDEX(B34:B$2,-1+SUMPRODUCT(MAX(ROW(E34:E$2)*(E35=E34:E$2)))))</f>
        <v> </v>
      </c>
      <c r="J35" s="26" t="str">
        <f>IF(OR(E35="",E35="!!!",F35="NEW"),"",COUNTBLANK(OFFSET(A$1,,,SUMPRODUCT(MAX(ROW(E$2:E35)*(E35=E$2:E35)))))-COUNTBLANK(OFFSET(A$1,,,SUMPRODUCT(MAX(ROW(E$1:E34)*(E2=E$1:E34))))))</f>
        <v> </v>
      </c>
      <c r="K35" s="26" t="str">
        <f>IF(OR(E35="",E35="!!!",F35="NEW"),"",INDEX(J$1:J34,SUMPRODUCT(MAX(ROW(E$1:E34)*(E35=E$1:E34)))))</f>
        <v> </v>
      </c>
      <c r="L35" s="27"/>
    </row>
    <row r="36" spans="1:12">
      <c r="A36" s="20" t="s">
        <v>132</v>
      </c>
      <c r="E36" s="22">
        <f>IF(D36="?OLD","!!!","")</f>
        <v/>
      </c>
      <c r="F36" s="23" t="str">
        <f>IF(OR(E36="",E36="!!!"),"",IF(NOT(ISNA(VLOOKUP(E36,E$1:E35,1,FALSE()))),"OLD",IF(AND(E36&lt;&gt;"",E36&lt;&gt;"!!!"),"NEW","")))</f>
        <v> </v>
      </c>
      <c r="G36" s="24" t="str">
        <f>IF(OR(E36="",E36="!!!"),"",IF(OR(J36=0,AND(J36=1,K36=1),AND(J36=1,I36="SBJ"),AND(J36=1,I36=0)),"?IN_FOCUS",IF(J36&lt;=2,"?ACTIVATED",IF(J36&lt;&gt;"","?FAMILIAR",IF(F36="NEW",IF(ISNA(VLOOKUP(E36,#REF!,1,FALSE())),"?TYPE_IDENTIFIABLE","?REFERENTIAL"),"_")))))</f>
        <v> </v>
      </c>
      <c r="H36" s="25" t="str">
        <f>IF(J36&lt;&gt;1,"",IF(I36="SBJ","CB","?"))</f>
        <v> </v>
      </c>
      <c r="I36" s="26" t="str">
        <f>IF(OR(E36="",E36="!!!",F36="NEW"),"",INDEX(B35:B$2,-1+SUMPRODUCT(MAX(ROW(E35:E$2)*(E36=E35:E$2)))))</f>
        <v> </v>
      </c>
      <c r="J36" s="26" t="str">
        <f>IF(OR(E36="",E36="!!!",F36="NEW"),"",COUNTBLANK(OFFSET(A$1,,,SUMPRODUCT(MAX(ROW(E$2:E36)*(E36=E$2:E36)))))-COUNTBLANK(OFFSET(A$1,,,SUMPRODUCT(MAX(ROW(E$1:E35)*(E2=E$1:E35))))))</f>
        <v> </v>
      </c>
      <c r="K36" s="26" t="str">
        <f>IF(OR(E36="",E36="!!!",F36="NEW"),"",INDEX(J$1:J35,SUMPRODUCT(MAX(ROW(E$1:E35)*(E36=E$1:E35)))))</f>
        <v> </v>
      </c>
      <c r="L36" s="27"/>
    </row>
    <row r="37" spans="1:12">
      <c r="A37" s="20" t="s">
        <v>133</v>
      </c>
      <c r="E37" s="22">
        <f>IF(D37="?OLD","!!!","")</f>
        <v/>
      </c>
      <c r="F37" s="23" t="str">
        <f>IF(OR(E37="",E37="!!!"),"",IF(NOT(ISNA(VLOOKUP(E37,E$1:E36,1,FALSE()))),"OLD",IF(AND(E37&lt;&gt;"",E37&lt;&gt;"!!!"),"NEW","")))</f>
        <v> </v>
      </c>
      <c r="G37" s="24" t="str">
        <f>IF(OR(E37="",E37="!!!"),"",IF(OR(J37=0,AND(J37=1,K37=1),AND(J37=1,I37="SBJ"),AND(J37=1,I37=0)),"?IN_FOCUS",IF(J37&lt;=2,"?ACTIVATED",IF(J37&lt;&gt;"","?FAMILIAR",IF(F37="NEW",IF(ISNA(VLOOKUP(E37,#REF!,1,FALSE())),"?TYPE_IDENTIFIABLE","?REFERENTIAL"),"_")))))</f>
        <v> </v>
      </c>
      <c r="H37" s="25" t="str">
        <f>IF(J37&lt;&gt;1,"",IF(I37="SBJ","CB","?"))</f>
        <v> </v>
      </c>
      <c r="I37" s="26" t="str">
        <f>IF(OR(E37="",E37="!!!",F37="NEW"),"",INDEX(B36:B$2,-1+SUMPRODUCT(MAX(ROW(E36:E$2)*(E37=E36:E$2)))))</f>
        <v> </v>
      </c>
      <c r="J37" s="26" t="str">
        <f>IF(OR(E37="",E37="!!!",F37="NEW"),"",COUNTBLANK(OFFSET(A$1,,,SUMPRODUCT(MAX(ROW(E$2:E37)*(E37=E$2:E37)))))-COUNTBLANK(OFFSET(A$1,,,SUMPRODUCT(MAX(ROW(E$1:E36)*(E2=E$1:E36))))))</f>
        <v> </v>
      </c>
      <c r="K37" s="26" t="str">
        <f>IF(OR(E37="",E37="!!!",F37="NEW"),"",INDEX(J$1:J36,SUMPRODUCT(MAX(ROW(E$1:E36)*(E37=E$1:E36)))))</f>
        <v> </v>
      </c>
      <c r="L37" s="27"/>
    </row>
    <row r="38" spans="1:12">
      <c r="A38" s="20" t="s">
        <v>134</v>
      </c>
      <c r="E38" s="22">
        <f>IF(D38="?OLD","!!!","")</f>
        <v/>
      </c>
      <c r="F38" s="23" t="str">
        <f>IF(OR(E38="",E38="!!!"),"",IF(NOT(ISNA(VLOOKUP(E38,E$1:E37,1,FALSE()))),"OLD",IF(AND(E38&lt;&gt;"",E38&lt;&gt;"!!!"),"NEW","")))</f>
        <v> </v>
      </c>
      <c r="G38" s="24" t="str">
        <f>IF(OR(E38="",E38="!!!"),"",IF(OR(J38=0,AND(J38=1,K38=1),AND(J38=1,I38="SBJ"),AND(J38=1,I38=0)),"?IN_FOCUS",IF(J38&lt;=2,"?ACTIVATED",IF(J38&lt;&gt;"","?FAMILIAR",IF(F38="NEW",IF(ISNA(VLOOKUP(E38,#REF!,1,FALSE())),"?TYPE_IDENTIFIABLE","?REFERENTIAL"),"_")))))</f>
        <v> </v>
      </c>
      <c r="H38" s="25" t="str">
        <f>IF(J38&lt;&gt;1,"",IF(I38="SBJ","CB","?"))</f>
        <v> </v>
      </c>
      <c r="I38" s="26" t="str">
        <f>IF(OR(E38="",E38="!!!",F38="NEW"),"",INDEX(B37:B$2,-1+SUMPRODUCT(MAX(ROW(E37:E$2)*(E38=E37:E$2)))))</f>
        <v> </v>
      </c>
      <c r="J38" s="26" t="str">
        <f>IF(OR(E38="",E38="!!!",F38="NEW"),"",COUNTBLANK(OFFSET(A$1,,,SUMPRODUCT(MAX(ROW(E$2:E38)*(E38=E$2:E38)))))-COUNTBLANK(OFFSET(A$1,,,SUMPRODUCT(MAX(ROW(E$1:E37)*(E2=E$1:E37))))))</f>
        <v> </v>
      </c>
      <c r="K38" s="26" t="str">
        <f>IF(OR(E38="",E38="!!!",F38="NEW"),"",INDEX(J$1:J37,SUMPRODUCT(MAX(ROW(E$1:E37)*(E38=E$1:E37)))))</f>
        <v> </v>
      </c>
      <c r="L38" s="27"/>
    </row>
    <row r="39" spans="1:12">
      <c r="A39" s="20" t="s">
        <v>135</v>
      </c>
      <c r="B39" s="21" t="s">
        <v>127</v>
      </c>
      <c r="C39" s="21" t="s">
        <v>104</v>
      </c>
      <c r="D39" s="21" t="s">
        <v>102</v>
      </c>
      <c r="E39" s="22">
        <f>IF(D39="?OLD","!!!","")</f>
        <v/>
      </c>
      <c r="F39" s="23" t="str">
        <f>IF(OR(E39="",E39="!!!"),"",IF(NOT(ISNA(VLOOKUP(E39,E$1:E38,1,FALSE()))),"OLD",IF(AND(E39&lt;&gt;"",E39&lt;&gt;"!!!"),"NEW","")))</f>
        <v> </v>
      </c>
      <c r="G39" s="24" t="str">
        <f>IF(OR(E39="",E39="!!!"),"",IF(OR(J39=0,AND(J39=1,K39=1),AND(J39=1,I39="SBJ"),AND(J39=1,I39=0)),"?IN_FOCUS",IF(J39&lt;=2,"?ACTIVATED",IF(J39&lt;&gt;"","?FAMILIAR",IF(F39="NEW",IF(ISNA(VLOOKUP(E39,#REF!,1,FALSE())),"?TYPE_IDENTIFIABLE","?REFERENTIAL"),"_")))))</f>
        <v> </v>
      </c>
      <c r="H39" s="25" t="str">
        <f>IF(J39&lt;&gt;1,"",IF(I39="SBJ","CB","?"))</f>
        <v> </v>
      </c>
      <c r="I39" s="26" t="str">
        <f>IF(OR(E39="",E39="!!!",F39="NEW"),"",INDEX(B38:B$2,-1+SUMPRODUCT(MAX(ROW(E38:E$2)*(E39=E38:E$2)))))</f>
        <v> </v>
      </c>
      <c r="J39" s="26" t="str">
        <f>IF(OR(E39="",E39="!!!",F39="NEW"),"",COUNTBLANK(OFFSET(A$1,,,SUMPRODUCT(MAX(ROW(E$2:E39)*(E39=E$2:E39)))))-COUNTBLANK(OFFSET(A$1,,,SUMPRODUCT(MAX(ROW(E$1:E38)*(E2=E$1:E38))))))</f>
        <v> </v>
      </c>
      <c r="K39" s="26" t="str">
        <f>IF(OR(E39="",E39="!!!",F39="NEW"),"",INDEX(J$1:J38,SUMPRODUCT(MAX(ROW(E$1:E38)*(E39=E$1:E38)))))</f>
        <v> </v>
      </c>
      <c r="L39" s="27"/>
    </row>
    <row r="40" spans="1:12">
      <c r="A40" s="20" t="s">
        <v>136</v>
      </c>
      <c r="E40" s="22">
        <f>IF(D40="?OLD","!!!","")</f>
        <v/>
      </c>
      <c r="F40" s="23" t="str">
        <f>IF(OR(E40="",E40="!!!"),"",IF(NOT(ISNA(VLOOKUP(E40,E$1:E39,1,FALSE()))),"OLD",IF(AND(E40&lt;&gt;"",E40&lt;&gt;"!!!"),"NEW","")))</f>
        <v> </v>
      </c>
      <c r="G40" s="24" t="str">
        <f>IF(OR(E40="",E40="!!!"),"",IF(OR(J40=0,AND(J40=1,K40=1),AND(J40=1,I40="SBJ"),AND(J40=1,I40=0)),"?IN_FOCUS",IF(J40&lt;=2,"?ACTIVATED",IF(J40&lt;&gt;"","?FAMILIAR",IF(F40="NEW",IF(ISNA(VLOOKUP(E40,#REF!,1,FALSE())),"?TYPE_IDENTIFIABLE","?REFERENTIAL"),"_")))))</f>
        <v> </v>
      </c>
      <c r="H40" s="25" t="str">
        <f>IF(J40&lt;&gt;1,"",IF(I40="SBJ","CB","?"))</f>
        <v> </v>
      </c>
      <c r="I40" s="26" t="str">
        <f>IF(OR(E40="",E40="!!!",F40="NEW"),"",INDEX(B39:B$2,-1+SUMPRODUCT(MAX(ROW(E39:E$2)*(E40=E39:E$2)))))</f>
        <v> </v>
      </c>
      <c r="J40" s="26" t="str">
        <f>IF(OR(E40="",E40="!!!",F40="NEW"),"",COUNTBLANK(OFFSET(A$1,,,SUMPRODUCT(MAX(ROW(E$2:E40)*(E40=E$2:E40)))))-COUNTBLANK(OFFSET(A$1,,,SUMPRODUCT(MAX(ROW(E$1:E39)*(E2=E$1:E39))))))</f>
        <v> </v>
      </c>
      <c r="K40" s="26" t="str">
        <f>IF(OR(E40="",E40="!!!",F40="NEW"),"",INDEX(J$1:J39,SUMPRODUCT(MAX(ROW(E$1:E39)*(E40=E$1:E39)))))</f>
        <v> </v>
      </c>
      <c r="L40" s="27"/>
    </row>
    <row r="41" spans="1:12">
      <c r="A41" s="20" t="s">
        <v>137</v>
      </c>
      <c r="E41" s="22">
        <f>IF(D41="?OLD","!!!","")</f>
        <v/>
      </c>
      <c r="F41" s="23" t="str">
        <f>IF(OR(E41="",E41="!!!"),"",IF(NOT(ISNA(VLOOKUP(E41,E$1:E40,1,FALSE()))),"OLD",IF(AND(E41&lt;&gt;"",E41&lt;&gt;"!!!"),"NEW","")))</f>
        <v> </v>
      </c>
      <c r="G41" s="24" t="str">
        <f>IF(OR(E41="",E41="!!!"),"",IF(OR(J41=0,AND(J41=1,K41=1),AND(J41=1,I41="SBJ"),AND(J41=1,I41=0)),"?IN_FOCUS",IF(J41&lt;=2,"?ACTIVATED",IF(J41&lt;&gt;"","?FAMILIAR",IF(F41="NEW",IF(ISNA(VLOOKUP(E41,#REF!,1,FALSE())),"?TYPE_IDENTIFIABLE","?REFERENTIAL"),"_")))))</f>
        <v> </v>
      </c>
      <c r="H41" s="25" t="str">
        <f>IF(J41&lt;&gt;1,"",IF(I41="SBJ","CB","?"))</f>
        <v> </v>
      </c>
      <c r="I41" s="26" t="str">
        <f>IF(OR(E41="",E41="!!!",F41="NEW"),"",INDEX(B40:B$2,-1+SUMPRODUCT(MAX(ROW(E40:E$2)*(E41=E40:E$2)))))</f>
        <v> </v>
      </c>
      <c r="J41" s="26" t="str">
        <f>IF(OR(E41="",E41="!!!",F41="NEW"),"",COUNTBLANK(OFFSET(A$1,,,SUMPRODUCT(MAX(ROW(E$2:E41)*(E41=E$2:E41)))))-COUNTBLANK(OFFSET(A$1,,,SUMPRODUCT(MAX(ROW(E$1:E40)*(E2=E$1:E40))))))</f>
        <v> </v>
      </c>
      <c r="K41" s="26" t="str">
        <f>IF(OR(E41="",E41="!!!",F41="NEW"),"",INDEX(J$1:J40,SUMPRODUCT(MAX(ROW(E$1:E40)*(E41=E$1:E40)))))</f>
        <v> </v>
      </c>
      <c r="L41" s="27"/>
    </row>
    <row r="42" spans="1:12">
      <c r="A42" s="20" t="s">
        <v>138</v>
      </c>
      <c r="E42" s="22">
        <f>IF(D42="?OLD","!!!","")</f>
        <v/>
      </c>
      <c r="F42" s="23" t="str">
        <f>IF(OR(E42="",E42="!!!"),"",IF(NOT(ISNA(VLOOKUP(E42,E$1:E41,1,FALSE()))),"OLD",IF(AND(E42&lt;&gt;"",E42&lt;&gt;"!!!"),"NEW","")))</f>
        <v> </v>
      </c>
      <c r="G42" s="24" t="str">
        <f>IF(OR(E42="",E42="!!!"),"",IF(OR(J42=0,AND(J42=1,K42=1),AND(J42=1,I42="SBJ"),AND(J42=1,I42=0)),"?IN_FOCUS",IF(J42&lt;=2,"?ACTIVATED",IF(J42&lt;&gt;"","?FAMILIAR",IF(F42="NEW",IF(ISNA(VLOOKUP(E42,#REF!,1,FALSE())),"?TYPE_IDENTIFIABLE","?REFERENTIAL"),"_")))))</f>
        <v> </v>
      </c>
      <c r="H42" s="25" t="str">
        <f>IF(J42&lt;&gt;1,"",IF(I42="SBJ","CB","?"))</f>
        <v> </v>
      </c>
      <c r="I42" s="26" t="str">
        <f>IF(OR(E42="",E42="!!!",F42="NEW"),"",INDEX(B41:B$2,-1+SUMPRODUCT(MAX(ROW(E41:E$2)*(E42=E41:E$2)))))</f>
        <v> </v>
      </c>
      <c r="J42" s="26" t="str">
        <f>IF(OR(E42="",E42="!!!",F42="NEW"),"",COUNTBLANK(OFFSET(A$1,,,SUMPRODUCT(MAX(ROW(E$2:E42)*(E42=E$2:E42)))))-COUNTBLANK(OFFSET(A$1,,,SUMPRODUCT(MAX(ROW(E$1:E41)*(E2=E$1:E41))))))</f>
        <v> </v>
      </c>
      <c r="K42" s="26" t="str">
        <f>IF(OR(E42="",E42="!!!",F42="NEW"),"",INDEX(J$1:J41,SUMPRODUCT(MAX(ROW(E$1:E41)*(E42=E$1:E41)))))</f>
        <v> </v>
      </c>
      <c r="L42" s="27"/>
    </row>
    <row r="43" spans="1:12">
      <c r="A43" s="20" t="s">
        <v>97</v>
      </c>
      <c r="E43" s="22">
        <f>IF(D43="?OLD","!!!","")</f>
        <v/>
      </c>
      <c r="F43" s="23" t="str">
        <f>IF(OR(E43="",E43="!!!"),"",IF(NOT(ISNA(VLOOKUP(E43,E$1:E42,1,FALSE()))),"OLD",IF(AND(E43&lt;&gt;"",E43&lt;&gt;"!!!"),"NEW","")))</f>
        <v> </v>
      </c>
      <c r="G43" s="24" t="str">
        <f>IF(OR(E43="",E43="!!!"),"",IF(OR(J43=0,AND(J43=1,K43=1),AND(J43=1,I43="SBJ"),AND(J43=1,I43=0)),"?IN_FOCUS",IF(J43&lt;=2,"?ACTIVATED",IF(J43&lt;&gt;"","?FAMILIAR",IF(F43="NEW",IF(ISNA(VLOOKUP(E43,#REF!,1,FALSE())),"?TYPE_IDENTIFIABLE","?REFERENTIAL"),"_")))))</f>
        <v> </v>
      </c>
      <c r="H43" s="25" t="str">
        <f>IF(J43&lt;&gt;1,"",IF(I43="SBJ","CB","?"))</f>
        <v> </v>
      </c>
      <c r="I43" s="26" t="str">
        <f>IF(OR(E43="",E43="!!!",F43="NEW"),"",INDEX(B42:B$2,-1+SUMPRODUCT(MAX(ROW(E42:E$2)*(E43=E42:E$2)))))</f>
        <v> </v>
      </c>
      <c r="J43" s="26" t="str">
        <f>IF(OR(E43="",E43="!!!",F43="NEW"),"",COUNTBLANK(OFFSET(A$1,,,SUMPRODUCT(MAX(ROW(E$2:E43)*(E43=E$2:E43)))))-COUNTBLANK(OFFSET(A$1,,,SUMPRODUCT(MAX(ROW(E$1:E42)*(E2=E$1:E42))))))</f>
        <v> </v>
      </c>
      <c r="K43" s="26" t="str">
        <f>IF(OR(E43="",E43="!!!",F43="NEW"),"",INDEX(J$1:J42,SUMPRODUCT(MAX(ROW(E$1:E42)*(E43=E$1:E42)))))</f>
        <v> </v>
      </c>
      <c r="L43" s="27"/>
    </row>
    <row r="44" spans="1:12">
      <c r="A44" s="20" t="s">
        <v>139</v>
      </c>
      <c r="E44" s="22">
        <f>IF(D44="?OLD","!!!","")</f>
        <v/>
      </c>
      <c r="F44" s="23" t="str">
        <f>IF(OR(E44="",E44="!!!"),"",IF(NOT(ISNA(VLOOKUP(E44,E$1:E43,1,FALSE()))),"OLD",IF(AND(E44&lt;&gt;"",E44&lt;&gt;"!!!"),"NEW","")))</f>
        <v> </v>
      </c>
      <c r="G44" s="24" t="str">
        <f>IF(OR(E44="",E44="!!!"),"",IF(OR(J44=0,AND(J44=1,K44=1),AND(J44=1,I44="SBJ"),AND(J44=1,I44=0)),"?IN_FOCUS",IF(J44&lt;=2,"?ACTIVATED",IF(J44&lt;&gt;"","?FAMILIAR",IF(F44="NEW",IF(ISNA(VLOOKUP(E44,#REF!,1,FALSE())),"?TYPE_IDENTIFIABLE","?REFERENTIAL"),"_")))))</f>
        <v> </v>
      </c>
      <c r="H44" s="25" t="str">
        <f>IF(J44&lt;&gt;1,"",IF(I44="SBJ","CB","?"))</f>
        <v> </v>
      </c>
      <c r="I44" s="26" t="str">
        <f>IF(OR(E44="",E44="!!!",F44="NEW"),"",INDEX(B43:B$2,-1+SUMPRODUCT(MAX(ROW(E43:E$2)*(E44=E43:E$2)))))</f>
        <v> </v>
      </c>
      <c r="J44" s="26" t="str">
        <f>IF(OR(E44="",E44="!!!",F44="NEW"),"",COUNTBLANK(OFFSET(A$1,,,SUMPRODUCT(MAX(ROW(E$2:E44)*(E44=E$2:E44)))))-COUNTBLANK(OFFSET(A$1,,,SUMPRODUCT(MAX(ROW(E$1:E43)*(E2=E$1:E43))))))</f>
        <v> </v>
      </c>
      <c r="K44" s="26" t="str">
        <f>IF(OR(E44="",E44="!!!",F44="NEW"),"",INDEX(J$1:J43,SUMPRODUCT(MAX(ROW(E$1:E43)*(E44=E$1:E43)))))</f>
        <v> </v>
      </c>
      <c r="L44" s="27"/>
    </row>
    <row r="45" spans="1:12">
      <c r="A45" s="20" t="s">
        <v>140</v>
      </c>
      <c r="E45" s="22">
        <f>IF(D45="?OLD","!!!","")</f>
        <v/>
      </c>
      <c r="F45" s="23" t="str">
        <f>IF(OR(E45="",E45="!!!"),"",IF(NOT(ISNA(VLOOKUP(E45,E$1:E44,1,FALSE()))),"OLD",IF(AND(E45&lt;&gt;"",E45&lt;&gt;"!!!"),"NEW","")))</f>
        <v> </v>
      </c>
      <c r="G45" s="24" t="str">
        <f>IF(OR(E45="",E45="!!!"),"",IF(OR(J45=0,AND(J45=1,K45=1),AND(J45=1,I45="SBJ"),AND(J45=1,I45=0)),"?IN_FOCUS",IF(J45&lt;=2,"?ACTIVATED",IF(J45&lt;&gt;"","?FAMILIAR",IF(F45="NEW",IF(ISNA(VLOOKUP(E45,#REF!,1,FALSE())),"?TYPE_IDENTIFIABLE","?REFERENTIAL"),"_")))))</f>
        <v> </v>
      </c>
      <c r="H45" s="25" t="str">
        <f>IF(J45&lt;&gt;1,"",IF(I45="SBJ","CB","?"))</f>
        <v> </v>
      </c>
      <c r="I45" s="26" t="str">
        <f>IF(OR(E45="",E45="!!!",F45="NEW"),"",INDEX(B44:B$2,-1+SUMPRODUCT(MAX(ROW(E44:E$2)*(E45=E44:E$2)))))</f>
        <v> </v>
      </c>
      <c r="J45" s="26" t="str">
        <f>IF(OR(E45="",E45="!!!",F45="NEW"),"",COUNTBLANK(OFFSET(A$1,,,SUMPRODUCT(MAX(ROW(E$2:E45)*(E45=E$2:E45)))))-COUNTBLANK(OFFSET(A$1,,,SUMPRODUCT(MAX(ROW(E$1:E44)*(E2=E$1:E44))))))</f>
        <v> </v>
      </c>
      <c r="K45" s="26" t="str">
        <f>IF(OR(E45="",E45="!!!",F45="NEW"),"",INDEX(J$1:J44,SUMPRODUCT(MAX(ROW(E$1:E44)*(E45=E$1:E44)))))</f>
        <v> </v>
      </c>
      <c r="L45" s="27"/>
    </row>
    <row r="46" spans="1:12">
      <c r="A46" s="20" t="s">
        <v>141</v>
      </c>
      <c r="B46" s="21" t="s">
        <v>100</v>
      </c>
      <c r="C46" s="21" t="s">
        <v>142</v>
      </c>
      <c r="E46" s="22">
        <f>IF(D46="?OLD","!!!","")</f>
        <v/>
      </c>
      <c r="F46" s="23" t="str">
        <f>IF(OR(E46="",E46="!!!"),"",IF(NOT(ISNA(VLOOKUP(E46,E$1:E45,1,FALSE()))),"OLD",IF(AND(E46&lt;&gt;"",E46&lt;&gt;"!!!"),"NEW","")))</f>
        <v> </v>
      </c>
      <c r="G46" s="24" t="str">
        <f>IF(OR(E46="",E46="!!!"),"",IF(OR(J46=0,AND(J46=1,K46=1),AND(J46=1,I46="SBJ"),AND(J46=1,I46=0)),"?IN_FOCUS",IF(J46&lt;=2,"?ACTIVATED",IF(J46&lt;&gt;"","?FAMILIAR",IF(F46="NEW",IF(ISNA(VLOOKUP(E46,#REF!,1,FALSE())),"?TYPE_IDENTIFIABLE","?REFERENTIAL"),"_")))))</f>
        <v> </v>
      </c>
      <c r="H46" s="25" t="str">
        <f>IF(J46&lt;&gt;1,"",IF(I46="SBJ","CB","?"))</f>
        <v> </v>
      </c>
      <c r="I46" s="26" t="str">
        <f>IF(OR(E46="",E46="!!!",F46="NEW"),"",INDEX(B45:B$2,-1+SUMPRODUCT(MAX(ROW(E45:E$2)*(E46=E45:E$2)))))</f>
        <v> </v>
      </c>
      <c r="J46" s="26" t="str">
        <f>IF(OR(E46="",E46="!!!",F46="NEW"),"",COUNTBLANK(OFFSET(A$1,,,SUMPRODUCT(MAX(ROW(E$2:E46)*(E46=E$2:E46)))))-COUNTBLANK(OFFSET(A$1,,,SUMPRODUCT(MAX(ROW(E$1:E45)*(E2=E$1:E45))))))</f>
        <v> </v>
      </c>
      <c r="K46" s="26" t="str">
        <f>IF(OR(E46="",E46="!!!",F46="NEW"),"",INDEX(J$1:J45,SUMPRODUCT(MAX(ROW(E$1:E45)*(E46=E$1:E45)))))</f>
        <v> </v>
      </c>
      <c r="L46" s="27"/>
    </row>
    <row r="47" spans="1:12">
      <c r="A47" s="20" t="s">
        <v>132</v>
      </c>
      <c r="E47" s="22">
        <f>IF(D47="?OLD","!!!","")</f>
        <v/>
      </c>
      <c r="F47" s="23" t="str">
        <f>IF(OR(E47="",E47="!!!"),"",IF(NOT(ISNA(VLOOKUP(E47,E$1:E46,1,FALSE()))),"OLD",IF(AND(E47&lt;&gt;"",E47&lt;&gt;"!!!"),"NEW","")))</f>
        <v> </v>
      </c>
      <c r="G47" s="24" t="str">
        <f>IF(OR(E47="",E47="!!!"),"",IF(OR(J47=0,AND(J47=1,K47=1),AND(J47=1,I47="SBJ"),AND(J47=1,I47=0)),"?IN_FOCUS",IF(J47&lt;=2,"?ACTIVATED",IF(J47&lt;&gt;"","?FAMILIAR",IF(F47="NEW",IF(ISNA(VLOOKUP(E47,#REF!,1,FALSE())),"?TYPE_IDENTIFIABLE","?REFERENTIAL"),"_")))))</f>
        <v> </v>
      </c>
      <c r="H47" s="25" t="str">
        <f>IF(J47&lt;&gt;1,"",IF(I47="SBJ","CB","?"))</f>
        <v> </v>
      </c>
      <c r="I47" s="26" t="str">
        <f>IF(OR(E47="",E47="!!!",F47="NEW"),"",INDEX(B46:B$2,-1+SUMPRODUCT(MAX(ROW(E46:E$2)*(E47=E46:E$2)))))</f>
        <v> </v>
      </c>
      <c r="J47" s="26" t="str">
        <f>IF(OR(E47="",E47="!!!",F47="NEW"),"",COUNTBLANK(OFFSET(A$1,,,SUMPRODUCT(MAX(ROW(E$2:E47)*(E47=E$2:E47)))))-COUNTBLANK(OFFSET(A$1,,,SUMPRODUCT(MAX(ROW(E$1:E46)*(E2=E$1:E46))))))</f>
        <v> </v>
      </c>
      <c r="K47" s="26" t="str">
        <f>IF(OR(E47="",E47="!!!",F47="NEW"),"",INDEX(J$1:J46,SUMPRODUCT(MAX(ROW(E$1:E46)*(E47=E$1:E46)))))</f>
        <v> </v>
      </c>
      <c r="L47" s="27"/>
    </row>
    <row r="48" spans="1:12">
      <c r="A48" s="20" t="s">
        <v>143</v>
      </c>
      <c r="E48" s="22">
        <f>IF(D48="?OLD","!!!","")</f>
        <v/>
      </c>
      <c r="F48" s="23" t="str">
        <f>IF(OR(E48="",E48="!!!"),"",IF(NOT(ISNA(VLOOKUP(E48,E$1:E47,1,FALSE()))),"OLD",IF(AND(E48&lt;&gt;"",E48&lt;&gt;"!!!"),"NEW","")))</f>
        <v> </v>
      </c>
      <c r="G48" s="24" t="str">
        <f>IF(OR(E48="",E48="!!!"),"",IF(OR(J48=0,AND(J48=1,K48=1),AND(J48=1,I48="SBJ"),AND(J48=1,I48=0)),"?IN_FOCUS",IF(J48&lt;=2,"?ACTIVATED",IF(J48&lt;&gt;"","?FAMILIAR",IF(F48="NEW",IF(ISNA(VLOOKUP(E48,#REF!,1,FALSE())),"?TYPE_IDENTIFIABLE","?REFERENTIAL"),"_")))))</f>
        <v> </v>
      </c>
      <c r="H48" s="25" t="str">
        <f>IF(J48&lt;&gt;1,"",IF(I48="SBJ","CB","?"))</f>
        <v> </v>
      </c>
      <c r="I48" s="26" t="str">
        <f>IF(OR(E48="",E48="!!!",F48="NEW"),"",INDEX(B47:B$2,-1+SUMPRODUCT(MAX(ROW(E47:E$2)*(E48=E47:E$2)))))</f>
        <v> </v>
      </c>
      <c r="J48" s="26" t="str">
        <f>IF(OR(E48="",E48="!!!",F48="NEW"),"",COUNTBLANK(OFFSET(A$1,,,SUMPRODUCT(MAX(ROW(E$2:E48)*(E48=E$2:E48)))))-COUNTBLANK(OFFSET(A$1,,,SUMPRODUCT(MAX(ROW(E$1:E47)*(E2=E$1:E47))))))</f>
        <v> </v>
      </c>
      <c r="K48" s="26" t="str">
        <f>IF(OR(E48="",E48="!!!",F48="NEW"),"",INDEX(J$1:J47,SUMPRODUCT(MAX(ROW(E$1:E47)*(E48=E$1:E47)))))</f>
        <v> </v>
      </c>
      <c r="L48" s="27"/>
    </row>
    <row r="49" spans="1:12">
      <c r="A49" s="20" t="s">
        <v>90</v>
      </c>
      <c r="B49" s="21" t="s">
        <v>144</v>
      </c>
      <c r="C49" s="21" t="s">
        <v>145</v>
      </c>
      <c r="D49" s="21" t="s">
        <v>102</v>
      </c>
      <c r="E49" s="22">
        <f>IF(D49="?OLD","!!!","")</f>
        <v/>
      </c>
      <c r="F49" s="23" t="str">
        <f>IF(OR(E49="",E49="!!!"),"",IF(NOT(ISNA(VLOOKUP(E49,E$1:E48,1,FALSE()))),"OLD",IF(AND(E49&lt;&gt;"",E49&lt;&gt;"!!!"),"NEW","")))</f>
        <v> </v>
      </c>
      <c r="G49" s="24" t="str">
        <f>IF(OR(E49="",E49="!!!"),"",IF(OR(J49=0,AND(J49=1,K49=1),AND(J49=1,I49="SBJ"),AND(J49=1,I49=0)),"?IN_FOCUS",IF(J49&lt;=2,"?ACTIVATED",IF(J49&lt;&gt;"","?FAMILIAR",IF(F49="NEW",IF(ISNA(VLOOKUP(E49,#REF!,1,FALSE())),"?TYPE_IDENTIFIABLE","?REFERENTIAL"),"_")))))</f>
        <v> </v>
      </c>
      <c r="H49" s="25" t="str">
        <f>IF(J49&lt;&gt;1,"",IF(I49="SBJ","CB","?"))</f>
        <v> </v>
      </c>
      <c r="I49" s="26" t="str">
        <f>IF(OR(E49="",E49="!!!",F49="NEW"),"",INDEX(B48:B$2,-1+SUMPRODUCT(MAX(ROW(E48:E$2)*(E49=E48:E$2)))))</f>
        <v> </v>
      </c>
      <c r="J49" s="26" t="str">
        <f>IF(OR(E49="",E49="!!!",F49="NEW"),"",COUNTBLANK(OFFSET(A$1,,,SUMPRODUCT(MAX(ROW(E$2:E49)*(E49=E$2:E49)))))-COUNTBLANK(OFFSET(A$1,,,SUMPRODUCT(MAX(ROW(E$1:E48)*(E2=E$1:E48))))))</f>
        <v> </v>
      </c>
      <c r="K49" s="26" t="str">
        <f>IF(OR(E49="",E49="!!!",F49="NEW"),"",INDEX(J$1:J48,SUMPRODUCT(MAX(ROW(E$1:E48)*(E49=E$1:E48)))))</f>
        <v> </v>
      </c>
      <c r="L49" s="27"/>
    </row>
    <row r="50" spans="1:12">
      <c r="A50" s="20" t="s">
        <v>97</v>
      </c>
      <c r="E50" s="22">
        <f>IF(D50="?OLD","!!!","")</f>
        <v/>
      </c>
      <c r="F50" s="23" t="str">
        <f>IF(OR(E50="",E50="!!!"),"",IF(NOT(ISNA(VLOOKUP(E50,E$1:E49,1,FALSE()))),"OLD",IF(AND(E50&lt;&gt;"",E50&lt;&gt;"!!!"),"NEW","")))</f>
        <v> </v>
      </c>
      <c r="G50" s="24" t="str">
        <f>IF(OR(E50="",E50="!!!"),"",IF(OR(J50=0,AND(J50=1,K50=1),AND(J50=1,I50="SBJ"),AND(J50=1,I50=0)),"?IN_FOCUS",IF(J50&lt;=2,"?ACTIVATED",IF(J50&lt;&gt;"","?FAMILIAR",IF(F50="NEW",IF(ISNA(VLOOKUP(E50,#REF!,1,FALSE())),"?TYPE_IDENTIFIABLE","?REFERENTIAL"),"_")))))</f>
        <v> </v>
      </c>
      <c r="H50" s="25" t="str">
        <f>IF(J50&lt;&gt;1,"",IF(I50="SBJ","CB","?"))</f>
        <v> </v>
      </c>
      <c r="I50" s="26" t="str">
        <f>IF(OR(E50="",E50="!!!",F50="NEW"),"",INDEX(B49:B$2,-1+SUMPRODUCT(MAX(ROW(E49:E$2)*(E50=E49:E$2)))))</f>
        <v> </v>
      </c>
      <c r="J50" s="26" t="str">
        <f>IF(OR(E50="",E50="!!!",F50="NEW"),"",COUNTBLANK(OFFSET(A$1,,,SUMPRODUCT(MAX(ROW(E$2:E50)*(E50=E$2:E50)))))-COUNTBLANK(OFFSET(A$1,,,SUMPRODUCT(MAX(ROW(E$1:E49)*(E2=E$1:E49))))))</f>
        <v> </v>
      </c>
      <c r="K50" s="26" t="str">
        <f>IF(OR(E50="",E50="!!!",F50="NEW"),"",INDEX(J$1:J49,SUMPRODUCT(MAX(ROW(E$1:E49)*(E50=E$1:E49)))))</f>
        <v> </v>
      </c>
      <c r="L50" s="27"/>
    </row>
    <row r="51" spans="1:12">
      <c r="A51" s="20" t="s">
        <v>118</v>
      </c>
      <c r="B51" s="21" t="s">
        <v>146</v>
      </c>
      <c r="E51" s="22">
        <f>IF(D51="?OLD","!!!","")</f>
        <v/>
      </c>
      <c r="F51" s="23" t="str">
        <f>IF(OR(E51="",E51="!!!"),"",IF(NOT(ISNA(VLOOKUP(E51,E$1:E50,1,FALSE()))),"OLD",IF(AND(E51&lt;&gt;"",E51&lt;&gt;"!!!"),"NEW","")))</f>
        <v> </v>
      </c>
      <c r="G51" s="24" t="str">
        <f>IF(OR(E51="",E51="!!!"),"",IF(OR(J51=0,AND(J51=1,K51=1),AND(J51=1,I51="SBJ"),AND(J51=1,I51=0)),"?IN_FOCUS",IF(J51&lt;=2,"?ACTIVATED",IF(J51&lt;&gt;"","?FAMILIAR",IF(F51="NEW",IF(ISNA(VLOOKUP(E51,#REF!,1,FALSE())),"?TYPE_IDENTIFIABLE","?REFERENTIAL"),"_")))))</f>
        <v> </v>
      </c>
      <c r="H51" s="25" t="str">
        <f>IF(J51&lt;&gt;1,"",IF(I51="SBJ","CB","?"))</f>
        <v> </v>
      </c>
      <c r="I51" s="26" t="str">
        <f>IF(OR(E51="",E51="!!!",F51="NEW"),"",INDEX(B50:B$2,-1+SUMPRODUCT(MAX(ROW(E50:E$2)*(E51=E50:E$2)))))</f>
        <v> </v>
      </c>
      <c r="J51" s="26" t="str">
        <f>IF(OR(E51="",E51="!!!",F51="NEW"),"",COUNTBLANK(OFFSET(A$1,,,SUMPRODUCT(MAX(ROW(E$2:E51)*(E51=E$2:E51)))))-COUNTBLANK(OFFSET(A$1,,,SUMPRODUCT(MAX(ROW(E$1:E50)*(E2=E$1:E50))))))</f>
        <v> </v>
      </c>
      <c r="K51" s="26" t="str">
        <f>IF(OR(E51="",E51="!!!",F51="NEW"),"",INDEX(J$1:J50,SUMPRODUCT(MAX(ROW(E$1:E50)*(E51=E$1:E50)))))</f>
        <v> </v>
      </c>
      <c r="L51" s="27"/>
    </row>
    <row r="52" spans="1:12">
      <c r="A52" s="20" t="s">
        <v>147</v>
      </c>
      <c r="E52" s="22">
        <f>IF(D52="?OLD","!!!","")</f>
        <v/>
      </c>
      <c r="F52" s="23" t="str">
        <f>IF(OR(E52="",E52="!!!"),"",IF(NOT(ISNA(VLOOKUP(E52,E$1:E51,1,FALSE()))),"OLD",IF(AND(E52&lt;&gt;"",E52&lt;&gt;"!!!"),"NEW","")))</f>
        <v> </v>
      </c>
      <c r="G52" s="24" t="str">
        <f>IF(OR(E52="",E52="!!!"),"",IF(OR(J52=0,AND(J52=1,K52=1),AND(J52=1,I52="SBJ"),AND(J52=1,I52=0)),"?IN_FOCUS",IF(J52&lt;=2,"?ACTIVATED",IF(J52&lt;&gt;"","?FAMILIAR",IF(F52="NEW",IF(ISNA(VLOOKUP(E52,#REF!,1,FALSE())),"?TYPE_IDENTIFIABLE","?REFERENTIAL"),"_")))))</f>
        <v> </v>
      </c>
      <c r="H52" s="25" t="str">
        <f>IF(J52&lt;&gt;1,"",IF(I52="SBJ","CB","?"))</f>
        <v> </v>
      </c>
      <c r="I52" s="26" t="str">
        <f>IF(OR(E52="",E52="!!!",F52="NEW"),"",INDEX(B51:B$2,-1+SUMPRODUCT(MAX(ROW(E51:E$2)*(E52=E51:E$2)))))</f>
        <v> </v>
      </c>
      <c r="J52" s="26" t="str">
        <f>IF(OR(E52="",E52="!!!",F52="NEW"),"",COUNTBLANK(OFFSET(A$1,,,SUMPRODUCT(MAX(ROW(E$2:E52)*(E52=E$2:E52)))))-COUNTBLANK(OFFSET(A$1,,,SUMPRODUCT(MAX(ROW(E$1:E51)*(E2=E$1:E51))))))</f>
        <v> </v>
      </c>
      <c r="K52" s="26" t="str">
        <f>IF(OR(E52="",E52="!!!",F52="NEW"),"",INDEX(J$1:J51,SUMPRODUCT(MAX(ROW(E$1:E51)*(E52=E$1:E51)))))</f>
        <v> </v>
      </c>
      <c r="L52" s="27"/>
    </row>
    <row r="53" spans="1:12">
      <c r="A53" s="20" t="s">
        <v>148</v>
      </c>
      <c r="E53" s="22">
        <f>IF(D53="?OLD","!!!","")</f>
        <v/>
      </c>
      <c r="F53" s="23" t="str">
        <f>IF(OR(E53="",E53="!!!"),"",IF(NOT(ISNA(VLOOKUP(E53,E$1:E52,1,FALSE()))),"OLD",IF(AND(E53&lt;&gt;"",E53&lt;&gt;"!!!"),"NEW","")))</f>
        <v> </v>
      </c>
      <c r="G53" s="24" t="str">
        <f>IF(OR(E53="",E53="!!!"),"",IF(OR(J53=0,AND(J53=1,K53=1),AND(J53=1,I53="SBJ"),AND(J53=1,I53=0)),"?IN_FOCUS",IF(J53&lt;=2,"?ACTIVATED",IF(J53&lt;&gt;"","?FAMILIAR",IF(F53="NEW",IF(ISNA(VLOOKUP(E53,#REF!,1,FALSE())),"?TYPE_IDENTIFIABLE","?REFERENTIAL"),"_")))))</f>
        <v> </v>
      </c>
      <c r="H53" s="25" t="str">
        <f>IF(J53&lt;&gt;1,"",IF(I53="SBJ","CB","?"))</f>
        <v> </v>
      </c>
      <c r="I53" s="26" t="str">
        <f>IF(OR(E53="",E53="!!!",F53="NEW"),"",INDEX(B52:B$2,-1+SUMPRODUCT(MAX(ROW(E52:E$2)*(E53=E52:E$2)))))</f>
        <v> </v>
      </c>
      <c r="J53" s="26" t="str">
        <f>IF(OR(E53="",E53="!!!",F53="NEW"),"",COUNTBLANK(OFFSET(A$1,,,SUMPRODUCT(MAX(ROW(E$2:E53)*(E53=E$2:E53)))))-COUNTBLANK(OFFSET(A$1,,,SUMPRODUCT(MAX(ROW(E$1:E52)*(E2=E$1:E52))))))</f>
        <v> </v>
      </c>
      <c r="K53" s="26" t="str">
        <f>IF(OR(E53="",E53="!!!",F53="NEW"),"",INDEX(J$1:J52,SUMPRODUCT(MAX(ROW(E$1:E52)*(E53=E$1:E52)))))</f>
        <v> </v>
      </c>
      <c r="L53" s="27"/>
    </row>
    <row r="54" spans="1:12">
      <c r="A54" s="20" t="s">
        <v>149</v>
      </c>
      <c r="B54" s="21" t="s">
        <v>127</v>
      </c>
      <c r="C54" s="21" t="s">
        <v>128</v>
      </c>
      <c r="E54" s="22">
        <f>IF(D54="?OLD","!!!","")</f>
        <v/>
      </c>
      <c r="F54" s="23" t="str">
        <f>IF(OR(E54="",E54="!!!"),"",IF(NOT(ISNA(VLOOKUP(E54,E$1:E53,1,FALSE()))),"OLD",IF(AND(E54&lt;&gt;"",E54&lt;&gt;"!!!"),"NEW","")))</f>
        <v> </v>
      </c>
      <c r="G54" s="24" t="str">
        <f>IF(OR(E54="",E54="!!!"),"",IF(OR(J54=0,AND(J54=1,K54=1),AND(J54=1,I54="SBJ"),AND(J54=1,I54=0)),"?IN_FOCUS",IF(J54&lt;=2,"?ACTIVATED",IF(J54&lt;&gt;"","?FAMILIAR",IF(F54="NEW",IF(ISNA(VLOOKUP(E54,#REF!,1,FALSE())),"?TYPE_IDENTIFIABLE","?REFERENTIAL"),"_")))))</f>
        <v> </v>
      </c>
      <c r="H54" s="25" t="str">
        <f>IF(J54&lt;&gt;1,"",IF(I54="SBJ","CB","?"))</f>
        <v> </v>
      </c>
      <c r="I54" s="26" t="str">
        <f>IF(OR(E54="",E54="!!!",F54="NEW"),"",INDEX(B53:B$2,-1+SUMPRODUCT(MAX(ROW(E53:E$2)*(E54=E53:E$2)))))</f>
        <v> </v>
      </c>
      <c r="J54" s="26" t="str">
        <f>IF(OR(E54="",E54="!!!",F54="NEW"),"",COUNTBLANK(OFFSET(A$1,,,SUMPRODUCT(MAX(ROW(E$2:E54)*(E54=E$2:E54)))))-COUNTBLANK(OFFSET(A$1,,,SUMPRODUCT(MAX(ROW(E$1:E53)*(E2=E$1:E53))))))</f>
        <v> </v>
      </c>
      <c r="K54" s="26" t="str">
        <f>IF(OR(E54="",E54="!!!",F54="NEW"),"",INDEX(J$1:J53,SUMPRODUCT(MAX(ROW(E$1:E53)*(E54=E$1:E53)))))</f>
        <v> </v>
      </c>
      <c r="L54" s="27"/>
    </row>
    <row r="55" spans="1:12">
      <c r="A55" s="20" t="s">
        <v>150</v>
      </c>
      <c r="E55" s="22">
        <f>IF(D55="?OLD","!!!","")</f>
        <v/>
      </c>
      <c r="F55" s="23" t="str">
        <f>IF(OR(E55="",E55="!!!"),"",IF(NOT(ISNA(VLOOKUP(E55,E$1:E54,1,FALSE()))),"OLD",IF(AND(E55&lt;&gt;"",E55&lt;&gt;"!!!"),"NEW","")))</f>
        <v> </v>
      </c>
      <c r="G55" s="24" t="str">
        <f>IF(OR(E55="",E55="!!!"),"",IF(OR(J55=0,AND(J55=1,K55=1),AND(J55=1,I55="SBJ"),AND(J55=1,I55=0)),"?IN_FOCUS",IF(J55&lt;=2,"?ACTIVATED",IF(J55&lt;&gt;"","?FAMILIAR",IF(F55="NEW",IF(ISNA(VLOOKUP(E55,#REF!,1,FALSE())),"?TYPE_IDENTIFIABLE","?REFERENTIAL"),"_")))))</f>
        <v> </v>
      </c>
      <c r="H55" s="25" t="str">
        <f>IF(J55&lt;&gt;1,"",IF(I55="SBJ","CB","?"))</f>
        <v> </v>
      </c>
      <c r="I55" s="26" t="str">
        <f>IF(OR(E55="",E55="!!!",F55="NEW"),"",INDEX(B54:B$2,-1+SUMPRODUCT(MAX(ROW(E54:E$2)*(E55=E54:E$2)))))</f>
        <v> </v>
      </c>
      <c r="J55" s="26" t="str">
        <f>IF(OR(E55="",E55="!!!",F55="NEW"),"",COUNTBLANK(OFFSET(A$1,,,SUMPRODUCT(MAX(ROW(E$2:E55)*(E55=E$2:E55)))))-COUNTBLANK(OFFSET(A$1,,,SUMPRODUCT(MAX(ROW(E$1:E54)*(E2=E$1:E54))))))</f>
        <v> </v>
      </c>
      <c r="K55" s="26" t="str">
        <f>IF(OR(E55="",E55="!!!",F55="NEW"),"",INDEX(J$1:J54,SUMPRODUCT(MAX(ROW(E$1:E54)*(E55=E$1:E54)))))</f>
        <v> </v>
      </c>
      <c r="L55" s="27"/>
    </row>
    <row r="56" spans="1:12">
      <c r="A56" s="20" t="s">
        <v>97</v>
      </c>
      <c r="E56" s="22">
        <f>IF(D56="?OLD","!!!","")</f>
        <v/>
      </c>
      <c r="F56" s="23" t="str">
        <f>IF(OR(E56="",E56="!!!"),"",IF(NOT(ISNA(VLOOKUP(E56,E$1:E55,1,FALSE()))),"OLD",IF(AND(E56&lt;&gt;"",E56&lt;&gt;"!!!"),"NEW","")))</f>
        <v> </v>
      </c>
      <c r="G56" s="24" t="str">
        <f>IF(OR(E56="",E56="!!!"),"",IF(OR(J56=0,AND(J56=1,K56=1),AND(J56=1,I56="SBJ"),AND(J56=1,I56=0)),"?IN_FOCUS",IF(J56&lt;=2,"?ACTIVATED",IF(J56&lt;&gt;"","?FAMILIAR",IF(F56="NEW",IF(ISNA(VLOOKUP(E56,#REF!,1,FALSE())),"?TYPE_IDENTIFIABLE","?REFERENTIAL"),"_")))))</f>
        <v> </v>
      </c>
      <c r="H56" s="25" t="str">
        <f>IF(J56&lt;&gt;1,"",IF(I56="SBJ","CB","?"))</f>
        <v> </v>
      </c>
      <c r="I56" s="26" t="str">
        <f>IF(OR(E56="",E56="!!!",F56="NEW"),"",INDEX(B55:B$2,-1+SUMPRODUCT(MAX(ROW(E55:E$2)*(E56=E55:E$2)))))</f>
        <v> </v>
      </c>
      <c r="J56" s="26" t="str">
        <f>IF(OR(E56="",E56="!!!",F56="NEW"),"",COUNTBLANK(OFFSET(A$1,,,SUMPRODUCT(MAX(ROW(E$2:E56)*(E56=E$2:E56)))))-COUNTBLANK(OFFSET(A$1,,,SUMPRODUCT(MAX(ROW(E$1:E55)*(E2=E$1:E55))))))</f>
        <v> </v>
      </c>
      <c r="K56" s="26" t="str">
        <f>IF(OR(E56="",E56="!!!",F56="NEW"),"",INDEX(J$1:J55,SUMPRODUCT(MAX(ROW(E$1:E55)*(E56=E$1:E55)))))</f>
        <v> </v>
      </c>
      <c r="L56" s="27"/>
    </row>
    <row r="57" spans="1:12">
      <c r="A57" s="20" t="s">
        <v>151</v>
      </c>
      <c r="E57" s="22">
        <f>IF(D57="?OLD","!!!","")</f>
        <v/>
      </c>
      <c r="F57" s="23" t="str">
        <f>IF(OR(E57="",E57="!!!"),"",IF(NOT(ISNA(VLOOKUP(E57,E$1:E56,1,FALSE()))),"OLD",IF(AND(E57&lt;&gt;"",E57&lt;&gt;"!!!"),"NEW","")))</f>
        <v> </v>
      </c>
      <c r="G57" s="24" t="str">
        <f>IF(OR(E57="",E57="!!!"),"",IF(OR(J57=0,AND(J57=1,K57=1),AND(J57=1,I57="SBJ"),AND(J57=1,I57=0)),"?IN_FOCUS",IF(J57&lt;=2,"?ACTIVATED",IF(J57&lt;&gt;"","?FAMILIAR",IF(F57="NEW",IF(ISNA(VLOOKUP(E57,#REF!,1,FALSE())),"?TYPE_IDENTIFIABLE","?REFERENTIAL"),"_")))))</f>
        <v> </v>
      </c>
      <c r="H57" s="25" t="str">
        <f>IF(J57&lt;&gt;1,"",IF(I57="SBJ","CB","?"))</f>
        <v> </v>
      </c>
      <c r="I57" s="26" t="str">
        <f>IF(OR(E57="",E57="!!!",F57="NEW"),"",INDEX(B56:B$2,-1+SUMPRODUCT(MAX(ROW(E56:E$2)*(E57=E56:E$2)))))</f>
        <v> </v>
      </c>
      <c r="J57" s="26" t="str">
        <f>IF(OR(E57="",E57="!!!",F57="NEW"),"",COUNTBLANK(OFFSET(A$1,,,SUMPRODUCT(MAX(ROW(E$2:E57)*(E57=E$2:E57)))))-COUNTBLANK(OFFSET(A$1,,,SUMPRODUCT(MAX(ROW(E$1:E56)*(E2=E$1:E56))))))</f>
        <v> </v>
      </c>
      <c r="K57" s="26" t="str">
        <f>IF(OR(E57="",E57="!!!",F57="NEW"),"",INDEX(J$1:J56,SUMPRODUCT(MAX(ROW(E$1:E56)*(E57=E$1:E56)))))</f>
        <v> </v>
      </c>
      <c r="L57" s="27"/>
    </row>
    <row r="58" spans="1:12">
      <c r="A58" s="20" t="s">
        <v>152</v>
      </c>
      <c r="B58" s="21" t="s">
        <v>107</v>
      </c>
      <c r="C58" s="21" t="s">
        <v>153</v>
      </c>
      <c r="D58" s="21" t="s">
        <v>102</v>
      </c>
      <c r="E58" s="22">
        <f>IF(D58="?OLD","!!!","")</f>
        <v/>
      </c>
      <c r="F58" s="23" t="str">
        <f>IF(OR(E58="",E58="!!!"),"",IF(NOT(ISNA(VLOOKUP(E58,E$1:E57,1,FALSE()))),"OLD",IF(AND(E58&lt;&gt;"",E58&lt;&gt;"!!!"),"NEW","")))</f>
        <v> </v>
      </c>
      <c r="G58" s="24" t="str">
        <f>IF(OR(E58="",E58="!!!"),"",IF(OR(J58=0,AND(J58=1,K58=1),AND(J58=1,I58="SBJ"),AND(J58=1,I58=0)),"?IN_FOCUS",IF(J58&lt;=2,"?ACTIVATED",IF(J58&lt;&gt;"","?FAMILIAR",IF(F58="NEW",IF(ISNA(VLOOKUP(E58,#REF!,1,FALSE())),"?TYPE_IDENTIFIABLE","?REFERENTIAL"),"_")))))</f>
        <v> </v>
      </c>
      <c r="H58" s="25" t="str">
        <f>IF(J58&lt;&gt;1,"",IF(I58="SBJ","CB","?"))</f>
        <v> </v>
      </c>
      <c r="I58" s="26" t="str">
        <f>IF(OR(E58="",E58="!!!",F58="NEW"),"",INDEX(B57:B$2,-1+SUMPRODUCT(MAX(ROW(E57:E$2)*(E58=E57:E$2)))))</f>
        <v> </v>
      </c>
      <c r="J58" s="26" t="str">
        <f>IF(OR(E58="",E58="!!!",F58="NEW"),"",COUNTBLANK(OFFSET(A$1,,,SUMPRODUCT(MAX(ROW(E$2:E58)*(E58=E$2:E58)))))-COUNTBLANK(OFFSET(A$1,,,SUMPRODUCT(MAX(ROW(E$1:E57)*(E2=E$1:E57))))))</f>
        <v> </v>
      </c>
      <c r="K58" s="26" t="str">
        <f>IF(OR(E58="",E58="!!!",F58="NEW"),"",INDEX(J$1:J57,SUMPRODUCT(MAX(ROW(E$1:E57)*(E58=E$1:E57)))))</f>
        <v> </v>
      </c>
      <c r="L58" s="27"/>
    </row>
    <row r="59" spans="1:12">
      <c r="A59" s="20" t="s">
        <v>154</v>
      </c>
      <c r="E59" s="22">
        <f>IF(D59="?OLD","!!!","")</f>
        <v/>
      </c>
      <c r="F59" s="23" t="str">
        <f>IF(OR(E59="",E59="!!!"),"",IF(NOT(ISNA(VLOOKUP(E59,E$1:E58,1,FALSE()))),"OLD",IF(AND(E59&lt;&gt;"",E59&lt;&gt;"!!!"),"NEW","")))</f>
        <v> </v>
      </c>
      <c r="G59" s="24" t="str">
        <f>IF(OR(E59="",E59="!!!"),"",IF(OR(J59=0,AND(J59=1,K59=1),AND(J59=1,I59="SBJ"),AND(J59=1,I59=0)),"?IN_FOCUS",IF(J59&lt;=2,"?ACTIVATED",IF(J59&lt;&gt;"","?FAMILIAR",IF(F59="NEW",IF(ISNA(VLOOKUP(E59,#REF!,1,FALSE())),"?TYPE_IDENTIFIABLE","?REFERENTIAL"),"_")))))</f>
        <v> </v>
      </c>
      <c r="H59" s="25" t="str">
        <f>IF(J59&lt;&gt;1,"",IF(I59="SBJ","CB","?"))</f>
        <v> </v>
      </c>
      <c r="I59" s="26" t="str">
        <f>IF(OR(E59="",E59="!!!",F59="NEW"),"",INDEX(B58:B$2,-1+SUMPRODUCT(MAX(ROW(E58:E$2)*(E59=E58:E$2)))))</f>
        <v> </v>
      </c>
      <c r="J59" s="26" t="str">
        <f>IF(OR(E59="",E59="!!!",F59="NEW"),"",COUNTBLANK(OFFSET(A$1,,,SUMPRODUCT(MAX(ROW(E$2:E59)*(E59=E$2:E59)))))-COUNTBLANK(OFFSET(A$1,,,SUMPRODUCT(MAX(ROW(E$1:E58)*(E2=E$1:E58))))))</f>
        <v> </v>
      </c>
      <c r="K59" s="26" t="str">
        <f>IF(OR(E59="",E59="!!!",F59="NEW"),"",INDEX(J$1:J58,SUMPRODUCT(MAX(ROW(E$1:E58)*(E59=E$1:E58)))))</f>
        <v> </v>
      </c>
      <c r="L59" s="27"/>
    </row>
    <row r="60" spans="1:12">
      <c r="A60" s="20" t="s">
        <v>155</v>
      </c>
      <c r="E60" s="22">
        <f>IF(D60="?OLD","!!!","")</f>
        <v/>
      </c>
      <c r="F60" s="23" t="str">
        <f>IF(OR(E60="",E60="!!!"),"",IF(NOT(ISNA(VLOOKUP(E60,E$1:E59,1,FALSE()))),"OLD",IF(AND(E60&lt;&gt;"",E60&lt;&gt;"!!!"),"NEW","")))</f>
        <v> </v>
      </c>
      <c r="G60" s="24" t="str">
        <f>IF(OR(E60="",E60="!!!"),"",IF(OR(J60=0,AND(J60=1,K60=1),AND(J60=1,I60="SBJ"),AND(J60=1,I60=0)),"?IN_FOCUS",IF(J60&lt;=2,"?ACTIVATED",IF(J60&lt;&gt;"","?FAMILIAR",IF(F60="NEW",IF(ISNA(VLOOKUP(E60,#REF!,1,FALSE())),"?TYPE_IDENTIFIABLE","?REFERENTIAL"),"_")))))</f>
        <v> </v>
      </c>
      <c r="H60" s="25" t="str">
        <f>IF(J60&lt;&gt;1,"",IF(I60="SBJ","CB","?"))</f>
        <v> </v>
      </c>
      <c r="I60" s="26" t="str">
        <f>IF(OR(E60="",E60="!!!",F60="NEW"),"",INDEX(B59:B$2,-1+SUMPRODUCT(MAX(ROW(E59:E$2)*(E60=E59:E$2)))))</f>
        <v> </v>
      </c>
      <c r="J60" s="26" t="str">
        <f>IF(OR(E60="",E60="!!!",F60="NEW"),"",COUNTBLANK(OFFSET(A$1,,,SUMPRODUCT(MAX(ROW(E$2:E60)*(E60=E$2:E60)))))-COUNTBLANK(OFFSET(A$1,,,SUMPRODUCT(MAX(ROW(E$1:E59)*(E2=E$1:E59))))))</f>
        <v> </v>
      </c>
      <c r="K60" s="26" t="str">
        <f>IF(OR(E60="",E60="!!!",F60="NEW"),"",INDEX(J$1:J59,SUMPRODUCT(MAX(ROW(E$1:E59)*(E60=E$1:E59)))))</f>
        <v> </v>
      </c>
      <c r="L60" s="27"/>
    </row>
    <row r="61" spans="1:12">
      <c r="A61" s="20"/>
    </row>
    <row r="62" spans="1:12">
      <c r="A62" s="20" t="s">
        <v>156</v>
      </c>
      <c r="E62" s="22">
        <f>IF(D62="?OLD","!!!","")</f>
        <v/>
      </c>
      <c r="F62" s="23" t="str">
        <f>IF(OR(E62="",E62="!!!"),"",IF(NOT(ISNA(VLOOKUP(E62,E$1:E61,1,FALSE()))),"OLD",IF(AND(E62&lt;&gt;"",E62&lt;&gt;"!!!"),"NEW","")))</f>
        <v> </v>
      </c>
      <c r="G62" s="24" t="str">
        <f>IF(OR(E62="",E62="!!!"),"",IF(OR(J62=0,AND(J62=1,K62=1),AND(J62=1,I62="SBJ"),AND(J62=1,I62=0)),"?IN_FOCUS",IF(J62&lt;=2,"?ACTIVATED",IF(J62&lt;&gt;"","?FAMILIAR",IF(F62="NEW",IF(ISNA(VLOOKUP(E62,#REF!,1,FALSE())),"?TYPE_IDENTIFIABLE","?REFERENTIAL"),"_")))))</f>
        <v> </v>
      </c>
      <c r="H62" s="25" t="str">
        <f>IF(J62&lt;&gt;1,"",IF(I62="SBJ","CB","?"))</f>
        <v> </v>
      </c>
      <c r="I62" s="26" t="str">
        <f>IF(OR(E62="",E62="!!!",F62="NEW"),"",INDEX(B61:B$2,-1+SUMPRODUCT(MAX(ROW(E61:E$2)*(E62=E61:E$2)))))</f>
        <v> </v>
      </c>
      <c r="J62" s="26" t="str">
        <f>IF(OR(E62="",E62="!!!",F62="NEW"),"",COUNTBLANK(OFFSET(A$1,,,SUMPRODUCT(MAX(ROW(E$2:E62)*(E62=E$2:E62)))))-COUNTBLANK(OFFSET(A$1,,,SUMPRODUCT(MAX(ROW(E$1:E61)*(E2=E$1:E61))))))</f>
        <v> </v>
      </c>
      <c r="K62" s="26" t="str">
        <f>IF(OR(E62="",E62="!!!",F62="NEW"),"",INDEX(J$1:J61,SUMPRODUCT(MAX(ROW(E$1:E61)*(E62=E$1:E61)))))</f>
        <v> </v>
      </c>
      <c r="L62" s="27"/>
    </row>
    <row r="63" spans="1:12">
      <c r="A63" s="20" t="s">
        <v>157</v>
      </c>
    </row>
    <row r="64" spans="1:12">
      <c r="A64" s="20" t="s">
        <v>158</v>
      </c>
      <c r="E64" s="22">
        <f>IF(D64="?OLD","!!!","")</f>
        <v/>
      </c>
      <c r="F64" s="23" t="str">
        <f>IF(OR(E64="",E64="!!!"),"",IF(NOT(ISNA(VLOOKUP(E64,E$1:E63,1,FALSE()))),"OLD",IF(AND(E64&lt;&gt;"",E64&lt;&gt;"!!!"),"NEW","")))</f>
        <v> </v>
      </c>
      <c r="G64" s="24" t="str">
        <f>IF(OR(E64="",E64="!!!"),"",IF(OR(J64=0,AND(J64=1,K64=1),AND(J64=1,I64="SBJ"),AND(J64=1,I64=0)),"?IN_FOCUS",IF(J64&lt;=2,"?ACTIVATED",IF(J64&lt;&gt;"","?FAMILIAR",IF(F64="NEW",IF(ISNA(VLOOKUP(E64,#REF!,1,FALSE())),"?TYPE_IDENTIFIABLE","?REFERENTIAL"),"_")))))</f>
        <v> </v>
      </c>
      <c r="H64" s="25" t="str">
        <f>IF(J64&lt;&gt;1,"",IF(I64="SBJ","CB","?"))</f>
        <v> </v>
      </c>
      <c r="I64" s="26" t="str">
        <f>IF(OR(E64="",E64="!!!",F64="NEW"),"",INDEX(B63:B$2,-1+SUMPRODUCT(MAX(ROW(E63:E$2)*(E64=E63:E$2)))))</f>
        <v> </v>
      </c>
      <c r="J64" s="26" t="str">
        <f>IF(OR(E64="",E64="!!!",F64="NEW"),"",COUNTBLANK(OFFSET(A$1,,,SUMPRODUCT(MAX(ROW(E$2:E64)*(E64=E$2:E64)))))-COUNTBLANK(OFFSET(A$1,,,SUMPRODUCT(MAX(ROW(E$1:E63)*(E2=E$1:E63))))))</f>
        <v> </v>
      </c>
      <c r="K64" s="26" t="str">
        <f>IF(OR(E64="",E64="!!!",F64="NEW"),"",INDEX(J$1:J63,SUMPRODUCT(MAX(ROW(E$1:E63)*(E64=E$1:E63)))))</f>
        <v> </v>
      </c>
      <c r="L64" s="27"/>
    </row>
    <row r="65" spans="1:12">
      <c r="A65" s="20" t="s">
        <v>159</v>
      </c>
      <c r="E65" s="22">
        <f>IF(D65="?OLD","!!!","")</f>
        <v/>
      </c>
      <c r="F65" s="23" t="str">
        <f>IF(OR(E65="",E65="!!!"),"",IF(NOT(ISNA(VLOOKUP(E65,E$1:E64,1,FALSE()))),"OLD",IF(AND(E65&lt;&gt;"",E65&lt;&gt;"!!!"),"NEW","")))</f>
        <v> </v>
      </c>
      <c r="G65" s="24" t="str">
        <f>IF(OR(E65="",E65="!!!"),"",IF(OR(J65=0,AND(J65=1,K65=1),AND(J65=1,I65="SBJ"),AND(J65=1,I65=0)),"?IN_FOCUS",IF(J65&lt;=2,"?ACTIVATED",IF(J65&lt;&gt;"","?FAMILIAR",IF(F65="NEW",IF(ISNA(VLOOKUP(E65,#REF!,1,FALSE())),"?TYPE_IDENTIFIABLE","?REFERENTIAL"),"_")))))</f>
        <v> </v>
      </c>
      <c r="H65" s="25" t="str">
        <f>IF(J65&lt;&gt;1,"",IF(I65="SBJ","CB","?"))</f>
        <v> </v>
      </c>
      <c r="I65" s="26" t="str">
        <f>IF(OR(E65="",E65="!!!",F65="NEW"),"",INDEX(B64:B$2,-1+SUMPRODUCT(MAX(ROW(E64:E$2)*(E65=E64:E$2)))))</f>
        <v> </v>
      </c>
      <c r="J65" s="26" t="str">
        <f>IF(OR(E65="",E65="!!!",F65="NEW"),"",COUNTBLANK(OFFSET(A$1,,,SUMPRODUCT(MAX(ROW(E$2:E65)*(E65=E$2:E65)))))-COUNTBLANK(OFFSET(A$1,,,SUMPRODUCT(MAX(ROW(E$1:E64)*(E2=E$1:E64))))))</f>
        <v> </v>
      </c>
      <c r="K65" s="26" t="str">
        <f>IF(OR(E65="",E65="!!!",F65="NEW"),"",INDEX(J$1:J64,SUMPRODUCT(MAX(ROW(E$1:E64)*(E65=E$1:E64)))))</f>
        <v> </v>
      </c>
      <c r="L65" s="27"/>
    </row>
    <row r="66" spans="1:12">
      <c r="A66" s="20" t="s">
        <v>160</v>
      </c>
      <c r="B66" s="21" t="s">
        <v>161</v>
      </c>
      <c r="C66" s="21" t="s">
        <v>104</v>
      </c>
      <c r="D66" s="21" t="s">
        <v>102</v>
      </c>
      <c r="E66" s="22">
        <f>IF(D66="?OLD","!!!","")</f>
        <v/>
      </c>
      <c r="F66" s="23" t="str">
        <f>IF(OR(E66="",E66="!!!"),"",IF(NOT(ISNA(VLOOKUP(E66,E$1:E65,1,FALSE()))),"OLD",IF(AND(E66&lt;&gt;"",E66&lt;&gt;"!!!"),"NEW","")))</f>
        <v> </v>
      </c>
      <c r="G66" s="24" t="str">
        <f>IF(OR(E66="",E66="!!!"),"",IF(OR(J66=0,AND(J66=1,K66=1),AND(J66=1,I66="SBJ"),AND(J66=1,I66=0)),"?IN_FOCUS",IF(J66&lt;=2,"?ACTIVATED",IF(J66&lt;&gt;"","?FAMILIAR",IF(F66="NEW",IF(ISNA(VLOOKUP(E66,#REF!,1,FALSE())),"?TYPE_IDENTIFIABLE","?REFERENTIAL"),"_")))))</f>
        <v> </v>
      </c>
      <c r="H66" s="25" t="str">
        <f>IF(J66&lt;&gt;1,"",IF(I66="SBJ","CB","?"))</f>
        <v> </v>
      </c>
      <c r="I66" s="26" t="str">
        <f>IF(OR(E66="",E66="!!!",F66="NEW"),"",INDEX(B65:B$2,-1+SUMPRODUCT(MAX(ROW(E65:E$2)*(E66=E65:E$2)))))</f>
        <v> </v>
      </c>
      <c r="J66" s="26" t="str">
        <f>IF(OR(E66="",E66="!!!",F66="NEW"),"",COUNTBLANK(OFFSET(A$1,,,SUMPRODUCT(MAX(ROW(E$2:E66)*(E66=E$2:E66)))))-COUNTBLANK(OFFSET(A$1,,,SUMPRODUCT(MAX(ROW(E$1:E65)*(E2=E$1:E65))))))</f>
        <v> </v>
      </c>
      <c r="K66" s="26" t="str">
        <f>IF(OR(E66="",E66="!!!",F66="NEW"),"",INDEX(J$1:J65,SUMPRODUCT(MAX(ROW(E$1:E65)*(E66=E$1:E65)))))</f>
        <v> </v>
      </c>
      <c r="L66" s="27"/>
    </row>
    <row r="67" spans="1:12">
      <c r="A67" s="20" t="s">
        <v>162</v>
      </c>
      <c r="E67" s="22">
        <f>IF(D67="?OLD","!!!","")</f>
        <v/>
      </c>
      <c r="F67" s="23" t="str">
        <f>IF(OR(E67="",E67="!!!"),"",IF(NOT(ISNA(VLOOKUP(E67,E$1:E66,1,FALSE()))),"OLD",IF(AND(E67&lt;&gt;"",E67&lt;&gt;"!!!"),"NEW","")))</f>
        <v> </v>
      </c>
      <c r="G67" s="24" t="str">
        <f>IF(OR(E67="",E67="!!!"),"",IF(OR(J67=0,AND(J67=1,K67=1),AND(J67=1,I67="SBJ"),AND(J67=1,I67=0)),"?IN_FOCUS",IF(J67&lt;=2,"?ACTIVATED",IF(J67&lt;&gt;"","?FAMILIAR",IF(F67="NEW",IF(ISNA(VLOOKUP(E67,#REF!,1,FALSE())),"?TYPE_IDENTIFIABLE","?REFERENTIAL"),"_")))))</f>
        <v> </v>
      </c>
      <c r="H67" s="25" t="str">
        <f>IF(J67&lt;&gt;1,"",IF(I67="SBJ","CB","?"))</f>
        <v> </v>
      </c>
      <c r="I67" s="26" t="str">
        <f>IF(OR(E67="",E67="!!!",F67="NEW"),"",INDEX(B66:B$2,-1+SUMPRODUCT(MAX(ROW(E66:E$2)*(E67=E66:E$2)))))</f>
        <v> </v>
      </c>
      <c r="J67" s="26" t="str">
        <f>IF(OR(E67="",E67="!!!",F67="NEW"),"",COUNTBLANK(OFFSET(A$1,,,SUMPRODUCT(MAX(ROW(E$2:E67)*(E67=E$2:E67)))))-COUNTBLANK(OFFSET(A$1,,,SUMPRODUCT(MAX(ROW(E$1:E66)*(E2=E$1:E66))))))</f>
        <v> </v>
      </c>
      <c r="K67" s="26" t="str">
        <f>IF(OR(E67="",E67="!!!",F67="NEW"),"",INDEX(J$1:J66,SUMPRODUCT(MAX(ROW(E$1:E66)*(E67=E$1:E66)))))</f>
        <v> </v>
      </c>
      <c r="L67" s="27"/>
    </row>
    <row r="68" spans="1:12">
      <c r="A68" s="20" t="s">
        <v>163</v>
      </c>
      <c r="B68" s="21" t="s">
        <v>91</v>
      </c>
      <c r="C68" s="21" t="s">
        <v>104</v>
      </c>
      <c r="D68" s="21" t="s">
        <v>102</v>
      </c>
      <c r="E68" s="22">
        <f>IF(D68="?OLD","!!!","")</f>
        <v/>
      </c>
      <c r="F68" s="23" t="str">
        <f>IF(OR(E68="",E68="!!!"),"",IF(NOT(ISNA(VLOOKUP(E68,E$1:E67,1,FALSE()))),"OLD",IF(AND(E68&lt;&gt;"",E68&lt;&gt;"!!!"),"NEW","")))</f>
        <v> </v>
      </c>
      <c r="G68" s="24" t="str">
        <f>IF(OR(E68="",E68="!!!"),"",IF(OR(J68=0,AND(J68=1,K68=1),AND(J68=1,I68="SBJ"),AND(J68=1,I68=0)),"?IN_FOCUS",IF(J68&lt;=2,"?ACTIVATED",IF(J68&lt;&gt;"","?FAMILIAR",IF(F68="NEW",IF(ISNA(VLOOKUP(E68,#REF!,1,FALSE())),"?TYPE_IDENTIFIABLE","?REFERENTIAL"),"_")))))</f>
        <v> </v>
      </c>
      <c r="H68" s="25" t="str">
        <f>IF(J68&lt;&gt;1,"",IF(I68="SBJ","CB","?"))</f>
        <v> </v>
      </c>
      <c r="I68" s="26" t="str">
        <f>IF(OR(E68="",E68="!!!",F68="NEW"),"",INDEX(B67:B$2,-1+SUMPRODUCT(MAX(ROW(E67:E$2)*(E68=E67:E$2)))))</f>
        <v> </v>
      </c>
      <c r="J68" s="26" t="str">
        <f>IF(OR(E68="",E68="!!!",F68="NEW"),"",COUNTBLANK(OFFSET(A$1,,,SUMPRODUCT(MAX(ROW(E$2:E68)*(E68=E$2:E68)))))-COUNTBLANK(OFFSET(A$1,,,SUMPRODUCT(MAX(ROW(E$1:E67)*(E2=E$1:E67))))))</f>
        <v> </v>
      </c>
      <c r="K68" s="26" t="str">
        <f>IF(OR(E68="",E68="!!!",F68="NEW"),"",INDEX(J$1:J67,SUMPRODUCT(MAX(ROW(E$1:E67)*(E68=E$1:E67)))))</f>
        <v> </v>
      </c>
      <c r="L68" s="27"/>
    </row>
    <row r="69" spans="1:12">
      <c r="A69" s="20" t="s">
        <v>164</v>
      </c>
      <c r="B69" s="21" t="s">
        <v>96</v>
      </c>
      <c r="C69" s="21" t="s">
        <v>92</v>
      </c>
      <c r="E69" s="22">
        <f>IF(D69="?OLD","!!!","")</f>
        <v/>
      </c>
      <c r="F69" s="23" t="str">
        <f>IF(OR(E69="",E69="!!!"),"",IF(NOT(ISNA(VLOOKUP(E69,E$1:E68,1,FALSE()))),"OLD",IF(AND(E69&lt;&gt;"",E69&lt;&gt;"!!!"),"NEW","")))</f>
        <v> </v>
      </c>
      <c r="G69" s="24" t="str">
        <f>IF(OR(E69="",E69="!!!"),"",IF(OR(J69=0,AND(J69=1,K69=1),AND(J69=1,I69="SBJ"),AND(J69=1,I69=0)),"?IN_FOCUS",IF(J69&lt;=2,"?ACTIVATED",IF(J69&lt;&gt;"","?FAMILIAR",IF(F69="NEW",IF(ISNA(VLOOKUP(E69,#REF!,1,FALSE())),"?TYPE_IDENTIFIABLE","?REFERENTIAL"),"_")))))</f>
        <v> </v>
      </c>
      <c r="H69" s="25" t="str">
        <f>IF(J69&lt;&gt;1,"",IF(I69="SBJ","CB","?"))</f>
        <v> </v>
      </c>
      <c r="I69" s="26" t="str">
        <f>IF(OR(E69="",E69="!!!",F69="NEW"),"",INDEX(B68:B$2,-1+SUMPRODUCT(MAX(ROW(E68:E$2)*(E69=E68:E$2)))))</f>
        <v> </v>
      </c>
      <c r="J69" s="26" t="str">
        <f>IF(OR(E69="",E69="!!!",F69="NEW"),"",COUNTBLANK(OFFSET(A$1,,,SUMPRODUCT(MAX(ROW(E$2:E69)*(E69=E$2:E69)))))-COUNTBLANK(OFFSET(A$1,,,SUMPRODUCT(MAX(ROW(E$1:E68)*(E2=E$1:E68))))))</f>
        <v> </v>
      </c>
      <c r="K69" s="26" t="str">
        <f>IF(OR(E69="",E69="!!!",F69="NEW"),"",INDEX(J$1:J68,SUMPRODUCT(MAX(ROW(E$1:E68)*(E69=E$1:E68)))))</f>
        <v> </v>
      </c>
      <c r="L69" s="27"/>
    </row>
    <row r="70" spans="1:12">
      <c r="A70" s="20" t="s">
        <v>165</v>
      </c>
      <c r="E70" s="22">
        <f>IF(D70="?OLD","!!!","")</f>
        <v/>
      </c>
      <c r="F70" s="23" t="str">
        <f>IF(OR(E70="",E70="!!!"),"",IF(NOT(ISNA(VLOOKUP(E70,E$1:E69,1,FALSE()))),"OLD",IF(AND(E70&lt;&gt;"",E70&lt;&gt;"!!!"),"NEW","")))</f>
        <v> </v>
      </c>
      <c r="G70" s="24" t="str">
        <f>IF(OR(E70="",E70="!!!"),"",IF(OR(J70=0,AND(J70=1,K70=1),AND(J70=1,I70="SBJ"),AND(J70=1,I70=0)),"?IN_FOCUS",IF(J70&lt;=2,"?ACTIVATED",IF(J70&lt;&gt;"","?FAMILIAR",IF(F70="NEW",IF(ISNA(VLOOKUP(E70,#REF!,1,FALSE())),"?TYPE_IDENTIFIABLE","?REFERENTIAL"),"_")))))</f>
        <v> </v>
      </c>
      <c r="H70" s="25" t="str">
        <f>IF(J70&lt;&gt;1,"",IF(I70="SBJ","CB","?"))</f>
        <v> </v>
      </c>
      <c r="I70" s="26" t="str">
        <f>IF(OR(E70="",E70="!!!",F70="NEW"),"",INDEX(B69:B$2,-1+SUMPRODUCT(MAX(ROW(E69:E$2)*(E70=E69:E$2)))))</f>
        <v> </v>
      </c>
      <c r="J70" s="26" t="str">
        <f>IF(OR(E70="",E70="!!!",F70="NEW"),"",COUNTBLANK(OFFSET(A$1,,,SUMPRODUCT(MAX(ROW(E$2:E70)*(E70=E$2:E70)))))-COUNTBLANK(OFFSET(A$1,,,SUMPRODUCT(MAX(ROW(E$1:E69)*(E2=E$1:E69))))))</f>
        <v> </v>
      </c>
      <c r="K70" s="26" t="str">
        <f>IF(OR(E70="",E70="!!!",F70="NEW"),"",INDEX(J$1:J69,SUMPRODUCT(MAX(ROW(E$1:E69)*(E70=E$1:E69)))))</f>
        <v> </v>
      </c>
      <c r="L70" s="27"/>
    </row>
    <row r="71" spans="1:12">
      <c r="A71" s="20" t="s">
        <v>97</v>
      </c>
      <c r="E71" s="22">
        <f>IF(D71="?OLD","!!!","")</f>
        <v/>
      </c>
      <c r="F71" s="23" t="str">
        <f>IF(OR(E71="",E71="!!!"),"",IF(NOT(ISNA(VLOOKUP(E71,E$1:E70,1,FALSE()))),"OLD",IF(AND(E71&lt;&gt;"",E71&lt;&gt;"!!!"),"NEW","")))</f>
        <v> </v>
      </c>
      <c r="G71" s="24" t="str">
        <f>IF(OR(E71="",E71="!!!"),"",IF(OR(J71=0,AND(J71=1,K71=1),AND(J71=1,I71="SBJ"),AND(J71=1,I71=0)),"?IN_FOCUS",IF(J71&lt;=2,"?ACTIVATED",IF(J71&lt;&gt;"","?FAMILIAR",IF(F71="NEW",IF(ISNA(VLOOKUP(E71,#REF!,1,FALSE())),"?TYPE_IDENTIFIABLE","?REFERENTIAL"),"_")))))</f>
        <v> </v>
      </c>
      <c r="H71" s="25" t="str">
        <f>IF(J71&lt;&gt;1,"",IF(I71="SBJ","CB","?"))</f>
        <v> </v>
      </c>
      <c r="I71" s="26" t="str">
        <f>IF(OR(E71="",E71="!!!",F71="NEW"),"",INDEX(B70:B$2,-1+SUMPRODUCT(MAX(ROW(E70:E$2)*(E71=E70:E$2)))))</f>
        <v> </v>
      </c>
      <c r="J71" s="26" t="str">
        <f>IF(OR(E71="",E71="!!!",F71="NEW"),"",COUNTBLANK(OFFSET(A$1,,,SUMPRODUCT(MAX(ROW(E$2:E71)*(E71=E$2:E71)))))-COUNTBLANK(OFFSET(A$1,,,SUMPRODUCT(MAX(ROW(E$1:E70)*(E2=E$1:E70))))))</f>
        <v> </v>
      </c>
      <c r="K71" s="26" t="str">
        <f>IF(OR(E71="",E71="!!!",F71="NEW"),"",INDEX(J$1:J70,SUMPRODUCT(MAX(ROW(E$1:E70)*(E71=E$1:E70)))))</f>
        <v> </v>
      </c>
      <c r="L71" s="27"/>
    </row>
    <row r="72" spans="1:12">
      <c r="A72" s="20" t="s">
        <v>115</v>
      </c>
      <c r="E72" s="22">
        <f>IF(D72="?OLD","!!!","")</f>
        <v/>
      </c>
      <c r="F72" s="23" t="str">
        <f>IF(OR(E72="",E72="!!!"),"",IF(NOT(ISNA(VLOOKUP(E72,E$1:E71,1,FALSE()))),"OLD",IF(AND(E72&lt;&gt;"",E72&lt;&gt;"!!!"),"NEW","")))</f>
        <v> </v>
      </c>
      <c r="G72" s="24" t="str">
        <f>IF(OR(E72="",E72="!!!"),"",IF(OR(J72=0,AND(J72=1,K72=1),AND(J72=1,I72="SBJ"),AND(J72=1,I72=0)),"?IN_FOCUS",IF(J72&lt;=2,"?ACTIVATED",IF(J72&lt;&gt;"","?FAMILIAR",IF(F72="NEW",IF(ISNA(VLOOKUP(E72,#REF!,1,FALSE())),"?TYPE_IDENTIFIABLE","?REFERENTIAL"),"_")))))</f>
        <v> </v>
      </c>
      <c r="H72" s="25" t="str">
        <f>IF(J72&lt;&gt;1,"",IF(I72="SBJ","CB","?"))</f>
        <v> </v>
      </c>
      <c r="I72" s="26" t="str">
        <f>IF(OR(E72="",E72="!!!",F72="NEW"),"",INDEX(B71:B$2,-1+SUMPRODUCT(MAX(ROW(E71:E$2)*(E72=E71:E$2)))))</f>
        <v> </v>
      </c>
      <c r="J72" s="26" t="str">
        <f>IF(OR(E72="",E72="!!!",F72="NEW"),"",COUNTBLANK(OFFSET(A$1,,,SUMPRODUCT(MAX(ROW(E$2:E72)*(E72=E$2:E72)))))-COUNTBLANK(OFFSET(A$1,,,SUMPRODUCT(MAX(ROW(E$1:E71)*(E2=E$1:E71))))))</f>
        <v> </v>
      </c>
      <c r="K72" s="26" t="str">
        <f>IF(OR(E72="",E72="!!!",F72="NEW"),"",INDEX(J$1:J71,SUMPRODUCT(MAX(ROW(E$1:E71)*(E72=E$1:E71)))))</f>
        <v> </v>
      </c>
      <c r="L72" s="27"/>
    </row>
    <row r="73" spans="1:12">
      <c r="A73" s="20" t="s">
        <v>166</v>
      </c>
      <c r="B73" s="21" t="s">
        <v>107</v>
      </c>
      <c r="C73" s="21" t="s">
        <v>112</v>
      </c>
      <c r="D73" s="21" t="s">
        <v>102</v>
      </c>
      <c r="E73" s="22">
        <f>IF(D73="?OLD","!!!","")</f>
        <v/>
      </c>
      <c r="F73" s="23" t="str">
        <f>IF(OR(E73="",E73="!!!"),"",IF(NOT(ISNA(VLOOKUP(E73,E$1:E72,1,FALSE()))),"OLD",IF(AND(E73&lt;&gt;"",E73&lt;&gt;"!!!"),"NEW","")))</f>
        <v> </v>
      </c>
      <c r="G73" s="24" t="str">
        <f>IF(OR(E73="",E73="!!!"),"",IF(OR(J73=0,AND(J73=1,K73=1),AND(J73=1,I73="SBJ"),AND(J73=1,I73=0)),"?IN_FOCUS",IF(J73&lt;=2,"?ACTIVATED",IF(J73&lt;&gt;"","?FAMILIAR",IF(F73="NEW",IF(ISNA(VLOOKUP(E73,#REF!,1,FALSE())),"?TYPE_IDENTIFIABLE","?REFERENTIAL"),"_")))))</f>
        <v> </v>
      </c>
      <c r="H73" s="25" t="str">
        <f>IF(J73&lt;&gt;1,"",IF(I73="SBJ","CB","?"))</f>
        <v> </v>
      </c>
      <c r="I73" s="26" t="str">
        <f>IF(OR(E73="",E73="!!!",F73="NEW"),"",INDEX(B72:B$2,-1+SUMPRODUCT(MAX(ROW(E72:E$2)*(E73=E72:E$2)))))</f>
        <v> </v>
      </c>
      <c r="J73" s="26" t="str">
        <f>IF(OR(E73="",E73="!!!",F73="NEW"),"",COUNTBLANK(OFFSET(A$1,,,SUMPRODUCT(MAX(ROW(E$2:E73)*(E73=E$2:E73)))))-COUNTBLANK(OFFSET(A$1,,,SUMPRODUCT(MAX(ROW(E$1:E72)*(E2=E$1:E72))))))</f>
        <v> </v>
      </c>
      <c r="K73" s="26" t="str">
        <f>IF(OR(E73="",E73="!!!",F73="NEW"),"",INDEX(J$1:J72,SUMPRODUCT(MAX(ROW(E$1:E72)*(E73=E$1:E72)))))</f>
        <v> </v>
      </c>
      <c r="L73" s="27"/>
    </row>
    <row r="74" spans="1:12">
      <c r="A74" s="20" t="s">
        <v>167</v>
      </c>
      <c r="E74" s="22">
        <f>IF(D74="?OLD","!!!","")</f>
        <v/>
      </c>
      <c r="F74" s="23" t="str">
        <f>IF(OR(E74="",E74="!!!"),"",IF(NOT(ISNA(VLOOKUP(E74,E$1:E73,1,FALSE()))),"OLD",IF(AND(E74&lt;&gt;"",E74&lt;&gt;"!!!"),"NEW","")))</f>
        <v> </v>
      </c>
      <c r="G74" s="24" t="str">
        <f>IF(OR(E74="",E74="!!!"),"",IF(OR(J74=0,AND(J74=1,K74=1),AND(J74=1,I74="SBJ"),AND(J74=1,I74=0)),"?IN_FOCUS",IF(J74&lt;=2,"?ACTIVATED",IF(J74&lt;&gt;"","?FAMILIAR",IF(F74="NEW",IF(ISNA(VLOOKUP(E74,#REF!,1,FALSE())),"?TYPE_IDENTIFIABLE","?REFERENTIAL"),"_")))))</f>
        <v> </v>
      </c>
      <c r="H74" s="25" t="str">
        <f>IF(J74&lt;&gt;1,"",IF(I74="SBJ","CB","?"))</f>
        <v> </v>
      </c>
      <c r="I74" s="26" t="str">
        <f>IF(OR(E74="",E74="!!!",F74="NEW"),"",INDEX(B73:B$2,-1+SUMPRODUCT(MAX(ROW(E73:E$2)*(E74=E73:E$2)))))</f>
        <v> </v>
      </c>
      <c r="J74" s="26" t="str">
        <f>IF(OR(E74="",E74="!!!",F74="NEW"),"",COUNTBLANK(OFFSET(A$1,,,SUMPRODUCT(MAX(ROW(E$2:E74)*(E74=E$2:E74)))))-COUNTBLANK(OFFSET(A$1,,,SUMPRODUCT(MAX(ROW(E$1:E73)*(E2=E$1:E73))))))</f>
        <v> </v>
      </c>
      <c r="K74" s="26" t="str">
        <f>IF(OR(E74="",E74="!!!",F74="NEW"),"",INDEX(J$1:J73,SUMPRODUCT(MAX(ROW(E$1:E73)*(E74=E$1:E73)))))</f>
        <v> </v>
      </c>
      <c r="L74" s="27"/>
    </row>
    <row r="75" spans="1:12">
      <c r="A75" s="20" t="s">
        <v>168</v>
      </c>
      <c r="E75" s="22">
        <f>IF(D75="?OLD","!!!","")</f>
        <v/>
      </c>
      <c r="F75" s="23" t="str">
        <f>IF(OR(E75="",E75="!!!"),"",IF(NOT(ISNA(VLOOKUP(E75,E$1:E74,1,FALSE()))),"OLD",IF(AND(E75&lt;&gt;"",E75&lt;&gt;"!!!"),"NEW","")))</f>
        <v> </v>
      </c>
      <c r="G75" s="24" t="str">
        <f>IF(OR(E75="",E75="!!!"),"",IF(OR(J75=0,AND(J75=1,K75=1),AND(J75=1,I75="SBJ"),AND(J75=1,I75=0)),"?IN_FOCUS",IF(J75&lt;=2,"?ACTIVATED",IF(J75&lt;&gt;"","?FAMILIAR",IF(F75="NEW",IF(ISNA(VLOOKUP(E75,#REF!,1,FALSE())),"?TYPE_IDENTIFIABLE","?REFERENTIAL"),"_")))))</f>
        <v> </v>
      </c>
      <c r="H75" s="25" t="str">
        <f>IF(J75&lt;&gt;1,"",IF(I75="SBJ","CB","?"))</f>
        <v> </v>
      </c>
      <c r="I75" s="26" t="str">
        <f>IF(OR(E75="",E75="!!!",F75="NEW"),"",INDEX(B74:B$2,-1+SUMPRODUCT(MAX(ROW(E74:E$2)*(E75=E74:E$2)))))</f>
        <v> </v>
      </c>
      <c r="J75" s="26" t="str">
        <f>IF(OR(E75="",E75="!!!",F75="NEW"),"",COUNTBLANK(OFFSET(A$1,,,SUMPRODUCT(MAX(ROW(E$2:E75)*(E75=E$2:E75)))))-COUNTBLANK(OFFSET(A$1,,,SUMPRODUCT(MAX(ROW(E$1:E74)*(E2=E$1:E74))))))</f>
        <v> </v>
      </c>
      <c r="K75" s="26" t="str">
        <f>IF(OR(E75="",E75="!!!",F75="NEW"),"",INDEX(J$1:J74,SUMPRODUCT(MAX(ROW(E$1:E74)*(E75=E$1:E74)))))</f>
        <v> </v>
      </c>
      <c r="L75" s="27"/>
    </row>
    <row r="76" spans="1:12">
      <c r="A76" s="20" t="s">
        <v>169</v>
      </c>
      <c r="E76" s="22">
        <f>IF(D76="?OLD","!!!","")</f>
        <v/>
      </c>
      <c r="F76" s="23" t="str">
        <f>IF(OR(E76="",E76="!!!"),"",IF(NOT(ISNA(VLOOKUP(E76,E$1:E75,1,FALSE()))),"OLD",IF(AND(E76&lt;&gt;"",E76&lt;&gt;"!!!"),"NEW","")))</f>
        <v> </v>
      </c>
      <c r="G76" s="24" t="str">
        <f>IF(OR(E76="",E76="!!!"),"",IF(OR(J76=0,AND(J76=1,K76=1),AND(J76=1,I76="SBJ"),AND(J76=1,I76=0)),"?IN_FOCUS",IF(J76&lt;=2,"?ACTIVATED",IF(J76&lt;&gt;"","?FAMILIAR",IF(F76="NEW",IF(ISNA(VLOOKUP(E76,#REF!,1,FALSE())),"?TYPE_IDENTIFIABLE","?REFERENTIAL"),"_")))))</f>
        <v> </v>
      </c>
      <c r="H76" s="25" t="str">
        <f>IF(J76&lt;&gt;1,"",IF(I76="SBJ","CB","?"))</f>
        <v> </v>
      </c>
      <c r="I76" s="26" t="str">
        <f>IF(OR(E76="",E76="!!!",F76="NEW"),"",INDEX(B75:B$2,-1+SUMPRODUCT(MAX(ROW(E75:E$2)*(E76=E75:E$2)))))</f>
        <v> </v>
      </c>
      <c r="J76" s="26" t="str">
        <f>IF(OR(E76="",E76="!!!",F76="NEW"),"",COUNTBLANK(OFFSET(A$1,,,SUMPRODUCT(MAX(ROW(E$2:E76)*(E76=E$2:E76)))))-COUNTBLANK(OFFSET(A$1,,,SUMPRODUCT(MAX(ROW(E$1:E75)*(E2=E$1:E75))))))</f>
        <v> </v>
      </c>
      <c r="K76" s="26" t="str">
        <f>IF(OR(E76="",E76="!!!",F76="NEW"),"",INDEX(J$1:J75,SUMPRODUCT(MAX(ROW(E$1:E75)*(E76=E$1:E75)))))</f>
        <v> </v>
      </c>
      <c r="L76" s="27"/>
    </row>
    <row r="77" spans="1:12">
      <c r="A77" s="20" t="s">
        <v>170</v>
      </c>
      <c r="E77" s="22">
        <f>IF(D77="?OLD","!!!","")</f>
        <v/>
      </c>
      <c r="F77" s="23" t="str">
        <f>IF(OR(E77="",E77="!!!"),"",IF(NOT(ISNA(VLOOKUP(E77,E$1:E76,1,FALSE()))),"OLD",IF(AND(E77&lt;&gt;"",E77&lt;&gt;"!!!"),"NEW","")))</f>
        <v> </v>
      </c>
      <c r="G77" s="24" t="str">
        <f>IF(OR(E77="",E77="!!!"),"",IF(OR(J77=0,AND(J77=1,K77=1),AND(J77=1,I77="SBJ"),AND(J77=1,I77=0)),"?IN_FOCUS",IF(J77&lt;=2,"?ACTIVATED",IF(J77&lt;&gt;"","?FAMILIAR",IF(F77="NEW",IF(ISNA(VLOOKUP(E77,#REF!,1,FALSE())),"?TYPE_IDENTIFIABLE","?REFERENTIAL"),"_")))))</f>
        <v> </v>
      </c>
      <c r="H77" s="25" t="str">
        <f>IF(J77&lt;&gt;1,"",IF(I77="SBJ","CB","?"))</f>
        <v> </v>
      </c>
      <c r="I77" s="26" t="str">
        <f>IF(OR(E77="",E77="!!!",F77="NEW"),"",INDEX(B76:B$2,-1+SUMPRODUCT(MAX(ROW(E76:E$2)*(E77=E76:E$2)))))</f>
        <v> </v>
      </c>
      <c r="J77" s="26" t="str">
        <f>IF(OR(E77="",E77="!!!",F77="NEW"),"",COUNTBLANK(OFFSET(A$1,,,SUMPRODUCT(MAX(ROW(E$2:E77)*(E77=E$2:E77)))))-COUNTBLANK(OFFSET(A$1,,,SUMPRODUCT(MAX(ROW(E$1:E76)*(E2=E$1:E76))))))</f>
        <v> </v>
      </c>
      <c r="K77" s="26" t="str">
        <f>IF(OR(E77="",E77="!!!",F77="NEW"),"",INDEX(J$1:J76,SUMPRODUCT(MAX(ROW(E$1:E76)*(E77=E$1:E76)))))</f>
        <v> </v>
      </c>
      <c r="L77" s="27"/>
    </row>
    <row r="78" spans="1:12">
      <c r="A78" s="20" t="s">
        <v>97</v>
      </c>
      <c r="E78" s="22">
        <f>IF(D78="?OLD","!!!","")</f>
        <v/>
      </c>
      <c r="F78" s="23" t="str">
        <f>IF(OR(E78="",E78="!!!"),"",IF(NOT(ISNA(VLOOKUP(E78,E$1:E77,1,FALSE()))),"OLD",IF(AND(E78&lt;&gt;"",E78&lt;&gt;"!!!"),"NEW","")))</f>
        <v> </v>
      </c>
      <c r="G78" s="24" t="str">
        <f>IF(OR(E78="",E78="!!!"),"",IF(OR(J78=0,AND(J78=1,K78=1),AND(J78=1,I78="SBJ"),AND(J78=1,I78=0)),"?IN_FOCUS",IF(J78&lt;=2,"?ACTIVATED",IF(J78&lt;&gt;"","?FAMILIAR",IF(F78="NEW",IF(ISNA(VLOOKUP(E78,#REF!,1,FALSE())),"?TYPE_IDENTIFIABLE","?REFERENTIAL"),"_")))))</f>
        <v> </v>
      </c>
      <c r="H78" s="25" t="str">
        <f>IF(J78&lt;&gt;1,"",IF(I78="SBJ","CB","?"))</f>
        <v> </v>
      </c>
      <c r="I78" s="26" t="str">
        <f>IF(OR(E78="",E78="!!!",F78="NEW"),"",INDEX(B77:B$2,-1+SUMPRODUCT(MAX(ROW(E77:E$2)*(E78=E77:E$2)))))</f>
        <v> </v>
      </c>
      <c r="J78" s="26" t="str">
        <f>IF(OR(E78="",E78="!!!",F78="NEW"),"",COUNTBLANK(OFFSET(A$1,,,SUMPRODUCT(MAX(ROW(E$2:E78)*(E78=E$2:E78)))))-COUNTBLANK(OFFSET(A$1,,,SUMPRODUCT(MAX(ROW(E$1:E77)*(E2=E$1:E77))))))</f>
        <v> </v>
      </c>
      <c r="K78" s="26" t="str">
        <f>IF(OR(E78="",E78="!!!",F78="NEW"),"",INDEX(J$1:J77,SUMPRODUCT(MAX(ROW(E$1:E77)*(E78=E$1:E77)))))</f>
        <v> </v>
      </c>
      <c r="L78" s="27"/>
    </row>
    <row r="79" spans="1:12">
      <c r="A79" s="20" t="s">
        <v>171</v>
      </c>
      <c r="E79" s="22">
        <f>IF(D79="?OLD","!!!","")</f>
        <v/>
      </c>
      <c r="F79" s="23" t="str">
        <f>IF(OR(E79="",E79="!!!"),"",IF(NOT(ISNA(VLOOKUP(E79,E$1:E78,1,FALSE()))),"OLD",IF(AND(E79&lt;&gt;"",E79&lt;&gt;"!!!"),"NEW","")))</f>
        <v> </v>
      </c>
      <c r="G79" s="24" t="str">
        <f>IF(OR(E79="",E79="!!!"),"",IF(OR(J79=0,AND(J79=1,K79=1),AND(J79=1,I79="SBJ"),AND(J79=1,I79=0)),"?IN_FOCUS",IF(J79&lt;=2,"?ACTIVATED",IF(J79&lt;&gt;"","?FAMILIAR",IF(F79="NEW",IF(ISNA(VLOOKUP(E79,#REF!,1,FALSE())),"?TYPE_IDENTIFIABLE","?REFERENTIAL"),"_")))))</f>
        <v> </v>
      </c>
      <c r="H79" s="25" t="str">
        <f>IF(J79&lt;&gt;1,"",IF(I79="SBJ","CB","?"))</f>
        <v> </v>
      </c>
      <c r="I79" s="26" t="str">
        <f>IF(OR(E79="",E79="!!!",F79="NEW"),"",INDEX(B78:B$2,-1+SUMPRODUCT(MAX(ROW(E78:E$2)*(E79=E78:E$2)))))</f>
        <v> </v>
      </c>
      <c r="J79" s="26" t="str">
        <f>IF(OR(E79="",E79="!!!",F79="NEW"),"",COUNTBLANK(OFFSET(A$1,,,SUMPRODUCT(MAX(ROW(E$2:E79)*(E79=E$2:E79)))))-COUNTBLANK(OFFSET(A$1,,,SUMPRODUCT(MAX(ROW(E$1:E78)*(E2=E$1:E78))))))</f>
        <v> </v>
      </c>
      <c r="K79" s="26" t="str">
        <f>IF(OR(E79="",E79="!!!",F79="NEW"),"",INDEX(J$1:J78,SUMPRODUCT(MAX(ROW(E$1:E78)*(E79=E$1:E78)))))</f>
        <v> </v>
      </c>
      <c r="L79" s="27"/>
    </row>
    <row r="80" spans="1:12">
      <c r="A80" s="20" t="s">
        <v>118</v>
      </c>
      <c r="E80" s="22">
        <f>IF(D80="?OLD","!!!","")</f>
        <v/>
      </c>
      <c r="F80" s="23" t="str">
        <f>IF(OR(E80="",E80="!!!"),"",IF(NOT(ISNA(VLOOKUP(E80,E$1:E79,1,FALSE()))),"OLD",IF(AND(E80&lt;&gt;"",E80&lt;&gt;"!!!"),"NEW","")))</f>
        <v> </v>
      </c>
      <c r="G80" s="24" t="str">
        <f>IF(OR(E80="",E80="!!!"),"",IF(OR(J80=0,AND(J80=1,K80=1),AND(J80=1,I80="SBJ"),AND(J80=1,I80=0)),"?IN_FOCUS",IF(J80&lt;=2,"?ACTIVATED",IF(J80&lt;&gt;"","?FAMILIAR",IF(F80="NEW",IF(ISNA(VLOOKUP(E80,#REF!,1,FALSE())),"?TYPE_IDENTIFIABLE","?REFERENTIAL"),"_")))))</f>
        <v> </v>
      </c>
      <c r="H80" s="25" t="str">
        <f>IF(J80&lt;&gt;1,"",IF(I80="SBJ","CB","?"))</f>
        <v> </v>
      </c>
      <c r="I80" s="26" t="str">
        <f>IF(OR(E80="",E80="!!!",F80="NEW"),"",INDEX(B79:B$2,-1+SUMPRODUCT(MAX(ROW(E79:E$2)*(E80=E79:E$2)))))</f>
        <v> </v>
      </c>
      <c r="J80" s="26" t="str">
        <f>IF(OR(E80="",E80="!!!",F80="NEW"),"",COUNTBLANK(OFFSET(A$1,,,SUMPRODUCT(MAX(ROW(E$2:E80)*(E80=E$2:E80)))))-COUNTBLANK(OFFSET(A$1,,,SUMPRODUCT(MAX(ROW(E$1:E79)*(E2=E$1:E79))))))</f>
        <v> </v>
      </c>
      <c r="K80" s="26" t="str">
        <f>IF(OR(E80="",E80="!!!",F80="NEW"),"",INDEX(J$1:J79,SUMPRODUCT(MAX(ROW(E$1:E79)*(E80=E$1:E79)))))</f>
        <v> </v>
      </c>
      <c r="L80" s="27"/>
    </row>
    <row r="81" spans="1:12">
      <c r="A81" s="20" t="s">
        <v>172</v>
      </c>
      <c r="B81" s="21" t="s">
        <v>144</v>
      </c>
      <c r="C81" s="21" t="s">
        <v>104</v>
      </c>
      <c r="D81" s="21" t="s">
        <v>102</v>
      </c>
      <c r="E81" s="22">
        <f>IF(D81="?OLD","!!!","")</f>
        <v/>
      </c>
      <c r="F81" s="23" t="str">
        <f>IF(OR(E81="",E81="!!!"),"",IF(NOT(ISNA(VLOOKUP(E81,E$1:E80,1,FALSE()))),"OLD",IF(AND(E81&lt;&gt;"",E81&lt;&gt;"!!!"),"NEW","")))</f>
        <v> </v>
      </c>
      <c r="G81" s="24" t="str">
        <f>IF(OR(E81="",E81="!!!"),"",IF(OR(J81=0,AND(J81=1,K81=1),AND(J81=1,I81="SBJ"),AND(J81=1,I81=0)),"?IN_FOCUS",IF(J81&lt;=2,"?ACTIVATED",IF(J81&lt;&gt;"","?FAMILIAR",IF(F81="NEW",IF(ISNA(VLOOKUP(E81,#REF!,1,FALSE())),"?TYPE_IDENTIFIABLE","?REFERENTIAL"),"_")))))</f>
        <v> </v>
      </c>
      <c r="H81" s="25" t="str">
        <f>IF(J81&lt;&gt;1,"",IF(I81="SBJ","CB","?"))</f>
        <v> </v>
      </c>
      <c r="I81" s="26" t="str">
        <f>IF(OR(E81="",E81="!!!",F81="NEW"),"",INDEX(B80:B$2,-1+SUMPRODUCT(MAX(ROW(E80:E$2)*(E81=E80:E$2)))))</f>
        <v> </v>
      </c>
      <c r="J81" s="26" t="str">
        <f>IF(OR(E81="",E81="!!!",F81="NEW"),"",COUNTBLANK(OFFSET(A$1,,,SUMPRODUCT(MAX(ROW(E$2:E81)*(E81=E$2:E81)))))-COUNTBLANK(OFFSET(A$1,,,SUMPRODUCT(MAX(ROW(E$1:E80)*(E2=E$1:E80))))))</f>
        <v> </v>
      </c>
      <c r="K81" s="26" t="str">
        <f>IF(OR(E81="",E81="!!!",F81="NEW"),"",INDEX(J$1:J80,SUMPRODUCT(MAX(ROW(E$1:E80)*(E81=E$1:E80)))))</f>
        <v> </v>
      </c>
      <c r="L81" s="27"/>
    </row>
    <row r="82" spans="1:12">
      <c r="A82" s="20" t="s">
        <v>173</v>
      </c>
      <c r="B82" s="21" t="s">
        <v>174</v>
      </c>
      <c r="E82" s="22">
        <f>IF(D82="?OLD","!!!","")</f>
        <v/>
      </c>
      <c r="F82" s="23" t="str">
        <f>IF(OR(E82="",E82="!!!"),"",IF(NOT(ISNA(VLOOKUP(E82,E$1:E81,1,FALSE()))),"OLD",IF(AND(E82&lt;&gt;"",E82&lt;&gt;"!!!"),"NEW","")))</f>
        <v> </v>
      </c>
      <c r="G82" s="24" t="str">
        <f>IF(OR(E82="",E82="!!!"),"",IF(OR(J82=0,AND(J82=1,K82=1),AND(J82=1,I82="SBJ"),AND(J82=1,I82=0)),"?IN_FOCUS",IF(J82&lt;=2,"?ACTIVATED",IF(J82&lt;&gt;"","?FAMILIAR",IF(F82="NEW",IF(ISNA(VLOOKUP(E82,#REF!,1,FALSE())),"?TYPE_IDENTIFIABLE","?REFERENTIAL"),"_")))))</f>
        <v> </v>
      </c>
      <c r="H82" s="25" t="str">
        <f>IF(J82&lt;&gt;1,"",IF(I82="SBJ","CB","?"))</f>
        <v> </v>
      </c>
      <c r="I82" s="26" t="str">
        <f>IF(OR(E82="",E82="!!!",F82="NEW"),"",INDEX(B81:B$2,-1+SUMPRODUCT(MAX(ROW(E81:E$2)*(E82=E81:E$2)))))</f>
        <v> </v>
      </c>
      <c r="J82" s="26" t="str">
        <f>IF(OR(E82="",E82="!!!",F82="NEW"),"",COUNTBLANK(OFFSET(A$1,,,SUMPRODUCT(MAX(ROW(E$2:E82)*(E82=E$2:E82)))))-COUNTBLANK(OFFSET(A$1,,,SUMPRODUCT(MAX(ROW(E$1:E81)*(E2=E$1:E81))))))</f>
        <v> </v>
      </c>
      <c r="K82" s="26" t="str">
        <f>IF(OR(E82="",E82="!!!",F82="NEW"),"",INDEX(J$1:J81,SUMPRODUCT(MAX(ROW(E$1:E81)*(E82=E$1:E81)))))</f>
        <v> </v>
      </c>
      <c r="L82" s="27"/>
    </row>
    <row r="83" spans="1:12">
      <c r="A83" s="20" t="s">
        <v>175</v>
      </c>
      <c r="E83" s="22">
        <f>IF(D83="?OLD","!!!","")</f>
        <v/>
      </c>
      <c r="F83" s="23" t="str">
        <f>IF(OR(E83="",E83="!!!"),"",IF(NOT(ISNA(VLOOKUP(E83,E$1:E82,1,FALSE()))),"OLD",IF(AND(E83&lt;&gt;"",E83&lt;&gt;"!!!"),"NEW","")))</f>
        <v> </v>
      </c>
      <c r="G83" s="24" t="str">
        <f>IF(OR(E83="",E83="!!!"),"",IF(OR(J83=0,AND(J83=1,K83=1),AND(J83=1,I83="SBJ"),AND(J83=1,I83=0)),"?IN_FOCUS",IF(J83&lt;=2,"?ACTIVATED",IF(J83&lt;&gt;"","?FAMILIAR",IF(F83="NEW",IF(ISNA(VLOOKUP(E83,#REF!,1,FALSE())),"?TYPE_IDENTIFIABLE","?REFERENTIAL"),"_")))))</f>
        <v> </v>
      </c>
      <c r="H83" s="25" t="str">
        <f>IF(J83&lt;&gt;1,"",IF(I83="SBJ","CB","?"))</f>
        <v> </v>
      </c>
      <c r="I83" s="26" t="str">
        <f>IF(OR(E83="",E83="!!!",F83="NEW"),"",INDEX(B82:B$2,-1+SUMPRODUCT(MAX(ROW(E82:E$2)*(E83=E82:E$2)))))</f>
        <v> </v>
      </c>
      <c r="J83" s="26" t="str">
        <f>IF(OR(E83="",E83="!!!",F83="NEW"),"",COUNTBLANK(OFFSET(A$1,,,SUMPRODUCT(MAX(ROW(E$2:E83)*(E83=E$2:E83)))))-COUNTBLANK(OFFSET(A$1,,,SUMPRODUCT(MAX(ROW(E$1:E82)*(E2=E$1:E82))))))</f>
        <v> </v>
      </c>
      <c r="K83" s="26" t="str">
        <f>IF(OR(E83="",E83="!!!",F83="NEW"),"",INDEX(J$1:J82,SUMPRODUCT(MAX(ROW(E$1:E82)*(E83=E$1:E82)))))</f>
        <v> </v>
      </c>
      <c r="L83" s="27"/>
    </row>
    <row r="84" spans="1:12">
      <c r="A84" s="20" t="s">
        <v>176</v>
      </c>
      <c r="E84" s="22">
        <f>IF(D84="?OLD","!!!","")</f>
        <v/>
      </c>
      <c r="F84" s="23" t="str">
        <f>IF(OR(E84="",E84="!!!"),"",IF(NOT(ISNA(VLOOKUP(E84,E$1:E83,1,FALSE()))),"OLD",IF(AND(E84&lt;&gt;"",E84&lt;&gt;"!!!"),"NEW","")))</f>
        <v> </v>
      </c>
      <c r="G84" s="24" t="str">
        <f>IF(OR(E84="",E84="!!!"),"",IF(OR(J84=0,AND(J84=1,K84=1),AND(J84=1,I84="SBJ"),AND(J84=1,I84=0)),"?IN_FOCUS",IF(J84&lt;=2,"?ACTIVATED",IF(J84&lt;&gt;"","?FAMILIAR",IF(F84="NEW",IF(ISNA(VLOOKUP(E84,#REF!,1,FALSE())),"?TYPE_IDENTIFIABLE","?REFERENTIAL"),"_")))))</f>
        <v> </v>
      </c>
      <c r="H84" s="25" t="str">
        <f>IF(J84&lt;&gt;1,"",IF(I84="SBJ","CB","?"))</f>
        <v> </v>
      </c>
      <c r="I84" s="26" t="str">
        <f>IF(OR(E84="",E84="!!!",F84="NEW"),"",INDEX(B83:B$2,-1+SUMPRODUCT(MAX(ROW(E83:E$2)*(E84=E83:E$2)))))</f>
        <v> </v>
      </c>
      <c r="J84" s="26" t="str">
        <f>IF(OR(E84="",E84="!!!",F84="NEW"),"",COUNTBLANK(OFFSET(A$1,,,SUMPRODUCT(MAX(ROW(E$2:E84)*(E84=E$2:E84)))))-COUNTBLANK(OFFSET(A$1,,,SUMPRODUCT(MAX(ROW(E$1:E83)*(E2=E$1:E83))))))</f>
        <v> </v>
      </c>
      <c r="K84" s="26" t="str">
        <f>IF(OR(E84="",E84="!!!",F84="NEW"),"",INDEX(J$1:J83,SUMPRODUCT(MAX(ROW(E$1:E83)*(E84=E$1:E83)))))</f>
        <v> </v>
      </c>
      <c r="L84" s="27"/>
    </row>
    <row r="85" spans="1:12">
      <c r="A85" s="20" t="s">
        <v>177</v>
      </c>
      <c r="E85" s="22">
        <f>IF(D85="?OLD","!!!","")</f>
        <v/>
      </c>
      <c r="F85" s="23" t="str">
        <f>IF(OR(E85="",E85="!!!"),"",IF(NOT(ISNA(VLOOKUP(E85,E$1:E84,1,FALSE()))),"OLD",IF(AND(E85&lt;&gt;"",E85&lt;&gt;"!!!"),"NEW","")))</f>
        <v> </v>
      </c>
      <c r="G85" s="24" t="str">
        <f>IF(OR(E85="",E85="!!!"),"",IF(OR(J85=0,AND(J85=1,K85=1),AND(J85=1,I85="SBJ"),AND(J85=1,I85=0)),"?IN_FOCUS",IF(J85&lt;=2,"?ACTIVATED",IF(J85&lt;&gt;"","?FAMILIAR",IF(F85="NEW",IF(ISNA(VLOOKUP(E85,#REF!,1,FALSE())),"?TYPE_IDENTIFIABLE","?REFERENTIAL"),"_")))))</f>
        <v> </v>
      </c>
      <c r="H85" s="25" t="str">
        <f>IF(J85&lt;&gt;1,"",IF(I85="SBJ","CB","?"))</f>
        <v> </v>
      </c>
      <c r="I85" s="26" t="str">
        <f>IF(OR(E85="",E85="!!!",F85="NEW"),"",INDEX(B84:B$2,-1+SUMPRODUCT(MAX(ROW(E84:E$2)*(E85=E84:E$2)))))</f>
        <v> </v>
      </c>
      <c r="J85" s="26" t="str">
        <f>IF(OR(E85="",E85="!!!",F85="NEW"),"",COUNTBLANK(OFFSET(A$1,,,SUMPRODUCT(MAX(ROW(E$2:E85)*(E85=E$2:E85)))))-COUNTBLANK(OFFSET(A$1,,,SUMPRODUCT(MAX(ROW(E$1:E84)*(E2=E$1:E84))))))</f>
        <v> </v>
      </c>
      <c r="K85" s="26" t="str">
        <f>IF(OR(E85="",E85="!!!",F85="NEW"),"",INDEX(J$1:J84,SUMPRODUCT(MAX(ROW(E$1:E84)*(E85=E$1:E84)))))</f>
        <v> </v>
      </c>
      <c r="L85" s="27"/>
    </row>
    <row r="86" spans="1:12">
      <c r="A86" s="20" t="s">
        <v>178</v>
      </c>
      <c r="B86" s="21" t="s">
        <v>120</v>
      </c>
      <c r="C86" s="21" t="s">
        <v>104</v>
      </c>
      <c r="D86" s="21" t="s">
        <v>102</v>
      </c>
      <c r="E86" s="22">
        <f>IF(D86="?OLD","!!!","")</f>
        <v/>
      </c>
      <c r="F86" s="23" t="str">
        <f>IF(OR(E86="",E86="!!!"),"",IF(NOT(ISNA(VLOOKUP(E86,E$1:E85,1,FALSE()))),"OLD",IF(AND(E86&lt;&gt;"",E86&lt;&gt;"!!!"),"NEW","")))</f>
        <v> </v>
      </c>
      <c r="G86" s="24" t="str">
        <f>IF(OR(E86="",E86="!!!"),"",IF(OR(J86=0,AND(J86=1,K86=1),AND(J86=1,I86="SBJ"),AND(J86=1,I86=0)),"?IN_FOCUS",IF(J86&lt;=2,"?ACTIVATED",IF(J86&lt;&gt;"","?FAMILIAR",IF(F86="NEW",IF(ISNA(VLOOKUP(E86,#REF!,1,FALSE())),"?TYPE_IDENTIFIABLE","?REFERENTIAL"),"_")))))</f>
        <v> </v>
      </c>
      <c r="H86" s="25" t="str">
        <f>IF(J86&lt;&gt;1,"",IF(I86="SBJ","CB","?"))</f>
        <v> </v>
      </c>
      <c r="I86" s="26" t="str">
        <f>IF(OR(E86="",E86="!!!",F86="NEW"),"",INDEX(B85:B$2,-1+SUMPRODUCT(MAX(ROW(E85:E$2)*(E86=E85:E$2)))))</f>
        <v> </v>
      </c>
      <c r="J86" s="26" t="str">
        <f>IF(OR(E86="",E86="!!!",F86="NEW"),"",COUNTBLANK(OFFSET(A$1,,,SUMPRODUCT(MAX(ROW(E$2:E86)*(E86=E$2:E86)))))-COUNTBLANK(OFFSET(A$1,,,SUMPRODUCT(MAX(ROW(E$1:E85)*(E2=E$1:E85))))))</f>
        <v> </v>
      </c>
      <c r="K86" s="26" t="str">
        <f>IF(OR(E86="",E86="!!!",F86="NEW"),"",INDEX(J$1:J85,SUMPRODUCT(MAX(ROW(E$1:E85)*(E86=E$1:E85)))))</f>
        <v> </v>
      </c>
      <c r="L86" s="27"/>
    </row>
    <row r="87" spans="1:12">
      <c r="A87" s="20" t="s">
        <v>177</v>
      </c>
      <c r="E87" s="22">
        <f>IF(D87="?OLD","!!!","")</f>
        <v/>
      </c>
      <c r="F87" s="23" t="str">
        <f>IF(OR(E87="",E87="!!!"),"",IF(NOT(ISNA(VLOOKUP(E87,E$1:E86,1,FALSE()))),"OLD",IF(AND(E87&lt;&gt;"",E87&lt;&gt;"!!!"),"NEW","")))</f>
        <v> </v>
      </c>
      <c r="G87" s="24" t="str">
        <f>IF(OR(E87="",E87="!!!"),"",IF(OR(J87=0,AND(J87=1,K87=1),AND(J87=1,I87="SBJ"),AND(J87=1,I87=0)),"?IN_FOCUS",IF(J87&lt;=2,"?ACTIVATED",IF(J87&lt;&gt;"","?FAMILIAR",IF(F87="NEW",IF(ISNA(VLOOKUP(E87,#REF!,1,FALSE())),"?TYPE_IDENTIFIABLE","?REFERENTIAL"),"_")))))</f>
        <v> </v>
      </c>
      <c r="H87" s="25" t="str">
        <f>IF(J87&lt;&gt;1,"",IF(I87="SBJ","CB","?"))</f>
        <v> </v>
      </c>
      <c r="I87" s="26" t="str">
        <f>IF(OR(E87="",E87="!!!",F87="NEW"),"",INDEX(B86:B$2,-1+SUMPRODUCT(MAX(ROW(E86:E$2)*(E87=E86:E$2)))))</f>
        <v> </v>
      </c>
      <c r="J87" s="26" t="str">
        <f>IF(OR(E87="",E87="!!!",F87="NEW"),"",COUNTBLANK(OFFSET(A$1,,,SUMPRODUCT(MAX(ROW(E$2:E87)*(E87=E$2:E87)))))-COUNTBLANK(OFFSET(A$1,,,SUMPRODUCT(MAX(ROW(E$1:E86)*(E2=E$1:E86))))))</f>
        <v> </v>
      </c>
      <c r="K87" s="26" t="str">
        <f>IF(OR(E87="",E87="!!!",F87="NEW"),"",INDEX(J$1:J86,SUMPRODUCT(MAX(ROW(E$1:E86)*(E87=E$1:E86)))))</f>
        <v> </v>
      </c>
      <c r="L87" s="27"/>
    </row>
    <row r="88" spans="1:12">
      <c r="A88" s="20" t="s">
        <v>179</v>
      </c>
      <c r="E88" s="22">
        <f>IF(D88="?OLD","!!!","")</f>
        <v/>
      </c>
      <c r="F88" s="23" t="str">
        <f>IF(OR(E88="",E88="!!!"),"",IF(NOT(ISNA(VLOOKUP(E88,E$1:E87,1,FALSE()))),"OLD",IF(AND(E88&lt;&gt;"",E88&lt;&gt;"!!!"),"NEW","")))</f>
        <v> </v>
      </c>
      <c r="G88" s="24" t="str">
        <f>IF(OR(E88="",E88="!!!"),"",IF(OR(J88=0,AND(J88=1,K88=1),AND(J88=1,I88="SBJ"),AND(J88=1,I88=0)),"?IN_FOCUS",IF(J88&lt;=2,"?ACTIVATED",IF(J88&lt;&gt;"","?FAMILIAR",IF(F88="NEW",IF(ISNA(VLOOKUP(E88,#REF!,1,FALSE())),"?TYPE_IDENTIFIABLE","?REFERENTIAL"),"_")))))</f>
        <v> </v>
      </c>
      <c r="H88" s="25" t="str">
        <f>IF(J88&lt;&gt;1,"",IF(I88="SBJ","CB","?"))</f>
        <v> </v>
      </c>
      <c r="I88" s="26" t="str">
        <f>IF(OR(E88="",E88="!!!",F88="NEW"),"",INDEX(B87:B$2,-1+SUMPRODUCT(MAX(ROW(E87:E$2)*(E88=E87:E$2)))))</f>
        <v> </v>
      </c>
      <c r="J88" s="26" t="str">
        <f>IF(OR(E88="",E88="!!!",F88="NEW"),"",COUNTBLANK(OFFSET(A$1,,,SUMPRODUCT(MAX(ROW(E$2:E88)*(E88=E$2:E88)))))-COUNTBLANK(OFFSET(A$1,,,SUMPRODUCT(MAX(ROW(E$1:E87)*(E2=E$1:E87))))))</f>
        <v> </v>
      </c>
      <c r="K88" s="26" t="str">
        <f>IF(OR(E88="",E88="!!!",F88="NEW"),"",INDEX(J$1:J87,SUMPRODUCT(MAX(ROW(E$1:E87)*(E88=E$1:E87)))))</f>
        <v> </v>
      </c>
      <c r="L88" s="27"/>
    </row>
    <row r="89" spans="1:12">
      <c r="A89" s="20" t="s">
        <v>169</v>
      </c>
      <c r="E89" s="22">
        <f>IF(D89="?OLD","!!!","")</f>
        <v/>
      </c>
      <c r="F89" s="23" t="str">
        <f>IF(OR(E89="",E89="!!!"),"",IF(NOT(ISNA(VLOOKUP(E89,E$1:E88,1,FALSE()))),"OLD",IF(AND(E89&lt;&gt;"",E89&lt;&gt;"!!!"),"NEW","")))</f>
        <v> </v>
      </c>
      <c r="G89" s="24" t="str">
        <f>IF(OR(E89="",E89="!!!"),"",IF(OR(J89=0,AND(J89=1,K89=1),AND(J89=1,I89="SBJ"),AND(J89=1,I89=0)),"?IN_FOCUS",IF(J89&lt;=2,"?ACTIVATED",IF(J89&lt;&gt;"","?FAMILIAR",IF(F89="NEW",IF(ISNA(VLOOKUP(E89,#REF!,1,FALSE())),"?TYPE_IDENTIFIABLE","?REFERENTIAL"),"_")))))</f>
        <v> </v>
      </c>
      <c r="H89" s="25" t="str">
        <f>IF(J89&lt;&gt;1,"",IF(I89="SBJ","CB","?"))</f>
        <v> </v>
      </c>
      <c r="I89" s="26" t="str">
        <f>IF(OR(E89="",E89="!!!",F89="NEW"),"",INDEX(B88:B$2,-1+SUMPRODUCT(MAX(ROW(E88:E$2)*(E89=E88:E$2)))))</f>
        <v> </v>
      </c>
      <c r="J89" s="26" t="str">
        <f>IF(OR(E89="",E89="!!!",F89="NEW"),"",COUNTBLANK(OFFSET(A$1,,,SUMPRODUCT(MAX(ROW(E$2:E89)*(E89=E$2:E89)))))-COUNTBLANK(OFFSET(A$1,,,SUMPRODUCT(MAX(ROW(E$1:E88)*(E2=E$1:E88))))))</f>
        <v> </v>
      </c>
      <c r="K89" s="26" t="str">
        <f>IF(OR(E89="",E89="!!!",F89="NEW"),"",INDEX(J$1:J88,SUMPRODUCT(MAX(ROW(E$1:E88)*(E89=E$1:E88)))))</f>
        <v> </v>
      </c>
      <c r="L89" s="27"/>
    </row>
    <row r="90" spans="1:12">
      <c r="A90" s="20" t="s">
        <v>180</v>
      </c>
      <c r="B90" s="21" t="s">
        <v>127</v>
      </c>
      <c r="C90" s="21" t="s">
        <v>181</v>
      </c>
      <c r="E90" s="22">
        <f>IF(D90="?OLD","!!!","")</f>
        <v/>
      </c>
      <c r="F90" s="23" t="str">
        <f>IF(OR(E90="",E90="!!!"),"",IF(NOT(ISNA(VLOOKUP(E90,E$1:E89,1,FALSE()))),"OLD",IF(AND(E90&lt;&gt;"",E90&lt;&gt;"!!!"),"NEW","")))</f>
        <v> </v>
      </c>
      <c r="G90" s="24" t="str">
        <f>IF(OR(E90="",E90="!!!"),"",IF(OR(J90=0,AND(J90=1,K90=1),AND(J90=1,I90="SBJ"),AND(J90=1,I90=0)),"?IN_FOCUS",IF(J90&lt;=2,"?ACTIVATED",IF(J90&lt;&gt;"","?FAMILIAR",IF(F90="NEW",IF(ISNA(VLOOKUP(E90,#REF!,1,FALSE())),"?TYPE_IDENTIFIABLE","?REFERENTIAL"),"_")))))</f>
        <v> </v>
      </c>
      <c r="H90" s="25" t="str">
        <f>IF(J90&lt;&gt;1,"",IF(I90="SBJ","CB","?"))</f>
        <v> </v>
      </c>
      <c r="I90" s="26" t="str">
        <f>IF(OR(E90="",E90="!!!",F90="NEW"),"",INDEX(B89:B$2,-1+SUMPRODUCT(MAX(ROW(E89:E$2)*(E90=E89:E$2)))))</f>
        <v> </v>
      </c>
      <c r="J90" s="26" t="str">
        <f>IF(OR(E90="",E90="!!!",F90="NEW"),"",COUNTBLANK(OFFSET(A$1,,,SUMPRODUCT(MAX(ROW(E$2:E90)*(E90=E$2:E90)))))-COUNTBLANK(OFFSET(A$1,,,SUMPRODUCT(MAX(ROW(E$1:E89)*(E2=E$1:E89))))))</f>
        <v> </v>
      </c>
      <c r="K90" s="26" t="str">
        <f>IF(OR(E90="",E90="!!!",F90="NEW"),"",INDEX(J$1:J89,SUMPRODUCT(MAX(ROW(E$1:E89)*(E90=E$1:E89)))))</f>
        <v> </v>
      </c>
      <c r="L90" s="27"/>
    </row>
    <row r="91" spans="1:12">
      <c r="A91" s="20" t="s">
        <v>94</v>
      </c>
      <c r="E91" s="22">
        <f>IF(D91="?OLD","!!!","")</f>
        <v/>
      </c>
      <c r="F91" s="23" t="str">
        <f>IF(OR(E91="",E91="!!!"),"",IF(NOT(ISNA(VLOOKUP(E91,E$1:E90,1,FALSE()))),"OLD",IF(AND(E91&lt;&gt;"",E91&lt;&gt;"!!!"),"NEW","")))</f>
        <v> </v>
      </c>
      <c r="G91" s="24" t="str">
        <f>IF(OR(E91="",E91="!!!"),"",IF(OR(J91=0,AND(J91=1,K91=1),AND(J91=1,I91="SBJ"),AND(J91=1,I91=0)),"?IN_FOCUS",IF(J91&lt;=2,"?ACTIVATED",IF(J91&lt;&gt;"","?FAMILIAR",IF(F91="NEW",IF(ISNA(VLOOKUP(E91,#REF!,1,FALSE())),"?TYPE_IDENTIFIABLE","?REFERENTIAL"),"_")))))</f>
        <v> </v>
      </c>
      <c r="H91" s="25" t="str">
        <f>IF(J91&lt;&gt;1,"",IF(I91="SBJ","CB","?"))</f>
        <v> </v>
      </c>
      <c r="I91" s="26" t="str">
        <f>IF(OR(E91="",E91="!!!",F91="NEW"),"",INDEX(B90:B$2,-1+SUMPRODUCT(MAX(ROW(E90:E$2)*(E91=E90:E$2)))))</f>
        <v> </v>
      </c>
      <c r="J91" s="26" t="str">
        <f>IF(OR(E91="",E91="!!!",F91="NEW"),"",COUNTBLANK(OFFSET(A$1,,,SUMPRODUCT(MAX(ROW(E$2:E91)*(E91=E$2:E91)))))-COUNTBLANK(OFFSET(A$1,,,SUMPRODUCT(MAX(ROW(E$1:E90)*(E2=E$1:E90))))))</f>
        <v> </v>
      </c>
      <c r="K91" s="26" t="str">
        <f>IF(OR(E91="",E91="!!!",F91="NEW"),"",INDEX(J$1:J90,SUMPRODUCT(MAX(ROW(E$1:E90)*(E91=E$1:E90)))))</f>
        <v> </v>
      </c>
      <c r="L91" s="27"/>
    </row>
    <row r="92" spans="1:12">
      <c r="A92" s="20" t="s">
        <v>182</v>
      </c>
      <c r="B92" s="21" t="s">
        <v>183</v>
      </c>
      <c r="C92" s="21" t="s">
        <v>92</v>
      </c>
      <c r="E92" s="22">
        <f>IF(D92="?OLD","!!!","")</f>
        <v/>
      </c>
      <c r="F92" s="23" t="str">
        <f>IF(OR(E92="",E92="!!!"),"",IF(NOT(ISNA(VLOOKUP(E92,E$1:E91,1,FALSE()))),"OLD",IF(AND(E92&lt;&gt;"",E92&lt;&gt;"!!!"),"NEW","")))</f>
        <v> </v>
      </c>
      <c r="G92" s="24" t="str">
        <f>IF(OR(E92="",E92="!!!"),"",IF(OR(J92=0,AND(J92=1,K92=1),AND(J92=1,I92="SBJ"),AND(J92=1,I92=0)),"?IN_FOCUS",IF(J92&lt;=2,"?ACTIVATED",IF(J92&lt;&gt;"","?FAMILIAR",IF(F92="NEW",IF(ISNA(VLOOKUP(E92,#REF!,1,FALSE())),"?TYPE_IDENTIFIABLE","?REFERENTIAL"),"_")))))</f>
        <v> </v>
      </c>
      <c r="H92" s="25" t="str">
        <f>IF(J92&lt;&gt;1,"",IF(I92="SBJ","CB","?"))</f>
        <v> </v>
      </c>
      <c r="I92" s="26" t="str">
        <f>IF(OR(E92="",E92="!!!",F92="NEW"),"",INDEX(B91:B$2,-1+SUMPRODUCT(MAX(ROW(E91:E$2)*(E92=E91:E$2)))))</f>
        <v> </v>
      </c>
      <c r="J92" s="26" t="str">
        <f>IF(OR(E92="",E92="!!!",F92="NEW"),"",COUNTBLANK(OFFSET(A$1,,,SUMPRODUCT(MAX(ROW(E$2:E92)*(E92=E$2:E92)))))-COUNTBLANK(OFFSET(A$1,,,SUMPRODUCT(MAX(ROW(E$1:E91)*(E2=E$1:E91))))))</f>
        <v> </v>
      </c>
      <c r="K92" s="26" t="str">
        <f>IF(OR(E92="",E92="!!!",F92="NEW"),"",INDEX(J$1:J91,SUMPRODUCT(MAX(ROW(E$1:E91)*(E92=E$1:E91)))))</f>
        <v> </v>
      </c>
      <c r="L92" s="27"/>
    </row>
    <row r="93" spans="1:12">
      <c r="A93" s="20" t="s">
        <v>184</v>
      </c>
      <c r="E93" s="22">
        <f>IF(D93="?OLD","!!!","")</f>
        <v/>
      </c>
      <c r="F93" s="23" t="str">
        <f>IF(OR(E93="",E93="!!!"),"",IF(NOT(ISNA(VLOOKUP(E93,E$1:E92,1,FALSE()))),"OLD",IF(AND(E93&lt;&gt;"",E93&lt;&gt;"!!!"),"NEW","")))</f>
        <v> </v>
      </c>
      <c r="G93" s="24" t="str">
        <f>IF(OR(E93="",E93="!!!"),"",IF(OR(J93=0,AND(J93=1,K93=1),AND(J93=1,I93="SBJ"),AND(J93=1,I93=0)),"?IN_FOCUS",IF(J93&lt;=2,"?ACTIVATED",IF(J93&lt;&gt;"","?FAMILIAR",IF(F93="NEW",IF(ISNA(VLOOKUP(E93,#REF!,1,FALSE())),"?TYPE_IDENTIFIABLE","?REFERENTIAL"),"_")))))</f>
        <v> </v>
      </c>
      <c r="H93" s="25" t="str">
        <f>IF(J93&lt;&gt;1,"",IF(I93="SBJ","CB","?"))</f>
        <v> </v>
      </c>
      <c r="I93" s="26" t="str">
        <f>IF(OR(E93="",E93="!!!",F93="NEW"),"",INDEX(B92:B$2,-1+SUMPRODUCT(MAX(ROW(E92:E$2)*(E93=E92:E$2)))))</f>
        <v> </v>
      </c>
      <c r="J93" s="26" t="str">
        <f>IF(OR(E93="",E93="!!!",F93="NEW"),"",COUNTBLANK(OFFSET(A$1,,,SUMPRODUCT(MAX(ROW(E$2:E93)*(E93=E$2:E93)))))-COUNTBLANK(OFFSET(A$1,,,SUMPRODUCT(MAX(ROW(E$1:E92)*(E2=E$1:E92))))))</f>
        <v> </v>
      </c>
      <c r="K93" s="26" t="str">
        <f>IF(OR(E93="",E93="!!!",F93="NEW"),"",INDEX(J$1:J92,SUMPRODUCT(MAX(ROW(E$1:E92)*(E93=E$1:E92)))))</f>
        <v> </v>
      </c>
      <c r="L93" s="27"/>
    </row>
    <row r="94" spans="1:12">
      <c r="A94" s="20" t="s">
        <v>118</v>
      </c>
      <c r="E94" s="22">
        <f>IF(D94="?OLD","!!!","")</f>
        <v/>
      </c>
      <c r="F94" s="23" t="str">
        <f>IF(OR(E94="",E94="!!!"),"",IF(NOT(ISNA(VLOOKUP(E94,E$1:E93,1,FALSE()))),"OLD",IF(AND(E94&lt;&gt;"",E94&lt;&gt;"!!!"),"NEW","")))</f>
        <v> </v>
      </c>
      <c r="G94" s="24" t="str">
        <f>IF(OR(E94="",E94="!!!"),"",IF(OR(J94=0,AND(J94=1,K94=1),AND(J94=1,I94="SBJ"),AND(J94=1,I94=0)),"?IN_FOCUS",IF(J94&lt;=2,"?ACTIVATED",IF(J94&lt;&gt;"","?FAMILIAR",IF(F94="NEW",IF(ISNA(VLOOKUP(E94,#REF!,1,FALSE())),"?TYPE_IDENTIFIABLE","?REFERENTIAL"),"_")))))</f>
        <v> </v>
      </c>
      <c r="H94" s="25" t="str">
        <f>IF(J94&lt;&gt;1,"",IF(I94="SBJ","CB","?"))</f>
        <v> </v>
      </c>
      <c r="I94" s="26" t="str">
        <f>IF(OR(E94="",E94="!!!",F94="NEW"),"",INDEX(B93:B$2,-1+SUMPRODUCT(MAX(ROW(E93:E$2)*(E94=E93:E$2)))))</f>
        <v> </v>
      </c>
      <c r="J94" s="26" t="str">
        <f>IF(OR(E94="",E94="!!!",F94="NEW"),"",COUNTBLANK(OFFSET(A$1,,,SUMPRODUCT(MAX(ROW(E$2:E94)*(E94=E$2:E94)))))-COUNTBLANK(OFFSET(A$1,,,SUMPRODUCT(MAX(ROW(E$1:E93)*(E2=E$1:E93))))))</f>
        <v> </v>
      </c>
      <c r="K94" s="26" t="str">
        <f>IF(OR(E94="",E94="!!!",F94="NEW"),"",INDEX(J$1:J93,SUMPRODUCT(MAX(ROW(E$1:E93)*(E94=E$1:E93)))))</f>
        <v> </v>
      </c>
      <c r="L94" s="27"/>
    </row>
    <row r="95" spans="1:12">
      <c r="A95" s="20" t="s">
        <v>185</v>
      </c>
      <c r="B95" s="21" t="s">
        <v>123</v>
      </c>
      <c r="C95" s="21" t="s">
        <v>112</v>
      </c>
      <c r="D95" s="21" t="s">
        <v>102</v>
      </c>
      <c r="E95" s="22">
        <f>IF(D95="?OLD","!!!","")</f>
        <v/>
      </c>
      <c r="F95" s="23" t="str">
        <f>IF(OR(E95="",E95="!!!"),"",IF(NOT(ISNA(VLOOKUP(E95,E$1:E94,1,FALSE()))),"OLD",IF(AND(E95&lt;&gt;"",E95&lt;&gt;"!!!"),"NEW","")))</f>
        <v> </v>
      </c>
      <c r="G95" s="24" t="str">
        <f>IF(OR(E95="",E95="!!!"),"",IF(OR(J95=0,AND(J95=1,K95=1),AND(J95=1,I95="SBJ"),AND(J95=1,I95=0)),"?IN_FOCUS",IF(J95&lt;=2,"?ACTIVATED",IF(J95&lt;&gt;"","?FAMILIAR",IF(F95="NEW",IF(ISNA(VLOOKUP(E95,#REF!,1,FALSE())),"?TYPE_IDENTIFIABLE","?REFERENTIAL"),"_")))))</f>
        <v> </v>
      </c>
      <c r="H95" s="25" t="str">
        <f>IF(J95&lt;&gt;1,"",IF(I95="SBJ","CB","?"))</f>
        <v> </v>
      </c>
      <c r="I95" s="26" t="str">
        <f>IF(OR(E95="",E95="!!!",F95="NEW"),"",INDEX(B94:B$2,-1+SUMPRODUCT(MAX(ROW(E94:E$2)*(E95=E94:E$2)))))</f>
        <v> </v>
      </c>
      <c r="J95" s="26" t="str">
        <f>IF(OR(E95="",E95="!!!",F95="NEW"),"",COUNTBLANK(OFFSET(A$1,,,SUMPRODUCT(MAX(ROW(E$2:E95)*(E95=E$2:E95)))))-COUNTBLANK(OFFSET(A$1,,,SUMPRODUCT(MAX(ROW(E$1:E94)*(E2=E$1:E94))))))</f>
        <v> </v>
      </c>
      <c r="K95" s="26" t="str">
        <f>IF(OR(E95="",E95="!!!",F95="NEW"),"",INDEX(J$1:J94,SUMPRODUCT(MAX(ROW(E$1:E94)*(E95=E$1:E94)))))</f>
        <v> </v>
      </c>
      <c r="L95" s="27"/>
    </row>
    <row r="96" spans="1:12">
      <c r="A96" s="20" t="s">
        <v>169</v>
      </c>
      <c r="E96" s="22">
        <f>IF(D96="?OLD","!!!","")</f>
        <v/>
      </c>
      <c r="F96" s="23" t="str">
        <f>IF(OR(E96="",E96="!!!"),"",IF(NOT(ISNA(VLOOKUP(E96,E$1:E95,1,FALSE()))),"OLD",IF(AND(E96&lt;&gt;"",E96&lt;&gt;"!!!"),"NEW","")))</f>
        <v> </v>
      </c>
      <c r="G96" s="24" t="str">
        <f>IF(OR(E96="",E96="!!!"),"",IF(OR(J96=0,AND(J96=1,K96=1),AND(J96=1,I96="SBJ"),AND(J96=1,I96=0)),"?IN_FOCUS",IF(J96&lt;=2,"?ACTIVATED",IF(J96&lt;&gt;"","?FAMILIAR",IF(F96="NEW",IF(ISNA(VLOOKUP(E96,#REF!,1,FALSE())),"?TYPE_IDENTIFIABLE","?REFERENTIAL"),"_")))))</f>
        <v> </v>
      </c>
      <c r="H96" s="25" t="str">
        <f>IF(J96&lt;&gt;1,"",IF(I96="SBJ","CB","?"))</f>
        <v> </v>
      </c>
      <c r="I96" s="26" t="str">
        <f>IF(OR(E96="",E96="!!!",F96="NEW"),"",INDEX(B95:B$2,-1+SUMPRODUCT(MAX(ROW(E95:E$2)*(E96=E95:E$2)))))</f>
        <v> </v>
      </c>
      <c r="J96" s="26" t="str">
        <f>IF(OR(E96="",E96="!!!",F96="NEW"),"",COUNTBLANK(OFFSET(A$1,,,SUMPRODUCT(MAX(ROW(E$2:E96)*(E96=E$2:E96)))))-COUNTBLANK(OFFSET(A$1,,,SUMPRODUCT(MAX(ROW(E$1:E95)*(E2=E$1:E95))))))</f>
        <v> </v>
      </c>
      <c r="K96" s="26" t="str">
        <f>IF(OR(E96="",E96="!!!",F96="NEW"),"",INDEX(J$1:J95,SUMPRODUCT(MAX(ROW(E$1:E95)*(E96=E$1:E95)))))</f>
        <v> </v>
      </c>
      <c r="L96" s="27"/>
    </row>
    <row r="97" spans="1:12">
      <c r="A97" s="20" t="s">
        <v>186</v>
      </c>
      <c r="B97" s="21" t="s">
        <v>127</v>
      </c>
      <c r="C97" s="21" t="s">
        <v>92</v>
      </c>
      <c r="E97" s="22">
        <f>IF(D97="?OLD","!!!","")</f>
        <v/>
      </c>
      <c r="F97" s="23" t="str">
        <f>IF(OR(E97="",E97="!!!"),"",IF(NOT(ISNA(VLOOKUP(E97,E$1:E96,1,FALSE()))),"OLD",IF(AND(E97&lt;&gt;"",E97&lt;&gt;"!!!"),"NEW","")))</f>
        <v> </v>
      </c>
      <c r="G97" s="24" t="str">
        <f>IF(OR(E97="",E97="!!!"),"",IF(OR(J97=0,AND(J97=1,K97=1),AND(J97=1,I97="SBJ"),AND(J97=1,I97=0)),"?IN_FOCUS",IF(J97&lt;=2,"?ACTIVATED",IF(J97&lt;&gt;"","?FAMILIAR",IF(F97="NEW",IF(ISNA(VLOOKUP(E97,#REF!,1,FALSE())),"?TYPE_IDENTIFIABLE","?REFERENTIAL"),"_")))))</f>
        <v> </v>
      </c>
      <c r="H97" s="25" t="str">
        <f>IF(J97&lt;&gt;1,"",IF(I97="SBJ","CB","?"))</f>
        <v> </v>
      </c>
      <c r="I97" s="26" t="str">
        <f>IF(OR(E97="",E97="!!!",F97="NEW"),"",INDEX(B96:B$2,-1+SUMPRODUCT(MAX(ROW(E96:E$2)*(E97=E96:E$2)))))</f>
        <v> </v>
      </c>
      <c r="J97" s="26" t="str">
        <f>IF(OR(E97="",E97="!!!",F97="NEW"),"",COUNTBLANK(OFFSET(A$1,,,SUMPRODUCT(MAX(ROW(E$2:E97)*(E97=E$2:E97)))))-COUNTBLANK(OFFSET(A$1,,,SUMPRODUCT(MAX(ROW(E$1:E96)*(E2=E$1:E96))))))</f>
        <v> </v>
      </c>
      <c r="K97" s="26" t="str">
        <f>IF(OR(E97="",E97="!!!",F97="NEW"),"",INDEX(J$1:J96,SUMPRODUCT(MAX(ROW(E$1:E96)*(E97=E$1:E96)))))</f>
        <v> </v>
      </c>
      <c r="L97" s="27"/>
    </row>
    <row r="98" spans="1:12">
      <c r="A98" s="20" t="s">
        <v>187</v>
      </c>
      <c r="E98" s="22">
        <f>IF(D98="?OLD","!!!","")</f>
        <v/>
      </c>
      <c r="F98" s="23" t="str">
        <f>IF(OR(E98="",E98="!!!"),"",IF(NOT(ISNA(VLOOKUP(E98,E$1:E97,1,FALSE()))),"OLD",IF(AND(E98&lt;&gt;"",E98&lt;&gt;"!!!"),"NEW","")))</f>
        <v> </v>
      </c>
      <c r="G98" s="24" t="str">
        <f>IF(OR(E98="",E98="!!!"),"",IF(OR(J98=0,AND(J98=1,K98=1),AND(J98=1,I98="SBJ"),AND(J98=1,I98=0)),"?IN_FOCUS",IF(J98&lt;=2,"?ACTIVATED",IF(J98&lt;&gt;"","?FAMILIAR",IF(F98="NEW",IF(ISNA(VLOOKUP(E98,#REF!,1,FALSE())),"?TYPE_IDENTIFIABLE","?REFERENTIAL"),"_")))))</f>
        <v> </v>
      </c>
      <c r="H98" s="25" t="str">
        <f>IF(J98&lt;&gt;1,"",IF(I98="SBJ","CB","?"))</f>
        <v> </v>
      </c>
      <c r="I98" s="26" t="str">
        <f>IF(OR(E98="",E98="!!!",F98="NEW"),"",INDEX(B97:B$2,-1+SUMPRODUCT(MAX(ROW(E97:E$2)*(E98=E97:E$2)))))</f>
        <v> </v>
      </c>
      <c r="J98" s="26" t="str">
        <f>IF(OR(E98="",E98="!!!",F98="NEW"),"",COUNTBLANK(OFFSET(A$1,,,SUMPRODUCT(MAX(ROW(E$2:E98)*(E98=E$2:E98)))))-COUNTBLANK(OFFSET(A$1,,,SUMPRODUCT(MAX(ROW(E$1:E97)*(E2=E$1:E97))))))</f>
        <v> </v>
      </c>
      <c r="K98" s="26" t="str">
        <f>IF(OR(E98="",E98="!!!",F98="NEW"),"",INDEX(J$1:J97,SUMPRODUCT(MAX(ROW(E$1:E97)*(E98=E$1:E97)))))</f>
        <v> </v>
      </c>
      <c r="L98" s="27"/>
    </row>
    <row r="99" spans="1:12">
      <c r="A99" s="20" t="s">
        <v>188</v>
      </c>
      <c r="E99" s="22">
        <f>IF(D99="?OLD","!!!","")</f>
        <v/>
      </c>
      <c r="F99" s="23" t="str">
        <f>IF(OR(E99="",E99="!!!"),"",IF(NOT(ISNA(VLOOKUP(E99,E$1:E98,1,FALSE()))),"OLD",IF(AND(E99&lt;&gt;"",E99&lt;&gt;"!!!"),"NEW","")))</f>
        <v> </v>
      </c>
      <c r="G99" s="24" t="str">
        <f>IF(OR(E99="",E99="!!!"),"",IF(OR(J99=0,AND(J99=1,K99=1),AND(J99=1,I99="SBJ"),AND(J99=1,I99=0)),"?IN_FOCUS",IF(J99&lt;=2,"?ACTIVATED",IF(J99&lt;&gt;"","?FAMILIAR",IF(F99="NEW",IF(ISNA(VLOOKUP(E99,#REF!,1,FALSE())),"?TYPE_IDENTIFIABLE","?REFERENTIAL"),"_")))))</f>
        <v> </v>
      </c>
      <c r="H99" s="25" t="str">
        <f>IF(J99&lt;&gt;1,"",IF(I99="SBJ","CB","?"))</f>
        <v> </v>
      </c>
      <c r="I99" s="26" t="str">
        <f>IF(OR(E99="",E99="!!!",F99="NEW"),"",INDEX(B98:B$2,-1+SUMPRODUCT(MAX(ROW(E98:E$2)*(E99=E98:E$2)))))</f>
        <v> </v>
      </c>
      <c r="J99" s="26" t="str">
        <f>IF(OR(E99="",E99="!!!",F99="NEW"),"",COUNTBLANK(OFFSET(A$1,,,SUMPRODUCT(MAX(ROW(E$2:E99)*(E99=E$2:E99)))))-COUNTBLANK(OFFSET(A$1,,,SUMPRODUCT(MAX(ROW(E$1:E98)*(E2=E$1:E98))))))</f>
        <v> </v>
      </c>
      <c r="K99" s="26" t="str">
        <f>IF(OR(E99="",E99="!!!",F99="NEW"),"",INDEX(J$1:J98,SUMPRODUCT(MAX(ROW(E$1:E98)*(E99=E$1:E98)))))</f>
        <v> </v>
      </c>
      <c r="L99" s="27"/>
    </row>
    <row r="100" spans="1:12">
      <c r="A100" s="20" t="s">
        <v>155</v>
      </c>
      <c r="E100" s="22">
        <f>IF(D100="?OLD","!!!","")</f>
        <v/>
      </c>
      <c r="F100" s="23" t="str">
        <f>IF(OR(E100="",E100="!!!"),"",IF(NOT(ISNA(VLOOKUP(E100,E$1:E99,1,FALSE()))),"OLD",IF(AND(E100&lt;&gt;"",E100&lt;&gt;"!!!"),"NEW","")))</f>
        <v> </v>
      </c>
      <c r="G100" s="24" t="str">
        <f>IF(OR(E100="",E100="!!!"),"",IF(OR(J100=0,AND(J100=1,K100=1),AND(J100=1,I100="SBJ"),AND(J100=1,I100=0)),"?IN_FOCUS",IF(J100&lt;=2,"?ACTIVATED",IF(J100&lt;&gt;"","?FAMILIAR",IF(F100="NEW",IF(ISNA(VLOOKUP(E100,#REF!,1,FALSE())),"?TYPE_IDENTIFIABLE","?REFERENTIAL"),"_")))))</f>
        <v> </v>
      </c>
      <c r="H100" s="25" t="str">
        <f>IF(J100&lt;&gt;1,"",IF(I100="SBJ","CB","?"))</f>
        <v> </v>
      </c>
      <c r="I100" s="26" t="str">
        <f>IF(OR(E100="",E100="!!!",F100="NEW"),"",INDEX(B99:B$2,-1+SUMPRODUCT(MAX(ROW(E99:E$2)*(E100=E99:E$2)))))</f>
        <v> </v>
      </c>
      <c r="J100" s="26" t="str">
        <f>IF(OR(E100="",E100="!!!",F100="NEW"),"",COUNTBLANK(OFFSET(A$1,,,SUMPRODUCT(MAX(ROW(E$2:E100)*(E100=E$2:E100)))))-COUNTBLANK(OFFSET(A$1,,,SUMPRODUCT(MAX(ROW(E$1:E99)*(E2=E$1:E99))))))</f>
        <v> </v>
      </c>
      <c r="K100" s="26" t="str">
        <f>IF(OR(E100="",E100="!!!",F100="NEW"),"",INDEX(J$1:J99,SUMPRODUCT(MAX(ROW(E$1:E99)*(E100=E$1:E99)))))</f>
        <v> </v>
      </c>
      <c r="L100" s="27"/>
    </row>
    <row r="101" spans="1:12">
      <c r="A101" s="20"/>
    </row>
    <row r="102" spans="1:12">
      <c r="A102" s="20" t="s">
        <v>189</v>
      </c>
    </row>
    <row r="103" spans="1:12">
      <c r="A103" s="20" t="s">
        <v>110</v>
      </c>
      <c r="E103" s="22">
        <f>IF(D103="?OLD","!!!","")</f>
        <v/>
      </c>
      <c r="F103" s="23" t="str">
        <f>IF(OR(E103="",E103="!!!"),"",IF(NOT(ISNA(VLOOKUP(E103,E$1:E102,1,FALSE()))),"OLD",IF(AND(E103&lt;&gt;"",E103&lt;&gt;"!!!"),"NEW","")))</f>
        <v> </v>
      </c>
      <c r="G103" s="24" t="str">
        <f>IF(OR(E103="",E103="!!!"),"",IF(OR(J103=0,AND(J103=1,K103=1),AND(J103=1,I103="SBJ"),AND(J103=1,I103=0)),"?IN_FOCUS",IF(J103&lt;=2,"?ACTIVATED",IF(J103&lt;&gt;"","?FAMILIAR",IF(F103="NEW",IF(ISNA(VLOOKUP(E103,#REF!,1,FALSE())),"?TYPE_IDENTIFIABLE","?REFERENTIAL"),"_")))))</f>
        <v> </v>
      </c>
      <c r="H103" s="25" t="str">
        <f>IF(J103&lt;&gt;1,"",IF(I103="SBJ","CB","?"))</f>
        <v> </v>
      </c>
      <c r="I103" s="26" t="str">
        <f>IF(OR(E103="",E103="!!!",F103="NEW"),"",INDEX(B102:B$2,-1+SUMPRODUCT(MAX(ROW(E102:E$2)*(E103=E102:E$2)))))</f>
        <v> </v>
      </c>
      <c r="J103" s="26" t="str">
        <f>IF(OR(E103="",E103="!!!",F103="NEW"),"",COUNTBLANK(OFFSET(A$1,,,SUMPRODUCT(MAX(ROW(E$2:E103)*(E103=E$2:E103)))))-COUNTBLANK(OFFSET(A$1,,,SUMPRODUCT(MAX(ROW(E$1:E102)*(E2=E$1:E102))))))</f>
        <v> </v>
      </c>
      <c r="K103" s="26" t="str">
        <f>IF(OR(E103="",E103="!!!",F103="NEW"),"",INDEX(J$1:J102,SUMPRODUCT(MAX(ROW(E$1:E102)*(E103=E$1:E102)))))</f>
        <v> </v>
      </c>
      <c r="L103" s="27"/>
    </row>
    <row r="104" spans="1:12">
      <c r="A104" s="20" t="s">
        <v>190</v>
      </c>
      <c r="E104" s="22">
        <f>IF(D104="?OLD","!!!","")</f>
        <v/>
      </c>
      <c r="F104" s="23" t="str">
        <f>IF(OR(E104="",E104="!!!"),"",IF(NOT(ISNA(VLOOKUP(E104,E$1:E103,1,FALSE()))),"OLD",IF(AND(E104&lt;&gt;"",E104&lt;&gt;"!!!"),"NEW","")))</f>
        <v> </v>
      </c>
      <c r="G104" s="24" t="str">
        <f>IF(OR(E104="",E104="!!!"),"",IF(OR(J104=0,AND(J104=1,K104=1),AND(J104=1,I104="SBJ"),AND(J104=1,I104=0)),"?IN_FOCUS",IF(J104&lt;=2,"?ACTIVATED",IF(J104&lt;&gt;"","?FAMILIAR",IF(F104="NEW",IF(ISNA(VLOOKUP(E104,#REF!,1,FALSE())),"?TYPE_IDENTIFIABLE","?REFERENTIAL"),"_")))))</f>
        <v> </v>
      </c>
      <c r="H104" s="25" t="str">
        <f>IF(J104&lt;&gt;1,"",IF(I104="SBJ","CB","?"))</f>
        <v> </v>
      </c>
      <c r="I104" s="26" t="str">
        <f>IF(OR(E104="",E104="!!!",F104="NEW"),"",INDEX(B103:B$2,-1+SUMPRODUCT(MAX(ROW(E103:E$2)*(E104=E103:E$2)))))</f>
        <v> </v>
      </c>
      <c r="J104" s="26" t="str">
        <f>IF(OR(E104="",E104="!!!",F104="NEW"),"",COUNTBLANK(OFFSET(A$1,,,SUMPRODUCT(MAX(ROW(E$2:E104)*(E104=E$2:E104)))))-COUNTBLANK(OFFSET(A$1,,,SUMPRODUCT(MAX(ROW(E$1:E103)*(E2=E$1:E103))))))</f>
        <v> </v>
      </c>
      <c r="K104" s="26" t="str">
        <f>IF(OR(E104="",E104="!!!",F104="NEW"),"",INDEX(J$1:J103,SUMPRODUCT(MAX(ROW(E$1:E103)*(E104=E$1:E103)))))</f>
        <v> </v>
      </c>
      <c r="L104" s="27"/>
    </row>
    <row r="105" spans="1:12">
      <c r="A105" s="20" t="s">
        <v>90</v>
      </c>
      <c r="B105" s="21" t="s">
        <v>91</v>
      </c>
      <c r="C105" s="21" t="s">
        <v>112</v>
      </c>
      <c r="D105" s="21" t="s">
        <v>102</v>
      </c>
      <c r="E105" s="22">
        <f>IF(D105="?OLD","!!!","")</f>
        <v/>
      </c>
      <c r="F105" s="23" t="str">
        <f>IF(OR(E105="",E105="!!!"),"",IF(NOT(ISNA(VLOOKUP(E105,E$1:E104,1,FALSE()))),"OLD",IF(AND(E105&lt;&gt;"",E105&lt;&gt;"!!!"),"NEW","")))</f>
        <v> </v>
      </c>
      <c r="G105" s="24" t="str">
        <f>IF(OR(E105="",E105="!!!"),"",IF(OR(J105=0,AND(J105=1,K105=1),AND(J105=1,I105="SBJ"),AND(J105=1,I105=0)),"?IN_FOCUS",IF(J105&lt;=2,"?ACTIVATED",IF(J105&lt;&gt;"","?FAMILIAR",IF(F105="NEW",IF(ISNA(VLOOKUP(E105,#REF!,1,FALSE())),"?TYPE_IDENTIFIABLE","?REFERENTIAL"),"_")))))</f>
        <v> </v>
      </c>
      <c r="H105" s="25" t="str">
        <f>IF(J105&lt;&gt;1,"",IF(I105="SBJ","CB","?"))</f>
        <v> </v>
      </c>
      <c r="I105" s="26" t="str">
        <f>IF(OR(E105="",E105="!!!",F105="NEW"),"",INDEX(B104:B$2,-1+SUMPRODUCT(MAX(ROW(E104:E$2)*(E105=E104:E$2)))))</f>
        <v> </v>
      </c>
      <c r="J105" s="26" t="str">
        <f>IF(OR(E105="",E105="!!!",F105="NEW"),"",COUNTBLANK(OFFSET(A$1,,,SUMPRODUCT(MAX(ROW(E$2:E105)*(E105=E$2:E105)))))-COUNTBLANK(OFFSET(A$1,,,SUMPRODUCT(MAX(ROW(E$1:E104)*(E2=E$1:E104))))))</f>
        <v> </v>
      </c>
      <c r="K105" s="26" t="str">
        <f>IF(OR(E105="",E105="!!!",F105="NEW"),"",INDEX(J$1:J104,SUMPRODUCT(MAX(ROW(E$1:E104)*(E105=E$1:E104)))))</f>
        <v> </v>
      </c>
      <c r="L105" s="27"/>
    </row>
    <row r="106" spans="1:12">
      <c r="A106" s="20" t="s">
        <v>191</v>
      </c>
      <c r="E106" s="22">
        <f>IF(D106="?OLD","!!!","")</f>
        <v/>
      </c>
      <c r="F106" s="23" t="str">
        <f>IF(OR(E106="",E106="!!!"),"",IF(NOT(ISNA(VLOOKUP(E106,E$1:E105,1,FALSE()))),"OLD",IF(AND(E106&lt;&gt;"",E106&lt;&gt;"!!!"),"NEW","")))</f>
        <v> </v>
      </c>
      <c r="G106" s="24" t="str">
        <f>IF(OR(E106="",E106="!!!"),"",IF(OR(J106=0,AND(J106=1,K106=1),AND(J106=1,I106="SBJ"),AND(J106=1,I106=0)),"?IN_FOCUS",IF(J106&lt;=2,"?ACTIVATED",IF(J106&lt;&gt;"","?FAMILIAR",IF(F106="NEW",IF(ISNA(VLOOKUP(E106,#REF!,1,FALSE())),"?TYPE_IDENTIFIABLE","?REFERENTIAL"),"_")))))</f>
        <v> </v>
      </c>
      <c r="H106" s="25" t="str">
        <f>IF(J106&lt;&gt;1,"",IF(I106="SBJ","CB","?"))</f>
        <v> </v>
      </c>
      <c r="I106" s="26" t="str">
        <f>IF(OR(E106="",E106="!!!",F106="NEW"),"",INDEX(B105:B$2,-1+SUMPRODUCT(MAX(ROW(E105:E$2)*(E106=E105:E$2)))))</f>
        <v> </v>
      </c>
      <c r="J106" s="26" t="str">
        <f>IF(OR(E106="",E106="!!!",F106="NEW"),"",COUNTBLANK(OFFSET(A$1,,,SUMPRODUCT(MAX(ROW(E$2:E106)*(E106=E$2:E106)))))-COUNTBLANK(OFFSET(A$1,,,SUMPRODUCT(MAX(ROW(E$1:E105)*(E2=E$1:E105))))))</f>
        <v> </v>
      </c>
      <c r="K106" s="26" t="str">
        <f>IF(OR(E106="",E106="!!!",F106="NEW"),"",INDEX(J$1:J105,SUMPRODUCT(MAX(ROW(E$1:E105)*(E106=E$1:E105)))))</f>
        <v> </v>
      </c>
      <c r="L106" s="27"/>
    </row>
    <row r="107" spans="1:12">
      <c r="A107" s="20" t="s">
        <v>192</v>
      </c>
      <c r="E107" s="22">
        <f>IF(D107="?OLD","!!!","")</f>
        <v/>
      </c>
      <c r="F107" s="23" t="str">
        <f>IF(OR(E107="",E107="!!!"),"",IF(NOT(ISNA(VLOOKUP(E107,E$1:E106,1,FALSE()))),"OLD",IF(AND(E107&lt;&gt;"",E107&lt;&gt;"!!!"),"NEW","")))</f>
        <v> </v>
      </c>
      <c r="G107" s="24" t="str">
        <f>IF(OR(E107="",E107="!!!"),"",IF(OR(J107=0,AND(J107=1,K107=1),AND(J107=1,I107="SBJ"),AND(J107=1,I107=0)),"?IN_FOCUS",IF(J107&lt;=2,"?ACTIVATED",IF(J107&lt;&gt;"","?FAMILIAR",IF(F107="NEW",IF(ISNA(VLOOKUP(E107,#REF!,1,FALSE())),"?TYPE_IDENTIFIABLE","?REFERENTIAL"),"_")))))</f>
        <v> </v>
      </c>
      <c r="H107" s="25" t="str">
        <f>IF(J107&lt;&gt;1,"",IF(I107="SBJ","CB","?"))</f>
        <v> </v>
      </c>
      <c r="I107" s="26" t="str">
        <f>IF(OR(E107="",E107="!!!",F107="NEW"),"",INDEX(B106:B$2,-1+SUMPRODUCT(MAX(ROW(E106:E$2)*(E107=E106:E$2)))))</f>
        <v> </v>
      </c>
      <c r="J107" s="26" t="str">
        <f>IF(OR(E107="",E107="!!!",F107="NEW"),"",COUNTBLANK(OFFSET(A$1,,,SUMPRODUCT(MAX(ROW(E$2:E107)*(E107=E$2:E107)))))-COUNTBLANK(OFFSET(A$1,,,SUMPRODUCT(MAX(ROW(E$1:E106)*(E2=E$1:E106))))))</f>
        <v> </v>
      </c>
      <c r="K107" s="26" t="str">
        <f>IF(OR(E107="",E107="!!!",F107="NEW"),"",INDEX(J$1:J106,SUMPRODUCT(MAX(ROW(E$1:E106)*(E107=E$1:E106)))))</f>
        <v> </v>
      </c>
      <c r="L107" s="27"/>
    </row>
    <row r="108" spans="1:12">
      <c r="A108" s="20" t="s">
        <v>193</v>
      </c>
      <c r="E108" s="22">
        <f>IF(D108="?OLD","!!!","")</f>
        <v/>
      </c>
      <c r="F108" s="23" t="str">
        <f>IF(OR(E108="",E108="!!!"),"",IF(NOT(ISNA(VLOOKUP(E108,E$1:E107,1,FALSE()))),"OLD",IF(AND(E108&lt;&gt;"",E108&lt;&gt;"!!!"),"NEW","")))</f>
        <v> </v>
      </c>
      <c r="G108" s="24" t="str">
        <f>IF(OR(E108="",E108="!!!"),"",IF(OR(J108=0,AND(J108=1,K108=1),AND(J108=1,I108="SBJ"),AND(J108=1,I108=0)),"?IN_FOCUS",IF(J108&lt;=2,"?ACTIVATED",IF(J108&lt;&gt;"","?FAMILIAR",IF(F108="NEW",IF(ISNA(VLOOKUP(E108,#REF!,1,FALSE())),"?TYPE_IDENTIFIABLE","?REFERENTIAL"),"_")))))</f>
        <v> </v>
      </c>
      <c r="H108" s="25" t="str">
        <f>IF(J108&lt;&gt;1,"",IF(I108="SBJ","CB","?"))</f>
        <v> </v>
      </c>
      <c r="I108" s="26" t="str">
        <f>IF(OR(E108="",E108="!!!",F108="NEW"),"",INDEX(B107:B$2,-1+SUMPRODUCT(MAX(ROW(E107:E$2)*(E108=E107:E$2)))))</f>
        <v> </v>
      </c>
      <c r="J108" s="26" t="str">
        <f>IF(OR(E108="",E108="!!!",F108="NEW"),"",COUNTBLANK(OFFSET(A$1,,,SUMPRODUCT(MAX(ROW(E$2:E108)*(E108=E$2:E108)))))-COUNTBLANK(OFFSET(A$1,,,SUMPRODUCT(MAX(ROW(E$1:E107)*(E2=E$1:E107))))))</f>
        <v> </v>
      </c>
      <c r="K108" s="26" t="str">
        <f>IF(OR(E108="",E108="!!!",F108="NEW"),"",INDEX(J$1:J107,SUMPRODUCT(MAX(ROW(E$1:E107)*(E108=E$1:E107)))))</f>
        <v> </v>
      </c>
      <c r="L108" s="27"/>
    </row>
    <row r="109" spans="1:12">
      <c r="A109" s="20" t="s">
        <v>166</v>
      </c>
      <c r="B109" s="21" t="s">
        <v>96</v>
      </c>
      <c r="C109" s="21" t="s">
        <v>128</v>
      </c>
      <c r="E109" s="22">
        <f>IF(D109="?OLD","!!!","")</f>
        <v/>
      </c>
      <c r="F109" s="23" t="str">
        <f>IF(OR(E109="",E109="!!!"),"",IF(NOT(ISNA(VLOOKUP(E109,E$1:E108,1,FALSE()))),"OLD",IF(AND(E109&lt;&gt;"",E109&lt;&gt;"!!!"),"NEW","")))</f>
        <v> </v>
      </c>
      <c r="G109" s="24" t="str">
        <f>IF(OR(E109="",E109="!!!"),"",IF(OR(J109=0,AND(J109=1,K109=1),AND(J109=1,I109="SBJ"),AND(J109=1,I109=0)),"?IN_FOCUS",IF(J109&lt;=2,"?ACTIVATED",IF(J109&lt;&gt;"","?FAMILIAR",IF(F109="NEW",IF(ISNA(VLOOKUP(E109,#REF!,1,FALSE())),"?TYPE_IDENTIFIABLE","?REFERENTIAL"),"_")))))</f>
        <v> </v>
      </c>
      <c r="H109" s="25" t="str">
        <f>IF(J109&lt;&gt;1,"",IF(I109="SBJ","CB","?"))</f>
        <v> </v>
      </c>
      <c r="I109" s="26" t="str">
        <f>IF(OR(E109="",E109="!!!",F109="NEW"),"",INDEX(B108:B$2,-1+SUMPRODUCT(MAX(ROW(E108:E$2)*(E109=E108:E$2)))))</f>
        <v> </v>
      </c>
      <c r="J109" s="26" t="str">
        <f>IF(OR(E109="",E109="!!!",F109="NEW"),"",COUNTBLANK(OFFSET(A$1,,,SUMPRODUCT(MAX(ROW(E$2:E109)*(E109=E$2:E109)))))-COUNTBLANK(OFFSET(A$1,,,SUMPRODUCT(MAX(ROW(E$1:E108)*(E2=E$1:E108))))))</f>
        <v> </v>
      </c>
      <c r="K109" s="26" t="str">
        <f>IF(OR(E109="",E109="!!!",F109="NEW"),"",INDEX(J$1:J108,SUMPRODUCT(MAX(ROW(E$1:E108)*(E109=E$1:E108)))))</f>
        <v> </v>
      </c>
      <c r="L109" s="27"/>
    </row>
    <row r="110" spans="1:12">
      <c r="A110" s="20" t="s">
        <v>23</v>
      </c>
      <c r="E110" s="22">
        <f>IF(D110="?OLD","!!!","")</f>
        <v/>
      </c>
      <c r="F110" s="23" t="str">
        <f>IF(OR(E110="",E110="!!!"),"",IF(NOT(ISNA(VLOOKUP(E110,E$1:E109,1,FALSE()))),"OLD",IF(AND(E110&lt;&gt;"",E110&lt;&gt;"!!!"),"NEW","")))</f>
        <v> </v>
      </c>
      <c r="G110" s="24" t="str">
        <f>IF(OR(E110="",E110="!!!"),"",IF(OR(J110=0,AND(J110=1,K110=1),AND(J110=1,I110="SBJ"),AND(J110=1,I110=0)),"?IN_FOCUS",IF(J110&lt;=2,"?ACTIVATED",IF(J110&lt;&gt;"","?FAMILIAR",IF(F110="NEW",IF(ISNA(VLOOKUP(E110,#REF!,1,FALSE())),"?TYPE_IDENTIFIABLE","?REFERENTIAL"),"_")))))</f>
        <v> </v>
      </c>
      <c r="H110" s="25" t="str">
        <f>IF(J110&lt;&gt;1,"",IF(I110="SBJ","CB","?"))</f>
        <v> </v>
      </c>
      <c r="I110" s="26" t="str">
        <f>IF(OR(E110="",E110="!!!",F110="NEW"),"",INDEX(B109:B$2,-1+SUMPRODUCT(MAX(ROW(E109:E$2)*(E110=E109:E$2)))))</f>
        <v> </v>
      </c>
      <c r="J110" s="26" t="str">
        <f>IF(OR(E110="",E110="!!!",F110="NEW"),"",COUNTBLANK(OFFSET(A$1,,,SUMPRODUCT(MAX(ROW(E$2:E110)*(E110=E$2:E110)))))-COUNTBLANK(OFFSET(A$1,,,SUMPRODUCT(MAX(ROW(E$1:E109)*(E2=E$1:E109))))))</f>
        <v> </v>
      </c>
      <c r="K110" s="26" t="str">
        <f>IF(OR(E110="",E110="!!!",F110="NEW"),"",INDEX(J$1:J109,SUMPRODUCT(MAX(ROW(E$1:E109)*(E110=E$1:E109)))))</f>
        <v> </v>
      </c>
      <c r="L110" s="27"/>
    </row>
    <row r="111" spans="1:12">
      <c r="A111" s="20" t="s">
        <v>97</v>
      </c>
      <c r="E111" s="22">
        <f>IF(D111="?OLD","!!!","")</f>
        <v/>
      </c>
      <c r="F111" s="23" t="str">
        <f>IF(OR(E111="",E111="!!!"),"",IF(NOT(ISNA(VLOOKUP(E111,E$1:E110,1,FALSE()))),"OLD",IF(AND(E111&lt;&gt;"",E111&lt;&gt;"!!!"),"NEW","")))</f>
        <v> </v>
      </c>
      <c r="G111" s="24" t="str">
        <f>IF(OR(E111="",E111="!!!"),"",IF(OR(J111=0,AND(J111=1,K111=1),AND(J111=1,I111="SBJ"),AND(J111=1,I111=0)),"?IN_FOCUS",IF(J111&lt;=2,"?ACTIVATED",IF(J111&lt;&gt;"","?FAMILIAR",IF(F111="NEW",IF(ISNA(VLOOKUP(E111,#REF!,1,FALSE())),"?TYPE_IDENTIFIABLE","?REFERENTIAL"),"_")))))</f>
        <v> </v>
      </c>
      <c r="H111" s="25" t="str">
        <f>IF(J111&lt;&gt;1,"",IF(I111="SBJ","CB","?"))</f>
        <v> </v>
      </c>
      <c r="I111" s="26" t="str">
        <f>IF(OR(E111="",E111="!!!",F111="NEW"),"",INDEX(B110:B$2,-1+SUMPRODUCT(MAX(ROW(E110:E$2)*(E111=E110:E$2)))))</f>
        <v> </v>
      </c>
      <c r="J111" s="26" t="str">
        <f>IF(OR(E111="",E111="!!!",F111="NEW"),"",COUNTBLANK(OFFSET(A$1,,,SUMPRODUCT(MAX(ROW(E$2:E111)*(E111=E$2:E111)))))-COUNTBLANK(OFFSET(A$1,,,SUMPRODUCT(MAX(ROW(E$1:E110)*(E2=E$1:E110))))))</f>
        <v> </v>
      </c>
      <c r="K111" s="26" t="str">
        <f>IF(OR(E111="",E111="!!!",F111="NEW"),"",INDEX(J$1:J110,SUMPRODUCT(MAX(ROW(E$1:E110)*(E111=E$1:E110)))))</f>
        <v> </v>
      </c>
      <c r="L111" s="27"/>
    </row>
    <row r="112" spans="1:12">
      <c r="A112" s="20" t="s">
        <v>132</v>
      </c>
      <c r="E112" s="22">
        <f>IF(D112="?OLD","!!!","")</f>
        <v/>
      </c>
      <c r="F112" s="23" t="str">
        <f>IF(OR(E112="",E112="!!!"),"",IF(NOT(ISNA(VLOOKUP(E112,E$1:E111,1,FALSE()))),"OLD",IF(AND(E112&lt;&gt;"",E112&lt;&gt;"!!!"),"NEW","")))</f>
        <v> </v>
      </c>
      <c r="G112" s="24" t="str">
        <f>IF(OR(E112="",E112="!!!"),"",IF(OR(J112=0,AND(J112=1,K112=1),AND(J112=1,I112="SBJ"),AND(J112=1,I112=0)),"?IN_FOCUS",IF(J112&lt;=2,"?ACTIVATED",IF(J112&lt;&gt;"","?FAMILIAR",IF(F112="NEW",IF(ISNA(VLOOKUP(E112,#REF!,1,FALSE())),"?TYPE_IDENTIFIABLE","?REFERENTIAL"),"_")))))</f>
        <v> </v>
      </c>
      <c r="H112" s="25" t="str">
        <f>IF(J112&lt;&gt;1,"",IF(I112="SBJ","CB","?"))</f>
        <v> </v>
      </c>
      <c r="I112" s="26" t="str">
        <f>IF(OR(E112="",E112="!!!",F112="NEW"),"",INDEX(B111:B$2,-1+SUMPRODUCT(MAX(ROW(E111:E$2)*(E112=E111:E$2)))))</f>
        <v> </v>
      </c>
      <c r="J112" s="26" t="str">
        <f>IF(OR(E112="",E112="!!!",F112="NEW"),"",COUNTBLANK(OFFSET(A$1,,,SUMPRODUCT(MAX(ROW(E$2:E112)*(E112=E$2:E112)))))-COUNTBLANK(OFFSET(A$1,,,SUMPRODUCT(MAX(ROW(E$1:E111)*(E2=E$1:E111))))))</f>
        <v> </v>
      </c>
      <c r="K112" s="26" t="str">
        <f>IF(OR(E112="",E112="!!!",F112="NEW"),"",INDEX(J$1:J111,SUMPRODUCT(MAX(ROW(E$1:E111)*(E112=E$1:E111)))))</f>
        <v> </v>
      </c>
      <c r="L112" s="27"/>
    </row>
    <row r="113" spans="1:12">
      <c r="A113" s="20" t="s">
        <v>119</v>
      </c>
      <c r="B113" s="21" t="s">
        <v>100</v>
      </c>
      <c r="C113" s="21" t="s">
        <v>112</v>
      </c>
      <c r="D113" s="21" t="s">
        <v>102</v>
      </c>
      <c r="E113" s="22">
        <f>IF(D113="?OLD","!!!","")</f>
        <v/>
      </c>
      <c r="F113" s="23" t="str">
        <f>IF(OR(E113="",E113="!!!"),"",IF(NOT(ISNA(VLOOKUP(E113,E$1:E112,1,FALSE()))),"OLD",IF(AND(E113&lt;&gt;"",E113&lt;&gt;"!!!"),"NEW","")))</f>
        <v> </v>
      </c>
      <c r="G113" s="24" t="str">
        <f>IF(OR(E113="",E113="!!!"),"",IF(OR(J113=0,AND(J113=1,K113=1),AND(J113=1,I113="SBJ"),AND(J113=1,I113=0)),"?IN_FOCUS",IF(J113&lt;=2,"?ACTIVATED",IF(J113&lt;&gt;"","?FAMILIAR",IF(F113="NEW",IF(ISNA(VLOOKUP(E113,#REF!,1,FALSE())),"?TYPE_IDENTIFIABLE","?REFERENTIAL"),"_")))))</f>
        <v> </v>
      </c>
      <c r="H113" s="25" t="str">
        <f>IF(J113&lt;&gt;1,"",IF(I113="SBJ","CB","?"))</f>
        <v> </v>
      </c>
      <c r="I113" s="26" t="str">
        <f>IF(OR(E113="",E113="!!!",F113="NEW"),"",INDEX(B112:B$2,-1+SUMPRODUCT(MAX(ROW(E112:E$2)*(E113=E112:E$2)))))</f>
        <v> </v>
      </c>
      <c r="J113" s="26" t="str">
        <f>IF(OR(E113="",E113="!!!",F113="NEW"),"",COUNTBLANK(OFFSET(A$1,,,SUMPRODUCT(MAX(ROW(E$2:E113)*(E113=E$2:E113)))))-COUNTBLANK(OFFSET(A$1,,,SUMPRODUCT(MAX(ROW(E$1:E112)*(E2=E$1:E112))))))</f>
        <v> </v>
      </c>
      <c r="K113" s="26" t="str">
        <f>IF(OR(E113="",E113="!!!",F113="NEW"),"",INDEX(J$1:J112,SUMPRODUCT(MAX(ROW(E$1:E112)*(E113=E$1:E112)))))</f>
        <v> </v>
      </c>
      <c r="L113" s="27"/>
    </row>
    <row r="114" spans="1:12">
      <c r="A114" s="20" t="s">
        <v>137</v>
      </c>
      <c r="E114" s="22">
        <f>IF(D114="?OLD","!!!","")</f>
        <v/>
      </c>
      <c r="F114" s="23" t="str">
        <f>IF(OR(E114="",E114="!!!"),"",IF(NOT(ISNA(VLOOKUP(E114,E$1:E113,1,FALSE()))),"OLD",IF(AND(E114&lt;&gt;"",E114&lt;&gt;"!!!"),"NEW","")))</f>
        <v> </v>
      </c>
      <c r="G114" s="24" t="str">
        <f>IF(OR(E114="",E114="!!!"),"",IF(OR(J114=0,AND(J114=1,K114=1),AND(J114=1,I114="SBJ"),AND(J114=1,I114=0)),"?IN_FOCUS",IF(J114&lt;=2,"?ACTIVATED",IF(J114&lt;&gt;"","?FAMILIAR",IF(F114="NEW",IF(ISNA(VLOOKUP(E114,#REF!,1,FALSE())),"?TYPE_IDENTIFIABLE","?REFERENTIAL"),"_")))))</f>
        <v> </v>
      </c>
      <c r="H114" s="25" t="str">
        <f>IF(J114&lt;&gt;1,"",IF(I114="SBJ","CB","?"))</f>
        <v> </v>
      </c>
      <c r="I114" s="26" t="str">
        <f>IF(OR(E114="",E114="!!!",F114="NEW"),"",INDEX(B113:B$2,-1+SUMPRODUCT(MAX(ROW(E113:E$2)*(E114=E113:E$2)))))</f>
        <v> </v>
      </c>
      <c r="J114" s="26" t="str">
        <f>IF(OR(E114="",E114="!!!",F114="NEW"),"",COUNTBLANK(OFFSET(A$1,,,SUMPRODUCT(MAX(ROW(E$2:E114)*(E114=E$2:E114)))))-COUNTBLANK(OFFSET(A$1,,,SUMPRODUCT(MAX(ROW(E$1:E113)*(E2=E$1:E113))))))</f>
        <v> </v>
      </c>
      <c r="K114" s="26" t="str">
        <f>IF(OR(E114="",E114="!!!",F114="NEW"),"",INDEX(J$1:J113,SUMPRODUCT(MAX(ROW(E$1:E113)*(E114=E$1:E113)))))</f>
        <v> </v>
      </c>
      <c r="L114" s="27"/>
    </row>
    <row r="115" spans="1:12">
      <c r="A115" s="20" t="s">
        <v>194</v>
      </c>
      <c r="B115" s="21" t="s">
        <v>195</v>
      </c>
      <c r="C115" s="21" t="s">
        <v>92</v>
      </c>
      <c r="E115" s="22">
        <f>IF(D115="?OLD","!!!","")</f>
        <v/>
      </c>
      <c r="F115" s="23" t="str">
        <f>IF(OR(E115="",E115="!!!"),"",IF(NOT(ISNA(VLOOKUP(E115,E$1:E114,1,FALSE()))),"OLD",IF(AND(E115&lt;&gt;"",E115&lt;&gt;"!!!"),"NEW","")))</f>
        <v> </v>
      </c>
      <c r="G115" s="24" t="str">
        <f>IF(OR(E115="",E115="!!!"),"",IF(OR(J115=0,AND(J115=1,K115=1),AND(J115=1,I115="SBJ"),AND(J115=1,I115=0)),"?IN_FOCUS",IF(J115&lt;=2,"?ACTIVATED",IF(J115&lt;&gt;"","?FAMILIAR",IF(F115="NEW",IF(ISNA(VLOOKUP(E115,#REF!,1,FALSE())),"?TYPE_IDENTIFIABLE","?REFERENTIAL"),"_")))))</f>
        <v> </v>
      </c>
      <c r="H115" s="25" t="str">
        <f>IF(J115&lt;&gt;1,"",IF(I115="SBJ","CB","?"))</f>
        <v> </v>
      </c>
      <c r="I115" s="26" t="str">
        <f>IF(OR(E115="",E115="!!!",F115="NEW"),"",INDEX(B114:B$2,-1+SUMPRODUCT(MAX(ROW(E114:E$2)*(E115=E114:E$2)))))</f>
        <v> </v>
      </c>
      <c r="J115" s="26" t="str">
        <f>IF(OR(E115="",E115="!!!",F115="NEW"),"",COUNTBLANK(OFFSET(A$1,,,SUMPRODUCT(MAX(ROW(E$2:E115)*(E115=E$2:E115)))))-COUNTBLANK(OFFSET(A$1,,,SUMPRODUCT(MAX(ROW(E$1:E114)*(E2=E$1:E114))))))</f>
        <v> </v>
      </c>
      <c r="K115" s="26" t="str">
        <f>IF(OR(E115="",E115="!!!",F115="NEW"),"",INDEX(J$1:J114,SUMPRODUCT(MAX(ROW(E$1:E114)*(E115=E$1:E114)))))</f>
        <v> </v>
      </c>
      <c r="L115" s="27"/>
    </row>
    <row r="116" spans="1:12">
      <c r="A116" s="20" t="s">
        <v>16</v>
      </c>
      <c r="E116" s="22">
        <f>IF(D116="?OLD","!!!","")</f>
        <v/>
      </c>
      <c r="F116" s="23" t="str">
        <f>IF(OR(E116="",E116="!!!"),"",IF(NOT(ISNA(VLOOKUP(E116,E$1:E115,1,FALSE()))),"OLD",IF(AND(E116&lt;&gt;"",E116&lt;&gt;"!!!"),"NEW","")))</f>
        <v> </v>
      </c>
      <c r="G116" s="24" t="str">
        <f>IF(OR(E116="",E116="!!!"),"",IF(OR(J116=0,AND(J116=1,K116=1),AND(J116=1,I116="SBJ"),AND(J116=1,I116=0)),"?IN_FOCUS",IF(J116&lt;=2,"?ACTIVATED",IF(J116&lt;&gt;"","?FAMILIAR",IF(F116="NEW",IF(ISNA(VLOOKUP(E116,#REF!,1,FALSE())),"?TYPE_IDENTIFIABLE","?REFERENTIAL"),"_")))))</f>
        <v> </v>
      </c>
      <c r="H116" s="25" t="str">
        <f>IF(J116&lt;&gt;1,"",IF(I116="SBJ","CB","?"))</f>
        <v> </v>
      </c>
      <c r="I116" s="26" t="str">
        <f>IF(OR(E116="",E116="!!!",F116="NEW"),"",INDEX(B115:B$2,-1+SUMPRODUCT(MAX(ROW(E115:E$2)*(E116=E115:E$2)))))</f>
        <v> </v>
      </c>
      <c r="J116" s="26" t="str">
        <f>IF(OR(E116="",E116="!!!",F116="NEW"),"",COUNTBLANK(OFFSET(A$1,,,SUMPRODUCT(MAX(ROW(E$2:E116)*(E116=E$2:E116)))))-COUNTBLANK(OFFSET(A$1,,,SUMPRODUCT(MAX(ROW(E$1:E115)*(E2=E$1:E115))))))</f>
        <v> </v>
      </c>
      <c r="K116" s="26" t="str">
        <f>IF(OR(E116="",E116="!!!",F116="NEW"),"",INDEX(J$1:J115,SUMPRODUCT(MAX(ROW(E$1:E115)*(E116=E$1:E115)))))</f>
        <v> </v>
      </c>
      <c r="L116" s="27"/>
    </row>
    <row r="117" spans="1:12">
      <c r="A117" s="20" t="s">
        <v>169</v>
      </c>
      <c r="E117" s="22">
        <f>IF(D117="?OLD","!!!","")</f>
        <v/>
      </c>
      <c r="F117" s="23" t="str">
        <f>IF(OR(E117="",E117="!!!"),"",IF(NOT(ISNA(VLOOKUP(E117,E$1:E116,1,FALSE()))),"OLD",IF(AND(E117&lt;&gt;"",E117&lt;&gt;"!!!"),"NEW","")))</f>
        <v> </v>
      </c>
      <c r="G117" s="24" t="str">
        <f>IF(OR(E117="",E117="!!!"),"",IF(OR(J117=0,AND(J117=1,K117=1),AND(J117=1,I117="SBJ"),AND(J117=1,I117=0)),"?IN_FOCUS",IF(J117&lt;=2,"?ACTIVATED",IF(J117&lt;&gt;"","?FAMILIAR",IF(F117="NEW",IF(ISNA(VLOOKUP(E117,#REF!,1,FALSE())),"?TYPE_IDENTIFIABLE","?REFERENTIAL"),"_")))))</f>
        <v> </v>
      </c>
      <c r="H117" s="25" t="str">
        <f>IF(J117&lt;&gt;1,"",IF(I117="SBJ","CB","?"))</f>
        <v> </v>
      </c>
      <c r="I117" s="26" t="str">
        <f>IF(OR(E117="",E117="!!!",F117="NEW"),"",INDEX(B116:B$2,-1+SUMPRODUCT(MAX(ROW(E116:E$2)*(E117=E116:E$2)))))</f>
        <v> </v>
      </c>
      <c r="J117" s="26" t="str">
        <f>IF(OR(E117="",E117="!!!",F117="NEW"),"",COUNTBLANK(OFFSET(A$1,,,SUMPRODUCT(MAX(ROW(E$2:E117)*(E117=E$2:E117)))))-COUNTBLANK(OFFSET(A$1,,,SUMPRODUCT(MAX(ROW(E$1:E116)*(E2=E$1:E116))))))</f>
        <v> </v>
      </c>
      <c r="K117" s="26" t="str">
        <f>IF(OR(E117="",E117="!!!",F117="NEW"),"",INDEX(J$1:J116,SUMPRODUCT(MAX(ROW(E$1:E116)*(E117=E$1:E116)))))</f>
        <v> </v>
      </c>
      <c r="L117" s="27"/>
    </row>
    <row r="118" spans="1:12">
      <c r="A118" s="20" t="s">
        <v>196</v>
      </c>
      <c r="B118" s="21" t="s">
        <v>120</v>
      </c>
      <c r="C118" s="21" t="s">
        <v>92</v>
      </c>
      <c r="E118" s="22">
        <f>IF(D118="?OLD","!!!","")</f>
        <v/>
      </c>
      <c r="F118" s="23" t="str">
        <f>IF(OR(E118="",E118="!!!"),"",IF(NOT(ISNA(VLOOKUP(E118,E$1:E117,1,FALSE()))),"OLD",IF(AND(E118&lt;&gt;"",E118&lt;&gt;"!!!"),"NEW","")))</f>
        <v> </v>
      </c>
      <c r="G118" s="24" t="str">
        <f>IF(OR(E118="",E118="!!!"),"",IF(OR(J118=0,AND(J118=1,K118=1),AND(J118=1,I118="SBJ"),AND(J118=1,I118=0)),"?IN_FOCUS",IF(J118&lt;=2,"?ACTIVATED",IF(J118&lt;&gt;"","?FAMILIAR",IF(F118="NEW",IF(ISNA(VLOOKUP(E118,#REF!,1,FALSE())),"?TYPE_IDENTIFIABLE","?REFERENTIAL"),"_")))))</f>
        <v> </v>
      </c>
      <c r="H118" s="25" t="str">
        <f>IF(J118&lt;&gt;1,"",IF(I118="SBJ","CB","?"))</f>
        <v> </v>
      </c>
      <c r="I118" s="26" t="str">
        <f>IF(OR(E118="",E118="!!!",F118="NEW"),"",INDEX(B117:B$2,-1+SUMPRODUCT(MAX(ROW(E117:E$2)*(E118=E117:E$2)))))</f>
        <v> </v>
      </c>
      <c r="J118" s="26" t="str">
        <f>IF(OR(E118="",E118="!!!",F118="NEW"),"",COUNTBLANK(OFFSET(A$1,,,SUMPRODUCT(MAX(ROW(E$2:E118)*(E118=E$2:E118)))))-COUNTBLANK(OFFSET(A$1,,,SUMPRODUCT(MAX(ROW(E$1:E117)*(E2=E$1:E117))))))</f>
        <v> </v>
      </c>
      <c r="K118" s="26" t="str">
        <f>IF(OR(E118="",E118="!!!",F118="NEW"),"",INDEX(J$1:J117,SUMPRODUCT(MAX(ROW(E$1:E117)*(E118=E$1:E117)))))</f>
        <v> </v>
      </c>
      <c r="L118" s="27"/>
    </row>
    <row r="119" spans="1:12">
      <c r="A119" s="20" t="s">
        <v>197</v>
      </c>
      <c r="E119" s="22">
        <f>IF(D119="?OLD","!!!","")</f>
        <v/>
      </c>
      <c r="F119" s="23" t="str">
        <f>IF(OR(E119="",E119="!!!"),"",IF(NOT(ISNA(VLOOKUP(E119,E$1:E118,1,FALSE()))),"OLD",IF(AND(E119&lt;&gt;"",E119&lt;&gt;"!!!"),"NEW","")))</f>
        <v> </v>
      </c>
      <c r="G119" s="24" t="str">
        <f>IF(OR(E119="",E119="!!!"),"",IF(OR(J119=0,AND(J119=1,K119=1),AND(J119=1,I119="SBJ"),AND(J119=1,I119=0)),"?IN_FOCUS",IF(J119&lt;=2,"?ACTIVATED",IF(J119&lt;&gt;"","?FAMILIAR",IF(F119="NEW",IF(ISNA(VLOOKUP(E119,#REF!,1,FALSE())),"?TYPE_IDENTIFIABLE","?REFERENTIAL"),"_")))))</f>
        <v> </v>
      </c>
      <c r="H119" s="25" t="str">
        <f>IF(J119&lt;&gt;1,"",IF(I119="SBJ","CB","?"))</f>
        <v> </v>
      </c>
      <c r="I119" s="26" t="str">
        <f>IF(OR(E119="",E119="!!!",F119="NEW"),"",INDEX(B118:B$2,-1+SUMPRODUCT(MAX(ROW(E118:E$2)*(E119=E118:E$2)))))</f>
        <v> </v>
      </c>
      <c r="J119" s="26" t="str">
        <f>IF(OR(E119="",E119="!!!",F119="NEW"),"",COUNTBLANK(OFFSET(A$1,,,SUMPRODUCT(MAX(ROW(E$2:E119)*(E119=E$2:E119)))))-COUNTBLANK(OFFSET(A$1,,,SUMPRODUCT(MAX(ROW(E$1:E118)*(E2=E$1:E118))))))</f>
        <v> </v>
      </c>
      <c r="K119" s="26" t="str">
        <f>IF(OR(E119="",E119="!!!",F119="NEW"),"",INDEX(J$1:J118,SUMPRODUCT(MAX(ROW(E$1:E118)*(E119=E$1:E118)))))</f>
        <v> </v>
      </c>
      <c r="L119" s="27"/>
    </row>
    <row r="120" spans="1:12">
      <c r="A120" s="20" t="s">
        <v>97</v>
      </c>
      <c r="E120" s="22">
        <f>IF(D120="?OLD","!!!","")</f>
        <v/>
      </c>
      <c r="F120" s="23" t="str">
        <f>IF(OR(E120="",E120="!!!"),"",IF(NOT(ISNA(VLOOKUP(E120,E$1:E119,1,FALSE()))),"OLD",IF(AND(E120&lt;&gt;"",E120&lt;&gt;"!!!"),"NEW","")))</f>
        <v> </v>
      </c>
      <c r="G120" s="24" t="str">
        <f>IF(OR(E120="",E120="!!!"),"",IF(OR(J120=0,AND(J120=1,K120=1),AND(J120=1,I120="SBJ"),AND(J120=1,I120=0)),"?IN_FOCUS",IF(J120&lt;=2,"?ACTIVATED",IF(J120&lt;&gt;"","?FAMILIAR",IF(F120="NEW",IF(ISNA(VLOOKUP(E120,#REF!,1,FALSE())),"?TYPE_IDENTIFIABLE","?REFERENTIAL"),"_")))))</f>
        <v> </v>
      </c>
      <c r="H120" s="25" t="str">
        <f>IF(J120&lt;&gt;1,"",IF(I120="SBJ","CB","?"))</f>
        <v> </v>
      </c>
      <c r="I120" s="26" t="str">
        <f>IF(OR(E120="",E120="!!!",F120="NEW"),"",INDEX(B119:B$2,-1+SUMPRODUCT(MAX(ROW(E119:E$2)*(E120=E119:E$2)))))</f>
        <v> </v>
      </c>
      <c r="J120" s="26" t="str">
        <f>IF(OR(E120="",E120="!!!",F120="NEW"),"",COUNTBLANK(OFFSET(A$1,,,SUMPRODUCT(MAX(ROW(E$2:E120)*(E120=E$2:E120)))))-COUNTBLANK(OFFSET(A$1,,,SUMPRODUCT(MAX(ROW(E$1:E119)*(E2=E$1:E119))))))</f>
        <v> </v>
      </c>
      <c r="K120" s="26" t="str">
        <f>IF(OR(E120="",E120="!!!",F120="NEW"),"",INDEX(J$1:J119,SUMPRODUCT(MAX(ROW(E$1:E119)*(E120=E$1:E119)))))</f>
        <v> </v>
      </c>
      <c r="L120" s="27"/>
    </row>
    <row r="121" spans="1:12">
      <c r="A121" s="20" t="s">
        <v>198</v>
      </c>
      <c r="E121" s="22">
        <f>IF(D121="?OLD","!!!","")</f>
        <v/>
      </c>
      <c r="F121" s="23" t="str">
        <f>IF(OR(E121="",E121="!!!"),"",IF(NOT(ISNA(VLOOKUP(E121,E$1:E120,1,FALSE()))),"OLD",IF(AND(E121&lt;&gt;"",E121&lt;&gt;"!!!"),"NEW","")))</f>
        <v> </v>
      </c>
      <c r="G121" s="24" t="str">
        <f>IF(OR(E121="",E121="!!!"),"",IF(OR(J121=0,AND(J121=1,K121=1),AND(J121=1,I121="SBJ"),AND(J121=1,I121=0)),"?IN_FOCUS",IF(J121&lt;=2,"?ACTIVATED",IF(J121&lt;&gt;"","?FAMILIAR",IF(F121="NEW",IF(ISNA(VLOOKUP(E121,#REF!,1,FALSE())),"?TYPE_IDENTIFIABLE","?REFERENTIAL"),"_")))))</f>
        <v> </v>
      </c>
      <c r="H121" s="25" t="str">
        <f>IF(J121&lt;&gt;1,"",IF(I121="SBJ","CB","?"))</f>
        <v> </v>
      </c>
      <c r="I121" s="26" t="str">
        <f>IF(OR(E121="",E121="!!!",F121="NEW"),"",INDEX(B120:B$2,-1+SUMPRODUCT(MAX(ROW(E120:E$2)*(E121=E120:E$2)))))</f>
        <v> </v>
      </c>
      <c r="J121" s="26" t="str">
        <f>IF(OR(E121="",E121="!!!",F121="NEW"),"",COUNTBLANK(OFFSET(A$1,,,SUMPRODUCT(MAX(ROW(E$2:E121)*(E121=E$2:E121)))))-COUNTBLANK(OFFSET(A$1,,,SUMPRODUCT(MAX(ROW(E$1:E120)*(E2=E$1:E120))))))</f>
        <v> </v>
      </c>
      <c r="K121" s="26" t="str">
        <f>IF(OR(E121="",E121="!!!",F121="NEW"),"",INDEX(J$1:J120,SUMPRODUCT(MAX(ROW(E$1:E120)*(E121=E$1:E120)))))</f>
        <v> </v>
      </c>
      <c r="L121" s="27"/>
    </row>
    <row r="122" spans="1:12">
      <c r="A122" s="20" t="s">
        <v>118</v>
      </c>
      <c r="E122" s="22">
        <f>IF(D122="?OLD","!!!","")</f>
        <v/>
      </c>
      <c r="F122" s="23" t="str">
        <f>IF(OR(E122="",E122="!!!"),"",IF(NOT(ISNA(VLOOKUP(E122,E$1:E121,1,FALSE()))),"OLD",IF(AND(E122&lt;&gt;"",E122&lt;&gt;"!!!"),"NEW","")))</f>
        <v> </v>
      </c>
      <c r="G122" s="24" t="str">
        <f>IF(OR(E122="",E122="!!!"),"",IF(OR(J122=0,AND(J122=1,K122=1),AND(J122=1,I122="SBJ"),AND(J122=1,I122=0)),"?IN_FOCUS",IF(J122&lt;=2,"?ACTIVATED",IF(J122&lt;&gt;"","?FAMILIAR",IF(F122="NEW",IF(ISNA(VLOOKUP(E122,#REF!,1,FALSE())),"?TYPE_IDENTIFIABLE","?REFERENTIAL"),"_")))))</f>
        <v> </v>
      </c>
      <c r="H122" s="25" t="str">
        <f>IF(J122&lt;&gt;1,"",IF(I122="SBJ","CB","?"))</f>
        <v> </v>
      </c>
      <c r="I122" s="26" t="str">
        <f>IF(OR(E122="",E122="!!!",F122="NEW"),"",INDEX(B121:B$2,-1+SUMPRODUCT(MAX(ROW(E121:E$2)*(E122=E121:E$2)))))</f>
        <v> </v>
      </c>
      <c r="J122" s="26" t="str">
        <f>IF(OR(E122="",E122="!!!",F122="NEW"),"",COUNTBLANK(OFFSET(A$1,,,SUMPRODUCT(MAX(ROW(E$2:E122)*(E122=E$2:E122)))))-COUNTBLANK(OFFSET(A$1,,,SUMPRODUCT(MAX(ROW(E$1:E121)*(E2=E$1:E121))))))</f>
        <v> </v>
      </c>
      <c r="K122" s="26" t="str">
        <f>IF(OR(E122="",E122="!!!",F122="NEW"),"",INDEX(J$1:J121,SUMPRODUCT(MAX(ROW(E$1:E121)*(E122=E$1:E121)))))</f>
        <v> </v>
      </c>
      <c r="L122" s="27"/>
    </row>
    <row r="123" spans="1:12">
      <c r="A123" s="20" t="s">
        <v>199</v>
      </c>
      <c r="B123" s="21" t="s">
        <v>174</v>
      </c>
      <c r="C123" s="21" t="s">
        <v>112</v>
      </c>
      <c r="D123" s="21" t="s">
        <v>102</v>
      </c>
      <c r="E123" s="22">
        <f>IF(D123="?OLD","!!!","")</f>
        <v/>
      </c>
      <c r="F123" s="23" t="str">
        <f>IF(OR(E123="",E123="!!!"),"",IF(NOT(ISNA(VLOOKUP(E123,E$1:E122,1,FALSE()))),"OLD",IF(AND(E123&lt;&gt;"",E123&lt;&gt;"!!!"),"NEW","")))</f>
        <v> </v>
      </c>
      <c r="G123" s="24" t="str">
        <f>IF(OR(E123="",E123="!!!"),"",IF(OR(J123=0,AND(J123=1,K123=1),AND(J123=1,I123="SBJ"),AND(J123=1,I123=0)),"?IN_FOCUS",IF(J123&lt;=2,"?ACTIVATED",IF(J123&lt;&gt;"","?FAMILIAR",IF(F123="NEW",IF(ISNA(VLOOKUP(E123,#REF!,1,FALSE())),"?TYPE_IDENTIFIABLE","?REFERENTIAL"),"_")))))</f>
        <v> </v>
      </c>
      <c r="H123" s="25" t="str">
        <f>IF(J123&lt;&gt;1,"",IF(I123="SBJ","CB","?"))</f>
        <v> </v>
      </c>
      <c r="I123" s="26" t="str">
        <f>IF(OR(E123="",E123="!!!",F123="NEW"),"",INDEX(B122:B$2,-1+SUMPRODUCT(MAX(ROW(E122:E$2)*(E123=E122:E$2)))))</f>
        <v> </v>
      </c>
      <c r="J123" s="26" t="str">
        <f>IF(OR(E123="",E123="!!!",F123="NEW"),"",COUNTBLANK(OFFSET(A$1,,,SUMPRODUCT(MAX(ROW(E$2:E123)*(E123=E$2:E123)))))-COUNTBLANK(OFFSET(A$1,,,SUMPRODUCT(MAX(ROW(E$1:E122)*(E2=E$1:E122))))))</f>
        <v> </v>
      </c>
      <c r="K123" s="26" t="str">
        <f>IF(OR(E123="",E123="!!!",F123="NEW"),"",INDEX(J$1:J122,SUMPRODUCT(MAX(ROW(E$1:E122)*(E123=E$1:E122)))))</f>
        <v> </v>
      </c>
      <c r="L123" s="27"/>
    </row>
    <row r="124" spans="1:12">
      <c r="A124" s="20" t="s">
        <v>137</v>
      </c>
      <c r="E124" s="22">
        <f>IF(D124="?OLD","!!!","")</f>
        <v/>
      </c>
      <c r="F124" s="23" t="str">
        <f>IF(OR(E124="",E124="!!!"),"",IF(NOT(ISNA(VLOOKUP(E124,E$1:E123,1,FALSE()))),"OLD",IF(AND(E124&lt;&gt;"",E124&lt;&gt;"!!!"),"NEW","")))</f>
        <v> </v>
      </c>
      <c r="G124" s="24" t="str">
        <f>IF(OR(E124="",E124="!!!"),"",IF(OR(J124=0,AND(J124=1,K124=1),AND(J124=1,I124="SBJ"),AND(J124=1,I124=0)),"?IN_FOCUS",IF(J124&lt;=2,"?ACTIVATED",IF(J124&lt;&gt;"","?FAMILIAR",IF(F124="NEW",IF(ISNA(VLOOKUP(E124,#REF!,1,FALSE())),"?TYPE_IDENTIFIABLE","?REFERENTIAL"),"_")))))</f>
        <v> </v>
      </c>
      <c r="H124" s="25" t="str">
        <f>IF(J124&lt;&gt;1,"",IF(I124="SBJ","CB","?"))</f>
        <v> </v>
      </c>
      <c r="I124" s="26" t="str">
        <f>IF(OR(E124="",E124="!!!",F124="NEW"),"",INDEX(B123:B$2,-1+SUMPRODUCT(MAX(ROW(E123:E$2)*(E124=E123:E$2)))))</f>
        <v> </v>
      </c>
      <c r="J124" s="26" t="str">
        <f>IF(OR(E124="",E124="!!!",F124="NEW"),"",COUNTBLANK(OFFSET(A$1,,,SUMPRODUCT(MAX(ROW(E$2:E124)*(E124=E$2:E124)))))-COUNTBLANK(OFFSET(A$1,,,SUMPRODUCT(MAX(ROW(E$1:E123)*(E2=E$1:E123))))))</f>
        <v> </v>
      </c>
      <c r="K124" s="26" t="str">
        <f>IF(OR(E124="",E124="!!!",F124="NEW"),"",INDEX(J$1:J123,SUMPRODUCT(MAX(ROW(E$1:E123)*(E124=E$1:E123)))))</f>
        <v> </v>
      </c>
      <c r="L124" s="27"/>
    </row>
    <row r="125" spans="1:12">
      <c r="A125" s="20" t="s">
        <v>200</v>
      </c>
      <c r="E125" s="22">
        <f>IF(D125="?OLD","!!!","")</f>
        <v/>
      </c>
      <c r="F125" s="23" t="str">
        <f>IF(OR(E125="",E125="!!!"),"",IF(NOT(ISNA(VLOOKUP(E125,E$1:E124,1,FALSE()))),"OLD",IF(AND(E125&lt;&gt;"",E125&lt;&gt;"!!!"),"NEW","")))</f>
        <v> </v>
      </c>
      <c r="G125" s="24" t="str">
        <f>IF(OR(E125="",E125="!!!"),"",IF(OR(J125=0,AND(J125=1,K125=1),AND(J125=1,I125="SBJ"),AND(J125=1,I125=0)),"?IN_FOCUS",IF(J125&lt;=2,"?ACTIVATED",IF(J125&lt;&gt;"","?FAMILIAR",IF(F125="NEW",IF(ISNA(VLOOKUP(E125,#REF!,1,FALSE())),"?TYPE_IDENTIFIABLE","?REFERENTIAL"),"_")))))</f>
        <v> </v>
      </c>
      <c r="H125" s="25" t="str">
        <f>IF(J125&lt;&gt;1,"",IF(I125="SBJ","CB","?"))</f>
        <v> </v>
      </c>
      <c r="I125" s="26" t="str">
        <f>IF(OR(E125="",E125="!!!",F125="NEW"),"",INDEX(B124:B$2,-1+SUMPRODUCT(MAX(ROW(E124:E$2)*(E125=E124:E$2)))))</f>
        <v> </v>
      </c>
      <c r="J125" s="26" t="str">
        <f>IF(OR(E125="",E125="!!!",F125="NEW"),"",COUNTBLANK(OFFSET(A$1,,,SUMPRODUCT(MAX(ROW(E$2:E125)*(E125=E$2:E125)))))-COUNTBLANK(OFFSET(A$1,,,SUMPRODUCT(MAX(ROW(E$1:E124)*(E2=E$1:E124))))))</f>
        <v> </v>
      </c>
      <c r="K125" s="26" t="str">
        <f>IF(OR(E125="",E125="!!!",F125="NEW"),"",INDEX(J$1:J124,SUMPRODUCT(MAX(ROW(E$1:E124)*(E125=E$1:E124)))))</f>
        <v> </v>
      </c>
      <c r="L125" s="27"/>
    </row>
    <row r="126" spans="1:12">
      <c r="A126" s="20" t="s">
        <v>201</v>
      </c>
      <c r="B126" s="21" t="s">
        <v>123</v>
      </c>
      <c r="C126" s="21" t="s">
        <v>92</v>
      </c>
      <c r="E126" s="22">
        <f>IF(D126="?OLD","!!!","")</f>
        <v/>
      </c>
      <c r="F126" s="23" t="str">
        <f>IF(OR(E126="",E126="!!!"),"",IF(NOT(ISNA(VLOOKUP(E126,E$1:E125,1,FALSE()))),"OLD",IF(AND(E126&lt;&gt;"",E126&lt;&gt;"!!!"),"NEW","")))</f>
        <v> </v>
      </c>
      <c r="G126" s="24" t="str">
        <f>IF(OR(E126="",E126="!!!"),"",IF(OR(J126=0,AND(J126=1,K126=1),AND(J126=1,I126="SBJ"),AND(J126=1,I126=0)),"?IN_FOCUS",IF(J126&lt;=2,"?ACTIVATED",IF(J126&lt;&gt;"","?FAMILIAR",IF(F126="NEW",IF(ISNA(VLOOKUP(E126,#REF!,1,FALSE())),"?TYPE_IDENTIFIABLE","?REFERENTIAL"),"_")))))</f>
        <v> </v>
      </c>
      <c r="H126" s="25" t="str">
        <f>IF(J126&lt;&gt;1,"",IF(I126="SBJ","CB","?"))</f>
        <v> </v>
      </c>
      <c r="I126" s="26" t="str">
        <f>IF(OR(E126="",E126="!!!",F126="NEW"),"",INDEX(B125:B$2,-1+SUMPRODUCT(MAX(ROW(E125:E$2)*(E126=E125:E$2)))))</f>
        <v> </v>
      </c>
      <c r="J126" s="26" t="str">
        <f>IF(OR(E126="",E126="!!!",F126="NEW"),"",COUNTBLANK(OFFSET(A$1,,,SUMPRODUCT(MAX(ROW(E$2:E126)*(E126=E$2:E126)))))-COUNTBLANK(OFFSET(A$1,,,SUMPRODUCT(MAX(ROW(E$1:E125)*(E2=E$1:E125))))))</f>
        <v> </v>
      </c>
      <c r="K126" s="26" t="str">
        <f>IF(OR(E126="",E126="!!!",F126="NEW"),"",INDEX(J$1:J125,SUMPRODUCT(MAX(ROW(E$1:E125)*(E126=E$1:E125)))))</f>
        <v> </v>
      </c>
      <c r="L126" s="27"/>
    </row>
    <row r="127" spans="1:12">
      <c r="A127" s="20" t="s">
        <v>137</v>
      </c>
      <c r="E127" s="22">
        <f>IF(D127="?OLD","!!!","")</f>
        <v/>
      </c>
      <c r="F127" s="23" t="str">
        <f>IF(OR(E127="",E127="!!!"),"",IF(NOT(ISNA(VLOOKUP(E127,E$1:E126,1,FALSE()))),"OLD",IF(AND(E127&lt;&gt;"",E127&lt;&gt;"!!!"),"NEW","")))</f>
        <v> </v>
      </c>
      <c r="G127" s="24" t="str">
        <f>IF(OR(E127="",E127="!!!"),"",IF(OR(J127=0,AND(J127=1,K127=1),AND(J127=1,I127="SBJ"),AND(J127=1,I127=0)),"?IN_FOCUS",IF(J127&lt;=2,"?ACTIVATED",IF(J127&lt;&gt;"","?FAMILIAR",IF(F127="NEW",IF(ISNA(VLOOKUP(E127,#REF!,1,FALSE())),"?TYPE_IDENTIFIABLE","?REFERENTIAL"),"_")))))</f>
        <v> </v>
      </c>
      <c r="H127" s="25" t="str">
        <f>IF(J127&lt;&gt;1,"",IF(I127="SBJ","CB","?"))</f>
        <v> </v>
      </c>
      <c r="I127" s="26" t="str">
        <f>IF(OR(E127="",E127="!!!",F127="NEW"),"",INDEX(B126:B$2,-1+SUMPRODUCT(MAX(ROW(E126:E$2)*(E127=E126:E$2)))))</f>
        <v> </v>
      </c>
      <c r="J127" s="26" t="str">
        <f>IF(OR(E127="",E127="!!!",F127="NEW"),"",COUNTBLANK(OFFSET(A$1,,,SUMPRODUCT(MAX(ROW(E$2:E127)*(E127=E$2:E127)))))-COUNTBLANK(OFFSET(A$1,,,SUMPRODUCT(MAX(ROW(E$1:E126)*(E2=E$1:E126))))))</f>
        <v> </v>
      </c>
      <c r="K127" s="26" t="str">
        <f>IF(OR(E127="",E127="!!!",F127="NEW"),"",INDEX(J$1:J126,SUMPRODUCT(MAX(ROW(E$1:E126)*(E127=E$1:E126)))))</f>
        <v> </v>
      </c>
      <c r="L127" s="27"/>
    </row>
    <row r="128" spans="1:12">
      <c r="A128" s="20" t="s">
        <v>202</v>
      </c>
      <c r="E128" s="22">
        <f>IF(D128="?OLD","!!!","")</f>
        <v/>
      </c>
      <c r="F128" s="23" t="str">
        <f>IF(OR(E128="",E128="!!!"),"",IF(NOT(ISNA(VLOOKUP(E128,E$1:E127,1,FALSE()))),"OLD",IF(AND(E128&lt;&gt;"",E128&lt;&gt;"!!!"),"NEW","")))</f>
        <v> </v>
      </c>
      <c r="G128" s="24" t="str">
        <f>IF(OR(E128="",E128="!!!"),"",IF(OR(J128=0,AND(J128=1,K128=1),AND(J128=1,I128="SBJ"),AND(J128=1,I128=0)),"?IN_FOCUS",IF(J128&lt;=2,"?ACTIVATED",IF(J128&lt;&gt;"","?FAMILIAR",IF(F128="NEW",IF(ISNA(VLOOKUP(E128,#REF!,1,FALSE())),"?TYPE_IDENTIFIABLE","?REFERENTIAL"),"_")))))</f>
        <v> </v>
      </c>
      <c r="H128" s="25" t="str">
        <f>IF(J128&lt;&gt;1,"",IF(I128="SBJ","CB","?"))</f>
        <v> </v>
      </c>
      <c r="I128" s="26" t="str">
        <f>IF(OR(E128="",E128="!!!",F128="NEW"),"",INDEX(B127:B$2,-1+SUMPRODUCT(MAX(ROW(E127:E$2)*(E128=E127:E$2)))))</f>
        <v> </v>
      </c>
      <c r="J128" s="26" t="str">
        <f>IF(OR(E128="",E128="!!!",F128="NEW"),"",COUNTBLANK(OFFSET(A$1,,,SUMPRODUCT(MAX(ROW(E$2:E128)*(E128=E$2:E128)))))-COUNTBLANK(OFFSET(A$1,,,SUMPRODUCT(MAX(ROW(E$1:E127)*(E2=E$1:E127))))))</f>
        <v> </v>
      </c>
      <c r="K128" s="26" t="str">
        <f>IF(OR(E128="",E128="!!!",F128="NEW"),"",INDEX(J$1:J127,SUMPRODUCT(MAX(ROW(E$1:E127)*(E128=E$1:E127)))))</f>
        <v> </v>
      </c>
      <c r="L128" s="27"/>
    </row>
    <row r="129" spans="1:12">
      <c r="A129" s="20" t="s">
        <v>155</v>
      </c>
      <c r="E129" s="22">
        <f>IF(D129="?OLD","!!!","")</f>
        <v/>
      </c>
      <c r="F129" s="23" t="str">
        <f>IF(OR(E129="",E129="!!!"),"",IF(NOT(ISNA(VLOOKUP(E129,E$1:E128,1,FALSE()))),"OLD",IF(AND(E129&lt;&gt;"",E129&lt;&gt;"!!!"),"NEW","")))</f>
        <v> </v>
      </c>
      <c r="G129" s="24" t="str">
        <f>IF(OR(E129="",E129="!!!"),"",IF(OR(J129=0,AND(J129=1,K129=1),AND(J129=1,I129="SBJ"),AND(J129=1,I129=0)),"?IN_FOCUS",IF(J129&lt;=2,"?ACTIVATED",IF(J129&lt;&gt;"","?FAMILIAR",IF(F129="NEW",IF(ISNA(VLOOKUP(E129,#REF!,1,FALSE())),"?TYPE_IDENTIFIABLE","?REFERENTIAL"),"_")))))</f>
        <v> </v>
      </c>
      <c r="H129" s="25" t="str">
        <f>IF(J129&lt;&gt;1,"",IF(I129="SBJ","CB","?"))</f>
        <v> </v>
      </c>
      <c r="I129" s="26" t="str">
        <f>IF(OR(E129="",E129="!!!",F129="NEW"),"",INDEX(B128:B$2,-1+SUMPRODUCT(MAX(ROW(E128:E$2)*(E129=E128:E$2)))))</f>
        <v> </v>
      </c>
      <c r="J129" s="26" t="str">
        <f>IF(OR(E129="",E129="!!!",F129="NEW"),"",COUNTBLANK(OFFSET(A$1,,,SUMPRODUCT(MAX(ROW(E$2:E129)*(E129=E$2:E129)))))-COUNTBLANK(OFFSET(A$1,,,SUMPRODUCT(MAX(ROW(E$1:E128)*(E2=E$1:E128))))))</f>
        <v> </v>
      </c>
      <c r="K129" s="26" t="str">
        <f>IF(OR(E129="",E129="!!!",F129="NEW"),"",INDEX(J$1:J128,SUMPRODUCT(MAX(ROW(E$1:E128)*(E129=E$1:E128)))))</f>
        <v> </v>
      </c>
      <c r="L129" s="27"/>
    </row>
    <row r="130" spans="1:12">
      <c r="A130" s="20"/>
    </row>
    <row r="131" spans="1:12">
      <c r="A131" s="20" t="s">
        <v>156</v>
      </c>
      <c r="E131" s="22">
        <f>IF(D131="?OLD","!!!","")</f>
        <v/>
      </c>
      <c r="F131" s="23" t="str">
        <f>IF(OR(E131="",E131="!!!"),"",IF(NOT(ISNA(VLOOKUP(E131,E$1:E130,1,FALSE()))),"OLD",IF(AND(E131&lt;&gt;"",E131&lt;&gt;"!!!"),"NEW","")))</f>
        <v> </v>
      </c>
      <c r="G131" s="24" t="str">
        <f>IF(OR(E131="",E131="!!!"),"",IF(OR(J131=0,AND(J131=1,K131=1),AND(J131=1,I131="SBJ"),AND(J131=1,I131=0)),"?IN_FOCUS",IF(J131&lt;=2,"?ACTIVATED",IF(J131&lt;&gt;"","?FAMILIAR",IF(F131="NEW",IF(ISNA(VLOOKUP(E131,#REF!,1,FALSE())),"?TYPE_IDENTIFIABLE","?REFERENTIAL"),"_")))))</f>
        <v> </v>
      </c>
      <c r="H131" s="25" t="str">
        <f>IF(J131&lt;&gt;1,"",IF(I131="SBJ","CB","?"))</f>
        <v> </v>
      </c>
      <c r="I131" s="26" t="str">
        <f>IF(OR(E131="",E131="!!!",F131="NEW"),"",INDEX(B130:B$2,-1+SUMPRODUCT(MAX(ROW(E130:E$2)*(E131=E130:E$2)))))</f>
        <v> </v>
      </c>
      <c r="J131" s="26" t="str">
        <f>IF(OR(E131="",E131="!!!",F131="NEW"),"",COUNTBLANK(OFFSET(A$1,,,SUMPRODUCT(MAX(ROW(E$2:E131)*(E131=E$2:E131)))))-COUNTBLANK(OFFSET(A$1,,,SUMPRODUCT(MAX(ROW(E$1:E130)*(E2=E$1:E130))))))</f>
        <v> </v>
      </c>
      <c r="K131" s="26" t="str">
        <f>IF(OR(E131="",E131="!!!",F131="NEW"),"",INDEX(J$1:J130,SUMPRODUCT(MAX(ROW(E$1:E130)*(E131=E$1:E130)))))</f>
        <v> </v>
      </c>
      <c r="L131" s="27"/>
    </row>
    <row r="132" spans="1:12">
      <c r="A132" s="20" t="s">
        <v>203</v>
      </c>
    </row>
    <row r="133" spans="1:12">
      <c r="A133" s="20" t="s">
        <v>204</v>
      </c>
      <c r="B133" s="21" t="s">
        <v>144</v>
      </c>
      <c r="C133" s="21" t="s">
        <v>104</v>
      </c>
      <c r="D133" s="21" t="s">
        <v>102</v>
      </c>
      <c r="E133" s="22">
        <f>IF(D133="?OLD","!!!","")</f>
        <v/>
      </c>
      <c r="F133" s="23" t="str">
        <f>IF(OR(E133="",E133="!!!"),"",IF(NOT(ISNA(VLOOKUP(E133,E$1:E132,1,FALSE()))),"OLD",IF(AND(E133&lt;&gt;"",E133&lt;&gt;"!!!"),"NEW","")))</f>
        <v> </v>
      </c>
      <c r="G133" s="24" t="str">
        <f>IF(OR(E133="",E133="!!!"),"",IF(OR(J133=0,AND(J133=1,K133=1),AND(J133=1,I133="SBJ"),AND(J133=1,I133=0)),"?IN_FOCUS",IF(J133&lt;=2,"?ACTIVATED",IF(J133&lt;&gt;"","?FAMILIAR",IF(F133="NEW",IF(ISNA(VLOOKUP(E133,#REF!,1,FALSE())),"?TYPE_IDENTIFIABLE","?REFERENTIAL"),"_")))))</f>
        <v> </v>
      </c>
      <c r="H133" s="25" t="str">
        <f>IF(J133&lt;&gt;1,"",IF(I133="SBJ","CB","?"))</f>
        <v> </v>
      </c>
      <c r="I133" s="26" t="str">
        <f>IF(OR(E133="",E133="!!!",F133="NEW"),"",INDEX(B132:B$2,-1+SUMPRODUCT(MAX(ROW(E132:E$2)*(E133=E132:E$2)))))</f>
        <v> </v>
      </c>
      <c r="J133" s="26" t="str">
        <f>IF(OR(E133="",E133="!!!",F133="NEW"),"",COUNTBLANK(OFFSET(A$1,,,SUMPRODUCT(MAX(ROW(E$2:E133)*(E133=E$2:E133)))))-COUNTBLANK(OFFSET(A$1,,,SUMPRODUCT(MAX(ROW(E$1:E132)*(E2=E$1:E132))))))</f>
        <v> </v>
      </c>
      <c r="K133" s="26" t="str">
        <f>IF(OR(E133="",E133="!!!",F133="NEW"),"",INDEX(J$1:J132,SUMPRODUCT(MAX(ROW(E$1:E132)*(E133=E$1:E132)))))</f>
        <v> </v>
      </c>
      <c r="L133" s="27"/>
    </row>
    <row r="134" spans="1:12">
      <c r="A134" s="20" t="s">
        <v>205</v>
      </c>
      <c r="E134" s="22">
        <f>IF(D134="?OLD","!!!","")</f>
        <v/>
      </c>
      <c r="F134" s="23" t="str">
        <f>IF(OR(E134="",E134="!!!"),"",IF(NOT(ISNA(VLOOKUP(E134,E$1:E133,1,FALSE()))),"OLD",IF(AND(E134&lt;&gt;"",E134&lt;&gt;"!!!"),"NEW","")))</f>
        <v> </v>
      </c>
      <c r="G134" s="24" t="str">
        <f>IF(OR(E134="",E134="!!!"),"",IF(OR(J134=0,AND(J134=1,K134=1),AND(J134=1,I134="SBJ"),AND(J134=1,I134=0)),"?IN_FOCUS",IF(J134&lt;=2,"?ACTIVATED",IF(J134&lt;&gt;"","?FAMILIAR",IF(F134="NEW",IF(ISNA(VLOOKUP(E134,#REF!,1,FALSE())),"?TYPE_IDENTIFIABLE","?REFERENTIAL"),"_")))))</f>
        <v> </v>
      </c>
      <c r="H134" s="25" t="str">
        <f>IF(J134&lt;&gt;1,"",IF(I134="SBJ","CB","?"))</f>
        <v> </v>
      </c>
      <c r="I134" s="26" t="str">
        <f>IF(OR(E134="",E134="!!!",F134="NEW"),"",INDEX(B133:B$2,-1+SUMPRODUCT(MAX(ROW(E133:E$2)*(E134=E133:E$2)))))</f>
        <v> </v>
      </c>
      <c r="J134" s="26" t="str">
        <f>IF(OR(E134="",E134="!!!",F134="NEW"),"",COUNTBLANK(OFFSET(A$1,,,SUMPRODUCT(MAX(ROW(E$2:E134)*(E134=E$2:E134)))))-COUNTBLANK(OFFSET(A$1,,,SUMPRODUCT(MAX(ROW(E$1:E133)*(E2=E$1:E133))))))</f>
        <v> </v>
      </c>
      <c r="K134" s="26" t="str">
        <f>IF(OR(E134="",E134="!!!",F134="NEW"),"",INDEX(J$1:J133,SUMPRODUCT(MAX(ROW(E$1:E133)*(E134=E$1:E133)))))</f>
        <v> </v>
      </c>
      <c r="L134" s="27"/>
    </row>
    <row r="135" spans="1:12">
      <c r="A135" s="20" t="s">
        <v>206</v>
      </c>
      <c r="E135" s="22">
        <f>IF(D135="?OLD","!!!","")</f>
        <v/>
      </c>
      <c r="F135" s="23" t="str">
        <f>IF(OR(E135="",E135="!!!"),"",IF(NOT(ISNA(VLOOKUP(E135,E$1:E134,1,FALSE()))),"OLD",IF(AND(E135&lt;&gt;"",E135&lt;&gt;"!!!"),"NEW","")))</f>
        <v> </v>
      </c>
      <c r="G135" s="24" t="str">
        <f>IF(OR(E135="",E135="!!!"),"",IF(OR(J135=0,AND(J135=1,K135=1),AND(J135=1,I135="SBJ"),AND(J135=1,I135=0)),"?IN_FOCUS",IF(J135&lt;=2,"?ACTIVATED",IF(J135&lt;&gt;"","?FAMILIAR",IF(F135="NEW",IF(ISNA(VLOOKUP(E135,#REF!,1,FALSE())),"?TYPE_IDENTIFIABLE","?REFERENTIAL"),"_")))))</f>
        <v> </v>
      </c>
      <c r="H135" s="25" t="str">
        <f>IF(J135&lt;&gt;1,"",IF(I135="SBJ","CB","?"))</f>
        <v> </v>
      </c>
      <c r="I135" s="26" t="str">
        <f>IF(OR(E135="",E135="!!!",F135="NEW"),"",INDEX(B134:B$2,-1+SUMPRODUCT(MAX(ROW(E134:E$2)*(E135=E134:E$2)))))</f>
        <v> </v>
      </c>
      <c r="J135" s="26" t="str">
        <f>IF(OR(E135="",E135="!!!",F135="NEW"),"",COUNTBLANK(OFFSET(A$1,,,SUMPRODUCT(MAX(ROW(E$2:E135)*(E135=E$2:E135)))))-COUNTBLANK(OFFSET(A$1,,,SUMPRODUCT(MAX(ROW(E$1:E134)*(E2=E$1:E134))))))</f>
        <v> </v>
      </c>
      <c r="K135" s="26" t="str">
        <f>IF(OR(E135="",E135="!!!",F135="NEW"),"",INDEX(J$1:J134,SUMPRODUCT(MAX(ROW(E$1:E134)*(E135=E$1:E134)))))</f>
        <v> </v>
      </c>
      <c r="L135" s="27"/>
    </row>
    <row r="136" spans="1:12">
      <c r="A136" s="20" t="s">
        <v>97</v>
      </c>
      <c r="E136" s="22">
        <f>IF(D136="?OLD","!!!","")</f>
        <v/>
      </c>
      <c r="F136" s="23" t="str">
        <f>IF(OR(E136="",E136="!!!"),"",IF(NOT(ISNA(VLOOKUP(E136,E$1:E135,1,FALSE()))),"OLD",IF(AND(E136&lt;&gt;"",E136&lt;&gt;"!!!"),"NEW","")))</f>
        <v> </v>
      </c>
      <c r="G136" s="24" t="str">
        <f>IF(OR(E136="",E136="!!!"),"",IF(OR(J136=0,AND(J136=1,K136=1),AND(J136=1,I136="SBJ"),AND(J136=1,I136=0)),"?IN_FOCUS",IF(J136&lt;=2,"?ACTIVATED",IF(J136&lt;&gt;"","?FAMILIAR",IF(F136="NEW",IF(ISNA(VLOOKUP(E136,#REF!,1,FALSE())),"?TYPE_IDENTIFIABLE","?REFERENTIAL"),"_")))))</f>
        <v> </v>
      </c>
      <c r="H136" s="25" t="str">
        <f>IF(J136&lt;&gt;1,"",IF(I136="SBJ","CB","?"))</f>
        <v> </v>
      </c>
      <c r="I136" s="26" t="str">
        <f>IF(OR(E136="",E136="!!!",F136="NEW"),"",INDEX(B135:B$2,-1+SUMPRODUCT(MAX(ROW(E135:E$2)*(E136=E135:E$2)))))</f>
        <v> </v>
      </c>
      <c r="J136" s="26" t="str">
        <f>IF(OR(E136="",E136="!!!",F136="NEW"),"",COUNTBLANK(OFFSET(A$1,,,SUMPRODUCT(MAX(ROW(E$2:E136)*(E136=E$2:E136)))))-COUNTBLANK(OFFSET(A$1,,,SUMPRODUCT(MAX(ROW(E$1:E135)*(E2=E$1:E135))))))</f>
        <v> </v>
      </c>
      <c r="K136" s="26" t="str">
        <f>IF(OR(E136="",E136="!!!",F136="NEW"),"",INDEX(J$1:J135,SUMPRODUCT(MAX(ROW(E$1:E135)*(E136=E$1:E135)))))</f>
        <v> </v>
      </c>
      <c r="L136" s="27"/>
    </row>
    <row r="137" spans="1:12">
      <c r="A137" s="20" t="s">
        <v>118</v>
      </c>
      <c r="E137" s="22">
        <f>IF(D137="?OLD","!!!","")</f>
        <v/>
      </c>
      <c r="F137" s="23" t="str">
        <f>IF(OR(E137="",E137="!!!"),"",IF(NOT(ISNA(VLOOKUP(E137,E$1:E136,1,FALSE()))),"OLD",IF(AND(E137&lt;&gt;"",E137&lt;&gt;"!!!"),"NEW","")))</f>
        <v> </v>
      </c>
      <c r="G137" s="24" t="str">
        <f>IF(OR(E137="",E137="!!!"),"",IF(OR(J137=0,AND(J137=1,K137=1),AND(J137=1,I137="SBJ"),AND(J137=1,I137=0)),"?IN_FOCUS",IF(J137&lt;=2,"?ACTIVATED",IF(J137&lt;&gt;"","?FAMILIAR",IF(F137="NEW",IF(ISNA(VLOOKUP(E137,#REF!,1,FALSE())),"?TYPE_IDENTIFIABLE","?REFERENTIAL"),"_")))))</f>
        <v> </v>
      </c>
      <c r="H137" s="25" t="str">
        <f>IF(J137&lt;&gt;1,"",IF(I137="SBJ","CB","?"))</f>
        <v> </v>
      </c>
      <c r="I137" s="26" t="str">
        <f>IF(OR(E137="",E137="!!!",F137="NEW"),"",INDEX(B136:B$2,-1+SUMPRODUCT(MAX(ROW(E136:E$2)*(E137=E136:E$2)))))</f>
        <v> </v>
      </c>
      <c r="J137" s="26" t="str">
        <f>IF(OR(E137="",E137="!!!",F137="NEW"),"",COUNTBLANK(OFFSET(A$1,,,SUMPRODUCT(MAX(ROW(E$2:E137)*(E137=E$2:E137)))))-COUNTBLANK(OFFSET(A$1,,,SUMPRODUCT(MAX(ROW(E$1:E136)*(E2=E$1:E136))))))</f>
        <v> </v>
      </c>
      <c r="K137" s="26" t="str">
        <f>IF(OR(E137="",E137="!!!",F137="NEW"),"",INDEX(J$1:J136,SUMPRODUCT(MAX(ROW(E$1:E136)*(E137=E$1:E136)))))</f>
        <v> </v>
      </c>
      <c r="L137" s="27"/>
    </row>
    <row r="138" spans="1:12">
      <c r="A138" s="20" t="s">
        <v>207</v>
      </c>
      <c r="B138" s="21" t="s">
        <v>123</v>
      </c>
      <c r="C138" s="21" t="s">
        <v>112</v>
      </c>
      <c r="D138" s="21" t="s">
        <v>102</v>
      </c>
      <c r="E138" s="22">
        <f>IF(D138="?OLD","!!!","")</f>
        <v/>
      </c>
      <c r="F138" s="23" t="str">
        <f>IF(OR(E138="",E138="!!!"),"",IF(NOT(ISNA(VLOOKUP(E138,E$1:E137,1,FALSE()))),"OLD",IF(AND(E138&lt;&gt;"",E138&lt;&gt;"!!!"),"NEW","")))</f>
        <v> </v>
      </c>
      <c r="G138" s="24" t="str">
        <f>IF(OR(E138="",E138="!!!"),"",IF(OR(J138=0,AND(J138=1,K138=1),AND(J138=1,I138="SBJ"),AND(J138=1,I138=0)),"?IN_FOCUS",IF(J138&lt;=2,"?ACTIVATED",IF(J138&lt;&gt;"","?FAMILIAR",IF(F138="NEW",IF(ISNA(VLOOKUP(E138,#REF!,1,FALSE())),"?TYPE_IDENTIFIABLE","?REFERENTIAL"),"_")))))</f>
        <v> </v>
      </c>
      <c r="H138" s="25" t="str">
        <f>IF(J138&lt;&gt;1,"",IF(I138="SBJ","CB","?"))</f>
        <v> </v>
      </c>
      <c r="I138" s="26" t="str">
        <f>IF(OR(E138="",E138="!!!",F138="NEW"),"",INDEX(B137:B$2,-1+SUMPRODUCT(MAX(ROW(E137:E$2)*(E138=E137:E$2)))))</f>
        <v> </v>
      </c>
      <c r="J138" s="26" t="str">
        <f>IF(OR(E138="",E138="!!!",F138="NEW"),"",COUNTBLANK(OFFSET(A$1,,,SUMPRODUCT(MAX(ROW(E$2:E138)*(E138=E$2:E138)))))-COUNTBLANK(OFFSET(A$1,,,SUMPRODUCT(MAX(ROW(E$1:E137)*(E2=E$1:E137))))))</f>
        <v> </v>
      </c>
      <c r="K138" s="26" t="str">
        <f>IF(OR(E138="",E138="!!!",F138="NEW"),"",INDEX(J$1:J137,SUMPRODUCT(MAX(ROW(E$1:E137)*(E138=E$1:E137)))))</f>
        <v> </v>
      </c>
      <c r="L138" s="27"/>
    </row>
    <row r="139" spans="1:12">
      <c r="A139" s="20" t="s">
        <v>208</v>
      </c>
      <c r="E139" s="22">
        <f>IF(D139="?OLD","!!!","")</f>
        <v/>
      </c>
      <c r="F139" s="23" t="str">
        <f>IF(OR(E139="",E139="!!!"),"",IF(NOT(ISNA(VLOOKUP(E139,E$1:E138,1,FALSE()))),"OLD",IF(AND(E139&lt;&gt;"",E139&lt;&gt;"!!!"),"NEW","")))</f>
        <v> </v>
      </c>
      <c r="G139" s="24" t="str">
        <f>IF(OR(E139="",E139="!!!"),"",IF(OR(J139=0,AND(J139=1,K139=1),AND(J139=1,I139="SBJ"),AND(J139=1,I139=0)),"?IN_FOCUS",IF(J139&lt;=2,"?ACTIVATED",IF(J139&lt;&gt;"","?FAMILIAR",IF(F139="NEW",IF(ISNA(VLOOKUP(E139,#REF!,1,FALSE())),"?TYPE_IDENTIFIABLE","?REFERENTIAL"),"_")))))</f>
        <v> </v>
      </c>
      <c r="H139" s="25" t="str">
        <f>IF(J139&lt;&gt;1,"",IF(I139="SBJ","CB","?"))</f>
        <v> </v>
      </c>
      <c r="I139" s="26" t="str">
        <f>IF(OR(E139="",E139="!!!",F139="NEW"),"",INDEX(B138:B$2,-1+SUMPRODUCT(MAX(ROW(E138:E$2)*(E139=E138:E$2)))))</f>
        <v> </v>
      </c>
      <c r="J139" s="26" t="str">
        <f>IF(OR(E139="",E139="!!!",F139="NEW"),"",COUNTBLANK(OFFSET(A$1,,,SUMPRODUCT(MAX(ROW(E$2:E139)*(E139=E$2:E139)))))-COUNTBLANK(OFFSET(A$1,,,SUMPRODUCT(MAX(ROW(E$1:E138)*(E2=E$1:E138))))))</f>
        <v> </v>
      </c>
      <c r="K139" s="26" t="str">
        <f>IF(OR(E139="",E139="!!!",F139="NEW"),"",INDEX(J$1:J138,SUMPRODUCT(MAX(ROW(E$1:E138)*(E139=E$1:E138)))))</f>
        <v> </v>
      </c>
      <c r="L139" s="27"/>
    </row>
    <row r="140" spans="1:12">
      <c r="A140" s="20" t="s">
        <v>209</v>
      </c>
      <c r="B140" s="21" t="s">
        <v>127</v>
      </c>
      <c r="C140" s="21" t="s">
        <v>104</v>
      </c>
      <c r="D140" s="21" t="s">
        <v>102</v>
      </c>
      <c r="E140" s="22">
        <f>IF(D140="?OLD","!!!","")</f>
        <v/>
      </c>
      <c r="F140" s="23" t="str">
        <f>IF(OR(E140="",E140="!!!"),"",IF(NOT(ISNA(VLOOKUP(E140,E$1:E139,1,FALSE()))),"OLD",IF(AND(E140&lt;&gt;"",E140&lt;&gt;"!!!"),"NEW","")))</f>
        <v> </v>
      </c>
      <c r="G140" s="24" t="str">
        <f>IF(OR(E140="",E140="!!!"),"",IF(OR(J140=0,AND(J140=1,K140=1),AND(J140=1,I140="SBJ"),AND(J140=1,I140=0)),"?IN_FOCUS",IF(J140&lt;=2,"?ACTIVATED",IF(J140&lt;&gt;"","?FAMILIAR",IF(F140="NEW",IF(ISNA(VLOOKUP(E140,#REF!,1,FALSE())),"?TYPE_IDENTIFIABLE","?REFERENTIAL"),"_")))))</f>
        <v> </v>
      </c>
      <c r="H140" s="25" t="str">
        <f>IF(J140&lt;&gt;1,"",IF(I140="SBJ","CB","?"))</f>
        <v> </v>
      </c>
      <c r="I140" s="26" t="str">
        <f>IF(OR(E140="",E140="!!!",F140="NEW"),"",INDEX(B139:B$2,-1+SUMPRODUCT(MAX(ROW(E139:E$2)*(E140=E139:E$2)))))</f>
        <v> </v>
      </c>
      <c r="J140" s="26" t="str">
        <f>IF(OR(E140="",E140="!!!",F140="NEW"),"",COUNTBLANK(OFFSET(A$1,,,SUMPRODUCT(MAX(ROW(E$2:E140)*(E140=E$2:E140)))))-COUNTBLANK(OFFSET(A$1,,,SUMPRODUCT(MAX(ROW(E$1:E139)*(E2=E$1:E139))))))</f>
        <v> </v>
      </c>
      <c r="K140" s="26" t="str">
        <f>IF(OR(E140="",E140="!!!",F140="NEW"),"",INDEX(J$1:J139,SUMPRODUCT(MAX(ROW(E$1:E139)*(E140=E$1:E139)))))</f>
        <v> </v>
      </c>
      <c r="L140" s="27"/>
    </row>
    <row r="141" spans="1:12">
      <c r="A141" s="20" t="s">
        <v>210</v>
      </c>
      <c r="E141" s="22">
        <f>IF(D141="?OLD","!!!","")</f>
        <v/>
      </c>
      <c r="F141" s="23" t="str">
        <f>IF(OR(E141="",E141="!!!"),"",IF(NOT(ISNA(VLOOKUP(E141,E$1:E140,1,FALSE()))),"OLD",IF(AND(E141&lt;&gt;"",E141&lt;&gt;"!!!"),"NEW","")))</f>
        <v> </v>
      </c>
      <c r="G141" s="24" t="str">
        <f>IF(OR(E141="",E141="!!!"),"",IF(OR(J141=0,AND(J141=1,K141=1),AND(J141=1,I141="SBJ"),AND(J141=1,I141=0)),"?IN_FOCUS",IF(J141&lt;=2,"?ACTIVATED",IF(J141&lt;&gt;"","?FAMILIAR",IF(F141="NEW",IF(ISNA(VLOOKUP(E141,#REF!,1,FALSE())),"?TYPE_IDENTIFIABLE","?REFERENTIAL"),"_")))))</f>
        <v> </v>
      </c>
      <c r="H141" s="25" t="str">
        <f>IF(J141&lt;&gt;1,"",IF(I141="SBJ","CB","?"))</f>
        <v> </v>
      </c>
      <c r="I141" s="26" t="str">
        <f>IF(OR(E141="",E141="!!!",F141="NEW"),"",INDEX(B140:B$2,-1+SUMPRODUCT(MAX(ROW(E140:E$2)*(E141=E140:E$2)))))</f>
        <v> </v>
      </c>
      <c r="J141" s="26" t="str">
        <f>IF(OR(E141="",E141="!!!",F141="NEW"),"",COUNTBLANK(OFFSET(A$1,,,SUMPRODUCT(MAX(ROW(E$2:E141)*(E141=E$2:E141)))))-COUNTBLANK(OFFSET(A$1,,,SUMPRODUCT(MAX(ROW(E$1:E140)*(E2=E$1:E140))))))</f>
        <v> </v>
      </c>
      <c r="K141" s="26" t="str">
        <f>IF(OR(E141="",E141="!!!",F141="NEW"),"",INDEX(J$1:J140,SUMPRODUCT(MAX(ROW(E$1:E140)*(E141=E$1:E140)))))</f>
        <v> </v>
      </c>
      <c r="L141" s="27"/>
    </row>
    <row r="142" spans="1:12">
      <c r="A142" s="20" t="s">
        <v>184</v>
      </c>
      <c r="E142" s="22">
        <f>IF(D142="?OLD","!!!","")</f>
        <v/>
      </c>
      <c r="F142" s="23" t="str">
        <f>IF(OR(E142="",E142="!!!"),"",IF(NOT(ISNA(VLOOKUP(E142,E$1:E141,1,FALSE()))),"OLD",IF(AND(E142&lt;&gt;"",E142&lt;&gt;"!!!"),"NEW","")))</f>
        <v> </v>
      </c>
      <c r="G142" s="24" t="str">
        <f>IF(OR(E142="",E142="!!!"),"",IF(OR(J142=0,AND(J142=1,K142=1),AND(J142=1,I142="SBJ"),AND(J142=1,I142=0)),"?IN_FOCUS",IF(J142&lt;=2,"?ACTIVATED",IF(J142&lt;&gt;"","?FAMILIAR",IF(F142="NEW",IF(ISNA(VLOOKUP(E142,#REF!,1,FALSE())),"?TYPE_IDENTIFIABLE","?REFERENTIAL"),"_")))))</f>
        <v> </v>
      </c>
      <c r="H142" s="25" t="str">
        <f>IF(J142&lt;&gt;1,"",IF(I142="SBJ","CB","?"))</f>
        <v> </v>
      </c>
      <c r="I142" s="26" t="str">
        <f>IF(OR(E142="",E142="!!!",F142="NEW"),"",INDEX(B141:B$2,-1+SUMPRODUCT(MAX(ROW(E141:E$2)*(E142=E141:E$2)))))</f>
        <v> </v>
      </c>
      <c r="J142" s="26" t="str">
        <f>IF(OR(E142="",E142="!!!",F142="NEW"),"",COUNTBLANK(OFFSET(A$1,,,SUMPRODUCT(MAX(ROW(E$2:E142)*(E142=E$2:E142)))))-COUNTBLANK(OFFSET(A$1,,,SUMPRODUCT(MAX(ROW(E$1:E141)*(E2=E$1:E141))))))</f>
        <v> </v>
      </c>
      <c r="K142" s="26" t="str">
        <f>IF(OR(E142="",E142="!!!",F142="NEW"),"",INDEX(J$1:J141,SUMPRODUCT(MAX(ROW(E$1:E141)*(E142=E$1:E141)))))</f>
        <v> </v>
      </c>
      <c r="L142" s="27"/>
    </row>
    <row r="143" spans="1:12">
      <c r="A143" s="20" t="s">
        <v>90</v>
      </c>
      <c r="B143" s="21" t="s">
        <v>127</v>
      </c>
      <c r="C143" s="21" t="s">
        <v>92</v>
      </c>
      <c r="E143" s="22">
        <f>IF(D143="?OLD","!!!","")</f>
        <v/>
      </c>
      <c r="F143" s="23" t="str">
        <f>IF(OR(E143="",E143="!!!"),"",IF(NOT(ISNA(VLOOKUP(E143,E$1:E142,1,FALSE()))),"OLD",IF(AND(E143&lt;&gt;"",E143&lt;&gt;"!!!"),"NEW","")))</f>
        <v> </v>
      </c>
      <c r="G143" s="24" t="str">
        <f>IF(OR(E143="",E143="!!!"),"",IF(OR(J143=0,AND(J143=1,K143=1),AND(J143=1,I143="SBJ"),AND(J143=1,I143=0)),"?IN_FOCUS",IF(J143&lt;=2,"?ACTIVATED",IF(J143&lt;&gt;"","?FAMILIAR",IF(F143="NEW",IF(ISNA(VLOOKUP(E143,#REF!,1,FALSE())),"?TYPE_IDENTIFIABLE","?REFERENTIAL"),"_")))))</f>
        <v> </v>
      </c>
      <c r="H143" s="25" t="str">
        <f>IF(J143&lt;&gt;1,"",IF(I143="SBJ","CB","?"))</f>
        <v> </v>
      </c>
      <c r="I143" s="26" t="str">
        <f>IF(OR(E143="",E143="!!!",F143="NEW"),"",INDEX(B142:B$2,-1+SUMPRODUCT(MAX(ROW(E142:E$2)*(E143=E142:E$2)))))</f>
        <v> </v>
      </c>
      <c r="J143" s="26" t="str">
        <f>IF(OR(E143="",E143="!!!",F143="NEW"),"",COUNTBLANK(OFFSET(A$1,,,SUMPRODUCT(MAX(ROW(E$2:E143)*(E143=E$2:E143)))))-COUNTBLANK(OFFSET(A$1,,,SUMPRODUCT(MAX(ROW(E$1:E142)*(E2=E$1:E142))))))</f>
        <v> </v>
      </c>
      <c r="K143" s="26" t="str">
        <f>IF(OR(E143="",E143="!!!",F143="NEW"),"",INDEX(J$1:J142,SUMPRODUCT(MAX(ROW(E$1:E142)*(E143=E$1:E142)))))</f>
        <v> </v>
      </c>
      <c r="L143" s="27"/>
    </row>
    <row r="144" spans="1:12">
      <c r="A144" s="20" t="s">
        <v>211</v>
      </c>
      <c r="E144" s="22">
        <f>IF(D144="?OLD","!!!","")</f>
        <v/>
      </c>
      <c r="F144" s="23" t="str">
        <f>IF(OR(E144="",E144="!!!"),"",IF(NOT(ISNA(VLOOKUP(E144,E$1:E143,1,FALSE()))),"OLD",IF(AND(E144&lt;&gt;"",E144&lt;&gt;"!!!"),"NEW","")))</f>
        <v> </v>
      </c>
      <c r="G144" s="24" t="str">
        <f>IF(OR(E144="",E144="!!!"),"",IF(OR(J144=0,AND(J144=1,K144=1),AND(J144=1,I144="SBJ"),AND(J144=1,I144=0)),"?IN_FOCUS",IF(J144&lt;=2,"?ACTIVATED",IF(J144&lt;&gt;"","?FAMILIAR",IF(F144="NEW",IF(ISNA(VLOOKUP(E144,#REF!,1,FALSE())),"?TYPE_IDENTIFIABLE","?REFERENTIAL"),"_")))))</f>
        <v> </v>
      </c>
      <c r="H144" s="25" t="str">
        <f>IF(J144&lt;&gt;1,"",IF(I144="SBJ","CB","?"))</f>
        <v> </v>
      </c>
      <c r="I144" s="26" t="str">
        <f>IF(OR(E144="",E144="!!!",F144="NEW"),"",INDEX(B143:B$2,-1+SUMPRODUCT(MAX(ROW(E143:E$2)*(E144=E143:E$2)))))</f>
        <v> </v>
      </c>
      <c r="J144" s="26" t="str">
        <f>IF(OR(E144="",E144="!!!",F144="NEW"),"",COUNTBLANK(OFFSET(A$1,,,SUMPRODUCT(MAX(ROW(E$2:E144)*(E144=E$2:E144)))))-COUNTBLANK(OFFSET(A$1,,,SUMPRODUCT(MAX(ROW(E$1:E143)*(E2=E$1:E143))))))</f>
        <v> </v>
      </c>
      <c r="K144" s="26" t="str">
        <f>IF(OR(E144="",E144="!!!",F144="NEW"),"",INDEX(J$1:J143,SUMPRODUCT(MAX(ROW(E$1:E143)*(E144=E$1:E143)))))</f>
        <v> </v>
      </c>
      <c r="L144" s="27"/>
    </row>
    <row r="145" spans="1:12">
      <c r="A145" s="20" t="s">
        <v>212</v>
      </c>
      <c r="E145" s="22">
        <f>IF(D145="?OLD","!!!","")</f>
        <v/>
      </c>
      <c r="F145" s="23" t="str">
        <f>IF(OR(E145="",E145="!!!"),"",IF(NOT(ISNA(VLOOKUP(E145,E$1:E144,1,FALSE()))),"OLD",IF(AND(E145&lt;&gt;"",E145&lt;&gt;"!!!"),"NEW","")))</f>
        <v> </v>
      </c>
      <c r="G145" s="24" t="str">
        <f>IF(OR(E145="",E145="!!!"),"",IF(OR(J145=0,AND(J145=1,K145=1),AND(J145=1,I145="SBJ"),AND(J145=1,I145=0)),"?IN_FOCUS",IF(J145&lt;=2,"?ACTIVATED",IF(J145&lt;&gt;"","?FAMILIAR",IF(F145="NEW",IF(ISNA(VLOOKUP(E145,#REF!,1,FALSE())),"?TYPE_IDENTIFIABLE","?REFERENTIAL"),"_")))))</f>
        <v> </v>
      </c>
      <c r="H145" s="25" t="str">
        <f>IF(J145&lt;&gt;1,"",IF(I145="SBJ","CB","?"))</f>
        <v> </v>
      </c>
      <c r="I145" s="26" t="str">
        <f>IF(OR(E145="",E145="!!!",F145="NEW"),"",INDEX(B144:B$2,-1+SUMPRODUCT(MAX(ROW(E144:E$2)*(E145=E144:E$2)))))</f>
        <v> </v>
      </c>
      <c r="J145" s="26" t="str">
        <f>IF(OR(E145="",E145="!!!",F145="NEW"),"",COUNTBLANK(OFFSET(A$1,,,SUMPRODUCT(MAX(ROW(E$2:E145)*(E145=E$2:E145)))))-COUNTBLANK(OFFSET(A$1,,,SUMPRODUCT(MAX(ROW(E$1:E144)*(E2=E$1:E144))))))</f>
        <v> </v>
      </c>
      <c r="K145" s="26" t="str">
        <f>IF(OR(E145="",E145="!!!",F145="NEW"),"",INDEX(J$1:J144,SUMPRODUCT(MAX(ROW(E$1:E144)*(E145=E$1:E144)))))</f>
        <v> </v>
      </c>
      <c r="L145" s="27"/>
    </row>
    <row r="146" spans="1:12">
      <c r="A146" s="20" t="s">
        <v>194</v>
      </c>
      <c r="B146" s="21" t="s">
        <v>96</v>
      </c>
      <c r="C146" s="21" t="s">
        <v>92</v>
      </c>
      <c r="E146" s="22">
        <f>IF(D146="?OLD","!!!","")</f>
        <v/>
      </c>
      <c r="F146" s="23" t="str">
        <f>IF(OR(E146="",E146="!!!"),"",IF(NOT(ISNA(VLOOKUP(E146,E$1:E145,1,FALSE()))),"OLD",IF(AND(E146&lt;&gt;"",E146&lt;&gt;"!!!"),"NEW","")))</f>
        <v> </v>
      </c>
      <c r="G146" s="24" t="str">
        <f>IF(OR(E146="",E146="!!!"),"",IF(OR(J146=0,AND(J146=1,K146=1),AND(J146=1,I146="SBJ"),AND(J146=1,I146=0)),"?IN_FOCUS",IF(J146&lt;=2,"?ACTIVATED",IF(J146&lt;&gt;"","?FAMILIAR",IF(F146="NEW",IF(ISNA(VLOOKUP(E146,#REF!,1,FALSE())),"?TYPE_IDENTIFIABLE","?REFERENTIAL"),"_")))))</f>
        <v> </v>
      </c>
      <c r="H146" s="25" t="str">
        <f>IF(J146&lt;&gt;1,"",IF(I146="SBJ","CB","?"))</f>
        <v> </v>
      </c>
      <c r="I146" s="26" t="str">
        <f>IF(OR(E146="",E146="!!!",F146="NEW"),"",INDEX(B145:B$2,-1+SUMPRODUCT(MAX(ROW(E145:E$2)*(E146=E145:E$2)))))</f>
        <v> </v>
      </c>
      <c r="J146" s="26" t="str">
        <f>IF(OR(E146="",E146="!!!",F146="NEW"),"",COUNTBLANK(OFFSET(A$1,,,SUMPRODUCT(MAX(ROW(E$2:E146)*(E146=E$2:E146)))))-COUNTBLANK(OFFSET(A$1,,,SUMPRODUCT(MAX(ROW(E$1:E145)*(E2=E$1:E145))))))</f>
        <v> </v>
      </c>
      <c r="K146" s="26" t="str">
        <f>IF(OR(E146="",E146="!!!",F146="NEW"),"",INDEX(J$1:J145,SUMPRODUCT(MAX(ROW(E$1:E145)*(E146=E$1:E145)))))</f>
        <v> </v>
      </c>
      <c r="L146" s="27"/>
    </row>
    <row r="147" spans="1:12">
      <c r="A147" s="20" t="s">
        <v>175</v>
      </c>
      <c r="E147" s="22">
        <f>IF(D147="?OLD","!!!","")</f>
        <v/>
      </c>
      <c r="F147" s="23" t="str">
        <f>IF(OR(E147="",E147="!!!"),"",IF(NOT(ISNA(VLOOKUP(E147,E$1:E146,1,FALSE()))),"OLD",IF(AND(E147&lt;&gt;"",E147&lt;&gt;"!!!"),"NEW","")))</f>
        <v> </v>
      </c>
      <c r="G147" s="24" t="str">
        <f>IF(OR(E147="",E147="!!!"),"",IF(OR(J147=0,AND(J147=1,K147=1),AND(J147=1,I147="SBJ"),AND(J147=1,I147=0)),"?IN_FOCUS",IF(J147&lt;=2,"?ACTIVATED",IF(J147&lt;&gt;"","?FAMILIAR",IF(F147="NEW",IF(ISNA(VLOOKUP(E147,#REF!,1,FALSE())),"?TYPE_IDENTIFIABLE","?REFERENTIAL"),"_")))))</f>
        <v> </v>
      </c>
      <c r="H147" s="25" t="str">
        <f>IF(J147&lt;&gt;1,"",IF(I147="SBJ","CB","?"))</f>
        <v> </v>
      </c>
      <c r="I147" s="26" t="str">
        <f>IF(OR(E147="",E147="!!!",F147="NEW"),"",INDEX(B146:B$2,-1+SUMPRODUCT(MAX(ROW(E146:E$2)*(E147=E146:E$2)))))</f>
        <v> </v>
      </c>
      <c r="J147" s="26" t="str">
        <f>IF(OR(E147="",E147="!!!",F147="NEW"),"",COUNTBLANK(OFFSET(A$1,,,SUMPRODUCT(MAX(ROW(E$2:E147)*(E147=E$2:E147)))))-COUNTBLANK(OFFSET(A$1,,,SUMPRODUCT(MAX(ROW(E$1:E146)*(E2=E$1:E146))))))</f>
        <v> </v>
      </c>
      <c r="K147" s="26" t="str">
        <f>IF(OR(E147="",E147="!!!",F147="NEW"),"",INDEX(J$1:J146,SUMPRODUCT(MAX(ROW(E$1:E146)*(E147=E$1:E146)))))</f>
        <v> </v>
      </c>
      <c r="L147" s="27"/>
    </row>
    <row r="148" spans="1:12">
      <c r="A148" s="20" t="s">
        <v>148</v>
      </c>
      <c r="E148" s="22">
        <f>IF(D148="?OLD","!!!","")</f>
        <v/>
      </c>
      <c r="F148" s="23" t="str">
        <f>IF(OR(E148="",E148="!!!"),"",IF(NOT(ISNA(VLOOKUP(E148,E$1:E147,1,FALSE()))),"OLD",IF(AND(E148&lt;&gt;"",E148&lt;&gt;"!!!"),"NEW","")))</f>
        <v> </v>
      </c>
      <c r="G148" s="24" t="str">
        <f>IF(OR(E148="",E148="!!!"),"",IF(OR(J148=0,AND(J148=1,K148=1),AND(J148=1,I148="SBJ"),AND(J148=1,I148=0)),"?IN_FOCUS",IF(J148&lt;=2,"?ACTIVATED",IF(J148&lt;&gt;"","?FAMILIAR",IF(F148="NEW",IF(ISNA(VLOOKUP(E148,#REF!,1,FALSE())),"?TYPE_IDENTIFIABLE","?REFERENTIAL"),"_")))))</f>
        <v> </v>
      </c>
      <c r="H148" s="25" t="str">
        <f>IF(J148&lt;&gt;1,"",IF(I148="SBJ","CB","?"))</f>
        <v> </v>
      </c>
      <c r="I148" s="26" t="str">
        <f>IF(OR(E148="",E148="!!!",F148="NEW"),"",INDEX(B147:B$2,-1+SUMPRODUCT(MAX(ROW(E147:E$2)*(E148=E147:E$2)))))</f>
        <v> </v>
      </c>
      <c r="J148" s="26" t="str">
        <f>IF(OR(E148="",E148="!!!",F148="NEW"),"",COUNTBLANK(OFFSET(A$1,,,SUMPRODUCT(MAX(ROW(E$2:E148)*(E148=E$2:E148)))))-COUNTBLANK(OFFSET(A$1,,,SUMPRODUCT(MAX(ROW(E$1:E147)*(E2=E$1:E147))))))</f>
        <v> </v>
      </c>
      <c r="K148" s="26" t="str">
        <f>IF(OR(E148="",E148="!!!",F148="NEW"),"",INDEX(J$1:J147,SUMPRODUCT(MAX(ROW(E$1:E147)*(E148=E$1:E147)))))</f>
        <v> </v>
      </c>
      <c r="L148" s="27"/>
    </row>
    <row r="149" spans="1:12">
      <c r="A149" s="20" t="s">
        <v>213</v>
      </c>
      <c r="B149" s="21" t="s">
        <v>195</v>
      </c>
      <c r="C149" s="21" t="s">
        <v>128</v>
      </c>
      <c r="E149" s="22">
        <f>IF(D149="?OLD","!!!","")</f>
        <v/>
      </c>
      <c r="F149" s="23" t="str">
        <f>IF(OR(E149="",E149="!!!"),"",IF(NOT(ISNA(VLOOKUP(E149,E$1:E148,1,FALSE()))),"OLD",IF(AND(E149&lt;&gt;"",E149&lt;&gt;"!!!"),"NEW","")))</f>
        <v> </v>
      </c>
      <c r="G149" s="24" t="str">
        <f>IF(OR(E149="",E149="!!!"),"",IF(OR(J149=0,AND(J149=1,K149=1),AND(J149=1,I149="SBJ"),AND(J149=1,I149=0)),"?IN_FOCUS",IF(J149&lt;=2,"?ACTIVATED",IF(J149&lt;&gt;"","?FAMILIAR",IF(F149="NEW",IF(ISNA(VLOOKUP(E149,#REF!,1,FALSE())),"?TYPE_IDENTIFIABLE","?REFERENTIAL"),"_")))))</f>
        <v> </v>
      </c>
      <c r="H149" s="25" t="str">
        <f>IF(J149&lt;&gt;1,"",IF(I149="SBJ","CB","?"))</f>
        <v> </v>
      </c>
      <c r="I149" s="26" t="str">
        <f>IF(OR(E149="",E149="!!!",F149="NEW"),"",INDEX(B148:B$2,-1+SUMPRODUCT(MAX(ROW(E148:E$2)*(E149=E148:E$2)))))</f>
        <v> </v>
      </c>
      <c r="J149" s="26" t="str">
        <f>IF(OR(E149="",E149="!!!",F149="NEW"),"",COUNTBLANK(OFFSET(A$1,,,SUMPRODUCT(MAX(ROW(E$2:E149)*(E149=E$2:E149)))))-COUNTBLANK(OFFSET(A$1,,,SUMPRODUCT(MAX(ROW(E$1:E148)*(E2=E$1:E148))))))</f>
        <v> </v>
      </c>
      <c r="K149" s="26" t="str">
        <f>IF(OR(E149="",E149="!!!",F149="NEW"),"",INDEX(J$1:J148,SUMPRODUCT(MAX(ROW(E$1:E148)*(E149=E$1:E148)))))</f>
        <v> </v>
      </c>
      <c r="L149" s="27"/>
    </row>
    <row r="150" spans="1:12">
      <c r="A150" s="20" t="s">
        <v>129</v>
      </c>
      <c r="E150" s="22">
        <f>IF(D150="?OLD","!!!","")</f>
        <v/>
      </c>
      <c r="F150" s="23" t="str">
        <f>IF(OR(E150="",E150="!!!"),"",IF(NOT(ISNA(VLOOKUP(E150,E$1:E149,1,FALSE()))),"OLD",IF(AND(E150&lt;&gt;"",E150&lt;&gt;"!!!"),"NEW","")))</f>
        <v> </v>
      </c>
      <c r="G150" s="24" t="str">
        <f>IF(OR(E150="",E150="!!!"),"",IF(OR(J150=0,AND(J150=1,K150=1),AND(J150=1,I150="SBJ"),AND(J150=1,I150=0)),"?IN_FOCUS",IF(J150&lt;=2,"?ACTIVATED",IF(J150&lt;&gt;"","?FAMILIAR",IF(F150="NEW",IF(ISNA(VLOOKUP(E150,#REF!,1,FALSE())),"?TYPE_IDENTIFIABLE","?REFERENTIAL"),"_")))))</f>
        <v> </v>
      </c>
      <c r="H150" s="25" t="str">
        <f>IF(J150&lt;&gt;1,"",IF(I150="SBJ","CB","?"))</f>
        <v> </v>
      </c>
      <c r="I150" s="26" t="str">
        <f>IF(OR(E150="",E150="!!!",F150="NEW"),"",INDEX(B149:B$2,-1+SUMPRODUCT(MAX(ROW(E149:E$2)*(E150=E149:E$2)))))</f>
        <v> </v>
      </c>
      <c r="J150" s="26" t="str">
        <f>IF(OR(E150="",E150="!!!",F150="NEW"),"",COUNTBLANK(OFFSET(A$1,,,SUMPRODUCT(MAX(ROW(E$2:E150)*(E150=E$2:E150)))))-COUNTBLANK(OFFSET(A$1,,,SUMPRODUCT(MAX(ROW(E$1:E149)*(E2=E$1:E149))))))</f>
        <v> </v>
      </c>
      <c r="K150" s="26" t="str">
        <f>IF(OR(E150="",E150="!!!",F150="NEW"),"",INDEX(J$1:J149,SUMPRODUCT(MAX(ROW(E$1:E149)*(E150=E$1:E149)))))</f>
        <v> </v>
      </c>
      <c r="L150" s="27"/>
    </row>
    <row r="151" spans="1:12">
      <c r="A151" s="20" t="s">
        <v>214</v>
      </c>
      <c r="E151" s="22">
        <f>IF(D151="?OLD","!!!","")</f>
        <v/>
      </c>
      <c r="F151" s="23" t="str">
        <f>IF(OR(E151="",E151="!!!"),"",IF(NOT(ISNA(VLOOKUP(E151,E$1:E150,1,FALSE()))),"OLD",IF(AND(E151&lt;&gt;"",E151&lt;&gt;"!!!"),"NEW","")))</f>
        <v> </v>
      </c>
      <c r="G151" s="24" t="str">
        <f>IF(OR(E151="",E151="!!!"),"",IF(OR(J151=0,AND(J151=1,K151=1),AND(J151=1,I151="SBJ"),AND(J151=1,I151=0)),"?IN_FOCUS",IF(J151&lt;=2,"?ACTIVATED",IF(J151&lt;&gt;"","?FAMILIAR",IF(F151="NEW",IF(ISNA(VLOOKUP(E151,#REF!,1,FALSE())),"?TYPE_IDENTIFIABLE","?REFERENTIAL"),"_")))))</f>
        <v> </v>
      </c>
      <c r="H151" s="25" t="str">
        <f>IF(J151&lt;&gt;1,"",IF(I151="SBJ","CB","?"))</f>
        <v> </v>
      </c>
      <c r="I151" s="26" t="str">
        <f>IF(OR(E151="",E151="!!!",F151="NEW"),"",INDEX(B150:B$2,-1+SUMPRODUCT(MAX(ROW(E150:E$2)*(E151=E150:E$2)))))</f>
        <v> </v>
      </c>
      <c r="J151" s="26" t="str">
        <f>IF(OR(E151="",E151="!!!",F151="NEW"),"",COUNTBLANK(OFFSET(A$1,,,SUMPRODUCT(MAX(ROW(E$2:E151)*(E151=E$2:E151)))))-COUNTBLANK(OFFSET(A$1,,,SUMPRODUCT(MAX(ROW(E$1:E150)*(E2=E$1:E150))))))</f>
        <v> </v>
      </c>
      <c r="K151" s="26" t="str">
        <f>IF(OR(E151="",E151="!!!",F151="NEW"),"",INDEX(J$1:J150,SUMPRODUCT(MAX(ROW(E$1:E150)*(E151=E$1:E150)))))</f>
        <v> </v>
      </c>
      <c r="L151" s="27"/>
    </row>
    <row r="152" spans="1:12">
      <c r="A152" s="20" t="s">
        <v>177</v>
      </c>
      <c r="E152" s="22">
        <f>IF(D152="?OLD","!!!","")</f>
        <v/>
      </c>
      <c r="F152" s="23" t="str">
        <f>IF(OR(E152="",E152="!!!"),"",IF(NOT(ISNA(VLOOKUP(E152,E$1:E151,1,FALSE()))),"OLD",IF(AND(E152&lt;&gt;"",E152&lt;&gt;"!!!"),"NEW","")))</f>
        <v> </v>
      </c>
      <c r="G152" s="24" t="str">
        <f>IF(OR(E152="",E152="!!!"),"",IF(OR(J152=0,AND(J152=1,K152=1),AND(J152=1,I152="SBJ"),AND(J152=1,I152=0)),"?IN_FOCUS",IF(J152&lt;=2,"?ACTIVATED",IF(J152&lt;&gt;"","?FAMILIAR",IF(F152="NEW",IF(ISNA(VLOOKUP(E152,#REF!,1,FALSE())),"?TYPE_IDENTIFIABLE","?REFERENTIAL"),"_")))))</f>
        <v> </v>
      </c>
      <c r="H152" s="25" t="str">
        <f>IF(J152&lt;&gt;1,"",IF(I152="SBJ","CB","?"))</f>
        <v> </v>
      </c>
      <c r="I152" s="26" t="str">
        <f>IF(OR(E152="",E152="!!!",F152="NEW"),"",INDEX(B151:B$2,-1+SUMPRODUCT(MAX(ROW(E151:E$2)*(E152=E151:E$2)))))</f>
        <v> </v>
      </c>
      <c r="J152" s="26" t="str">
        <f>IF(OR(E152="",E152="!!!",F152="NEW"),"",COUNTBLANK(OFFSET(A$1,,,SUMPRODUCT(MAX(ROW(E$2:E152)*(E152=E$2:E152)))))-COUNTBLANK(OFFSET(A$1,,,SUMPRODUCT(MAX(ROW(E$1:E151)*(E2=E$1:E151))))))</f>
        <v> </v>
      </c>
      <c r="K152" s="26" t="str">
        <f>IF(OR(E152="",E152="!!!",F152="NEW"),"",INDEX(J$1:J151,SUMPRODUCT(MAX(ROW(E$1:E151)*(E152=E$1:E151)))))</f>
        <v> </v>
      </c>
      <c r="L152" s="27"/>
    </row>
    <row r="153" spans="1:12">
      <c r="A153" s="20" t="s">
        <v>90</v>
      </c>
      <c r="B153" s="21" t="s">
        <v>91</v>
      </c>
      <c r="C153" s="21" t="s">
        <v>92</v>
      </c>
      <c r="E153" s="22">
        <f>IF(D153="?OLD","!!!","")</f>
        <v/>
      </c>
      <c r="F153" s="23" t="str">
        <f>IF(OR(E153="",E153="!!!"),"",IF(NOT(ISNA(VLOOKUP(E153,E$1:E152,1,FALSE()))),"OLD",IF(AND(E153&lt;&gt;"",E153&lt;&gt;"!!!"),"NEW","")))</f>
        <v> </v>
      </c>
      <c r="G153" s="24" t="str">
        <f>IF(OR(E153="",E153="!!!"),"",IF(OR(J153=0,AND(J153=1,K153=1),AND(J153=1,I153="SBJ"),AND(J153=1,I153=0)),"?IN_FOCUS",IF(J153&lt;=2,"?ACTIVATED",IF(J153&lt;&gt;"","?FAMILIAR",IF(F153="NEW",IF(ISNA(VLOOKUP(E153,#REF!,1,FALSE())),"?TYPE_IDENTIFIABLE","?REFERENTIAL"),"_")))))</f>
        <v> </v>
      </c>
      <c r="H153" s="25" t="str">
        <f>IF(J153&lt;&gt;1,"",IF(I153="SBJ","CB","?"))</f>
        <v> </v>
      </c>
      <c r="I153" s="26" t="str">
        <f>IF(OR(E153="",E153="!!!",F153="NEW"),"",INDEX(B152:B$2,-1+SUMPRODUCT(MAX(ROW(E152:E$2)*(E153=E152:E$2)))))</f>
        <v> </v>
      </c>
      <c r="J153" s="26" t="str">
        <f>IF(OR(E153="",E153="!!!",F153="NEW"),"",COUNTBLANK(OFFSET(A$1,,,SUMPRODUCT(MAX(ROW(E$2:E153)*(E153=E$2:E153)))))-COUNTBLANK(OFFSET(A$1,,,SUMPRODUCT(MAX(ROW(E$1:E152)*(E2=E$1:E152))))))</f>
        <v> </v>
      </c>
      <c r="K153" s="26" t="str">
        <f>IF(OR(E153="",E153="!!!",F153="NEW"),"",INDEX(J$1:J152,SUMPRODUCT(MAX(ROW(E$1:E152)*(E153=E$1:E152)))))</f>
        <v> </v>
      </c>
      <c r="L153" s="27"/>
    </row>
    <row r="154" spans="1:12">
      <c r="A154" s="20" t="s">
        <v>27</v>
      </c>
      <c r="E154" s="22">
        <f>IF(D154="?OLD","!!!","")</f>
        <v/>
      </c>
      <c r="F154" s="23" t="str">
        <f>IF(OR(E154="",E154="!!!"),"",IF(NOT(ISNA(VLOOKUP(E154,E$1:E153,1,FALSE()))),"OLD",IF(AND(E154&lt;&gt;"",E154&lt;&gt;"!!!"),"NEW","")))</f>
        <v> </v>
      </c>
      <c r="G154" s="24" t="str">
        <f>IF(OR(E154="",E154="!!!"),"",IF(OR(J154=0,AND(J154=1,K154=1),AND(J154=1,I154="SBJ"),AND(J154=1,I154=0)),"?IN_FOCUS",IF(J154&lt;=2,"?ACTIVATED",IF(J154&lt;&gt;"","?FAMILIAR",IF(F154="NEW",IF(ISNA(VLOOKUP(E154,#REF!,1,FALSE())),"?TYPE_IDENTIFIABLE","?REFERENTIAL"),"_")))))</f>
        <v> </v>
      </c>
      <c r="H154" s="25" t="str">
        <f>IF(J154&lt;&gt;1,"",IF(I154="SBJ","CB","?"))</f>
        <v> </v>
      </c>
      <c r="I154" s="26" t="str">
        <f>IF(OR(E154="",E154="!!!",F154="NEW"),"",INDEX(B153:B$2,-1+SUMPRODUCT(MAX(ROW(E153:E$2)*(E154=E153:E$2)))))</f>
        <v> </v>
      </c>
      <c r="J154" s="26" t="str">
        <f>IF(OR(E154="",E154="!!!",F154="NEW"),"",COUNTBLANK(OFFSET(A$1,,,SUMPRODUCT(MAX(ROW(E$2:E154)*(E154=E$2:E154)))))-COUNTBLANK(OFFSET(A$1,,,SUMPRODUCT(MAX(ROW(E$1:E153)*(E2=E$1:E153))))))</f>
        <v> </v>
      </c>
      <c r="K154" s="26" t="str">
        <f>IF(OR(E154="",E154="!!!",F154="NEW"),"",INDEX(J$1:J153,SUMPRODUCT(MAX(ROW(E$1:E153)*(E154=E$1:E153)))))</f>
        <v> </v>
      </c>
      <c r="L154" s="27"/>
    </row>
    <row r="155" spans="1:12">
      <c r="A155" s="20" t="s">
        <v>137</v>
      </c>
      <c r="B155" s="21" t="s">
        <v>195</v>
      </c>
      <c r="C155" s="21" t="s">
        <v>181</v>
      </c>
      <c r="E155" s="22">
        <f>IF(D155="?OLD","!!!","")</f>
        <v/>
      </c>
      <c r="F155" s="23" t="str">
        <f>IF(OR(E155="",E155="!!!"),"",IF(NOT(ISNA(VLOOKUP(E155,E$1:E154,1,FALSE()))),"OLD",IF(AND(E155&lt;&gt;"",E155&lt;&gt;"!!!"),"NEW","")))</f>
        <v> </v>
      </c>
      <c r="G155" s="24" t="str">
        <f>IF(OR(E155="",E155="!!!"),"",IF(OR(J155=0,AND(J155=1,K155=1),AND(J155=1,I155="SBJ"),AND(J155=1,I155=0)),"?IN_FOCUS",IF(J155&lt;=2,"?ACTIVATED",IF(J155&lt;&gt;"","?FAMILIAR",IF(F155="NEW",IF(ISNA(VLOOKUP(E155,#REF!,1,FALSE())),"?TYPE_IDENTIFIABLE","?REFERENTIAL"),"_")))))</f>
        <v> </v>
      </c>
      <c r="H155" s="25" t="str">
        <f>IF(J155&lt;&gt;1,"",IF(I155="SBJ","CB","?"))</f>
        <v> </v>
      </c>
      <c r="I155" s="26" t="str">
        <f>IF(OR(E155="",E155="!!!",F155="NEW"),"",INDEX(B154:B$2,-1+SUMPRODUCT(MAX(ROW(E154:E$2)*(E155=E154:E$2)))))</f>
        <v> </v>
      </c>
      <c r="J155" s="26" t="str">
        <f>IF(OR(E155="",E155="!!!",F155="NEW"),"",COUNTBLANK(OFFSET(A$1,,,SUMPRODUCT(MAX(ROW(E$2:E155)*(E155=E$2:E155)))))-COUNTBLANK(OFFSET(A$1,,,SUMPRODUCT(MAX(ROW(E$1:E154)*(E2=E$1:E154))))))</f>
        <v> </v>
      </c>
      <c r="K155" s="26" t="str">
        <f>IF(OR(E155="",E155="!!!",F155="NEW"),"",INDEX(J$1:J154,SUMPRODUCT(MAX(ROW(E$1:E154)*(E155=E$1:E154)))))</f>
        <v> </v>
      </c>
      <c r="L155" s="27"/>
    </row>
    <row r="156" spans="1:12">
      <c r="A156" s="20" t="s">
        <v>159</v>
      </c>
      <c r="E156" s="22">
        <f>IF(D156="?OLD","!!!","")</f>
        <v/>
      </c>
      <c r="F156" s="23" t="str">
        <f>IF(OR(E156="",E156="!!!"),"",IF(NOT(ISNA(VLOOKUP(E156,E$1:E155,1,FALSE()))),"OLD",IF(AND(E156&lt;&gt;"",E156&lt;&gt;"!!!"),"NEW","")))</f>
        <v> </v>
      </c>
      <c r="G156" s="24" t="str">
        <f>IF(OR(E156="",E156="!!!"),"",IF(OR(J156=0,AND(J156=1,K156=1),AND(J156=1,I156="SBJ"),AND(J156=1,I156=0)),"?IN_FOCUS",IF(J156&lt;=2,"?ACTIVATED",IF(J156&lt;&gt;"","?FAMILIAR",IF(F156="NEW",IF(ISNA(VLOOKUP(E156,#REF!,1,FALSE())),"?TYPE_IDENTIFIABLE","?REFERENTIAL"),"_")))))</f>
        <v> </v>
      </c>
      <c r="H156" s="25" t="str">
        <f>IF(J156&lt;&gt;1,"",IF(I156="SBJ","CB","?"))</f>
        <v> </v>
      </c>
      <c r="I156" s="26" t="str">
        <f>IF(OR(E156="",E156="!!!",F156="NEW"),"",INDEX(B155:B$2,-1+SUMPRODUCT(MAX(ROW(E155:E$2)*(E156=E155:E$2)))))</f>
        <v> </v>
      </c>
      <c r="J156" s="26" t="str">
        <f>IF(OR(E156="",E156="!!!",F156="NEW"),"",COUNTBLANK(OFFSET(A$1,,,SUMPRODUCT(MAX(ROW(E$2:E156)*(E156=E$2:E156)))))-COUNTBLANK(OFFSET(A$1,,,SUMPRODUCT(MAX(ROW(E$1:E155)*(E2=E$1:E155))))))</f>
        <v> </v>
      </c>
      <c r="K156" s="26" t="str">
        <f>IF(OR(E156="",E156="!!!",F156="NEW"),"",INDEX(J$1:J155,SUMPRODUCT(MAX(ROW(E$1:E155)*(E156=E$1:E155)))))</f>
        <v> </v>
      </c>
      <c r="L156" s="27"/>
    </row>
    <row r="157" spans="1:12">
      <c r="A157" s="20" t="s">
        <v>215</v>
      </c>
      <c r="E157" s="22">
        <f>IF(D157="?OLD","!!!","")</f>
        <v/>
      </c>
      <c r="F157" s="23" t="str">
        <f>IF(OR(E157="",E157="!!!"),"",IF(NOT(ISNA(VLOOKUP(E157,E$1:E156,1,FALSE()))),"OLD",IF(AND(E157&lt;&gt;"",E157&lt;&gt;"!!!"),"NEW","")))</f>
        <v> </v>
      </c>
      <c r="G157" s="24" t="str">
        <f>IF(OR(E157="",E157="!!!"),"",IF(OR(J157=0,AND(J157=1,K157=1),AND(J157=1,I157="SBJ"),AND(J157=1,I157=0)),"?IN_FOCUS",IF(J157&lt;=2,"?ACTIVATED",IF(J157&lt;&gt;"","?FAMILIAR",IF(F157="NEW",IF(ISNA(VLOOKUP(E157,#REF!,1,FALSE())),"?TYPE_IDENTIFIABLE","?REFERENTIAL"),"_")))))</f>
        <v> </v>
      </c>
      <c r="H157" s="25" t="str">
        <f>IF(J157&lt;&gt;1,"",IF(I157="SBJ","CB","?"))</f>
        <v> </v>
      </c>
      <c r="I157" s="26" t="str">
        <f>IF(OR(E157="",E157="!!!",F157="NEW"),"",INDEX(B156:B$2,-1+SUMPRODUCT(MAX(ROW(E156:E$2)*(E157=E156:E$2)))))</f>
        <v> </v>
      </c>
      <c r="J157" s="26" t="str">
        <f>IF(OR(E157="",E157="!!!",F157="NEW"),"",COUNTBLANK(OFFSET(A$1,,,SUMPRODUCT(MAX(ROW(E$2:E157)*(E157=E$2:E157)))))-COUNTBLANK(OFFSET(A$1,,,SUMPRODUCT(MAX(ROW(E$1:E156)*(E2=E$1:E156))))))</f>
        <v> </v>
      </c>
      <c r="K157" s="26" t="str">
        <f>IF(OR(E157="",E157="!!!",F157="NEW"),"",INDEX(J$1:J156,SUMPRODUCT(MAX(ROW(E$1:E156)*(E157=E$1:E156)))))</f>
        <v> </v>
      </c>
      <c r="L157" s="27"/>
    </row>
    <row r="158" spans="1:12">
      <c r="A158" s="20" t="s">
        <v>166</v>
      </c>
      <c r="B158" s="21" t="s">
        <v>161</v>
      </c>
      <c r="C158" s="21" t="s">
        <v>112</v>
      </c>
      <c r="D158" s="21" t="s">
        <v>102</v>
      </c>
      <c r="E158" s="22">
        <f>IF(D158="?OLD","!!!","")</f>
        <v/>
      </c>
      <c r="F158" s="23" t="str">
        <f>IF(OR(E158="",E158="!!!"),"",IF(NOT(ISNA(VLOOKUP(E158,E$1:E157,1,FALSE()))),"OLD",IF(AND(E158&lt;&gt;"",E158&lt;&gt;"!!!"),"NEW","")))</f>
        <v> </v>
      </c>
      <c r="G158" s="24" t="str">
        <f>IF(OR(E158="",E158="!!!"),"",IF(OR(J158=0,AND(J158=1,K158=1),AND(J158=1,I158="SBJ"),AND(J158=1,I158=0)),"?IN_FOCUS",IF(J158&lt;=2,"?ACTIVATED",IF(J158&lt;&gt;"","?FAMILIAR",IF(F158="NEW",IF(ISNA(VLOOKUP(E158,#REF!,1,FALSE())),"?TYPE_IDENTIFIABLE","?REFERENTIAL"),"_")))))</f>
        <v> </v>
      </c>
      <c r="H158" s="25" t="str">
        <f>IF(J158&lt;&gt;1,"",IF(I158="SBJ","CB","?"))</f>
        <v> </v>
      </c>
      <c r="I158" s="26" t="str">
        <f>IF(OR(E158="",E158="!!!",F158="NEW"),"",INDEX(B157:B$2,-1+SUMPRODUCT(MAX(ROW(E157:E$2)*(E158=E157:E$2)))))</f>
        <v> </v>
      </c>
      <c r="J158" s="26" t="str">
        <f>IF(OR(E158="",E158="!!!",F158="NEW"),"",COUNTBLANK(OFFSET(A$1,,,SUMPRODUCT(MAX(ROW(E$2:E158)*(E158=E$2:E158)))))-COUNTBLANK(OFFSET(A$1,,,SUMPRODUCT(MAX(ROW(E$1:E157)*(E2=E$1:E157))))))</f>
        <v> </v>
      </c>
      <c r="K158" s="26" t="str">
        <f>IF(OR(E158="",E158="!!!",F158="NEW"),"",INDEX(J$1:J157,SUMPRODUCT(MAX(ROW(E$1:E157)*(E158=E$1:E157)))))</f>
        <v> </v>
      </c>
      <c r="L158" s="27"/>
    </row>
    <row r="159" spans="1:12">
      <c r="A159" s="20" t="s">
        <v>216</v>
      </c>
      <c r="E159" s="22">
        <f>IF(D159="?OLD","!!!","")</f>
        <v/>
      </c>
      <c r="F159" s="23" t="str">
        <f>IF(OR(E159="",E159="!!!"),"",IF(NOT(ISNA(VLOOKUP(E159,E$1:E158,1,FALSE()))),"OLD",IF(AND(E159&lt;&gt;"",E159&lt;&gt;"!!!"),"NEW","")))</f>
        <v> </v>
      </c>
      <c r="G159" s="24" t="str">
        <f>IF(OR(E159="",E159="!!!"),"",IF(OR(J159=0,AND(J159=1,K159=1),AND(J159=1,I159="SBJ"),AND(J159=1,I159=0)),"?IN_FOCUS",IF(J159&lt;=2,"?ACTIVATED",IF(J159&lt;&gt;"","?FAMILIAR",IF(F159="NEW",IF(ISNA(VLOOKUP(E159,#REF!,1,FALSE())),"?TYPE_IDENTIFIABLE","?REFERENTIAL"),"_")))))</f>
        <v> </v>
      </c>
      <c r="H159" s="25" t="str">
        <f>IF(J159&lt;&gt;1,"",IF(I159="SBJ","CB","?"))</f>
        <v> </v>
      </c>
      <c r="I159" s="26" t="str">
        <f>IF(OR(E159="",E159="!!!",F159="NEW"),"",INDEX(B158:B$2,-1+SUMPRODUCT(MAX(ROW(E158:E$2)*(E159=E158:E$2)))))</f>
        <v> </v>
      </c>
      <c r="J159" s="26" t="str">
        <f>IF(OR(E159="",E159="!!!",F159="NEW"),"",COUNTBLANK(OFFSET(A$1,,,SUMPRODUCT(MAX(ROW(E$2:E159)*(E159=E$2:E159)))))-COUNTBLANK(OFFSET(A$1,,,SUMPRODUCT(MAX(ROW(E$1:E158)*(E2=E$1:E158))))))</f>
        <v> </v>
      </c>
      <c r="K159" s="26" t="str">
        <f>IF(OR(E159="",E159="!!!",F159="NEW"),"",INDEX(J$1:J158,SUMPRODUCT(MAX(ROW(E$1:E158)*(E159=E$1:E158)))))</f>
        <v> </v>
      </c>
      <c r="L159" s="27"/>
    </row>
    <row r="160" spans="1:12">
      <c r="A160" s="20" t="s">
        <v>217</v>
      </c>
      <c r="E160" s="22">
        <f>IF(D160="?OLD","!!!","")</f>
        <v/>
      </c>
      <c r="F160" s="23" t="str">
        <f>IF(OR(E160="",E160="!!!"),"",IF(NOT(ISNA(VLOOKUP(E160,E$1:E159,1,FALSE()))),"OLD",IF(AND(E160&lt;&gt;"",E160&lt;&gt;"!!!"),"NEW","")))</f>
        <v> </v>
      </c>
      <c r="G160" s="24" t="str">
        <f>IF(OR(E160="",E160="!!!"),"",IF(OR(J160=0,AND(J160=1,K160=1),AND(J160=1,I160="SBJ"),AND(J160=1,I160=0)),"?IN_FOCUS",IF(J160&lt;=2,"?ACTIVATED",IF(J160&lt;&gt;"","?FAMILIAR",IF(F160="NEW",IF(ISNA(VLOOKUP(E160,#REF!,1,FALSE())),"?TYPE_IDENTIFIABLE","?REFERENTIAL"),"_")))))</f>
        <v> </v>
      </c>
      <c r="H160" s="25" t="str">
        <f>IF(J160&lt;&gt;1,"",IF(I160="SBJ","CB","?"))</f>
        <v> </v>
      </c>
      <c r="I160" s="26" t="str">
        <f>IF(OR(E160="",E160="!!!",F160="NEW"),"",INDEX(B159:B$2,-1+SUMPRODUCT(MAX(ROW(E159:E$2)*(E160=E159:E$2)))))</f>
        <v> </v>
      </c>
      <c r="J160" s="26" t="str">
        <f>IF(OR(E160="",E160="!!!",F160="NEW"),"",COUNTBLANK(OFFSET(A$1,,,SUMPRODUCT(MAX(ROW(E$2:E160)*(E160=E$2:E160)))))-COUNTBLANK(OFFSET(A$1,,,SUMPRODUCT(MAX(ROW(E$1:E159)*(E2=E$1:E159))))))</f>
        <v> </v>
      </c>
      <c r="K160" s="26" t="str">
        <f>IF(OR(E160="",E160="!!!",F160="NEW"),"",INDEX(J$1:J159,SUMPRODUCT(MAX(ROW(E$1:E159)*(E160=E$1:E159)))))</f>
        <v> </v>
      </c>
      <c r="L160" s="27"/>
    </row>
    <row r="161" spans="1:12">
      <c r="A161" s="20" t="s">
        <v>218</v>
      </c>
      <c r="E161" s="22">
        <f>IF(D161="?OLD","!!!","")</f>
        <v/>
      </c>
      <c r="F161" s="23" t="str">
        <f>IF(OR(E161="",E161="!!!"),"",IF(NOT(ISNA(VLOOKUP(E161,E$1:E160,1,FALSE()))),"OLD",IF(AND(E161&lt;&gt;"",E161&lt;&gt;"!!!"),"NEW","")))</f>
        <v> </v>
      </c>
      <c r="G161" s="24" t="str">
        <f>IF(OR(E161="",E161="!!!"),"",IF(OR(J161=0,AND(J161=1,K161=1),AND(J161=1,I161="SBJ"),AND(J161=1,I161=0)),"?IN_FOCUS",IF(J161&lt;=2,"?ACTIVATED",IF(J161&lt;&gt;"","?FAMILIAR",IF(F161="NEW",IF(ISNA(VLOOKUP(E161,#REF!,1,FALSE())),"?TYPE_IDENTIFIABLE","?REFERENTIAL"),"_")))))</f>
        <v> </v>
      </c>
      <c r="H161" s="25" t="str">
        <f>IF(J161&lt;&gt;1,"",IF(I161="SBJ","CB","?"))</f>
        <v> </v>
      </c>
      <c r="I161" s="26" t="str">
        <f>IF(OR(E161="",E161="!!!",F161="NEW"),"",INDEX(B160:B$2,-1+SUMPRODUCT(MAX(ROW(E160:E$2)*(E161=E160:E$2)))))</f>
        <v> </v>
      </c>
      <c r="J161" s="26" t="str">
        <f>IF(OR(E161="",E161="!!!",F161="NEW"),"",COUNTBLANK(OFFSET(A$1,,,SUMPRODUCT(MAX(ROW(E$2:E161)*(E161=E$2:E161)))))-COUNTBLANK(OFFSET(A$1,,,SUMPRODUCT(MAX(ROW(E$1:E160)*(E2=E$1:E160))))))</f>
        <v> </v>
      </c>
      <c r="K161" s="26" t="str">
        <f>IF(OR(E161="",E161="!!!",F161="NEW"),"",INDEX(J$1:J160,SUMPRODUCT(MAX(ROW(E$1:E160)*(E161=E$1:E160)))))</f>
        <v> </v>
      </c>
      <c r="L161" s="27"/>
    </row>
    <row r="162" spans="1:12">
      <c r="A162" s="20" t="s">
        <v>219</v>
      </c>
      <c r="E162" s="22">
        <f>IF(D162="?OLD","!!!","")</f>
        <v/>
      </c>
      <c r="F162" s="23" t="str">
        <f>IF(OR(E162="",E162="!!!"),"",IF(NOT(ISNA(VLOOKUP(E162,E$1:E161,1,FALSE()))),"OLD",IF(AND(E162&lt;&gt;"",E162&lt;&gt;"!!!"),"NEW","")))</f>
        <v> </v>
      </c>
      <c r="G162" s="24" t="str">
        <f>IF(OR(E162="",E162="!!!"),"",IF(OR(J162=0,AND(J162=1,K162=1),AND(J162=1,I162="SBJ"),AND(J162=1,I162=0)),"?IN_FOCUS",IF(J162&lt;=2,"?ACTIVATED",IF(J162&lt;&gt;"","?FAMILIAR",IF(F162="NEW",IF(ISNA(VLOOKUP(E162,#REF!,1,FALSE())),"?TYPE_IDENTIFIABLE","?REFERENTIAL"),"_")))))</f>
        <v> </v>
      </c>
      <c r="H162" s="25" t="str">
        <f>IF(J162&lt;&gt;1,"",IF(I162="SBJ","CB","?"))</f>
        <v> </v>
      </c>
      <c r="I162" s="26" t="str">
        <f>IF(OR(E162="",E162="!!!",F162="NEW"),"",INDEX(B161:B$2,-1+SUMPRODUCT(MAX(ROW(E161:E$2)*(E162=E161:E$2)))))</f>
        <v> </v>
      </c>
      <c r="J162" s="26" t="str">
        <f>IF(OR(E162="",E162="!!!",F162="NEW"),"",COUNTBLANK(OFFSET(A$1,,,SUMPRODUCT(MAX(ROW(E$2:E162)*(E162=E$2:E162)))))-COUNTBLANK(OFFSET(A$1,,,SUMPRODUCT(MAX(ROW(E$1:E161)*(E2=E$1:E161))))))</f>
        <v> </v>
      </c>
      <c r="K162" s="26" t="str">
        <f>IF(OR(E162="",E162="!!!",F162="NEW"),"",INDEX(J$1:J161,SUMPRODUCT(MAX(ROW(E$1:E161)*(E162=E$1:E161)))))</f>
        <v> </v>
      </c>
      <c r="L162" s="27"/>
    </row>
    <row r="163" spans="1:12">
      <c r="A163" s="20" t="s">
        <v>220</v>
      </c>
      <c r="B163" s="21" t="s">
        <v>195</v>
      </c>
      <c r="C163" s="21" t="s">
        <v>92</v>
      </c>
      <c r="E163" s="22">
        <f>IF(D163="?OLD","!!!","")</f>
        <v/>
      </c>
      <c r="F163" s="23" t="str">
        <f>IF(OR(E163="",E163="!!!"),"",IF(NOT(ISNA(VLOOKUP(E163,E$1:E162,1,FALSE()))),"OLD",IF(AND(E163&lt;&gt;"",E163&lt;&gt;"!!!"),"NEW","")))</f>
        <v> </v>
      </c>
      <c r="G163" s="24" t="str">
        <f>IF(OR(E163="",E163="!!!"),"",IF(OR(J163=0,AND(J163=1,K163=1),AND(J163=1,I163="SBJ"),AND(J163=1,I163=0)),"?IN_FOCUS",IF(J163&lt;=2,"?ACTIVATED",IF(J163&lt;&gt;"","?FAMILIAR",IF(F163="NEW",IF(ISNA(VLOOKUP(E163,#REF!,1,FALSE())),"?TYPE_IDENTIFIABLE","?REFERENTIAL"),"_")))))</f>
        <v> </v>
      </c>
      <c r="H163" s="25" t="str">
        <f>IF(J163&lt;&gt;1,"",IF(I163="SBJ","CB","?"))</f>
        <v> </v>
      </c>
      <c r="I163" s="26" t="str">
        <f>IF(OR(E163="",E163="!!!",F163="NEW"),"",INDEX(B162:B$2,-1+SUMPRODUCT(MAX(ROW(E162:E$2)*(E163=E162:E$2)))))</f>
        <v> </v>
      </c>
      <c r="J163" s="26" t="str">
        <f>IF(OR(E163="",E163="!!!",F163="NEW"),"",COUNTBLANK(OFFSET(A$1,,,SUMPRODUCT(MAX(ROW(E$2:E163)*(E163=E$2:E163)))))-COUNTBLANK(OFFSET(A$1,,,SUMPRODUCT(MAX(ROW(E$1:E162)*(E2=E$1:E162))))))</f>
        <v> </v>
      </c>
      <c r="K163" s="26" t="str">
        <f>IF(OR(E163="",E163="!!!",F163="NEW"),"",INDEX(J$1:J162,SUMPRODUCT(MAX(ROW(E$1:E162)*(E163=E$1:E162)))))</f>
        <v> </v>
      </c>
      <c r="L163" s="27"/>
    </row>
    <row r="164" spans="1:12">
      <c r="A164" s="20" t="s">
        <v>97</v>
      </c>
      <c r="E164" s="22">
        <f>IF(D164="?OLD","!!!","")</f>
        <v/>
      </c>
      <c r="F164" s="23" t="str">
        <f>IF(OR(E164="",E164="!!!"),"",IF(NOT(ISNA(VLOOKUP(E164,E$1:E163,1,FALSE()))),"OLD",IF(AND(E164&lt;&gt;"",E164&lt;&gt;"!!!"),"NEW","")))</f>
        <v> </v>
      </c>
      <c r="G164" s="24" t="str">
        <f>IF(OR(E164="",E164="!!!"),"",IF(OR(J164=0,AND(J164=1,K164=1),AND(J164=1,I164="SBJ"),AND(J164=1,I164=0)),"?IN_FOCUS",IF(J164&lt;=2,"?ACTIVATED",IF(J164&lt;&gt;"","?FAMILIAR",IF(F164="NEW",IF(ISNA(VLOOKUP(E164,#REF!,1,FALSE())),"?TYPE_IDENTIFIABLE","?REFERENTIAL"),"_")))))</f>
        <v> </v>
      </c>
      <c r="H164" s="25" t="str">
        <f>IF(J164&lt;&gt;1,"",IF(I164="SBJ","CB","?"))</f>
        <v> </v>
      </c>
      <c r="I164" s="26" t="str">
        <f>IF(OR(E164="",E164="!!!",F164="NEW"),"",INDEX(B163:B$2,-1+SUMPRODUCT(MAX(ROW(E163:E$2)*(E164=E163:E$2)))))</f>
        <v> </v>
      </c>
      <c r="J164" s="26" t="str">
        <f>IF(OR(E164="",E164="!!!",F164="NEW"),"",COUNTBLANK(OFFSET(A$1,,,SUMPRODUCT(MAX(ROW(E$2:E164)*(E164=E$2:E164)))))-COUNTBLANK(OFFSET(A$1,,,SUMPRODUCT(MAX(ROW(E$1:E163)*(E2=E$1:E163))))))</f>
        <v> </v>
      </c>
      <c r="K164" s="26" t="str">
        <f>IF(OR(E164="",E164="!!!",F164="NEW"),"",INDEX(J$1:J163,SUMPRODUCT(MAX(ROW(E$1:E163)*(E164=E$1:E163)))))</f>
        <v> </v>
      </c>
      <c r="L164" s="27"/>
    </row>
    <row r="165" spans="1:12">
      <c r="A165" s="20" t="s">
        <v>221</v>
      </c>
      <c r="E165" s="22">
        <f>IF(D165="?OLD","!!!","")</f>
        <v/>
      </c>
      <c r="F165" s="23" t="str">
        <f>IF(OR(E165="",E165="!!!"),"",IF(NOT(ISNA(VLOOKUP(E165,E$1:E164,1,FALSE()))),"OLD",IF(AND(E165&lt;&gt;"",E165&lt;&gt;"!!!"),"NEW","")))</f>
        <v> </v>
      </c>
      <c r="G165" s="24" t="str">
        <f>IF(OR(E165="",E165="!!!"),"",IF(OR(J165=0,AND(J165=1,K165=1),AND(J165=1,I165="SBJ"),AND(J165=1,I165=0)),"?IN_FOCUS",IF(J165&lt;=2,"?ACTIVATED",IF(J165&lt;&gt;"","?FAMILIAR",IF(F165="NEW",IF(ISNA(VLOOKUP(E165,#REF!,1,FALSE())),"?TYPE_IDENTIFIABLE","?REFERENTIAL"),"_")))))</f>
        <v> </v>
      </c>
      <c r="H165" s="25" t="str">
        <f>IF(J165&lt;&gt;1,"",IF(I165="SBJ","CB","?"))</f>
        <v> </v>
      </c>
      <c r="I165" s="26" t="str">
        <f>IF(OR(E165="",E165="!!!",F165="NEW"),"",INDEX(B164:B$2,-1+SUMPRODUCT(MAX(ROW(E164:E$2)*(E165=E164:E$2)))))</f>
        <v> </v>
      </c>
      <c r="J165" s="26" t="str">
        <f>IF(OR(E165="",E165="!!!",F165="NEW"),"",COUNTBLANK(OFFSET(A$1,,,SUMPRODUCT(MAX(ROW(E$2:E165)*(E165=E$2:E165)))))-COUNTBLANK(OFFSET(A$1,,,SUMPRODUCT(MAX(ROW(E$1:E164)*(E2=E$1:E164))))))</f>
        <v> </v>
      </c>
      <c r="K165" s="26" t="str">
        <f>IF(OR(E165="",E165="!!!",F165="NEW"),"",INDEX(J$1:J164,SUMPRODUCT(MAX(ROW(E$1:E164)*(E165=E$1:E164)))))</f>
        <v> </v>
      </c>
      <c r="L165" s="27"/>
    </row>
    <row r="166" spans="1:12">
      <c r="A166" s="20" t="s">
        <v>97</v>
      </c>
      <c r="E166" s="22">
        <f>IF(D166="?OLD","!!!","")</f>
        <v/>
      </c>
      <c r="F166" s="23" t="str">
        <f>IF(OR(E166="",E166="!!!"),"",IF(NOT(ISNA(VLOOKUP(E166,E$1:E165,1,FALSE()))),"OLD",IF(AND(E166&lt;&gt;"",E166&lt;&gt;"!!!"),"NEW","")))</f>
        <v> </v>
      </c>
      <c r="G166" s="24" t="str">
        <f>IF(OR(E166="",E166="!!!"),"",IF(OR(J166=0,AND(J166=1,K166=1),AND(J166=1,I166="SBJ"),AND(J166=1,I166=0)),"?IN_FOCUS",IF(J166&lt;=2,"?ACTIVATED",IF(J166&lt;&gt;"","?FAMILIAR",IF(F166="NEW",IF(ISNA(VLOOKUP(E166,#REF!,1,FALSE())),"?TYPE_IDENTIFIABLE","?REFERENTIAL"),"_")))))</f>
        <v> </v>
      </c>
      <c r="H166" s="25" t="str">
        <f>IF(J166&lt;&gt;1,"",IF(I166="SBJ","CB","?"))</f>
        <v> </v>
      </c>
      <c r="I166" s="26" t="str">
        <f>IF(OR(E166="",E166="!!!",F166="NEW"),"",INDEX(B165:B$2,-1+SUMPRODUCT(MAX(ROW(E165:E$2)*(E166=E165:E$2)))))</f>
        <v> </v>
      </c>
      <c r="J166" s="26" t="str">
        <f>IF(OR(E166="",E166="!!!",F166="NEW"),"",COUNTBLANK(OFFSET(A$1,,,SUMPRODUCT(MAX(ROW(E$2:E166)*(E166=E$2:E166)))))-COUNTBLANK(OFFSET(A$1,,,SUMPRODUCT(MAX(ROW(E$1:E165)*(E2=E$1:E165))))))</f>
        <v> </v>
      </c>
      <c r="K166" s="26" t="str">
        <f>IF(OR(E166="",E166="!!!",F166="NEW"),"",INDEX(J$1:J165,SUMPRODUCT(MAX(ROW(E$1:E165)*(E166=E$1:E165)))))</f>
        <v> </v>
      </c>
      <c r="L166" s="27"/>
    </row>
    <row r="167" spans="1:12">
      <c r="A167" s="20" t="s">
        <v>171</v>
      </c>
      <c r="E167" s="22">
        <f>IF(D167="?OLD","!!!","")</f>
        <v/>
      </c>
      <c r="F167" s="23" t="str">
        <f>IF(OR(E167="",E167="!!!"),"",IF(NOT(ISNA(VLOOKUP(E167,E$1:E166,1,FALSE()))),"OLD",IF(AND(E167&lt;&gt;"",E167&lt;&gt;"!!!"),"NEW","")))</f>
        <v> </v>
      </c>
      <c r="G167" s="24" t="str">
        <f>IF(OR(E167="",E167="!!!"),"",IF(OR(J167=0,AND(J167=1,K167=1),AND(J167=1,I167="SBJ"),AND(J167=1,I167=0)),"?IN_FOCUS",IF(J167&lt;=2,"?ACTIVATED",IF(J167&lt;&gt;"","?FAMILIAR",IF(F167="NEW",IF(ISNA(VLOOKUP(E167,#REF!,1,FALSE())),"?TYPE_IDENTIFIABLE","?REFERENTIAL"),"_")))))</f>
        <v> </v>
      </c>
      <c r="H167" s="25" t="str">
        <f>IF(J167&lt;&gt;1,"",IF(I167="SBJ","CB","?"))</f>
        <v> </v>
      </c>
      <c r="I167" s="26" t="str">
        <f>IF(OR(E167="",E167="!!!",F167="NEW"),"",INDEX(B166:B$2,-1+SUMPRODUCT(MAX(ROW(E166:E$2)*(E167=E166:E$2)))))</f>
        <v> </v>
      </c>
      <c r="J167" s="26" t="str">
        <f>IF(OR(E167="",E167="!!!",F167="NEW"),"",COUNTBLANK(OFFSET(A$1,,,SUMPRODUCT(MAX(ROW(E$2:E167)*(E167=E$2:E167)))))-COUNTBLANK(OFFSET(A$1,,,SUMPRODUCT(MAX(ROW(E$1:E166)*(E2=E$1:E166))))))</f>
        <v> </v>
      </c>
      <c r="K167" s="26" t="str">
        <f>IF(OR(E167="",E167="!!!",F167="NEW"),"",INDEX(J$1:J166,SUMPRODUCT(MAX(ROW(E$1:E166)*(E167=E$1:E166)))))</f>
        <v> </v>
      </c>
      <c r="L167" s="27"/>
    </row>
    <row r="168" spans="1:12">
      <c r="A168" s="20" t="s">
        <v>222</v>
      </c>
      <c r="B168" s="21" t="s">
        <v>100</v>
      </c>
      <c r="C168" s="21" t="s">
        <v>153</v>
      </c>
      <c r="D168" s="21" t="s">
        <v>102</v>
      </c>
      <c r="E168" s="22">
        <f>IF(D168="?OLD","!!!","")</f>
        <v/>
      </c>
      <c r="F168" s="23" t="str">
        <f>IF(OR(E168="",E168="!!!"),"",IF(NOT(ISNA(VLOOKUP(E168,E$1:E167,1,FALSE()))),"OLD",IF(AND(E168&lt;&gt;"",E168&lt;&gt;"!!!"),"NEW","")))</f>
        <v> </v>
      </c>
      <c r="G168" s="24" t="str">
        <f>IF(OR(E168="",E168="!!!"),"",IF(OR(J168=0,AND(J168=1,K168=1),AND(J168=1,I168="SBJ"),AND(J168=1,I168=0)),"?IN_FOCUS",IF(J168&lt;=2,"?ACTIVATED",IF(J168&lt;&gt;"","?FAMILIAR",IF(F168="NEW",IF(ISNA(VLOOKUP(E168,#REF!,1,FALSE())),"?TYPE_IDENTIFIABLE","?REFERENTIAL"),"_")))))</f>
        <v> </v>
      </c>
      <c r="H168" s="25" t="str">
        <f>IF(J168&lt;&gt;1,"",IF(I168="SBJ","CB","?"))</f>
        <v> </v>
      </c>
      <c r="I168" s="26" t="str">
        <f>IF(OR(E168="",E168="!!!",F168="NEW"),"",INDEX(B167:B$2,-1+SUMPRODUCT(MAX(ROW(E167:E$2)*(E168=E167:E$2)))))</f>
        <v> </v>
      </c>
      <c r="J168" s="26" t="str">
        <f>IF(OR(E168="",E168="!!!",F168="NEW"),"",COUNTBLANK(OFFSET(A$1,,,SUMPRODUCT(MAX(ROW(E$2:E168)*(E168=E$2:E168)))))-COUNTBLANK(OFFSET(A$1,,,SUMPRODUCT(MAX(ROW(E$1:E167)*(E2=E$1:E167))))))</f>
        <v> </v>
      </c>
      <c r="K168" s="26" t="str">
        <f>IF(OR(E168="",E168="!!!",F168="NEW"),"",INDEX(J$1:J167,SUMPRODUCT(MAX(ROW(E$1:E167)*(E168=E$1:E167)))))</f>
        <v> </v>
      </c>
      <c r="L168" s="27"/>
    </row>
    <row r="169" spans="1:12">
      <c r="A169" s="20" t="s">
        <v>118</v>
      </c>
      <c r="E169" s="22">
        <f>IF(D169="?OLD","!!!","")</f>
        <v/>
      </c>
      <c r="F169" s="23" t="str">
        <f>IF(OR(E169="",E169="!!!"),"",IF(NOT(ISNA(VLOOKUP(E169,E$1:E168,1,FALSE()))),"OLD",IF(AND(E169&lt;&gt;"",E169&lt;&gt;"!!!"),"NEW","")))</f>
        <v> </v>
      </c>
      <c r="G169" s="24" t="str">
        <f>IF(OR(E169="",E169="!!!"),"",IF(OR(J169=0,AND(J169=1,K169=1),AND(J169=1,I169="SBJ"),AND(J169=1,I169=0)),"?IN_FOCUS",IF(J169&lt;=2,"?ACTIVATED",IF(J169&lt;&gt;"","?FAMILIAR",IF(F169="NEW",IF(ISNA(VLOOKUP(E169,#REF!,1,FALSE())),"?TYPE_IDENTIFIABLE","?REFERENTIAL"),"_")))))</f>
        <v> </v>
      </c>
      <c r="H169" s="25" t="str">
        <f>IF(J169&lt;&gt;1,"",IF(I169="SBJ","CB","?"))</f>
        <v> </v>
      </c>
      <c r="I169" s="26" t="str">
        <f>IF(OR(E169="",E169="!!!",F169="NEW"),"",INDEX(B168:B$2,-1+SUMPRODUCT(MAX(ROW(E168:E$2)*(E169=E168:E$2)))))</f>
        <v> </v>
      </c>
      <c r="J169" s="26" t="str">
        <f>IF(OR(E169="",E169="!!!",F169="NEW"),"",COUNTBLANK(OFFSET(A$1,,,SUMPRODUCT(MAX(ROW(E$2:E169)*(E169=E$2:E169)))))-COUNTBLANK(OFFSET(A$1,,,SUMPRODUCT(MAX(ROW(E$1:E168)*(E2=E$1:E168))))))</f>
        <v> </v>
      </c>
      <c r="K169" s="26" t="str">
        <f>IF(OR(E169="",E169="!!!",F169="NEW"),"",INDEX(J$1:J168,SUMPRODUCT(MAX(ROW(E$1:E168)*(E169=E$1:E168)))))</f>
        <v> </v>
      </c>
      <c r="L169" s="27"/>
    </row>
    <row r="170" spans="1:12">
      <c r="A170" s="20" t="s">
        <v>223</v>
      </c>
      <c r="E170" s="22">
        <f>IF(D170="?OLD","!!!","")</f>
        <v/>
      </c>
      <c r="F170" s="23" t="str">
        <f>IF(OR(E170="",E170="!!!"),"",IF(NOT(ISNA(VLOOKUP(E170,E$1:E169,1,FALSE()))),"OLD",IF(AND(E170&lt;&gt;"",E170&lt;&gt;"!!!"),"NEW","")))</f>
        <v> </v>
      </c>
      <c r="G170" s="24" t="str">
        <f>IF(OR(E170="",E170="!!!"),"",IF(OR(J170=0,AND(J170=1,K170=1),AND(J170=1,I170="SBJ"),AND(J170=1,I170=0)),"?IN_FOCUS",IF(J170&lt;=2,"?ACTIVATED",IF(J170&lt;&gt;"","?FAMILIAR",IF(F170="NEW",IF(ISNA(VLOOKUP(E170,#REF!,1,FALSE())),"?TYPE_IDENTIFIABLE","?REFERENTIAL"),"_")))))</f>
        <v> </v>
      </c>
      <c r="H170" s="25" t="str">
        <f>IF(J170&lt;&gt;1,"",IF(I170="SBJ","CB","?"))</f>
        <v> </v>
      </c>
      <c r="I170" s="26" t="str">
        <f>IF(OR(E170="",E170="!!!",F170="NEW"),"",INDEX(B169:B$2,-1+SUMPRODUCT(MAX(ROW(E169:E$2)*(E170=E169:E$2)))))</f>
        <v> </v>
      </c>
      <c r="J170" s="26" t="str">
        <f>IF(OR(E170="",E170="!!!",F170="NEW"),"",COUNTBLANK(OFFSET(A$1,,,SUMPRODUCT(MAX(ROW(E$2:E170)*(E170=E$2:E170)))))-COUNTBLANK(OFFSET(A$1,,,SUMPRODUCT(MAX(ROW(E$1:E169)*(E2=E$1:E169))))))</f>
        <v> </v>
      </c>
      <c r="K170" s="26" t="str">
        <f>IF(OR(E170="",E170="!!!",F170="NEW"),"",INDEX(J$1:J169,SUMPRODUCT(MAX(ROW(E$1:E169)*(E170=E$1:E169)))))</f>
        <v> </v>
      </c>
      <c r="L170" s="27"/>
    </row>
    <row r="171" spans="1:12">
      <c r="A171" s="20" t="s">
        <v>224</v>
      </c>
      <c r="B171" s="21" t="s">
        <v>107</v>
      </c>
      <c r="C171" s="21" t="s">
        <v>112</v>
      </c>
      <c r="D171" s="21" t="s">
        <v>102</v>
      </c>
      <c r="E171" s="22">
        <f>IF(D171="?OLD","!!!","")</f>
        <v/>
      </c>
      <c r="F171" s="23" t="str">
        <f>IF(OR(E171="",E171="!!!"),"",IF(NOT(ISNA(VLOOKUP(E171,E$1:E170,1,FALSE()))),"OLD",IF(AND(E171&lt;&gt;"",E171&lt;&gt;"!!!"),"NEW","")))</f>
        <v> </v>
      </c>
      <c r="G171" s="24" t="str">
        <f>IF(OR(E171="",E171="!!!"),"",IF(OR(J171=0,AND(J171=1,K171=1),AND(J171=1,I171="SBJ"),AND(J171=1,I171=0)),"?IN_FOCUS",IF(J171&lt;=2,"?ACTIVATED",IF(J171&lt;&gt;"","?FAMILIAR",IF(F171="NEW",IF(ISNA(VLOOKUP(E171,#REF!,1,FALSE())),"?TYPE_IDENTIFIABLE","?REFERENTIAL"),"_")))))</f>
        <v> </v>
      </c>
      <c r="H171" s="25" t="str">
        <f>IF(J171&lt;&gt;1,"",IF(I171="SBJ","CB","?"))</f>
        <v> </v>
      </c>
      <c r="I171" s="26" t="str">
        <f>IF(OR(E171="",E171="!!!",F171="NEW"),"",INDEX(B170:B$2,-1+SUMPRODUCT(MAX(ROW(E170:E$2)*(E171=E170:E$2)))))</f>
        <v> </v>
      </c>
      <c r="J171" s="26" t="str">
        <f>IF(OR(E171="",E171="!!!",F171="NEW"),"",COUNTBLANK(OFFSET(A$1,,,SUMPRODUCT(MAX(ROW(E$2:E171)*(E171=E$2:E171)))))-COUNTBLANK(OFFSET(A$1,,,SUMPRODUCT(MAX(ROW(E$1:E170)*(E2=E$1:E170))))))</f>
        <v> </v>
      </c>
      <c r="K171" s="26" t="str">
        <f>IF(OR(E171="",E171="!!!",F171="NEW"),"",INDEX(J$1:J170,SUMPRODUCT(MAX(ROW(E$1:E170)*(E171=E$1:E170)))))</f>
        <v> </v>
      </c>
      <c r="L171" s="27"/>
    </row>
    <row r="172" spans="1:12">
      <c r="A172" s="20" t="s">
        <v>225</v>
      </c>
      <c r="E172" s="22">
        <f>IF(D172="?OLD","!!!","")</f>
        <v/>
      </c>
      <c r="F172" s="23" t="str">
        <f>IF(OR(E172="",E172="!!!"),"",IF(NOT(ISNA(VLOOKUP(E172,E$1:E171,1,FALSE()))),"OLD",IF(AND(E172&lt;&gt;"",E172&lt;&gt;"!!!"),"NEW","")))</f>
        <v> </v>
      </c>
      <c r="G172" s="24" t="str">
        <f>IF(OR(E172="",E172="!!!"),"",IF(OR(J172=0,AND(J172=1,K172=1),AND(J172=1,I172="SBJ"),AND(J172=1,I172=0)),"?IN_FOCUS",IF(J172&lt;=2,"?ACTIVATED",IF(J172&lt;&gt;"","?FAMILIAR",IF(F172="NEW",IF(ISNA(VLOOKUP(E172,#REF!,1,FALSE())),"?TYPE_IDENTIFIABLE","?REFERENTIAL"),"_")))))</f>
        <v> </v>
      </c>
      <c r="H172" s="25" t="str">
        <f>IF(J172&lt;&gt;1,"",IF(I172="SBJ","CB","?"))</f>
        <v> </v>
      </c>
      <c r="I172" s="26" t="str">
        <f>IF(OR(E172="",E172="!!!",F172="NEW"),"",INDEX(B171:B$2,-1+SUMPRODUCT(MAX(ROW(E171:E$2)*(E172=E171:E$2)))))</f>
        <v> </v>
      </c>
      <c r="J172" s="26" t="str">
        <f>IF(OR(E172="",E172="!!!",F172="NEW"),"",COUNTBLANK(OFFSET(A$1,,,SUMPRODUCT(MAX(ROW(E$2:E172)*(E172=E$2:E172)))))-COUNTBLANK(OFFSET(A$1,,,SUMPRODUCT(MAX(ROW(E$1:E171)*(E2=E$1:E171))))))</f>
        <v> </v>
      </c>
      <c r="K172" s="26" t="str">
        <f>IF(OR(E172="",E172="!!!",F172="NEW"),"",INDEX(J$1:J171,SUMPRODUCT(MAX(ROW(E$1:E171)*(E172=E$1:E171)))))</f>
        <v> </v>
      </c>
      <c r="L172" s="27"/>
    </row>
    <row r="173" spans="1:12">
      <c r="A173" s="20" t="s">
        <v>169</v>
      </c>
      <c r="E173" s="22">
        <f>IF(D173="?OLD","!!!","")</f>
        <v/>
      </c>
      <c r="F173" s="23" t="str">
        <f>IF(OR(E173="",E173="!!!"),"",IF(NOT(ISNA(VLOOKUP(E173,E$1:E172,1,FALSE()))),"OLD",IF(AND(E173&lt;&gt;"",E173&lt;&gt;"!!!"),"NEW","")))</f>
        <v> </v>
      </c>
      <c r="G173" s="24" t="str">
        <f>IF(OR(E173="",E173="!!!"),"",IF(OR(J173=0,AND(J173=1,K173=1),AND(J173=1,I173="SBJ"),AND(J173=1,I173=0)),"?IN_FOCUS",IF(J173&lt;=2,"?ACTIVATED",IF(J173&lt;&gt;"","?FAMILIAR",IF(F173="NEW",IF(ISNA(VLOOKUP(E173,#REF!,1,FALSE())),"?TYPE_IDENTIFIABLE","?REFERENTIAL"),"_")))))</f>
        <v> </v>
      </c>
      <c r="H173" s="25" t="str">
        <f>IF(J173&lt;&gt;1,"",IF(I173="SBJ","CB","?"))</f>
        <v> </v>
      </c>
      <c r="I173" s="26" t="str">
        <f>IF(OR(E173="",E173="!!!",F173="NEW"),"",INDEX(B172:B$2,-1+SUMPRODUCT(MAX(ROW(E172:E$2)*(E173=E172:E$2)))))</f>
        <v> </v>
      </c>
      <c r="J173" s="26" t="str">
        <f>IF(OR(E173="",E173="!!!",F173="NEW"),"",COUNTBLANK(OFFSET(A$1,,,SUMPRODUCT(MAX(ROW(E$2:E173)*(E173=E$2:E173)))))-COUNTBLANK(OFFSET(A$1,,,SUMPRODUCT(MAX(ROW(E$1:E172)*(E2=E$1:E172))))))</f>
        <v> </v>
      </c>
      <c r="K173" s="26" t="str">
        <f>IF(OR(E173="",E173="!!!",F173="NEW"),"",INDEX(J$1:J172,SUMPRODUCT(MAX(ROW(E$1:E172)*(E173=E$1:E172)))))</f>
        <v> </v>
      </c>
      <c r="L173" s="27"/>
    </row>
    <row r="174" spans="1:12">
      <c r="A174" s="20" t="s">
        <v>222</v>
      </c>
      <c r="B174" s="21" t="s">
        <v>107</v>
      </c>
      <c r="C174" s="21" t="s">
        <v>153</v>
      </c>
      <c r="D174" s="21" t="s">
        <v>102</v>
      </c>
      <c r="E174" s="22">
        <f>IF(D174="?OLD","!!!","")</f>
        <v/>
      </c>
      <c r="F174" s="23" t="str">
        <f>IF(OR(E174="",E174="!!!"),"",IF(NOT(ISNA(VLOOKUP(E174,E$1:E173,1,FALSE()))),"OLD",IF(AND(E174&lt;&gt;"",E174&lt;&gt;"!!!"),"NEW","")))</f>
        <v> </v>
      </c>
      <c r="G174" s="24" t="str">
        <f>IF(OR(E174="",E174="!!!"),"",IF(OR(J174=0,AND(J174=1,K174=1),AND(J174=1,I174="SBJ"),AND(J174=1,I174=0)),"?IN_FOCUS",IF(J174&lt;=2,"?ACTIVATED",IF(J174&lt;&gt;"","?FAMILIAR",IF(F174="NEW",IF(ISNA(VLOOKUP(E174,#REF!,1,FALSE())),"?TYPE_IDENTIFIABLE","?REFERENTIAL"),"_")))))</f>
        <v> </v>
      </c>
      <c r="H174" s="25" t="str">
        <f>IF(J174&lt;&gt;1,"",IF(I174="SBJ","CB","?"))</f>
        <v> </v>
      </c>
      <c r="I174" s="26" t="str">
        <f>IF(OR(E174="",E174="!!!",F174="NEW"),"",INDEX(B173:B$2,-1+SUMPRODUCT(MAX(ROW(E173:E$2)*(E174=E173:E$2)))))</f>
        <v> </v>
      </c>
      <c r="J174" s="26" t="str">
        <f>IF(OR(E174="",E174="!!!",F174="NEW"),"",COUNTBLANK(OFFSET(A$1,,,SUMPRODUCT(MAX(ROW(E$2:E174)*(E174=E$2:E174)))))-COUNTBLANK(OFFSET(A$1,,,SUMPRODUCT(MAX(ROW(E$1:E173)*(E2=E$1:E173))))))</f>
        <v> </v>
      </c>
      <c r="K174" s="26" t="str">
        <f>IF(OR(E174="",E174="!!!",F174="NEW"),"",INDEX(J$1:J173,SUMPRODUCT(MAX(ROW(E$1:E173)*(E174=E$1:E173)))))</f>
        <v> </v>
      </c>
      <c r="L174" s="27"/>
    </row>
    <row r="175" spans="1:12">
      <c r="A175" s="20" t="s">
        <v>226</v>
      </c>
      <c r="E175" s="22">
        <f>IF(D175="?OLD","!!!","")</f>
        <v/>
      </c>
      <c r="F175" s="23" t="str">
        <f>IF(OR(E175="",E175="!!!"),"",IF(NOT(ISNA(VLOOKUP(E175,E$1:E174,1,FALSE()))),"OLD",IF(AND(E175&lt;&gt;"",E175&lt;&gt;"!!!"),"NEW","")))</f>
        <v> </v>
      </c>
      <c r="G175" s="24" t="str">
        <f>IF(OR(E175="",E175="!!!"),"",IF(OR(J175=0,AND(J175=1,K175=1),AND(J175=1,I175="SBJ"),AND(J175=1,I175=0)),"?IN_FOCUS",IF(J175&lt;=2,"?ACTIVATED",IF(J175&lt;&gt;"","?FAMILIAR",IF(F175="NEW",IF(ISNA(VLOOKUP(E175,#REF!,1,FALSE())),"?TYPE_IDENTIFIABLE","?REFERENTIAL"),"_")))))</f>
        <v> </v>
      </c>
      <c r="H175" s="25" t="str">
        <f>IF(J175&lt;&gt;1,"",IF(I175="SBJ","CB","?"))</f>
        <v> </v>
      </c>
      <c r="I175" s="26" t="str">
        <f>IF(OR(E175="",E175="!!!",F175="NEW"),"",INDEX(B174:B$2,-1+SUMPRODUCT(MAX(ROW(E174:E$2)*(E175=E174:E$2)))))</f>
        <v> </v>
      </c>
      <c r="J175" s="26" t="str">
        <f>IF(OR(E175="",E175="!!!",F175="NEW"),"",COUNTBLANK(OFFSET(A$1,,,SUMPRODUCT(MAX(ROW(E$2:E175)*(E175=E$2:E175)))))-COUNTBLANK(OFFSET(A$1,,,SUMPRODUCT(MAX(ROW(E$1:E174)*(E2=E$1:E174))))))</f>
        <v> </v>
      </c>
      <c r="K175" s="26" t="str">
        <f>IF(OR(E175="",E175="!!!",F175="NEW"),"",INDEX(J$1:J174,SUMPRODUCT(MAX(ROW(E$1:E174)*(E175=E$1:E174)))))</f>
        <v> </v>
      </c>
      <c r="L175" s="27"/>
    </row>
    <row r="176" spans="1:12">
      <c r="A176" s="20" t="s">
        <v>227</v>
      </c>
      <c r="E176" s="22">
        <f>IF(D176="?OLD","!!!","")</f>
        <v/>
      </c>
      <c r="F176" s="23" t="str">
        <f>IF(OR(E176="",E176="!!!"),"",IF(NOT(ISNA(VLOOKUP(E176,E$1:E175,1,FALSE()))),"OLD",IF(AND(E176&lt;&gt;"",E176&lt;&gt;"!!!"),"NEW","")))</f>
        <v> </v>
      </c>
      <c r="G176" s="24" t="str">
        <f>IF(OR(E176="",E176="!!!"),"",IF(OR(J176=0,AND(J176=1,K176=1),AND(J176=1,I176="SBJ"),AND(J176=1,I176=0)),"?IN_FOCUS",IF(J176&lt;=2,"?ACTIVATED",IF(J176&lt;&gt;"","?FAMILIAR",IF(F176="NEW",IF(ISNA(VLOOKUP(E176,#REF!,1,FALSE())),"?TYPE_IDENTIFIABLE","?REFERENTIAL"),"_")))))</f>
        <v> </v>
      </c>
      <c r="H176" s="25" t="str">
        <f>IF(J176&lt;&gt;1,"",IF(I176="SBJ","CB","?"))</f>
        <v> </v>
      </c>
      <c r="I176" s="26" t="str">
        <f>IF(OR(E176="",E176="!!!",F176="NEW"),"",INDEX(B175:B$2,-1+SUMPRODUCT(MAX(ROW(E175:E$2)*(E176=E175:E$2)))))</f>
        <v> </v>
      </c>
      <c r="J176" s="26" t="str">
        <f>IF(OR(E176="",E176="!!!",F176="NEW"),"",COUNTBLANK(OFFSET(A$1,,,SUMPRODUCT(MAX(ROW(E$2:E176)*(E176=E$2:E176)))))-COUNTBLANK(OFFSET(A$1,,,SUMPRODUCT(MAX(ROW(E$1:E175)*(E2=E$1:E175))))))</f>
        <v> </v>
      </c>
      <c r="K176" s="26" t="str">
        <f>IF(OR(E176="",E176="!!!",F176="NEW"),"",INDEX(J$1:J175,SUMPRODUCT(MAX(ROW(E$1:E175)*(E176=E$1:E175)))))</f>
        <v> </v>
      </c>
      <c r="L176" s="27"/>
    </row>
    <row r="177" spans="1:12">
      <c r="A177" s="20" t="s">
        <v>97</v>
      </c>
      <c r="E177" s="22">
        <f>IF(D177="?OLD","!!!","")</f>
        <v/>
      </c>
      <c r="F177" s="23" t="str">
        <f>IF(OR(E177="",E177="!!!"),"",IF(NOT(ISNA(VLOOKUP(E177,E$1:E176,1,FALSE()))),"OLD",IF(AND(E177&lt;&gt;"",E177&lt;&gt;"!!!"),"NEW","")))</f>
        <v> </v>
      </c>
      <c r="G177" s="24" t="str">
        <f>IF(OR(E177="",E177="!!!"),"",IF(OR(J177=0,AND(J177=1,K177=1),AND(J177=1,I177="SBJ"),AND(J177=1,I177=0)),"?IN_FOCUS",IF(J177&lt;=2,"?ACTIVATED",IF(J177&lt;&gt;"","?FAMILIAR",IF(F177="NEW",IF(ISNA(VLOOKUP(E177,#REF!,1,FALSE())),"?TYPE_IDENTIFIABLE","?REFERENTIAL"),"_")))))</f>
        <v> </v>
      </c>
      <c r="H177" s="25" t="str">
        <f>IF(J177&lt;&gt;1,"",IF(I177="SBJ","CB","?"))</f>
        <v> </v>
      </c>
      <c r="I177" s="26" t="str">
        <f>IF(OR(E177="",E177="!!!",F177="NEW"),"",INDEX(B176:B$2,-1+SUMPRODUCT(MAX(ROW(E176:E$2)*(E177=E176:E$2)))))</f>
        <v> </v>
      </c>
      <c r="J177" s="26" t="str">
        <f>IF(OR(E177="",E177="!!!",F177="NEW"),"",COUNTBLANK(OFFSET(A$1,,,SUMPRODUCT(MAX(ROW(E$2:E177)*(E177=E$2:E177)))))-COUNTBLANK(OFFSET(A$1,,,SUMPRODUCT(MAX(ROW(E$1:E176)*(E2=E$1:E176))))))</f>
        <v> </v>
      </c>
      <c r="K177" s="26" t="str">
        <f>IF(OR(E177="",E177="!!!",F177="NEW"),"",INDEX(J$1:J176,SUMPRODUCT(MAX(ROW(E$1:E176)*(E177=E$1:E176)))))</f>
        <v> </v>
      </c>
      <c r="L177" s="27"/>
    </row>
    <row r="178" spans="1:12">
      <c r="A178" s="20" t="s">
        <v>228</v>
      </c>
      <c r="B178" s="21" t="s">
        <v>120</v>
      </c>
      <c r="C178" s="21" t="s">
        <v>181</v>
      </c>
      <c r="E178" s="22">
        <f>IF(D178="?OLD","!!!","")</f>
        <v/>
      </c>
      <c r="F178" s="23" t="str">
        <f>IF(OR(E178="",E178="!!!"),"",IF(NOT(ISNA(VLOOKUP(E178,E$1:E177,1,FALSE()))),"OLD",IF(AND(E178&lt;&gt;"",E178&lt;&gt;"!!!"),"NEW","")))</f>
        <v> </v>
      </c>
      <c r="G178" s="24" t="str">
        <f>IF(OR(E178="",E178="!!!"),"",IF(OR(J178=0,AND(J178=1,K178=1),AND(J178=1,I178="SBJ"),AND(J178=1,I178=0)),"?IN_FOCUS",IF(J178&lt;=2,"?ACTIVATED",IF(J178&lt;&gt;"","?FAMILIAR",IF(F178="NEW",IF(ISNA(VLOOKUP(E178,#REF!,1,FALSE())),"?TYPE_IDENTIFIABLE","?REFERENTIAL"),"_")))))</f>
        <v> </v>
      </c>
      <c r="H178" s="25" t="str">
        <f>IF(J178&lt;&gt;1,"",IF(I178="SBJ","CB","?"))</f>
        <v> </v>
      </c>
      <c r="I178" s="26" t="str">
        <f>IF(OR(E178="",E178="!!!",F178="NEW"),"",INDEX(B177:B$2,-1+SUMPRODUCT(MAX(ROW(E177:E$2)*(E178=E177:E$2)))))</f>
        <v> </v>
      </c>
      <c r="J178" s="26" t="str">
        <f>IF(OR(E178="",E178="!!!",F178="NEW"),"",COUNTBLANK(OFFSET(A$1,,,SUMPRODUCT(MAX(ROW(E$2:E178)*(E178=E$2:E178)))))-COUNTBLANK(OFFSET(A$1,,,SUMPRODUCT(MAX(ROW(E$1:E177)*(E2=E$1:E177))))))</f>
        <v> </v>
      </c>
      <c r="K178" s="26" t="str">
        <f>IF(OR(E178="",E178="!!!",F178="NEW"),"",INDEX(J$1:J177,SUMPRODUCT(MAX(ROW(E$1:E177)*(E178=E$1:E177)))))</f>
        <v> </v>
      </c>
      <c r="L178" s="27"/>
    </row>
    <row r="179" spans="1:12">
      <c r="A179" s="20" t="s">
        <v>229</v>
      </c>
      <c r="B179" s="21" t="s">
        <v>107</v>
      </c>
      <c r="C179" s="21" t="s">
        <v>142</v>
      </c>
      <c r="E179" s="22">
        <f>IF(D179="?OLD","!!!","")</f>
        <v/>
      </c>
      <c r="F179" s="23" t="str">
        <f>IF(OR(E179="",E179="!!!"),"",IF(NOT(ISNA(VLOOKUP(E179,E$1:E178,1,FALSE()))),"OLD",IF(AND(E179&lt;&gt;"",E179&lt;&gt;"!!!"),"NEW","")))</f>
        <v> </v>
      </c>
      <c r="G179" s="24" t="str">
        <f>IF(OR(E179="",E179="!!!"),"",IF(OR(J179=0,AND(J179=1,K179=1),AND(J179=1,I179="SBJ"),AND(J179=1,I179=0)),"?IN_FOCUS",IF(J179&lt;=2,"?ACTIVATED",IF(J179&lt;&gt;"","?FAMILIAR",IF(F179="NEW",IF(ISNA(VLOOKUP(E179,#REF!,1,FALSE())),"?TYPE_IDENTIFIABLE","?REFERENTIAL"),"_")))))</f>
        <v> </v>
      </c>
      <c r="H179" s="25" t="str">
        <f>IF(J179&lt;&gt;1,"",IF(I179="SBJ","CB","?"))</f>
        <v> </v>
      </c>
      <c r="I179" s="26" t="str">
        <f>IF(OR(E179="",E179="!!!",F179="NEW"),"",INDEX(B178:B$2,-1+SUMPRODUCT(MAX(ROW(E178:E$2)*(E179=E178:E$2)))))</f>
        <v> </v>
      </c>
      <c r="J179" s="26" t="str">
        <f>IF(OR(E179="",E179="!!!",F179="NEW"),"",COUNTBLANK(OFFSET(A$1,,,SUMPRODUCT(MAX(ROW(E$2:E179)*(E179=E$2:E179)))))-COUNTBLANK(OFFSET(A$1,,,SUMPRODUCT(MAX(ROW(E$1:E178)*(E2=E$1:E178))))))</f>
        <v> </v>
      </c>
      <c r="K179" s="26" t="str">
        <f>IF(OR(E179="",E179="!!!",F179="NEW"),"",INDEX(J$1:J178,SUMPRODUCT(MAX(ROW(E$1:E178)*(E179=E$1:E178)))))</f>
        <v> </v>
      </c>
      <c r="L179" s="27"/>
    </row>
    <row r="180" spans="1:12">
      <c r="A180" s="20" t="s">
        <v>230</v>
      </c>
      <c r="E180" s="22">
        <f>IF(D180="?OLD","!!!","")</f>
        <v/>
      </c>
      <c r="F180" s="23" t="str">
        <f>IF(OR(E180="",E180="!!!"),"",IF(NOT(ISNA(VLOOKUP(E180,E$1:E179,1,FALSE()))),"OLD",IF(AND(E180&lt;&gt;"",E180&lt;&gt;"!!!"),"NEW","")))</f>
        <v> </v>
      </c>
      <c r="G180" s="24" t="str">
        <f>IF(OR(E180="",E180="!!!"),"",IF(OR(J180=0,AND(J180=1,K180=1),AND(J180=1,I180="SBJ"),AND(J180=1,I180=0)),"?IN_FOCUS",IF(J180&lt;=2,"?ACTIVATED",IF(J180&lt;&gt;"","?FAMILIAR",IF(F180="NEW",IF(ISNA(VLOOKUP(E180,#REF!,1,FALSE())),"?TYPE_IDENTIFIABLE","?REFERENTIAL"),"_")))))</f>
        <v> </v>
      </c>
      <c r="H180" s="25" t="str">
        <f>IF(J180&lt;&gt;1,"",IF(I180="SBJ","CB","?"))</f>
        <v> </v>
      </c>
      <c r="I180" s="26" t="str">
        <f>IF(OR(E180="",E180="!!!",F180="NEW"),"",INDEX(B179:B$2,-1+SUMPRODUCT(MAX(ROW(E179:E$2)*(E180=E179:E$2)))))</f>
        <v> </v>
      </c>
      <c r="J180" s="26" t="str">
        <f>IF(OR(E180="",E180="!!!",F180="NEW"),"",COUNTBLANK(OFFSET(A$1,,,SUMPRODUCT(MAX(ROW(E$2:E180)*(E180=E$2:E180)))))-COUNTBLANK(OFFSET(A$1,,,SUMPRODUCT(MAX(ROW(E$1:E179)*(E2=E$1:E179))))))</f>
        <v> </v>
      </c>
      <c r="K180" s="26" t="str">
        <f>IF(OR(E180="",E180="!!!",F180="NEW"),"",INDEX(J$1:J179,SUMPRODUCT(MAX(ROW(E$1:E179)*(E180=E$1:E179)))))</f>
        <v> </v>
      </c>
      <c r="L180" s="27"/>
    </row>
    <row r="181" spans="1:12">
      <c r="A181" s="20" t="s">
        <v>137</v>
      </c>
      <c r="E181" s="22">
        <f>IF(D181="?OLD","!!!","")</f>
        <v/>
      </c>
      <c r="F181" s="23" t="str">
        <f>IF(OR(E181="",E181="!!!"),"",IF(NOT(ISNA(VLOOKUP(E181,E$1:E180,1,FALSE()))),"OLD",IF(AND(E181&lt;&gt;"",E181&lt;&gt;"!!!"),"NEW","")))</f>
        <v> </v>
      </c>
      <c r="G181" s="24" t="str">
        <f>IF(OR(E181="",E181="!!!"),"",IF(OR(J181=0,AND(J181=1,K181=1),AND(J181=1,I181="SBJ"),AND(J181=1,I181=0)),"?IN_FOCUS",IF(J181&lt;=2,"?ACTIVATED",IF(J181&lt;&gt;"","?FAMILIAR",IF(F181="NEW",IF(ISNA(VLOOKUP(E181,#REF!,1,FALSE())),"?TYPE_IDENTIFIABLE","?REFERENTIAL"),"_")))))</f>
        <v> </v>
      </c>
      <c r="H181" s="25" t="str">
        <f>IF(J181&lt;&gt;1,"",IF(I181="SBJ","CB","?"))</f>
        <v> </v>
      </c>
      <c r="I181" s="26" t="str">
        <f>IF(OR(E181="",E181="!!!",F181="NEW"),"",INDEX(B180:B$2,-1+SUMPRODUCT(MAX(ROW(E180:E$2)*(E181=E180:E$2)))))</f>
        <v> </v>
      </c>
      <c r="J181" s="26" t="str">
        <f>IF(OR(E181="",E181="!!!",F181="NEW"),"",COUNTBLANK(OFFSET(A$1,,,SUMPRODUCT(MAX(ROW(E$2:E181)*(E181=E$2:E181)))))-COUNTBLANK(OFFSET(A$1,,,SUMPRODUCT(MAX(ROW(E$1:E180)*(E2=E$1:E180))))))</f>
        <v> </v>
      </c>
      <c r="K181" s="26" t="str">
        <f>IF(OR(E181="",E181="!!!",F181="NEW"),"",INDEX(J$1:J180,SUMPRODUCT(MAX(ROW(E$1:E180)*(E181=E$1:E180)))))</f>
        <v> </v>
      </c>
      <c r="L181" s="27"/>
    </row>
    <row r="182" spans="1:12">
      <c r="A182" s="20" t="s">
        <v>231</v>
      </c>
      <c r="E182" s="22">
        <f>IF(D182="?OLD","!!!","")</f>
        <v/>
      </c>
      <c r="F182" s="23" t="str">
        <f>IF(OR(E182="",E182="!!!"),"",IF(NOT(ISNA(VLOOKUP(E182,E$1:E181,1,FALSE()))),"OLD",IF(AND(E182&lt;&gt;"",E182&lt;&gt;"!!!"),"NEW","")))</f>
        <v> </v>
      </c>
      <c r="G182" s="24" t="str">
        <f>IF(OR(E182="",E182="!!!"),"",IF(OR(J182=0,AND(J182=1,K182=1),AND(J182=1,I182="SBJ"),AND(J182=1,I182=0)),"?IN_FOCUS",IF(J182&lt;=2,"?ACTIVATED",IF(J182&lt;&gt;"","?FAMILIAR",IF(F182="NEW",IF(ISNA(VLOOKUP(E182,#REF!,1,FALSE())),"?TYPE_IDENTIFIABLE","?REFERENTIAL"),"_")))))</f>
        <v> </v>
      </c>
      <c r="H182" s="25" t="str">
        <f>IF(J182&lt;&gt;1,"",IF(I182="SBJ","CB","?"))</f>
        <v> </v>
      </c>
      <c r="I182" s="26" t="str">
        <f>IF(OR(E182="",E182="!!!",F182="NEW"),"",INDEX(B181:B$2,-1+SUMPRODUCT(MAX(ROW(E181:E$2)*(E182=E181:E$2)))))</f>
        <v> </v>
      </c>
      <c r="J182" s="26" t="str">
        <f>IF(OR(E182="",E182="!!!",F182="NEW"),"",COUNTBLANK(OFFSET(A$1,,,SUMPRODUCT(MAX(ROW(E$2:E182)*(E182=E$2:E182)))))-COUNTBLANK(OFFSET(A$1,,,SUMPRODUCT(MAX(ROW(E$1:E181)*(E2=E$1:E181))))))</f>
        <v> </v>
      </c>
      <c r="K182" s="26" t="str">
        <f>IF(OR(E182="",E182="!!!",F182="NEW"),"",INDEX(J$1:J181,SUMPRODUCT(MAX(ROW(E$1:E181)*(E182=E$1:E181)))))</f>
        <v> </v>
      </c>
      <c r="L182" s="27"/>
    </row>
    <row r="183" spans="1:12">
      <c r="A183" s="20" t="s">
        <v>155</v>
      </c>
      <c r="E183" s="22">
        <f>IF(D183="?OLD","!!!","")</f>
        <v/>
      </c>
      <c r="F183" s="23" t="str">
        <f>IF(OR(E183="",E183="!!!"),"",IF(NOT(ISNA(VLOOKUP(E183,E$1:E182,1,FALSE()))),"OLD",IF(AND(E183&lt;&gt;"",E183&lt;&gt;"!!!"),"NEW","")))</f>
        <v> </v>
      </c>
      <c r="G183" s="24" t="str">
        <f>IF(OR(E183="",E183="!!!"),"",IF(OR(J183=0,AND(J183=1,K183=1),AND(J183=1,I183="SBJ"),AND(J183=1,I183=0)),"?IN_FOCUS",IF(J183&lt;=2,"?ACTIVATED",IF(J183&lt;&gt;"","?FAMILIAR",IF(F183="NEW",IF(ISNA(VLOOKUP(E183,#REF!,1,FALSE())),"?TYPE_IDENTIFIABLE","?REFERENTIAL"),"_")))))</f>
        <v> </v>
      </c>
      <c r="H183" s="25" t="str">
        <f>IF(J183&lt;&gt;1,"",IF(I183="SBJ","CB","?"))</f>
        <v> </v>
      </c>
      <c r="I183" s="26" t="str">
        <f>IF(OR(E183="",E183="!!!",F183="NEW"),"",INDEX(B182:B$2,-1+SUMPRODUCT(MAX(ROW(E182:E$2)*(E183=E182:E$2)))))</f>
        <v> </v>
      </c>
      <c r="J183" s="26" t="str">
        <f>IF(OR(E183="",E183="!!!",F183="NEW"),"",COUNTBLANK(OFFSET(A$1,,,SUMPRODUCT(MAX(ROW(E$2:E183)*(E183=E$2:E183)))))-COUNTBLANK(OFFSET(A$1,,,SUMPRODUCT(MAX(ROW(E$1:E182)*(E2=E$1:E182))))))</f>
        <v> </v>
      </c>
      <c r="K183" s="26" t="str">
        <f>IF(OR(E183="",E183="!!!",F183="NEW"),"",INDEX(J$1:J182,SUMPRODUCT(MAX(ROW(E$1:E182)*(E183=E$1:E182)))))</f>
        <v> </v>
      </c>
      <c r="L183" s="27"/>
    </row>
    <row r="184" spans="1:12">
      <c r="A184" s="20" t="s">
        <v>177</v>
      </c>
      <c r="E184" s="22">
        <f>IF(D184="?OLD","!!!","")</f>
        <v/>
      </c>
      <c r="F184" s="23" t="str">
        <f>IF(OR(E184="",E184="!!!"),"",IF(NOT(ISNA(VLOOKUP(E184,E$1:E183,1,FALSE()))),"OLD",IF(AND(E184&lt;&gt;"",E184&lt;&gt;"!!!"),"NEW","")))</f>
        <v> </v>
      </c>
      <c r="G184" s="24" t="str">
        <f>IF(OR(E184="",E184="!!!"),"",IF(OR(J184=0,AND(J184=1,K184=1),AND(J184=1,I184="SBJ"),AND(J184=1,I184=0)),"?IN_FOCUS",IF(J184&lt;=2,"?ACTIVATED",IF(J184&lt;&gt;"","?FAMILIAR",IF(F184="NEW",IF(ISNA(VLOOKUP(E184,#REF!,1,FALSE())),"?TYPE_IDENTIFIABLE","?REFERENTIAL"),"_")))))</f>
        <v> </v>
      </c>
      <c r="H184" s="25" t="str">
        <f>IF(J184&lt;&gt;1,"",IF(I184="SBJ","CB","?"))</f>
        <v> </v>
      </c>
      <c r="I184" s="26" t="str">
        <f>IF(OR(E184="",E184="!!!",F184="NEW"),"",INDEX(B183:B$2,-1+SUMPRODUCT(MAX(ROW(E183:E$2)*(E184=E183:E$2)))))</f>
        <v> </v>
      </c>
      <c r="J184" s="26" t="str">
        <f>IF(OR(E184="",E184="!!!",F184="NEW"),"",COUNTBLANK(OFFSET(A$1,,,SUMPRODUCT(MAX(ROW(E$2:E184)*(E184=E$2:E184)))))-COUNTBLANK(OFFSET(A$1,,,SUMPRODUCT(MAX(ROW(E$1:E183)*(E2=E$1:E183))))))</f>
        <v> </v>
      </c>
      <c r="K184" s="26" t="str">
        <f>IF(OR(E184="",E184="!!!",F184="NEW"),"",INDEX(J$1:J183,SUMPRODUCT(MAX(ROW(E$1:E183)*(E184=E$1:E183)))))</f>
        <v> </v>
      </c>
      <c r="L184" s="27"/>
    </row>
    <row r="185" spans="1:12">
      <c r="A185" s="20"/>
    </row>
    <row r="186" spans="1:12">
      <c r="A186" s="20" t="s">
        <v>232</v>
      </c>
    </row>
    <row r="187" spans="1:12">
      <c r="A187" s="20" t="s">
        <v>233</v>
      </c>
      <c r="E187" s="22">
        <f>IF(D187="?OLD","!!!","")</f>
        <v/>
      </c>
      <c r="F187" s="23" t="str">
        <f>IF(OR(E187="",E187="!!!"),"",IF(NOT(ISNA(VLOOKUP(E187,E$1:E186,1,FALSE()))),"OLD",IF(AND(E187&lt;&gt;"",E187&lt;&gt;"!!!"),"NEW","")))</f>
        <v> </v>
      </c>
      <c r="G187" s="24" t="str">
        <f>IF(OR(E187="",E187="!!!"),"",IF(OR(J187=0,AND(J187=1,K187=1),AND(J187=1,I187="SBJ"),AND(J187=1,I187=0)),"?IN_FOCUS",IF(J187&lt;=2,"?ACTIVATED",IF(J187&lt;&gt;"","?FAMILIAR",IF(F187="NEW",IF(ISNA(VLOOKUP(E187,#REF!,1,FALSE())),"?TYPE_IDENTIFIABLE","?REFERENTIAL"),"_")))))</f>
        <v> </v>
      </c>
      <c r="H187" s="25" t="str">
        <f>IF(J187&lt;&gt;1,"",IF(I187="SBJ","CB","?"))</f>
        <v> </v>
      </c>
      <c r="I187" s="26" t="str">
        <f>IF(OR(E187="",E187="!!!",F187="NEW"),"",INDEX(B186:B$2,-1+SUMPRODUCT(MAX(ROW(E186:E$2)*(E187=E186:E$2)))))</f>
        <v> </v>
      </c>
      <c r="J187" s="26" t="str">
        <f>IF(OR(E187="",E187="!!!",F187="NEW"),"",COUNTBLANK(OFFSET(A$1,,,SUMPRODUCT(MAX(ROW(E$2:E187)*(E187=E$2:E187)))))-COUNTBLANK(OFFSET(A$1,,,SUMPRODUCT(MAX(ROW(E$1:E186)*(E2=E$1:E186))))))</f>
        <v> </v>
      </c>
      <c r="K187" s="26" t="str">
        <f>IF(OR(E187="",E187="!!!",F187="NEW"),"",INDEX(J$1:J186,SUMPRODUCT(MAX(ROW(E$1:E186)*(E187=E$1:E186)))))</f>
        <v> </v>
      </c>
      <c r="L187" s="27"/>
    </row>
    <row r="188" spans="1:12">
      <c r="A188" s="20" t="s">
        <v>234</v>
      </c>
      <c r="E188" s="22">
        <f>IF(D188="?OLD","!!!","")</f>
        <v/>
      </c>
      <c r="F188" s="23" t="str">
        <f>IF(OR(E188="",E188="!!!"),"",IF(NOT(ISNA(VLOOKUP(E188,E$1:E187,1,FALSE()))),"OLD",IF(AND(E188&lt;&gt;"",E188&lt;&gt;"!!!"),"NEW","")))</f>
        <v> </v>
      </c>
      <c r="G188" s="24" t="str">
        <f>IF(OR(E188="",E188="!!!"),"",IF(OR(J188=0,AND(J188=1,K188=1),AND(J188=1,I188="SBJ"),AND(J188=1,I188=0)),"?IN_FOCUS",IF(J188&lt;=2,"?ACTIVATED",IF(J188&lt;&gt;"","?FAMILIAR",IF(F188="NEW",IF(ISNA(VLOOKUP(E188,#REF!,1,FALSE())),"?TYPE_IDENTIFIABLE","?REFERENTIAL"),"_")))))</f>
        <v> </v>
      </c>
      <c r="H188" s="25" t="str">
        <f>IF(J188&lt;&gt;1,"",IF(I188="SBJ","CB","?"))</f>
        <v> </v>
      </c>
      <c r="I188" s="26" t="str">
        <f>IF(OR(E188="",E188="!!!",F188="NEW"),"",INDEX(B187:B$2,-1+SUMPRODUCT(MAX(ROW(E187:E$2)*(E188=E187:E$2)))))</f>
        <v> </v>
      </c>
      <c r="J188" s="26" t="str">
        <f>IF(OR(E188="",E188="!!!",F188="NEW"),"",COUNTBLANK(OFFSET(A$1,,,SUMPRODUCT(MAX(ROW(E$2:E188)*(E188=E$2:E188)))))-COUNTBLANK(OFFSET(A$1,,,SUMPRODUCT(MAX(ROW(E$1:E187)*(E2=E$1:E187))))))</f>
        <v> </v>
      </c>
      <c r="K188" s="26" t="str">
        <f>IF(OR(E188="",E188="!!!",F188="NEW"),"",INDEX(J$1:J187,SUMPRODUCT(MAX(ROW(E$1:E187)*(E188=E$1:E187)))))</f>
        <v> </v>
      </c>
      <c r="L188" s="27"/>
    </row>
    <row r="189" spans="1:12">
      <c r="A189" s="20" t="s">
        <v>235</v>
      </c>
      <c r="E189" s="22">
        <f>IF(D189="?OLD","!!!","")</f>
        <v/>
      </c>
      <c r="F189" s="23" t="str">
        <f>IF(OR(E189="",E189="!!!"),"",IF(NOT(ISNA(VLOOKUP(E189,E$1:E188,1,FALSE()))),"OLD",IF(AND(E189&lt;&gt;"",E189&lt;&gt;"!!!"),"NEW","")))</f>
        <v> </v>
      </c>
      <c r="G189" s="24" t="str">
        <f>IF(OR(E189="",E189="!!!"),"",IF(OR(J189=0,AND(J189=1,K189=1),AND(J189=1,I189="SBJ"),AND(J189=1,I189=0)),"?IN_FOCUS",IF(J189&lt;=2,"?ACTIVATED",IF(J189&lt;&gt;"","?FAMILIAR",IF(F189="NEW",IF(ISNA(VLOOKUP(E189,#REF!,1,FALSE())),"?TYPE_IDENTIFIABLE","?REFERENTIAL"),"_")))))</f>
        <v> </v>
      </c>
      <c r="H189" s="25" t="str">
        <f>IF(J189&lt;&gt;1,"",IF(I189="SBJ","CB","?"))</f>
        <v> </v>
      </c>
      <c r="I189" s="26" t="str">
        <f>IF(OR(E189="",E189="!!!",F189="NEW"),"",INDEX(B188:B$2,-1+SUMPRODUCT(MAX(ROW(E188:E$2)*(E189=E188:E$2)))))</f>
        <v> </v>
      </c>
      <c r="J189" s="26" t="str">
        <f>IF(OR(E189="",E189="!!!",F189="NEW"),"",COUNTBLANK(OFFSET(A$1,,,SUMPRODUCT(MAX(ROW(E$2:E189)*(E189=E$2:E189)))))-COUNTBLANK(OFFSET(A$1,,,SUMPRODUCT(MAX(ROW(E$1:E188)*(E2=E$1:E188))))))</f>
        <v> </v>
      </c>
      <c r="K189" s="26" t="str">
        <f>IF(OR(E189="",E189="!!!",F189="NEW"),"",INDEX(J$1:J188,SUMPRODUCT(MAX(ROW(E$1:E188)*(E189=E$1:E188)))))</f>
        <v> </v>
      </c>
      <c r="L189" s="27"/>
    </row>
    <row r="190" spans="1:12">
      <c r="A190" s="20" t="s">
        <v>236</v>
      </c>
      <c r="B190" s="21" t="s">
        <v>161</v>
      </c>
      <c r="C190" s="21" t="s">
        <v>142</v>
      </c>
      <c r="E190" s="22">
        <f>IF(D190="?OLD","!!!","")</f>
        <v/>
      </c>
      <c r="F190" s="23" t="str">
        <f>IF(OR(E190="",E190="!!!"),"",IF(NOT(ISNA(VLOOKUP(E190,E$1:E189,1,FALSE()))),"OLD",IF(AND(E190&lt;&gt;"",E190&lt;&gt;"!!!"),"NEW","")))</f>
        <v> </v>
      </c>
      <c r="G190" s="24" t="str">
        <f>IF(OR(E190="",E190="!!!"),"",IF(OR(J190=0,AND(J190=1,K190=1),AND(J190=1,I190="SBJ"),AND(J190=1,I190=0)),"?IN_FOCUS",IF(J190&lt;=2,"?ACTIVATED",IF(J190&lt;&gt;"","?FAMILIAR",IF(F190="NEW",IF(ISNA(VLOOKUP(E190,#REF!,1,FALSE())),"?TYPE_IDENTIFIABLE","?REFERENTIAL"),"_")))))</f>
        <v> </v>
      </c>
      <c r="H190" s="25" t="str">
        <f>IF(J190&lt;&gt;1,"",IF(I190="SBJ","CB","?"))</f>
        <v> </v>
      </c>
      <c r="I190" s="26" t="str">
        <f>IF(OR(E190="",E190="!!!",F190="NEW"),"",INDEX(B189:B$2,-1+SUMPRODUCT(MAX(ROW(E189:E$2)*(E190=E189:E$2)))))</f>
        <v> </v>
      </c>
      <c r="J190" s="26" t="str">
        <f>IF(OR(E190="",E190="!!!",F190="NEW"),"",COUNTBLANK(OFFSET(A$1,,,SUMPRODUCT(MAX(ROW(E$2:E190)*(E190=E$2:E190)))))-COUNTBLANK(OFFSET(A$1,,,SUMPRODUCT(MAX(ROW(E$1:E189)*(E2=E$1:E189))))))</f>
        <v> </v>
      </c>
      <c r="K190" s="26" t="str">
        <f>IF(OR(E190="",E190="!!!",F190="NEW"),"",INDEX(J$1:J189,SUMPRODUCT(MAX(ROW(E$1:E189)*(E190=E$1:E189)))))</f>
        <v> </v>
      </c>
      <c r="L190" s="27"/>
    </row>
    <row r="191" spans="1:12">
      <c r="A191" s="20" t="s">
        <v>97</v>
      </c>
      <c r="E191" s="22">
        <f>IF(D191="?OLD","!!!","")</f>
        <v/>
      </c>
      <c r="F191" s="23" t="str">
        <f>IF(OR(E191="",E191="!!!"),"",IF(NOT(ISNA(VLOOKUP(E191,E$1:E190,1,FALSE()))),"OLD",IF(AND(E191&lt;&gt;"",E191&lt;&gt;"!!!"),"NEW","")))</f>
        <v> </v>
      </c>
      <c r="G191" s="24" t="str">
        <f>IF(OR(E191="",E191="!!!"),"",IF(OR(J191=0,AND(J191=1,K191=1),AND(J191=1,I191="SBJ"),AND(J191=1,I191=0)),"?IN_FOCUS",IF(J191&lt;=2,"?ACTIVATED",IF(J191&lt;&gt;"","?FAMILIAR",IF(F191="NEW",IF(ISNA(VLOOKUP(E191,#REF!,1,FALSE())),"?TYPE_IDENTIFIABLE","?REFERENTIAL"),"_")))))</f>
        <v> </v>
      </c>
      <c r="H191" s="25" t="str">
        <f>IF(J191&lt;&gt;1,"",IF(I191="SBJ","CB","?"))</f>
        <v> </v>
      </c>
      <c r="I191" s="26" t="str">
        <f>IF(OR(E191="",E191="!!!",F191="NEW"),"",INDEX(B190:B$2,-1+SUMPRODUCT(MAX(ROW(E190:E$2)*(E191=E190:E$2)))))</f>
        <v> </v>
      </c>
      <c r="J191" s="26" t="str">
        <f>IF(OR(E191="",E191="!!!",F191="NEW"),"",COUNTBLANK(OFFSET(A$1,,,SUMPRODUCT(MAX(ROW(E$2:E191)*(E191=E$2:E191)))))-COUNTBLANK(OFFSET(A$1,,,SUMPRODUCT(MAX(ROW(E$1:E190)*(E2=E$1:E190))))))</f>
        <v> </v>
      </c>
      <c r="K191" s="26" t="str">
        <f>IF(OR(E191="",E191="!!!",F191="NEW"),"",INDEX(J$1:J190,SUMPRODUCT(MAX(ROW(E$1:E190)*(E191=E$1:E190)))))</f>
        <v> </v>
      </c>
      <c r="L191" s="27"/>
    </row>
    <row r="192" spans="1:12">
      <c r="A192" s="20" t="s">
        <v>118</v>
      </c>
      <c r="B192" s="21" t="s">
        <v>144</v>
      </c>
      <c r="C192" s="21" t="s">
        <v>101</v>
      </c>
      <c r="D192" s="21" t="s">
        <v>102</v>
      </c>
      <c r="E192" s="22">
        <f>IF(D192="?OLD","!!!","")</f>
        <v/>
      </c>
      <c r="F192" s="23" t="str">
        <f>IF(OR(E192="",E192="!!!"),"",IF(NOT(ISNA(VLOOKUP(E192,E$1:E191,1,FALSE()))),"OLD",IF(AND(E192&lt;&gt;"",E192&lt;&gt;"!!!"),"NEW","")))</f>
        <v> </v>
      </c>
      <c r="G192" s="24" t="str">
        <f>IF(OR(E192="",E192="!!!"),"",IF(OR(J192=0,AND(J192=1,K192=1),AND(J192=1,I192="SBJ"),AND(J192=1,I192=0)),"?IN_FOCUS",IF(J192&lt;=2,"?ACTIVATED",IF(J192&lt;&gt;"","?FAMILIAR",IF(F192="NEW",IF(ISNA(VLOOKUP(E192,#REF!,1,FALSE())),"?TYPE_IDENTIFIABLE","?REFERENTIAL"),"_")))))</f>
        <v> </v>
      </c>
      <c r="H192" s="25" t="str">
        <f>IF(J192&lt;&gt;1,"",IF(I192="SBJ","CB","?"))</f>
        <v> </v>
      </c>
      <c r="I192" s="26" t="str">
        <f>IF(OR(E192="",E192="!!!",F192="NEW"),"",INDEX(B191:B$2,-1+SUMPRODUCT(MAX(ROW(E191:E$2)*(E192=E191:E$2)))))</f>
        <v> </v>
      </c>
      <c r="J192" s="26" t="str">
        <f>IF(OR(E192="",E192="!!!",F192="NEW"),"",COUNTBLANK(OFFSET(A$1,,,SUMPRODUCT(MAX(ROW(E$2:E192)*(E192=E$2:E192)))))-COUNTBLANK(OFFSET(A$1,,,SUMPRODUCT(MAX(ROW(E$1:E191)*(E2=E$1:E191))))))</f>
        <v> </v>
      </c>
      <c r="K192" s="26" t="str">
        <f>IF(OR(E192="",E192="!!!",F192="NEW"),"",INDEX(J$1:J191,SUMPRODUCT(MAX(ROW(E$1:E191)*(E192=E$1:E191)))))</f>
        <v> </v>
      </c>
      <c r="L192" s="27"/>
    </row>
    <row r="193" spans="1:12">
      <c r="A193" s="20" t="s">
        <v>237</v>
      </c>
      <c r="E193" s="22">
        <f>IF(D193="?OLD","!!!","")</f>
        <v/>
      </c>
      <c r="F193" s="23" t="str">
        <f>IF(OR(E193="",E193="!!!"),"",IF(NOT(ISNA(VLOOKUP(E193,E$1:E192,1,FALSE()))),"OLD",IF(AND(E193&lt;&gt;"",E193&lt;&gt;"!!!"),"NEW","")))</f>
        <v> </v>
      </c>
      <c r="G193" s="24" t="str">
        <f>IF(OR(E193="",E193="!!!"),"",IF(OR(J193=0,AND(J193=1,K193=1),AND(J193=1,I193="SBJ"),AND(J193=1,I193=0)),"?IN_FOCUS",IF(J193&lt;=2,"?ACTIVATED",IF(J193&lt;&gt;"","?FAMILIAR",IF(F193="NEW",IF(ISNA(VLOOKUP(E193,#REF!,1,FALSE())),"?TYPE_IDENTIFIABLE","?REFERENTIAL"),"_")))))</f>
        <v> </v>
      </c>
      <c r="H193" s="25" t="str">
        <f>IF(J193&lt;&gt;1,"",IF(I193="SBJ","CB","?"))</f>
        <v> </v>
      </c>
      <c r="I193" s="26" t="str">
        <f>IF(OR(E193="",E193="!!!",F193="NEW"),"",INDEX(B192:B$2,-1+SUMPRODUCT(MAX(ROW(E192:E$2)*(E193=E192:E$2)))))</f>
        <v> </v>
      </c>
      <c r="J193" s="26" t="str">
        <f>IF(OR(E193="",E193="!!!",F193="NEW"),"",COUNTBLANK(OFFSET(A$1,,,SUMPRODUCT(MAX(ROW(E$2:E193)*(E193=E$2:E193)))))-COUNTBLANK(OFFSET(A$1,,,SUMPRODUCT(MAX(ROW(E$1:E192)*(E2=E$1:E192))))))</f>
        <v> </v>
      </c>
      <c r="K193" s="26" t="str">
        <f>IF(OR(E193="",E193="!!!",F193="NEW"),"",INDEX(J$1:J192,SUMPRODUCT(MAX(ROW(E$1:E192)*(E193=E$1:E192)))))</f>
        <v> </v>
      </c>
      <c r="L193" s="27"/>
    </row>
    <row r="194" spans="1:12">
      <c r="A194" s="20" t="s">
        <v>238</v>
      </c>
      <c r="E194" s="22">
        <f>IF(D194="?OLD","!!!","")</f>
        <v/>
      </c>
      <c r="F194" s="23" t="str">
        <f>IF(OR(E194="",E194="!!!"),"",IF(NOT(ISNA(VLOOKUP(E194,E$1:E193,1,FALSE()))),"OLD",IF(AND(E194&lt;&gt;"",E194&lt;&gt;"!!!"),"NEW","")))</f>
        <v> </v>
      </c>
      <c r="G194" s="24" t="str">
        <f>IF(OR(E194="",E194="!!!"),"",IF(OR(J194=0,AND(J194=1,K194=1),AND(J194=1,I194="SBJ"),AND(J194=1,I194=0)),"?IN_FOCUS",IF(J194&lt;=2,"?ACTIVATED",IF(J194&lt;&gt;"","?FAMILIAR",IF(F194="NEW",IF(ISNA(VLOOKUP(E194,#REF!,1,FALSE())),"?TYPE_IDENTIFIABLE","?REFERENTIAL"),"_")))))</f>
        <v> </v>
      </c>
      <c r="H194" s="25" t="str">
        <f>IF(J194&lt;&gt;1,"",IF(I194="SBJ","CB","?"))</f>
        <v> </v>
      </c>
      <c r="I194" s="26" t="str">
        <f>IF(OR(E194="",E194="!!!",F194="NEW"),"",INDEX(B193:B$2,-1+SUMPRODUCT(MAX(ROW(E193:E$2)*(E194=E193:E$2)))))</f>
        <v> </v>
      </c>
      <c r="J194" s="26" t="str">
        <f>IF(OR(E194="",E194="!!!",F194="NEW"),"",COUNTBLANK(OFFSET(A$1,,,SUMPRODUCT(MAX(ROW(E$2:E194)*(E194=E$2:E194)))))-COUNTBLANK(OFFSET(A$1,,,SUMPRODUCT(MAX(ROW(E$1:E193)*(E2=E$1:E193))))))</f>
        <v> </v>
      </c>
      <c r="K194" s="26" t="str">
        <f>IF(OR(E194="",E194="!!!",F194="NEW"),"",INDEX(J$1:J193,SUMPRODUCT(MAX(ROW(E$1:E193)*(E194=E$1:E193)))))</f>
        <v> </v>
      </c>
      <c r="L194" s="27"/>
    </row>
    <row r="195" spans="1:12">
      <c r="A195" s="20" t="s">
        <v>97</v>
      </c>
      <c r="E195" s="22">
        <f>IF(D195="?OLD","!!!","")</f>
        <v/>
      </c>
      <c r="F195" s="23" t="str">
        <f>IF(OR(E195="",E195="!!!"),"",IF(NOT(ISNA(VLOOKUP(E195,E$1:E194,1,FALSE()))),"OLD",IF(AND(E195&lt;&gt;"",E195&lt;&gt;"!!!"),"NEW","")))</f>
        <v> </v>
      </c>
      <c r="G195" s="24" t="str">
        <f>IF(OR(E195="",E195="!!!"),"",IF(OR(J195=0,AND(J195=1,K195=1),AND(J195=1,I195="SBJ"),AND(J195=1,I195=0)),"?IN_FOCUS",IF(J195&lt;=2,"?ACTIVATED",IF(J195&lt;&gt;"","?FAMILIAR",IF(F195="NEW",IF(ISNA(VLOOKUP(E195,#REF!,1,FALSE())),"?TYPE_IDENTIFIABLE","?REFERENTIAL"),"_")))))</f>
        <v> </v>
      </c>
      <c r="H195" s="25" t="str">
        <f>IF(J195&lt;&gt;1,"",IF(I195="SBJ","CB","?"))</f>
        <v> </v>
      </c>
      <c r="I195" s="26" t="str">
        <f>IF(OR(E195="",E195="!!!",F195="NEW"),"",INDEX(B194:B$2,-1+SUMPRODUCT(MAX(ROW(E194:E$2)*(E195=E194:E$2)))))</f>
        <v> </v>
      </c>
      <c r="J195" s="26" t="str">
        <f>IF(OR(E195="",E195="!!!",F195="NEW"),"",COUNTBLANK(OFFSET(A$1,,,SUMPRODUCT(MAX(ROW(E$2:E195)*(E195=E$2:E195)))))-COUNTBLANK(OFFSET(A$1,,,SUMPRODUCT(MAX(ROW(E$1:E194)*(E2=E$1:E194))))))</f>
        <v> </v>
      </c>
      <c r="K195" s="26" t="str">
        <f>IF(OR(E195="",E195="!!!",F195="NEW"),"",INDEX(J$1:J194,SUMPRODUCT(MAX(ROW(E$1:E194)*(E195=E$1:E194)))))</f>
        <v> </v>
      </c>
      <c r="L195" s="27"/>
    </row>
    <row r="196" spans="1:12">
      <c r="A196" s="20" t="s">
        <v>239</v>
      </c>
      <c r="E196" s="22">
        <f>IF(D196="?OLD","!!!","")</f>
        <v/>
      </c>
      <c r="F196" s="23" t="str">
        <f>IF(OR(E196="",E196="!!!"),"",IF(NOT(ISNA(VLOOKUP(E196,E$1:E195,1,FALSE()))),"OLD",IF(AND(E196&lt;&gt;"",E196&lt;&gt;"!!!"),"NEW","")))</f>
        <v> </v>
      </c>
      <c r="G196" s="24" t="str">
        <f>IF(OR(E196="",E196="!!!"),"",IF(OR(J196=0,AND(J196=1,K196=1),AND(J196=1,I196="SBJ"),AND(J196=1,I196=0)),"?IN_FOCUS",IF(J196&lt;=2,"?ACTIVATED",IF(J196&lt;&gt;"","?FAMILIAR",IF(F196="NEW",IF(ISNA(VLOOKUP(E196,#REF!,1,FALSE())),"?TYPE_IDENTIFIABLE","?REFERENTIAL"),"_")))))</f>
        <v> </v>
      </c>
      <c r="H196" s="25" t="str">
        <f>IF(J196&lt;&gt;1,"",IF(I196="SBJ","CB","?"))</f>
        <v> </v>
      </c>
      <c r="I196" s="26" t="str">
        <f>IF(OR(E196="",E196="!!!",F196="NEW"),"",INDEX(B195:B$2,-1+SUMPRODUCT(MAX(ROW(E195:E$2)*(E196=E195:E$2)))))</f>
        <v> </v>
      </c>
      <c r="J196" s="26" t="str">
        <f>IF(OR(E196="",E196="!!!",F196="NEW"),"",COUNTBLANK(OFFSET(A$1,,,SUMPRODUCT(MAX(ROW(E$2:E196)*(E196=E$2:E196)))))-COUNTBLANK(OFFSET(A$1,,,SUMPRODUCT(MAX(ROW(E$1:E195)*(E2=E$1:E195))))))</f>
        <v> </v>
      </c>
      <c r="K196" s="26" t="str">
        <f>IF(OR(E196="",E196="!!!",F196="NEW"),"",INDEX(J$1:J195,SUMPRODUCT(MAX(ROW(E$1:E195)*(E196=E$1:E195)))))</f>
        <v> </v>
      </c>
      <c r="L196" s="27"/>
    </row>
    <row r="197" spans="1:12">
      <c r="A197" s="20" t="s">
        <v>118</v>
      </c>
      <c r="E197" s="22">
        <f>IF(D197="?OLD","!!!","")</f>
        <v/>
      </c>
      <c r="F197" s="23" t="str">
        <f>IF(OR(E197="",E197="!!!"),"",IF(NOT(ISNA(VLOOKUP(E197,E$1:E196,1,FALSE()))),"OLD",IF(AND(E197&lt;&gt;"",E197&lt;&gt;"!!!"),"NEW","")))</f>
        <v> </v>
      </c>
      <c r="G197" s="24" t="str">
        <f>IF(OR(E197="",E197="!!!"),"",IF(OR(J197=0,AND(J197=1,K197=1),AND(J197=1,I197="SBJ"),AND(J197=1,I197=0)),"?IN_FOCUS",IF(J197&lt;=2,"?ACTIVATED",IF(J197&lt;&gt;"","?FAMILIAR",IF(F197="NEW",IF(ISNA(VLOOKUP(E197,#REF!,1,FALSE())),"?TYPE_IDENTIFIABLE","?REFERENTIAL"),"_")))))</f>
        <v> </v>
      </c>
      <c r="H197" s="25" t="str">
        <f>IF(J197&lt;&gt;1,"",IF(I197="SBJ","CB","?"))</f>
        <v> </v>
      </c>
      <c r="I197" s="26" t="str">
        <f>IF(OR(E197="",E197="!!!",F197="NEW"),"",INDEX(B196:B$2,-1+SUMPRODUCT(MAX(ROW(E196:E$2)*(E197=E196:E$2)))))</f>
        <v> </v>
      </c>
      <c r="J197" s="26" t="str">
        <f>IF(OR(E197="",E197="!!!",F197="NEW"),"",COUNTBLANK(OFFSET(A$1,,,SUMPRODUCT(MAX(ROW(E$2:E197)*(E197=E$2:E197)))))-COUNTBLANK(OFFSET(A$1,,,SUMPRODUCT(MAX(ROW(E$1:E196)*(E2=E$1:E196))))))</f>
        <v> </v>
      </c>
      <c r="K197" s="26" t="str">
        <f>IF(OR(E197="",E197="!!!",F197="NEW"),"",INDEX(J$1:J196,SUMPRODUCT(MAX(ROW(E$1:E196)*(E197=E$1:E196)))))</f>
        <v> </v>
      </c>
      <c r="L197" s="27"/>
    </row>
    <row r="198" spans="1:12">
      <c r="A198" s="20" t="s">
        <v>240</v>
      </c>
      <c r="E198" s="22">
        <f>IF(D198="?OLD","!!!","")</f>
        <v/>
      </c>
      <c r="F198" s="23" t="str">
        <f>IF(OR(E198="",E198="!!!"),"",IF(NOT(ISNA(VLOOKUP(E198,E$1:E197,1,FALSE()))),"OLD",IF(AND(E198&lt;&gt;"",E198&lt;&gt;"!!!"),"NEW","")))</f>
        <v> </v>
      </c>
      <c r="G198" s="24" t="str">
        <f>IF(OR(E198="",E198="!!!"),"",IF(OR(J198=0,AND(J198=1,K198=1),AND(J198=1,I198="SBJ"),AND(J198=1,I198=0)),"?IN_FOCUS",IF(J198&lt;=2,"?ACTIVATED",IF(J198&lt;&gt;"","?FAMILIAR",IF(F198="NEW",IF(ISNA(VLOOKUP(E198,#REF!,1,FALSE())),"?TYPE_IDENTIFIABLE","?REFERENTIAL"),"_")))))</f>
        <v> </v>
      </c>
      <c r="H198" s="25" t="str">
        <f>IF(J198&lt;&gt;1,"",IF(I198="SBJ","CB","?"))</f>
        <v> </v>
      </c>
      <c r="I198" s="26" t="str">
        <f>IF(OR(E198="",E198="!!!",F198="NEW"),"",INDEX(B197:B$2,-1+SUMPRODUCT(MAX(ROW(E197:E$2)*(E198=E197:E$2)))))</f>
        <v> </v>
      </c>
      <c r="J198" s="26" t="str">
        <f>IF(OR(E198="",E198="!!!",F198="NEW"),"",COUNTBLANK(OFFSET(A$1,,,SUMPRODUCT(MAX(ROW(E$2:E198)*(E198=E$2:E198)))))-COUNTBLANK(OFFSET(A$1,,,SUMPRODUCT(MAX(ROW(E$1:E197)*(E2=E$1:E197))))))</f>
        <v> </v>
      </c>
      <c r="K198" s="26" t="str">
        <f>IF(OR(E198="",E198="!!!",F198="NEW"),"",INDEX(J$1:J197,SUMPRODUCT(MAX(ROW(E$1:E197)*(E198=E$1:E197)))))</f>
        <v> </v>
      </c>
      <c r="L198" s="27"/>
    </row>
    <row r="199" spans="1:12">
      <c r="A199" s="20" t="s">
        <v>241</v>
      </c>
      <c r="B199" s="21" t="s">
        <v>146</v>
      </c>
      <c r="C199" s="21" t="s">
        <v>112</v>
      </c>
      <c r="D199" s="21" t="s">
        <v>102</v>
      </c>
      <c r="E199" s="22">
        <f>IF(D199="?OLD","!!!","")</f>
        <v/>
      </c>
      <c r="F199" s="23" t="str">
        <f>IF(OR(E199="",E199="!!!"),"",IF(NOT(ISNA(VLOOKUP(E199,E$1:E198,1,FALSE()))),"OLD",IF(AND(E199&lt;&gt;"",E199&lt;&gt;"!!!"),"NEW","")))</f>
        <v> </v>
      </c>
      <c r="G199" s="24" t="str">
        <f>IF(OR(E199="",E199="!!!"),"",IF(OR(J199=0,AND(J199=1,K199=1),AND(J199=1,I199="SBJ"),AND(J199=1,I199=0)),"?IN_FOCUS",IF(J199&lt;=2,"?ACTIVATED",IF(J199&lt;&gt;"","?FAMILIAR",IF(F199="NEW",IF(ISNA(VLOOKUP(E199,#REF!,1,FALSE())),"?TYPE_IDENTIFIABLE","?REFERENTIAL"),"_")))))</f>
        <v> </v>
      </c>
      <c r="H199" s="25" t="str">
        <f>IF(J199&lt;&gt;1,"",IF(I199="SBJ","CB","?"))</f>
        <v> </v>
      </c>
      <c r="I199" s="26" t="str">
        <f>IF(OR(E199="",E199="!!!",F199="NEW"),"",INDEX(B198:B$2,-1+SUMPRODUCT(MAX(ROW(E198:E$2)*(E199=E198:E$2)))))</f>
        <v> </v>
      </c>
      <c r="J199" s="26" t="str">
        <f>IF(OR(E199="",E199="!!!",F199="NEW"),"",COUNTBLANK(OFFSET(A$1,,,SUMPRODUCT(MAX(ROW(E$2:E199)*(E199=E$2:E199)))))-COUNTBLANK(OFFSET(A$1,,,SUMPRODUCT(MAX(ROW(E$1:E198)*(E2=E$1:E198))))))</f>
        <v> </v>
      </c>
      <c r="K199" s="26" t="str">
        <f>IF(OR(E199="",E199="!!!",F199="NEW"),"",INDEX(J$1:J198,SUMPRODUCT(MAX(ROW(E$1:E198)*(E199=E$1:E198)))))</f>
        <v> </v>
      </c>
      <c r="L199" s="27"/>
    </row>
    <row r="200" spans="1:12">
      <c r="A200" s="20" t="s">
        <v>242</v>
      </c>
      <c r="E200" s="22">
        <f>IF(D200="?OLD","!!!","")</f>
        <v/>
      </c>
      <c r="F200" s="23" t="str">
        <f>IF(OR(E200="",E200="!!!"),"",IF(NOT(ISNA(VLOOKUP(E200,E$1:E199,1,FALSE()))),"OLD",IF(AND(E200&lt;&gt;"",E200&lt;&gt;"!!!"),"NEW","")))</f>
        <v> </v>
      </c>
      <c r="G200" s="24" t="str">
        <f>IF(OR(E200="",E200="!!!"),"",IF(OR(J200=0,AND(J200=1,K200=1),AND(J200=1,I200="SBJ"),AND(J200=1,I200=0)),"?IN_FOCUS",IF(J200&lt;=2,"?ACTIVATED",IF(J200&lt;&gt;"","?FAMILIAR",IF(F200="NEW",IF(ISNA(VLOOKUP(E200,#REF!,1,FALSE())),"?TYPE_IDENTIFIABLE","?REFERENTIAL"),"_")))))</f>
        <v> </v>
      </c>
      <c r="H200" s="25" t="str">
        <f>IF(J200&lt;&gt;1,"",IF(I200="SBJ","CB","?"))</f>
        <v> </v>
      </c>
      <c r="I200" s="26" t="str">
        <f>IF(OR(E200="",E200="!!!",F200="NEW"),"",INDEX(B199:B$2,-1+SUMPRODUCT(MAX(ROW(E199:E$2)*(E200=E199:E$2)))))</f>
        <v> </v>
      </c>
      <c r="J200" s="26" t="str">
        <f>IF(OR(E200="",E200="!!!",F200="NEW"),"",COUNTBLANK(OFFSET(A$1,,,SUMPRODUCT(MAX(ROW(E$2:E200)*(E200=E$2:E200)))))-COUNTBLANK(OFFSET(A$1,,,SUMPRODUCT(MAX(ROW(E$1:E199)*(E2=E$1:E199))))))</f>
        <v> </v>
      </c>
      <c r="K200" s="26" t="str">
        <f>IF(OR(E200="",E200="!!!",F200="NEW"),"",INDEX(J$1:J199,SUMPRODUCT(MAX(ROW(E$1:E199)*(E200=E$1:E199)))))</f>
        <v> </v>
      </c>
      <c r="L200" s="27"/>
    </row>
    <row r="201" spans="1:12">
      <c r="A201" s="20" t="s">
        <v>243</v>
      </c>
      <c r="B201" s="21" t="s">
        <v>244</v>
      </c>
      <c r="C201" s="21" t="s">
        <v>92</v>
      </c>
      <c r="E201" s="22">
        <f>IF(D201="?OLD","!!!","")</f>
        <v/>
      </c>
      <c r="F201" s="23" t="str">
        <f>IF(OR(E201="",E201="!!!"),"",IF(NOT(ISNA(VLOOKUP(E201,E$1:E200,1,FALSE()))),"OLD",IF(AND(E201&lt;&gt;"",E201&lt;&gt;"!!!"),"NEW","")))</f>
        <v> </v>
      </c>
      <c r="G201" s="24" t="str">
        <f>IF(OR(E201="",E201="!!!"),"",IF(OR(J201=0,AND(J201=1,K201=1),AND(J201=1,I201="SBJ"),AND(J201=1,I201=0)),"?IN_FOCUS",IF(J201&lt;=2,"?ACTIVATED",IF(J201&lt;&gt;"","?FAMILIAR",IF(F201="NEW",IF(ISNA(VLOOKUP(E201,#REF!,1,FALSE())),"?TYPE_IDENTIFIABLE","?REFERENTIAL"),"_")))))</f>
        <v> </v>
      </c>
      <c r="H201" s="25" t="str">
        <f>IF(J201&lt;&gt;1,"",IF(I201="SBJ","CB","?"))</f>
        <v> </v>
      </c>
      <c r="I201" s="26" t="str">
        <f>IF(OR(E201="",E201="!!!",F201="NEW"),"",INDEX(B200:B$2,-1+SUMPRODUCT(MAX(ROW(E200:E$2)*(E201=E200:E$2)))))</f>
        <v> </v>
      </c>
      <c r="J201" s="26" t="str">
        <f>IF(OR(E201="",E201="!!!",F201="NEW"),"",COUNTBLANK(OFFSET(A$1,,,SUMPRODUCT(MAX(ROW(E$2:E201)*(E201=E$2:E201)))))-COUNTBLANK(OFFSET(A$1,,,SUMPRODUCT(MAX(ROW(E$1:E200)*(E2=E$1:E200))))))</f>
        <v> </v>
      </c>
      <c r="K201" s="26" t="str">
        <f>IF(OR(E201="",E201="!!!",F201="NEW"),"",INDEX(J$1:J200,SUMPRODUCT(MAX(ROW(E$1:E200)*(E201=E$1:E200)))))</f>
        <v> </v>
      </c>
      <c r="L201" s="27"/>
    </row>
    <row r="202" spans="1:12">
      <c r="A202" s="20" t="s">
        <v>245</v>
      </c>
      <c r="E202" s="22">
        <f>IF(D202="?OLD","!!!","")</f>
        <v/>
      </c>
      <c r="F202" s="23" t="str">
        <f>IF(OR(E202="",E202="!!!"),"",IF(NOT(ISNA(VLOOKUP(E202,E$1:E201,1,FALSE()))),"OLD",IF(AND(E202&lt;&gt;"",E202&lt;&gt;"!!!"),"NEW","")))</f>
        <v> </v>
      </c>
      <c r="G202" s="24" t="str">
        <f>IF(OR(E202="",E202="!!!"),"",IF(OR(J202=0,AND(J202=1,K202=1),AND(J202=1,I202="SBJ"),AND(J202=1,I202=0)),"?IN_FOCUS",IF(J202&lt;=2,"?ACTIVATED",IF(J202&lt;&gt;"","?FAMILIAR",IF(F202="NEW",IF(ISNA(VLOOKUP(E202,#REF!,1,FALSE())),"?TYPE_IDENTIFIABLE","?REFERENTIAL"),"_")))))</f>
        <v> </v>
      </c>
      <c r="H202" s="25" t="str">
        <f>IF(J202&lt;&gt;1,"",IF(I202="SBJ","CB","?"))</f>
        <v> </v>
      </c>
      <c r="I202" s="26" t="str">
        <f>IF(OR(E202="",E202="!!!",F202="NEW"),"",INDEX(B201:B$2,-1+SUMPRODUCT(MAX(ROW(E201:E$2)*(E202=E201:E$2)))))</f>
        <v> </v>
      </c>
      <c r="J202" s="26" t="str">
        <f>IF(OR(E202="",E202="!!!",F202="NEW"),"",COUNTBLANK(OFFSET(A$1,,,SUMPRODUCT(MAX(ROW(E$2:E202)*(E202=E$2:E202)))))-COUNTBLANK(OFFSET(A$1,,,SUMPRODUCT(MAX(ROW(E$1:E201)*(E2=E$1:E201))))))</f>
        <v> </v>
      </c>
      <c r="K202" s="26" t="str">
        <f>IF(OR(E202="",E202="!!!",F202="NEW"),"",INDEX(J$1:J201,SUMPRODUCT(MAX(ROW(E$1:E201)*(E202=E$1:E201)))))</f>
        <v> </v>
      </c>
      <c r="L202" s="27"/>
    </row>
    <row r="203" spans="1:12">
      <c r="A203" s="20" t="s">
        <v>115</v>
      </c>
      <c r="E203" s="22">
        <f>IF(D203="?OLD","!!!","")</f>
        <v/>
      </c>
      <c r="F203" s="23" t="str">
        <f>IF(OR(E203="",E203="!!!"),"",IF(NOT(ISNA(VLOOKUP(E203,E$1:E202,1,FALSE()))),"OLD",IF(AND(E203&lt;&gt;"",E203&lt;&gt;"!!!"),"NEW","")))</f>
        <v> </v>
      </c>
      <c r="G203" s="24" t="str">
        <f>IF(OR(E203="",E203="!!!"),"",IF(OR(J203=0,AND(J203=1,K203=1),AND(J203=1,I203="SBJ"),AND(J203=1,I203=0)),"?IN_FOCUS",IF(J203&lt;=2,"?ACTIVATED",IF(J203&lt;&gt;"","?FAMILIAR",IF(F203="NEW",IF(ISNA(VLOOKUP(E203,#REF!,1,FALSE())),"?TYPE_IDENTIFIABLE","?REFERENTIAL"),"_")))))</f>
        <v> </v>
      </c>
      <c r="H203" s="25" t="str">
        <f>IF(J203&lt;&gt;1,"",IF(I203="SBJ","CB","?"))</f>
        <v> </v>
      </c>
      <c r="I203" s="26" t="str">
        <f>IF(OR(E203="",E203="!!!",F203="NEW"),"",INDEX(B202:B$2,-1+SUMPRODUCT(MAX(ROW(E202:E$2)*(E203=E202:E$2)))))</f>
        <v> </v>
      </c>
      <c r="J203" s="26" t="str">
        <f>IF(OR(E203="",E203="!!!",F203="NEW"),"",COUNTBLANK(OFFSET(A$1,,,SUMPRODUCT(MAX(ROW(E$2:E203)*(E203=E$2:E203)))))-COUNTBLANK(OFFSET(A$1,,,SUMPRODUCT(MAX(ROW(E$1:E202)*(E2=E$1:E202))))))</f>
        <v> </v>
      </c>
      <c r="K203" s="26" t="str">
        <f>IF(OR(E203="",E203="!!!",F203="NEW"),"",INDEX(J$1:J202,SUMPRODUCT(MAX(ROW(E$1:E202)*(E203=E$1:E202)))))</f>
        <v> </v>
      </c>
      <c r="L203" s="27"/>
    </row>
    <row r="204" spans="1:12">
      <c r="A204" s="20" t="s">
        <v>193</v>
      </c>
      <c r="E204" s="22">
        <f>IF(D204="?OLD","!!!","")</f>
        <v/>
      </c>
      <c r="F204" s="23" t="str">
        <f>IF(OR(E204="",E204="!!!"),"",IF(NOT(ISNA(VLOOKUP(E204,E$1:E203,1,FALSE()))),"OLD",IF(AND(E204&lt;&gt;"",E204&lt;&gt;"!!!"),"NEW","")))</f>
        <v> </v>
      </c>
      <c r="G204" s="24" t="str">
        <f>IF(OR(E204="",E204="!!!"),"",IF(OR(J204=0,AND(J204=1,K204=1),AND(J204=1,I204="SBJ"),AND(J204=1,I204=0)),"?IN_FOCUS",IF(J204&lt;=2,"?ACTIVATED",IF(J204&lt;&gt;"","?FAMILIAR",IF(F204="NEW",IF(ISNA(VLOOKUP(E204,#REF!,1,FALSE())),"?TYPE_IDENTIFIABLE","?REFERENTIAL"),"_")))))</f>
        <v> </v>
      </c>
      <c r="H204" s="25" t="str">
        <f>IF(J204&lt;&gt;1,"",IF(I204="SBJ","CB","?"))</f>
        <v> </v>
      </c>
      <c r="I204" s="26" t="str">
        <f>IF(OR(E204="",E204="!!!",F204="NEW"),"",INDEX(B203:B$2,-1+SUMPRODUCT(MAX(ROW(E203:E$2)*(E204=E203:E$2)))))</f>
        <v> </v>
      </c>
      <c r="J204" s="26" t="str">
        <f>IF(OR(E204="",E204="!!!",F204="NEW"),"",COUNTBLANK(OFFSET(A$1,,,SUMPRODUCT(MAX(ROW(E$2:E204)*(E204=E$2:E204)))))-COUNTBLANK(OFFSET(A$1,,,SUMPRODUCT(MAX(ROW(E$1:E203)*(E2=E$1:E203))))))</f>
        <v> </v>
      </c>
      <c r="K204" s="26" t="str">
        <f>IF(OR(E204="",E204="!!!",F204="NEW"),"",INDEX(J$1:J203,SUMPRODUCT(MAX(ROW(E$1:E203)*(E204=E$1:E203)))))</f>
        <v> </v>
      </c>
      <c r="L204" s="27"/>
    </row>
    <row r="205" spans="1:12">
      <c r="A205" s="20" t="s">
        <v>166</v>
      </c>
      <c r="B205" s="21" t="s">
        <v>127</v>
      </c>
      <c r="C205" s="21" t="s">
        <v>112</v>
      </c>
      <c r="D205" s="21" t="s">
        <v>102</v>
      </c>
      <c r="E205" s="22">
        <f>IF(D205="?OLD","!!!","")</f>
        <v/>
      </c>
      <c r="F205" s="23" t="str">
        <f>IF(OR(E205="",E205="!!!"),"",IF(NOT(ISNA(VLOOKUP(E205,E$1:E204,1,FALSE()))),"OLD",IF(AND(E205&lt;&gt;"",E205&lt;&gt;"!!!"),"NEW","")))</f>
        <v> </v>
      </c>
      <c r="G205" s="24" t="str">
        <f>IF(OR(E205="",E205="!!!"),"",IF(OR(J205=0,AND(J205=1,K205=1),AND(J205=1,I205="SBJ"),AND(J205=1,I205=0)),"?IN_FOCUS",IF(J205&lt;=2,"?ACTIVATED",IF(J205&lt;&gt;"","?FAMILIAR",IF(F205="NEW",IF(ISNA(VLOOKUP(E205,#REF!,1,FALSE())),"?TYPE_IDENTIFIABLE","?REFERENTIAL"),"_")))))</f>
        <v> </v>
      </c>
      <c r="H205" s="25" t="str">
        <f>IF(J205&lt;&gt;1,"",IF(I205="SBJ","CB","?"))</f>
        <v> </v>
      </c>
      <c r="I205" s="26" t="str">
        <f>IF(OR(E205="",E205="!!!",F205="NEW"),"",INDEX(B204:B$2,-1+SUMPRODUCT(MAX(ROW(E204:E$2)*(E205=E204:E$2)))))</f>
        <v> </v>
      </c>
      <c r="J205" s="26" t="str">
        <f>IF(OR(E205="",E205="!!!",F205="NEW"),"",COUNTBLANK(OFFSET(A$1,,,SUMPRODUCT(MAX(ROW(E$2:E205)*(E205=E$2:E205)))))-COUNTBLANK(OFFSET(A$1,,,SUMPRODUCT(MAX(ROW(E$1:E204)*(E2=E$1:E204))))))</f>
        <v> </v>
      </c>
      <c r="K205" s="26" t="str">
        <f>IF(OR(E205="",E205="!!!",F205="NEW"),"",INDEX(J$1:J204,SUMPRODUCT(MAX(ROW(E$1:E204)*(E205=E$1:E204)))))</f>
        <v> </v>
      </c>
      <c r="L205" s="27"/>
    </row>
    <row r="206" spans="1:12">
      <c r="A206" s="20" t="s">
        <v>246</v>
      </c>
      <c r="E206" s="22">
        <f>IF(D206="?OLD","!!!","")</f>
        <v/>
      </c>
      <c r="F206" s="23" t="str">
        <f>IF(OR(E206="",E206="!!!"),"",IF(NOT(ISNA(VLOOKUP(E206,E$1:E205,1,FALSE()))),"OLD",IF(AND(E206&lt;&gt;"",E206&lt;&gt;"!!!"),"NEW","")))</f>
        <v> </v>
      </c>
      <c r="G206" s="24" t="str">
        <f>IF(OR(E206="",E206="!!!"),"",IF(OR(J206=0,AND(J206=1,K206=1),AND(J206=1,I206="SBJ"),AND(J206=1,I206=0)),"?IN_FOCUS",IF(J206&lt;=2,"?ACTIVATED",IF(J206&lt;&gt;"","?FAMILIAR",IF(F206="NEW",IF(ISNA(VLOOKUP(E206,#REF!,1,FALSE())),"?TYPE_IDENTIFIABLE","?REFERENTIAL"),"_")))))</f>
        <v> </v>
      </c>
      <c r="H206" s="25" t="str">
        <f>IF(J206&lt;&gt;1,"",IF(I206="SBJ","CB","?"))</f>
        <v> </v>
      </c>
      <c r="I206" s="26" t="str">
        <f>IF(OR(E206="",E206="!!!",F206="NEW"),"",INDEX(B205:B$2,-1+SUMPRODUCT(MAX(ROW(E205:E$2)*(E206=E205:E$2)))))</f>
        <v> </v>
      </c>
      <c r="J206" s="26" t="str">
        <f>IF(OR(E206="",E206="!!!",F206="NEW"),"",COUNTBLANK(OFFSET(A$1,,,SUMPRODUCT(MAX(ROW(E$2:E206)*(E206=E$2:E206)))))-COUNTBLANK(OFFSET(A$1,,,SUMPRODUCT(MAX(ROW(E$1:E205)*(E2=E$1:E205))))))</f>
        <v> </v>
      </c>
      <c r="K206" s="26" t="str">
        <f>IF(OR(E206="",E206="!!!",F206="NEW"),"",INDEX(J$1:J205,SUMPRODUCT(MAX(ROW(E$1:E205)*(E206=E$1:E205)))))</f>
        <v> </v>
      </c>
      <c r="L206" s="27"/>
    </row>
    <row r="207" spans="1:12">
      <c r="A207" s="20" t="s">
        <v>97</v>
      </c>
      <c r="E207" s="22">
        <f>IF(D207="?OLD","!!!","")</f>
        <v/>
      </c>
      <c r="F207" s="23" t="str">
        <f>IF(OR(E207="",E207="!!!"),"",IF(NOT(ISNA(VLOOKUP(E207,E$1:E206,1,FALSE()))),"OLD",IF(AND(E207&lt;&gt;"",E207&lt;&gt;"!!!"),"NEW","")))</f>
        <v> </v>
      </c>
      <c r="G207" s="24" t="str">
        <f>IF(OR(E207="",E207="!!!"),"",IF(OR(J207=0,AND(J207=1,K207=1),AND(J207=1,I207="SBJ"),AND(J207=1,I207=0)),"?IN_FOCUS",IF(J207&lt;=2,"?ACTIVATED",IF(J207&lt;&gt;"","?FAMILIAR",IF(F207="NEW",IF(ISNA(VLOOKUP(E207,#REF!,1,FALSE())),"?TYPE_IDENTIFIABLE","?REFERENTIAL"),"_")))))</f>
        <v> </v>
      </c>
      <c r="H207" s="25" t="str">
        <f>IF(J207&lt;&gt;1,"",IF(I207="SBJ","CB","?"))</f>
        <v> </v>
      </c>
      <c r="I207" s="26" t="str">
        <f>IF(OR(E207="",E207="!!!",F207="NEW"),"",INDEX(B206:B$2,-1+SUMPRODUCT(MAX(ROW(E206:E$2)*(E207=E206:E$2)))))</f>
        <v> </v>
      </c>
      <c r="J207" s="26" t="str">
        <f>IF(OR(E207="",E207="!!!",F207="NEW"),"",COUNTBLANK(OFFSET(A$1,,,SUMPRODUCT(MAX(ROW(E$2:E207)*(E207=E$2:E207)))))-COUNTBLANK(OFFSET(A$1,,,SUMPRODUCT(MAX(ROW(E$1:E206)*(E2=E$1:E206))))))</f>
        <v> </v>
      </c>
      <c r="K207" s="26" t="str">
        <f>IF(OR(E207="",E207="!!!",F207="NEW"),"",INDEX(J$1:J206,SUMPRODUCT(MAX(ROW(E$1:E206)*(E207=E$1:E206)))))</f>
        <v> </v>
      </c>
      <c r="L207" s="27"/>
    </row>
    <row r="208" spans="1:12">
      <c r="A208" s="20" t="s">
        <v>247</v>
      </c>
      <c r="E208" s="22">
        <f>IF(D208="?OLD","!!!","")</f>
        <v/>
      </c>
      <c r="F208" s="23" t="str">
        <f>IF(OR(E208="",E208="!!!"),"",IF(NOT(ISNA(VLOOKUP(E208,E$1:E207,1,FALSE()))),"OLD",IF(AND(E208&lt;&gt;"",E208&lt;&gt;"!!!"),"NEW","")))</f>
        <v> </v>
      </c>
      <c r="G208" s="24" t="str">
        <f>IF(OR(E208="",E208="!!!"),"",IF(OR(J208=0,AND(J208=1,K208=1),AND(J208=1,I208="SBJ"),AND(J208=1,I208=0)),"?IN_FOCUS",IF(J208&lt;=2,"?ACTIVATED",IF(J208&lt;&gt;"","?FAMILIAR",IF(F208="NEW",IF(ISNA(VLOOKUP(E208,#REF!,1,FALSE())),"?TYPE_IDENTIFIABLE","?REFERENTIAL"),"_")))))</f>
        <v> </v>
      </c>
      <c r="H208" s="25" t="str">
        <f>IF(J208&lt;&gt;1,"",IF(I208="SBJ","CB","?"))</f>
        <v> </v>
      </c>
      <c r="I208" s="26" t="str">
        <f>IF(OR(E208="",E208="!!!",F208="NEW"),"",INDEX(B207:B$2,-1+SUMPRODUCT(MAX(ROW(E207:E$2)*(E208=E207:E$2)))))</f>
        <v> </v>
      </c>
      <c r="J208" s="26" t="str">
        <f>IF(OR(E208="",E208="!!!",F208="NEW"),"",COUNTBLANK(OFFSET(A$1,,,SUMPRODUCT(MAX(ROW(E$2:E208)*(E208=E$2:E208)))))-COUNTBLANK(OFFSET(A$1,,,SUMPRODUCT(MAX(ROW(E$1:E207)*(E2=E$1:E207))))))</f>
        <v> </v>
      </c>
      <c r="K208" s="26" t="str">
        <f>IF(OR(E208="",E208="!!!",F208="NEW"),"",INDEX(J$1:J207,SUMPRODUCT(MAX(ROW(E$1:E207)*(E208=E$1:E207)))))</f>
        <v> </v>
      </c>
      <c r="L208" s="27"/>
    </row>
    <row r="209" spans="1:12">
      <c r="A209" s="20" t="s">
        <v>248</v>
      </c>
      <c r="B209" s="21" t="s">
        <v>183</v>
      </c>
      <c r="C209" s="21" t="s">
        <v>92</v>
      </c>
      <c r="E209" s="22">
        <f>IF(D209="?OLD","!!!","")</f>
        <v/>
      </c>
      <c r="F209" s="23" t="str">
        <f>IF(OR(E209="",E209="!!!"),"",IF(NOT(ISNA(VLOOKUP(E209,E$1:E208,1,FALSE()))),"OLD",IF(AND(E209&lt;&gt;"",E209&lt;&gt;"!!!"),"NEW","")))</f>
        <v> </v>
      </c>
      <c r="G209" s="24" t="str">
        <f>IF(OR(E209="",E209="!!!"),"",IF(OR(J209=0,AND(J209=1,K209=1),AND(J209=1,I209="SBJ"),AND(J209=1,I209=0)),"?IN_FOCUS",IF(J209&lt;=2,"?ACTIVATED",IF(J209&lt;&gt;"","?FAMILIAR",IF(F209="NEW",IF(ISNA(VLOOKUP(E209,#REF!,1,FALSE())),"?TYPE_IDENTIFIABLE","?REFERENTIAL"),"_")))))</f>
        <v> </v>
      </c>
      <c r="H209" s="25" t="str">
        <f>IF(J209&lt;&gt;1,"",IF(I209="SBJ","CB","?"))</f>
        <v> </v>
      </c>
      <c r="I209" s="26" t="str">
        <f>IF(OR(E209="",E209="!!!",F209="NEW"),"",INDEX(B208:B$2,-1+SUMPRODUCT(MAX(ROW(E208:E$2)*(E209=E208:E$2)))))</f>
        <v> </v>
      </c>
      <c r="J209" s="26" t="str">
        <f>IF(OR(E209="",E209="!!!",F209="NEW"),"",COUNTBLANK(OFFSET(A$1,,,SUMPRODUCT(MAX(ROW(E$2:E209)*(E209=E$2:E209)))))-COUNTBLANK(OFFSET(A$1,,,SUMPRODUCT(MAX(ROW(E$1:E208)*(E2=E$1:E208))))))</f>
        <v> </v>
      </c>
      <c r="K209" s="26" t="str">
        <f>IF(OR(E209="",E209="!!!",F209="NEW"),"",INDEX(J$1:J208,SUMPRODUCT(MAX(ROW(E$1:E208)*(E209=E$1:E208)))))</f>
        <v> </v>
      </c>
      <c r="L209" s="27"/>
    </row>
    <row r="210" spans="1:12">
      <c r="A210" s="20" t="s">
        <v>249</v>
      </c>
      <c r="E210" s="22">
        <f>IF(D210="?OLD","!!!","")</f>
        <v/>
      </c>
      <c r="F210" s="23" t="str">
        <f>IF(OR(E210="",E210="!!!"),"",IF(NOT(ISNA(VLOOKUP(E210,E$1:E209,1,FALSE()))),"OLD",IF(AND(E210&lt;&gt;"",E210&lt;&gt;"!!!"),"NEW","")))</f>
        <v> </v>
      </c>
      <c r="G210" s="24" t="str">
        <f>IF(OR(E210="",E210="!!!"),"",IF(OR(J210=0,AND(J210=1,K210=1),AND(J210=1,I210="SBJ"),AND(J210=1,I210=0)),"?IN_FOCUS",IF(J210&lt;=2,"?ACTIVATED",IF(J210&lt;&gt;"","?FAMILIAR",IF(F210="NEW",IF(ISNA(VLOOKUP(E210,#REF!,1,FALSE())),"?TYPE_IDENTIFIABLE","?REFERENTIAL"),"_")))))</f>
        <v> </v>
      </c>
      <c r="H210" s="25" t="str">
        <f>IF(J210&lt;&gt;1,"",IF(I210="SBJ","CB","?"))</f>
        <v> </v>
      </c>
      <c r="I210" s="26" t="str">
        <f>IF(OR(E210="",E210="!!!",F210="NEW"),"",INDEX(B209:B$2,-1+SUMPRODUCT(MAX(ROW(E209:E$2)*(E210=E209:E$2)))))</f>
        <v> </v>
      </c>
      <c r="J210" s="26" t="str">
        <f>IF(OR(E210="",E210="!!!",F210="NEW"),"",COUNTBLANK(OFFSET(A$1,,,SUMPRODUCT(MAX(ROW(E$2:E210)*(E210=E$2:E210)))))-COUNTBLANK(OFFSET(A$1,,,SUMPRODUCT(MAX(ROW(E$1:E209)*(E2=E$1:E209))))))</f>
        <v> </v>
      </c>
      <c r="K210" s="26" t="str">
        <f>IF(OR(E210="",E210="!!!",F210="NEW"),"",INDEX(J$1:J209,SUMPRODUCT(MAX(ROW(E$1:E209)*(E210=E$1:E209)))))</f>
        <v> </v>
      </c>
      <c r="L210" s="27"/>
    </row>
    <row r="211" spans="1:12">
      <c r="A211" s="20" t="s">
        <v>250</v>
      </c>
      <c r="E211" s="22">
        <f>IF(D211="?OLD","!!!","")</f>
        <v/>
      </c>
      <c r="F211" s="23" t="str">
        <f>IF(OR(E211="",E211="!!!"),"",IF(NOT(ISNA(VLOOKUP(E211,E$1:E210,1,FALSE()))),"OLD",IF(AND(E211&lt;&gt;"",E211&lt;&gt;"!!!"),"NEW","")))</f>
        <v> </v>
      </c>
      <c r="G211" s="24" t="str">
        <f>IF(OR(E211="",E211="!!!"),"",IF(OR(J211=0,AND(J211=1,K211=1),AND(J211=1,I211="SBJ"),AND(J211=1,I211=0)),"?IN_FOCUS",IF(J211&lt;=2,"?ACTIVATED",IF(J211&lt;&gt;"","?FAMILIAR",IF(F211="NEW",IF(ISNA(VLOOKUP(E211,#REF!,1,FALSE())),"?TYPE_IDENTIFIABLE","?REFERENTIAL"),"_")))))</f>
        <v> </v>
      </c>
      <c r="H211" s="25" t="str">
        <f>IF(J211&lt;&gt;1,"",IF(I211="SBJ","CB","?"))</f>
        <v> </v>
      </c>
      <c r="I211" s="26" t="str">
        <f>IF(OR(E211="",E211="!!!",F211="NEW"),"",INDEX(B210:B$2,-1+SUMPRODUCT(MAX(ROW(E210:E$2)*(E211=E210:E$2)))))</f>
        <v> </v>
      </c>
      <c r="J211" s="26" t="str">
        <f>IF(OR(E211="",E211="!!!",F211="NEW"),"",COUNTBLANK(OFFSET(A$1,,,SUMPRODUCT(MAX(ROW(E$2:E211)*(E211=E$2:E211)))))-COUNTBLANK(OFFSET(A$1,,,SUMPRODUCT(MAX(ROW(E$1:E210)*(E2=E$1:E210))))))</f>
        <v> </v>
      </c>
      <c r="K211" s="26" t="str">
        <f>IF(OR(E211="",E211="!!!",F211="NEW"),"",INDEX(J$1:J210,SUMPRODUCT(MAX(ROW(E$1:E210)*(E211=E$1:E210)))))</f>
        <v> </v>
      </c>
      <c r="L211" s="27"/>
    </row>
    <row r="212" spans="1:12">
      <c r="A212" s="20" t="s">
        <v>169</v>
      </c>
      <c r="E212" s="22">
        <f>IF(D212="?OLD","!!!","")</f>
        <v/>
      </c>
      <c r="F212" s="23" t="str">
        <f>IF(OR(E212="",E212="!!!"),"",IF(NOT(ISNA(VLOOKUP(E212,E$1:E211,1,FALSE()))),"OLD",IF(AND(E212&lt;&gt;"",E212&lt;&gt;"!!!"),"NEW","")))</f>
        <v> </v>
      </c>
      <c r="G212" s="24" t="str">
        <f>IF(OR(E212="",E212="!!!"),"",IF(OR(J212=0,AND(J212=1,K212=1),AND(J212=1,I212="SBJ"),AND(J212=1,I212=0)),"?IN_FOCUS",IF(J212&lt;=2,"?ACTIVATED",IF(J212&lt;&gt;"","?FAMILIAR",IF(F212="NEW",IF(ISNA(VLOOKUP(E212,#REF!,1,FALSE())),"?TYPE_IDENTIFIABLE","?REFERENTIAL"),"_")))))</f>
        <v> </v>
      </c>
      <c r="H212" s="25" t="str">
        <f>IF(J212&lt;&gt;1,"",IF(I212="SBJ","CB","?"))</f>
        <v> </v>
      </c>
      <c r="I212" s="26" t="str">
        <f>IF(OR(E212="",E212="!!!",F212="NEW"),"",INDEX(B211:B$2,-1+SUMPRODUCT(MAX(ROW(E211:E$2)*(E212=E211:E$2)))))</f>
        <v> </v>
      </c>
      <c r="J212" s="26" t="str">
        <f>IF(OR(E212="",E212="!!!",F212="NEW"),"",COUNTBLANK(OFFSET(A$1,,,SUMPRODUCT(MAX(ROW(E$2:E212)*(E212=E$2:E212)))))-COUNTBLANK(OFFSET(A$1,,,SUMPRODUCT(MAX(ROW(E$1:E211)*(E2=E$1:E211))))))</f>
        <v> </v>
      </c>
      <c r="K212" s="26" t="str">
        <f>IF(OR(E212="",E212="!!!",F212="NEW"),"",INDEX(J$1:J211,SUMPRODUCT(MAX(ROW(E$1:E211)*(E212=E$1:E211)))))</f>
        <v> </v>
      </c>
      <c r="L212" s="27"/>
    </row>
    <row r="213" spans="1:12">
      <c r="A213" s="20" t="s">
        <v>118</v>
      </c>
      <c r="E213" s="22">
        <f>IF(D213="?OLD","!!!","")</f>
        <v/>
      </c>
      <c r="F213" s="23" t="str">
        <f>IF(OR(E213="",E213="!!!"),"",IF(NOT(ISNA(VLOOKUP(E213,E$1:E212,1,FALSE()))),"OLD",IF(AND(E213&lt;&gt;"",E213&lt;&gt;"!!!"),"NEW","")))</f>
        <v> </v>
      </c>
      <c r="G213" s="24" t="str">
        <f>IF(OR(E213="",E213="!!!"),"",IF(OR(J213=0,AND(J213=1,K213=1),AND(J213=1,I213="SBJ"),AND(J213=1,I213=0)),"?IN_FOCUS",IF(J213&lt;=2,"?ACTIVATED",IF(J213&lt;&gt;"","?FAMILIAR",IF(F213="NEW",IF(ISNA(VLOOKUP(E213,#REF!,1,FALSE())),"?TYPE_IDENTIFIABLE","?REFERENTIAL"),"_")))))</f>
        <v> </v>
      </c>
      <c r="H213" s="25" t="str">
        <f>IF(J213&lt;&gt;1,"",IF(I213="SBJ","CB","?"))</f>
        <v> </v>
      </c>
      <c r="I213" s="26" t="str">
        <f>IF(OR(E213="",E213="!!!",F213="NEW"),"",INDEX(B212:B$2,-1+SUMPRODUCT(MAX(ROW(E212:E$2)*(E213=E212:E$2)))))</f>
        <v> </v>
      </c>
      <c r="J213" s="26" t="str">
        <f>IF(OR(E213="",E213="!!!",F213="NEW"),"",COUNTBLANK(OFFSET(A$1,,,SUMPRODUCT(MAX(ROW(E$2:E213)*(E213=E$2:E213)))))-COUNTBLANK(OFFSET(A$1,,,SUMPRODUCT(MAX(ROW(E$1:E212)*(E2=E$1:E212))))))</f>
        <v> </v>
      </c>
      <c r="K213" s="26" t="str">
        <f>IF(OR(E213="",E213="!!!",F213="NEW"),"",INDEX(J$1:J212,SUMPRODUCT(MAX(ROW(E$1:E212)*(E213=E$1:E212)))))</f>
        <v> </v>
      </c>
      <c r="L213" s="27"/>
    </row>
    <row r="214" spans="1:12">
      <c r="A214" s="20" t="s">
        <v>251</v>
      </c>
      <c r="B214" s="21" t="s">
        <v>96</v>
      </c>
      <c r="C214" s="21" t="s">
        <v>112</v>
      </c>
      <c r="D214" s="21" t="s">
        <v>102</v>
      </c>
      <c r="E214" s="22">
        <f>IF(D214="?OLD","!!!","")</f>
        <v/>
      </c>
      <c r="F214" s="23" t="str">
        <f>IF(OR(E214="",E214="!!!"),"",IF(NOT(ISNA(VLOOKUP(E214,E$1:E213,1,FALSE()))),"OLD",IF(AND(E214&lt;&gt;"",E214&lt;&gt;"!!!"),"NEW","")))</f>
        <v> </v>
      </c>
      <c r="G214" s="24" t="str">
        <f>IF(OR(E214="",E214="!!!"),"",IF(OR(J214=0,AND(J214=1,K214=1),AND(J214=1,I214="SBJ"),AND(J214=1,I214=0)),"?IN_FOCUS",IF(J214&lt;=2,"?ACTIVATED",IF(J214&lt;&gt;"","?FAMILIAR",IF(F214="NEW",IF(ISNA(VLOOKUP(E214,#REF!,1,FALSE())),"?TYPE_IDENTIFIABLE","?REFERENTIAL"),"_")))))</f>
        <v> </v>
      </c>
      <c r="H214" s="25" t="str">
        <f>IF(J214&lt;&gt;1,"",IF(I214="SBJ","CB","?"))</f>
        <v> </v>
      </c>
      <c r="I214" s="26" t="str">
        <f>IF(OR(E214="",E214="!!!",F214="NEW"),"",INDEX(B213:B$2,-1+SUMPRODUCT(MAX(ROW(E213:E$2)*(E214=E213:E$2)))))</f>
        <v> </v>
      </c>
      <c r="J214" s="26" t="str">
        <f>IF(OR(E214="",E214="!!!",F214="NEW"),"",COUNTBLANK(OFFSET(A$1,,,SUMPRODUCT(MAX(ROW(E$2:E214)*(E214=E$2:E214)))))-COUNTBLANK(OFFSET(A$1,,,SUMPRODUCT(MAX(ROW(E$1:E213)*(E2=E$1:E213))))))</f>
        <v> </v>
      </c>
      <c r="K214" s="26" t="str">
        <f>IF(OR(E214="",E214="!!!",F214="NEW"),"",INDEX(J$1:J213,SUMPRODUCT(MAX(ROW(E$1:E213)*(E214=E$1:E213)))))</f>
        <v> </v>
      </c>
      <c r="L214" s="27"/>
    </row>
    <row r="215" spans="1:12">
      <c r="A215" s="20" t="s">
        <v>252</v>
      </c>
      <c r="E215" s="22">
        <f>IF(D215="?OLD","!!!","")</f>
        <v/>
      </c>
      <c r="F215" s="23" t="str">
        <f>IF(OR(E215="",E215="!!!"),"",IF(NOT(ISNA(VLOOKUP(E215,E$1:E214,1,FALSE()))),"OLD",IF(AND(E215&lt;&gt;"",E215&lt;&gt;"!!!"),"NEW","")))</f>
        <v> </v>
      </c>
      <c r="G215" s="24" t="str">
        <f>IF(OR(E215="",E215="!!!"),"",IF(OR(J215=0,AND(J215=1,K215=1),AND(J215=1,I215="SBJ"),AND(J215=1,I215=0)),"?IN_FOCUS",IF(J215&lt;=2,"?ACTIVATED",IF(J215&lt;&gt;"","?FAMILIAR",IF(F215="NEW",IF(ISNA(VLOOKUP(E215,#REF!,1,FALSE())),"?TYPE_IDENTIFIABLE","?REFERENTIAL"),"_")))))</f>
        <v> </v>
      </c>
      <c r="H215" s="25" t="str">
        <f>IF(J215&lt;&gt;1,"",IF(I215="SBJ","CB","?"))</f>
        <v> </v>
      </c>
      <c r="I215" s="26" t="str">
        <f>IF(OR(E215="",E215="!!!",F215="NEW"),"",INDEX(B214:B$2,-1+SUMPRODUCT(MAX(ROW(E214:E$2)*(E215=E214:E$2)))))</f>
        <v> </v>
      </c>
      <c r="J215" s="26" t="str">
        <f>IF(OR(E215="",E215="!!!",F215="NEW"),"",COUNTBLANK(OFFSET(A$1,,,SUMPRODUCT(MAX(ROW(E$2:E215)*(E215=E$2:E215)))))-COUNTBLANK(OFFSET(A$1,,,SUMPRODUCT(MAX(ROW(E$1:E214)*(E2=E$1:E214))))))</f>
        <v> </v>
      </c>
      <c r="K215" s="26" t="str">
        <f>IF(OR(E215="",E215="!!!",F215="NEW"),"",INDEX(J$1:J214,SUMPRODUCT(MAX(ROW(E$1:E214)*(E215=E$1:E214)))))</f>
        <v> </v>
      </c>
      <c r="L215" s="27"/>
    </row>
    <row r="216" spans="1:12">
      <c r="A216" s="20" t="s">
        <v>253</v>
      </c>
      <c r="E216" s="22">
        <f>IF(D216="?OLD","!!!","")</f>
        <v/>
      </c>
      <c r="F216" s="23" t="str">
        <f>IF(OR(E216="",E216="!!!"),"",IF(NOT(ISNA(VLOOKUP(E216,E$1:E215,1,FALSE()))),"OLD",IF(AND(E216&lt;&gt;"",E216&lt;&gt;"!!!"),"NEW","")))</f>
        <v> </v>
      </c>
      <c r="G216" s="24" t="str">
        <f>IF(OR(E216="",E216="!!!"),"",IF(OR(J216=0,AND(J216=1,K216=1),AND(J216=1,I216="SBJ"),AND(J216=1,I216=0)),"?IN_FOCUS",IF(J216&lt;=2,"?ACTIVATED",IF(J216&lt;&gt;"","?FAMILIAR",IF(F216="NEW",IF(ISNA(VLOOKUP(E216,#REF!,1,FALSE())),"?TYPE_IDENTIFIABLE","?REFERENTIAL"),"_")))))</f>
        <v> </v>
      </c>
      <c r="H216" s="25" t="str">
        <f>IF(J216&lt;&gt;1,"",IF(I216="SBJ","CB","?"))</f>
        <v> </v>
      </c>
      <c r="I216" s="26" t="str">
        <f>IF(OR(E216="",E216="!!!",F216="NEW"),"",INDEX(B215:B$2,-1+SUMPRODUCT(MAX(ROW(E215:E$2)*(E216=E215:E$2)))))</f>
        <v> </v>
      </c>
      <c r="J216" s="26" t="str">
        <f>IF(OR(E216="",E216="!!!",F216="NEW"),"",COUNTBLANK(OFFSET(A$1,,,SUMPRODUCT(MAX(ROW(E$2:E216)*(E216=E$2:E216)))))-COUNTBLANK(OFFSET(A$1,,,SUMPRODUCT(MAX(ROW(E$1:E215)*(E2=E$1:E215))))))</f>
        <v> </v>
      </c>
      <c r="K216" s="26" t="str">
        <f>IF(OR(E216="",E216="!!!",F216="NEW"),"",INDEX(J$1:J215,SUMPRODUCT(MAX(ROW(E$1:E215)*(E216=E$1:E215)))))</f>
        <v> </v>
      </c>
      <c r="L216" s="27"/>
    </row>
    <row r="217" spans="1:12">
      <c r="A217" s="20" t="s">
        <v>155</v>
      </c>
      <c r="E217" s="22">
        <f>IF(D217="?OLD","!!!","")</f>
        <v/>
      </c>
      <c r="F217" s="23" t="str">
        <f>IF(OR(E217="",E217="!!!"),"",IF(NOT(ISNA(VLOOKUP(E217,E$1:E216,1,FALSE()))),"OLD",IF(AND(E217&lt;&gt;"",E217&lt;&gt;"!!!"),"NEW","")))</f>
        <v> </v>
      </c>
      <c r="G217" s="24" t="str">
        <f>IF(OR(E217="",E217="!!!"),"",IF(OR(J217=0,AND(J217=1,K217=1),AND(J217=1,I217="SBJ"),AND(J217=1,I217=0)),"?IN_FOCUS",IF(J217&lt;=2,"?ACTIVATED",IF(J217&lt;&gt;"","?FAMILIAR",IF(F217="NEW",IF(ISNA(VLOOKUP(E217,#REF!,1,FALSE())),"?TYPE_IDENTIFIABLE","?REFERENTIAL"),"_")))))</f>
        <v> </v>
      </c>
      <c r="H217" s="25" t="str">
        <f>IF(J217&lt;&gt;1,"",IF(I217="SBJ","CB","?"))</f>
        <v> </v>
      </c>
      <c r="I217" s="26" t="str">
        <f>IF(OR(E217="",E217="!!!",F217="NEW"),"",INDEX(B216:B$2,-1+SUMPRODUCT(MAX(ROW(E216:E$2)*(E217=E216:E$2)))))</f>
        <v> </v>
      </c>
      <c r="J217" s="26" t="str">
        <f>IF(OR(E217="",E217="!!!",F217="NEW"),"",COUNTBLANK(OFFSET(A$1,,,SUMPRODUCT(MAX(ROW(E$2:E217)*(E217=E$2:E217)))))-COUNTBLANK(OFFSET(A$1,,,SUMPRODUCT(MAX(ROW(E$1:E216)*(E2=E$1:E216))))))</f>
        <v> </v>
      </c>
      <c r="K217" s="26" t="str">
        <f>IF(OR(E217="",E217="!!!",F217="NEW"),"",INDEX(J$1:J216,SUMPRODUCT(MAX(ROW(E$1:E216)*(E217=E$1:E216)))))</f>
        <v> </v>
      </c>
      <c r="L217" s="27"/>
    </row>
    <row r="218" spans="1:12">
      <c r="A218" s="20"/>
    </row>
    <row r="219" spans="1:12">
      <c r="A219" s="20" t="s">
        <v>254</v>
      </c>
    </row>
    <row r="220" spans="1:12">
      <c r="A220" s="20" t="s">
        <v>255</v>
      </c>
      <c r="B220" s="21" t="s">
        <v>91</v>
      </c>
      <c r="C220" s="21" t="s">
        <v>92</v>
      </c>
      <c r="E220" s="22">
        <f>IF(D220="?OLD","!!!","")</f>
        <v/>
      </c>
      <c r="F220" s="23" t="str">
        <f>IF(OR(E220="",E220="!!!"),"",IF(NOT(ISNA(VLOOKUP(E220,E$1:E219,1,FALSE()))),"OLD",IF(AND(E220&lt;&gt;"",E220&lt;&gt;"!!!"),"NEW","")))</f>
        <v> </v>
      </c>
      <c r="G220" s="24" t="str">
        <f>IF(OR(E220="",E220="!!!"),"",IF(OR(J220=0,AND(J220=1,K220=1),AND(J220=1,I220="SBJ"),AND(J220=1,I220=0)),"?IN_FOCUS",IF(J220&lt;=2,"?ACTIVATED",IF(J220&lt;&gt;"","?FAMILIAR",IF(F220="NEW",IF(ISNA(VLOOKUP(E220,#REF!,1,FALSE())),"?TYPE_IDENTIFIABLE","?REFERENTIAL"),"_")))))</f>
        <v> </v>
      </c>
      <c r="H220" s="25" t="str">
        <f>IF(J220&lt;&gt;1,"",IF(I220="SBJ","CB","?"))</f>
        <v> </v>
      </c>
      <c r="I220" s="26" t="str">
        <f>IF(OR(E220="",E220="!!!",F220="NEW"),"",INDEX(B219:B$2,-1+SUMPRODUCT(MAX(ROW(E219:E$2)*(E220=E219:E$2)))))</f>
        <v> </v>
      </c>
      <c r="J220" s="26" t="str">
        <f>IF(OR(E220="",E220="!!!",F220="NEW"),"",COUNTBLANK(OFFSET(A$1,,,SUMPRODUCT(MAX(ROW(E$2:E220)*(E220=E$2:E220)))))-COUNTBLANK(OFFSET(A$1,,,SUMPRODUCT(MAX(ROW(E$1:E219)*(E2=E$1:E219))))))</f>
        <v> </v>
      </c>
      <c r="K220" s="26" t="str">
        <f>IF(OR(E220="",E220="!!!",F220="NEW"),"",INDEX(J$1:J219,SUMPRODUCT(MAX(ROW(E$1:E219)*(E220=E$1:E219)))))</f>
        <v> </v>
      </c>
      <c r="L220" s="27"/>
    </row>
    <row r="221" spans="1:12">
      <c r="A221" s="20" t="s">
        <v>256</v>
      </c>
      <c r="E221" s="22">
        <f>IF(D221="?OLD","!!!","")</f>
        <v/>
      </c>
      <c r="F221" s="23" t="str">
        <f>IF(OR(E221="",E221="!!!"),"",IF(NOT(ISNA(VLOOKUP(E221,E$1:E220,1,FALSE()))),"OLD",IF(AND(E221&lt;&gt;"",E221&lt;&gt;"!!!"),"NEW","")))</f>
        <v> </v>
      </c>
      <c r="G221" s="24" t="str">
        <f>IF(OR(E221="",E221="!!!"),"",IF(OR(J221=0,AND(J221=1,K221=1),AND(J221=1,I221="SBJ"),AND(J221=1,I221=0)),"?IN_FOCUS",IF(J221&lt;=2,"?ACTIVATED",IF(J221&lt;&gt;"","?FAMILIAR",IF(F221="NEW",IF(ISNA(VLOOKUP(E221,#REF!,1,FALSE())),"?TYPE_IDENTIFIABLE","?REFERENTIAL"),"_")))))</f>
        <v> </v>
      </c>
      <c r="H221" s="25" t="str">
        <f>IF(J221&lt;&gt;1,"",IF(I221="SBJ","CB","?"))</f>
        <v> </v>
      </c>
      <c r="I221" s="26" t="str">
        <f>IF(OR(E221="",E221="!!!",F221="NEW"),"",INDEX(B220:B$2,-1+SUMPRODUCT(MAX(ROW(E220:E$2)*(E221=E220:E$2)))))</f>
        <v> </v>
      </c>
      <c r="J221" s="26" t="str">
        <f>IF(OR(E221="",E221="!!!",F221="NEW"),"",COUNTBLANK(OFFSET(A$1,,,SUMPRODUCT(MAX(ROW(E$2:E221)*(E221=E$2:E221)))))-COUNTBLANK(OFFSET(A$1,,,SUMPRODUCT(MAX(ROW(E$1:E220)*(E2=E$1:E220))))))</f>
        <v> </v>
      </c>
      <c r="K221" s="26" t="str">
        <f>IF(OR(E221="",E221="!!!",F221="NEW"),"",INDEX(J$1:J220,SUMPRODUCT(MAX(ROW(E$1:E220)*(E221=E$1:E220)))))</f>
        <v> </v>
      </c>
      <c r="L221" s="27"/>
    </row>
    <row r="222" spans="1:12">
      <c r="A222" s="20" t="s">
        <v>208</v>
      </c>
      <c r="E222" s="22">
        <f>IF(D222="?OLD","!!!","")</f>
        <v/>
      </c>
      <c r="F222" s="23" t="str">
        <f>IF(OR(E222="",E222="!!!"),"",IF(NOT(ISNA(VLOOKUP(E222,E$1:E221,1,FALSE()))),"OLD",IF(AND(E222&lt;&gt;"",E222&lt;&gt;"!!!"),"NEW","")))</f>
        <v> </v>
      </c>
      <c r="G222" s="24" t="str">
        <f>IF(OR(E222="",E222="!!!"),"",IF(OR(J222=0,AND(J222=1,K222=1),AND(J222=1,I222="SBJ"),AND(J222=1,I222=0)),"?IN_FOCUS",IF(J222&lt;=2,"?ACTIVATED",IF(J222&lt;&gt;"","?FAMILIAR",IF(F222="NEW",IF(ISNA(VLOOKUP(E222,#REF!,1,FALSE())),"?TYPE_IDENTIFIABLE","?REFERENTIAL"),"_")))))</f>
        <v> </v>
      </c>
      <c r="H222" s="25" t="str">
        <f>IF(J222&lt;&gt;1,"",IF(I222="SBJ","CB","?"))</f>
        <v> </v>
      </c>
      <c r="I222" s="26" t="str">
        <f>IF(OR(E222="",E222="!!!",F222="NEW"),"",INDEX(B221:B$2,-1+SUMPRODUCT(MAX(ROW(E221:E$2)*(E222=E221:E$2)))))</f>
        <v> </v>
      </c>
      <c r="J222" s="26" t="str">
        <f>IF(OR(E222="",E222="!!!",F222="NEW"),"",COUNTBLANK(OFFSET(A$1,,,SUMPRODUCT(MAX(ROW(E$2:E222)*(E222=E$2:E222)))))-COUNTBLANK(OFFSET(A$1,,,SUMPRODUCT(MAX(ROW(E$1:E221)*(E2=E$1:E221))))))</f>
        <v> </v>
      </c>
      <c r="K222" s="26" t="str">
        <f>IF(OR(E222="",E222="!!!",F222="NEW"),"",INDEX(J$1:J221,SUMPRODUCT(MAX(ROW(E$1:E221)*(E222=E$1:E221)))))</f>
        <v> </v>
      </c>
      <c r="L222" s="27"/>
    </row>
    <row r="223" spans="1:12">
      <c r="A223" s="20" t="s">
        <v>209</v>
      </c>
      <c r="B223" s="21" t="s">
        <v>195</v>
      </c>
      <c r="C223" s="21" t="s">
        <v>104</v>
      </c>
      <c r="D223" s="21" t="s">
        <v>102</v>
      </c>
      <c r="E223" s="22">
        <f>IF(D223="?OLD","!!!","")</f>
        <v/>
      </c>
      <c r="F223" s="23" t="str">
        <f>IF(OR(E223="",E223="!!!"),"",IF(NOT(ISNA(VLOOKUP(E223,E$1:E222,1,FALSE()))),"OLD",IF(AND(E223&lt;&gt;"",E223&lt;&gt;"!!!"),"NEW","")))</f>
        <v> </v>
      </c>
      <c r="G223" s="24" t="str">
        <f>IF(OR(E223="",E223="!!!"),"",IF(OR(J223=0,AND(J223=1,K223=1),AND(J223=1,I223="SBJ"),AND(J223=1,I223=0)),"?IN_FOCUS",IF(J223&lt;=2,"?ACTIVATED",IF(J223&lt;&gt;"","?FAMILIAR",IF(F223="NEW",IF(ISNA(VLOOKUP(E223,#REF!,1,FALSE())),"?TYPE_IDENTIFIABLE","?REFERENTIAL"),"_")))))</f>
        <v> </v>
      </c>
      <c r="H223" s="25" t="str">
        <f>IF(J223&lt;&gt;1,"",IF(I223="SBJ","CB","?"))</f>
        <v> </v>
      </c>
      <c r="I223" s="26" t="str">
        <f>IF(OR(E223="",E223="!!!",F223="NEW"),"",INDEX(B222:B$2,-1+SUMPRODUCT(MAX(ROW(E222:E$2)*(E223=E222:E$2)))))</f>
        <v> </v>
      </c>
      <c r="J223" s="26" t="str">
        <f>IF(OR(E223="",E223="!!!",F223="NEW"),"",COUNTBLANK(OFFSET(A$1,,,SUMPRODUCT(MAX(ROW(E$2:E223)*(E223=E$2:E223)))))-COUNTBLANK(OFFSET(A$1,,,SUMPRODUCT(MAX(ROW(E$1:E222)*(E2=E$1:E222))))))</f>
        <v> </v>
      </c>
      <c r="K223" s="26" t="str">
        <f>IF(OR(E223="",E223="!!!",F223="NEW"),"",INDEX(J$1:J222,SUMPRODUCT(MAX(ROW(E$1:E222)*(E223=E$1:E222)))))</f>
        <v> </v>
      </c>
      <c r="L223" s="27"/>
    </row>
    <row r="224" spans="1:12">
      <c r="A224" s="20" t="s">
        <v>137</v>
      </c>
      <c r="B224" s="21" t="s">
        <v>120</v>
      </c>
      <c r="C224" s="21" t="s">
        <v>181</v>
      </c>
      <c r="E224" s="22">
        <f>IF(D224="?OLD","!!!","")</f>
        <v/>
      </c>
      <c r="F224" s="23" t="str">
        <f>IF(OR(E224="",E224="!!!"),"",IF(NOT(ISNA(VLOOKUP(E224,E$1:E223,1,FALSE()))),"OLD",IF(AND(E224&lt;&gt;"",E224&lt;&gt;"!!!"),"NEW","")))</f>
        <v> </v>
      </c>
      <c r="G224" s="24" t="str">
        <f>IF(OR(E224="",E224="!!!"),"",IF(OR(J224=0,AND(J224=1,K224=1),AND(J224=1,I224="SBJ"),AND(J224=1,I224=0)),"?IN_FOCUS",IF(J224&lt;=2,"?ACTIVATED",IF(J224&lt;&gt;"","?FAMILIAR",IF(F224="NEW",IF(ISNA(VLOOKUP(E224,#REF!,1,FALSE())),"?TYPE_IDENTIFIABLE","?REFERENTIAL"),"_")))))</f>
        <v> </v>
      </c>
      <c r="H224" s="25" t="str">
        <f>IF(J224&lt;&gt;1,"",IF(I224="SBJ","CB","?"))</f>
        <v> </v>
      </c>
      <c r="I224" s="26" t="str">
        <f>IF(OR(E224="",E224="!!!",F224="NEW"),"",INDEX(B223:B$2,-1+SUMPRODUCT(MAX(ROW(E223:E$2)*(E224=E223:E$2)))))</f>
        <v> </v>
      </c>
      <c r="J224" s="26" t="str">
        <f>IF(OR(E224="",E224="!!!",F224="NEW"),"",COUNTBLANK(OFFSET(A$1,,,SUMPRODUCT(MAX(ROW(E$2:E224)*(E224=E$2:E224)))))-COUNTBLANK(OFFSET(A$1,,,SUMPRODUCT(MAX(ROW(E$1:E223)*(E2=E$1:E223))))))</f>
        <v> </v>
      </c>
      <c r="K224" s="26" t="str">
        <f>IF(OR(E224="",E224="!!!",F224="NEW"),"",INDEX(J$1:J223,SUMPRODUCT(MAX(ROW(E$1:E223)*(E224=E$1:E223)))))</f>
        <v> </v>
      </c>
      <c r="L224" s="27"/>
    </row>
    <row r="225" spans="1:12">
      <c r="A225" s="20" t="s">
        <v>132</v>
      </c>
      <c r="E225" s="22">
        <f>IF(D225="?OLD","!!!","")</f>
        <v/>
      </c>
      <c r="F225" s="23" t="str">
        <f>IF(OR(E225="",E225="!!!"),"",IF(NOT(ISNA(VLOOKUP(E225,E$1:E224,1,FALSE()))),"OLD",IF(AND(E225&lt;&gt;"",E225&lt;&gt;"!!!"),"NEW","")))</f>
        <v> </v>
      </c>
      <c r="G225" s="24" t="str">
        <f>IF(OR(E225="",E225="!!!"),"",IF(OR(J225=0,AND(J225=1,K225=1),AND(J225=1,I225="SBJ"),AND(J225=1,I225=0)),"?IN_FOCUS",IF(J225&lt;=2,"?ACTIVATED",IF(J225&lt;&gt;"","?FAMILIAR",IF(F225="NEW",IF(ISNA(VLOOKUP(E225,#REF!,1,FALSE())),"?TYPE_IDENTIFIABLE","?REFERENTIAL"),"_")))))</f>
        <v> </v>
      </c>
      <c r="H225" s="25" t="str">
        <f>IF(J225&lt;&gt;1,"",IF(I225="SBJ","CB","?"))</f>
        <v> </v>
      </c>
      <c r="I225" s="26" t="str">
        <f>IF(OR(E225="",E225="!!!",F225="NEW"),"",INDEX(B224:B$2,-1+SUMPRODUCT(MAX(ROW(E224:E$2)*(E225=E224:E$2)))))</f>
        <v> </v>
      </c>
      <c r="J225" s="26" t="str">
        <f>IF(OR(E225="",E225="!!!",F225="NEW"),"",COUNTBLANK(OFFSET(A$1,,,SUMPRODUCT(MAX(ROW(E$2:E225)*(E225=E$2:E225)))))-COUNTBLANK(OFFSET(A$1,,,SUMPRODUCT(MAX(ROW(E$1:E224)*(E2=E$1:E224))))))</f>
        <v> </v>
      </c>
      <c r="K225" s="26" t="str">
        <f>IF(OR(E225="",E225="!!!",F225="NEW"),"",INDEX(J$1:J224,SUMPRODUCT(MAX(ROW(E$1:E224)*(E225=E$1:E224)))))</f>
        <v> </v>
      </c>
      <c r="L225" s="27"/>
    </row>
    <row r="226" spans="1:12">
      <c r="A226" s="20" t="s">
        <v>257</v>
      </c>
      <c r="B226" s="21" t="s">
        <v>195</v>
      </c>
      <c r="C226" s="21" t="s">
        <v>112</v>
      </c>
      <c r="D226" s="21" t="s">
        <v>102</v>
      </c>
      <c r="E226" s="22">
        <f>IF(D226="?OLD","!!!","")</f>
        <v/>
      </c>
      <c r="F226" s="23" t="str">
        <f>IF(OR(E226="",E226="!!!"),"",IF(NOT(ISNA(VLOOKUP(E226,E$1:E225,1,FALSE()))),"OLD",IF(AND(E226&lt;&gt;"",E226&lt;&gt;"!!!"),"NEW","")))</f>
        <v> </v>
      </c>
      <c r="G226" s="24" t="str">
        <f>IF(OR(E226="",E226="!!!"),"",IF(OR(J226=0,AND(J226=1,K226=1),AND(J226=1,I226="SBJ"),AND(J226=1,I226=0)),"?IN_FOCUS",IF(J226&lt;=2,"?ACTIVATED",IF(J226&lt;&gt;"","?FAMILIAR",IF(F226="NEW",IF(ISNA(VLOOKUP(E226,#REF!,1,FALSE())),"?TYPE_IDENTIFIABLE","?REFERENTIAL"),"_")))))</f>
        <v> </v>
      </c>
      <c r="H226" s="25" t="str">
        <f>IF(J226&lt;&gt;1,"",IF(I226="SBJ","CB","?"))</f>
        <v> </v>
      </c>
      <c r="I226" s="26" t="str">
        <f>IF(OR(E226="",E226="!!!",F226="NEW"),"",INDEX(B225:B$2,-1+SUMPRODUCT(MAX(ROW(E225:E$2)*(E226=E225:E$2)))))</f>
        <v> </v>
      </c>
      <c r="J226" s="26" t="str">
        <f>IF(OR(E226="",E226="!!!",F226="NEW"),"",COUNTBLANK(OFFSET(A$1,,,SUMPRODUCT(MAX(ROW(E$2:E226)*(E226=E$2:E226)))))-COUNTBLANK(OFFSET(A$1,,,SUMPRODUCT(MAX(ROW(E$1:E225)*(E2=E$1:E225))))))</f>
        <v> </v>
      </c>
      <c r="K226" s="26" t="str">
        <f>IF(OR(E226="",E226="!!!",F226="NEW"),"",INDEX(J$1:J225,SUMPRODUCT(MAX(ROW(E$1:E225)*(E226=E$1:E225)))))</f>
        <v> </v>
      </c>
      <c r="L226" s="27"/>
    </row>
    <row r="227" spans="1:12">
      <c r="A227" s="20" t="s">
        <v>132</v>
      </c>
      <c r="E227" s="22">
        <f>IF(D227="?OLD","!!!","")</f>
        <v/>
      </c>
      <c r="F227" s="23" t="str">
        <f>IF(OR(E227="",E227="!!!"),"",IF(NOT(ISNA(VLOOKUP(E227,E$1:E226,1,FALSE()))),"OLD",IF(AND(E227&lt;&gt;"",E227&lt;&gt;"!!!"),"NEW","")))</f>
        <v> </v>
      </c>
      <c r="G227" s="24" t="str">
        <f>IF(OR(E227="",E227="!!!"),"",IF(OR(J227=0,AND(J227=1,K227=1),AND(J227=1,I227="SBJ"),AND(J227=1,I227=0)),"?IN_FOCUS",IF(J227&lt;=2,"?ACTIVATED",IF(J227&lt;&gt;"","?FAMILIAR",IF(F227="NEW",IF(ISNA(VLOOKUP(E227,#REF!,1,FALSE())),"?TYPE_IDENTIFIABLE","?REFERENTIAL"),"_")))))</f>
        <v> </v>
      </c>
      <c r="H227" s="25" t="str">
        <f>IF(J227&lt;&gt;1,"",IF(I227="SBJ","CB","?"))</f>
        <v> </v>
      </c>
      <c r="I227" s="26" t="str">
        <f>IF(OR(E227="",E227="!!!",F227="NEW"),"",INDEX(B226:B$2,-1+SUMPRODUCT(MAX(ROW(E226:E$2)*(E227=E226:E$2)))))</f>
        <v> </v>
      </c>
      <c r="J227" s="26" t="str">
        <f>IF(OR(E227="",E227="!!!",F227="NEW"),"",COUNTBLANK(OFFSET(A$1,,,SUMPRODUCT(MAX(ROW(E$2:E227)*(E227=E$2:E227)))))-COUNTBLANK(OFFSET(A$1,,,SUMPRODUCT(MAX(ROW(E$1:E226)*(E2=E$1:E226))))))</f>
        <v> </v>
      </c>
      <c r="K227" s="26" t="str">
        <f>IF(OR(E227="",E227="!!!",F227="NEW"),"",INDEX(J$1:J226,SUMPRODUCT(MAX(ROW(E$1:E226)*(E227=E$1:E226)))))</f>
        <v> </v>
      </c>
      <c r="L227" s="27"/>
    </row>
    <row r="228" spans="1:12">
      <c r="A228" s="20" t="s">
        <v>258</v>
      </c>
      <c r="B228" s="21" t="s">
        <v>120</v>
      </c>
      <c r="C228" s="21" t="s">
        <v>112</v>
      </c>
      <c r="D228" s="21" t="s">
        <v>102</v>
      </c>
      <c r="E228" s="22">
        <f>IF(D228="?OLD","!!!","")</f>
        <v/>
      </c>
      <c r="F228" s="23" t="str">
        <f>IF(OR(E228="",E228="!!!"),"",IF(NOT(ISNA(VLOOKUP(E228,E$1:E227,1,FALSE()))),"OLD",IF(AND(E228&lt;&gt;"",E228&lt;&gt;"!!!"),"NEW","")))</f>
        <v> </v>
      </c>
      <c r="G228" s="24" t="str">
        <f>IF(OR(E228="",E228="!!!"),"",IF(OR(J228=0,AND(J228=1,K228=1),AND(J228=1,I228="SBJ"),AND(J228=1,I228=0)),"?IN_FOCUS",IF(J228&lt;=2,"?ACTIVATED",IF(J228&lt;&gt;"","?FAMILIAR",IF(F228="NEW",IF(ISNA(VLOOKUP(E228,#REF!,1,FALSE())),"?TYPE_IDENTIFIABLE","?REFERENTIAL"),"_")))))</f>
        <v> </v>
      </c>
      <c r="H228" s="25" t="str">
        <f>IF(J228&lt;&gt;1,"",IF(I228="SBJ","CB","?"))</f>
        <v> </v>
      </c>
      <c r="I228" s="26" t="str">
        <f>IF(OR(E228="",E228="!!!",F228="NEW"),"",INDEX(B227:B$2,-1+SUMPRODUCT(MAX(ROW(E227:E$2)*(E228=E227:E$2)))))</f>
        <v> </v>
      </c>
      <c r="J228" s="26" t="str">
        <f>IF(OR(E228="",E228="!!!",F228="NEW"),"",COUNTBLANK(OFFSET(A$1,,,SUMPRODUCT(MAX(ROW(E$2:E228)*(E228=E$2:E228)))))-COUNTBLANK(OFFSET(A$1,,,SUMPRODUCT(MAX(ROW(E$1:E227)*(E2=E$1:E227))))))</f>
        <v> </v>
      </c>
      <c r="K228" s="26" t="str">
        <f>IF(OR(E228="",E228="!!!",F228="NEW"),"",INDEX(J$1:J227,SUMPRODUCT(MAX(ROW(E$1:E227)*(E228=E$1:E227)))))</f>
        <v> </v>
      </c>
      <c r="L228" s="27"/>
    </row>
    <row r="229" spans="1:12">
      <c r="A229" s="20" t="s">
        <v>121</v>
      </c>
      <c r="E229" s="22">
        <f>IF(D229="?OLD","!!!","")</f>
        <v/>
      </c>
      <c r="F229" s="23" t="str">
        <f>IF(OR(E229="",E229="!!!"),"",IF(NOT(ISNA(VLOOKUP(E229,E$1:E228,1,FALSE()))),"OLD",IF(AND(E229&lt;&gt;"",E229&lt;&gt;"!!!"),"NEW","")))</f>
        <v> </v>
      </c>
      <c r="G229" s="24" t="str">
        <f>IF(OR(E229="",E229="!!!"),"",IF(OR(J229=0,AND(J229=1,K229=1),AND(J229=1,I229="SBJ"),AND(J229=1,I229=0)),"?IN_FOCUS",IF(J229&lt;=2,"?ACTIVATED",IF(J229&lt;&gt;"","?FAMILIAR",IF(F229="NEW",IF(ISNA(VLOOKUP(E229,#REF!,1,FALSE())),"?TYPE_IDENTIFIABLE","?REFERENTIAL"),"_")))))</f>
        <v> </v>
      </c>
      <c r="H229" s="25" t="str">
        <f>IF(J229&lt;&gt;1,"",IF(I229="SBJ","CB","?"))</f>
        <v> </v>
      </c>
      <c r="I229" s="26" t="str">
        <f>IF(OR(E229="",E229="!!!",F229="NEW"),"",INDEX(B228:B$2,-1+SUMPRODUCT(MAX(ROW(E228:E$2)*(E229=E228:E$2)))))</f>
        <v> </v>
      </c>
      <c r="J229" s="26" t="str">
        <f>IF(OR(E229="",E229="!!!",F229="NEW"),"",COUNTBLANK(OFFSET(A$1,,,SUMPRODUCT(MAX(ROW(E$2:E229)*(E229=E$2:E229)))))-COUNTBLANK(OFFSET(A$1,,,SUMPRODUCT(MAX(ROW(E$1:E228)*(E2=E$1:E228))))))</f>
        <v> </v>
      </c>
      <c r="K229" s="26" t="str">
        <f>IF(OR(E229="",E229="!!!",F229="NEW"),"",INDEX(J$1:J228,SUMPRODUCT(MAX(ROW(E$1:E228)*(E229=E$1:E228)))))</f>
        <v> </v>
      </c>
      <c r="L229" s="27"/>
    </row>
    <row r="230" spans="1:12">
      <c r="A230" s="20" t="s">
        <v>259</v>
      </c>
      <c r="B230" s="21" t="s">
        <v>120</v>
      </c>
      <c r="C230" s="21" t="s">
        <v>92</v>
      </c>
      <c r="E230" s="22">
        <f>IF(D230="?OLD","!!!","")</f>
        <v/>
      </c>
      <c r="F230" s="23" t="str">
        <f>IF(OR(E230="",E230="!!!"),"",IF(NOT(ISNA(VLOOKUP(E230,E$1:E229,1,FALSE()))),"OLD",IF(AND(E230&lt;&gt;"",E230&lt;&gt;"!!!"),"NEW","")))</f>
        <v> </v>
      </c>
      <c r="G230" s="24" t="str">
        <f>IF(OR(E230="",E230="!!!"),"",IF(OR(J230=0,AND(J230=1,K230=1),AND(J230=1,I230="SBJ"),AND(J230=1,I230=0)),"?IN_FOCUS",IF(J230&lt;=2,"?ACTIVATED",IF(J230&lt;&gt;"","?FAMILIAR",IF(F230="NEW",IF(ISNA(VLOOKUP(E230,#REF!,1,FALSE())),"?TYPE_IDENTIFIABLE","?REFERENTIAL"),"_")))))</f>
        <v> </v>
      </c>
      <c r="H230" s="25" t="str">
        <f>IF(J230&lt;&gt;1,"",IF(I230="SBJ","CB","?"))</f>
        <v> </v>
      </c>
      <c r="I230" s="26" t="str">
        <f>IF(OR(E230="",E230="!!!",F230="NEW"),"",INDEX(B229:B$2,-1+SUMPRODUCT(MAX(ROW(E229:E$2)*(E230=E229:E$2)))))</f>
        <v> </v>
      </c>
      <c r="J230" s="26" t="str">
        <f>IF(OR(E230="",E230="!!!",F230="NEW"),"",COUNTBLANK(OFFSET(A$1,,,SUMPRODUCT(MAX(ROW(E$2:E230)*(E230=E$2:E230)))))-COUNTBLANK(OFFSET(A$1,,,SUMPRODUCT(MAX(ROW(E$1:E229)*(E2=E$1:E229))))))</f>
        <v> </v>
      </c>
      <c r="K230" s="26" t="str">
        <f>IF(OR(E230="",E230="!!!",F230="NEW"),"",INDEX(J$1:J229,SUMPRODUCT(MAX(ROW(E$1:E229)*(E230=E$1:E229)))))</f>
        <v> </v>
      </c>
      <c r="L230" s="27"/>
    </row>
    <row r="231" spans="1:12">
      <c r="A231" s="20" t="s">
        <v>260</v>
      </c>
      <c r="E231" s="22">
        <f>IF(D231="?OLD","!!!","")</f>
        <v/>
      </c>
      <c r="F231" s="23" t="str">
        <f>IF(OR(E231="",E231="!!!"),"",IF(NOT(ISNA(VLOOKUP(E231,E$1:E230,1,FALSE()))),"OLD",IF(AND(E231&lt;&gt;"",E231&lt;&gt;"!!!"),"NEW","")))</f>
        <v> </v>
      </c>
      <c r="G231" s="24" t="str">
        <f>IF(OR(E231="",E231="!!!"),"",IF(OR(J231=0,AND(J231=1,K231=1),AND(J231=1,I231="SBJ"),AND(J231=1,I231=0)),"?IN_FOCUS",IF(J231&lt;=2,"?ACTIVATED",IF(J231&lt;&gt;"","?FAMILIAR",IF(F231="NEW",IF(ISNA(VLOOKUP(E231,#REF!,1,FALSE())),"?TYPE_IDENTIFIABLE","?REFERENTIAL"),"_")))))</f>
        <v> </v>
      </c>
      <c r="H231" s="25" t="str">
        <f>IF(J231&lt;&gt;1,"",IF(I231="SBJ","CB","?"))</f>
        <v> </v>
      </c>
      <c r="I231" s="26" t="str">
        <f>IF(OR(E231="",E231="!!!",F231="NEW"),"",INDEX(B230:B$2,-1+SUMPRODUCT(MAX(ROW(E230:E$2)*(E231=E230:E$2)))))</f>
        <v> </v>
      </c>
      <c r="J231" s="26" t="str">
        <f>IF(OR(E231="",E231="!!!",F231="NEW"),"",COUNTBLANK(OFFSET(A$1,,,SUMPRODUCT(MAX(ROW(E$2:E231)*(E231=E$2:E231)))))-COUNTBLANK(OFFSET(A$1,,,SUMPRODUCT(MAX(ROW(E$1:E230)*(E2=E$1:E230))))))</f>
        <v> </v>
      </c>
      <c r="K231" s="26" t="str">
        <f>IF(OR(E231="",E231="!!!",F231="NEW"),"",INDEX(J$1:J230,SUMPRODUCT(MAX(ROW(E$1:E230)*(E231=E$1:E230)))))</f>
        <v> </v>
      </c>
      <c r="L231" s="27"/>
    </row>
    <row r="232" spans="1:12">
      <c r="A232" s="20" t="s">
        <v>147</v>
      </c>
      <c r="E232" s="22">
        <f>IF(D232="?OLD","!!!","")</f>
        <v/>
      </c>
      <c r="F232" s="23" t="str">
        <f>IF(OR(E232="",E232="!!!"),"",IF(NOT(ISNA(VLOOKUP(E232,E$1:E231,1,FALSE()))),"OLD",IF(AND(E232&lt;&gt;"",E232&lt;&gt;"!!!"),"NEW","")))</f>
        <v> </v>
      </c>
      <c r="G232" s="24" t="str">
        <f>IF(OR(E232="",E232="!!!"),"",IF(OR(J232=0,AND(J232=1,K232=1),AND(J232=1,I232="SBJ"),AND(J232=1,I232=0)),"?IN_FOCUS",IF(J232&lt;=2,"?ACTIVATED",IF(J232&lt;&gt;"","?FAMILIAR",IF(F232="NEW",IF(ISNA(VLOOKUP(E232,#REF!,1,FALSE())),"?TYPE_IDENTIFIABLE","?REFERENTIAL"),"_")))))</f>
        <v> </v>
      </c>
      <c r="H232" s="25" t="str">
        <f>IF(J232&lt;&gt;1,"",IF(I232="SBJ","CB","?"))</f>
        <v> </v>
      </c>
      <c r="I232" s="26" t="str">
        <f>IF(OR(E232="",E232="!!!",F232="NEW"),"",INDEX(B231:B$2,-1+SUMPRODUCT(MAX(ROW(E231:E$2)*(E232=E231:E$2)))))</f>
        <v> </v>
      </c>
      <c r="J232" s="26" t="str">
        <f>IF(OR(E232="",E232="!!!",F232="NEW"),"",COUNTBLANK(OFFSET(A$1,,,SUMPRODUCT(MAX(ROW(E$2:E232)*(E232=E$2:E232)))))-COUNTBLANK(OFFSET(A$1,,,SUMPRODUCT(MAX(ROW(E$1:E231)*(E2=E$1:E231))))))</f>
        <v> </v>
      </c>
      <c r="K232" s="26" t="str">
        <f>IF(OR(E232="",E232="!!!",F232="NEW"),"",INDEX(J$1:J231,SUMPRODUCT(MAX(ROW(E$1:E231)*(E232=E$1:E231)))))</f>
        <v> </v>
      </c>
      <c r="L232" s="27"/>
    </row>
    <row r="233" spans="1:12">
      <c r="A233" s="20" t="s">
        <v>132</v>
      </c>
      <c r="E233" s="22">
        <f>IF(D233="?OLD","!!!","")</f>
        <v/>
      </c>
      <c r="F233" s="23" t="str">
        <f>IF(OR(E233="",E233="!!!"),"",IF(NOT(ISNA(VLOOKUP(E233,E$1:E232,1,FALSE()))),"OLD",IF(AND(E233&lt;&gt;"",E233&lt;&gt;"!!!"),"NEW","")))</f>
        <v> </v>
      </c>
      <c r="G233" s="24" t="str">
        <f>IF(OR(E233="",E233="!!!"),"",IF(OR(J233=0,AND(J233=1,K233=1),AND(J233=1,I233="SBJ"),AND(J233=1,I233=0)),"?IN_FOCUS",IF(J233&lt;=2,"?ACTIVATED",IF(J233&lt;&gt;"","?FAMILIAR",IF(F233="NEW",IF(ISNA(VLOOKUP(E233,#REF!,1,FALSE())),"?TYPE_IDENTIFIABLE","?REFERENTIAL"),"_")))))</f>
        <v> </v>
      </c>
      <c r="H233" s="25" t="str">
        <f>IF(J233&lt;&gt;1,"",IF(I233="SBJ","CB","?"))</f>
        <v> </v>
      </c>
      <c r="I233" s="26" t="str">
        <f>IF(OR(E233="",E233="!!!",F233="NEW"),"",INDEX(B232:B$2,-1+SUMPRODUCT(MAX(ROW(E232:E$2)*(E233=E232:E$2)))))</f>
        <v> </v>
      </c>
      <c r="J233" s="26" t="str">
        <f>IF(OR(E233="",E233="!!!",F233="NEW"),"",COUNTBLANK(OFFSET(A$1,,,SUMPRODUCT(MAX(ROW(E$2:E233)*(E233=E$2:E233)))))-COUNTBLANK(OFFSET(A$1,,,SUMPRODUCT(MAX(ROW(E$1:E232)*(E2=E$1:E232))))))</f>
        <v> </v>
      </c>
      <c r="K233" s="26" t="str">
        <f>IF(OR(E233="",E233="!!!",F233="NEW"),"",INDEX(J$1:J232,SUMPRODUCT(MAX(ROW(E$1:E232)*(E233=E$1:E232)))))</f>
        <v> </v>
      </c>
      <c r="L233" s="27"/>
    </row>
    <row r="234" spans="1:12">
      <c r="A234" s="20" t="s">
        <v>261</v>
      </c>
      <c r="B234" s="21" t="s">
        <v>161</v>
      </c>
      <c r="C234" s="21" t="s">
        <v>112</v>
      </c>
      <c r="D234" s="21" t="s">
        <v>102</v>
      </c>
      <c r="E234" s="22">
        <f>IF(D234="?OLD","!!!","")</f>
        <v/>
      </c>
      <c r="F234" s="23" t="str">
        <f>IF(OR(E234="",E234="!!!"),"",IF(NOT(ISNA(VLOOKUP(E234,E$1:E233,1,FALSE()))),"OLD",IF(AND(E234&lt;&gt;"",E234&lt;&gt;"!!!"),"NEW","")))</f>
        <v> </v>
      </c>
      <c r="G234" s="24" t="str">
        <f>IF(OR(E234="",E234="!!!"),"",IF(OR(J234=0,AND(J234=1,K234=1),AND(J234=1,I234="SBJ"),AND(J234=1,I234=0)),"?IN_FOCUS",IF(J234&lt;=2,"?ACTIVATED",IF(J234&lt;&gt;"","?FAMILIAR",IF(F234="NEW",IF(ISNA(VLOOKUP(E234,#REF!,1,FALSE())),"?TYPE_IDENTIFIABLE","?REFERENTIAL"),"_")))))</f>
        <v> </v>
      </c>
      <c r="H234" s="25" t="str">
        <f>IF(J234&lt;&gt;1,"",IF(I234="SBJ","CB","?"))</f>
        <v> </v>
      </c>
      <c r="I234" s="26" t="str">
        <f>IF(OR(E234="",E234="!!!",F234="NEW"),"",INDEX(B233:B$2,-1+SUMPRODUCT(MAX(ROW(E233:E$2)*(E234=E233:E$2)))))</f>
        <v> </v>
      </c>
      <c r="J234" s="26" t="str">
        <f>IF(OR(E234="",E234="!!!",F234="NEW"),"",COUNTBLANK(OFFSET(A$1,,,SUMPRODUCT(MAX(ROW(E$2:E234)*(E234=E$2:E234)))))-COUNTBLANK(OFFSET(A$1,,,SUMPRODUCT(MAX(ROW(E$1:E233)*(E2=E$1:E233))))))</f>
        <v> </v>
      </c>
      <c r="K234" s="26" t="str">
        <f>IF(OR(E234="",E234="!!!",F234="NEW"),"",INDEX(J$1:J233,SUMPRODUCT(MAX(ROW(E$1:E233)*(E234=E$1:E233)))))</f>
        <v> </v>
      </c>
      <c r="L234" s="27"/>
    </row>
    <row r="235" spans="1:12">
      <c r="A235" s="20" t="s">
        <v>262</v>
      </c>
      <c r="E235" s="22">
        <f>IF(D235="?OLD","!!!","")</f>
        <v/>
      </c>
      <c r="F235" s="23" t="str">
        <f>IF(OR(E235="",E235="!!!"),"",IF(NOT(ISNA(VLOOKUP(E235,E$1:E234,1,FALSE()))),"OLD",IF(AND(E235&lt;&gt;"",E235&lt;&gt;"!!!"),"NEW","")))</f>
        <v> </v>
      </c>
      <c r="G235" s="24" t="str">
        <f>IF(OR(E235="",E235="!!!"),"",IF(OR(J235=0,AND(J235=1,K235=1),AND(J235=1,I235="SBJ"),AND(J235=1,I235=0)),"?IN_FOCUS",IF(J235&lt;=2,"?ACTIVATED",IF(J235&lt;&gt;"","?FAMILIAR",IF(F235="NEW",IF(ISNA(VLOOKUP(E235,#REF!,1,FALSE())),"?TYPE_IDENTIFIABLE","?REFERENTIAL"),"_")))))</f>
        <v> </v>
      </c>
      <c r="H235" s="25" t="str">
        <f>IF(J235&lt;&gt;1,"",IF(I235="SBJ","CB","?"))</f>
        <v> </v>
      </c>
      <c r="I235" s="26" t="str">
        <f>IF(OR(E235="",E235="!!!",F235="NEW"),"",INDEX(B234:B$2,-1+SUMPRODUCT(MAX(ROW(E234:E$2)*(E235=E234:E$2)))))</f>
        <v> </v>
      </c>
      <c r="J235" s="26" t="str">
        <f>IF(OR(E235="",E235="!!!",F235="NEW"),"",COUNTBLANK(OFFSET(A$1,,,SUMPRODUCT(MAX(ROW(E$2:E235)*(E235=E$2:E235)))))-COUNTBLANK(OFFSET(A$1,,,SUMPRODUCT(MAX(ROW(E$1:E234)*(E2=E$1:E234))))))</f>
        <v> </v>
      </c>
      <c r="K235" s="26" t="str">
        <f>IF(OR(E235="",E235="!!!",F235="NEW"),"",INDEX(J$1:J234,SUMPRODUCT(MAX(ROW(E$1:E234)*(E235=E$1:E234)))))</f>
        <v> </v>
      </c>
      <c r="L235" s="27"/>
    </row>
    <row r="236" spans="1:12">
      <c r="A236" s="20" t="s">
        <v>263</v>
      </c>
      <c r="B236" s="21" t="s">
        <v>195</v>
      </c>
      <c r="C236" s="21" t="s">
        <v>92</v>
      </c>
      <c r="E236" s="22">
        <f>IF(D236="?OLD","!!!","")</f>
        <v/>
      </c>
      <c r="F236" s="23" t="str">
        <f>IF(OR(E236="",E236="!!!"),"",IF(NOT(ISNA(VLOOKUP(E236,E$1:E235,1,FALSE()))),"OLD",IF(AND(E236&lt;&gt;"",E236&lt;&gt;"!!!"),"NEW","")))</f>
        <v> </v>
      </c>
      <c r="G236" s="24" t="str">
        <f>IF(OR(E236="",E236="!!!"),"",IF(OR(J236=0,AND(J236=1,K236=1),AND(J236=1,I236="SBJ"),AND(J236=1,I236=0)),"?IN_FOCUS",IF(J236&lt;=2,"?ACTIVATED",IF(J236&lt;&gt;"","?FAMILIAR",IF(F236="NEW",IF(ISNA(VLOOKUP(E236,#REF!,1,FALSE())),"?TYPE_IDENTIFIABLE","?REFERENTIAL"),"_")))))</f>
        <v> </v>
      </c>
      <c r="H236" s="25" t="str">
        <f>IF(J236&lt;&gt;1,"",IF(I236="SBJ","CB","?"))</f>
        <v> </v>
      </c>
      <c r="I236" s="26" t="str">
        <f>IF(OR(E236="",E236="!!!",F236="NEW"),"",INDEX(B235:B$2,-1+SUMPRODUCT(MAX(ROW(E235:E$2)*(E236=E235:E$2)))))</f>
        <v> </v>
      </c>
      <c r="J236" s="26" t="str">
        <f>IF(OR(E236="",E236="!!!",F236="NEW"),"",COUNTBLANK(OFFSET(A$1,,,SUMPRODUCT(MAX(ROW(E$2:E236)*(E236=E$2:E236)))))-COUNTBLANK(OFFSET(A$1,,,SUMPRODUCT(MAX(ROW(E$1:E235)*(E2=E$1:E235))))))</f>
        <v> </v>
      </c>
      <c r="K236" s="26" t="str">
        <f>IF(OR(E236="",E236="!!!",F236="NEW"),"",INDEX(J$1:J235,SUMPRODUCT(MAX(ROW(E$1:E235)*(E236=E$1:E235)))))</f>
        <v> </v>
      </c>
      <c r="L236" s="27"/>
    </row>
    <row r="237" spans="1:12">
      <c r="A237" s="20" t="s">
        <v>173</v>
      </c>
      <c r="B237" s="21" t="s">
        <v>107</v>
      </c>
      <c r="E237" s="22">
        <f>IF(D237="?OLD","!!!","")</f>
        <v/>
      </c>
      <c r="F237" s="23" t="str">
        <f>IF(OR(E237="",E237="!!!"),"",IF(NOT(ISNA(VLOOKUP(E237,E$1:E236,1,FALSE()))),"OLD",IF(AND(E237&lt;&gt;"",E237&lt;&gt;"!!!"),"NEW","")))</f>
        <v> </v>
      </c>
      <c r="G237" s="24" t="str">
        <f>IF(OR(E237="",E237="!!!"),"",IF(OR(J237=0,AND(J237=1,K237=1),AND(J237=1,I237="SBJ"),AND(J237=1,I237=0)),"?IN_FOCUS",IF(J237&lt;=2,"?ACTIVATED",IF(J237&lt;&gt;"","?FAMILIAR",IF(F237="NEW",IF(ISNA(VLOOKUP(E237,#REF!,1,FALSE())),"?TYPE_IDENTIFIABLE","?REFERENTIAL"),"_")))))</f>
        <v> </v>
      </c>
      <c r="H237" s="25" t="str">
        <f>IF(J237&lt;&gt;1,"",IF(I237="SBJ","CB","?"))</f>
        <v> </v>
      </c>
      <c r="I237" s="26" t="str">
        <f>IF(OR(E237="",E237="!!!",F237="NEW"),"",INDEX(B236:B$2,-1+SUMPRODUCT(MAX(ROW(E236:E$2)*(E237=E236:E$2)))))</f>
        <v> </v>
      </c>
      <c r="J237" s="26" t="str">
        <f>IF(OR(E237="",E237="!!!",F237="NEW"),"",COUNTBLANK(OFFSET(A$1,,,SUMPRODUCT(MAX(ROW(E$2:E237)*(E237=E$2:E237)))))-COUNTBLANK(OFFSET(A$1,,,SUMPRODUCT(MAX(ROW(E$1:E236)*(E2=E$1:E236))))))</f>
        <v> </v>
      </c>
      <c r="K237" s="26" t="str">
        <f>IF(OR(E237="",E237="!!!",F237="NEW"),"",INDEX(J$1:J236,SUMPRODUCT(MAX(ROW(E$1:E236)*(E237=E$1:E236)))))</f>
        <v> </v>
      </c>
      <c r="L237" s="27"/>
    </row>
    <row r="238" spans="1:12">
      <c r="A238" s="20" t="s">
        <v>137</v>
      </c>
      <c r="E238" s="22">
        <f>IF(D238="?OLD","!!!","")</f>
        <v/>
      </c>
      <c r="F238" s="23" t="str">
        <f>IF(OR(E238="",E238="!!!"),"",IF(NOT(ISNA(VLOOKUP(E238,E$1:E237,1,FALSE()))),"OLD",IF(AND(E238&lt;&gt;"",E238&lt;&gt;"!!!"),"NEW","")))</f>
        <v> </v>
      </c>
      <c r="G238" s="24" t="str">
        <f>IF(OR(E238="",E238="!!!"),"",IF(OR(J238=0,AND(J238=1,K238=1),AND(J238=1,I238="SBJ"),AND(J238=1,I238=0)),"?IN_FOCUS",IF(J238&lt;=2,"?ACTIVATED",IF(J238&lt;&gt;"","?FAMILIAR",IF(F238="NEW",IF(ISNA(VLOOKUP(E238,#REF!,1,FALSE())),"?TYPE_IDENTIFIABLE","?REFERENTIAL"),"_")))))</f>
        <v> </v>
      </c>
      <c r="H238" s="25" t="str">
        <f>IF(J238&lt;&gt;1,"",IF(I238="SBJ","CB","?"))</f>
        <v> </v>
      </c>
      <c r="I238" s="26" t="str">
        <f>IF(OR(E238="",E238="!!!",F238="NEW"),"",INDEX(B237:B$2,-1+SUMPRODUCT(MAX(ROW(E237:E$2)*(E238=E237:E$2)))))</f>
        <v> </v>
      </c>
      <c r="J238" s="26" t="str">
        <f>IF(OR(E238="",E238="!!!",F238="NEW"),"",COUNTBLANK(OFFSET(A$1,,,SUMPRODUCT(MAX(ROW(E$2:E238)*(E238=E$2:E238)))))-COUNTBLANK(OFFSET(A$1,,,SUMPRODUCT(MAX(ROW(E$1:E237)*(E2=E$1:E237))))))</f>
        <v> </v>
      </c>
      <c r="K238" s="26" t="str">
        <f>IF(OR(E238="",E238="!!!",F238="NEW"),"",INDEX(J$1:J237,SUMPRODUCT(MAX(ROW(E$1:E237)*(E238=E$1:E237)))))</f>
        <v> </v>
      </c>
      <c r="L238" s="27"/>
    </row>
    <row r="239" spans="1:12">
      <c r="A239" s="20" t="s">
        <v>264</v>
      </c>
      <c r="E239" s="22">
        <f>IF(D239="?OLD","!!!","")</f>
        <v/>
      </c>
      <c r="F239" s="23" t="str">
        <f>IF(OR(E239="",E239="!!!"),"",IF(NOT(ISNA(VLOOKUP(E239,E$1:E238,1,FALSE()))),"OLD",IF(AND(E239&lt;&gt;"",E239&lt;&gt;"!!!"),"NEW","")))</f>
        <v> </v>
      </c>
      <c r="G239" s="24" t="str">
        <f>IF(OR(E239="",E239="!!!"),"",IF(OR(J239=0,AND(J239=1,K239=1),AND(J239=1,I239="SBJ"),AND(J239=1,I239=0)),"?IN_FOCUS",IF(J239&lt;=2,"?ACTIVATED",IF(J239&lt;&gt;"","?FAMILIAR",IF(F239="NEW",IF(ISNA(VLOOKUP(E239,#REF!,1,FALSE())),"?TYPE_IDENTIFIABLE","?REFERENTIAL"),"_")))))</f>
        <v> </v>
      </c>
      <c r="H239" s="25" t="str">
        <f>IF(J239&lt;&gt;1,"",IF(I239="SBJ","CB","?"))</f>
        <v> </v>
      </c>
      <c r="I239" s="26" t="str">
        <f>IF(OR(E239="",E239="!!!",F239="NEW"),"",INDEX(B238:B$2,-1+SUMPRODUCT(MAX(ROW(E238:E$2)*(E239=E238:E$2)))))</f>
        <v> </v>
      </c>
      <c r="J239" s="26" t="str">
        <f>IF(OR(E239="",E239="!!!",F239="NEW"),"",COUNTBLANK(OFFSET(A$1,,,SUMPRODUCT(MAX(ROW(E$2:E239)*(E239=E$2:E239)))))-COUNTBLANK(OFFSET(A$1,,,SUMPRODUCT(MAX(ROW(E$1:E238)*(E2=E$1:E238))))))</f>
        <v> </v>
      </c>
      <c r="K239" s="26" t="str">
        <f>IF(OR(E239="",E239="!!!",F239="NEW"),"",INDEX(J$1:J238,SUMPRODUCT(MAX(ROW(E$1:E238)*(E239=E$1:E238)))))</f>
        <v> </v>
      </c>
      <c r="L239" s="27"/>
    </row>
    <row r="240" spans="1:12">
      <c r="A240" s="20" t="s">
        <v>169</v>
      </c>
      <c r="E240" s="22">
        <f>IF(D240="?OLD","!!!","")</f>
        <v/>
      </c>
      <c r="F240" s="23" t="str">
        <f>IF(OR(E240="",E240="!!!"),"",IF(NOT(ISNA(VLOOKUP(E240,E$1:E239,1,FALSE()))),"OLD",IF(AND(E240&lt;&gt;"",E240&lt;&gt;"!!!"),"NEW","")))</f>
        <v> </v>
      </c>
      <c r="G240" s="24" t="str">
        <f>IF(OR(E240="",E240="!!!"),"",IF(OR(J240=0,AND(J240=1,K240=1),AND(J240=1,I240="SBJ"),AND(J240=1,I240=0)),"?IN_FOCUS",IF(J240&lt;=2,"?ACTIVATED",IF(J240&lt;&gt;"","?FAMILIAR",IF(F240="NEW",IF(ISNA(VLOOKUP(E240,#REF!,1,FALSE())),"?TYPE_IDENTIFIABLE","?REFERENTIAL"),"_")))))</f>
        <v> </v>
      </c>
      <c r="H240" s="25" t="str">
        <f>IF(J240&lt;&gt;1,"",IF(I240="SBJ","CB","?"))</f>
        <v> </v>
      </c>
      <c r="I240" s="26" t="str">
        <f>IF(OR(E240="",E240="!!!",F240="NEW"),"",INDEX(B239:B$2,-1+SUMPRODUCT(MAX(ROW(E239:E$2)*(E240=E239:E$2)))))</f>
        <v> </v>
      </c>
      <c r="J240" s="26" t="str">
        <f>IF(OR(E240="",E240="!!!",F240="NEW"),"",COUNTBLANK(OFFSET(A$1,,,SUMPRODUCT(MAX(ROW(E$2:E240)*(E240=E$2:E240)))))-COUNTBLANK(OFFSET(A$1,,,SUMPRODUCT(MAX(ROW(E$1:E239)*(E2=E$1:E239))))))</f>
        <v> </v>
      </c>
      <c r="K240" s="26" t="str">
        <f>IF(OR(E240="",E240="!!!",F240="NEW"),"",INDEX(J$1:J239,SUMPRODUCT(MAX(ROW(E$1:E239)*(E240=E$1:E239)))))</f>
        <v> </v>
      </c>
      <c r="L240" s="27"/>
    </row>
    <row r="241" spans="1:12">
      <c r="A241" s="20" t="s">
        <v>265</v>
      </c>
      <c r="E241" s="22">
        <f>IF(D241="?OLD","!!!","")</f>
        <v/>
      </c>
      <c r="F241" s="23" t="str">
        <f>IF(OR(E241="",E241="!!!"),"",IF(NOT(ISNA(VLOOKUP(E241,E$1:E240,1,FALSE()))),"OLD",IF(AND(E241&lt;&gt;"",E241&lt;&gt;"!!!"),"NEW","")))</f>
        <v> </v>
      </c>
      <c r="G241" s="24" t="str">
        <f>IF(OR(E241="",E241="!!!"),"",IF(OR(J241=0,AND(J241=1,K241=1),AND(J241=1,I241="SBJ"),AND(J241=1,I241=0)),"?IN_FOCUS",IF(J241&lt;=2,"?ACTIVATED",IF(J241&lt;&gt;"","?FAMILIAR",IF(F241="NEW",IF(ISNA(VLOOKUP(E241,#REF!,1,FALSE())),"?TYPE_IDENTIFIABLE","?REFERENTIAL"),"_")))))</f>
        <v> </v>
      </c>
      <c r="H241" s="25" t="str">
        <f>IF(J241&lt;&gt;1,"",IF(I241="SBJ","CB","?"))</f>
        <v> </v>
      </c>
      <c r="I241" s="26" t="str">
        <f>IF(OR(E241="",E241="!!!",F241="NEW"),"",INDEX(B240:B$2,-1+SUMPRODUCT(MAX(ROW(E240:E$2)*(E241=E240:E$2)))))</f>
        <v> </v>
      </c>
      <c r="J241" s="26" t="str">
        <f>IF(OR(E241="",E241="!!!",F241="NEW"),"",COUNTBLANK(OFFSET(A$1,,,SUMPRODUCT(MAX(ROW(E$2:E241)*(E241=E$2:E241)))))-COUNTBLANK(OFFSET(A$1,,,SUMPRODUCT(MAX(ROW(E$1:E240)*(E2=E$1:E240))))))</f>
        <v> </v>
      </c>
      <c r="K241" s="26" t="str">
        <f>IF(OR(E241="",E241="!!!",F241="NEW"),"",INDEX(J$1:J240,SUMPRODUCT(MAX(ROW(E$1:E240)*(E241=E$1:E240)))))</f>
        <v> </v>
      </c>
      <c r="L241" s="27"/>
    </row>
    <row r="242" spans="1:12">
      <c r="A242" s="20" t="s">
        <v>262</v>
      </c>
      <c r="E242" s="22">
        <f>IF(D242="?OLD","!!!","")</f>
        <v/>
      </c>
      <c r="F242" s="23" t="str">
        <f>IF(OR(E242="",E242="!!!"),"",IF(NOT(ISNA(VLOOKUP(E242,E$1:E241,1,FALSE()))),"OLD",IF(AND(E242&lt;&gt;"",E242&lt;&gt;"!!!"),"NEW","")))</f>
        <v> </v>
      </c>
      <c r="G242" s="24" t="str">
        <f>IF(OR(E242="",E242="!!!"),"",IF(OR(J242=0,AND(J242=1,K242=1),AND(J242=1,I242="SBJ"),AND(J242=1,I242=0)),"?IN_FOCUS",IF(J242&lt;=2,"?ACTIVATED",IF(J242&lt;&gt;"","?FAMILIAR",IF(F242="NEW",IF(ISNA(VLOOKUP(E242,#REF!,1,FALSE())),"?TYPE_IDENTIFIABLE","?REFERENTIAL"),"_")))))</f>
        <v> </v>
      </c>
      <c r="H242" s="25" t="str">
        <f>IF(J242&lt;&gt;1,"",IF(I242="SBJ","CB","?"))</f>
        <v> </v>
      </c>
      <c r="I242" s="26" t="str">
        <f>IF(OR(E242="",E242="!!!",F242="NEW"),"",INDEX(B241:B$2,-1+SUMPRODUCT(MAX(ROW(E241:E$2)*(E242=E241:E$2)))))</f>
        <v> </v>
      </c>
      <c r="J242" s="26" t="str">
        <f>IF(OR(E242="",E242="!!!",F242="NEW"),"",COUNTBLANK(OFFSET(A$1,,,SUMPRODUCT(MAX(ROW(E$2:E242)*(E242=E$2:E242)))))-COUNTBLANK(OFFSET(A$1,,,SUMPRODUCT(MAX(ROW(E$1:E241)*(E2=E$1:E241))))))</f>
        <v> </v>
      </c>
      <c r="K242" s="26" t="str">
        <f>IF(OR(E242="",E242="!!!",F242="NEW"),"",INDEX(J$1:J241,SUMPRODUCT(MAX(ROW(E$1:E241)*(E242=E$1:E241)))))</f>
        <v> </v>
      </c>
      <c r="L242" s="27"/>
    </row>
    <row r="243" spans="1:12">
      <c r="A243" s="20" t="s">
        <v>266</v>
      </c>
      <c r="E243" s="22">
        <f>IF(D243="?OLD","!!!","")</f>
        <v/>
      </c>
      <c r="F243" s="23" t="str">
        <f>IF(OR(E243="",E243="!!!"),"",IF(NOT(ISNA(VLOOKUP(E243,E$1:E242,1,FALSE()))),"OLD",IF(AND(E243&lt;&gt;"",E243&lt;&gt;"!!!"),"NEW","")))</f>
        <v> </v>
      </c>
      <c r="G243" s="24" t="str">
        <f>IF(OR(E243="",E243="!!!"),"",IF(OR(J243=0,AND(J243=1,K243=1),AND(J243=1,I243="SBJ"),AND(J243=1,I243=0)),"?IN_FOCUS",IF(J243&lt;=2,"?ACTIVATED",IF(J243&lt;&gt;"","?FAMILIAR",IF(F243="NEW",IF(ISNA(VLOOKUP(E243,#REF!,1,FALSE())),"?TYPE_IDENTIFIABLE","?REFERENTIAL"),"_")))))</f>
        <v> </v>
      </c>
      <c r="H243" s="25" t="str">
        <f>IF(J243&lt;&gt;1,"",IF(I243="SBJ","CB","?"))</f>
        <v> </v>
      </c>
      <c r="I243" s="26" t="str">
        <f>IF(OR(E243="",E243="!!!",F243="NEW"),"",INDEX(B242:B$2,-1+SUMPRODUCT(MAX(ROW(E242:E$2)*(E243=E242:E$2)))))</f>
        <v> </v>
      </c>
      <c r="J243" s="26" t="str">
        <f>IF(OR(E243="",E243="!!!",F243="NEW"),"",COUNTBLANK(OFFSET(A$1,,,SUMPRODUCT(MAX(ROW(E$2:E243)*(E243=E$2:E243)))))-COUNTBLANK(OFFSET(A$1,,,SUMPRODUCT(MAX(ROW(E$1:E242)*(E2=E$1:E242))))))</f>
        <v> </v>
      </c>
      <c r="K243" s="26" t="str">
        <f>IF(OR(E243="",E243="!!!",F243="NEW"),"",INDEX(J$1:J242,SUMPRODUCT(MAX(ROW(E$1:E242)*(E243=E$1:E242)))))</f>
        <v> </v>
      </c>
      <c r="L243" s="27"/>
    </row>
    <row r="244" spans="1:12">
      <c r="A244" s="20" t="s">
        <v>267</v>
      </c>
      <c r="B244" s="21" t="s">
        <v>195</v>
      </c>
      <c r="C244" s="21" t="s">
        <v>92</v>
      </c>
      <c r="E244" s="22">
        <f>IF(D244="?OLD","!!!","")</f>
        <v/>
      </c>
      <c r="F244" s="23" t="str">
        <f>IF(OR(E244="",E244="!!!"),"",IF(NOT(ISNA(VLOOKUP(E244,E$1:E243,1,FALSE()))),"OLD",IF(AND(E244&lt;&gt;"",E244&lt;&gt;"!!!"),"NEW","")))</f>
        <v> </v>
      </c>
      <c r="G244" s="24" t="str">
        <f>IF(OR(E244="",E244="!!!"),"",IF(OR(J244=0,AND(J244=1,K244=1),AND(J244=1,I244="SBJ"),AND(J244=1,I244=0)),"?IN_FOCUS",IF(J244&lt;=2,"?ACTIVATED",IF(J244&lt;&gt;"","?FAMILIAR",IF(F244="NEW",IF(ISNA(VLOOKUP(E244,#REF!,1,FALSE())),"?TYPE_IDENTIFIABLE","?REFERENTIAL"),"_")))))</f>
        <v> </v>
      </c>
      <c r="H244" s="25" t="str">
        <f>IF(J244&lt;&gt;1,"",IF(I244="SBJ","CB","?"))</f>
        <v> </v>
      </c>
      <c r="I244" s="26" t="str">
        <f>IF(OR(E244="",E244="!!!",F244="NEW"),"",INDEX(B243:B$2,-1+SUMPRODUCT(MAX(ROW(E243:E$2)*(E244=E243:E$2)))))</f>
        <v> </v>
      </c>
      <c r="J244" s="26" t="str">
        <f>IF(OR(E244="",E244="!!!",F244="NEW"),"",COUNTBLANK(OFFSET(A$1,,,SUMPRODUCT(MAX(ROW(E$2:E244)*(E244=E$2:E244)))))-COUNTBLANK(OFFSET(A$1,,,SUMPRODUCT(MAX(ROW(E$1:E243)*(E2=E$1:E243))))))</f>
        <v> </v>
      </c>
      <c r="K244" s="26" t="str">
        <f>IF(OR(E244="",E244="!!!",F244="NEW"),"",INDEX(J$1:J243,SUMPRODUCT(MAX(ROW(E$1:E243)*(E244=E$1:E243)))))</f>
        <v> </v>
      </c>
      <c r="L244" s="27"/>
    </row>
    <row r="245" spans="1:12">
      <c r="A245" s="20" t="s">
        <v>155</v>
      </c>
      <c r="E245" s="22">
        <f>IF(D245="?OLD","!!!","")</f>
        <v/>
      </c>
      <c r="F245" s="23" t="str">
        <f>IF(OR(E245="",E245="!!!"),"",IF(NOT(ISNA(VLOOKUP(E245,E$1:E244,1,FALSE()))),"OLD",IF(AND(E245&lt;&gt;"",E245&lt;&gt;"!!!"),"NEW","")))</f>
        <v> </v>
      </c>
      <c r="G245" s="24" t="str">
        <f>IF(OR(E245="",E245="!!!"),"",IF(OR(J245=0,AND(J245=1,K245=1),AND(J245=1,I245="SBJ"),AND(J245=1,I245=0)),"?IN_FOCUS",IF(J245&lt;=2,"?ACTIVATED",IF(J245&lt;&gt;"","?FAMILIAR",IF(F245="NEW",IF(ISNA(VLOOKUP(E245,#REF!,1,FALSE())),"?TYPE_IDENTIFIABLE","?REFERENTIAL"),"_")))))</f>
        <v> </v>
      </c>
      <c r="H245" s="25" t="str">
        <f>IF(J245&lt;&gt;1,"",IF(I245="SBJ","CB","?"))</f>
        <v> </v>
      </c>
      <c r="I245" s="26" t="str">
        <f>IF(OR(E245="",E245="!!!",F245="NEW"),"",INDEX(B244:B$2,-1+SUMPRODUCT(MAX(ROW(E244:E$2)*(E245=E244:E$2)))))</f>
        <v> </v>
      </c>
      <c r="J245" s="26" t="str">
        <f>IF(OR(E245="",E245="!!!",F245="NEW"),"",COUNTBLANK(OFFSET(A$1,,,SUMPRODUCT(MAX(ROW(E$2:E245)*(E245=E$2:E245)))))-COUNTBLANK(OFFSET(A$1,,,SUMPRODUCT(MAX(ROW(E$1:E244)*(E2=E$1:E244))))))</f>
        <v> </v>
      </c>
      <c r="K245" s="26" t="str">
        <f>IF(OR(E245="",E245="!!!",F245="NEW"),"",INDEX(J$1:J244,SUMPRODUCT(MAX(ROW(E$1:E244)*(E245=E$1:E244)))))</f>
        <v> </v>
      </c>
      <c r="L245" s="27"/>
    </row>
    <row r="246" spans="1:12">
      <c r="A246" s="20"/>
    </row>
    <row r="247" spans="1:12">
      <c r="A247" s="20" t="s">
        <v>268</v>
      </c>
    </row>
    <row r="248" spans="1:12">
      <c r="A248" s="20" t="s">
        <v>269</v>
      </c>
      <c r="B248" s="21" t="s">
        <v>91</v>
      </c>
      <c r="C248" s="21" t="s">
        <v>270</v>
      </c>
      <c r="D248" s="21" t="s">
        <v>102</v>
      </c>
      <c r="E248" s="22">
        <f>IF(D248="?OLD","!!!","")</f>
        <v/>
      </c>
      <c r="F248" s="23" t="str">
        <f>IF(OR(E248="",E248="!!!"),"",IF(NOT(ISNA(VLOOKUP(E248,E$1:E247,1,FALSE()))),"OLD",IF(AND(E248&lt;&gt;"",E248&lt;&gt;"!!!"),"NEW","")))</f>
        <v> </v>
      </c>
      <c r="G248" s="24" t="str">
        <f>IF(OR(E248="",E248="!!!"),"",IF(OR(J248=0,AND(J248=1,K248=1),AND(J248=1,I248="SBJ"),AND(J248=1,I248=0)),"?IN_FOCUS",IF(J248&lt;=2,"?ACTIVATED",IF(J248&lt;&gt;"","?FAMILIAR",IF(F248="NEW",IF(ISNA(VLOOKUP(E248,#REF!,1,FALSE())),"?TYPE_IDENTIFIABLE","?REFERENTIAL"),"_")))))</f>
        <v> </v>
      </c>
      <c r="H248" s="25" t="str">
        <f>IF(J248&lt;&gt;1,"",IF(I248="SBJ","CB","?"))</f>
        <v> </v>
      </c>
      <c r="I248" s="26" t="str">
        <f>IF(OR(E248="",E248="!!!",F248="NEW"),"",INDEX(B247:B$2,-1+SUMPRODUCT(MAX(ROW(E247:E$2)*(E248=E247:E$2)))))</f>
        <v> </v>
      </c>
      <c r="J248" s="26" t="str">
        <f>IF(OR(E248="",E248="!!!",F248="NEW"),"",COUNTBLANK(OFFSET(A$1,,,SUMPRODUCT(MAX(ROW(E$2:E248)*(E248=E$2:E248)))))-COUNTBLANK(OFFSET(A$1,,,SUMPRODUCT(MAX(ROW(E$1:E247)*(E2=E$1:E247))))))</f>
        <v> </v>
      </c>
      <c r="K248" s="26" t="str">
        <f>IF(OR(E248="",E248="!!!",F248="NEW"),"",INDEX(J$1:J247,SUMPRODUCT(MAX(ROW(E$1:E247)*(E248=E$1:E247)))))</f>
        <v> </v>
      </c>
      <c r="L248" s="27"/>
    </row>
    <row r="249" spans="1:12">
      <c r="A249" s="20" t="s">
        <v>271</v>
      </c>
      <c r="E249" s="22">
        <f>IF(D249="?OLD","!!!","")</f>
        <v/>
      </c>
      <c r="F249" s="23" t="str">
        <f>IF(OR(E249="",E249="!!!"),"",IF(NOT(ISNA(VLOOKUP(E249,E$1:E248,1,FALSE()))),"OLD",IF(AND(E249&lt;&gt;"",E249&lt;&gt;"!!!"),"NEW","")))</f>
        <v> </v>
      </c>
      <c r="G249" s="24" t="str">
        <f>IF(OR(E249="",E249="!!!"),"",IF(OR(J249=0,AND(J249=1,K249=1),AND(J249=1,I249="SBJ"),AND(J249=1,I249=0)),"?IN_FOCUS",IF(J249&lt;=2,"?ACTIVATED",IF(J249&lt;&gt;"","?FAMILIAR",IF(F249="NEW",IF(ISNA(VLOOKUP(E249,#REF!,1,FALSE())),"?TYPE_IDENTIFIABLE","?REFERENTIAL"),"_")))))</f>
        <v> </v>
      </c>
      <c r="H249" s="25" t="str">
        <f>IF(J249&lt;&gt;1,"",IF(I249="SBJ","CB","?"))</f>
        <v> </v>
      </c>
      <c r="I249" s="26" t="str">
        <f>IF(OR(E249="",E249="!!!",F249="NEW"),"",INDEX(B248:B$2,-1+SUMPRODUCT(MAX(ROW(E248:E$2)*(E249=E248:E$2)))))</f>
        <v> </v>
      </c>
      <c r="J249" s="26" t="str">
        <f>IF(OR(E249="",E249="!!!",F249="NEW"),"",COUNTBLANK(OFFSET(A$1,,,SUMPRODUCT(MAX(ROW(E$2:E249)*(E249=E$2:E249)))))-COUNTBLANK(OFFSET(A$1,,,SUMPRODUCT(MAX(ROW(E$1:E248)*(E2=E$1:E248))))))</f>
        <v> </v>
      </c>
      <c r="K249" s="26" t="str">
        <f>IF(OR(E249="",E249="!!!",F249="NEW"),"",INDEX(J$1:J248,SUMPRODUCT(MAX(ROW(E$1:E248)*(E249=E$1:E248)))))</f>
        <v> </v>
      </c>
      <c r="L249" s="27"/>
    </row>
    <row r="250" spans="1:12">
      <c r="A250" s="20" t="s">
        <v>208</v>
      </c>
      <c r="E250" s="22">
        <f>IF(D250="?OLD","!!!","")</f>
        <v/>
      </c>
      <c r="F250" s="23" t="str">
        <f>IF(OR(E250="",E250="!!!"),"",IF(NOT(ISNA(VLOOKUP(E250,E$1:E249,1,FALSE()))),"OLD",IF(AND(E250&lt;&gt;"",E250&lt;&gt;"!!!"),"NEW","")))</f>
        <v> </v>
      </c>
      <c r="G250" s="24" t="str">
        <f>IF(OR(E250="",E250="!!!"),"",IF(OR(J250=0,AND(J250=1,K250=1),AND(J250=1,I250="SBJ"),AND(J250=1,I250=0)),"?IN_FOCUS",IF(J250&lt;=2,"?ACTIVATED",IF(J250&lt;&gt;"","?FAMILIAR",IF(F250="NEW",IF(ISNA(VLOOKUP(E250,#REF!,1,FALSE())),"?TYPE_IDENTIFIABLE","?REFERENTIAL"),"_")))))</f>
        <v> </v>
      </c>
      <c r="H250" s="25" t="str">
        <f>IF(J250&lt;&gt;1,"",IF(I250="SBJ","CB","?"))</f>
        <v> </v>
      </c>
      <c r="I250" s="26" t="str">
        <f>IF(OR(E250="",E250="!!!",F250="NEW"),"",INDEX(B249:B$2,-1+SUMPRODUCT(MAX(ROW(E249:E$2)*(E250=E249:E$2)))))</f>
        <v> </v>
      </c>
      <c r="J250" s="26" t="str">
        <f>IF(OR(E250="",E250="!!!",F250="NEW"),"",COUNTBLANK(OFFSET(A$1,,,SUMPRODUCT(MAX(ROW(E$2:E250)*(E250=E$2:E250)))))-COUNTBLANK(OFFSET(A$1,,,SUMPRODUCT(MAX(ROW(E$1:E249)*(E2=E$1:E249))))))</f>
        <v> </v>
      </c>
      <c r="K250" s="26" t="str">
        <f>IF(OR(E250="",E250="!!!",F250="NEW"),"",INDEX(J$1:J249,SUMPRODUCT(MAX(ROW(E$1:E249)*(E250=E$1:E249)))))</f>
        <v> </v>
      </c>
      <c r="L250" s="27"/>
    </row>
    <row r="251" spans="1:12">
      <c r="A251" s="20" t="s">
        <v>124</v>
      </c>
      <c r="E251" s="22">
        <f>IF(D251="?OLD","!!!","")</f>
        <v/>
      </c>
      <c r="F251" s="23" t="str">
        <f>IF(OR(E251="",E251="!!!"),"",IF(NOT(ISNA(VLOOKUP(E251,E$1:E250,1,FALSE()))),"OLD",IF(AND(E251&lt;&gt;"",E251&lt;&gt;"!!!"),"NEW","")))</f>
        <v> </v>
      </c>
      <c r="G251" s="24" t="str">
        <f>IF(OR(E251="",E251="!!!"),"",IF(OR(J251=0,AND(J251=1,K251=1),AND(J251=1,I251="SBJ"),AND(J251=1,I251=0)),"?IN_FOCUS",IF(J251&lt;=2,"?ACTIVATED",IF(J251&lt;&gt;"","?FAMILIAR",IF(F251="NEW",IF(ISNA(VLOOKUP(E251,#REF!,1,FALSE())),"?TYPE_IDENTIFIABLE","?REFERENTIAL"),"_")))))</f>
        <v> </v>
      </c>
      <c r="H251" s="25" t="str">
        <f>IF(J251&lt;&gt;1,"",IF(I251="SBJ","CB","?"))</f>
        <v> </v>
      </c>
      <c r="I251" s="26" t="str">
        <f>IF(OR(E251="",E251="!!!",F251="NEW"),"",INDEX(B250:B$2,-1+SUMPRODUCT(MAX(ROW(E250:E$2)*(E251=E250:E$2)))))</f>
        <v> </v>
      </c>
      <c r="J251" s="26" t="str">
        <f>IF(OR(E251="",E251="!!!",F251="NEW"),"",COUNTBLANK(OFFSET(A$1,,,SUMPRODUCT(MAX(ROW(E$2:E251)*(E251=E$2:E251)))))-COUNTBLANK(OFFSET(A$1,,,SUMPRODUCT(MAX(ROW(E$1:E250)*(E2=E$1:E250))))))</f>
        <v> </v>
      </c>
      <c r="K251" s="26" t="str">
        <f>IF(OR(E251="",E251="!!!",F251="NEW"),"",INDEX(J$1:J250,SUMPRODUCT(MAX(ROW(E$1:E250)*(E251=E$1:E250)))))</f>
        <v> </v>
      </c>
      <c r="L251" s="27"/>
    </row>
    <row r="252" spans="1:12">
      <c r="A252" s="20" t="s">
        <v>272</v>
      </c>
      <c r="B252" s="21" t="s">
        <v>107</v>
      </c>
      <c r="C252" s="21" t="s">
        <v>112</v>
      </c>
      <c r="D252" s="21" t="s">
        <v>102</v>
      </c>
      <c r="E252" s="22">
        <f>IF(D252="?OLD","!!!","")</f>
        <v/>
      </c>
      <c r="F252" s="23" t="str">
        <f>IF(OR(E252="",E252="!!!"),"",IF(NOT(ISNA(VLOOKUP(E252,E$1:E251,1,FALSE()))),"OLD",IF(AND(E252&lt;&gt;"",E252&lt;&gt;"!!!"),"NEW","")))</f>
        <v> </v>
      </c>
      <c r="G252" s="24" t="str">
        <f>IF(OR(E252="",E252="!!!"),"",IF(OR(J252=0,AND(J252=1,K252=1),AND(J252=1,I252="SBJ"),AND(J252=1,I252=0)),"?IN_FOCUS",IF(J252&lt;=2,"?ACTIVATED",IF(J252&lt;&gt;"","?FAMILIAR",IF(F252="NEW",IF(ISNA(VLOOKUP(E252,#REF!,1,FALSE())),"?TYPE_IDENTIFIABLE","?REFERENTIAL"),"_")))))</f>
        <v> </v>
      </c>
      <c r="H252" s="25" t="str">
        <f>IF(J252&lt;&gt;1,"",IF(I252="SBJ","CB","?"))</f>
        <v> </v>
      </c>
      <c r="I252" s="26" t="str">
        <f>IF(OR(E252="",E252="!!!",F252="NEW"),"",INDEX(B251:B$2,-1+SUMPRODUCT(MAX(ROW(E251:E$2)*(E252=E251:E$2)))))</f>
        <v> </v>
      </c>
      <c r="J252" s="26" t="str">
        <f>IF(OR(E252="",E252="!!!",F252="NEW"),"",COUNTBLANK(OFFSET(A$1,,,SUMPRODUCT(MAX(ROW(E$2:E252)*(E252=E$2:E252)))))-COUNTBLANK(OFFSET(A$1,,,SUMPRODUCT(MAX(ROW(E$1:E251)*(E2=E$1:E251))))))</f>
        <v> </v>
      </c>
      <c r="K252" s="26" t="str">
        <f>IF(OR(E252="",E252="!!!",F252="NEW"),"",INDEX(J$1:J251,SUMPRODUCT(MAX(ROW(E$1:E251)*(E252=E$1:E251)))))</f>
        <v> </v>
      </c>
      <c r="L252" s="27"/>
    </row>
    <row r="253" spans="1:12">
      <c r="A253" s="20" t="s">
        <v>97</v>
      </c>
      <c r="E253" s="22">
        <f>IF(D253="?OLD","!!!","")</f>
        <v/>
      </c>
      <c r="F253" s="23" t="str">
        <f>IF(OR(E253="",E253="!!!"),"",IF(NOT(ISNA(VLOOKUP(E253,E$1:E252,1,FALSE()))),"OLD",IF(AND(E253&lt;&gt;"",E253&lt;&gt;"!!!"),"NEW","")))</f>
        <v> </v>
      </c>
      <c r="G253" s="24" t="str">
        <f>IF(OR(E253="",E253="!!!"),"",IF(OR(J253=0,AND(J253=1,K253=1),AND(J253=1,I253="SBJ"),AND(J253=1,I253=0)),"?IN_FOCUS",IF(J253&lt;=2,"?ACTIVATED",IF(J253&lt;&gt;"","?FAMILIAR",IF(F253="NEW",IF(ISNA(VLOOKUP(E253,#REF!,1,FALSE())),"?TYPE_IDENTIFIABLE","?REFERENTIAL"),"_")))))</f>
        <v> </v>
      </c>
      <c r="H253" s="25" t="str">
        <f>IF(J253&lt;&gt;1,"",IF(I253="SBJ","CB","?"))</f>
        <v> </v>
      </c>
      <c r="I253" s="26" t="str">
        <f>IF(OR(E253="",E253="!!!",F253="NEW"),"",INDEX(B252:B$2,-1+SUMPRODUCT(MAX(ROW(E252:E$2)*(E253=E252:E$2)))))</f>
        <v> </v>
      </c>
      <c r="J253" s="26" t="str">
        <f>IF(OR(E253="",E253="!!!",F253="NEW"),"",COUNTBLANK(OFFSET(A$1,,,SUMPRODUCT(MAX(ROW(E$2:E253)*(E253=E$2:E253)))))-COUNTBLANK(OFFSET(A$1,,,SUMPRODUCT(MAX(ROW(E$1:E252)*(E2=E$1:E252))))))</f>
        <v> </v>
      </c>
      <c r="K253" s="26" t="str">
        <f>IF(OR(E253="",E253="!!!",F253="NEW"),"",INDEX(J$1:J252,SUMPRODUCT(MAX(ROW(E$1:E252)*(E253=E$1:E252)))))</f>
        <v> </v>
      </c>
      <c r="L253" s="27"/>
    </row>
    <row r="254" spans="1:12">
      <c r="A254" s="20" t="s">
        <v>273</v>
      </c>
      <c r="E254" s="22">
        <f>IF(D254="?OLD","!!!","")</f>
        <v/>
      </c>
      <c r="F254" s="23" t="str">
        <f>IF(OR(E254="",E254="!!!"),"",IF(NOT(ISNA(VLOOKUP(E254,E$1:E253,1,FALSE()))),"OLD",IF(AND(E254&lt;&gt;"",E254&lt;&gt;"!!!"),"NEW","")))</f>
        <v> </v>
      </c>
      <c r="G254" s="24" t="str">
        <f>IF(OR(E254="",E254="!!!"),"",IF(OR(J254=0,AND(J254=1,K254=1),AND(J254=1,I254="SBJ"),AND(J254=1,I254=0)),"?IN_FOCUS",IF(J254&lt;=2,"?ACTIVATED",IF(J254&lt;&gt;"","?FAMILIAR",IF(F254="NEW",IF(ISNA(VLOOKUP(E254,#REF!,1,FALSE())),"?TYPE_IDENTIFIABLE","?REFERENTIAL"),"_")))))</f>
        <v> </v>
      </c>
      <c r="H254" s="25" t="str">
        <f>IF(J254&lt;&gt;1,"",IF(I254="SBJ","CB","?"))</f>
        <v> </v>
      </c>
      <c r="I254" s="26" t="str">
        <f>IF(OR(E254="",E254="!!!",F254="NEW"),"",INDEX(B253:B$2,-1+SUMPRODUCT(MAX(ROW(E253:E$2)*(E254=E253:E$2)))))</f>
        <v> </v>
      </c>
      <c r="J254" s="26" t="str">
        <f>IF(OR(E254="",E254="!!!",F254="NEW"),"",COUNTBLANK(OFFSET(A$1,,,SUMPRODUCT(MAX(ROW(E$2:E254)*(E254=E$2:E254)))))-COUNTBLANK(OFFSET(A$1,,,SUMPRODUCT(MAX(ROW(E$1:E253)*(E2=E$1:E253))))))</f>
        <v> </v>
      </c>
      <c r="K254" s="26" t="str">
        <f>IF(OR(E254="",E254="!!!",F254="NEW"),"",INDEX(J$1:J253,SUMPRODUCT(MAX(ROW(E$1:E253)*(E254=E$1:E253)))))</f>
        <v> </v>
      </c>
      <c r="L254" s="27"/>
    </row>
    <row r="255" spans="1:12">
      <c r="A255" s="20" t="s">
        <v>103</v>
      </c>
      <c r="E255" s="22">
        <f>IF(D255="?OLD","!!!","")</f>
        <v/>
      </c>
      <c r="F255" s="23" t="str">
        <f>IF(OR(E255="",E255="!!!"),"",IF(NOT(ISNA(VLOOKUP(E255,E$1:E254,1,FALSE()))),"OLD",IF(AND(E255&lt;&gt;"",E255&lt;&gt;"!!!"),"NEW","")))</f>
        <v> </v>
      </c>
      <c r="G255" s="24" t="str">
        <f>IF(OR(E255="",E255="!!!"),"",IF(OR(J255=0,AND(J255=1,K255=1),AND(J255=1,I255="SBJ"),AND(J255=1,I255=0)),"?IN_FOCUS",IF(J255&lt;=2,"?ACTIVATED",IF(J255&lt;&gt;"","?FAMILIAR",IF(F255="NEW",IF(ISNA(VLOOKUP(E255,#REF!,1,FALSE())),"?TYPE_IDENTIFIABLE","?REFERENTIAL"),"_")))))</f>
        <v> </v>
      </c>
      <c r="H255" s="25" t="str">
        <f>IF(J255&lt;&gt;1,"",IF(I255="SBJ","CB","?"))</f>
        <v> </v>
      </c>
      <c r="I255" s="26" t="str">
        <f>IF(OR(E255="",E255="!!!",F255="NEW"),"",INDEX(B254:B$2,-1+SUMPRODUCT(MAX(ROW(E254:E$2)*(E255=E254:E$2)))))</f>
        <v> </v>
      </c>
      <c r="J255" s="26" t="str">
        <f>IF(OR(E255="",E255="!!!",F255="NEW"),"",COUNTBLANK(OFFSET(A$1,,,SUMPRODUCT(MAX(ROW(E$2:E255)*(E255=E$2:E255)))))-COUNTBLANK(OFFSET(A$1,,,SUMPRODUCT(MAX(ROW(E$1:E254)*(E2=E$1:E254))))))</f>
        <v> </v>
      </c>
      <c r="K255" s="26" t="str">
        <f>IF(OR(E255="",E255="!!!",F255="NEW"),"",INDEX(J$1:J254,SUMPRODUCT(MAX(ROW(E$1:E254)*(E255=E$1:E254)))))</f>
        <v> </v>
      </c>
      <c r="L255" s="27"/>
    </row>
    <row r="256" spans="1:12">
      <c r="A256" s="20" t="s">
        <v>163</v>
      </c>
      <c r="E256" s="22">
        <f>IF(D256="?OLD","!!!","")</f>
        <v/>
      </c>
      <c r="F256" s="23" t="str">
        <f>IF(OR(E256="",E256="!!!"),"",IF(NOT(ISNA(VLOOKUP(E256,E$1:E255,1,FALSE()))),"OLD",IF(AND(E256&lt;&gt;"",E256&lt;&gt;"!!!"),"NEW","")))</f>
        <v> </v>
      </c>
      <c r="G256" s="24" t="str">
        <f>IF(OR(E256="",E256="!!!"),"",IF(OR(J256=0,AND(J256=1,K256=1),AND(J256=1,I256="SBJ"),AND(J256=1,I256=0)),"?IN_FOCUS",IF(J256&lt;=2,"?ACTIVATED",IF(J256&lt;&gt;"","?FAMILIAR",IF(F256="NEW",IF(ISNA(VLOOKUP(E256,#REF!,1,FALSE())),"?TYPE_IDENTIFIABLE","?REFERENTIAL"),"_")))))</f>
        <v> </v>
      </c>
      <c r="H256" s="25" t="str">
        <f>IF(J256&lt;&gt;1,"",IF(I256="SBJ","CB","?"))</f>
        <v> </v>
      </c>
      <c r="I256" s="26" t="str">
        <f>IF(OR(E256="",E256="!!!",F256="NEW"),"",INDEX(B255:B$2,-1+SUMPRODUCT(MAX(ROW(E255:E$2)*(E256=E255:E$2)))))</f>
        <v> </v>
      </c>
      <c r="J256" s="26" t="str">
        <f>IF(OR(E256="",E256="!!!",F256="NEW"),"",COUNTBLANK(OFFSET(A$1,,,SUMPRODUCT(MAX(ROW(E$2:E256)*(E256=E$2:E256)))))-COUNTBLANK(OFFSET(A$1,,,SUMPRODUCT(MAX(ROW(E$1:E255)*(E2=E$1:E255))))))</f>
        <v> </v>
      </c>
      <c r="K256" s="26" t="str">
        <f>IF(OR(E256="",E256="!!!",F256="NEW"),"",INDEX(J$1:J255,SUMPRODUCT(MAX(ROW(E$1:E255)*(E256=E$1:E255)))))</f>
        <v> </v>
      </c>
      <c r="L256" s="27"/>
    </row>
    <row r="257" spans="1:12">
      <c r="A257" s="20" t="s">
        <v>274</v>
      </c>
      <c r="E257" s="22">
        <f>IF(D257="?OLD","!!!","")</f>
        <v/>
      </c>
      <c r="F257" s="23" t="str">
        <f>IF(OR(E257="",E257="!!!"),"",IF(NOT(ISNA(VLOOKUP(E257,E$1:E256,1,FALSE()))),"OLD",IF(AND(E257&lt;&gt;"",E257&lt;&gt;"!!!"),"NEW","")))</f>
        <v> </v>
      </c>
      <c r="G257" s="24" t="str">
        <f>IF(OR(E257="",E257="!!!"),"",IF(OR(J257=0,AND(J257=1,K257=1),AND(J257=1,I257="SBJ"),AND(J257=1,I257=0)),"?IN_FOCUS",IF(J257&lt;=2,"?ACTIVATED",IF(J257&lt;&gt;"","?FAMILIAR",IF(F257="NEW",IF(ISNA(VLOOKUP(E257,#REF!,1,FALSE())),"?TYPE_IDENTIFIABLE","?REFERENTIAL"),"_")))))</f>
        <v> </v>
      </c>
      <c r="H257" s="25" t="str">
        <f>IF(J257&lt;&gt;1,"",IF(I257="SBJ","CB","?"))</f>
        <v> </v>
      </c>
      <c r="I257" s="26" t="str">
        <f>IF(OR(E257="",E257="!!!",F257="NEW"),"",INDEX(B256:B$2,-1+SUMPRODUCT(MAX(ROW(E256:E$2)*(E257=E256:E$2)))))</f>
        <v> </v>
      </c>
      <c r="J257" s="26" t="str">
        <f>IF(OR(E257="",E257="!!!",F257="NEW"),"",COUNTBLANK(OFFSET(A$1,,,SUMPRODUCT(MAX(ROW(E$2:E257)*(E257=E$2:E257)))))-COUNTBLANK(OFFSET(A$1,,,SUMPRODUCT(MAX(ROW(E$1:E256)*(E2=E$1:E256))))))</f>
        <v> </v>
      </c>
      <c r="K257" s="26" t="str">
        <f>IF(OR(E257="",E257="!!!",F257="NEW"),"",INDEX(J$1:J256,SUMPRODUCT(MAX(ROW(E$1:E256)*(E257=E$1:E256)))))</f>
        <v> </v>
      </c>
      <c r="L257" s="27"/>
    </row>
    <row r="258" spans="1:12">
      <c r="A258" s="20" t="s">
        <v>275</v>
      </c>
      <c r="E258" s="22">
        <f>IF(D258="?OLD","!!!","")</f>
        <v/>
      </c>
      <c r="F258" s="23" t="str">
        <f>IF(OR(E258="",E258="!!!"),"",IF(NOT(ISNA(VLOOKUP(E258,E$1:E257,1,FALSE()))),"OLD",IF(AND(E258&lt;&gt;"",E258&lt;&gt;"!!!"),"NEW","")))</f>
        <v> </v>
      </c>
      <c r="G258" s="24" t="str">
        <f>IF(OR(E258="",E258="!!!"),"",IF(OR(J258=0,AND(J258=1,K258=1),AND(J258=1,I258="SBJ"),AND(J258=1,I258=0)),"?IN_FOCUS",IF(J258&lt;=2,"?ACTIVATED",IF(J258&lt;&gt;"","?FAMILIAR",IF(F258="NEW",IF(ISNA(VLOOKUP(E258,#REF!,1,FALSE())),"?TYPE_IDENTIFIABLE","?REFERENTIAL"),"_")))))</f>
        <v> </v>
      </c>
      <c r="H258" s="25" t="str">
        <f>IF(J258&lt;&gt;1,"",IF(I258="SBJ","CB","?"))</f>
        <v> </v>
      </c>
      <c r="I258" s="26" t="str">
        <f>IF(OR(E258="",E258="!!!",F258="NEW"),"",INDEX(B257:B$2,-1+SUMPRODUCT(MAX(ROW(E257:E$2)*(E258=E257:E$2)))))</f>
        <v> </v>
      </c>
      <c r="J258" s="26" t="str">
        <f>IF(OR(E258="",E258="!!!",F258="NEW"),"",COUNTBLANK(OFFSET(A$1,,,SUMPRODUCT(MAX(ROW(E$2:E258)*(E258=E$2:E258)))))-COUNTBLANK(OFFSET(A$1,,,SUMPRODUCT(MAX(ROW(E$1:E257)*(E2=E$1:E257))))))</f>
        <v> </v>
      </c>
      <c r="K258" s="26" t="str">
        <f>IF(OR(E258="",E258="!!!",F258="NEW"),"",INDEX(J$1:J257,SUMPRODUCT(MAX(ROW(E$1:E257)*(E258=E$1:E257)))))</f>
        <v> </v>
      </c>
      <c r="L258" s="27"/>
    </row>
    <row r="259" spans="1:12">
      <c r="A259" s="20" t="s">
        <v>276</v>
      </c>
      <c r="B259" s="21" t="s">
        <v>107</v>
      </c>
      <c r="C259" s="21" t="s">
        <v>112</v>
      </c>
      <c r="D259" s="21" t="s">
        <v>102</v>
      </c>
      <c r="E259" s="22">
        <f>IF(D259="?OLD","!!!","")</f>
        <v/>
      </c>
      <c r="F259" s="23" t="str">
        <f>IF(OR(E259="",E259="!!!"),"",IF(NOT(ISNA(VLOOKUP(E259,E$1:E258,1,FALSE()))),"OLD",IF(AND(E259&lt;&gt;"",E259&lt;&gt;"!!!"),"NEW","")))</f>
        <v> </v>
      </c>
      <c r="G259" s="24" t="str">
        <f>IF(OR(E259="",E259="!!!"),"",IF(OR(J259=0,AND(J259=1,K259=1),AND(J259=1,I259="SBJ"),AND(J259=1,I259=0)),"?IN_FOCUS",IF(J259&lt;=2,"?ACTIVATED",IF(J259&lt;&gt;"","?FAMILIAR",IF(F259="NEW",IF(ISNA(VLOOKUP(E259,#REF!,1,FALSE())),"?TYPE_IDENTIFIABLE","?REFERENTIAL"),"_")))))</f>
        <v> </v>
      </c>
      <c r="H259" s="25" t="str">
        <f>IF(J259&lt;&gt;1,"",IF(I259="SBJ","CB","?"))</f>
        <v> </v>
      </c>
      <c r="I259" s="26" t="str">
        <f>IF(OR(E259="",E259="!!!",F259="NEW"),"",INDEX(B258:B$2,-1+SUMPRODUCT(MAX(ROW(E258:E$2)*(E259=E258:E$2)))))</f>
        <v> </v>
      </c>
      <c r="J259" s="26" t="str">
        <f>IF(OR(E259="",E259="!!!",F259="NEW"),"",COUNTBLANK(OFFSET(A$1,,,SUMPRODUCT(MAX(ROW(E$2:E259)*(E259=E$2:E259)))))-COUNTBLANK(OFFSET(A$1,,,SUMPRODUCT(MAX(ROW(E$1:E258)*(E2=E$1:E258))))))</f>
        <v> </v>
      </c>
      <c r="K259" s="26" t="str">
        <f>IF(OR(E259="",E259="!!!",F259="NEW"),"",INDEX(J$1:J258,SUMPRODUCT(MAX(ROW(E$1:E258)*(E259=E$1:E258)))))</f>
        <v> </v>
      </c>
      <c r="L259" s="27"/>
    </row>
    <row r="260" spans="1:12">
      <c r="A260" s="20" t="s">
        <v>277</v>
      </c>
      <c r="E260" s="22">
        <f>IF(D260="?OLD","!!!","")</f>
        <v/>
      </c>
      <c r="F260" s="23" t="str">
        <f>IF(OR(E260="",E260="!!!"),"",IF(NOT(ISNA(VLOOKUP(E260,E$1:E259,1,FALSE()))),"OLD",IF(AND(E260&lt;&gt;"",E260&lt;&gt;"!!!"),"NEW","")))</f>
        <v> </v>
      </c>
      <c r="G260" s="24" t="str">
        <f>IF(OR(E260="",E260="!!!"),"",IF(OR(J260=0,AND(J260=1,K260=1),AND(J260=1,I260="SBJ"),AND(J260=1,I260=0)),"?IN_FOCUS",IF(J260&lt;=2,"?ACTIVATED",IF(J260&lt;&gt;"","?FAMILIAR",IF(F260="NEW",IF(ISNA(VLOOKUP(E260,#REF!,1,FALSE())),"?TYPE_IDENTIFIABLE","?REFERENTIAL"),"_")))))</f>
        <v> </v>
      </c>
      <c r="H260" s="25" t="str">
        <f>IF(J260&lt;&gt;1,"",IF(I260="SBJ","CB","?"))</f>
        <v> </v>
      </c>
      <c r="I260" s="26" t="str">
        <f>IF(OR(E260="",E260="!!!",F260="NEW"),"",INDEX(B259:B$2,-1+SUMPRODUCT(MAX(ROW(E259:E$2)*(E260=E259:E$2)))))</f>
        <v> </v>
      </c>
      <c r="J260" s="26" t="str">
        <f>IF(OR(E260="",E260="!!!",F260="NEW"),"",COUNTBLANK(OFFSET(A$1,,,SUMPRODUCT(MAX(ROW(E$2:E260)*(E260=E$2:E260)))))-COUNTBLANK(OFFSET(A$1,,,SUMPRODUCT(MAX(ROW(E$1:E259)*(E2=E$1:E259))))))</f>
        <v> </v>
      </c>
      <c r="K260" s="26" t="str">
        <f>IF(OR(E260="",E260="!!!",F260="NEW"),"",INDEX(J$1:J259,SUMPRODUCT(MAX(ROW(E$1:E259)*(E260=E$1:E259)))))</f>
        <v> </v>
      </c>
      <c r="L260" s="27"/>
    </row>
    <row r="261" spans="1:12">
      <c r="A261" s="20" t="s">
        <v>249</v>
      </c>
      <c r="E261" s="22">
        <f>IF(D261="?OLD","!!!","")</f>
        <v/>
      </c>
      <c r="F261" s="23" t="str">
        <f>IF(OR(E261="",E261="!!!"),"",IF(NOT(ISNA(VLOOKUP(E261,E$1:E260,1,FALSE()))),"OLD",IF(AND(E261&lt;&gt;"",E261&lt;&gt;"!!!"),"NEW","")))</f>
        <v> </v>
      </c>
      <c r="G261" s="24" t="str">
        <f>IF(OR(E261="",E261="!!!"),"",IF(OR(J261=0,AND(J261=1,K261=1),AND(J261=1,I261="SBJ"),AND(J261=1,I261=0)),"?IN_FOCUS",IF(J261&lt;=2,"?ACTIVATED",IF(J261&lt;&gt;"","?FAMILIAR",IF(F261="NEW",IF(ISNA(VLOOKUP(E261,#REF!,1,FALSE())),"?TYPE_IDENTIFIABLE","?REFERENTIAL"),"_")))))</f>
        <v> </v>
      </c>
      <c r="H261" s="25" t="str">
        <f>IF(J261&lt;&gt;1,"",IF(I261="SBJ","CB","?"))</f>
        <v> </v>
      </c>
      <c r="I261" s="26" t="str">
        <f>IF(OR(E261="",E261="!!!",F261="NEW"),"",INDEX(B260:B$2,-1+SUMPRODUCT(MAX(ROW(E260:E$2)*(E261=E260:E$2)))))</f>
        <v> </v>
      </c>
      <c r="J261" s="26" t="str">
        <f>IF(OR(E261="",E261="!!!",F261="NEW"),"",COUNTBLANK(OFFSET(A$1,,,SUMPRODUCT(MAX(ROW(E$2:E261)*(E261=E$2:E261)))))-COUNTBLANK(OFFSET(A$1,,,SUMPRODUCT(MAX(ROW(E$1:E260)*(E2=E$1:E260))))))</f>
        <v> </v>
      </c>
      <c r="K261" s="26" t="str">
        <f>IF(OR(E261="",E261="!!!",F261="NEW"),"",INDEX(J$1:J260,SUMPRODUCT(MAX(ROW(E$1:E260)*(E261=E$1:E260)))))</f>
        <v> </v>
      </c>
      <c r="L261" s="27"/>
    </row>
    <row r="262" spans="1:12">
      <c r="A262" s="20" t="s">
        <v>162</v>
      </c>
      <c r="E262" s="22">
        <f>IF(D262="?OLD","!!!","")</f>
        <v/>
      </c>
      <c r="F262" s="23" t="str">
        <f>IF(OR(E262="",E262="!!!"),"",IF(NOT(ISNA(VLOOKUP(E262,E$1:E261,1,FALSE()))),"OLD",IF(AND(E262&lt;&gt;"",E262&lt;&gt;"!!!"),"NEW","")))</f>
        <v> </v>
      </c>
      <c r="G262" s="24" t="str">
        <f>IF(OR(E262="",E262="!!!"),"",IF(OR(J262=0,AND(J262=1,K262=1),AND(J262=1,I262="SBJ"),AND(J262=1,I262=0)),"?IN_FOCUS",IF(J262&lt;=2,"?ACTIVATED",IF(J262&lt;&gt;"","?FAMILIAR",IF(F262="NEW",IF(ISNA(VLOOKUP(E262,#REF!,1,FALSE())),"?TYPE_IDENTIFIABLE","?REFERENTIAL"),"_")))))</f>
        <v> </v>
      </c>
      <c r="H262" s="25" t="str">
        <f>IF(J262&lt;&gt;1,"",IF(I262="SBJ","CB","?"))</f>
        <v> </v>
      </c>
      <c r="I262" s="26" t="str">
        <f>IF(OR(E262="",E262="!!!",F262="NEW"),"",INDEX(B261:B$2,-1+SUMPRODUCT(MAX(ROW(E261:E$2)*(E262=E261:E$2)))))</f>
        <v> </v>
      </c>
      <c r="J262" s="26" t="str">
        <f>IF(OR(E262="",E262="!!!",F262="NEW"),"",COUNTBLANK(OFFSET(A$1,,,SUMPRODUCT(MAX(ROW(E$2:E262)*(E262=E$2:E262)))))-COUNTBLANK(OFFSET(A$1,,,SUMPRODUCT(MAX(ROW(E$1:E261)*(E2=E$1:E261))))))</f>
        <v> </v>
      </c>
      <c r="K262" s="26" t="str">
        <f>IF(OR(E262="",E262="!!!",F262="NEW"),"",INDEX(J$1:J261,SUMPRODUCT(MAX(ROW(E$1:E261)*(E262=E$1:E261)))))</f>
        <v> </v>
      </c>
      <c r="L262" s="27"/>
    </row>
    <row r="263" spans="1:12">
      <c r="A263" s="20" t="s">
        <v>97</v>
      </c>
      <c r="E263" s="22">
        <f>IF(D263="?OLD","!!!","")</f>
        <v/>
      </c>
      <c r="F263" s="23" t="str">
        <f>IF(OR(E263="",E263="!!!"),"",IF(NOT(ISNA(VLOOKUP(E263,E$1:E262,1,FALSE()))),"OLD",IF(AND(E263&lt;&gt;"",E263&lt;&gt;"!!!"),"NEW","")))</f>
        <v> </v>
      </c>
      <c r="G263" s="24" t="str">
        <f>IF(OR(E263="",E263="!!!"),"",IF(OR(J263=0,AND(J263=1,K263=1),AND(J263=1,I263="SBJ"),AND(J263=1,I263=0)),"?IN_FOCUS",IF(J263&lt;=2,"?ACTIVATED",IF(J263&lt;&gt;"","?FAMILIAR",IF(F263="NEW",IF(ISNA(VLOOKUP(E263,#REF!,1,FALSE())),"?TYPE_IDENTIFIABLE","?REFERENTIAL"),"_")))))</f>
        <v> </v>
      </c>
      <c r="H263" s="25" t="str">
        <f>IF(J263&lt;&gt;1,"",IF(I263="SBJ","CB","?"))</f>
        <v> </v>
      </c>
      <c r="I263" s="26" t="str">
        <f>IF(OR(E263="",E263="!!!",F263="NEW"),"",INDEX(B262:B$2,-1+SUMPRODUCT(MAX(ROW(E262:E$2)*(E263=E262:E$2)))))</f>
        <v> </v>
      </c>
      <c r="J263" s="26" t="str">
        <f>IF(OR(E263="",E263="!!!",F263="NEW"),"",COUNTBLANK(OFFSET(A$1,,,SUMPRODUCT(MAX(ROW(E$2:E263)*(E263=E$2:E263)))))-COUNTBLANK(OFFSET(A$1,,,SUMPRODUCT(MAX(ROW(E$1:E262)*(E2=E$1:E262))))))</f>
        <v> </v>
      </c>
      <c r="K263" s="26" t="str">
        <f>IF(OR(E263="",E263="!!!",F263="NEW"),"",INDEX(J$1:J262,SUMPRODUCT(MAX(ROW(E$1:E262)*(E263=E$1:E262)))))</f>
        <v> </v>
      </c>
      <c r="L263" s="27"/>
    </row>
    <row r="264" spans="1:12">
      <c r="A264" s="20" t="s">
        <v>171</v>
      </c>
      <c r="E264" s="22">
        <f>IF(D264="?OLD","!!!","")</f>
        <v/>
      </c>
      <c r="F264" s="23" t="str">
        <f>IF(OR(E264="",E264="!!!"),"",IF(NOT(ISNA(VLOOKUP(E264,E$1:E263,1,FALSE()))),"OLD",IF(AND(E264&lt;&gt;"",E264&lt;&gt;"!!!"),"NEW","")))</f>
        <v> </v>
      </c>
      <c r="G264" s="24" t="str">
        <f>IF(OR(E264="",E264="!!!"),"",IF(OR(J264=0,AND(J264=1,K264=1),AND(J264=1,I264="SBJ"),AND(J264=1,I264=0)),"?IN_FOCUS",IF(J264&lt;=2,"?ACTIVATED",IF(J264&lt;&gt;"","?FAMILIAR",IF(F264="NEW",IF(ISNA(VLOOKUP(E264,#REF!,1,FALSE())),"?TYPE_IDENTIFIABLE","?REFERENTIAL"),"_")))))</f>
        <v> </v>
      </c>
      <c r="H264" s="25" t="str">
        <f>IF(J264&lt;&gt;1,"",IF(I264="SBJ","CB","?"))</f>
        <v> </v>
      </c>
      <c r="I264" s="26" t="str">
        <f>IF(OR(E264="",E264="!!!",F264="NEW"),"",INDEX(B263:B$2,-1+SUMPRODUCT(MAX(ROW(E263:E$2)*(E264=E263:E$2)))))</f>
        <v> </v>
      </c>
      <c r="J264" s="26" t="str">
        <f>IF(OR(E264="",E264="!!!",F264="NEW"),"",COUNTBLANK(OFFSET(A$1,,,SUMPRODUCT(MAX(ROW(E$2:E264)*(E264=E$2:E264)))))-COUNTBLANK(OFFSET(A$1,,,SUMPRODUCT(MAX(ROW(E$1:E263)*(E2=E$1:E263))))))</f>
        <v> </v>
      </c>
      <c r="K264" s="26" t="str">
        <f>IF(OR(E264="",E264="!!!",F264="NEW"),"",INDEX(J$1:J263,SUMPRODUCT(MAX(ROW(E$1:E263)*(E264=E$1:E263)))))</f>
        <v> </v>
      </c>
      <c r="L264" s="27"/>
    </row>
    <row r="265" spans="1:12">
      <c r="A265" s="20" t="s">
        <v>278</v>
      </c>
      <c r="E265" s="22">
        <f>IF(D265="?OLD","!!!","")</f>
        <v/>
      </c>
      <c r="F265" s="23" t="str">
        <f>IF(OR(E265="",E265="!!!"),"",IF(NOT(ISNA(VLOOKUP(E265,E$1:E264,1,FALSE()))),"OLD",IF(AND(E265&lt;&gt;"",E265&lt;&gt;"!!!"),"NEW","")))</f>
        <v> </v>
      </c>
      <c r="G265" s="24" t="str">
        <f>IF(OR(E265="",E265="!!!"),"",IF(OR(J265=0,AND(J265=1,K265=1),AND(J265=1,I265="SBJ"),AND(J265=1,I265=0)),"?IN_FOCUS",IF(J265&lt;=2,"?ACTIVATED",IF(J265&lt;&gt;"","?FAMILIAR",IF(F265="NEW",IF(ISNA(VLOOKUP(E265,#REF!,1,FALSE())),"?TYPE_IDENTIFIABLE","?REFERENTIAL"),"_")))))</f>
        <v> </v>
      </c>
      <c r="H265" s="25" t="str">
        <f>IF(J265&lt;&gt;1,"",IF(I265="SBJ","CB","?"))</f>
        <v> </v>
      </c>
      <c r="I265" s="26" t="str">
        <f>IF(OR(E265="",E265="!!!",F265="NEW"),"",INDEX(B264:B$2,-1+SUMPRODUCT(MAX(ROW(E264:E$2)*(E265=E264:E$2)))))</f>
        <v> </v>
      </c>
      <c r="J265" s="26" t="str">
        <f>IF(OR(E265="",E265="!!!",F265="NEW"),"",COUNTBLANK(OFFSET(A$1,,,SUMPRODUCT(MAX(ROW(E$2:E265)*(E265=E$2:E265)))))-COUNTBLANK(OFFSET(A$1,,,SUMPRODUCT(MAX(ROW(E$1:E264)*(E2=E$1:E264))))))</f>
        <v> </v>
      </c>
      <c r="K265" s="26" t="str">
        <f>IF(OR(E265="",E265="!!!",F265="NEW"),"",INDEX(J$1:J264,SUMPRODUCT(MAX(ROW(E$1:E264)*(E265=E$1:E264)))))</f>
        <v> </v>
      </c>
      <c r="L265" s="27"/>
    </row>
    <row r="266" spans="1:12">
      <c r="A266" s="20" t="s">
        <v>279</v>
      </c>
      <c r="B266" s="21" t="s">
        <v>174</v>
      </c>
      <c r="C266" s="21" t="s">
        <v>280</v>
      </c>
      <c r="E266" s="22">
        <f>IF(D266="?OLD","!!!","")</f>
        <v/>
      </c>
      <c r="F266" s="23" t="str">
        <f>IF(OR(E266="",E266="!!!"),"",IF(NOT(ISNA(VLOOKUP(E266,E$1:E265,1,FALSE()))),"OLD",IF(AND(E266&lt;&gt;"",E266&lt;&gt;"!!!"),"NEW","")))</f>
        <v> </v>
      </c>
      <c r="G266" s="24" t="str">
        <f>IF(OR(E266="",E266="!!!"),"",IF(OR(J266=0,AND(J266=1,K266=1),AND(J266=1,I266="SBJ"),AND(J266=1,I266=0)),"?IN_FOCUS",IF(J266&lt;=2,"?ACTIVATED",IF(J266&lt;&gt;"","?FAMILIAR",IF(F266="NEW",IF(ISNA(VLOOKUP(E266,#REF!,1,FALSE())),"?TYPE_IDENTIFIABLE","?REFERENTIAL"),"_")))))</f>
        <v> </v>
      </c>
      <c r="H266" s="25" t="str">
        <f>IF(J266&lt;&gt;1,"",IF(I266="SBJ","CB","?"))</f>
        <v> </v>
      </c>
      <c r="I266" s="26" t="str">
        <f>IF(OR(E266="",E266="!!!",F266="NEW"),"",INDEX(B265:B$2,-1+SUMPRODUCT(MAX(ROW(E265:E$2)*(E266=E265:E$2)))))</f>
        <v> </v>
      </c>
      <c r="J266" s="26" t="str">
        <f>IF(OR(E266="",E266="!!!",F266="NEW"),"",COUNTBLANK(OFFSET(A$1,,,SUMPRODUCT(MAX(ROW(E$2:E266)*(E266=E$2:E266)))))-COUNTBLANK(OFFSET(A$1,,,SUMPRODUCT(MAX(ROW(E$1:E265)*(E2=E$1:E265))))))</f>
        <v> </v>
      </c>
      <c r="K266" s="26" t="str">
        <f>IF(OR(E266="",E266="!!!",F266="NEW"),"",INDEX(J$1:J265,SUMPRODUCT(MAX(ROW(E$1:E265)*(E266=E$1:E265)))))</f>
        <v> </v>
      </c>
      <c r="L266" s="27"/>
    </row>
    <row r="267" spans="1:12">
      <c r="A267" s="20" t="s">
        <v>281</v>
      </c>
      <c r="E267" s="22">
        <f>IF(D267="?OLD","!!!","")</f>
        <v/>
      </c>
      <c r="F267" s="23" t="str">
        <f>IF(OR(E267="",E267="!!!"),"",IF(NOT(ISNA(VLOOKUP(E267,E$1:E266,1,FALSE()))),"OLD",IF(AND(E267&lt;&gt;"",E267&lt;&gt;"!!!"),"NEW","")))</f>
        <v> </v>
      </c>
      <c r="G267" s="24" t="str">
        <f>IF(OR(E267="",E267="!!!"),"",IF(OR(J267=0,AND(J267=1,K267=1),AND(J267=1,I267="SBJ"),AND(J267=1,I267=0)),"?IN_FOCUS",IF(J267&lt;=2,"?ACTIVATED",IF(J267&lt;&gt;"","?FAMILIAR",IF(F267="NEW",IF(ISNA(VLOOKUP(E267,#REF!,1,FALSE())),"?TYPE_IDENTIFIABLE","?REFERENTIAL"),"_")))))</f>
        <v> </v>
      </c>
      <c r="H267" s="25" t="str">
        <f>IF(J267&lt;&gt;1,"",IF(I267="SBJ","CB","?"))</f>
        <v> </v>
      </c>
      <c r="I267" s="26" t="str">
        <f>IF(OR(E267="",E267="!!!",F267="NEW"),"",INDEX(B266:B$2,-1+SUMPRODUCT(MAX(ROW(E266:E$2)*(E267=E266:E$2)))))</f>
        <v> </v>
      </c>
      <c r="J267" s="26" t="str">
        <f>IF(OR(E267="",E267="!!!",F267="NEW"),"",COUNTBLANK(OFFSET(A$1,,,SUMPRODUCT(MAX(ROW(E$2:E267)*(E267=E$2:E267)))))-COUNTBLANK(OFFSET(A$1,,,SUMPRODUCT(MAX(ROW(E$1:E266)*(E2=E$1:E266))))))</f>
        <v> </v>
      </c>
      <c r="K267" s="26" t="str">
        <f>IF(OR(E267="",E267="!!!",F267="NEW"),"",INDEX(J$1:J266,SUMPRODUCT(MAX(ROW(E$1:E266)*(E267=E$1:E266)))))</f>
        <v> </v>
      </c>
      <c r="L267" s="27"/>
    </row>
    <row r="268" spans="1:12">
      <c r="A268" s="20" t="s">
        <v>282</v>
      </c>
      <c r="E268" s="22">
        <f>IF(D268="?OLD","!!!","")</f>
        <v/>
      </c>
      <c r="F268" s="23" t="str">
        <f>IF(OR(E268="",E268="!!!"),"",IF(NOT(ISNA(VLOOKUP(E268,E$1:E267,1,FALSE()))),"OLD",IF(AND(E268&lt;&gt;"",E268&lt;&gt;"!!!"),"NEW","")))</f>
        <v> </v>
      </c>
      <c r="G268" s="24" t="str">
        <f>IF(OR(E268="",E268="!!!"),"",IF(OR(J268=0,AND(J268=1,K268=1),AND(J268=1,I268="SBJ"),AND(J268=1,I268=0)),"?IN_FOCUS",IF(J268&lt;=2,"?ACTIVATED",IF(J268&lt;&gt;"","?FAMILIAR",IF(F268="NEW",IF(ISNA(VLOOKUP(E268,#REF!,1,FALSE())),"?TYPE_IDENTIFIABLE","?REFERENTIAL"),"_")))))</f>
        <v> </v>
      </c>
      <c r="H268" s="25" t="str">
        <f>IF(J268&lt;&gt;1,"",IF(I268="SBJ","CB","?"))</f>
        <v> </v>
      </c>
      <c r="I268" s="26" t="str">
        <f>IF(OR(E268="",E268="!!!",F268="NEW"),"",INDEX(B267:B$2,-1+SUMPRODUCT(MAX(ROW(E267:E$2)*(E268=E267:E$2)))))</f>
        <v> </v>
      </c>
      <c r="J268" s="26" t="str">
        <f>IF(OR(E268="",E268="!!!",F268="NEW"),"",COUNTBLANK(OFFSET(A$1,,,SUMPRODUCT(MAX(ROW(E$2:E268)*(E268=E$2:E268)))))-COUNTBLANK(OFFSET(A$1,,,SUMPRODUCT(MAX(ROW(E$1:E267)*(E2=E$1:E267))))))</f>
        <v> </v>
      </c>
      <c r="K268" s="26" t="str">
        <f>IF(OR(E268="",E268="!!!",F268="NEW"),"",INDEX(J$1:J267,SUMPRODUCT(MAX(ROW(E$1:E267)*(E268=E$1:E267)))))</f>
        <v> </v>
      </c>
      <c r="L268" s="27"/>
    </row>
    <row r="269" spans="1:12">
      <c r="A269" s="20" t="s">
        <v>283</v>
      </c>
      <c r="E269" s="22">
        <f>IF(D269="?OLD","!!!","")</f>
        <v/>
      </c>
      <c r="F269" s="23" t="str">
        <f>IF(OR(E269="",E269="!!!"),"",IF(NOT(ISNA(VLOOKUP(E269,E$1:E268,1,FALSE()))),"OLD",IF(AND(E269&lt;&gt;"",E269&lt;&gt;"!!!"),"NEW","")))</f>
        <v> </v>
      </c>
      <c r="G269" s="24" t="str">
        <f>IF(OR(E269="",E269="!!!"),"",IF(OR(J269=0,AND(J269=1,K269=1),AND(J269=1,I269="SBJ"),AND(J269=1,I269=0)),"?IN_FOCUS",IF(J269&lt;=2,"?ACTIVATED",IF(J269&lt;&gt;"","?FAMILIAR",IF(F269="NEW",IF(ISNA(VLOOKUP(E269,#REF!,1,FALSE())),"?TYPE_IDENTIFIABLE","?REFERENTIAL"),"_")))))</f>
        <v> </v>
      </c>
      <c r="H269" s="25" t="str">
        <f>IF(J269&lt;&gt;1,"",IF(I269="SBJ","CB","?"))</f>
        <v> </v>
      </c>
      <c r="I269" s="26" t="str">
        <f>IF(OR(E269="",E269="!!!",F269="NEW"),"",INDEX(B268:B$2,-1+SUMPRODUCT(MAX(ROW(E268:E$2)*(E269=E268:E$2)))))</f>
        <v> </v>
      </c>
      <c r="J269" s="26" t="str">
        <f>IF(OR(E269="",E269="!!!",F269="NEW"),"",COUNTBLANK(OFFSET(A$1,,,SUMPRODUCT(MAX(ROW(E$2:E269)*(E269=E$2:E269)))))-COUNTBLANK(OFFSET(A$1,,,SUMPRODUCT(MAX(ROW(E$1:E268)*(E2=E$1:E268))))))</f>
        <v> </v>
      </c>
      <c r="K269" s="26" t="str">
        <f>IF(OR(E269="",E269="!!!",F269="NEW"),"",INDEX(J$1:J268,SUMPRODUCT(MAX(ROW(E$1:E268)*(E269=E$1:E268)))))</f>
        <v> </v>
      </c>
      <c r="L269" s="27"/>
    </row>
    <row r="270" spans="1:12">
      <c r="A270" s="20" t="s">
        <v>155</v>
      </c>
      <c r="E270" s="22">
        <f>IF(D270="?OLD","!!!","")</f>
        <v/>
      </c>
      <c r="F270" s="23" t="str">
        <f>IF(OR(E270="",E270="!!!"),"",IF(NOT(ISNA(VLOOKUP(E270,E$1:E269,1,FALSE()))),"OLD",IF(AND(E270&lt;&gt;"",E270&lt;&gt;"!!!"),"NEW","")))</f>
        <v> </v>
      </c>
      <c r="G270" s="24" t="str">
        <f>IF(OR(E270="",E270="!!!"),"",IF(OR(J270=0,AND(J270=1,K270=1),AND(J270=1,I270="SBJ"),AND(J270=1,I270=0)),"?IN_FOCUS",IF(J270&lt;=2,"?ACTIVATED",IF(J270&lt;&gt;"","?FAMILIAR",IF(F270="NEW",IF(ISNA(VLOOKUP(E270,#REF!,1,FALSE())),"?TYPE_IDENTIFIABLE","?REFERENTIAL"),"_")))))</f>
        <v> </v>
      </c>
      <c r="H270" s="25" t="str">
        <f>IF(J270&lt;&gt;1,"",IF(I270="SBJ","CB","?"))</f>
        <v> </v>
      </c>
      <c r="I270" s="26" t="str">
        <f>IF(OR(E270="",E270="!!!",F270="NEW"),"",INDEX(B269:B$2,-1+SUMPRODUCT(MAX(ROW(E269:E$2)*(E270=E269:E$2)))))</f>
        <v> </v>
      </c>
      <c r="J270" s="26" t="str">
        <f>IF(OR(E270="",E270="!!!",F270="NEW"),"",COUNTBLANK(OFFSET(A$1,,,SUMPRODUCT(MAX(ROW(E$2:E270)*(E270=E$2:E270)))))-COUNTBLANK(OFFSET(A$1,,,SUMPRODUCT(MAX(ROW(E$1:E269)*(E2=E$1:E269))))))</f>
        <v> </v>
      </c>
      <c r="K270" s="26" t="str">
        <f>IF(OR(E270="",E270="!!!",F270="NEW"),"",INDEX(J$1:J269,SUMPRODUCT(MAX(ROW(E$1:E269)*(E270=E$1:E269)))))</f>
        <v> </v>
      </c>
      <c r="L270" s="27"/>
    </row>
    <row r="271" spans="1:12">
      <c r="A271" s="20"/>
    </row>
    <row r="272" spans="1:12">
      <c r="A272" s="20" t="s">
        <v>156</v>
      </c>
      <c r="E272" s="22">
        <f>IF(D272="?OLD","!!!","")</f>
        <v/>
      </c>
      <c r="F272" s="23" t="str">
        <f>IF(OR(E272="",E272="!!!"),"",IF(NOT(ISNA(VLOOKUP(E272,E$1:E271,1,FALSE()))),"OLD",IF(AND(E272&lt;&gt;"",E272&lt;&gt;"!!!"),"NEW","")))</f>
        <v> </v>
      </c>
      <c r="G272" s="24" t="str">
        <f>IF(OR(E272="",E272="!!!"),"",IF(OR(J272=0,AND(J272=1,K272=1),AND(J272=1,I272="SBJ"),AND(J272=1,I272=0)),"?IN_FOCUS",IF(J272&lt;=2,"?ACTIVATED",IF(J272&lt;&gt;"","?FAMILIAR",IF(F272="NEW",IF(ISNA(VLOOKUP(E272,#REF!,1,FALSE())),"?TYPE_IDENTIFIABLE","?REFERENTIAL"),"_")))))</f>
        <v> </v>
      </c>
      <c r="H272" s="25" t="str">
        <f>IF(J272&lt;&gt;1,"",IF(I272="SBJ","CB","?"))</f>
        <v> </v>
      </c>
      <c r="I272" s="26" t="str">
        <f>IF(OR(E272="",E272="!!!",F272="NEW"),"",INDEX(B271:B$2,-1+SUMPRODUCT(MAX(ROW(E271:E$2)*(E272=E271:E$2)))))</f>
        <v> </v>
      </c>
      <c r="J272" s="26" t="str">
        <f>IF(OR(E272="",E272="!!!",F272="NEW"),"",COUNTBLANK(OFFSET(A$1,,,SUMPRODUCT(MAX(ROW(E$2:E272)*(E272=E$2:E272)))))-COUNTBLANK(OFFSET(A$1,,,SUMPRODUCT(MAX(ROW(E$1:E271)*(E2=E$1:E271))))))</f>
        <v> </v>
      </c>
      <c r="K272" s="26" t="str">
        <f>IF(OR(E272="",E272="!!!",F272="NEW"),"",INDEX(J$1:J271,SUMPRODUCT(MAX(ROW(E$1:E271)*(E272=E$1:E271)))))</f>
        <v> </v>
      </c>
      <c r="L272" s="27"/>
    </row>
    <row r="273" spans="1:12">
      <c r="A273" s="20" t="s">
        <v>284</v>
      </c>
    </row>
    <row r="274" spans="1:12">
      <c r="A274" s="20" t="s">
        <v>177</v>
      </c>
      <c r="E274" s="22">
        <f>IF(D274="?OLD","!!!","")</f>
        <v/>
      </c>
      <c r="F274" s="23" t="str">
        <f>IF(OR(E274="",E274="!!!"),"",IF(NOT(ISNA(VLOOKUP(E274,E$1:E273,1,FALSE()))),"OLD",IF(AND(E274&lt;&gt;"",E274&lt;&gt;"!!!"),"NEW","")))</f>
        <v> </v>
      </c>
      <c r="G274" s="24" t="str">
        <f>IF(OR(E274="",E274="!!!"),"",IF(OR(J274=0,AND(J274=1,K274=1),AND(J274=1,I274="SBJ"),AND(J274=1,I274=0)),"?IN_FOCUS",IF(J274&lt;=2,"?ACTIVATED",IF(J274&lt;&gt;"","?FAMILIAR",IF(F274="NEW",IF(ISNA(VLOOKUP(E274,#REF!,1,FALSE())),"?TYPE_IDENTIFIABLE","?REFERENTIAL"),"_")))))</f>
        <v> </v>
      </c>
      <c r="H274" s="25" t="str">
        <f>IF(J274&lt;&gt;1,"",IF(I274="SBJ","CB","?"))</f>
        <v> </v>
      </c>
      <c r="I274" s="26" t="str">
        <f>IF(OR(E274="",E274="!!!",F274="NEW"),"",INDEX(B273:B$2,-1+SUMPRODUCT(MAX(ROW(E273:E$2)*(E274=E273:E$2)))))</f>
        <v> </v>
      </c>
      <c r="J274" s="26" t="str">
        <f>IF(OR(E274="",E274="!!!",F274="NEW"),"",COUNTBLANK(OFFSET(A$1,,,SUMPRODUCT(MAX(ROW(E$2:E274)*(E274=E$2:E274)))))-COUNTBLANK(OFFSET(A$1,,,SUMPRODUCT(MAX(ROW(E$1:E273)*(E2=E$1:E273))))))</f>
        <v> </v>
      </c>
      <c r="K274" s="26" t="str">
        <f>IF(OR(E274="",E274="!!!",F274="NEW"),"",INDEX(J$1:J273,SUMPRODUCT(MAX(ROW(E$1:E273)*(E274=E$1:E273)))))</f>
        <v> </v>
      </c>
      <c r="L274" s="27"/>
    </row>
    <row r="275" spans="1:12">
      <c r="A275" s="20" t="s">
        <v>103</v>
      </c>
      <c r="B275" s="21" t="s">
        <v>91</v>
      </c>
      <c r="C275" s="21" t="s">
        <v>104</v>
      </c>
      <c r="D275" s="21" t="s">
        <v>102</v>
      </c>
      <c r="E275" s="22">
        <f>IF(D275="?OLD","!!!","")</f>
        <v/>
      </c>
      <c r="F275" s="23" t="str">
        <f>IF(OR(E275="",E275="!!!"),"",IF(NOT(ISNA(VLOOKUP(E275,E$1:E274,1,FALSE()))),"OLD",IF(AND(E275&lt;&gt;"",E275&lt;&gt;"!!!"),"NEW","")))</f>
        <v> </v>
      </c>
      <c r="G275" s="24" t="str">
        <f>IF(OR(E275="",E275="!!!"),"",IF(OR(J275=0,AND(J275=1,K275=1),AND(J275=1,I275="SBJ"),AND(J275=1,I275=0)),"?IN_FOCUS",IF(J275&lt;=2,"?ACTIVATED",IF(J275&lt;&gt;"","?FAMILIAR",IF(F275="NEW",IF(ISNA(VLOOKUP(E275,#REF!,1,FALSE())),"?TYPE_IDENTIFIABLE","?REFERENTIAL"),"_")))))</f>
        <v> </v>
      </c>
      <c r="H275" s="25" t="str">
        <f>IF(J275&lt;&gt;1,"",IF(I275="SBJ","CB","?"))</f>
        <v> </v>
      </c>
      <c r="I275" s="26" t="str">
        <f>IF(OR(E275="",E275="!!!",F275="NEW"),"",INDEX(B274:B$2,-1+SUMPRODUCT(MAX(ROW(E274:E$2)*(E275=E274:E$2)))))</f>
        <v> </v>
      </c>
      <c r="J275" s="26" t="str">
        <f>IF(OR(E275="",E275="!!!",F275="NEW"),"",COUNTBLANK(OFFSET(A$1,,,SUMPRODUCT(MAX(ROW(E$2:E275)*(E275=E$2:E275)))))-COUNTBLANK(OFFSET(A$1,,,SUMPRODUCT(MAX(ROW(E$1:E274)*(E2=E$1:E274))))))</f>
        <v> </v>
      </c>
      <c r="K275" s="26" t="str">
        <f>IF(OR(E275="",E275="!!!",F275="NEW"),"",INDEX(J$1:J274,SUMPRODUCT(MAX(ROW(E$1:E274)*(E275=E$1:E274)))))</f>
        <v> </v>
      </c>
      <c r="L275" s="27"/>
    </row>
    <row r="276" spans="1:12">
      <c r="A276" s="20" t="s">
        <v>163</v>
      </c>
      <c r="E276" s="22">
        <f>IF(D276="?OLD","!!!","")</f>
        <v/>
      </c>
      <c r="F276" s="23" t="str">
        <f>IF(OR(E276="",E276="!!!"),"",IF(NOT(ISNA(VLOOKUP(E276,E$1:E275,1,FALSE()))),"OLD",IF(AND(E276&lt;&gt;"",E276&lt;&gt;"!!!"),"NEW","")))</f>
        <v> </v>
      </c>
      <c r="G276" s="24" t="str">
        <f>IF(OR(E276="",E276="!!!"),"",IF(OR(J276=0,AND(J276=1,K276=1),AND(J276=1,I276="SBJ"),AND(J276=1,I276=0)),"?IN_FOCUS",IF(J276&lt;=2,"?ACTIVATED",IF(J276&lt;&gt;"","?FAMILIAR",IF(F276="NEW",IF(ISNA(VLOOKUP(E276,#REF!,1,FALSE())),"?TYPE_IDENTIFIABLE","?REFERENTIAL"),"_")))))</f>
        <v> </v>
      </c>
      <c r="H276" s="25" t="str">
        <f>IF(J276&lt;&gt;1,"",IF(I276="SBJ","CB","?"))</f>
        <v> </v>
      </c>
      <c r="I276" s="26" t="str">
        <f>IF(OR(E276="",E276="!!!",F276="NEW"),"",INDEX(B275:B$2,-1+SUMPRODUCT(MAX(ROW(E275:E$2)*(E276=E275:E$2)))))</f>
        <v> </v>
      </c>
      <c r="J276" s="26" t="str">
        <f>IF(OR(E276="",E276="!!!",F276="NEW"),"",COUNTBLANK(OFFSET(A$1,,,SUMPRODUCT(MAX(ROW(E$2:E276)*(E276=E$2:E276)))))-COUNTBLANK(OFFSET(A$1,,,SUMPRODUCT(MAX(ROW(E$1:E275)*(E2=E$1:E275))))))</f>
        <v> </v>
      </c>
      <c r="K276" s="26" t="str">
        <f>IF(OR(E276="",E276="!!!",F276="NEW"),"",INDEX(J$1:J275,SUMPRODUCT(MAX(ROW(E$1:E275)*(E276=E$1:E275)))))</f>
        <v> </v>
      </c>
      <c r="L276" s="27"/>
    </row>
    <row r="277" spans="1:12">
      <c r="A277" s="20" t="s">
        <v>285</v>
      </c>
      <c r="E277" s="22">
        <f>IF(D277="?OLD","!!!","")</f>
        <v/>
      </c>
      <c r="F277" s="23" t="str">
        <f>IF(OR(E277="",E277="!!!"),"",IF(NOT(ISNA(VLOOKUP(E277,E$1:E276,1,FALSE()))),"OLD",IF(AND(E277&lt;&gt;"",E277&lt;&gt;"!!!"),"NEW","")))</f>
        <v> </v>
      </c>
      <c r="G277" s="24" t="str">
        <f>IF(OR(E277="",E277="!!!"),"",IF(OR(J277=0,AND(J277=1,K277=1),AND(J277=1,I277="SBJ"),AND(J277=1,I277=0)),"?IN_FOCUS",IF(J277&lt;=2,"?ACTIVATED",IF(J277&lt;&gt;"","?FAMILIAR",IF(F277="NEW",IF(ISNA(VLOOKUP(E277,#REF!,1,FALSE())),"?TYPE_IDENTIFIABLE","?REFERENTIAL"),"_")))))</f>
        <v> </v>
      </c>
      <c r="H277" s="25" t="str">
        <f>IF(J277&lt;&gt;1,"",IF(I277="SBJ","CB","?"))</f>
        <v> </v>
      </c>
      <c r="I277" s="26" t="str">
        <f>IF(OR(E277="",E277="!!!",F277="NEW"),"",INDEX(B276:B$2,-1+SUMPRODUCT(MAX(ROW(E276:E$2)*(E277=E276:E$2)))))</f>
        <v> </v>
      </c>
      <c r="J277" s="26" t="str">
        <f>IF(OR(E277="",E277="!!!",F277="NEW"),"",COUNTBLANK(OFFSET(A$1,,,SUMPRODUCT(MAX(ROW(E$2:E277)*(E277=E$2:E277)))))-COUNTBLANK(OFFSET(A$1,,,SUMPRODUCT(MAX(ROW(E$1:E276)*(E2=E$1:E276))))))</f>
        <v> </v>
      </c>
      <c r="K277" s="26" t="str">
        <f>IF(OR(E277="",E277="!!!",F277="NEW"),"",INDEX(J$1:J276,SUMPRODUCT(MAX(ROW(E$1:E276)*(E277=E$1:E276)))))</f>
        <v> </v>
      </c>
      <c r="L277" s="27"/>
    </row>
    <row r="278" spans="1:12">
      <c r="A278" s="20" t="s">
        <v>286</v>
      </c>
      <c r="E278" s="22">
        <f>IF(D278="?OLD","!!!","")</f>
        <v/>
      </c>
      <c r="F278" s="23" t="str">
        <f>IF(OR(E278="",E278="!!!"),"",IF(NOT(ISNA(VLOOKUP(E278,E$1:E277,1,FALSE()))),"OLD",IF(AND(E278&lt;&gt;"",E278&lt;&gt;"!!!"),"NEW","")))</f>
        <v> </v>
      </c>
      <c r="G278" s="24" t="str">
        <f>IF(OR(E278="",E278="!!!"),"",IF(OR(J278=0,AND(J278=1,K278=1),AND(J278=1,I278="SBJ"),AND(J278=1,I278=0)),"?IN_FOCUS",IF(J278&lt;=2,"?ACTIVATED",IF(J278&lt;&gt;"","?FAMILIAR",IF(F278="NEW",IF(ISNA(VLOOKUP(E278,#REF!,1,FALSE())),"?TYPE_IDENTIFIABLE","?REFERENTIAL"),"_")))))</f>
        <v> </v>
      </c>
      <c r="H278" s="25" t="str">
        <f>IF(J278&lt;&gt;1,"",IF(I278="SBJ","CB","?"))</f>
        <v> </v>
      </c>
      <c r="I278" s="26" t="str">
        <f>IF(OR(E278="",E278="!!!",F278="NEW"),"",INDEX(B277:B$2,-1+SUMPRODUCT(MAX(ROW(E277:E$2)*(E278=E277:E$2)))))</f>
        <v> </v>
      </c>
      <c r="J278" s="26" t="str">
        <f>IF(OR(E278="",E278="!!!",F278="NEW"),"",COUNTBLANK(OFFSET(A$1,,,SUMPRODUCT(MAX(ROW(E$2:E278)*(E278=E$2:E278)))))-COUNTBLANK(OFFSET(A$1,,,SUMPRODUCT(MAX(ROW(E$1:E277)*(E2=E$1:E277))))))</f>
        <v> </v>
      </c>
      <c r="K278" s="26" t="str">
        <f>IF(OR(E278="",E278="!!!",F278="NEW"),"",INDEX(J$1:J277,SUMPRODUCT(MAX(ROW(E$1:E277)*(E278=E$1:E277)))))</f>
        <v> </v>
      </c>
      <c r="L278" s="27"/>
    </row>
    <row r="279" spans="1:12">
      <c r="A279" s="20" t="s">
        <v>44</v>
      </c>
      <c r="E279" s="22">
        <f>IF(D279="?OLD","!!!","")</f>
        <v/>
      </c>
      <c r="F279" s="23" t="str">
        <f>IF(OR(E279="",E279="!!!"),"",IF(NOT(ISNA(VLOOKUP(E279,E$1:E278,1,FALSE()))),"OLD",IF(AND(E279&lt;&gt;"",E279&lt;&gt;"!!!"),"NEW","")))</f>
        <v> </v>
      </c>
      <c r="G279" s="24" t="str">
        <f>IF(OR(E279="",E279="!!!"),"",IF(OR(J279=0,AND(J279=1,K279=1),AND(J279=1,I279="SBJ"),AND(J279=1,I279=0)),"?IN_FOCUS",IF(J279&lt;=2,"?ACTIVATED",IF(J279&lt;&gt;"","?FAMILIAR",IF(F279="NEW",IF(ISNA(VLOOKUP(E279,#REF!,1,FALSE())),"?TYPE_IDENTIFIABLE","?REFERENTIAL"),"_")))))</f>
        <v> </v>
      </c>
      <c r="H279" s="25" t="str">
        <f>IF(J279&lt;&gt;1,"",IF(I279="SBJ","CB","?"))</f>
        <v> </v>
      </c>
      <c r="I279" s="26" t="str">
        <f>IF(OR(E279="",E279="!!!",F279="NEW"),"",INDEX(B278:B$2,-1+SUMPRODUCT(MAX(ROW(E278:E$2)*(E279=E278:E$2)))))</f>
        <v> </v>
      </c>
      <c r="J279" s="26" t="str">
        <f>IF(OR(E279="",E279="!!!",F279="NEW"),"",COUNTBLANK(OFFSET(A$1,,,SUMPRODUCT(MAX(ROW(E$2:E279)*(E279=E$2:E279)))))-COUNTBLANK(OFFSET(A$1,,,SUMPRODUCT(MAX(ROW(E$1:E278)*(E2=E$1:E278))))))</f>
        <v> </v>
      </c>
      <c r="K279" s="26" t="str">
        <f>IF(OR(E279="",E279="!!!",F279="NEW"),"",INDEX(J$1:J278,SUMPRODUCT(MAX(ROW(E$1:E278)*(E279=E$1:E278)))))</f>
        <v> </v>
      </c>
      <c r="L279" s="27"/>
    </row>
    <row r="280" spans="1:12">
      <c r="A280" s="20" t="s">
        <v>97</v>
      </c>
      <c r="E280" s="22">
        <f>IF(D280="?OLD","!!!","")</f>
        <v/>
      </c>
      <c r="F280" s="23" t="str">
        <f>IF(OR(E280="",E280="!!!"),"",IF(NOT(ISNA(VLOOKUP(E280,E$1:E279,1,FALSE()))),"OLD",IF(AND(E280&lt;&gt;"",E280&lt;&gt;"!!!"),"NEW","")))</f>
        <v> </v>
      </c>
      <c r="G280" s="24" t="str">
        <f>IF(OR(E280="",E280="!!!"),"",IF(OR(J280=0,AND(J280=1,K280=1),AND(J280=1,I280="SBJ"),AND(J280=1,I280=0)),"?IN_FOCUS",IF(J280&lt;=2,"?ACTIVATED",IF(J280&lt;&gt;"","?FAMILIAR",IF(F280="NEW",IF(ISNA(VLOOKUP(E280,#REF!,1,FALSE())),"?TYPE_IDENTIFIABLE","?REFERENTIAL"),"_")))))</f>
        <v> </v>
      </c>
      <c r="H280" s="25" t="str">
        <f>IF(J280&lt;&gt;1,"",IF(I280="SBJ","CB","?"))</f>
        <v> </v>
      </c>
      <c r="I280" s="26" t="str">
        <f>IF(OR(E280="",E280="!!!",F280="NEW"),"",INDEX(B279:B$2,-1+SUMPRODUCT(MAX(ROW(E279:E$2)*(E280=E279:E$2)))))</f>
        <v> </v>
      </c>
      <c r="J280" s="26" t="str">
        <f>IF(OR(E280="",E280="!!!",F280="NEW"),"",COUNTBLANK(OFFSET(A$1,,,SUMPRODUCT(MAX(ROW(E$2:E280)*(E280=E$2:E280)))))-COUNTBLANK(OFFSET(A$1,,,SUMPRODUCT(MAX(ROW(E$1:E279)*(E2=E$1:E279))))))</f>
        <v> </v>
      </c>
      <c r="K280" s="26" t="str">
        <f>IF(OR(E280="",E280="!!!",F280="NEW"),"",INDEX(J$1:J279,SUMPRODUCT(MAX(ROW(E$1:E279)*(E280=E$1:E279)))))</f>
        <v> </v>
      </c>
      <c r="L280" s="27"/>
    </row>
    <row r="281" spans="1:12">
      <c r="A281" s="20" t="s">
        <v>118</v>
      </c>
      <c r="E281" s="22">
        <f>IF(D281="?OLD","!!!","")</f>
        <v/>
      </c>
      <c r="F281" s="23" t="str">
        <f>IF(OR(E281="",E281="!!!"),"",IF(NOT(ISNA(VLOOKUP(E281,E$1:E280,1,FALSE()))),"OLD",IF(AND(E281&lt;&gt;"",E281&lt;&gt;"!!!"),"NEW","")))</f>
        <v> </v>
      </c>
      <c r="G281" s="24" t="str">
        <f>IF(OR(E281="",E281="!!!"),"",IF(OR(J281=0,AND(J281=1,K281=1),AND(J281=1,I281="SBJ"),AND(J281=1,I281=0)),"?IN_FOCUS",IF(J281&lt;=2,"?ACTIVATED",IF(J281&lt;&gt;"","?FAMILIAR",IF(F281="NEW",IF(ISNA(VLOOKUP(E281,#REF!,1,FALSE())),"?TYPE_IDENTIFIABLE","?REFERENTIAL"),"_")))))</f>
        <v> </v>
      </c>
      <c r="H281" s="25" t="str">
        <f>IF(J281&lt;&gt;1,"",IF(I281="SBJ","CB","?"))</f>
        <v> </v>
      </c>
      <c r="I281" s="26" t="str">
        <f>IF(OR(E281="",E281="!!!",F281="NEW"),"",INDEX(B280:B$2,-1+SUMPRODUCT(MAX(ROW(E280:E$2)*(E281=E280:E$2)))))</f>
        <v> </v>
      </c>
      <c r="J281" s="26" t="str">
        <f>IF(OR(E281="",E281="!!!",F281="NEW"),"",COUNTBLANK(OFFSET(A$1,,,SUMPRODUCT(MAX(ROW(E$2:E281)*(E281=E$2:E281)))))-COUNTBLANK(OFFSET(A$1,,,SUMPRODUCT(MAX(ROW(E$1:E280)*(E2=E$1:E280))))))</f>
        <v> </v>
      </c>
      <c r="K281" s="26" t="str">
        <f>IF(OR(E281="",E281="!!!",F281="NEW"),"",INDEX(J$1:J280,SUMPRODUCT(MAX(ROW(E$1:E280)*(E281=E$1:E280)))))</f>
        <v> </v>
      </c>
      <c r="L281" s="27"/>
    </row>
    <row r="282" spans="1:12">
      <c r="A282" s="20" t="s">
        <v>287</v>
      </c>
      <c r="B282" s="21" t="s">
        <v>107</v>
      </c>
      <c r="C282" s="21" t="s">
        <v>112</v>
      </c>
      <c r="D282" s="21" t="s">
        <v>102</v>
      </c>
      <c r="E282" s="22">
        <f>IF(D282="?OLD","!!!","")</f>
        <v/>
      </c>
      <c r="F282" s="23" t="str">
        <f>IF(OR(E282="",E282="!!!"),"",IF(NOT(ISNA(VLOOKUP(E282,E$1:E281,1,FALSE()))),"OLD",IF(AND(E282&lt;&gt;"",E282&lt;&gt;"!!!"),"NEW","")))</f>
        <v> </v>
      </c>
      <c r="G282" s="24" t="str">
        <f>IF(OR(E282="",E282="!!!"),"",IF(OR(J282=0,AND(J282=1,K282=1),AND(J282=1,I282="SBJ"),AND(J282=1,I282=0)),"?IN_FOCUS",IF(J282&lt;=2,"?ACTIVATED",IF(J282&lt;&gt;"","?FAMILIAR",IF(F282="NEW",IF(ISNA(VLOOKUP(E282,#REF!,1,FALSE())),"?TYPE_IDENTIFIABLE","?REFERENTIAL"),"_")))))</f>
        <v> </v>
      </c>
      <c r="H282" s="25" t="str">
        <f>IF(J282&lt;&gt;1,"",IF(I282="SBJ","CB","?"))</f>
        <v> </v>
      </c>
      <c r="I282" s="26" t="str">
        <f>IF(OR(E282="",E282="!!!",F282="NEW"),"",INDEX(B281:B$2,-1+SUMPRODUCT(MAX(ROW(E281:E$2)*(E282=E281:E$2)))))</f>
        <v> </v>
      </c>
      <c r="J282" s="26" t="str">
        <f>IF(OR(E282="",E282="!!!",F282="NEW"),"",COUNTBLANK(OFFSET(A$1,,,SUMPRODUCT(MAX(ROW(E$2:E282)*(E282=E$2:E282)))))-COUNTBLANK(OFFSET(A$1,,,SUMPRODUCT(MAX(ROW(E$1:E281)*(E2=E$1:E281))))))</f>
        <v> </v>
      </c>
      <c r="K282" s="26" t="str">
        <f>IF(OR(E282="",E282="!!!",F282="NEW"),"",INDEX(J$1:J281,SUMPRODUCT(MAX(ROW(E$1:E281)*(E282=E$1:E281)))))</f>
        <v> </v>
      </c>
      <c r="L282" s="27"/>
    </row>
    <row r="283" spans="1:12">
      <c r="A283" s="20" t="s">
        <v>288</v>
      </c>
      <c r="E283" s="22">
        <f>IF(D283="?OLD","!!!","")</f>
        <v/>
      </c>
      <c r="F283" s="23" t="str">
        <f>IF(OR(E283="",E283="!!!"),"",IF(NOT(ISNA(VLOOKUP(E283,E$1:E282,1,FALSE()))),"OLD",IF(AND(E283&lt;&gt;"",E283&lt;&gt;"!!!"),"NEW","")))</f>
        <v> </v>
      </c>
      <c r="G283" s="24" t="str">
        <f>IF(OR(E283="",E283="!!!"),"",IF(OR(J283=0,AND(J283=1,K283=1),AND(J283=1,I283="SBJ"),AND(J283=1,I283=0)),"?IN_FOCUS",IF(J283&lt;=2,"?ACTIVATED",IF(J283&lt;&gt;"","?FAMILIAR",IF(F283="NEW",IF(ISNA(VLOOKUP(E283,#REF!,1,FALSE())),"?TYPE_IDENTIFIABLE","?REFERENTIAL"),"_")))))</f>
        <v> </v>
      </c>
      <c r="H283" s="25" t="str">
        <f>IF(J283&lt;&gt;1,"",IF(I283="SBJ","CB","?"))</f>
        <v> </v>
      </c>
      <c r="I283" s="26" t="str">
        <f>IF(OR(E283="",E283="!!!",F283="NEW"),"",INDEX(B282:B$2,-1+SUMPRODUCT(MAX(ROW(E282:E$2)*(E283=E282:E$2)))))</f>
        <v> </v>
      </c>
      <c r="J283" s="26" t="str">
        <f>IF(OR(E283="",E283="!!!",F283="NEW"),"",COUNTBLANK(OFFSET(A$1,,,SUMPRODUCT(MAX(ROW(E$2:E283)*(E283=E$2:E283)))))-COUNTBLANK(OFFSET(A$1,,,SUMPRODUCT(MAX(ROW(E$1:E282)*(E2=E$1:E282))))))</f>
        <v> </v>
      </c>
      <c r="K283" s="26" t="str">
        <f>IF(OR(E283="",E283="!!!",F283="NEW"),"",INDEX(J$1:J282,SUMPRODUCT(MAX(ROW(E$1:E282)*(E283=E$1:E282)))))</f>
        <v> </v>
      </c>
      <c r="L283" s="27"/>
    </row>
    <row r="284" spans="1:12">
      <c r="A284" s="20" t="s">
        <v>169</v>
      </c>
      <c r="E284" s="22">
        <f>IF(D284="?OLD","!!!","")</f>
        <v/>
      </c>
      <c r="F284" s="23" t="str">
        <f>IF(OR(E284="",E284="!!!"),"",IF(NOT(ISNA(VLOOKUP(E284,E$1:E283,1,FALSE()))),"OLD",IF(AND(E284&lt;&gt;"",E284&lt;&gt;"!!!"),"NEW","")))</f>
        <v> </v>
      </c>
      <c r="G284" s="24" t="str">
        <f>IF(OR(E284="",E284="!!!"),"",IF(OR(J284=0,AND(J284=1,K284=1),AND(J284=1,I284="SBJ"),AND(J284=1,I284=0)),"?IN_FOCUS",IF(J284&lt;=2,"?ACTIVATED",IF(J284&lt;&gt;"","?FAMILIAR",IF(F284="NEW",IF(ISNA(VLOOKUP(E284,#REF!,1,FALSE())),"?TYPE_IDENTIFIABLE","?REFERENTIAL"),"_")))))</f>
        <v> </v>
      </c>
      <c r="H284" s="25" t="str">
        <f>IF(J284&lt;&gt;1,"",IF(I284="SBJ","CB","?"))</f>
        <v> </v>
      </c>
      <c r="I284" s="26" t="str">
        <f>IF(OR(E284="",E284="!!!",F284="NEW"),"",INDEX(B283:B$2,-1+SUMPRODUCT(MAX(ROW(E283:E$2)*(E284=E283:E$2)))))</f>
        <v> </v>
      </c>
      <c r="J284" s="26" t="str">
        <f>IF(OR(E284="",E284="!!!",F284="NEW"),"",COUNTBLANK(OFFSET(A$1,,,SUMPRODUCT(MAX(ROW(E$2:E284)*(E284=E$2:E284)))))-COUNTBLANK(OFFSET(A$1,,,SUMPRODUCT(MAX(ROW(E$1:E283)*(E2=E$1:E283))))))</f>
        <v> </v>
      </c>
      <c r="K284" s="26" t="str">
        <f>IF(OR(E284="",E284="!!!",F284="NEW"),"",INDEX(J$1:J283,SUMPRODUCT(MAX(ROW(E$1:E283)*(E284=E$1:E283)))))</f>
        <v> </v>
      </c>
      <c r="L284" s="27"/>
    </row>
    <row r="285" spans="1:12">
      <c r="A285" s="20" t="s">
        <v>118</v>
      </c>
      <c r="E285" s="22">
        <f>IF(D285="?OLD","!!!","")</f>
        <v/>
      </c>
      <c r="F285" s="23" t="str">
        <f>IF(OR(E285="",E285="!!!"),"",IF(NOT(ISNA(VLOOKUP(E285,E$1:E284,1,FALSE()))),"OLD",IF(AND(E285&lt;&gt;"",E285&lt;&gt;"!!!"),"NEW","")))</f>
        <v> </v>
      </c>
      <c r="G285" s="24" t="str">
        <f>IF(OR(E285="",E285="!!!"),"",IF(OR(J285=0,AND(J285=1,K285=1),AND(J285=1,I285="SBJ"),AND(J285=1,I285=0)),"?IN_FOCUS",IF(J285&lt;=2,"?ACTIVATED",IF(J285&lt;&gt;"","?FAMILIAR",IF(F285="NEW",IF(ISNA(VLOOKUP(E285,#REF!,1,FALSE())),"?TYPE_IDENTIFIABLE","?REFERENTIAL"),"_")))))</f>
        <v> </v>
      </c>
      <c r="H285" s="25" t="str">
        <f>IF(J285&lt;&gt;1,"",IF(I285="SBJ","CB","?"))</f>
        <v> </v>
      </c>
      <c r="I285" s="26" t="str">
        <f>IF(OR(E285="",E285="!!!",F285="NEW"),"",INDEX(B284:B$2,-1+SUMPRODUCT(MAX(ROW(E284:E$2)*(E285=E284:E$2)))))</f>
        <v> </v>
      </c>
      <c r="J285" s="26" t="str">
        <f>IF(OR(E285="",E285="!!!",F285="NEW"),"",COUNTBLANK(OFFSET(A$1,,,SUMPRODUCT(MAX(ROW(E$2:E285)*(E285=E$2:E285)))))-COUNTBLANK(OFFSET(A$1,,,SUMPRODUCT(MAX(ROW(E$1:E284)*(E2=E$1:E284))))))</f>
        <v> </v>
      </c>
      <c r="K285" s="26" t="str">
        <f>IF(OR(E285="",E285="!!!",F285="NEW"),"",INDEX(J$1:J284,SUMPRODUCT(MAX(ROW(E$1:E284)*(E285=E$1:E284)))))</f>
        <v> </v>
      </c>
      <c r="L285" s="27"/>
    </row>
    <row r="286" spans="1:12">
      <c r="A286" s="20" t="s">
        <v>289</v>
      </c>
      <c r="B286" s="21" t="s">
        <v>107</v>
      </c>
      <c r="C286" s="21" t="s">
        <v>112</v>
      </c>
      <c r="D286" s="21" t="s">
        <v>102</v>
      </c>
      <c r="E286" s="22">
        <f>IF(D286="?OLD","!!!","")</f>
        <v/>
      </c>
      <c r="F286" s="23" t="str">
        <f>IF(OR(E286="",E286="!!!"),"",IF(NOT(ISNA(VLOOKUP(E286,E$1:E285,1,FALSE()))),"OLD",IF(AND(E286&lt;&gt;"",E286&lt;&gt;"!!!"),"NEW","")))</f>
        <v> </v>
      </c>
      <c r="G286" s="24" t="str">
        <f>IF(OR(E286="",E286="!!!"),"",IF(OR(J286=0,AND(J286=1,K286=1),AND(J286=1,I286="SBJ"),AND(J286=1,I286=0)),"?IN_FOCUS",IF(J286&lt;=2,"?ACTIVATED",IF(J286&lt;&gt;"","?FAMILIAR",IF(F286="NEW",IF(ISNA(VLOOKUP(E286,#REF!,1,FALSE())),"?TYPE_IDENTIFIABLE","?REFERENTIAL"),"_")))))</f>
        <v> </v>
      </c>
      <c r="H286" s="25" t="str">
        <f>IF(J286&lt;&gt;1,"",IF(I286="SBJ","CB","?"))</f>
        <v> </v>
      </c>
      <c r="I286" s="26" t="str">
        <f>IF(OR(E286="",E286="!!!",F286="NEW"),"",INDEX(B285:B$2,-1+SUMPRODUCT(MAX(ROW(E285:E$2)*(E286=E285:E$2)))))</f>
        <v> </v>
      </c>
      <c r="J286" s="26" t="str">
        <f>IF(OR(E286="",E286="!!!",F286="NEW"),"",COUNTBLANK(OFFSET(A$1,,,SUMPRODUCT(MAX(ROW(E$2:E286)*(E286=E$2:E286)))))-COUNTBLANK(OFFSET(A$1,,,SUMPRODUCT(MAX(ROW(E$1:E285)*(E2=E$1:E285))))))</f>
        <v> </v>
      </c>
      <c r="K286" s="26" t="str">
        <f>IF(OR(E286="",E286="!!!",F286="NEW"),"",INDEX(J$1:J285,SUMPRODUCT(MAX(ROW(E$1:E285)*(E286=E$1:E285)))))</f>
        <v> </v>
      </c>
      <c r="L286" s="27"/>
    </row>
    <row r="287" spans="1:12">
      <c r="A287" s="20" t="s">
        <v>132</v>
      </c>
      <c r="E287" s="22">
        <f>IF(D287="?OLD","!!!","")</f>
        <v/>
      </c>
      <c r="F287" s="23" t="str">
        <f>IF(OR(E287="",E287="!!!"),"",IF(NOT(ISNA(VLOOKUP(E287,E$1:E286,1,FALSE()))),"OLD",IF(AND(E287&lt;&gt;"",E287&lt;&gt;"!!!"),"NEW","")))</f>
        <v> </v>
      </c>
      <c r="G287" s="24" t="str">
        <f>IF(OR(E287="",E287="!!!"),"",IF(OR(J287=0,AND(J287=1,K287=1),AND(J287=1,I287="SBJ"),AND(J287=1,I287=0)),"?IN_FOCUS",IF(J287&lt;=2,"?ACTIVATED",IF(J287&lt;&gt;"","?FAMILIAR",IF(F287="NEW",IF(ISNA(VLOOKUP(E287,#REF!,1,FALSE())),"?TYPE_IDENTIFIABLE","?REFERENTIAL"),"_")))))</f>
        <v> </v>
      </c>
      <c r="H287" s="25" t="str">
        <f>IF(J287&lt;&gt;1,"",IF(I287="SBJ","CB","?"))</f>
        <v> </v>
      </c>
      <c r="I287" s="26" t="str">
        <f>IF(OR(E287="",E287="!!!",F287="NEW"),"",INDEX(B286:B$2,-1+SUMPRODUCT(MAX(ROW(E286:E$2)*(E287=E286:E$2)))))</f>
        <v> </v>
      </c>
      <c r="J287" s="26" t="str">
        <f>IF(OR(E287="",E287="!!!",F287="NEW"),"",COUNTBLANK(OFFSET(A$1,,,SUMPRODUCT(MAX(ROW(E$2:E287)*(E287=E$2:E287)))))-COUNTBLANK(OFFSET(A$1,,,SUMPRODUCT(MAX(ROW(E$1:E286)*(E2=E$1:E286))))))</f>
        <v> </v>
      </c>
      <c r="K287" s="26" t="str">
        <f>IF(OR(E287="",E287="!!!",F287="NEW"),"",INDEX(J$1:J286,SUMPRODUCT(MAX(ROW(E$1:E286)*(E287=E$1:E286)))))</f>
        <v> </v>
      </c>
      <c r="L287" s="27"/>
    </row>
    <row r="288" spans="1:12">
      <c r="A288" s="20" t="s">
        <v>90</v>
      </c>
      <c r="B288" s="21" t="s">
        <v>120</v>
      </c>
      <c r="C288" s="21" t="s">
        <v>112</v>
      </c>
      <c r="D288" s="21" t="s">
        <v>102</v>
      </c>
      <c r="E288" s="22">
        <f>IF(D288="?OLD","!!!","")</f>
        <v/>
      </c>
      <c r="F288" s="23" t="str">
        <f>IF(OR(E288="",E288="!!!"),"",IF(NOT(ISNA(VLOOKUP(E288,E$1:E287,1,FALSE()))),"OLD",IF(AND(E288&lt;&gt;"",E288&lt;&gt;"!!!"),"NEW","")))</f>
        <v> </v>
      </c>
      <c r="G288" s="24" t="str">
        <f>IF(OR(E288="",E288="!!!"),"",IF(OR(J288=0,AND(J288=1,K288=1),AND(J288=1,I288="SBJ"),AND(J288=1,I288=0)),"?IN_FOCUS",IF(J288&lt;=2,"?ACTIVATED",IF(J288&lt;&gt;"","?FAMILIAR",IF(F288="NEW",IF(ISNA(VLOOKUP(E288,#REF!,1,FALSE())),"?TYPE_IDENTIFIABLE","?REFERENTIAL"),"_")))))</f>
        <v> </v>
      </c>
      <c r="H288" s="25" t="str">
        <f>IF(J288&lt;&gt;1,"",IF(I288="SBJ","CB","?"))</f>
        <v> </v>
      </c>
      <c r="I288" s="26" t="str">
        <f>IF(OR(E288="",E288="!!!",F288="NEW"),"",INDEX(B287:B$2,-1+SUMPRODUCT(MAX(ROW(E287:E$2)*(E288=E287:E$2)))))</f>
        <v> </v>
      </c>
      <c r="J288" s="26" t="str">
        <f>IF(OR(E288="",E288="!!!",F288="NEW"),"",COUNTBLANK(OFFSET(A$1,,,SUMPRODUCT(MAX(ROW(E$2:E288)*(E288=E$2:E288)))))-COUNTBLANK(OFFSET(A$1,,,SUMPRODUCT(MAX(ROW(E$1:E287)*(E2=E$1:E287))))))</f>
        <v> </v>
      </c>
      <c r="K288" s="26" t="str">
        <f>IF(OR(E288="",E288="!!!",F288="NEW"),"",INDEX(J$1:J287,SUMPRODUCT(MAX(ROW(E$1:E287)*(E288=E$1:E287)))))</f>
        <v> </v>
      </c>
      <c r="L288" s="27"/>
    </row>
    <row r="289" spans="1:12">
      <c r="A289" s="20" t="s">
        <v>290</v>
      </c>
      <c r="E289" s="22">
        <f>IF(D289="?OLD","!!!","")</f>
        <v/>
      </c>
      <c r="F289" s="23" t="str">
        <f>IF(OR(E289="",E289="!!!"),"",IF(NOT(ISNA(VLOOKUP(E289,E$1:E288,1,FALSE()))),"OLD",IF(AND(E289&lt;&gt;"",E289&lt;&gt;"!!!"),"NEW","")))</f>
        <v> </v>
      </c>
      <c r="G289" s="24" t="str">
        <f>IF(OR(E289="",E289="!!!"),"",IF(OR(J289=0,AND(J289=1,K289=1),AND(J289=1,I289="SBJ"),AND(J289=1,I289=0)),"?IN_FOCUS",IF(J289&lt;=2,"?ACTIVATED",IF(J289&lt;&gt;"","?FAMILIAR",IF(F289="NEW",IF(ISNA(VLOOKUP(E289,#REF!,1,FALSE())),"?TYPE_IDENTIFIABLE","?REFERENTIAL"),"_")))))</f>
        <v> </v>
      </c>
      <c r="H289" s="25" t="str">
        <f>IF(J289&lt;&gt;1,"",IF(I289="SBJ","CB","?"))</f>
        <v> </v>
      </c>
      <c r="I289" s="26" t="str">
        <f>IF(OR(E289="",E289="!!!",F289="NEW"),"",INDEX(B288:B$2,-1+SUMPRODUCT(MAX(ROW(E288:E$2)*(E289=E288:E$2)))))</f>
        <v> </v>
      </c>
      <c r="J289" s="26" t="str">
        <f>IF(OR(E289="",E289="!!!",F289="NEW"),"",COUNTBLANK(OFFSET(A$1,,,SUMPRODUCT(MAX(ROW(E$2:E289)*(E289=E$2:E289)))))-COUNTBLANK(OFFSET(A$1,,,SUMPRODUCT(MAX(ROW(E$1:E288)*(E2=E$1:E288))))))</f>
        <v> </v>
      </c>
      <c r="K289" s="26" t="str">
        <f>IF(OR(E289="",E289="!!!",F289="NEW"),"",INDEX(J$1:J288,SUMPRODUCT(MAX(ROW(E$1:E288)*(E289=E$1:E288)))))</f>
        <v> </v>
      </c>
      <c r="L289" s="27"/>
    </row>
    <row r="290" spans="1:12">
      <c r="A290" s="20" t="s">
        <v>177</v>
      </c>
      <c r="E290" s="22">
        <f>IF(D290="?OLD","!!!","")</f>
        <v/>
      </c>
      <c r="F290" s="23" t="str">
        <f>IF(OR(E290="",E290="!!!"),"",IF(NOT(ISNA(VLOOKUP(E290,E$1:E289,1,FALSE()))),"OLD",IF(AND(E290&lt;&gt;"",E290&lt;&gt;"!!!"),"NEW","")))</f>
        <v> </v>
      </c>
      <c r="G290" s="24" t="str">
        <f>IF(OR(E290="",E290="!!!"),"",IF(OR(J290=0,AND(J290=1,K290=1),AND(J290=1,I290="SBJ"),AND(J290=1,I290=0)),"?IN_FOCUS",IF(J290&lt;=2,"?ACTIVATED",IF(J290&lt;&gt;"","?FAMILIAR",IF(F290="NEW",IF(ISNA(VLOOKUP(E290,#REF!,1,FALSE())),"?TYPE_IDENTIFIABLE","?REFERENTIAL"),"_")))))</f>
        <v> </v>
      </c>
      <c r="H290" s="25" t="str">
        <f>IF(J290&lt;&gt;1,"",IF(I290="SBJ","CB","?"))</f>
        <v> </v>
      </c>
      <c r="I290" s="26" t="str">
        <f>IF(OR(E290="",E290="!!!",F290="NEW"),"",INDEX(B289:B$2,-1+SUMPRODUCT(MAX(ROW(E289:E$2)*(E290=E289:E$2)))))</f>
        <v> </v>
      </c>
      <c r="J290" s="26" t="str">
        <f>IF(OR(E290="",E290="!!!",F290="NEW"),"",COUNTBLANK(OFFSET(A$1,,,SUMPRODUCT(MAX(ROW(E$2:E290)*(E290=E$2:E290)))))-COUNTBLANK(OFFSET(A$1,,,SUMPRODUCT(MAX(ROW(E$1:E289)*(E2=E$1:E289))))))</f>
        <v> </v>
      </c>
      <c r="K290" s="26" t="str">
        <f>IF(OR(E290="",E290="!!!",F290="NEW"),"",INDEX(J$1:J289,SUMPRODUCT(MAX(ROW(E$1:E289)*(E290=E$1:E289)))))</f>
        <v> </v>
      </c>
      <c r="L290" s="27"/>
    </row>
    <row r="291" spans="1:12">
      <c r="A291" s="20" t="s">
        <v>155</v>
      </c>
      <c r="E291" s="22">
        <f>IF(D291="?OLD","!!!","")</f>
        <v/>
      </c>
      <c r="F291" s="23" t="str">
        <f>IF(OR(E291="",E291="!!!"),"",IF(NOT(ISNA(VLOOKUP(E291,E$1:E290,1,FALSE()))),"OLD",IF(AND(E291&lt;&gt;"",E291&lt;&gt;"!!!"),"NEW","")))</f>
        <v> </v>
      </c>
      <c r="G291" s="24" t="str">
        <f>IF(OR(E291="",E291="!!!"),"",IF(OR(J291=0,AND(J291=1,K291=1),AND(J291=1,I291="SBJ"),AND(J291=1,I291=0)),"?IN_FOCUS",IF(J291&lt;=2,"?ACTIVATED",IF(J291&lt;&gt;"","?FAMILIAR",IF(F291="NEW",IF(ISNA(VLOOKUP(E291,#REF!,1,FALSE())),"?TYPE_IDENTIFIABLE","?REFERENTIAL"),"_")))))</f>
        <v> </v>
      </c>
      <c r="H291" s="25" t="str">
        <f>IF(J291&lt;&gt;1,"",IF(I291="SBJ","CB","?"))</f>
        <v> </v>
      </c>
      <c r="I291" s="26" t="str">
        <f>IF(OR(E291="",E291="!!!",F291="NEW"),"",INDEX(B290:B$2,-1+SUMPRODUCT(MAX(ROW(E290:E$2)*(E291=E290:E$2)))))</f>
        <v> </v>
      </c>
      <c r="J291" s="26" t="str">
        <f>IF(OR(E291="",E291="!!!",F291="NEW"),"",COUNTBLANK(OFFSET(A$1,,,SUMPRODUCT(MAX(ROW(E$2:E291)*(E291=E$2:E291)))))-COUNTBLANK(OFFSET(A$1,,,SUMPRODUCT(MAX(ROW(E$1:E290)*(E2=E$1:E290))))))</f>
        <v> </v>
      </c>
      <c r="K291" s="26" t="str">
        <f>IF(OR(E291="",E291="!!!",F291="NEW"),"",INDEX(J$1:J290,SUMPRODUCT(MAX(ROW(E$1:E290)*(E291=E$1:E290)))))</f>
        <v> </v>
      </c>
      <c r="L291" s="27"/>
    </row>
    <row r="292" spans="1:12">
      <c r="A292" s="20"/>
    </row>
    <row r="293" spans="1:12">
      <c r="A293" s="20" t="s">
        <v>291</v>
      </c>
    </row>
    <row r="294" spans="1:12">
      <c r="A294" s="20" t="s">
        <v>292</v>
      </c>
      <c r="E294" s="22">
        <f>IF(D294="?OLD","!!!","")</f>
        <v/>
      </c>
      <c r="F294" s="23" t="str">
        <f>IF(OR(E294="",E294="!!!"),"",IF(NOT(ISNA(VLOOKUP(E294,E$1:E293,1,FALSE()))),"OLD",IF(AND(E294&lt;&gt;"",E294&lt;&gt;"!!!"),"NEW","")))</f>
        <v> </v>
      </c>
      <c r="G294" s="24" t="str">
        <f>IF(OR(E294="",E294="!!!"),"",IF(OR(J294=0,AND(J294=1,K294=1),AND(J294=1,I294="SBJ"),AND(J294=1,I294=0)),"?IN_FOCUS",IF(J294&lt;=2,"?ACTIVATED",IF(J294&lt;&gt;"","?FAMILIAR",IF(F294="NEW",IF(ISNA(VLOOKUP(E294,#REF!,1,FALSE())),"?TYPE_IDENTIFIABLE","?REFERENTIAL"),"_")))))</f>
        <v> </v>
      </c>
      <c r="H294" s="25" t="str">
        <f>IF(J294&lt;&gt;1,"",IF(I294="SBJ","CB","?"))</f>
        <v> </v>
      </c>
      <c r="I294" s="26" t="str">
        <f>IF(OR(E294="",E294="!!!",F294="NEW"),"",INDEX(B293:B$2,-1+SUMPRODUCT(MAX(ROW(E293:E$2)*(E294=E293:E$2)))))</f>
        <v> </v>
      </c>
      <c r="J294" s="26" t="str">
        <f>IF(OR(E294="",E294="!!!",F294="NEW"),"",COUNTBLANK(OFFSET(A$1,,,SUMPRODUCT(MAX(ROW(E$2:E294)*(E294=E$2:E294)))))-COUNTBLANK(OFFSET(A$1,,,SUMPRODUCT(MAX(ROW(E$1:E293)*(E2=E$1:E293))))))</f>
        <v> </v>
      </c>
      <c r="K294" s="26" t="str">
        <f>IF(OR(E294="",E294="!!!",F294="NEW"),"",INDEX(J$1:J293,SUMPRODUCT(MAX(ROW(E$1:E293)*(E294=E$1:E293)))))</f>
        <v> </v>
      </c>
      <c r="L294" s="27"/>
    </row>
    <row r="295" spans="1:12">
      <c r="A295" s="20" t="s">
        <v>293</v>
      </c>
      <c r="B295" s="21" t="s">
        <v>100</v>
      </c>
      <c r="C295" s="21" t="s">
        <v>153</v>
      </c>
      <c r="D295" s="21" t="s">
        <v>102</v>
      </c>
      <c r="E295" s="22">
        <f>IF(D295="?OLD","!!!","")</f>
        <v/>
      </c>
      <c r="F295" s="23" t="str">
        <f>IF(OR(E295="",E295="!!!"),"",IF(NOT(ISNA(VLOOKUP(E295,E$1:E294,1,FALSE()))),"OLD",IF(AND(E295&lt;&gt;"",E295&lt;&gt;"!!!"),"NEW","")))</f>
        <v> </v>
      </c>
      <c r="G295" s="24" t="str">
        <f>IF(OR(E295="",E295="!!!"),"",IF(OR(J295=0,AND(J295=1,K295=1),AND(J295=1,I295="SBJ"),AND(J295=1,I295=0)),"?IN_FOCUS",IF(J295&lt;=2,"?ACTIVATED",IF(J295&lt;&gt;"","?FAMILIAR",IF(F295="NEW",IF(ISNA(VLOOKUP(E295,#REF!,1,FALSE())),"?TYPE_IDENTIFIABLE","?REFERENTIAL"),"_")))))</f>
        <v> </v>
      </c>
      <c r="H295" s="25" t="str">
        <f>IF(J295&lt;&gt;1,"",IF(I295="SBJ","CB","?"))</f>
        <v> </v>
      </c>
      <c r="I295" s="26" t="str">
        <f>IF(OR(E295="",E295="!!!",F295="NEW"),"",INDEX(B294:B$2,-1+SUMPRODUCT(MAX(ROW(E294:E$2)*(E295=E294:E$2)))))</f>
        <v> </v>
      </c>
      <c r="J295" s="26" t="str">
        <f>IF(OR(E295="",E295="!!!",F295="NEW"),"",COUNTBLANK(OFFSET(A$1,,,SUMPRODUCT(MAX(ROW(E$2:E295)*(E295=E$2:E295)))))-COUNTBLANK(OFFSET(A$1,,,SUMPRODUCT(MAX(ROW(E$1:E294)*(E2=E$1:E294))))))</f>
        <v> </v>
      </c>
      <c r="K295" s="26" t="str">
        <f>IF(OR(E295="",E295="!!!",F295="NEW"),"",INDEX(J$1:J294,SUMPRODUCT(MAX(ROW(E$1:E294)*(E295=E$1:E294)))))</f>
        <v> </v>
      </c>
      <c r="L295" s="27"/>
    </row>
    <row r="296" spans="1:12">
      <c r="A296" s="20" t="s">
        <v>294</v>
      </c>
      <c r="B296" s="21" t="s">
        <v>107</v>
      </c>
      <c r="C296" s="21" t="s">
        <v>270</v>
      </c>
      <c r="D296" s="21" t="s">
        <v>102</v>
      </c>
      <c r="E296" s="22">
        <f>IF(D296="?OLD","!!!","")</f>
        <v/>
      </c>
      <c r="F296" s="23" t="str">
        <f>IF(OR(E296="",E296="!!!"),"",IF(NOT(ISNA(VLOOKUP(E296,E$1:E295,1,FALSE()))),"OLD",IF(AND(E296&lt;&gt;"",E296&lt;&gt;"!!!"),"NEW","")))</f>
        <v> </v>
      </c>
      <c r="G296" s="24" t="str">
        <f>IF(OR(E296="",E296="!!!"),"",IF(OR(J296=0,AND(J296=1,K296=1),AND(J296=1,I296="SBJ"),AND(J296=1,I296=0)),"?IN_FOCUS",IF(J296&lt;=2,"?ACTIVATED",IF(J296&lt;&gt;"","?FAMILIAR",IF(F296="NEW",IF(ISNA(VLOOKUP(E296,#REF!,1,FALSE())),"?TYPE_IDENTIFIABLE","?REFERENTIAL"),"_")))))</f>
        <v> </v>
      </c>
      <c r="H296" s="25" t="str">
        <f>IF(J296&lt;&gt;1,"",IF(I296="SBJ","CB","?"))</f>
        <v> </v>
      </c>
      <c r="I296" s="26" t="str">
        <f>IF(OR(E296="",E296="!!!",F296="NEW"),"",INDEX(B295:B$2,-1+SUMPRODUCT(MAX(ROW(E295:E$2)*(E296=E295:E$2)))))</f>
        <v> </v>
      </c>
      <c r="J296" s="26" t="str">
        <f>IF(OR(E296="",E296="!!!",F296="NEW"),"",COUNTBLANK(OFFSET(A$1,,,SUMPRODUCT(MAX(ROW(E$2:E296)*(E296=E$2:E296)))))-COUNTBLANK(OFFSET(A$1,,,SUMPRODUCT(MAX(ROW(E$1:E295)*(E2=E$1:E295))))))</f>
        <v> </v>
      </c>
      <c r="K296" s="26" t="str">
        <f>IF(OR(E296="",E296="!!!",F296="NEW"),"",INDEX(J$1:J295,SUMPRODUCT(MAX(ROW(E$1:E295)*(E296=E$1:E295)))))</f>
        <v> </v>
      </c>
      <c r="L296" s="27"/>
    </row>
    <row r="297" spans="1:12">
      <c r="A297" s="20" t="s">
        <v>295</v>
      </c>
      <c r="E297" s="22">
        <f>IF(D297="?OLD","!!!","")</f>
        <v/>
      </c>
      <c r="F297" s="23" t="str">
        <f>IF(OR(E297="",E297="!!!"),"",IF(NOT(ISNA(VLOOKUP(E297,E$1:E296,1,FALSE()))),"OLD",IF(AND(E297&lt;&gt;"",E297&lt;&gt;"!!!"),"NEW","")))</f>
        <v> </v>
      </c>
      <c r="G297" s="24" t="str">
        <f>IF(OR(E297="",E297="!!!"),"",IF(OR(J297=0,AND(J297=1,K297=1),AND(J297=1,I297="SBJ"),AND(J297=1,I297=0)),"?IN_FOCUS",IF(J297&lt;=2,"?ACTIVATED",IF(J297&lt;&gt;"","?FAMILIAR",IF(F297="NEW",IF(ISNA(VLOOKUP(E297,#REF!,1,FALSE())),"?TYPE_IDENTIFIABLE","?REFERENTIAL"),"_")))))</f>
        <v> </v>
      </c>
      <c r="H297" s="25" t="str">
        <f>IF(J297&lt;&gt;1,"",IF(I297="SBJ","CB","?"))</f>
        <v> </v>
      </c>
      <c r="I297" s="26" t="str">
        <f>IF(OR(E297="",E297="!!!",F297="NEW"),"",INDEX(B296:B$2,-1+SUMPRODUCT(MAX(ROW(E296:E$2)*(E297=E296:E$2)))))</f>
        <v> </v>
      </c>
      <c r="J297" s="26" t="str">
        <f>IF(OR(E297="",E297="!!!",F297="NEW"),"",COUNTBLANK(OFFSET(A$1,,,SUMPRODUCT(MAX(ROW(E$2:E297)*(E297=E$2:E297)))))-COUNTBLANK(OFFSET(A$1,,,SUMPRODUCT(MAX(ROW(E$1:E296)*(E2=E$1:E296))))))</f>
        <v> </v>
      </c>
      <c r="K297" s="26" t="str">
        <f>IF(OR(E297="",E297="!!!",F297="NEW"),"",INDEX(J$1:J296,SUMPRODUCT(MAX(ROW(E$1:E296)*(E297=E$1:E296)))))</f>
        <v> </v>
      </c>
      <c r="L297" s="27"/>
    </row>
    <row r="298" spans="1:12">
      <c r="A298" s="20" t="s">
        <v>296</v>
      </c>
      <c r="E298" s="22">
        <f>IF(D298="?OLD","!!!","")</f>
        <v/>
      </c>
      <c r="F298" s="23" t="str">
        <f>IF(OR(E298="",E298="!!!"),"",IF(NOT(ISNA(VLOOKUP(E298,E$1:E297,1,FALSE()))),"OLD",IF(AND(E298&lt;&gt;"",E298&lt;&gt;"!!!"),"NEW","")))</f>
        <v> </v>
      </c>
      <c r="G298" s="24" t="str">
        <f>IF(OR(E298="",E298="!!!"),"",IF(OR(J298=0,AND(J298=1,K298=1),AND(J298=1,I298="SBJ"),AND(J298=1,I298=0)),"?IN_FOCUS",IF(J298&lt;=2,"?ACTIVATED",IF(J298&lt;&gt;"","?FAMILIAR",IF(F298="NEW",IF(ISNA(VLOOKUP(E298,#REF!,1,FALSE())),"?TYPE_IDENTIFIABLE","?REFERENTIAL"),"_")))))</f>
        <v> </v>
      </c>
      <c r="H298" s="25" t="str">
        <f>IF(J298&lt;&gt;1,"",IF(I298="SBJ","CB","?"))</f>
        <v> </v>
      </c>
      <c r="I298" s="26" t="str">
        <f>IF(OR(E298="",E298="!!!",F298="NEW"),"",INDEX(B297:B$2,-1+SUMPRODUCT(MAX(ROW(E297:E$2)*(E298=E297:E$2)))))</f>
        <v> </v>
      </c>
      <c r="J298" s="26" t="str">
        <f>IF(OR(E298="",E298="!!!",F298="NEW"),"",COUNTBLANK(OFFSET(A$1,,,SUMPRODUCT(MAX(ROW(E$2:E298)*(E298=E$2:E298)))))-COUNTBLANK(OFFSET(A$1,,,SUMPRODUCT(MAX(ROW(E$1:E297)*(E2=E$1:E297))))))</f>
        <v> </v>
      </c>
      <c r="K298" s="26" t="str">
        <f>IF(OR(E298="",E298="!!!",F298="NEW"),"",INDEX(J$1:J297,SUMPRODUCT(MAX(ROW(E$1:E297)*(E298=E$1:E297)))))</f>
        <v> </v>
      </c>
      <c r="L298" s="27"/>
    </row>
    <row r="299" spans="1:12">
      <c r="A299" s="20" t="s">
        <v>97</v>
      </c>
      <c r="E299" s="22">
        <f>IF(D299="?OLD","!!!","")</f>
        <v/>
      </c>
      <c r="F299" s="23" t="str">
        <f>IF(OR(E299="",E299="!!!"),"",IF(NOT(ISNA(VLOOKUP(E299,E$1:E298,1,FALSE()))),"OLD",IF(AND(E299&lt;&gt;"",E299&lt;&gt;"!!!"),"NEW","")))</f>
        <v> </v>
      </c>
      <c r="G299" s="24" t="str">
        <f>IF(OR(E299="",E299="!!!"),"",IF(OR(J299=0,AND(J299=1,K299=1),AND(J299=1,I299="SBJ"),AND(J299=1,I299=0)),"?IN_FOCUS",IF(J299&lt;=2,"?ACTIVATED",IF(J299&lt;&gt;"","?FAMILIAR",IF(F299="NEW",IF(ISNA(VLOOKUP(E299,#REF!,1,FALSE())),"?TYPE_IDENTIFIABLE","?REFERENTIAL"),"_")))))</f>
        <v> </v>
      </c>
      <c r="H299" s="25" t="str">
        <f>IF(J299&lt;&gt;1,"",IF(I299="SBJ","CB","?"))</f>
        <v> </v>
      </c>
      <c r="I299" s="26" t="str">
        <f>IF(OR(E299="",E299="!!!",F299="NEW"),"",INDEX(B298:B$2,-1+SUMPRODUCT(MAX(ROW(E298:E$2)*(E299=E298:E$2)))))</f>
        <v> </v>
      </c>
      <c r="J299" s="26" t="str">
        <f>IF(OR(E299="",E299="!!!",F299="NEW"),"",COUNTBLANK(OFFSET(A$1,,,SUMPRODUCT(MAX(ROW(E$2:E299)*(E299=E$2:E299)))))-COUNTBLANK(OFFSET(A$1,,,SUMPRODUCT(MAX(ROW(E$1:E298)*(E2=E$1:E298))))))</f>
        <v> </v>
      </c>
      <c r="K299" s="26" t="str">
        <f>IF(OR(E299="",E299="!!!",F299="NEW"),"",INDEX(J$1:J298,SUMPRODUCT(MAX(ROW(E$1:E298)*(E299=E$1:E298)))))</f>
        <v> </v>
      </c>
      <c r="L299" s="27"/>
    </row>
    <row r="300" spans="1:12">
      <c r="A300" s="20" t="s">
        <v>297</v>
      </c>
      <c r="E300" s="22">
        <f>IF(D300="?OLD","!!!","")</f>
        <v/>
      </c>
      <c r="F300" s="23" t="str">
        <f>IF(OR(E300="",E300="!!!"),"",IF(NOT(ISNA(VLOOKUP(E300,E$1:E299,1,FALSE()))),"OLD",IF(AND(E300&lt;&gt;"",E300&lt;&gt;"!!!"),"NEW","")))</f>
        <v> </v>
      </c>
      <c r="G300" s="24" t="str">
        <f>IF(OR(E300="",E300="!!!"),"",IF(OR(J300=0,AND(J300=1,K300=1),AND(J300=1,I300="SBJ"),AND(J300=1,I300=0)),"?IN_FOCUS",IF(J300&lt;=2,"?ACTIVATED",IF(J300&lt;&gt;"","?FAMILIAR",IF(F300="NEW",IF(ISNA(VLOOKUP(E300,#REF!,1,FALSE())),"?TYPE_IDENTIFIABLE","?REFERENTIAL"),"_")))))</f>
        <v> </v>
      </c>
      <c r="H300" s="25" t="str">
        <f>IF(J300&lt;&gt;1,"",IF(I300="SBJ","CB","?"))</f>
        <v> </v>
      </c>
      <c r="I300" s="26" t="str">
        <f>IF(OR(E300="",E300="!!!",F300="NEW"),"",INDEX(B299:B$2,-1+SUMPRODUCT(MAX(ROW(E299:E$2)*(E300=E299:E$2)))))</f>
        <v> </v>
      </c>
      <c r="J300" s="26" t="str">
        <f>IF(OR(E300="",E300="!!!",F300="NEW"),"",COUNTBLANK(OFFSET(A$1,,,SUMPRODUCT(MAX(ROW(E$2:E300)*(E300=E$2:E300)))))-COUNTBLANK(OFFSET(A$1,,,SUMPRODUCT(MAX(ROW(E$1:E299)*(E2=E$1:E299))))))</f>
        <v> </v>
      </c>
      <c r="K300" s="26" t="str">
        <f>IF(OR(E300="",E300="!!!",F300="NEW"),"",INDEX(J$1:J299,SUMPRODUCT(MAX(ROW(E$1:E299)*(E300=E$1:E299)))))</f>
        <v> </v>
      </c>
      <c r="L300" s="27"/>
    </row>
    <row r="301" spans="1:12">
      <c r="A301" s="20" t="s">
        <v>27</v>
      </c>
      <c r="E301" s="22">
        <f>IF(D301="?OLD","!!!","")</f>
        <v/>
      </c>
      <c r="F301" s="23" t="str">
        <f>IF(OR(E301="",E301="!!!"),"",IF(NOT(ISNA(VLOOKUP(E301,E$1:E300,1,FALSE()))),"OLD",IF(AND(E301&lt;&gt;"",E301&lt;&gt;"!!!"),"NEW","")))</f>
        <v> </v>
      </c>
      <c r="G301" s="24" t="str">
        <f>IF(OR(E301="",E301="!!!"),"",IF(OR(J301=0,AND(J301=1,K301=1),AND(J301=1,I301="SBJ"),AND(J301=1,I301=0)),"?IN_FOCUS",IF(J301&lt;=2,"?ACTIVATED",IF(J301&lt;&gt;"","?FAMILIAR",IF(F301="NEW",IF(ISNA(VLOOKUP(E301,#REF!,1,FALSE())),"?TYPE_IDENTIFIABLE","?REFERENTIAL"),"_")))))</f>
        <v> </v>
      </c>
      <c r="H301" s="25" t="str">
        <f>IF(J301&lt;&gt;1,"",IF(I301="SBJ","CB","?"))</f>
        <v> </v>
      </c>
      <c r="I301" s="26" t="str">
        <f>IF(OR(E301="",E301="!!!",F301="NEW"),"",INDEX(B300:B$2,-1+SUMPRODUCT(MAX(ROW(E300:E$2)*(E301=E300:E$2)))))</f>
        <v> </v>
      </c>
      <c r="J301" s="26" t="str">
        <f>IF(OR(E301="",E301="!!!",F301="NEW"),"",COUNTBLANK(OFFSET(A$1,,,SUMPRODUCT(MAX(ROW(E$2:E301)*(E301=E$2:E301)))))-COUNTBLANK(OFFSET(A$1,,,SUMPRODUCT(MAX(ROW(E$1:E300)*(E2=E$1:E300))))))</f>
        <v> </v>
      </c>
      <c r="K301" s="26" t="str">
        <f>IF(OR(E301="",E301="!!!",F301="NEW"),"",INDEX(J$1:J300,SUMPRODUCT(MAX(ROW(E$1:E300)*(E301=E$1:E300)))))</f>
        <v> </v>
      </c>
      <c r="L301" s="27"/>
    </row>
    <row r="302" spans="1:12">
      <c r="A302" s="20" t="s">
        <v>222</v>
      </c>
      <c r="B302" s="21" t="s">
        <v>100</v>
      </c>
      <c r="C302" s="21" t="s">
        <v>153</v>
      </c>
      <c r="D302" s="21" t="s">
        <v>102</v>
      </c>
      <c r="E302" s="22">
        <f>IF(D302="?OLD","!!!","")</f>
        <v/>
      </c>
      <c r="F302" s="23" t="str">
        <f>IF(OR(E302="",E302="!!!"),"",IF(NOT(ISNA(VLOOKUP(E302,E$1:E301,1,FALSE()))),"OLD",IF(AND(E302&lt;&gt;"",E302&lt;&gt;"!!!"),"NEW","")))</f>
        <v> </v>
      </c>
      <c r="G302" s="24" t="str">
        <f>IF(OR(E302="",E302="!!!"),"",IF(OR(J302=0,AND(J302=1,K302=1),AND(J302=1,I302="SBJ"),AND(J302=1,I302=0)),"?IN_FOCUS",IF(J302&lt;=2,"?ACTIVATED",IF(J302&lt;&gt;"","?FAMILIAR",IF(F302="NEW",IF(ISNA(VLOOKUP(E302,#REF!,1,FALSE())),"?TYPE_IDENTIFIABLE","?REFERENTIAL"),"_")))))</f>
        <v> </v>
      </c>
      <c r="H302" s="25" t="str">
        <f>IF(J302&lt;&gt;1,"",IF(I302="SBJ","CB","?"))</f>
        <v> </v>
      </c>
      <c r="I302" s="26" t="str">
        <f>IF(OR(E302="",E302="!!!",F302="NEW"),"",INDEX(B301:B$2,-1+SUMPRODUCT(MAX(ROW(E301:E$2)*(E302=E301:E$2)))))</f>
        <v> </v>
      </c>
      <c r="J302" s="26" t="str">
        <f>IF(OR(E302="",E302="!!!",F302="NEW"),"",COUNTBLANK(OFFSET(A$1,,,SUMPRODUCT(MAX(ROW(E$2:E302)*(E302=E$2:E302)))))-COUNTBLANK(OFFSET(A$1,,,SUMPRODUCT(MAX(ROW(E$1:E301)*(E2=E$1:E301))))))</f>
        <v> </v>
      </c>
      <c r="K302" s="26" t="str">
        <f>IF(OR(E302="",E302="!!!",F302="NEW"),"",INDEX(J$1:J301,SUMPRODUCT(MAX(ROW(E$1:E301)*(E302=E$1:E301)))))</f>
        <v> </v>
      </c>
      <c r="L302" s="27"/>
    </row>
    <row r="303" spans="1:12">
      <c r="A303" s="20" t="s">
        <v>118</v>
      </c>
      <c r="E303" s="22">
        <f>IF(D303="?OLD","!!!","")</f>
        <v/>
      </c>
      <c r="F303" s="23" t="str">
        <f>IF(OR(E303="",E303="!!!"),"",IF(NOT(ISNA(VLOOKUP(E303,E$1:E302,1,FALSE()))),"OLD",IF(AND(E303&lt;&gt;"",E303&lt;&gt;"!!!"),"NEW","")))</f>
        <v> </v>
      </c>
      <c r="G303" s="24" t="str">
        <f>IF(OR(E303="",E303="!!!"),"",IF(OR(J303=0,AND(J303=1,K303=1),AND(J303=1,I303="SBJ"),AND(J303=1,I303=0)),"?IN_FOCUS",IF(J303&lt;=2,"?ACTIVATED",IF(J303&lt;&gt;"","?FAMILIAR",IF(F303="NEW",IF(ISNA(VLOOKUP(E303,#REF!,1,FALSE())),"?TYPE_IDENTIFIABLE","?REFERENTIAL"),"_")))))</f>
        <v> </v>
      </c>
      <c r="H303" s="25" t="str">
        <f>IF(J303&lt;&gt;1,"",IF(I303="SBJ","CB","?"))</f>
        <v> </v>
      </c>
      <c r="I303" s="26" t="str">
        <f>IF(OR(E303="",E303="!!!",F303="NEW"),"",INDEX(B302:B$2,-1+SUMPRODUCT(MAX(ROW(E302:E$2)*(E303=E302:E$2)))))</f>
        <v> </v>
      </c>
      <c r="J303" s="26" t="str">
        <f>IF(OR(E303="",E303="!!!",F303="NEW"),"",COUNTBLANK(OFFSET(A$1,,,SUMPRODUCT(MAX(ROW(E$2:E303)*(E303=E$2:E303)))))-COUNTBLANK(OFFSET(A$1,,,SUMPRODUCT(MAX(ROW(E$1:E302)*(E2=E$1:E302))))))</f>
        <v> </v>
      </c>
      <c r="K303" s="26" t="str">
        <f>IF(OR(E303="",E303="!!!",F303="NEW"),"",INDEX(J$1:J302,SUMPRODUCT(MAX(ROW(E$1:E302)*(E303=E$1:E302)))))</f>
        <v> </v>
      </c>
      <c r="L303" s="27"/>
    </row>
    <row r="304" spans="1:12">
      <c r="A304" s="20" t="s">
        <v>90</v>
      </c>
      <c r="B304" s="21" t="s">
        <v>100</v>
      </c>
      <c r="C304" s="21" t="s">
        <v>112</v>
      </c>
      <c r="D304" s="21" t="s">
        <v>102</v>
      </c>
      <c r="E304" s="22">
        <f>IF(D304="?OLD","!!!","")</f>
        <v/>
      </c>
      <c r="F304" s="23" t="str">
        <f>IF(OR(E304="",E304="!!!"),"",IF(NOT(ISNA(VLOOKUP(E304,E$1:E303,1,FALSE()))),"OLD",IF(AND(E304&lt;&gt;"",E304&lt;&gt;"!!!"),"NEW","")))</f>
        <v> </v>
      </c>
      <c r="G304" s="24" t="str">
        <f>IF(OR(E304="",E304="!!!"),"",IF(OR(J304=0,AND(J304=1,K304=1),AND(J304=1,I304="SBJ"),AND(J304=1,I304=0)),"?IN_FOCUS",IF(J304&lt;=2,"?ACTIVATED",IF(J304&lt;&gt;"","?FAMILIAR",IF(F304="NEW",IF(ISNA(VLOOKUP(E304,#REF!,1,FALSE())),"?TYPE_IDENTIFIABLE","?REFERENTIAL"),"_")))))</f>
        <v> </v>
      </c>
      <c r="H304" s="25" t="str">
        <f>IF(J304&lt;&gt;1,"",IF(I304="SBJ","CB","?"))</f>
        <v> </v>
      </c>
      <c r="I304" s="26" t="str">
        <f>IF(OR(E304="",E304="!!!",F304="NEW"),"",INDEX(B303:B$2,-1+SUMPRODUCT(MAX(ROW(E303:E$2)*(E304=E303:E$2)))))</f>
        <v> </v>
      </c>
      <c r="J304" s="26" t="str">
        <f>IF(OR(E304="",E304="!!!",F304="NEW"),"",COUNTBLANK(OFFSET(A$1,,,SUMPRODUCT(MAX(ROW(E$2:E304)*(E304=E$2:E304)))))-COUNTBLANK(OFFSET(A$1,,,SUMPRODUCT(MAX(ROW(E$1:E303)*(E2=E$1:E303))))))</f>
        <v> </v>
      </c>
      <c r="K304" s="26" t="str">
        <f>IF(OR(E304="",E304="!!!",F304="NEW"),"",INDEX(J$1:J303,SUMPRODUCT(MAX(ROW(E$1:E303)*(E304=E$1:E303)))))</f>
        <v> </v>
      </c>
      <c r="L304" s="27"/>
    </row>
    <row r="305" spans="1:12">
      <c r="A305" s="20" t="s">
        <v>298</v>
      </c>
      <c r="E305" s="22">
        <f>IF(D305="?OLD","!!!","")</f>
        <v/>
      </c>
      <c r="F305" s="23" t="str">
        <f>IF(OR(E305="",E305="!!!"),"",IF(NOT(ISNA(VLOOKUP(E305,E$1:E304,1,FALSE()))),"OLD",IF(AND(E305&lt;&gt;"",E305&lt;&gt;"!!!"),"NEW","")))</f>
        <v> </v>
      </c>
      <c r="G305" s="24" t="str">
        <f>IF(OR(E305="",E305="!!!"),"",IF(OR(J305=0,AND(J305=1,K305=1),AND(J305=1,I305="SBJ"),AND(J305=1,I305=0)),"?IN_FOCUS",IF(J305&lt;=2,"?ACTIVATED",IF(J305&lt;&gt;"","?FAMILIAR",IF(F305="NEW",IF(ISNA(VLOOKUP(E305,#REF!,1,FALSE())),"?TYPE_IDENTIFIABLE","?REFERENTIAL"),"_")))))</f>
        <v> </v>
      </c>
      <c r="H305" s="25" t="str">
        <f>IF(J305&lt;&gt;1,"",IF(I305="SBJ","CB","?"))</f>
        <v> </v>
      </c>
      <c r="I305" s="26" t="str">
        <f>IF(OR(E305="",E305="!!!",F305="NEW"),"",INDEX(B304:B$2,-1+SUMPRODUCT(MAX(ROW(E304:E$2)*(E305=E304:E$2)))))</f>
        <v> </v>
      </c>
      <c r="J305" s="26" t="str">
        <f>IF(OR(E305="",E305="!!!",F305="NEW"),"",COUNTBLANK(OFFSET(A$1,,,SUMPRODUCT(MAX(ROW(E$2:E305)*(E305=E$2:E305)))))-COUNTBLANK(OFFSET(A$1,,,SUMPRODUCT(MAX(ROW(E$1:E304)*(E2=E$1:E304))))))</f>
        <v> </v>
      </c>
      <c r="K305" s="26" t="str">
        <f>IF(OR(E305="",E305="!!!",F305="NEW"),"",INDEX(J$1:J304,SUMPRODUCT(MAX(ROW(E$1:E304)*(E305=E$1:E304)))))</f>
        <v> </v>
      </c>
      <c r="L305" s="27"/>
    </row>
    <row r="306" spans="1:12">
      <c r="A306" s="20" t="s">
        <v>249</v>
      </c>
      <c r="E306" s="22">
        <f>IF(D306="?OLD","!!!","")</f>
        <v/>
      </c>
      <c r="F306" s="23" t="str">
        <f>IF(OR(E306="",E306="!!!"),"",IF(NOT(ISNA(VLOOKUP(E306,E$1:E305,1,FALSE()))),"OLD",IF(AND(E306&lt;&gt;"",E306&lt;&gt;"!!!"),"NEW","")))</f>
        <v> </v>
      </c>
      <c r="G306" s="24" t="str">
        <f>IF(OR(E306="",E306="!!!"),"",IF(OR(J306=0,AND(J306=1,K306=1),AND(J306=1,I306="SBJ"),AND(J306=1,I306=0)),"?IN_FOCUS",IF(J306&lt;=2,"?ACTIVATED",IF(J306&lt;&gt;"","?FAMILIAR",IF(F306="NEW",IF(ISNA(VLOOKUP(E306,#REF!,1,FALSE())),"?TYPE_IDENTIFIABLE","?REFERENTIAL"),"_")))))</f>
        <v> </v>
      </c>
      <c r="H306" s="25" t="str">
        <f>IF(J306&lt;&gt;1,"",IF(I306="SBJ","CB","?"))</f>
        <v> </v>
      </c>
      <c r="I306" s="26" t="str">
        <f>IF(OR(E306="",E306="!!!",F306="NEW"),"",INDEX(B305:B$2,-1+SUMPRODUCT(MAX(ROW(E305:E$2)*(E306=E305:E$2)))))</f>
        <v> </v>
      </c>
      <c r="J306" s="26" t="str">
        <f>IF(OR(E306="",E306="!!!",F306="NEW"),"",COUNTBLANK(OFFSET(A$1,,,SUMPRODUCT(MAX(ROW(E$2:E306)*(E306=E$2:E306)))))-COUNTBLANK(OFFSET(A$1,,,SUMPRODUCT(MAX(ROW(E$1:E305)*(E2=E$1:E305))))))</f>
        <v> </v>
      </c>
      <c r="K306" s="26" t="str">
        <f>IF(OR(E306="",E306="!!!",F306="NEW"),"",INDEX(J$1:J305,SUMPRODUCT(MAX(ROW(E$1:E305)*(E306=E$1:E305)))))</f>
        <v> </v>
      </c>
      <c r="L306" s="27"/>
    </row>
    <row r="307" spans="1:12">
      <c r="A307" s="20" t="s">
        <v>97</v>
      </c>
      <c r="E307" s="22">
        <f>IF(D307="?OLD","!!!","")</f>
        <v/>
      </c>
      <c r="F307" s="23" t="str">
        <f>IF(OR(E307="",E307="!!!"),"",IF(NOT(ISNA(VLOOKUP(E307,E$1:E306,1,FALSE()))),"OLD",IF(AND(E307&lt;&gt;"",E307&lt;&gt;"!!!"),"NEW","")))</f>
        <v> </v>
      </c>
      <c r="G307" s="24" t="str">
        <f>IF(OR(E307="",E307="!!!"),"",IF(OR(J307=0,AND(J307=1,K307=1),AND(J307=1,I307="SBJ"),AND(J307=1,I307=0)),"?IN_FOCUS",IF(J307&lt;=2,"?ACTIVATED",IF(J307&lt;&gt;"","?FAMILIAR",IF(F307="NEW",IF(ISNA(VLOOKUP(E307,#REF!,1,FALSE())),"?TYPE_IDENTIFIABLE","?REFERENTIAL"),"_")))))</f>
        <v> </v>
      </c>
      <c r="H307" s="25" t="str">
        <f>IF(J307&lt;&gt;1,"",IF(I307="SBJ","CB","?"))</f>
        <v> </v>
      </c>
      <c r="I307" s="26" t="str">
        <f>IF(OR(E307="",E307="!!!",F307="NEW"),"",INDEX(B306:B$2,-1+SUMPRODUCT(MAX(ROW(E306:E$2)*(E307=E306:E$2)))))</f>
        <v> </v>
      </c>
      <c r="J307" s="26" t="str">
        <f>IF(OR(E307="",E307="!!!",F307="NEW"),"",COUNTBLANK(OFFSET(A$1,,,SUMPRODUCT(MAX(ROW(E$2:E307)*(E307=E$2:E307)))))-COUNTBLANK(OFFSET(A$1,,,SUMPRODUCT(MAX(ROW(E$1:E306)*(E2=E$1:E306))))))</f>
        <v> </v>
      </c>
      <c r="K307" s="26" t="str">
        <f>IF(OR(E307="",E307="!!!",F307="NEW"),"",INDEX(J$1:J306,SUMPRODUCT(MAX(ROW(E$1:E306)*(E307=E$1:E306)))))</f>
        <v> </v>
      </c>
      <c r="L307" s="27"/>
    </row>
    <row r="308" spans="1:12">
      <c r="A308" s="20" t="s">
        <v>171</v>
      </c>
      <c r="E308" s="22">
        <f>IF(D308="?OLD","!!!","")</f>
        <v/>
      </c>
      <c r="F308" s="23" t="str">
        <f>IF(OR(E308="",E308="!!!"),"",IF(NOT(ISNA(VLOOKUP(E308,E$1:E307,1,FALSE()))),"OLD",IF(AND(E308&lt;&gt;"",E308&lt;&gt;"!!!"),"NEW","")))</f>
        <v> </v>
      </c>
      <c r="G308" s="24" t="str">
        <f>IF(OR(E308="",E308="!!!"),"",IF(OR(J308=0,AND(J308=1,K308=1),AND(J308=1,I308="SBJ"),AND(J308=1,I308=0)),"?IN_FOCUS",IF(J308&lt;=2,"?ACTIVATED",IF(J308&lt;&gt;"","?FAMILIAR",IF(F308="NEW",IF(ISNA(VLOOKUP(E308,#REF!,1,FALSE())),"?TYPE_IDENTIFIABLE","?REFERENTIAL"),"_")))))</f>
        <v> </v>
      </c>
      <c r="H308" s="25" t="str">
        <f>IF(J308&lt;&gt;1,"",IF(I308="SBJ","CB","?"))</f>
        <v> </v>
      </c>
      <c r="I308" s="26" t="str">
        <f>IF(OR(E308="",E308="!!!",F308="NEW"),"",INDEX(B307:B$2,-1+SUMPRODUCT(MAX(ROW(E307:E$2)*(E308=E307:E$2)))))</f>
        <v> </v>
      </c>
      <c r="J308" s="26" t="str">
        <f>IF(OR(E308="",E308="!!!",F308="NEW"),"",COUNTBLANK(OFFSET(A$1,,,SUMPRODUCT(MAX(ROW(E$2:E308)*(E308=E$2:E308)))))-COUNTBLANK(OFFSET(A$1,,,SUMPRODUCT(MAX(ROW(E$1:E307)*(E2=E$1:E307))))))</f>
        <v> </v>
      </c>
      <c r="K308" s="26" t="str">
        <f>IF(OR(E308="",E308="!!!",F308="NEW"),"",INDEX(J$1:J307,SUMPRODUCT(MAX(ROW(E$1:E307)*(E308=E$1:E307)))))</f>
        <v> </v>
      </c>
      <c r="L308" s="27"/>
    </row>
    <row r="309" spans="1:12">
      <c r="A309" s="20" t="s">
        <v>99</v>
      </c>
      <c r="B309" s="21" t="s">
        <v>100</v>
      </c>
      <c r="C309" s="21" t="s">
        <v>101</v>
      </c>
      <c r="D309" s="21" t="s">
        <v>102</v>
      </c>
      <c r="E309" s="22">
        <f>IF(D309="?OLD","!!!","")</f>
        <v/>
      </c>
      <c r="F309" s="23" t="str">
        <f>IF(OR(E309="",E309="!!!"),"",IF(NOT(ISNA(VLOOKUP(E309,E$1:E308,1,FALSE()))),"OLD",IF(AND(E309&lt;&gt;"",E309&lt;&gt;"!!!"),"NEW","")))</f>
        <v> </v>
      </c>
      <c r="G309" s="24" t="str">
        <f>IF(OR(E309="",E309="!!!"),"",IF(OR(J309=0,AND(J309=1,K309=1),AND(J309=1,I309="SBJ"),AND(J309=1,I309=0)),"?IN_FOCUS",IF(J309&lt;=2,"?ACTIVATED",IF(J309&lt;&gt;"","?FAMILIAR",IF(F309="NEW",IF(ISNA(VLOOKUP(E309,#REF!,1,FALSE())),"?TYPE_IDENTIFIABLE","?REFERENTIAL"),"_")))))</f>
        <v> </v>
      </c>
      <c r="H309" s="25" t="str">
        <f>IF(J309&lt;&gt;1,"",IF(I309="SBJ","CB","?"))</f>
        <v> </v>
      </c>
      <c r="I309" s="26" t="str">
        <f>IF(OR(E309="",E309="!!!",F309="NEW"),"",INDEX(B308:B$2,-1+SUMPRODUCT(MAX(ROW(E308:E$2)*(E309=E308:E$2)))))</f>
        <v> </v>
      </c>
      <c r="J309" s="26" t="str">
        <f>IF(OR(E309="",E309="!!!",F309="NEW"),"",COUNTBLANK(OFFSET(A$1,,,SUMPRODUCT(MAX(ROW(E$2:E309)*(E309=E$2:E309)))))-COUNTBLANK(OFFSET(A$1,,,SUMPRODUCT(MAX(ROW(E$1:E308)*(E2=E$1:E308))))))</f>
        <v> </v>
      </c>
      <c r="K309" s="26" t="str">
        <f>IF(OR(E309="",E309="!!!",F309="NEW"),"",INDEX(J$1:J308,SUMPRODUCT(MAX(ROW(E$1:E308)*(E309=E$1:E308)))))</f>
        <v> </v>
      </c>
      <c r="L309" s="27"/>
    </row>
    <row r="310" spans="1:12">
      <c r="A310" s="20" t="s">
        <v>299</v>
      </c>
      <c r="E310" s="22">
        <f>IF(D310="?OLD","!!!","")</f>
        <v/>
      </c>
      <c r="F310" s="23" t="str">
        <f>IF(OR(E310="",E310="!!!"),"",IF(NOT(ISNA(VLOOKUP(E310,E$1:E309,1,FALSE()))),"OLD",IF(AND(E310&lt;&gt;"",E310&lt;&gt;"!!!"),"NEW","")))</f>
        <v> </v>
      </c>
      <c r="G310" s="24" t="str">
        <f>IF(OR(E310="",E310="!!!"),"",IF(OR(J310=0,AND(J310=1,K310=1),AND(J310=1,I310="SBJ"),AND(J310=1,I310=0)),"?IN_FOCUS",IF(J310&lt;=2,"?ACTIVATED",IF(J310&lt;&gt;"","?FAMILIAR",IF(F310="NEW",IF(ISNA(VLOOKUP(E310,#REF!,1,FALSE())),"?TYPE_IDENTIFIABLE","?REFERENTIAL"),"_")))))</f>
        <v> </v>
      </c>
      <c r="H310" s="25" t="str">
        <f>IF(J310&lt;&gt;1,"",IF(I310="SBJ","CB","?"))</f>
        <v> </v>
      </c>
      <c r="I310" s="26" t="str">
        <f>IF(OR(E310="",E310="!!!",F310="NEW"),"",INDEX(B309:B$2,-1+SUMPRODUCT(MAX(ROW(E309:E$2)*(E310=E309:E$2)))))</f>
        <v> </v>
      </c>
      <c r="J310" s="26" t="str">
        <f>IF(OR(E310="",E310="!!!",F310="NEW"),"",COUNTBLANK(OFFSET(A$1,,,SUMPRODUCT(MAX(ROW(E$2:E310)*(E310=E$2:E310)))))-COUNTBLANK(OFFSET(A$1,,,SUMPRODUCT(MAX(ROW(E$1:E309)*(E2=E$1:E309))))))</f>
        <v> </v>
      </c>
      <c r="K310" s="26" t="str">
        <f>IF(OR(E310="",E310="!!!",F310="NEW"),"",INDEX(J$1:J309,SUMPRODUCT(MAX(ROW(E$1:E309)*(E310=E$1:E309)))))</f>
        <v> </v>
      </c>
      <c r="L310" s="27"/>
    </row>
    <row r="311" spans="1:12">
      <c r="A311" s="20" t="s">
        <v>300</v>
      </c>
      <c r="E311" s="22">
        <f>IF(D311="?OLD","!!!","")</f>
        <v/>
      </c>
      <c r="F311" s="23" t="str">
        <f>IF(OR(E311="",E311="!!!"),"",IF(NOT(ISNA(VLOOKUP(E311,E$1:E310,1,FALSE()))),"OLD",IF(AND(E311&lt;&gt;"",E311&lt;&gt;"!!!"),"NEW","")))</f>
        <v> </v>
      </c>
      <c r="G311" s="24" t="str">
        <f>IF(OR(E311="",E311="!!!"),"",IF(OR(J311=0,AND(J311=1,K311=1),AND(J311=1,I311="SBJ"),AND(J311=1,I311=0)),"?IN_FOCUS",IF(J311&lt;=2,"?ACTIVATED",IF(J311&lt;&gt;"","?FAMILIAR",IF(F311="NEW",IF(ISNA(VLOOKUP(E311,#REF!,1,FALSE())),"?TYPE_IDENTIFIABLE","?REFERENTIAL"),"_")))))</f>
        <v> </v>
      </c>
      <c r="H311" s="25" t="str">
        <f>IF(J311&lt;&gt;1,"",IF(I311="SBJ","CB","?"))</f>
        <v> </v>
      </c>
      <c r="I311" s="26" t="str">
        <f>IF(OR(E311="",E311="!!!",F311="NEW"),"",INDEX(B310:B$2,-1+SUMPRODUCT(MAX(ROW(E310:E$2)*(E311=E310:E$2)))))</f>
        <v> </v>
      </c>
      <c r="J311" s="26" t="str">
        <f>IF(OR(E311="",E311="!!!",F311="NEW"),"",COUNTBLANK(OFFSET(A$1,,,SUMPRODUCT(MAX(ROW(E$2:E311)*(E311=E$2:E311)))))-COUNTBLANK(OFFSET(A$1,,,SUMPRODUCT(MAX(ROW(E$1:E310)*(E2=E$1:E310))))))</f>
        <v> </v>
      </c>
      <c r="K311" s="26" t="str">
        <f>IF(OR(E311="",E311="!!!",F311="NEW"),"",INDEX(J$1:J310,SUMPRODUCT(MAX(ROW(E$1:E310)*(E311=E$1:E310)))))</f>
        <v> </v>
      </c>
      <c r="L311" s="27"/>
    </row>
    <row r="312" spans="1:12">
      <c r="A312" s="20" t="s">
        <v>97</v>
      </c>
      <c r="E312" s="22">
        <f>IF(D312="?OLD","!!!","")</f>
        <v/>
      </c>
      <c r="F312" s="23" t="str">
        <f>IF(OR(E312="",E312="!!!"),"",IF(NOT(ISNA(VLOOKUP(E312,E$1:E311,1,FALSE()))),"OLD",IF(AND(E312&lt;&gt;"",E312&lt;&gt;"!!!"),"NEW","")))</f>
        <v> </v>
      </c>
      <c r="G312" s="24" t="str">
        <f>IF(OR(E312="",E312="!!!"),"",IF(OR(J312=0,AND(J312=1,K312=1),AND(J312=1,I312="SBJ"),AND(J312=1,I312=0)),"?IN_FOCUS",IF(J312&lt;=2,"?ACTIVATED",IF(J312&lt;&gt;"","?FAMILIAR",IF(F312="NEW",IF(ISNA(VLOOKUP(E312,#REF!,1,FALSE())),"?TYPE_IDENTIFIABLE","?REFERENTIAL"),"_")))))</f>
        <v> </v>
      </c>
      <c r="H312" s="25" t="str">
        <f>IF(J312&lt;&gt;1,"",IF(I312="SBJ","CB","?"))</f>
        <v> </v>
      </c>
      <c r="I312" s="26" t="str">
        <f>IF(OR(E312="",E312="!!!",F312="NEW"),"",INDEX(B311:B$2,-1+SUMPRODUCT(MAX(ROW(E311:E$2)*(E312=E311:E$2)))))</f>
        <v> </v>
      </c>
      <c r="J312" s="26" t="str">
        <f>IF(OR(E312="",E312="!!!",F312="NEW"),"",COUNTBLANK(OFFSET(A$1,,,SUMPRODUCT(MAX(ROW(E$2:E312)*(E312=E$2:E312)))))-COUNTBLANK(OFFSET(A$1,,,SUMPRODUCT(MAX(ROW(E$1:E311)*(E2=E$1:E311))))))</f>
        <v> </v>
      </c>
      <c r="K312" s="26" t="str">
        <f>IF(OR(E312="",E312="!!!",F312="NEW"),"",INDEX(J$1:J311,SUMPRODUCT(MAX(ROW(E$1:E311)*(E312=E$1:E311)))))</f>
        <v> </v>
      </c>
      <c r="L312" s="27"/>
    </row>
    <row r="313" spans="1:12">
      <c r="A313" s="20" t="s">
        <v>94</v>
      </c>
      <c r="E313" s="22">
        <f>IF(D313="?OLD","!!!","")</f>
        <v/>
      </c>
      <c r="F313" s="23" t="str">
        <f>IF(OR(E313="",E313="!!!"),"",IF(NOT(ISNA(VLOOKUP(E313,E$1:E312,1,FALSE()))),"OLD",IF(AND(E313&lt;&gt;"",E313&lt;&gt;"!!!"),"NEW","")))</f>
        <v> </v>
      </c>
      <c r="G313" s="24" t="str">
        <f>IF(OR(E313="",E313="!!!"),"",IF(OR(J313=0,AND(J313=1,K313=1),AND(J313=1,I313="SBJ"),AND(J313=1,I313=0)),"?IN_FOCUS",IF(J313&lt;=2,"?ACTIVATED",IF(J313&lt;&gt;"","?FAMILIAR",IF(F313="NEW",IF(ISNA(VLOOKUP(E313,#REF!,1,FALSE())),"?TYPE_IDENTIFIABLE","?REFERENTIAL"),"_")))))</f>
        <v> </v>
      </c>
      <c r="H313" s="25" t="str">
        <f>IF(J313&lt;&gt;1,"",IF(I313="SBJ","CB","?"))</f>
        <v> </v>
      </c>
      <c r="I313" s="26" t="str">
        <f>IF(OR(E313="",E313="!!!",F313="NEW"),"",INDEX(B312:B$2,-1+SUMPRODUCT(MAX(ROW(E312:E$2)*(E313=E312:E$2)))))</f>
        <v> </v>
      </c>
      <c r="J313" s="26" t="str">
        <f>IF(OR(E313="",E313="!!!",F313="NEW"),"",COUNTBLANK(OFFSET(A$1,,,SUMPRODUCT(MAX(ROW(E$2:E313)*(E313=E$2:E313)))))-COUNTBLANK(OFFSET(A$1,,,SUMPRODUCT(MAX(ROW(E$1:E312)*(E2=E$1:E312))))))</f>
        <v> </v>
      </c>
      <c r="K313" s="26" t="str">
        <f>IF(OR(E313="",E313="!!!",F313="NEW"),"",INDEX(J$1:J312,SUMPRODUCT(MAX(ROW(E$1:E312)*(E313=E$1:E312)))))</f>
        <v> </v>
      </c>
      <c r="L313" s="27"/>
    </row>
    <row r="314" spans="1:12">
      <c r="A314" s="20" t="s">
        <v>301</v>
      </c>
      <c r="B314" s="21" t="s">
        <v>174</v>
      </c>
      <c r="C314" s="21" t="s">
        <v>92</v>
      </c>
      <c r="E314" s="22">
        <f>IF(D314="?OLD","!!!","")</f>
        <v/>
      </c>
      <c r="F314" s="23" t="str">
        <f>IF(OR(E314="",E314="!!!"),"",IF(NOT(ISNA(VLOOKUP(E314,E$1:E313,1,FALSE()))),"OLD",IF(AND(E314&lt;&gt;"",E314&lt;&gt;"!!!"),"NEW","")))</f>
        <v> </v>
      </c>
      <c r="G314" s="24" t="str">
        <f>IF(OR(E314="",E314="!!!"),"",IF(OR(J314=0,AND(J314=1,K314=1),AND(J314=1,I314="SBJ"),AND(J314=1,I314=0)),"?IN_FOCUS",IF(J314&lt;=2,"?ACTIVATED",IF(J314&lt;&gt;"","?FAMILIAR",IF(F314="NEW",IF(ISNA(VLOOKUP(E314,#REF!,1,FALSE())),"?TYPE_IDENTIFIABLE","?REFERENTIAL"),"_")))))</f>
        <v> </v>
      </c>
      <c r="H314" s="25" t="str">
        <f>IF(J314&lt;&gt;1,"",IF(I314="SBJ","CB","?"))</f>
        <v> </v>
      </c>
      <c r="I314" s="26" t="str">
        <f>IF(OR(E314="",E314="!!!",F314="NEW"),"",INDEX(B313:B$2,-1+SUMPRODUCT(MAX(ROW(E313:E$2)*(E314=E313:E$2)))))</f>
        <v> </v>
      </c>
      <c r="J314" s="26" t="str">
        <f>IF(OR(E314="",E314="!!!",F314="NEW"),"",COUNTBLANK(OFFSET(A$1,,,SUMPRODUCT(MAX(ROW(E$2:E314)*(E314=E$2:E314)))))-COUNTBLANK(OFFSET(A$1,,,SUMPRODUCT(MAX(ROW(E$1:E313)*(E2=E$1:E313))))))</f>
        <v> </v>
      </c>
      <c r="K314" s="26" t="str">
        <f>IF(OR(E314="",E314="!!!",F314="NEW"),"",INDEX(J$1:J313,SUMPRODUCT(MAX(ROW(E$1:E313)*(E314=E$1:E313)))))</f>
        <v> </v>
      </c>
      <c r="L314" s="27"/>
    </row>
    <row r="315" spans="1:12">
      <c r="A315" s="20" t="s">
        <v>302</v>
      </c>
      <c r="E315" s="22">
        <f>IF(D315="?OLD","!!!","")</f>
        <v/>
      </c>
      <c r="F315" s="23" t="str">
        <f>IF(OR(E315="",E315="!!!"),"",IF(NOT(ISNA(VLOOKUP(E315,E$1:E314,1,FALSE()))),"OLD",IF(AND(E315&lt;&gt;"",E315&lt;&gt;"!!!"),"NEW","")))</f>
        <v> </v>
      </c>
      <c r="G315" s="24" t="str">
        <f>IF(OR(E315="",E315="!!!"),"",IF(OR(J315=0,AND(J315=1,K315=1),AND(J315=1,I315="SBJ"),AND(J315=1,I315=0)),"?IN_FOCUS",IF(J315&lt;=2,"?ACTIVATED",IF(J315&lt;&gt;"","?FAMILIAR",IF(F315="NEW",IF(ISNA(VLOOKUP(E315,#REF!,1,FALSE())),"?TYPE_IDENTIFIABLE","?REFERENTIAL"),"_")))))</f>
        <v> </v>
      </c>
      <c r="H315" s="25" t="str">
        <f>IF(J315&lt;&gt;1,"",IF(I315="SBJ","CB","?"))</f>
        <v> </v>
      </c>
      <c r="I315" s="26" t="str">
        <f>IF(OR(E315="",E315="!!!",F315="NEW"),"",INDEX(B314:B$2,-1+SUMPRODUCT(MAX(ROW(E314:E$2)*(E315=E314:E$2)))))</f>
        <v> </v>
      </c>
      <c r="J315" s="26" t="str">
        <f>IF(OR(E315="",E315="!!!",F315="NEW"),"",COUNTBLANK(OFFSET(A$1,,,SUMPRODUCT(MAX(ROW(E$2:E315)*(E315=E$2:E315)))))-COUNTBLANK(OFFSET(A$1,,,SUMPRODUCT(MAX(ROW(E$1:E314)*(E2=E$1:E314))))))</f>
        <v> </v>
      </c>
      <c r="K315" s="26" t="str">
        <f>IF(OR(E315="",E315="!!!",F315="NEW"),"",INDEX(J$1:J314,SUMPRODUCT(MAX(ROW(E$1:E314)*(E315=E$1:E314)))))</f>
        <v> </v>
      </c>
      <c r="L315" s="27"/>
    </row>
    <row r="316" spans="1:12">
      <c r="A316" s="20" t="s">
        <v>155</v>
      </c>
      <c r="E316" s="22">
        <f>IF(D316="?OLD","!!!","")</f>
        <v/>
      </c>
      <c r="F316" s="23" t="str">
        <f>IF(OR(E316="",E316="!!!"),"",IF(NOT(ISNA(VLOOKUP(E316,E$1:E315,1,FALSE()))),"OLD",IF(AND(E316&lt;&gt;"",E316&lt;&gt;"!!!"),"NEW","")))</f>
        <v> </v>
      </c>
      <c r="G316" s="24" t="str">
        <f>IF(OR(E316="",E316="!!!"),"",IF(OR(J316=0,AND(J316=1,K316=1),AND(J316=1,I316="SBJ"),AND(J316=1,I316=0)),"?IN_FOCUS",IF(J316&lt;=2,"?ACTIVATED",IF(J316&lt;&gt;"","?FAMILIAR",IF(F316="NEW",IF(ISNA(VLOOKUP(E316,#REF!,1,FALSE())),"?TYPE_IDENTIFIABLE","?REFERENTIAL"),"_")))))</f>
        <v> </v>
      </c>
      <c r="H316" s="25" t="str">
        <f>IF(J316&lt;&gt;1,"",IF(I316="SBJ","CB","?"))</f>
        <v> </v>
      </c>
      <c r="I316" s="26" t="str">
        <f>IF(OR(E316="",E316="!!!",F316="NEW"),"",INDEX(B315:B$2,-1+SUMPRODUCT(MAX(ROW(E315:E$2)*(E316=E315:E$2)))))</f>
        <v> </v>
      </c>
      <c r="J316" s="26" t="str">
        <f>IF(OR(E316="",E316="!!!",F316="NEW"),"",COUNTBLANK(OFFSET(A$1,,,SUMPRODUCT(MAX(ROW(E$2:E316)*(E316=E$2:E316)))))-COUNTBLANK(OFFSET(A$1,,,SUMPRODUCT(MAX(ROW(E$1:E315)*(E2=E$1:E315))))))</f>
        <v> </v>
      </c>
      <c r="K316" s="26" t="str">
        <f>IF(OR(E316="",E316="!!!",F316="NEW"),"",INDEX(J$1:J315,SUMPRODUCT(MAX(ROW(E$1:E315)*(E316=E$1:E315)))))</f>
        <v> </v>
      </c>
      <c r="L316" s="27"/>
    </row>
    <row r="317" spans="1:12">
      <c r="A317" s="20"/>
    </row>
    <row r="318" spans="1:12">
      <c r="A318" s="20" t="s">
        <v>303</v>
      </c>
    </row>
    <row r="319" spans="1:12">
      <c r="A319" s="20" t="s">
        <v>304</v>
      </c>
      <c r="E319" s="22">
        <f>IF(D319="?OLD","!!!","")</f>
        <v/>
      </c>
      <c r="F319" s="23" t="str">
        <f>IF(OR(E319="",E319="!!!"),"",IF(NOT(ISNA(VLOOKUP(E319,E$1:E318,1,FALSE()))),"OLD",IF(AND(E319&lt;&gt;"",E319&lt;&gt;"!!!"),"NEW","")))</f>
        <v> </v>
      </c>
      <c r="G319" s="24" t="str">
        <f>IF(OR(E319="",E319="!!!"),"",IF(OR(J319=0,AND(J319=1,K319=1),AND(J319=1,I319="SBJ"),AND(J319=1,I319=0)),"?IN_FOCUS",IF(J319&lt;=2,"?ACTIVATED",IF(J319&lt;&gt;"","?FAMILIAR",IF(F319="NEW",IF(ISNA(VLOOKUP(E319,#REF!,1,FALSE())),"?TYPE_IDENTIFIABLE","?REFERENTIAL"),"_")))))</f>
        <v> </v>
      </c>
      <c r="H319" s="25" t="str">
        <f>IF(J319&lt;&gt;1,"",IF(I319="SBJ","CB","?"))</f>
        <v> </v>
      </c>
      <c r="I319" s="26" t="str">
        <f>IF(OR(E319="",E319="!!!",F319="NEW"),"",INDEX(B318:B$2,-1+SUMPRODUCT(MAX(ROW(E318:E$2)*(E319=E318:E$2)))))</f>
        <v> </v>
      </c>
      <c r="J319" s="26" t="str">
        <f>IF(OR(E319="",E319="!!!",F319="NEW"),"",COUNTBLANK(OFFSET(A$1,,,SUMPRODUCT(MAX(ROW(E$2:E319)*(E319=E$2:E319)))))-COUNTBLANK(OFFSET(A$1,,,SUMPRODUCT(MAX(ROW(E$1:E318)*(E2=E$1:E318))))))</f>
        <v> </v>
      </c>
      <c r="K319" s="26" t="str">
        <f>IF(OR(E319="",E319="!!!",F319="NEW"),"",INDEX(J$1:J318,SUMPRODUCT(MAX(ROW(E$1:E318)*(E319=E$1:E318)))))</f>
        <v> </v>
      </c>
      <c r="L319" s="27"/>
    </row>
    <row r="320" spans="1:12">
      <c r="A320" s="20" t="s">
        <v>212</v>
      </c>
      <c r="E320" s="22">
        <f>IF(D320="?OLD","!!!","")</f>
        <v/>
      </c>
      <c r="F320" s="23" t="str">
        <f>IF(OR(E320="",E320="!!!"),"",IF(NOT(ISNA(VLOOKUP(E320,E$1:E319,1,FALSE()))),"OLD",IF(AND(E320&lt;&gt;"",E320&lt;&gt;"!!!"),"NEW","")))</f>
        <v> </v>
      </c>
      <c r="G320" s="24" t="str">
        <f>IF(OR(E320="",E320="!!!"),"",IF(OR(J320=0,AND(J320=1,K320=1),AND(J320=1,I320="SBJ"),AND(J320=1,I320=0)),"?IN_FOCUS",IF(J320&lt;=2,"?ACTIVATED",IF(J320&lt;&gt;"","?FAMILIAR",IF(F320="NEW",IF(ISNA(VLOOKUP(E320,#REF!,1,FALSE())),"?TYPE_IDENTIFIABLE","?REFERENTIAL"),"_")))))</f>
        <v> </v>
      </c>
      <c r="H320" s="25" t="str">
        <f>IF(J320&lt;&gt;1,"",IF(I320="SBJ","CB","?"))</f>
        <v> </v>
      </c>
      <c r="I320" s="26" t="str">
        <f>IF(OR(E320="",E320="!!!",F320="NEW"),"",INDEX(B319:B$2,-1+SUMPRODUCT(MAX(ROW(E319:E$2)*(E320=E319:E$2)))))</f>
        <v> </v>
      </c>
      <c r="J320" s="26" t="str">
        <f>IF(OR(E320="",E320="!!!",F320="NEW"),"",COUNTBLANK(OFFSET(A$1,,,SUMPRODUCT(MAX(ROW(E$2:E320)*(E320=E$2:E320)))))-COUNTBLANK(OFFSET(A$1,,,SUMPRODUCT(MAX(ROW(E$1:E319)*(E2=E$1:E319))))))</f>
        <v> </v>
      </c>
      <c r="K320" s="26" t="str">
        <f>IF(OR(E320="",E320="!!!",F320="NEW"),"",INDEX(J$1:J319,SUMPRODUCT(MAX(ROW(E$1:E319)*(E320=E$1:E319)))))</f>
        <v> </v>
      </c>
      <c r="L320" s="27"/>
    </row>
    <row r="321" spans="1:12">
      <c r="A321" s="20" t="s">
        <v>305</v>
      </c>
      <c r="B321" s="21" t="s">
        <v>91</v>
      </c>
      <c r="C321" s="21" t="s">
        <v>112</v>
      </c>
      <c r="D321" s="21" t="s">
        <v>102</v>
      </c>
      <c r="E321" s="22">
        <f>IF(D321="?OLD","!!!","")</f>
        <v/>
      </c>
      <c r="F321" s="23" t="str">
        <f>IF(OR(E321="",E321="!!!"),"",IF(NOT(ISNA(VLOOKUP(E321,E$1:E320,1,FALSE()))),"OLD",IF(AND(E321&lt;&gt;"",E321&lt;&gt;"!!!"),"NEW","")))</f>
        <v> </v>
      </c>
      <c r="G321" s="24" t="str">
        <f>IF(OR(E321="",E321="!!!"),"",IF(OR(J321=0,AND(J321=1,K321=1),AND(J321=1,I321="SBJ"),AND(J321=1,I321=0)),"?IN_FOCUS",IF(J321&lt;=2,"?ACTIVATED",IF(J321&lt;&gt;"","?FAMILIAR",IF(F321="NEW",IF(ISNA(VLOOKUP(E321,#REF!,1,FALSE())),"?TYPE_IDENTIFIABLE","?REFERENTIAL"),"_")))))</f>
        <v> </v>
      </c>
      <c r="H321" s="25" t="str">
        <f>IF(J321&lt;&gt;1,"",IF(I321="SBJ","CB","?"))</f>
        <v> </v>
      </c>
      <c r="I321" s="26" t="str">
        <f>IF(OR(E321="",E321="!!!",F321="NEW"),"",INDEX(B320:B$2,-1+SUMPRODUCT(MAX(ROW(E320:E$2)*(E321=E320:E$2)))))</f>
        <v> </v>
      </c>
      <c r="J321" s="26" t="str">
        <f>IF(OR(E321="",E321="!!!",F321="NEW"),"",COUNTBLANK(OFFSET(A$1,,,SUMPRODUCT(MAX(ROW(E$2:E321)*(E321=E$2:E321)))))-COUNTBLANK(OFFSET(A$1,,,SUMPRODUCT(MAX(ROW(E$1:E320)*(E2=E$1:E320))))))</f>
        <v> </v>
      </c>
      <c r="K321" s="26" t="str">
        <f>IF(OR(E321="",E321="!!!",F321="NEW"),"",INDEX(J$1:J320,SUMPRODUCT(MAX(ROW(E$1:E320)*(E321=E$1:E320)))))</f>
        <v> </v>
      </c>
      <c r="L321" s="27"/>
    </row>
    <row r="322" spans="1:12">
      <c r="A322" s="20" t="s">
        <v>306</v>
      </c>
      <c r="B322" s="21" t="s">
        <v>120</v>
      </c>
      <c r="C322" s="21" t="s">
        <v>92</v>
      </c>
      <c r="E322" s="22">
        <f>IF(D322="?OLD","!!!","")</f>
        <v/>
      </c>
      <c r="F322" s="23" t="str">
        <f>IF(OR(E322="",E322="!!!"),"",IF(NOT(ISNA(VLOOKUP(E322,E$1:E321,1,FALSE()))),"OLD",IF(AND(E322&lt;&gt;"",E322&lt;&gt;"!!!"),"NEW","")))</f>
        <v> </v>
      </c>
      <c r="G322" s="24" t="str">
        <f>IF(OR(E322="",E322="!!!"),"",IF(OR(J322=0,AND(J322=1,K322=1),AND(J322=1,I322="SBJ"),AND(J322=1,I322=0)),"?IN_FOCUS",IF(J322&lt;=2,"?ACTIVATED",IF(J322&lt;&gt;"","?FAMILIAR",IF(F322="NEW",IF(ISNA(VLOOKUP(E322,#REF!,1,FALSE())),"?TYPE_IDENTIFIABLE","?REFERENTIAL"),"_")))))</f>
        <v> </v>
      </c>
      <c r="H322" s="25" t="str">
        <f>IF(J322&lt;&gt;1,"",IF(I322="SBJ","CB","?"))</f>
        <v> </v>
      </c>
      <c r="I322" s="26" t="str">
        <f>IF(OR(E322="",E322="!!!",F322="NEW"),"",INDEX(B321:B$2,-1+SUMPRODUCT(MAX(ROW(E321:E$2)*(E322=E321:E$2)))))</f>
        <v> </v>
      </c>
      <c r="J322" s="26" t="str">
        <f>IF(OR(E322="",E322="!!!",F322="NEW"),"",COUNTBLANK(OFFSET(A$1,,,SUMPRODUCT(MAX(ROW(E$2:E322)*(E322=E$2:E322)))))-COUNTBLANK(OFFSET(A$1,,,SUMPRODUCT(MAX(ROW(E$1:E321)*(E2=E$1:E321))))))</f>
        <v> </v>
      </c>
      <c r="K322" s="26" t="str">
        <f>IF(OR(E322="",E322="!!!",F322="NEW"),"",INDEX(J$1:J321,SUMPRODUCT(MAX(ROW(E$1:E321)*(E322=E$1:E321)))))</f>
        <v> </v>
      </c>
      <c r="L322" s="27"/>
    </row>
    <row r="323" spans="1:12">
      <c r="A323" s="20" t="s">
        <v>307</v>
      </c>
      <c r="B323" s="21" t="s">
        <v>195</v>
      </c>
      <c r="C323" s="21" t="s">
        <v>104</v>
      </c>
      <c r="D323" s="21" t="s">
        <v>102</v>
      </c>
      <c r="E323" s="22">
        <f>IF(D323="?OLD","!!!","")</f>
        <v/>
      </c>
      <c r="F323" s="23" t="str">
        <f>IF(OR(E323="",E323="!!!"),"",IF(NOT(ISNA(VLOOKUP(E323,E$1:E322,1,FALSE()))),"OLD",IF(AND(E323&lt;&gt;"",E323&lt;&gt;"!!!"),"NEW","")))</f>
        <v> </v>
      </c>
      <c r="G323" s="24" t="str">
        <f>IF(OR(E323="",E323="!!!"),"",IF(OR(J323=0,AND(J323=1,K323=1),AND(J323=1,I323="SBJ"),AND(J323=1,I323=0)),"?IN_FOCUS",IF(J323&lt;=2,"?ACTIVATED",IF(J323&lt;&gt;"","?FAMILIAR",IF(F323="NEW",IF(ISNA(VLOOKUP(E323,#REF!,1,FALSE())),"?TYPE_IDENTIFIABLE","?REFERENTIAL"),"_")))))</f>
        <v> </v>
      </c>
      <c r="H323" s="25" t="str">
        <f>IF(J323&lt;&gt;1,"",IF(I323="SBJ","CB","?"))</f>
        <v> </v>
      </c>
      <c r="I323" s="26" t="str">
        <f>IF(OR(E323="",E323="!!!",F323="NEW"),"",INDEX(B322:B$2,-1+SUMPRODUCT(MAX(ROW(E322:E$2)*(E323=E322:E$2)))))</f>
        <v> </v>
      </c>
      <c r="J323" s="26" t="str">
        <f>IF(OR(E323="",E323="!!!",F323="NEW"),"",COUNTBLANK(OFFSET(A$1,,,SUMPRODUCT(MAX(ROW(E$2:E323)*(E323=E$2:E323)))))-COUNTBLANK(OFFSET(A$1,,,SUMPRODUCT(MAX(ROW(E$1:E322)*(E2=E$1:E322))))))</f>
        <v> </v>
      </c>
      <c r="K323" s="26" t="str">
        <f>IF(OR(E323="",E323="!!!",F323="NEW"),"",INDEX(J$1:J322,SUMPRODUCT(MAX(ROW(E$1:E322)*(E323=E$1:E322)))))</f>
        <v> </v>
      </c>
      <c r="L323" s="27"/>
    </row>
    <row r="324" spans="1:12">
      <c r="A324" s="20" t="s">
        <v>308</v>
      </c>
      <c r="E324" s="22">
        <f>IF(D324="?OLD","!!!","")</f>
        <v/>
      </c>
      <c r="F324" s="23" t="str">
        <f>IF(OR(E324="",E324="!!!"),"",IF(NOT(ISNA(VLOOKUP(E324,E$1:E323,1,FALSE()))),"OLD",IF(AND(E324&lt;&gt;"",E324&lt;&gt;"!!!"),"NEW","")))</f>
        <v> </v>
      </c>
      <c r="G324" s="24" t="str">
        <f>IF(OR(E324="",E324="!!!"),"",IF(OR(J324=0,AND(J324=1,K324=1),AND(J324=1,I324="SBJ"),AND(J324=1,I324=0)),"?IN_FOCUS",IF(J324&lt;=2,"?ACTIVATED",IF(J324&lt;&gt;"","?FAMILIAR",IF(F324="NEW",IF(ISNA(VLOOKUP(E324,#REF!,1,FALSE())),"?TYPE_IDENTIFIABLE","?REFERENTIAL"),"_")))))</f>
        <v> </v>
      </c>
      <c r="H324" s="25" t="str">
        <f>IF(J324&lt;&gt;1,"",IF(I324="SBJ","CB","?"))</f>
        <v> </v>
      </c>
      <c r="I324" s="26" t="str">
        <f>IF(OR(E324="",E324="!!!",F324="NEW"),"",INDEX(B323:B$2,-1+SUMPRODUCT(MAX(ROW(E323:E$2)*(E324=E323:E$2)))))</f>
        <v> </v>
      </c>
      <c r="J324" s="26" t="str">
        <f>IF(OR(E324="",E324="!!!",F324="NEW"),"",COUNTBLANK(OFFSET(A$1,,,SUMPRODUCT(MAX(ROW(E$2:E324)*(E324=E$2:E324)))))-COUNTBLANK(OFFSET(A$1,,,SUMPRODUCT(MAX(ROW(E$1:E323)*(E2=E$1:E323))))))</f>
        <v> </v>
      </c>
      <c r="K324" s="26" t="str">
        <f>IF(OR(E324="",E324="!!!",F324="NEW"),"",INDEX(J$1:J323,SUMPRODUCT(MAX(ROW(E$1:E323)*(E324=E$1:E323)))))</f>
        <v> </v>
      </c>
      <c r="L324" s="27"/>
    </row>
    <row r="325" spans="1:12">
      <c r="A325" s="20" t="s">
        <v>192</v>
      </c>
      <c r="E325" s="22">
        <f>IF(D325="?OLD","!!!","")</f>
        <v/>
      </c>
      <c r="F325" s="23" t="str">
        <f>IF(OR(E325="",E325="!!!"),"",IF(NOT(ISNA(VLOOKUP(E325,E$1:E324,1,FALSE()))),"OLD",IF(AND(E325&lt;&gt;"",E325&lt;&gt;"!!!"),"NEW","")))</f>
        <v> </v>
      </c>
      <c r="G325" s="24" t="str">
        <f>IF(OR(E325="",E325="!!!"),"",IF(OR(J325=0,AND(J325=1,K325=1),AND(J325=1,I325="SBJ"),AND(J325=1,I325=0)),"?IN_FOCUS",IF(J325&lt;=2,"?ACTIVATED",IF(J325&lt;&gt;"","?FAMILIAR",IF(F325="NEW",IF(ISNA(VLOOKUP(E325,#REF!,1,FALSE())),"?TYPE_IDENTIFIABLE","?REFERENTIAL"),"_")))))</f>
        <v> </v>
      </c>
      <c r="H325" s="25" t="str">
        <f>IF(J325&lt;&gt;1,"",IF(I325="SBJ","CB","?"))</f>
        <v> </v>
      </c>
      <c r="I325" s="26" t="str">
        <f>IF(OR(E325="",E325="!!!",F325="NEW"),"",INDEX(B324:B$2,-1+SUMPRODUCT(MAX(ROW(E324:E$2)*(E325=E324:E$2)))))</f>
        <v> </v>
      </c>
      <c r="J325" s="26" t="str">
        <f>IF(OR(E325="",E325="!!!",F325="NEW"),"",COUNTBLANK(OFFSET(A$1,,,SUMPRODUCT(MAX(ROW(E$2:E325)*(E325=E$2:E325)))))-COUNTBLANK(OFFSET(A$1,,,SUMPRODUCT(MAX(ROW(E$1:E324)*(E2=E$1:E324))))))</f>
        <v> </v>
      </c>
      <c r="K325" s="26" t="str">
        <f>IF(OR(E325="",E325="!!!",F325="NEW"),"",INDEX(J$1:J324,SUMPRODUCT(MAX(ROW(E$1:E324)*(E325=E$1:E324)))))</f>
        <v> </v>
      </c>
      <c r="L325" s="27"/>
    </row>
    <row r="326" spans="1:12">
      <c r="A326" s="20" t="s">
        <v>309</v>
      </c>
      <c r="B326" s="21" t="s">
        <v>96</v>
      </c>
      <c r="C326" s="21" t="s">
        <v>128</v>
      </c>
      <c r="E326" s="22">
        <f>IF(D326="?OLD","!!!","")</f>
        <v/>
      </c>
      <c r="F326" s="23" t="str">
        <f>IF(OR(E326="",E326="!!!"),"",IF(NOT(ISNA(VLOOKUP(E326,E$1:E325,1,FALSE()))),"OLD",IF(AND(E326&lt;&gt;"",E326&lt;&gt;"!!!"),"NEW","")))</f>
        <v> </v>
      </c>
      <c r="G326" s="24" t="str">
        <f>IF(OR(E326="",E326="!!!"),"",IF(OR(J326=0,AND(J326=1,K326=1),AND(J326=1,I326="SBJ"),AND(J326=1,I326=0)),"?IN_FOCUS",IF(J326&lt;=2,"?ACTIVATED",IF(J326&lt;&gt;"","?FAMILIAR",IF(F326="NEW",IF(ISNA(VLOOKUP(E326,#REF!,1,FALSE())),"?TYPE_IDENTIFIABLE","?REFERENTIAL"),"_")))))</f>
        <v> </v>
      </c>
      <c r="H326" s="25" t="str">
        <f>IF(J326&lt;&gt;1,"",IF(I326="SBJ","CB","?"))</f>
        <v> </v>
      </c>
      <c r="I326" s="26" t="str">
        <f>IF(OR(E326="",E326="!!!",F326="NEW"),"",INDEX(B325:B$2,-1+SUMPRODUCT(MAX(ROW(E325:E$2)*(E326=E325:E$2)))))</f>
        <v> </v>
      </c>
      <c r="J326" s="26" t="str">
        <f>IF(OR(E326="",E326="!!!",F326="NEW"),"",COUNTBLANK(OFFSET(A$1,,,SUMPRODUCT(MAX(ROW(E$2:E326)*(E326=E$2:E326)))))-COUNTBLANK(OFFSET(A$1,,,SUMPRODUCT(MAX(ROW(E$1:E325)*(E2=E$1:E325))))))</f>
        <v> </v>
      </c>
      <c r="K326" s="26" t="str">
        <f>IF(OR(E326="",E326="!!!",F326="NEW"),"",INDEX(J$1:J325,SUMPRODUCT(MAX(ROW(E$1:E325)*(E326=E$1:E325)))))</f>
        <v> </v>
      </c>
      <c r="L326" s="27"/>
    </row>
    <row r="327" spans="1:12">
      <c r="A327" s="20" t="s">
        <v>242</v>
      </c>
      <c r="E327" s="22">
        <f>IF(D327="?OLD","!!!","")</f>
        <v/>
      </c>
      <c r="F327" s="23" t="str">
        <f>IF(OR(E327="",E327="!!!"),"",IF(NOT(ISNA(VLOOKUP(E327,E$1:E326,1,FALSE()))),"OLD",IF(AND(E327&lt;&gt;"",E327&lt;&gt;"!!!"),"NEW","")))</f>
        <v> </v>
      </c>
      <c r="G327" s="24" t="str">
        <f>IF(OR(E327="",E327="!!!"),"",IF(OR(J327=0,AND(J327=1,K327=1),AND(J327=1,I327="SBJ"),AND(J327=1,I327=0)),"?IN_FOCUS",IF(J327&lt;=2,"?ACTIVATED",IF(J327&lt;&gt;"","?FAMILIAR",IF(F327="NEW",IF(ISNA(VLOOKUP(E327,#REF!,1,FALSE())),"?TYPE_IDENTIFIABLE","?REFERENTIAL"),"_")))))</f>
        <v> </v>
      </c>
      <c r="H327" s="25" t="str">
        <f>IF(J327&lt;&gt;1,"",IF(I327="SBJ","CB","?"))</f>
        <v> </v>
      </c>
      <c r="I327" s="26" t="str">
        <f>IF(OR(E327="",E327="!!!",F327="NEW"),"",INDEX(B326:B$2,-1+SUMPRODUCT(MAX(ROW(E326:E$2)*(E327=E326:E$2)))))</f>
        <v> </v>
      </c>
      <c r="J327" s="26" t="str">
        <f>IF(OR(E327="",E327="!!!",F327="NEW"),"",COUNTBLANK(OFFSET(A$1,,,SUMPRODUCT(MAX(ROW(E$2:E327)*(E327=E$2:E327)))))-COUNTBLANK(OFFSET(A$1,,,SUMPRODUCT(MAX(ROW(E$1:E326)*(E2=E$1:E326))))))</f>
        <v> </v>
      </c>
      <c r="K327" s="26" t="str">
        <f>IF(OR(E327="",E327="!!!",F327="NEW"),"",INDEX(J$1:J326,SUMPRODUCT(MAX(ROW(E$1:E326)*(E327=E$1:E326)))))</f>
        <v> </v>
      </c>
      <c r="L327" s="27"/>
    </row>
    <row r="328" spans="1:12">
      <c r="A328" s="20" t="s">
        <v>310</v>
      </c>
      <c r="E328" s="22">
        <f>IF(D328="?OLD","!!!","")</f>
        <v/>
      </c>
      <c r="F328" s="23" t="str">
        <f>IF(OR(E328="",E328="!!!"),"",IF(NOT(ISNA(VLOOKUP(E328,E$1:E327,1,FALSE()))),"OLD",IF(AND(E328&lt;&gt;"",E328&lt;&gt;"!!!"),"NEW","")))</f>
        <v> </v>
      </c>
      <c r="G328" s="24" t="str">
        <f>IF(OR(E328="",E328="!!!"),"",IF(OR(J328=0,AND(J328=1,K328=1),AND(J328=1,I328="SBJ"),AND(J328=1,I328=0)),"?IN_FOCUS",IF(J328&lt;=2,"?ACTIVATED",IF(J328&lt;&gt;"","?FAMILIAR",IF(F328="NEW",IF(ISNA(VLOOKUP(E328,#REF!,1,FALSE())),"?TYPE_IDENTIFIABLE","?REFERENTIAL"),"_")))))</f>
        <v> </v>
      </c>
      <c r="H328" s="25" t="str">
        <f>IF(J328&lt;&gt;1,"",IF(I328="SBJ","CB","?"))</f>
        <v> </v>
      </c>
      <c r="I328" s="26" t="str">
        <f>IF(OR(E328="",E328="!!!",F328="NEW"),"",INDEX(B327:B$2,-1+SUMPRODUCT(MAX(ROW(E327:E$2)*(E328=E327:E$2)))))</f>
        <v> </v>
      </c>
      <c r="J328" s="26" t="str">
        <f>IF(OR(E328="",E328="!!!",F328="NEW"),"",COUNTBLANK(OFFSET(A$1,,,SUMPRODUCT(MAX(ROW(E$2:E328)*(E328=E$2:E328)))))-COUNTBLANK(OFFSET(A$1,,,SUMPRODUCT(MAX(ROW(E$1:E327)*(E2=E$1:E327))))))</f>
        <v> </v>
      </c>
      <c r="K328" s="26" t="str">
        <f>IF(OR(E328="",E328="!!!",F328="NEW"),"",INDEX(J$1:J327,SUMPRODUCT(MAX(ROW(E$1:E327)*(E328=E$1:E327)))))</f>
        <v> </v>
      </c>
      <c r="L328" s="27"/>
    </row>
    <row r="329" spans="1:12">
      <c r="A329" s="20" t="s">
        <v>311</v>
      </c>
      <c r="E329" s="22">
        <f>IF(D329="?OLD","!!!","")</f>
        <v/>
      </c>
      <c r="F329" s="23" t="str">
        <f>IF(OR(E329="",E329="!!!"),"",IF(NOT(ISNA(VLOOKUP(E329,E$1:E328,1,FALSE()))),"OLD",IF(AND(E329&lt;&gt;"",E329&lt;&gt;"!!!"),"NEW","")))</f>
        <v> </v>
      </c>
      <c r="G329" s="24" t="str">
        <f>IF(OR(E329="",E329="!!!"),"",IF(OR(J329=0,AND(J329=1,K329=1),AND(J329=1,I329="SBJ"),AND(J329=1,I329=0)),"?IN_FOCUS",IF(J329&lt;=2,"?ACTIVATED",IF(J329&lt;&gt;"","?FAMILIAR",IF(F329="NEW",IF(ISNA(VLOOKUP(E329,#REF!,1,FALSE())),"?TYPE_IDENTIFIABLE","?REFERENTIAL"),"_")))))</f>
        <v> </v>
      </c>
      <c r="H329" s="25" t="str">
        <f>IF(J329&lt;&gt;1,"",IF(I329="SBJ","CB","?"))</f>
        <v> </v>
      </c>
      <c r="I329" s="26" t="str">
        <f>IF(OR(E329="",E329="!!!",F329="NEW"),"",INDEX(B328:B$2,-1+SUMPRODUCT(MAX(ROW(E328:E$2)*(E329=E328:E$2)))))</f>
        <v> </v>
      </c>
      <c r="J329" s="26" t="str">
        <f>IF(OR(E329="",E329="!!!",F329="NEW"),"",COUNTBLANK(OFFSET(A$1,,,SUMPRODUCT(MAX(ROW(E$2:E329)*(E329=E$2:E329)))))-COUNTBLANK(OFFSET(A$1,,,SUMPRODUCT(MAX(ROW(E$1:E328)*(E2=E$1:E328))))))</f>
        <v> </v>
      </c>
      <c r="K329" s="26" t="str">
        <f>IF(OR(E329="",E329="!!!",F329="NEW"),"",INDEX(J$1:J328,SUMPRODUCT(MAX(ROW(E$1:E328)*(E329=E$1:E328)))))</f>
        <v> </v>
      </c>
      <c r="L329" s="27"/>
    </row>
    <row r="330" spans="1:12">
      <c r="A330" s="20" t="s">
        <v>312</v>
      </c>
      <c r="B330" s="21" t="s">
        <v>195</v>
      </c>
      <c r="C330" s="21" t="s">
        <v>142</v>
      </c>
      <c r="E330" s="22">
        <f>IF(D330="?OLD","!!!","")</f>
        <v/>
      </c>
      <c r="F330" s="23" t="str">
        <f>IF(OR(E330="",E330="!!!"),"",IF(NOT(ISNA(VLOOKUP(E330,E$1:E329,1,FALSE()))),"OLD",IF(AND(E330&lt;&gt;"",E330&lt;&gt;"!!!"),"NEW","")))</f>
        <v> </v>
      </c>
      <c r="G330" s="24" t="str">
        <f>IF(OR(E330="",E330="!!!"),"",IF(OR(J330=0,AND(J330=1,K330=1),AND(J330=1,I330="SBJ"),AND(J330=1,I330=0)),"?IN_FOCUS",IF(J330&lt;=2,"?ACTIVATED",IF(J330&lt;&gt;"","?FAMILIAR",IF(F330="NEW",IF(ISNA(VLOOKUP(E330,#REF!,1,FALSE())),"?TYPE_IDENTIFIABLE","?REFERENTIAL"),"_")))))</f>
        <v> </v>
      </c>
      <c r="H330" s="25" t="str">
        <f>IF(J330&lt;&gt;1,"",IF(I330="SBJ","CB","?"))</f>
        <v> </v>
      </c>
      <c r="I330" s="26" t="str">
        <f>IF(OR(E330="",E330="!!!",F330="NEW"),"",INDEX(B329:B$2,-1+SUMPRODUCT(MAX(ROW(E329:E$2)*(E330=E329:E$2)))))</f>
        <v> </v>
      </c>
      <c r="J330" s="26" t="str">
        <f>IF(OR(E330="",E330="!!!",F330="NEW"),"",COUNTBLANK(OFFSET(A$1,,,SUMPRODUCT(MAX(ROW(E$2:E330)*(E330=E$2:E330)))))-COUNTBLANK(OFFSET(A$1,,,SUMPRODUCT(MAX(ROW(E$1:E329)*(E2=E$1:E329))))))</f>
        <v> </v>
      </c>
      <c r="K330" s="26" t="str">
        <f>IF(OR(E330="",E330="!!!",F330="NEW"),"",INDEX(J$1:J329,SUMPRODUCT(MAX(ROW(E$1:E329)*(E330=E$1:E329)))))</f>
        <v> </v>
      </c>
      <c r="L330" s="27"/>
    </row>
    <row r="331" spans="1:12">
      <c r="A331" s="20" t="s">
        <v>169</v>
      </c>
      <c r="E331" s="22">
        <f>IF(D331="?OLD","!!!","")</f>
        <v/>
      </c>
      <c r="F331" s="23" t="str">
        <f>IF(OR(E331="",E331="!!!"),"",IF(NOT(ISNA(VLOOKUP(E331,E$1:E330,1,FALSE()))),"OLD",IF(AND(E331&lt;&gt;"",E331&lt;&gt;"!!!"),"NEW","")))</f>
        <v> </v>
      </c>
      <c r="G331" s="24" t="str">
        <f>IF(OR(E331="",E331="!!!"),"",IF(OR(J331=0,AND(J331=1,K331=1),AND(J331=1,I331="SBJ"),AND(J331=1,I331=0)),"?IN_FOCUS",IF(J331&lt;=2,"?ACTIVATED",IF(J331&lt;&gt;"","?FAMILIAR",IF(F331="NEW",IF(ISNA(VLOOKUP(E331,#REF!,1,FALSE())),"?TYPE_IDENTIFIABLE","?REFERENTIAL"),"_")))))</f>
        <v> </v>
      </c>
      <c r="H331" s="25" t="str">
        <f>IF(J331&lt;&gt;1,"",IF(I331="SBJ","CB","?"))</f>
        <v> </v>
      </c>
      <c r="I331" s="26" t="str">
        <f>IF(OR(E331="",E331="!!!",F331="NEW"),"",INDEX(B330:B$2,-1+SUMPRODUCT(MAX(ROW(E330:E$2)*(E331=E330:E$2)))))</f>
        <v> </v>
      </c>
      <c r="J331" s="26" t="str">
        <f>IF(OR(E331="",E331="!!!",F331="NEW"),"",COUNTBLANK(OFFSET(A$1,,,SUMPRODUCT(MAX(ROW(E$2:E331)*(E331=E$2:E331)))))-COUNTBLANK(OFFSET(A$1,,,SUMPRODUCT(MAX(ROW(E$1:E330)*(E2=E$1:E330))))))</f>
        <v> </v>
      </c>
      <c r="K331" s="26" t="str">
        <f>IF(OR(E331="",E331="!!!",F331="NEW"),"",INDEX(J$1:J330,SUMPRODUCT(MAX(ROW(E$1:E330)*(E331=E$1:E330)))))</f>
        <v> </v>
      </c>
      <c r="L331" s="27"/>
    </row>
    <row r="332" spans="1:12">
      <c r="A332" s="20" t="s">
        <v>313</v>
      </c>
      <c r="E332" s="22">
        <f>IF(D332="?OLD","!!!","")</f>
        <v/>
      </c>
      <c r="F332" s="23" t="str">
        <f>IF(OR(E332="",E332="!!!"),"",IF(NOT(ISNA(VLOOKUP(E332,E$1:E331,1,FALSE()))),"OLD",IF(AND(E332&lt;&gt;"",E332&lt;&gt;"!!!"),"NEW","")))</f>
        <v> </v>
      </c>
      <c r="G332" s="24" t="str">
        <f>IF(OR(E332="",E332="!!!"),"",IF(OR(J332=0,AND(J332=1,K332=1),AND(J332=1,I332="SBJ"),AND(J332=1,I332=0)),"?IN_FOCUS",IF(J332&lt;=2,"?ACTIVATED",IF(J332&lt;&gt;"","?FAMILIAR",IF(F332="NEW",IF(ISNA(VLOOKUP(E332,#REF!,1,FALSE())),"?TYPE_IDENTIFIABLE","?REFERENTIAL"),"_")))))</f>
        <v> </v>
      </c>
      <c r="H332" s="25" t="str">
        <f>IF(J332&lt;&gt;1,"",IF(I332="SBJ","CB","?"))</f>
        <v> </v>
      </c>
      <c r="I332" s="26" t="str">
        <f>IF(OR(E332="",E332="!!!",F332="NEW"),"",INDEX(B331:B$2,-1+SUMPRODUCT(MAX(ROW(E331:E$2)*(E332=E331:E$2)))))</f>
        <v> </v>
      </c>
      <c r="J332" s="26" t="str">
        <f>IF(OR(E332="",E332="!!!",F332="NEW"),"",COUNTBLANK(OFFSET(A$1,,,SUMPRODUCT(MAX(ROW(E$2:E332)*(E332=E$2:E332)))))-COUNTBLANK(OFFSET(A$1,,,SUMPRODUCT(MAX(ROW(E$1:E331)*(E2=E$1:E331))))))</f>
        <v> </v>
      </c>
      <c r="K332" s="26" t="str">
        <f>IF(OR(E332="",E332="!!!",F332="NEW"),"",INDEX(J$1:J331,SUMPRODUCT(MAX(ROW(E$1:E331)*(E332=E$1:E331)))))</f>
        <v> </v>
      </c>
      <c r="L332" s="27"/>
    </row>
    <row r="333" spans="1:12">
      <c r="A333" s="20" t="s">
        <v>314</v>
      </c>
      <c r="B333" s="21" t="s">
        <v>120</v>
      </c>
      <c r="C333" s="21" t="s">
        <v>142</v>
      </c>
      <c r="E333" s="22">
        <f>IF(D333="?OLD","!!!","")</f>
        <v/>
      </c>
      <c r="F333" s="23" t="str">
        <f>IF(OR(E333="",E333="!!!"),"",IF(NOT(ISNA(VLOOKUP(E333,E$1:E332,1,FALSE()))),"OLD",IF(AND(E333&lt;&gt;"",E333&lt;&gt;"!!!"),"NEW","")))</f>
        <v> </v>
      </c>
      <c r="G333" s="24" t="str">
        <f>IF(OR(E333="",E333="!!!"),"",IF(OR(J333=0,AND(J333=1,K333=1),AND(J333=1,I333="SBJ"),AND(J333=1,I333=0)),"?IN_FOCUS",IF(J333&lt;=2,"?ACTIVATED",IF(J333&lt;&gt;"","?FAMILIAR",IF(F333="NEW",IF(ISNA(VLOOKUP(E333,#REF!,1,FALSE())),"?TYPE_IDENTIFIABLE","?REFERENTIAL"),"_")))))</f>
        <v> </v>
      </c>
      <c r="H333" s="25" t="str">
        <f>IF(J333&lt;&gt;1,"",IF(I333="SBJ","CB","?"))</f>
        <v> </v>
      </c>
      <c r="I333" s="26" t="str">
        <f>IF(OR(E333="",E333="!!!",F333="NEW"),"",INDEX(B332:B$2,-1+SUMPRODUCT(MAX(ROW(E332:E$2)*(E333=E332:E$2)))))</f>
        <v> </v>
      </c>
      <c r="J333" s="26" t="str">
        <f>IF(OR(E333="",E333="!!!",F333="NEW"),"",COUNTBLANK(OFFSET(A$1,,,SUMPRODUCT(MAX(ROW(E$2:E333)*(E333=E$2:E333)))))-COUNTBLANK(OFFSET(A$1,,,SUMPRODUCT(MAX(ROW(E$1:E332)*(E2=E$1:E332))))))</f>
        <v> </v>
      </c>
      <c r="K333" s="26" t="str">
        <f>IF(OR(E333="",E333="!!!",F333="NEW"),"",INDEX(J$1:J332,SUMPRODUCT(MAX(ROW(E$1:E332)*(E333=E$1:E332)))))</f>
        <v> </v>
      </c>
      <c r="L333" s="27"/>
    </row>
    <row r="334" spans="1:12">
      <c r="A334" s="20" t="s">
        <v>218</v>
      </c>
      <c r="E334" s="22">
        <f>IF(D334="?OLD","!!!","")</f>
        <v/>
      </c>
      <c r="F334" s="23" t="str">
        <f>IF(OR(E334="",E334="!!!"),"",IF(NOT(ISNA(VLOOKUP(E334,E$1:E333,1,FALSE()))),"OLD",IF(AND(E334&lt;&gt;"",E334&lt;&gt;"!!!"),"NEW","")))</f>
        <v> </v>
      </c>
      <c r="G334" s="24" t="str">
        <f>IF(OR(E334="",E334="!!!"),"",IF(OR(J334=0,AND(J334=1,K334=1),AND(J334=1,I334="SBJ"),AND(J334=1,I334=0)),"?IN_FOCUS",IF(J334&lt;=2,"?ACTIVATED",IF(J334&lt;&gt;"","?FAMILIAR",IF(F334="NEW",IF(ISNA(VLOOKUP(E334,#REF!,1,FALSE())),"?TYPE_IDENTIFIABLE","?REFERENTIAL"),"_")))))</f>
        <v> </v>
      </c>
      <c r="H334" s="25" t="str">
        <f>IF(J334&lt;&gt;1,"",IF(I334="SBJ","CB","?"))</f>
        <v> </v>
      </c>
      <c r="I334" s="26" t="str">
        <f>IF(OR(E334="",E334="!!!",F334="NEW"),"",INDEX(B333:B$2,-1+SUMPRODUCT(MAX(ROW(E333:E$2)*(E334=E333:E$2)))))</f>
        <v> </v>
      </c>
      <c r="J334" s="26" t="str">
        <f>IF(OR(E334="",E334="!!!",F334="NEW"),"",COUNTBLANK(OFFSET(A$1,,,SUMPRODUCT(MAX(ROW(E$2:E334)*(E334=E$2:E334)))))-COUNTBLANK(OFFSET(A$1,,,SUMPRODUCT(MAX(ROW(E$1:E333)*(E2=E$1:E333))))))</f>
        <v> </v>
      </c>
      <c r="K334" s="26" t="str">
        <f>IF(OR(E334="",E334="!!!",F334="NEW"),"",INDEX(J$1:J333,SUMPRODUCT(MAX(ROW(E$1:E333)*(E334=E$1:E333)))))</f>
        <v> </v>
      </c>
      <c r="L334" s="27"/>
    </row>
    <row r="335" spans="1:12">
      <c r="A335" s="20" t="s">
        <v>97</v>
      </c>
      <c r="E335" s="22">
        <f>IF(D335="?OLD","!!!","")</f>
        <v/>
      </c>
      <c r="F335" s="23" t="str">
        <f>IF(OR(E335="",E335="!!!"),"",IF(NOT(ISNA(VLOOKUP(E335,E$1:E334,1,FALSE()))),"OLD",IF(AND(E335&lt;&gt;"",E335&lt;&gt;"!!!"),"NEW","")))</f>
        <v> </v>
      </c>
      <c r="G335" s="24" t="str">
        <f>IF(OR(E335="",E335="!!!"),"",IF(OR(J335=0,AND(J335=1,K335=1),AND(J335=1,I335="SBJ"),AND(J335=1,I335=0)),"?IN_FOCUS",IF(J335&lt;=2,"?ACTIVATED",IF(J335&lt;&gt;"","?FAMILIAR",IF(F335="NEW",IF(ISNA(VLOOKUP(E335,#REF!,1,FALSE())),"?TYPE_IDENTIFIABLE","?REFERENTIAL"),"_")))))</f>
        <v> </v>
      </c>
      <c r="H335" s="25" t="str">
        <f>IF(J335&lt;&gt;1,"",IF(I335="SBJ","CB","?"))</f>
        <v> </v>
      </c>
      <c r="I335" s="26" t="str">
        <f>IF(OR(E335="",E335="!!!",F335="NEW"),"",INDEX(B334:B$2,-1+SUMPRODUCT(MAX(ROW(E334:E$2)*(E335=E334:E$2)))))</f>
        <v> </v>
      </c>
      <c r="J335" s="26" t="str">
        <f>IF(OR(E335="",E335="!!!",F335="NEW"),"",COUNTBLANK(OFFSET(A$1,,,SUMPRODUCT(MAX(ROW(E$2:E335)*(E335=E$2:E335)))))-COUNTBLANK(OFFSET(A$1,,,SUMPRODUCT(MAX(ROW(E$1:E334)*(E2=E$1:E334))))))</f>
        <v> </v>
      </c>
      <c r="K335" s="26" t="str">
        <f>IF(OR(E335="",E335="!!!",F335="NEW"),"",INDEX(J$1:J334,SUMPRODUCT(MAX(ROW(E$1:E334)*(E335=E$1:E334)))))</f>
        <v> </v>
      </c>
      <c r="L335" s="27"/>
    </row>
    <row r="336" spans="1:12">
      <c r="A336" s="20" t="s">
        <v>315</v>
      </c>
      <c r="E336" s="22">
        <f>IF(D336="?OLD","!!!","")</f>
        <v/>
      </c>
      <c r="F336" s="23" t="str">
        <f>IF(OR(E336="",E336="!!!"),"",IF(NOT(ISNA(VLOOKUP(E336,E$1:E335,1,FALSE()))),"OLD",IF(AND(E336&lt;&gt;"",E336&lt;&gt;"!!!"),"NEW","")))</f>
        <v> </v>
      </c>
      <c r="G336" s="24" t="str">
        <f>IF(OR(E336="",E336="!!!"),"",IF(OR(J336=0,AND(J336=1,K336=1),AND(J336=1,I336="SBJ"),AND(J336=1,I336=0)),"?IN_FOCUS",IF(J336&lt;=2,"?ACTIVATED",IF(J336&lt;&gt;"","?FAMILIAR",IF(F336="NEW",IF(ISNA(VLOOKUP(E336,#REF!,1,FALSE())),"?TYPE_IDENTIFIABLE","?REFERENTIAL"),"_")))))</f>
        <v> </v>
      </c>
      <c r="H336" s="25" t="str">
        <f>IF(J336&lt;&gt;1,"",IF(I336="SBJ","CB","?"))</f>
        <v> </v>
      </c>
      <c r="I336" s="26" t="str">
        <f>IF(OR(E336="",E336="!!!",F336="NEW"),"",INDEX(B335:B$2,-1+SUMPRODUCT(MAX(ROW(E335:E$2)*(E336=E335:E$2)))))</f>
        <v> </v>
      </c>
      <c r="J336" s="26" t="str">
        <f>IF(OR(E336="",E336="!!!",F336="NEW"),"",COUNTBLANK(OFFSET(A$1,,,SUMPRODUCT(MAX(ROW(E$2:E336)*(E336=E$2:E336)))))-COUNTBLANK(OFFSET(A$1,,,SUMPRODUCT(MAX(ROW(E$1:E335)*(E2=E$1:E335))))))</f>
        <v> </v>
      </c>
      <c r="K336" s="26" t="str">
        <f>IF(OR(E336="",E336="!!!",F336="NEW"),"",INDEX(J$1:J335,SUMPRODUCT(MAX(ROW(E$1:E335)*(E336=E$1:E335)))))</f>
        <v> </v>
      </c>
      <c r="L336" s="27"/>
    </row>
    <row r="337" spans="1:12">
      <c r="A337" s="20" t="s">
        <v>316</v>
      </c>
      <c r="B337" s="21" t="s">
        <v>100</v>
      </c>
      <c r="C337" s="21" t="s">
        <v>92</v>
      </c>
      <c r="E337" s="22">
        <f>IF(D337="?OLD","!!!","")</f>
        <v/>
      </c>
      <c r="F337" s="23" t="str">
        <f>IF(OR(E337="",E337="!!!"),"",IF(NOT(ISNA(VLOOKUP(E337,E$1:E336,1,FALSE()))),"OLD",IF(AND(E337&lt;&gt;"",E337&lt;&gt;"!!!"),"NEW","")))</f>
        <v> </v>
      </c>
      <c r="G337" s="24" t="str">
        <f>IF(OR(E337="",E337="!!!"),"",IF(OR(J337=0,AND(J337=1,K337=1),AND(J337=1,I337="SBJ"),AND(J337=1,I337=0)),"?IN_FOCUS",IF(J337&lt;=2,"?ACTIVATED",IF(J337&lt;&gt;"","?FAMILIAR",IF(F337="NEW",IF(ISNA(VLOOKUP(E337,#REF!,1,FALSE())),"?TYPE_IDENTIFIABLE","?REFERENTIAL"),"_")))))</f>
        <v> </v>
      </c>
      <c r="H337" s="25" t="str">
        <f>IF(J337&lt;&gt;1,"",IF(I337="SBJ","CB","?"))</f>
        <v> </v>
      </c>
      <c r="I337" s="26" t="str">
        <f>IF(OR(E337="",E337="!!!",F337="NEW"),"",INDEX(B336:B$2,-1+SUMPRODUCT(MAX(ROW(E336:E$2)*(E337=E336:E$2)))))</f>
        <v> </v>
      </c>
      <c r="J337" s="26" t="str">
        <f>IF(OR(E337="",E337="!!!",F337="NEW"),"",COUNTBLANK(OFFSET(A$1,,,SUMPRODUCT(MAX(ROW(E$2:E337)*(E337=E$2:E337)))))-COUNTBLANK(OFFSET(A$1,,,SUMPRODUCT(MAX(ROW(E$1:E336)*(E2=E$1:E336))))))</f>
        <v> </v>
      </c>
      <c r="K337" s="26" t="str">
        <f>IF(OR(E337="",E337="!!!",F337="NEW"),"",INDEX(J$1:J336,SUMPRODUCT(MAX(ROW(E$1:E336)*(E337=E$1:E336)))))</f>
        <v> </v>
      </c>
      <c r="L337" s="27"/>
    </row>
    <row r="338" spans="1:12">
      <c r="A338" s="20" t="s">
        <v>169</v>
      </c>
      <c r="E338" s="22">
        <f>IF(D338="?OLD","!!!","")</f>
        <v/>
      </c>
      <c r="F338" s="23" t="str">
        <f>IF(OR(E338="",E338="!!!"),"",IF(NOT(ISNA(VLOOKUP(E338,E$1:E337,1,FALSE()))),"OLD",IF(AND(E338&lt;&gt;"",E338&lt;&gt;"!!!"),"NEW","")))</f>
        <v> </v>
      </c>
      <c r="G338" s="24" t="str">
        <f>IF(OR(E338="",E338="!!!"),"",IF(OR(J338=0,AND(J338=1,K338=1),AND(J338=1,I338="SBJ"),AND(J338=1,I338=0)),"?IN_FOCUS",IF(J338&lt;=2,"?ACTIVATED",IF(J338&lt;&gt;"","?FAMILIAR",IF(F338="NEW",IF(ISNA(VLOOKUP(E338,#REF!,1,FALSE())),"?TYPE_IDENTIFIABLE","?REFERENTIAL"),"_")))))</f>
        <v> </v>
      </c>
      <c r="H338" s="25" t="str">
        <f>IF(J338&lt;&gt;1,"",IF(I338="SBJ","CB","?"))</f>
        <v> </v>
      </c>
      <c r="I338" s="26" t="str">
        <f>IF(OR(E338="",E338="!!!",F338="NEW"),"",INDEX(B337:B$2,-1+SUMPRODUCT(MAX(ROW(E337:E$2)*(E338=E337:E$2)))))</f>
        <v> </v>
      </c>
      <c r="J338" s="26" t="str">
        <f>IF(OR(E338="",E338="!!!",F338="NEW"),"",COUNTBLANK(OFFSET(A$1,,,SUMPRODUCT(MAX(ROW(E$2:E338)*(E338=E$2:E338)))))-COUNTBLANK(OFFSET(A$1,,,SUMPRODUCT(MAX(ROW(E$1:E337)*(E2=E$1:E337))))))</f>
        <v> </v>
      </c>
      <c r="K338" s="26" t="str">
        <f>IF(OR(E338="",E338="!!!",F338="NEW"),"",INDEX(J$1:J337,SUMPRODUCT(MAX(ROW(E$1:E337)*(E338=E$1:E337)))))</f>
        <v> </v>
      </c>
      <c r="L338" s="27"/>
    </row>
    <row r="339" spans="1:12">
      <c r="A339" s="20" t="s">
        <v>317</v>
      </c>
      <c r="B339" s="21" t="s">
        <v>120</v>
      </c>
      <c r="C339" s="21" t="s">
        <v>92</v>
      </c>
      <c r="E339" s="22">
        <f>IF(D339="?OLD","!!!","")</f>
        <v/>
      </c>
      <c r="F339" s="23" t="str">
        <f>IF(OR(E339="",E339="!!!"),"",IF(NOT(ISNA(VLOOKUP(E339,E$1:E338,1,FALSE()))),"OLD",IF(AND(E339&lt;&gt;"",E339&lt;&gt;"!!!"),"NEW","")))</f>
        <v> </v>
      </c>
      <c r="G339" s="24" t="str">
        <f>IF(OR(E339="",E339="!!!"),"",IF(OR(J339=0,AND(J339=1,K339=1),AND(J339=1,I339="SBJ"),AND(J339=1,I339=0)),"?IN_FOCUS",IF(J339&lt;=2,"?ACTIVATED",IF(J339&lt;&gt;"","?FAMILIAR",IF(F339="NEW",IF(ISNA(VLOOKUP(E339,#REF!,1,FALSE())),"?TYPE_IDENTIFIABLE","?REFERENTIAL"),"_")))))</f>
        <v> </v>
      </c>
      <c r="H339" s="25" t="str">
        <f>IF(J339&lt;&gt;1,"",IF(I339="SBJ","CB","?"))</f>
        <v> </v>
      </c>
      <c r="I339" s="26" t="str">
        <f>IF(OR(E339="",E339="!!!",F339="NEW"),"",INDEX(B338:B$2,-1+SUMPRODUCT(MAX(ROW(E338:E$2)*(E339=E338:E$2)))))</f>
        <v> </v>
      </c>
      <c r="J339" s="26" t="str">
        <f>IF(OR(E339="",E339="!!!",F339="NEW"),"",COUNTBLANK(OFFSET(A$1,,,SUMPRODUCT(MAX(ROW(E$2:E339)*(E339=E$2:E339)))))-COUNTBLANK(OFFSET(A$1,,,SUMPRODUCT(MAX(ROW(E$1:E338)*(E2=E$1:E338))))))</f>
        <v> </v>
      </c>
      <c r="K339" s="26" t="str">
        <f>IF(OR(E339="",E339="!!!",F339="NEW"),"",INDEX(J$1:J338,SUMPRODUCT(MAX(ROW(E$1:E338)*(E339=E$1:E338)))))</f>
        <v> </v>
      </c>
      <c r="L339" s="27"/>
    </row>
    <row r="340" spans="1:12">
      <c r="A340" s="20" t="s">
        <v>318</v>
      </c>
      <c r="E340" s="22">
        <f>IF(D340="?OLD","!!!","")</f>
        <v/>
      </c>
      <c r="F340" s="23" t="str">
        <f>IF(OR(E340="",E340="!!!"),"",IF(NOT(ISNA(VLOOKUP(E340,E$1:E339,1,FALSE()))),"OLD",IF(AND(E340&lt;&gt;"",E340&lt;&gt;"!!!"),"NEW","")))</f>
        <v> </v>
      </c>
      <c r="G340" s="24" t="str">
        <f>IF(OR(E340="",E340="!!!"),"",IF(OR(J340=0,AND(J340=1,K340=1),AND(J340=1,I340="SBJ"),AND(J340=1,I340=0)),"?IN_FOCUS",IF(J340&lt;=2,"?ACTIVATED",IF(J340&lt;&gt;"","?FAMILIAR",IF(F340="NEW",IF(ISNA(VLOOKUP(E340,#REF!,1,FALSE())),"?TYPE_IDENTIFIABLE","?REFERENTIAL"),"_")))))</f>
        <v> </v>
      </c>
      <c r="H340" s="25" t="str">
        <f>IF(J340&lt;&gt;1,"",IF(I340="SBJ","CB","?"))</f>
        <v> </v>
      </c>
      <c r="I340" s="26" t="str">
        <f>IF(OR(E340="",E340="!!!",F340="NEW"),"",INDEX(B339:B$2,-1+SUMPRODUCT(MAX(ROW(E339:E$2)*(E340=E339:E$2)))))</f>
        <v> </v>
      </c>
      <c r="J340" s="26" t="str">
        <f>IF(OR(E340="",E340="!!!",F340="NEW"),"",COUNTBLANK(OFFSET(A$1,,,SUMPRODUCT(MAX(ROW(E$2:E340)*(E340=E$2:E340)))))-COUNTBLANK(OFFSET(A$1,,,SUMPRODUCT(MAX(ROW(E$1:E339)*(E2=E$1:E339))))))</f>
        <v> </v>
      </c>
      <c r="K340" s="26" t="str">
        <f>IF(OR(E340="",E340="!!!",F340="NEW"),"",INDEX(J$1:J339,SUMPRODUCT(MAX(ROW(E$1:E339)*(E340=E$1:E339)))))</f>
        <v> </v>
      </c>
      <c r="L340" s="27"/>
    </row>
    <row r="341" spans="1:12">
      <c r="A341" s="20" t="s">
        <v>319</v>
      </c>
      <c r="E341" s="22">
        <f>IF(D341="?OLD","!!!","")</f>
        <v/>
      </c>
      <c r="F341" s="23" t="str">
        <f>IF(OR(E341="",E341="!!!"),"",IF(NOT(ISNA(VLOOKUP(E341,E$1:E340,1,FALSE()))),"OLD",IF(AND(E341&lt;&gt;"",E341&lt;&gt;"!!!"),"NEW","")))</f>
        <v> </v>
      </c>
      <c r="G341" s="24" t="str">
        <f>IF(OR(E341="",E341="!!!"),"",IF(OR(J341=0,AND(J341=1,K341=1),AND(J341=1,I341="SBJ"),AND(J341=1,I341=0)),"?IN_FOCUS",IF(J341&lt;=2,"?ACTIVATED",IF(J341&lt;&gt;"","?FAMILIAR",IF(F341="NEW",IF(ISNA(VLOOKUP(E341,#REF!,1,FALSE())),"?TYPE_IDENTIFIABLE","?REFERENTIAL"),"_")))))</f>
        <v> </v>
      </c>
      <c r="H341" s="25" t="str">
        <f>IF(J341&lt;&gt;1,"",IF(I341="SBJ","CB","?"))</f>
        <v> </v>
      </c>
      <c r="I341" s="26" t="str">
        <f>IF(OR(E341="",E341="!!!",F341="NEW"),"",INDEX(B340:B$2,-1+SUMPRODUCT(MAX(ROW(E340:E$2)*(E341=E340:E$2)))))</f>
        <v> </v>
      </c>
      <c r="J341" s="26" t="str">
        <f>IF(OR(E341="",E341="!!!",F341="NEW"),"",COUNTBLANK(OFFSET(A$1,,,SUMPRODUCT(MAX(ROW(E$2:E341)*(E341=E$2:E341)))))-COUNTBLANK(OFFSET(A$1,,,SUMPRODUCT(MAX(ROW(E$1:E340)*(E2=E$1:E340))))))</f>
        <v> </v>
      </c>
      <c r="K341" s="26" t="str">
        <f>IF(OR(E341="",E341="!!!",F341="NEW"),"",INDEX(J$1:J340,SUMPRODUCT(MAX(ROW(E$1:E340)*(E341=E$1:E340)))))</f>
        <v> </v>
      </c>
      <c r="L341" s="27"/>
    </row>
    <row r="342" spans="1:12">
      <c r="A342" s="20" t="s">
        <v>97</v>
      </c>
      <c r="E342" s="22">
        <f>IF(D342="?OLD","!!!","")</f>
        <v/>
      </c>
      <c r="F342" s="23" t="str">
        <f>IF(OR(E342="",E342="!!!"),"",IF(NOT(ISNA(VLOOKUP(E342,E$1:E341,1,FALSE()))),"OLD",IF(AND(E342&lt;&gt;"",E342&lt;&gt;"!!!"),"NEW","")))</f>
        <v> </v>
      </c>
      <c r="G342" s="24" t="str">
        <f>IF(OR(E342="",E342="!!!"),"",IF(OR(J342=0,AND(J342=1,K342=1),AND(J342=1,I342="SBJ"),AND(J342=1,I342=0)),"?IN_FOCUS",IF(J342&lt;=2,"?ACTIVATED",IF(J342&lt;&gt;"","?FAMILIAR",IF(F342="NEW",IF(ISNA(VLOOKUP(E342,#REF!,1,FALSE())),"?TYPE_IDENTIFIABLE","?REFERENTIAL"),"_")))))</f>
        <v> </v>
      </c>
      <c r="H342" s="25" t="str">
        <f>IF(J342&lt;&gt;1,"",IF(I342="SBJ","CB","?"))</f>
        <v> </v>
      </c>
      <c r="I342" s="26" t="str">
        <f>IF(OR(E342="",E342="!!!",F342="NEW"),"",INDEX(B341:B$2,-1+SUMPRODUCT(MAX(ROW(E341:E$2)*(E342=E341:E$2)))))</f>
        <v> </v>
      </c>
      <c r="J342" s="26" t="str">
        <f>IF(OR(E342="",E342="!!!",F342="NEW"),"",COUNTBLANK(OFFSET(A$1,,,SUMPRODUCT(MAX(ROW(E$2:E342)*(E342=E$2:E342)))))-COUNTBLANK(OFFSET(A$1,,,SUMPRODUCT(MAX(ROW(E$1:E341)*(E2=E$1:E341))))))</f>
        <v> </v>
      </c>
      <c r="K342" s="26" t="str">
        <f>IF(OR(E342="",E342="!!!",F342="NEW"),"",INDEX(J$1:J341,SUMPRODUCT(MAX(ROW(E$1:E341)*(E342=E$1:E341)))))</f>
        <v> </v>
      </c>
      <c r="L342" s="27"/>
    </row>
    <row r="343" spans="1:12">
      <c r="A343" s="20" t="s">
        <v>198</v>
      </c>
      <c r="E343" s="22">
        <f>IF(D343="?OLD","!!!","")</f>
        <v/>
      </c>
      <c r="F343" s="23" t="str">
        <f>IF(OR(E343="",E343="!!!"),"",IF(NOT(ISNA(VLOOKUP(E343,E$1:E342,1,FALSE()))),"OLD",IF(AND(E343&lt;&gt;"",E343&lt;&gt;"!!!"),"NEW","")))</f>
        <v> </v>
      </c>
      <c r="G343" s="24" t="str">
        <f>IF(OR(E343="",E343="!!!"),"",IF(OR(J343=0,AND(J343=1,K343=1),AND(J343=1,I343="SBJ"),AND(J343=1,I343=0)),"?IN_FOCUS",IF(J343&lt;=2,"?ACTIVATED",IF(J343&lt;&gt;"","?FAMILIAR",IF(F343="NEW",IF(ISNA(VLOOKUP(E343,#REF!,1,FALSE())),"?TYPE_IDENTIFIABLE","?REFERENTIAL"),"_")))))</f>
        <v> </v>
      </c>
      <c r="H343" s="25" t="str">
        <f>IF(J343&lt;&gt;1,"",IF(I343="SBJ","CB","?"))</f>
        <v> </v>
      </c>
      <c r="I343" s="26" t="str">
        <f>IF(OR(E343="",E343="!!!",F343="NEW"),"",INDEX(B342:B$2,-1+SUMPRODUCT(MAX(ROW(E342:E$2)*(E343=E342:E$2)))))</f>
        <v> </v>
      </c>
      <c r="J343" s="26" t="str">
        <f>IF(OR(E343="",E343="!!!",F343="NEW"),"",COUNTBLANK(OFFSET(A$1,,,SUMPRODUCT(MAX(ROW(E$2:E343)*(E343=E$2:E343)))))-COUNTBLANK(OFFSET(A$1,,,SUMPRODUCT(MAX(ROW(E$1:E342)*(E2=E$1:E342))))))</f>
        <v> </v>
      </c>
      <c r="K343" s="26" t="str">
        <f>IF(OR(E343="",E343="!!!",F343="NEW"),"",INDEX(J$1:J342,SUMPRODUCT(MAX(ROW(E$1:E342)*(E343=E$1:E342)))))</f>
        <v> </v>
      </c>
      <c r="L343" s="27"/>
    </row>
    <row r="344" spans="1:12">
      <c r="A344" s="20" t="s">
        <v>243</v>
      </c>
      <c r="B344" s="21" t="s">
        <v>174</v>
      </c>
      <c r="C344" s="21" t="s">
        <v>92</v>
      </c>
      <c r="E344" s="22">
        <f>IF(D344="?OLD","!!!","")</f>
        <v/>
      </c>
      <c r="F344" s="23" t="str">
        <f>IF(OR(E344="",E344="!!!"),"",IF(NOT(ISNA(VLOOKUP(E344,E$1:E343,1,FALSE()))),"OLD",IF(AND(E344&lt;&gt;"",E344&lt;&gt;"!!!"),"NEW","")))</f>
        <v> </v>
      </c>
      <c r="G344" s="24" t="str">
        <f>IF(OR(E344="",E344="!!!"),"",IF(OR(J344=0,AND(J344=1,K344=1),AND(J344=1,I344="SBJ"),AND(J344=1,I344=0)),"?IN_FOCUS",IF(J344&lt;=2,"?ACTIVATED",IF(J344&lt;&gt;"","?FAMILIAR",IF(F344="NEW",IF(ISNA(VLOOKUP(E344,#REF!,1,FALSE())),"?TYPE_IDENTIFIABLE","?REFERENTIAL"),"_")))))</f>
        <v> </v>
      </c>
      <c r="H344" s="25" t="str">
        <f>IF(J344&lt;&gt;1,"",IF(I344="SBJ","CB","?"))</f>
        <v> </v>
      </c>
      <c r="I344" s="26" t="str">
        <f>IF(OR(E344="",E344="!!!",F344="NEW"),"",INDEX(B343:B$2,-1+SUMPRODUCT(MAX(ROW(E343:E$2)*(E344=E343:E$2)))))</f>
        <v> </v>
      </c>
      <c r="J344" s="26" t="str">
        <f>IF(OR(E344="",E344="!!!",F344="NEW"),"",COUNTBLANK(OFFSET(A$1,,,SUMPRODUCT(MAX(ROW(E$2:E344)*(E344=E$2:E344)))))-COUNTBLANK(OFFSET(A$1,,,SUMPRODUCT(MAX(ROW(E$1:E343)*(E2=E$1:E343))))))</f>
        <v> </v>
      </c>
      <c r="K344" s="26" t="str">
        <f>IF(OR(E344="",E344="!!!",F344="NEW"),"",INDEX(J$1:J343,SUMPRODUCT(MAX(ROW(E$1:E343)*(E344=E$1:E343)))))</f>
        <v> </v>
      </c>
      <c r="L344" s="27"/>
    </row>
    <row r="345" spans="1:12">
      <c r="A345" s="20" t="s">
        <v>262</v>
      </c>
      <c r="E345" s="22">
        <f>IF(D345="?OLD","!!!","")</f>
        <v/>
      </c>
      <c r="F345" s="23" t="str">
        <f>IF(OR(E345="",E345="!!!"),"",IF(NOT(ISNA(VLOOKUP(E345,E$1:E344,1,FALSE()))),"OLD",IF(AND(E345&lt;&gt;"",E345&lt;&gt;"!!!"),"NEW","")))</f>
        <v> </v>
      </c>
      <c r="G345" s="24" t="str">
        <f>IF(OR(E345="",E345="!!!"),"",IF(OR(J345=0,AND(J345=1,K345=1),AND(J345=1,I345="SBJ"),AND(J345=1,I345=0)),"?IN_FOCUS",IF(J345&lt;=2,"?ACTIVATED",IF(J345&lt;&gt;"","?FAMILIAR",IF(F345="NEW",IF(ISNA(VLOOKUP(E345,#REF!,1,FALSE())),"?TYPE_IDENTIFIABLE","?REFERENTIAL"),"_")))))</f>
        <v> </v>
      </c>
      <c r="H345" s="25" t="str">
        <f>IF(J345&lt;&gt;1,"",IF(I345="SBJ","CB","?"))</f>
        <v> </v>
      </c>
      <c r="I345" s="26" t="str">
        <f>IF(OR(E345="",E345="!!!",F345="NEW"),"",INDEX(B344:B$2,-1+SUMPRODUCT(MAX(ROW(E344:E$2)*(E345=E344:E$2)))))</f>
        <v> </v>
      </c>
      <c r="J345" s="26" t="str">
        <f>IF(OR(E345="",E345="!!!",F345="NEW"),"",COUNTBLANK(OFFSET(A$1,,,SUMPRODUCT(MAX(ROW(E$2:E345)*(E345=E$2:E345)))))-COUNTBLANK(OFFSET(A$1,,,SUMPRODUCT(MAX(ROW(E$1:E344)*(E2=E$1:E344))))))</f>
        <v> </v>
      </c>
      <c r="K345" s="26" t="str">
        <f>IF(OR(E345="",E345="!!!",F345="NEW"),"",INDEX(J$1:J344,SUMPRODUCT(MAX(ROW(E$1:E344)*(E345=E$1:E344)))))</f>
        <v> </v>
      </c>
      <c r="L345" s="27"/>
    </row>
    <row r="346" spans="1:12">
      <c r="A346" s="20" t="s">
        <v>132</v>
      </c>
      <c r="E346" s="22">
        <f>IF(D346="?OLD","!!!","")</f>
        <v/>
      </c>
      <c r="F346" s="23" t="str">
        <f>IF(OR(E346="",E346="!!!"),"",IF(NOT(ISNA(VLOOKUP(E346,E$1:E345,1,FALSE()))),"OLD",IF(AND(E346&lt;&gt;"",E346&lt;&gt;"!!!"),"NEW","")))</f>
        <v> </v>
      </c>
      <c r="G346" s="24" t="str">
        <f>IF(OR(E346="",E346="!!!"),"",IF(OR(J346=0,AND(J346=1,K346=1),AND(J346=1,I346="SBJ"),AND(J346=1,I346=0)),"?IN_FOCUS",IF(J346&lt;=2,"?ACTIVATED",IF(J346&lt;&gt;"","?FAMILIAR",IF(F346="NEW",IF(ISNA(VLOOKUP(E346,#REF!,1,FALSE())),"?TYPE_IDENTIFIABLE","?REFERENTIAL"),"_")))))</f>
        <v> </v>
      </c>
      <c r="H346" s="25" t="str">
        <f>IF(J346&lt;&gt;1,"",IF(I346="SBJ","CB","?"))</f>
        <v> </v>
      </c>
      <c r="I346" s="26" t="str">
        <f>IF(OR(E346="",E346="!!!",F346="NEW"),"",INDEX(B345:B$2,-1+SUMPRODUCT(MAX(ROW(E345:E$2)*(E346=E345:E$2)))))</f>
        <v> </v>
      </c>
      <c r="J346" s="26" t="str">
        <f>IF(OR(E346="",E346="!!!",F346="NEW"),"",COUNTBLANK(OFFSET(A$1,,,SUMPRODUCT(MAX(ROW(E$2:E346)*(E346=E$2:E346)))))-COUNTBLANK(OFFSET(A$1,,,SUMPRODUCT(MAX(ROW(E$1:E345)*(E2=E$1:E345))))))</f>
        <v> </v>
      </c>
      <c r="K346" s="26" t="str">
        <f>IF(OR(E346="",E346="!!!",F346="NEW"),"",INDEX(J$1:J345,SUMPRODUCT(MAX(ROW(E$1:E345)*(E346=E$1:E345)))))</f>
        <v> </v>
      </c>
      <c r="L346" s="27"/>
    </row>
    <row r="347" spans="1:12">
      <c r="A347" s="20" t="s">
        <v>320</v>
      </c>
      <c r="B347" s="21" t="s">
        <v>120</v>
      </c>
      <c r="C347" s="21" t="s">
        <v>112</v>
      </c>
      <c r="D347" s="21" t="s">
        <v>102</v>
      </c>
      <c r="E347" s="22">
        <f>IF(D347="?OLD","!!!","")</f>
        <v/>
      </c>
      <c r="F347" s="23" t="str">
        <f>IF(OR(E347="",E347="!!!"),"",IF(NOT(ISNA(VLOOKUP(E347,E$1:E346,1,FALSE()))),"OLD",IF(AND(E347&lt;&gt;"",E347&lt;&gt;"!!!"),"NEW","")))</f>
        <v> </v>
      </c>
      <c r="G347" s="24" t="str">
        <f>IF(OR(E347="",E347="!!!"),"",IF(OR(J347=0,AND(J347=1,K347=1),AND(J347=1,I347="SBJ"),AND(J347=1,I347=0)),"?IN_FOCUS",IF(J347&lt;=2,"?ACTIVATED",IF(J347&lt;&gt;"","?FAMILIAR",IF(F347="NEW",IF(ISNA(VLOOKUP(E347,#REF!,1,FALSE())),"?TYPE_IDENTIFIABLE","?REFERENTIAL"),"_")))))</f>
        <v> </v>
      </c>
      <c r="H347" s="25" t="str">
        <f>IF(J347&lt;&gt;1,"",IF(I347="SBJ","CB","?"))</f>
        <v> </v>
      </c>
      <c r="I347" s="26" t="str">
        <f>IF(OR(E347="",E347="!!!",F347="NEW"),"",INDEX(B346:B$2,-1+SUMPRODUCT(MAX(ROW(E346:E$2)*(E347=E346:E$2)))))</f>
        <v> </v>
      </c>
      <c r="J347" s="26" t="str">
        <f>IF(OR(E347="",E347="!!!",F347="NEW"),"",COUNTBLANK(OFFSET(A$1,,,SUMPRODUCT(MAX(ROW(E$2:E347)*(E347=E$2:E347)))))-COUNTBLANK(OFFSET(A$1,,,SUMPRODUCT(MAX(ROW(E$1:E346)*(E2=E$1:E346))))))</f>
        <v> </v>
      </c>
      <c r="K347" s="26" t="str">
        <f>IF(OR(E347="",E347="!!!",F347="NEW"),"",INDEX(J$1:J346,SUMPRODUCT(MAX(ROW(E$1:E346)*(E347=E$1:E346)))))</f>
        <v> </v>
      </c>
      <c r="L347" s="27"/>
    </row>
    <row r="348" spans="1:12">
      <c r="A348" s="20" t="s">
        <v>321</v>
      </c>
      <c r="B348" s="21" t="s">
        <v>174</v>
      </c>
      <c r="C348" s="21" t="s">
        <v>92</v>
      </c>
      <c r="E348" s="22">
        <f>IF(D348="?OLD","!!!","")</f>
        <v/>
      </c>
      <c r="F348" s="23" t="str">
        <f>IF(OR(E348="",E348="!!!"),"",IF(NOT(ISNA(VLOOKUP(E348,E$1:E347,1,FALSE()))),"OLD",IF(AND(E348&lt;&gt;"",E348&lt;&gt;"!!!"),"NEW","")))</f>
        <v> </v>
      </c>
      <c r="G348" s="24" t="str">
        <f>IF(OR(E348="",E348="!!!"),"",IF(OR(J348=0,AND(J348=1,K348=1),AND(J348=1,I348="SBJ"),AND(J348=1,I348=0)),"?IN_FOCUS",IF(J348&lt;=2,"?ACTIVATED",IF(J348&lt;&gt;"","?FAMILIAR",IF(F348="NEW",IF(ISNA(VLOOKUP(E348,#REF!,1,FALSE())),"?TYPE_IDENTIFIABLE","?REFERENTIAL"),"_")))))</f>
        <v> </v>
      </c>
      <c r="H348" s="25" t="str">
        <f>IF(J348&lt;&gt;1,"",IF(I348="SBJ","CB","?"))</f>
        <v> </v>
      </c>
      <c r="I348" s="26" t="str">
        <f>IF(OR(E348="",E348="!!!",F348="NEW"),"",INDEX(B347:B$2,-1+SUMPRODUCT(MAX(ROW(E347:E$2)*(E348=E347:E$2)))))</f>
        <v> </v>
      </c>
      <c r="J348" s="26" t="str">
        <f>IF(OR(E348="",E348="!!!",F348="NEW"),"",COUNTBLANK(OFFSET(A$1,,,SUMPRODUCT(MAX(ROW(E$2:E348)*(E348=E$2:E348)))))-COUNTBLANK(OFFSET(A$1,,,SUMPRODUCT(MAX(ROW(E$1:E347)*(E2=E$1:E347))))))</f>
        <v> </v>
      </c>
      <c r="K348" s="26" t="str">
        <f>IF(OR(E348="",E348="!!!",F348="NEW"),"",INDEX(J$1:J347,SUMPRODUCT(MAX(ROW(E$1:E347)*(E348=E$1:E347)))))</f>
        <v> </v>
      </c>
      <c r="L348" s="27"/>
    </row>
    <row r="349" spans="1:12">
      <c r="A349" s="20" t="s">
        <v>137</v>
      </c>
      <c r="E349" s="22">
        <f>IF(D349="?OLD","!!!","")</f>
        <v/>
      </c>
      <c r="F349" s="23" t="str">
        <f>IF(OR(E349="",E349="!!!"),"",IF(NOT(ISNA(VLOOKUP(E349,E$1:E348,1,FALSE()))),"OLD",IF(AND(E349&lt;&gt;"",E349&lt;&gt;"!!!"),"NEW","")))</f>
        <v> </v>
      </c>
      <c r="G349" s="24" t="str">
        <f>IF(OR(E349="",E349="!!!"),"",IF(OR(J349=0,AND(J349=1,K349=1),AND(J349=1,I349="SBJ"),AND(J349=1,I349=0)),"?IN_FOCUS",IF(J349&lt;=2,"?ACTIVATED",IF(J349&lt;&gt;"","?FAMILIAR",IF(F349="NEW",IF(ISNA(VLOOKUP(E349,#REF!,1,FALSE())),"?TYPE_IDENTIFIABLE","?REFERENTIAL"),"_")))))</f>
        <v> </v>
      </c>
      <c r="H349" s="25" t="str">
        <f>IF(J349&lt;&gt;1,"",IF(I349="SBJ","CB","?"))</f>
        <v> </v>
      </c>
      <c r="I349" s="26" t="str">
        <f>IF(OR(E349="",E349="!!!",F349="NEW"),"",INDEX(B348:B$2,-1+SUMPRODUCT(MAX(ROW(E348:E$2)*(E349=E348:E$2)))))</f>
        <v> </v>
      </c>
      <c r="J349" s="26" t="str">
        <f>IF(OR(E349="",E349="!!!",F349="NEW"),"",COUNTBLANK(OFFSET(A$1,,,SUMPRODUCT(MAX(ROW(E$2:E349)*(E349=E$2:E349)))))-COUNTBLANK(OFFSET(A$1,,,SUMPRODUCT(MAX(ROW(E$1:E348)*(E2=E$1:E348))))))</f>
        <v> </v>
      </c>
      <c r="K349" s="26" t="str">
        <f>IF(OR(E349="",E349="!!!",F349="NEW"),"",INDEX(J$1:J348,SUMPRODUCT(MAX(ROW(E$1:E348)*(E349=E$1:E348)))))</f>
        <v> </v>
      </c>
      <c r="L349" s="27"/>
    </row>
    <row r="350" spans="1:12">
      <c r="A350" s="20" t="s">
        <v>322</v>
      </c>
      <c r="E350" s="22">
        <f>IF(D350="?OLD","!!!","")</f>
        <v/>
      </c>
      <c r="F350" s="23" t="str">
        <f>IF(OR(E350="",E350="!!!"),"",IF(NOT(ISNA(VLOOKUP(E350,E$1:E349,1,FALSE()))),"OLD",IF(AND(E350&lt;&gt;"",E350&lt;&gt;"!!!"),"NEW","")))</f>
        <v> </v>
      </c>
      <c r="G350" s="24" t="str">
        <f>IF(OR(E350="",E350="!!!"),"",IF(OR(J350=0,AND(J350=1,K350=1),AND(J350=1,I350="SBJ"),AND(J350=1,I350=0)),"?IN_FOCUS",IF(J350&lt;=2,"?ACTIVATED",IF(J350&lt;&gt;"","?FAMILIAR",IF(F350="NEW",IF(ISNA(VLOOKUP(E350,#REF!,1,FALSE())),"?TYPE_IDENTIFIABLE","?REFERENTIAL"),"_")))))</f>
        <v> </v>
      </c>
      <c r="H350" s="25" t="str">
        <f>IF(J350&lt;&gt;1,"",IF(I350="SBJ","CB","?"))</f>
        <v> </v>
      </c>
      <c r="I350" s="26" t="str">
        <f>IF(OR(E350="",E350="!!!",F350="NEW"),"",INDEX(B349:B$2,-1+SUMPRODUCT(MAX(ROW(E349:E$2)*(E350=E349:E$2)))))</f>
        <v> </v>
      </c>
      <c r="J350" s="26" t="str">
        <f>IF(OR(E350="",E350="!!!",F350="NEW"),"",COUNTBLANK(OFFSET(A$1,,,SUMPRODUCT(MAX(ROW(E$2:E350)*(E350=E$2:E350)))))-COUNTBLANK(OFFSET(A$1,,,SUMPRODUCT(MAX(ROW(E$1:E349)*(E2=E$1:E349))))))</f>
        <v> </v>
      </c>
      <c r="K350" s="26" t="str">
        <f>IF(OR(E350="",E350="!!!",F350="NEW"),"",INDEX(J$1:J349,SUMPRODUCT(MAX(ROW(E$1:E349)*(E350=E$1:E349)))))</f>
        <v> </v>
      </c>
      <c r="L350" s="27"/>
    </row>
    <row r="351" spans="1:12">
      <c r="A351" s="20" t="s">
        <v>155</v>
      </c>
      <c r="E351" s="22">
        <f>IF(D351="?OLD","!!!","")</f>
        <v/>
      </c>
      <c r="F351" s="23" t="str">
        <f>IF(OR(E351="",E351="!!!"),"",IF(NOT(ISNA(VLOOKUP(E351,E$1:E350,1,FALSE()))),"OLD",IF(AND(E351&lt;&gt;"",E351&lt;&gt;"!!!"),"NEW","")))</f>
        <v> </v>
      </c>
      <c r="G351" s="24" t="str">
        <f>IF(OR(E351="",E351="!!!"),"",IF(OR(J351=0,AND(J351=1,K351=1),AND(J351=1,I351="SBJ"),AND(J351=1,I351=0)),"?IN_FOCUS",IF(J351&lt;=2,"?ACTIVATED",IF(J351&lt;&gt;"","?FAMILIAR",IF(F351="NEW",IF(ISNA(VLOOKUP(E351,#REF!,1,FALSE())),"?TYPE_IDENTIFIABLE","?REFERENTIAL"),"_")))))</f>
        <v> </v>
      </c>
      <c r="H351" s="25" t="str">
        <f>IF(J351&lt;&gt;1,"",IF(I351="SBJ","CB","?"))</f>
        <v> </v>
      </c>
      <c r="I351" s="26" t="str">
        <f>IF(OR(E351="",E351="!!!",F351="NEW"),"",INDEX(B350:B$2,-1+SUMPRODUCT(MAX(ROW(E350:E$2)*(E351=E350:E$2)))))</f>
        <v> </v>
      </c>
      <c r="J351" s="26" t="str">
        <f>IF(OR(E351="",E351="!!!",F351="NEW"),"",COUNTBLANK(OFFSET(A$1,,,SUMPRODUCT(MAX(ROW(E$2:E351)*(E351=E$2:E351)))))-COUNTBLANK(OFFSET(A$1,,,SUMPRODUCT(MAX(ROW(E$1:E350)*(E2=E$1:E350))))))</f>
        <v> </v>
      </c>
      <c r="K351" s="26" t="str">
        <f>IF(OR(E351="",E351="!!!",F351="NEW"),"",INDEX(J$1:J350,SUMPRODUCT(MAX(ROW(E$1:E350)*(E351=E$1:E350)))))</f>
        <v> </v>
      </c>
      <c r="L351" s="27"/>
    </row>
    <row r="352" spans="1:12">
      <c r="A352" s="20"/>
    </row>
    <row r="353" spans="1:12">
      <c r="A353" s="20" t="s">
        <v>323</v>
      </c>
    </row>
    <row r="354" spans="1:12">
      <c r="A354" s="20" t="s">
        <v>110</v>
      </c>
      <c r="E354" s="22">
        <f>IF(D354="?OLD","!!!","")</f>
        <v/>
      </c>
      <c r="F354" s="23" t="str">
        <f>IF(OR(E354="",E354="!!!"),"",IF(NOT(ISNA(VLOOKUP(E354,E$1:E353,1,FALSE()))),"OLD",IF(AND(E354&lt;&gt;"",E354&lt;&gt;"!!!"),"NEW","")))</f>
        <v> </v>
      </c>
      <c r="G354" s="24" t="str">
        <f>IF(OR(E354="",E354="!!!"),"",IF(OR(J354=0,AND(J354=1,K354=1),AND(J354=1,I354="SBJ"),AND(J354=1,I354=0)),"?IN_FOCUS",IF(J354&lt;=2,"?ACTIVATED",IF(J354&lt;&gt;"","?FAMILIAR",IF(F354="NEW",IF(ISNA(VLOOKUP(E354,#REF!,1,FALSE())),"?TYPE_IDENTIFIABLE","?REFERENTIAL"),"_")))))</f>
        <v> </v>
      </c>
      <c r="H354" s="25" t="str">
        <f>IF(J354&lt;&gt;1,"",IF(I354="SBJ","CB","?"))</f>
        <v> </v>
      </c>
      <c r="I354" s="26" t="str">
        <f>IF(OR(E354="",E354="!!!",F354="NEW"),"",INDEX(B353:B$2,-1+SUMPRODUCT(MAX(ROW(E353:E$2)*(E354=E353:E$2)))))</f>
        <v> </v>
      </c>
      <c r="J354" s="26" t="str">
        <f>IF(OR(E354="",E354="!!!",F354="NEW"),"",COUNTBLANK(OFFSET(A$1,,,SUMPRODUCT(MAX(ROW(E$2:E354)*(E354=E$2:E354)))))-COUNTBLANK(OFFSET(A$1,,,SUMPRODUCT(MAX(ROW(E$1:E353)*(E2=E$1:E353))))))</f>
        <v> </v>
      </c>
      <c r="K354" s="26" t="str">
        <f>IF(OR(E354="",E354="!!!",F354="NEW"),"",INDEX(J$1:J353,SUMPRODUCT(MAX(ROW(E$1:E353)*(E354=E$1:E353)))))</f>
        <v> </v>
      </c>
      <c r="L354" s="27"/>
    </row>
    <row r="355" spans="1:12">
      <c r="A355" s="20" t="s">
        <v>111</v>
      </c>
      <c r="B355" s="21" t="s">
        <v>91</v>
      </c>
      <c r="C355" s="21" t="s">
        <v>112</v>
      </c>
      <c r="D355" s="21" t="s">
        <v>102</v>
      </c>
      <c r="E355" s="22">
        <f>IF(D355="?OLD","!!!","")</f>
        <v/>
      </c>
      <c r="F355" s="23" t="str">
        <f>IF(OR(E355="",E355="!!!"),"",IF(NOT(ISNA(VLOOKUP(E355,E$1:E354,1,FALSE()))),"OLD",IF(AND(E355&lt;&gt;"",E355&lt;&gt;"!!!"),"NEW","")))</f>
        <v> </v>
      </c>
      <c r="G355" s="24" t="str">
        <f>IF(OR(E355="",E355="!!!"),"",IF(OR(J355=0,AND(J355=1,K355=1),AND(J355=1,I355="SBJ"),AND(J355=1,I355=0)),"?IN_FOCUS",IF(J355&lt;=2,"?ACTIVATED",IF(J355&lt;&gt;"","?FAMILIAR",IF(F355="NEW",IF(ISNA(VLOOKUP(E355,#REF!,1,FALSE())),"?TYPE_IDENTIFIABLE","?REFERENTIAL"),"_")))))</f>
        <v> </v>
      </c>
      <c r="H355" s="25" t="str">
        <f>IF(J355&lt;&gt;1,"",IF(I355="SBJ","CB","?"))</f>
        <v> </v>
      </c>
      <c r="I355" s="26" t="str">
        <f>IF(OR(E355="",E355="!!!",F355="NEW"),"",INDEX(B354:B$2,-1+SUMPRODUCT(MAX(ROW(E354:E$2)*(E355=E354:E$2)))))</f>
        <v> </v>
      </c>
      <c r="J355" s="26" t="str">
        <f>IF(OR(E355="",E355="!!!",F355="NEW"),"",COUNTBLANK(OFFSET(A$1,,,SUMPRODUCT(MAX(ROW(E$2:E355)*(E355=E$2:E355)))))-COUNTBLANK(OFFSET(A$1,,,SUMPRODUCT(MAX(ROW(E$1:E354)*(E2=E$1:E354))))))</f>
        <v> </v>
      </c>
      <c r="K355" s="26" t="str">
        <f>IF(OR(E355="",E355="!!!",F355="NEW"),"",INDEX(J$1:J354,SUMPRODUCT(MAX(ROW(E$1:E354)*(E355=E$1:E354)))))</f>
        <v> </v>
      </c>
      <c r="L355" s="27"/>
    </row>
    <row r="356" spans="1:12">
      <c r="A356" s="20" t="s">
        <v>113</v>
      </c>
      <c r="E356" s="22">
        <f>IF(D356="?OLD","!!!","")</f>
        <v/>
      </c>
      <c r="F356" s="23" t="str">
        <f>IF(OR(E356="",E356="!!!"),"",IF(NOT(ISNA(VLOOKUP(E356,E$1:E355,1,FALSE()))),"OLD",IF(AND(E356&lt;&gt;"",E356&lt;&gt;"!!!"),"NEW","")))</f>
        <v> </v>
      </c>
      <c r="G356" s="24" t="str">
        <f>IF(OR(E356="",E356="!!!"),"",IF(OR(J356=0,AND(J356=1,K356=1),AND(J356=1,I356="SBJ"),AND(J356=1,I356=0)),"?IN_FOCUS",IF(J356&lt;=2,"?ACTIVATED",IF(J356&lt;&gt;"","?FAMILIAR",IF(F356="NEW",IF(ISNA(VLOOKUP(E356,#REF!,1,FALSE())),"?TYPE_IDENTIFIABLE","?REFERENTIAL"),"_")))))</f>
        <v> </v>
      </c>
      <c r="H356" s="25" t="str">
        <f>IF(J356&lt;&gt;1,"",IF(I356="SBJ","CB","?"))</f>
        <v> </v>
      </c>
      <c r="I356" s="26" t="str">
        <f>IF(OR(E356="",E356="!!!",F356="NEW"),"",INDEX(B355:B$2,-1+SUMPRODUCT(MAX(ROW(E355:E$2)*(E356=E355:E$2)))))</f>
        <v> </v>
      </c>
      <c r="J356" s="26" t="str">
        <f>IF(OR(E356="",E356="!!!",F356="NEW"),"",COUNTBLANK(OFFSET(A$1,,,SUMPRODUCT(MAX(ROW(E$2:E356)*(E356=E$2:E356)))))-COUNTBLANK(OFFSET(A$1,,,SUMPRODUCT(MAX(ROW(E$1:E355)*(E2=E$1:E355))))))</f>
        <v> </v>
      </c>
      <c r="K356" s="26" t="str">
        <f>IF(OR(E356="",E356="!!!",F356="NEW"),"",INDEX(J$1:J355,SUMPRODUCT(MAX(ROW(E$1:E355)*(E356=E$1:E355)))))</f>
        <v> </v>
      </c>
      <c r="L356" s="27"/>
    </row>
    <row r="357" spans="1:12">
      <c r="A357" s="20" t="s">
        <v>114</v>
      </c>
      <c r="E357" s="22">
        <f>IF(D357="?OLD","!!!","")</f>
        <v/>
      </c>
      <c r="F357" s="23" t="str">
        <f>IF(OR(E357="",E357="!!!"),"",IF(NOT(ISNA(VLOOKUP(E357,E$1:E356,1,FALSE()))),"OLD",IF(AND(E357&lt;&gt;"",E357&lt;&gt;"!!!"),"NEW","")))</f>
        <v> </v>
      </c>
      <c r="G357" s="24" t="str">
        <f>IF(OR(E357="",E357="!!!"),"",IF(OR(J357=0,AND(J357=1,K357=1),AND(J357=1,I357="SBJ"),AND(J357=1,I357=0)),"?IN_FOCUS",IF(J357&lt;=2,"?ACTIVATED",IF(J357&lt;&gt;"","?FAMILIAR",IF(F357="NEW",IF(ISNA(VLOOKUP(E357,#REF!,1,FALSE())),"?TYPE_IDENTIFIABLE","?REFERENTIAL"),"_")))))</f>
        <v> </v>
      </c>
      <c r="H357" s="25" t="str">
        <f>IF(J357&lt;&gt;1,"",IF(I357="SBJ","CB","?"))</f>
        <v> </v>
      </c>
      <c r="I357" s="26" t="str">
        <f>IF(OR(E357="",E357="!!!",F357="NEW"),"",INDEX(B356:B$2,-1+SUMPRODUCT(MAX(ROW(E356:E$2)*(E357=E356:E$2)))))</f>
        <v> </v>
      </c>
      <c r="J357" s="26" t="str">
        <f>IF(OR(E357="",E357="!!!",F357="NEW"),"",COUNTBLANK(OFFSET(A$1,,,SUMPRODUCT(MAX(ROW(E$2:E357)*(E357=E$2:E357)))))-COUNTBLANK(OFFSET(A$1,,,SUMPRODUCT(MAX(ROW(E$1:E356)*(E2=E$1:E356))))))</f>
        <v> </v>
      </c>
      <c r="K357" s="26" t="str">
        <f>IF(OR(E357="",E357="!!!",F357="NEW"),"",INDEX(J$1:J356,SUMPRODUCT(MAX(ROW(E$1:E356)*(E357=E$1:E356)))))</f>
        <v> </v>
      </c>
      <c r="L357" s="27"/>
    </row>
    <row r="358" spans="1:12">
      <c r="A358" s="20" t="s">
        <v>97</v>
      </c>
      <c r="E358" s="22">
        <f>IF(D358="?OLD","!!!","")</f>
        <v/>
      </c>
      <c r="F358" s="23" t="str">
        <f>IF(OR(E358="",E358="!!!"),"",IF(NOT(ISNA(VLOOKUP(E358,E$1:E357,1,FALSE()))),"OLD",IF(AND(E358&lt;&gt;"",E358&lt;&gt;"!!!"),"NEW","")))</f>
        <v> </v>
      </c>
      <c r="G358" s="24" t="str">
        <f>IF(OR(E358="",E358="!!!"),"",IF(OR(J358=0,AND(J358=1,K358=1),AND(J358=1,I358="SBJ"),AND(J358=1,I358=0)),"?IN_FOCUS",IF(J358&lt;=2,"?ACTIVATED",IF(J358&lt;&gt;"","?FAMILIAR",IF(F358="NEW",IF(ISNA(VLOOKUP(E358,#REF!,1,FALSE())),"?TYPE_IDENTIFIABLE","?REFERENTIAL"),"_")))))</f>
        <v> </v>
      </c>
      <c r="H358" s="25" t="str">
        <f>IF(J358&lt;&gt;1,"",IF(I358="SBJ","CB","?"))</f>
        <v> </v>
      </c>
      <c r="I358" s="26" t="str">
        <f>IF(OR(E358="",E358="!!!",F358="NEW"),"",INDEX(B357:B$2,-1+SUMPRODUCT(MAX(ROW(E357:E$2)*(E358=E357:E$2)))))</f>
        <v> </v>
      </c>
      <c r="J358" s="26" t="str">
        <f>IF(OR(E358="",E358="!!!",F358="NEW"),"",COUNTBLANK(OFFSET(A$1,,,SUMPRODUCT(MAX(ROW(E$2:E358)*(E358=E$2:E358)))))-COUNTBLANK(OFFSET(A$1,,,SUMPRODUCT(MAX(ROW(E$1:E357)*(E2=E$1:E357))))))</f>
        <v> </v>
      </c>
      <c r="K358" s="26" t="str">
        <f>IF(OR(E358="",E358="!!!",F358="NEW"),"",INDEX(J$1:J357,SUMPRODUCT(MAX(ROW(E$1:E357)*(E358=E$1:E357)))))</f>
        <v> </v>
      </c>
      <c r="L358" s="27"/>
    </row>
    <row r="359" spans="1:12">
      <c r="A359" s="20" t="s">
        <v>115</v>
      </c>
      <c r="E359" s="22">
        <f>IF(D359="?OLD","!!!","")</f>
        <v/>
      </c>
      <c r="F359" s="23" t="str">
        <f>IF(OR(E359="",E359="!!!"),"",IF(NOT(ISNA(VLOOKUP(E359,E$1:E358,1,FALSE()))),"OLD",IF(AND(E359&lt;&gt;"",E359&lt;&gt;"!!!"),"NEW","")))</f>
        <v> </v>
      </c>
      <c r="G359" s="24" t="str">
        <f>IF(OR(E359="",E359="!!!"),"",IF(OR(J359=0,AND(J359=1,K359=1),AND(J359=1,I359="SBJ"),AND(J359=1,I359=0)),"?IN_FOCUS",IF(J359&lt;=2,"?ACTIVATED",IF(J359&lt;&gt;"","?FAMILIAR",IF(F359="NEW",IF(ISNA(VLOOKUP(E359,#REF!,1,FALSE())),"?TYPE_IDENTIFIABLE","?REFERENTIAL"),"_")))))</f>
        <v> </v>
      </c>
      <c r="H359" s="25" t="str">
        <f>IF(J359&lt;&gt;1,"",IF(I359="SBJ","CB","?"))</f>
        <v> </v>
      </c>
      <c r="I359" s="26" t="str">
        <f>IF(OR(E359="",E359="!!!",F359="NEW"),"",INDEX(B358:B$2,-1+SUMPRODUCT(MAX(ROW(E358:E$2)*(E359=E358:E$2)))))</f>
        <v> </v>
      </c>
      <c r="J359" s="26" t="str">
        <f>IF(OR(E359="",E359="!!!",F359="NEW"),"",COUNTBLANK(OFFSET(A$1,,,SUMPRODUCT(MAX(ROW(E$2:E359)*(E359=E$2:E359)))))-COUNTBLANK(OFFSET(A$1,,,SUMPRODUCT(MAX(ROW(E$1:E358)*(E2=E$1:E358))))))</f>
        <v> </v>
      </c>
      <c r="K359" s="26" t="str">
        <f>IF(OR(E359="",E359="!!!",F359="NEW"),"",INDEX(J$1:J358,SUMPRODUCT(MAX(ROW(E$1:E358)*(E359=E$1:E358)))))</f>
        <v> </v>
      </c>
      <c r="L359" s="27"/>
    </row>
    <row r="360" spans="1:12">
      <c r="A360" s="20" t="s">
        <v>116</v>
      </c>
      <c r="B360" s="21" t="s">
        <v>107</v>
      </c>
      <c r="C360" s="21" t="s">
        <v>112</v>
      </c>
      <c r="D360" s="21" t="s">
        <v>102</v>
      </c>
      <c r="E360" s="22">
        <f>IF(D360="?OLD","!!!","")</f>
        <v/>
      </c>
      <c r="F360" s="23" t="str">
        <f>IF(OR(E360="",E360="!!!"),"",IF(NOT(ISNA(VLOOKUP(E360,E$1:E359,1,FALSE()))),"OLD",IF(AND(E360&lt;&gt;"",E360&lt;&gt;"!!!"),"NEW","")))</f>
        <v> </v>
      </c>
      <c r="G360" s="24" t="str">
        <f>IF(OR(E360="",E360="!!!"),"",IF(OR(J360=0,AND(J360=1,K360=1),AND(J360=1,I360="SBJ"),AND(J360=1,I360=0)),"?IN_FOCUS",IF(J360&lt;=2,"?ACTIVATED",IF(J360&lt;&gt;"","?FAMILIAR",IF(F360="NEW",IF(ISNA(VLOOKUP(E360,#REF!,1,FALSE())),"?TYPE_IDENTIFIABLE","?REFERENTIAL"),"_")))))</f>
        <v> </v>
      </c>
      <c r="H360" s="25" t="str">
        <f>IF(J360&lt;&gt;1,"",IF(I360="SBJ","CB","?"))</f>
        <v> </v>
      </c>
      <c r="I360" s="26" t="str">
        <f>IF(OR(E360="",E360="!!!",F360="NEW"),"",INDEX(B359:B$2,-1+SUMPRODUCT(MAX(ROW(E359:E$2)*(E360=E359:E$2)))))</f>
        <v> </v>
      </c>
      <c r="J360" s="26" t="str">
        <f>IF(OR(E360="",E360="!!!",F360="NEW"),"",COUNTBLANK(OFFSET(A$1,,,SUMPRODUCT(MAX(ROW(E$2:E360)*(E360=E$2:E360)))))-COUNTBLANK(OFFSET(A$1,,,SUMPRODUCT(MAX(ROW(E$1:E359)*(E2=E$1:E359))))))</f>
        <v> </v>
      </c>
      <c r="K360" s="26" t="str">
        <f>IF(OR(E360="",E360="!!!",F360="NEW"),"",INDEX(J$1:J359,SUMPRODUCT(MAX(ROW(E$1:E359)*(E360=E$1:E359)))))</f>
        <v> </v>
      </c>
      <c r="L360" s="27"/>
    </row>
    <row r="361" spans="1:12">
      <c r="A361" s="20" t="s">
        <v>117</v>
      </c>
      <c r="E361" s="22">
        <f>IF(D361="?OLD","!!!","")</f>
        <v/>
      </c>
      <c r="F361" s="23" t="str">
        <f>IF(OR(E361="",E361="!!!"),"",IF(NOT(ISNA(VLOOKUP(E361,E$1:E360,1,FALSE()))),"OLD",IF(AND(E361&lt;&gt;"",E361&lt;&gt;"!!!"),"NEW","")))</f>
        <v> </v>
      </c>
      <c r="G361" s="24" t="str">
        <f>IF(OR(E361="",E361="!!!"),"",IF(OR(J361=0,AND(J361=1,K361=1),AND(J361=1,I361="SBJ"),AND(J361=1,I361=0)),"?IN_FOCUS",IF(J361&lt;=2,"?ACTIVATED",IF(J361&lt;&gt;"","?FAMILIAR",IF(F361="NEW",IF(ISNA(VLOOKUP(E361,#REF!,1,FALSE())),"?TYPE_IDENTIFIABLE","?REFERENTIAL"),"_")))))</f>
        <v> </v>
      </c>
      <c r="H361" s="25" t="str">
        <f>IF(J361&lt;&gt;1,"",IF(I361="SBJ","CB","?"))</f>
        <v> </v>
      </c>
      <c r="I361" s="26" t="str">
        <f>IF(OR(E361="",E361="!!!",F361="NEW"),"",INDEX(B360:B$2,-1+SUMPRODUCT(MAX(ROW(E360:E$2)*(E361=E360:E$2)))))</f>
        <v> </v>
      </c>
      <c r="J361" s="26" t="str">
        <f>IF(OR(E361="",E361="!!!",F361="NEW"),"",COUNTBLANK(OFFSET(A$1,,,SUMPRODUCT(MAX(ROW(E$2:E361)*(E361=E$2:E361)))))-COUNTBLANK(OFFSET(A$1,,,SUMPRODUCT(MAX(ROW(E$1:E360)*(E2=E$1:E360))))))</f>
        <v> </v>
      </c>
      <c r="K361" s="26" t="str">
        <f>IF(OR(E361="",E361="!!!",F361="NEW"),"",INDEX(J$1:J360,SUMPRODUCT(MAX(ROW(E$1:E360)*(E361=E$1:E360)))))</f>
        <v> </v>
      </c>
      <c r="L361" s="27"/>
    </row>
    <row r="362" spans="1:12">
      <c r="A362" s="20" t="s">
        <v>118</v>
      </c>
      <c r="E362" s="22">
        <f>IF(D362="?OLD","!!!","")</f>
        <v/>
      </c>
      <c r="F362" s="23" t="str">
        <f>IF(OR(E362="",E362="!!!"),"",IF(NOT(ISNA(VLOOKUP(E362,E$1:E361,1,FALSE()))),"OLD",IF(AND(E362&lt;&gt;"",E362&lt;&gt;"!!!"),"NEW","")))</f>
        <v> </v>
      </c>
      <c r="G362" s="24" t="str">
        <f>IF(OR(E362="",E362="!!!"),"",IF(OR(J362=0,AND(J362=1,K362=1),AND(J362=1,I362="SBJ"),AND(J362=1,I362=0)),"?IN_FOCUS",IF(J362&lt;=2,"?ACTIVATED",IF(J362&lt;&gt;"","?FAMILIAR",IF(F362="NEW",IF(ISNA(VLOOKUP(E362,#REF!,1,FALSE())),"?TYPE_IDENTIFIABLE","?REFERENTIAL"),"_")))))</f>
        <v> </v>
      </c>
      <c r="H362" s="25" t="str">
        <f>IF(J362&lt;&gt;1,"",IF(I362="SBJ","CB","?"))</f>
        <v> </v>
      </c>
      <c r="I362" s="26" t="str">
        <f>IF(OR(E362="",E362="!!!",F362="NEW"),"",INDEX(B361:B$2,-1+SUMPRODUCT(MAX(ROW(E361:E$2)*(E362=E361:E$2)))))</f>
        <v> </v>
      </c>
      <c r="J362" s="26" t="str">
        <f>IF(OR(E362="",E362="!!!",F362="NEW"),"",COUNTBLANK(OFFSET(A$1,,,SUMPRODUCT(MAX(ROW(E$2:E362)*(E362=E$2:E362)))))-COUNTBLANK(OFFSET(A$1,,,SUMPRODUCT(MAX(ROW(E$1:E361)*(E2=E$1:E361))))))</f>
        <v> </v>
      </c>
      <c r="K362" s="26" t="str">
        <f>IF(OR(E362="",E362="!!!",F362="NEW"),"",INDEX(J$1:J361,SUMPRODUCT(MAX(ROW(E$1:E361)*(E362=E$1:E361)))))</f>
        <v> </v>
      </c>
      <c r="L362" s="27"/>
    </row>
    <row r="363" spans="1:12">
      <c r="A363" s="20" t="s">
        <v>119</v>
      </c>
      <c r="B363" s="21" t="s">
        <v>195</v>
      </c>
      <c r="C363" s="21" t="s">
        <v>112</v>
      </c>
      <c r="D363" s="21" t="s">
        <v>102</v>
      </c>
      <c r="E363" s="22">
        <f>IF(D363="?OLD","!!!","")</f>
        <v/>
      </c>
      <c r="F363" s="23" t="str">
        <f>IF(OR(E363="",E363="!!!"),"",IF(NOT(ISNA(VLOOKUP(E363,E$1:E362,1,FALSE()))),"OLD",IF(AND(E363&lt;&gt;"",E363&lt;&gt;"!!!"),"NEW","")))</f>
        <v> </v>
      </c>
      <c r="G363" s="24" t="str">
        <f>IF(OR(E363="",E363="!!!"),"",IF(OR(J363=0,AND(J363=1,K363=1),AND(J363=1,I363="SBJ"),AND(J363=1,I363=0)),"?IN_FOCUS",IF(J363&lt;=2,"?ACTIVATED",IF(J363&lt;&gt;"","?FAMILIAR",IF(F363="NEW",IF(ISNA(VLOOKUP(E363,#REF!,1,FALSE())),"?TYPE_IDENTIFIABLE","?REFERENTIAL"),"_")))))</f>
        <v> </v>
      </c>
      <c r="H363" s="25" t="str">
        <f>IF(J363&lt;&gt;1,"",IF(I363="SBJ","CB","?"))</f>
        <v> </v>
      </c>
      <c r="I363" s="26" t="str">
        <f>IF(OR(E363="",E363="!!!",F363="NEW"),"",INDEX(B362:B$2,-1+SUMPRODUCT(MAX(ROW(E362:E$2)*(E363=E362:E$2)))))</f>
        <v> </v>
      </c>
      <c r="J363" s="26" t="str">
        <f>IF(OR(E363="",E363="!!!",F363="NEW"),"",COUNTBLANK(OFFSET(A$1,,,SUMPRODUCT(MAX(ROW(E$2:E363)*(E363=E$2:E363)))))-COUNTBLANK(OFFSET(A$1,,,SUMPRODUCT(MAX(ROW(E$1:E362)*(E2=E$1:E362))))))</f>
        <v> </v>
      </c>
      <c r="K363" s="26" t="str">
        <f>IF(OR(E363="",E363="!!!",F363="NEW"),"",INDEX(J$1:J362,SUMPRODUCT(MAX(ROW(E$1:E362)*(E363=E$1:E362)))))</f>
        <v> </v>
      </c>
      <c r="L363" s="27"/>
    </row>
    <row r="364" spans="1:12">
      <c r="A364" s="20" t="s">
        <v>121</v>
      </c>
      <c r="E364" s="22">
        <f>IF(D364="?OLD","!!!","")</f>
        <v/>
      </c>
      <c r="F364" s="23" t="str">
        <f>IF(OR(E364="",E364="!!!"),"",IF(NOT(ISNA(VLOOKUP(E364,E$1:E363,1,FALSE()))),"OLD",IF(AND(E364&lt;&gt;"",E364&lt;&gt;"!!!"),"NEW","")))</f>
        <v> </v>
      </c>
      <c r="G364" s="24" t="str">
        <f>IF(OR(E364="",E364="!!!"),"",IF(OR(J364=0,AND(J364=1,K364=1),AND(J364=1,I364="SBJ"),AND(J364=1,I364=0)),"?IN_FOCUS",IF(J364&lt;=2,"?ACTIVATED",IF(J364&lt;&gt;"","?FAMILIAR",IF(F364="NEW",IF(ISNA(VLOOKUP(E364,#REF!,1,FALSE())),"?TYPE_IDENTIFIABLE","?REFERENTIAL"),"_")))))</f>
        <v> </v>
      </c>
      <c r="H364" s="25" t="str">
        <f>IF(J364&lt;&gt;1,"",IF(I364="SBJ","CB","?"))</f>
        <v> </v>
      </c>
      <c r="I364" s="26" t="str">
        <f>IF(OR(E364="",E364="!!!",F364="NEW"),"",INDEX(B363:B$2,-1+SUMPRODUCT(MAX(ROW(E363:E$2)*(E364=E363:E$2)))))</f>
        <v> </v>
      </c>
      <c r="J364" s="26" t="str">
        <f>IF(OR(E364="",E364="!!!",F364="NEW"),"",COUNTBLANK(OFFSET(A$1,,,SUMPRODUCT(MAX(ROW(E$2:E364)*(E364=E$2:E364)))))-COUNTBLANK(OFFSET(A$1,,,SUMPRODUCT(MAX(ROW(E$1:E363)*(E2=E$1:E363))))))</f>
        <v> </v>
      </c>
      <c r="K364" s="26" t="str">
        <f>IF(OR(E364="",E364="!!!",F364="NEW"),"",INDEX(J$1:J363,SUMPRODUCT(MAX(ROW(E$1:E363)*(E364=E$1:E363)))))</f>
        <v> </v>
      </c>
      <c r="L364" s="27"/>
    </row>
    <row r="365" spans="1:12">
      <c r="A365" s="20" t="s">
        <v>324</v>
      </c>
      <c r="E365" s="22">
        <f>IF(D365="?OLD","!!!","")</f>
        <v/>
      </c>
      <c r="F365" s="23" t="str">
        <f>IF(OR(E365="",E365="!!!"),"",IF(NOT(ISNA(VLOOKUP(E365,E$1:E364,1,FALSE()))),"OLD",IF(AND(E365&lt;&gt;"",E365&lt;&gt;"!!!"),"NEW","")))</f>
        <v> </v>
      </c>
      <c r="G365" s="24" t="str">
        <f>IF(OR(E365="",E365="!!!"),"",IF(OR(J365=0,AND(J365=1,K365=1),AND(J365=1,I365="SBJ"),AND(J365=1,I365=0)),"?IN_FOCUS",IF(J365&lt;=2,"?ACTIVATED",IF(J365&lt;&gt;"","?FAMILIAR",IF(F365="NEW",IF(ISNA(VLOOKUP(E365,#REF!,1,FALSE())),"?TYPE_IDENTIFIABLE","?REFERENTIAL"),"_")))))</f>
        <v> </v>
      </c>
      <c r="H365" s="25" t="str">
        <f>IF(J365&lt;&gt;1,"",IF(I365="SBJ","CB","?"))</f>
        <v> </v>
      </c>
      <c r="I365" s="26" t="str">
        <f>IF(OR(E365="",E365="!!!",F365="NEW"),"",INDEX(B364:B$2,-1+SUMPRODUCT(MAX(ROW(E364:E$2)*(E365=E364:E$2)))))</f>
        <v> </v>
      </c>
      <c r="J365" s="26" t="str">
        <f>IF(OR(E365="",E365="!!!",F365="NEW"),"",COUNTBLANK(OFFSET(A$1,,,SUMPRODUCT(MAX(ROW(E$2:E365)*(E365=E$2:E365)))))-COUNTBLANK(OFFSET(A$1,,,SUMPRODUCT(MAX(ROW(E$1:E364)*(E2=E$1:E364))))))</f>
        <v> </v>
      </c>
      <c r="K365" s="26" t="str">
        <f>IF(OR(E365="",E365="!!!",F365="NEW"),"",INDEX(J$1:J364,SUMPRODUCT(MAX(ROW(E$1:E364)*(E365=E$1:E364)))))</f>
        <v> </v>
      </c>
      <c r="L365" s="27"/>
    </row>
    <row r="366" spans="1:12">
      <c r="A366" s="20" t="s">
        <v>122</v>
      </c>
      <c r="B366" s="21" t="s">
        <v>120</v>
      </c>
      <c r="C366" s="21" t="s">
        <v>128</v>
      </c>
      <c r="E366" s="22">
        <f>IF(D366="?OLD","!!!","")</f>
        <v/>
      </c>
      <c r="F366" s="23" t="str">
        <f>IF(OR(E366="",E366="!!!"),"",IF(NOT(ISNA(VLOOKUP(E366,E$1:E365,1,FALSE()))),"OLD",IF(AND(E366&lt;&gt;"",E366&lt;&gt;"!!!"),"NEW","")))</f>
        <v> </v>
      </c>
      <c r="G366" s="24" t="str">
        <f>IF(OR(E366="",E366="!!!"),"",IF(OR(J366=0,AND(J366=1,K366=1),AND(J366=1,I366="SBJ"),AND(J366=1,I366=0)),"?IN_FOCUS",IF(J366&lt;=2,"?ACTIVATED",IF(J366&lt;&gt;"","?FAMILIAR",IF(F366="NEW",IF(ISNA(VLOOKUP(E366,#REF!,1,FALSE())),"?TYPE_IDENTIFIABLE","?REFERENTIAL"),"_")))))</f>
        <v> </v>
      </c>
      <c r="H366" s="25" t="str">
        <f>IF(J366&lt;&gt;1,"",IF(I366="SBJ","CB","?"))</f>
        <v> </v>
      </c>
      <c r="I366" s="26" t="str">
        <f>IF(OR(E366="",E366="!!!",F366="NEW"),"",INDEX(B365:B$2,-1+SUMPRODUCT(MAX(ROW(E365:E$2)*(E366=E365:E$2)))))</f>
        <v> </v>
      </c>
      <c r="J366" s="26" t="str">
        <f>IF(OR(E366="",E366="!!!",F366="NEW"),"",COUNTBLANK(OFFSET(A$1,,,SUMPRODUCT(MAX(ROW(E$2:E366)*(E366=E$2:E366)))))-COUNTBLANK(OFFSET(A$1,,,SUMPRODUCT(MAX(ROW(E$1:E365)*(E2=E$1:E365))))))</f>
        <v> </v>
      </c>
      <c r="K366" s="26" t="str">
        <f>IF(OR(E366="",E366="!!!",F366="NEW"),"",INDEX(J$1:J365,SUMPRODUCT(MAX(ROW(E$1:E365)*(E366=E$1:E365)))))</f>
        <v> </v>
      </c>
      <c r="L366" s="27"/>
    </row>
    <row r="367" spans="1:12">
      <c r="A367" s="20" t="s">
        <v>208</v>
      </c>
      <c r="E367" s="22">
        <f>IF(D367="?OLD","!!!","")</f>
        <v/>
      </c>
      <c r="F367" s="23" t="str">
        <f>IF(OR(E367="",E367="!!!"),"",IF(NOT(ISNA(VLOOKUP(E367,E$1:E366,1,FALSE()))),"OLD",IF(AND(E367&lt;&gt;"",E367&lt;&gt;"!!!"),"NEW","")))</f>
        <v> </v>
      </c>
      <c r="G367" s="24" t="str">
        <f>IF(OR(E367="",E367="!!!"),"",IF(OR(J367=0,AND(J367=1,K367=1),AND(J367=1,I367="SBJ"),AND(J367=1,I367=0)),"?IN_FOCUS",IF(J367&lt;=2,"?ACTIVATED",IF(J367&lt;&gt;"","?FAMILIAR",IF(F367="NEW",IF(ISNA(VLOOKUP(E367,#REF!,1,FALSE())),"?TYPE_IDENTIFIABLE","?REFERENTIAL"),"_")))))</f>
        <v> </v>
      </c>
      <c r="H367" s="25" t="str">
        <f>IF(J367&lt;&gt;1,"",IF(I367="SBJ","CB","?"))</f>
        <v> </v>
      </c>
      <c r="I367" s="26" t="str">
        <f>IF(OR(E367="",E367="!!!",F367="NEW"),"",INDEX(B366:B$2,-1+SUMPRODUCT(MAX(ROW(E366:E$2)*(E367=E366:E$2)))))</f>
        <v> </v>
      </c>
      <c r="J367" s="26" t="str">
        <f>IF(OR(E367="",E367="!!!",F367="NEW"),"",COUNTBLANK(OFFSET(A$1,,,SUMPRODUCT(MAX(ROW(E$2:E367)*(E367=E$2:E367)))))-COUNTBLANK(OFFSET(A$1,,,SUMPRODUCT(MAX(ROW(E$1:E366)*(E2=E$1:E366))))))</f>
        <v> </v>
      </c>
      <c r="K367" s="26" t="str">
        <f>IF(OR(E367="",E367="!!!",F367="NEW"),"",INDEX(J$1:J366,SUMPRODUCT(MAX(ROW(E$1:E366)*(E367=E$1:E366)))))</f>
        <v> </v>
      </c>
      <c r="L367" s="27"/>
    </row>
    <row r="368" spans="1:12">
      <c r="A368" s="20" t="s">
        <v>125</v>
      </c>
      <c r="E368" s="22">
        <f>IF(D368="?OLD","!!!","")</f>
        <v/>
      </c>
      <c r="F368" s="23" t="str">
        <f>IF(OR(E368="",E368="!!!"),"",IF(NOT(ISNA(VLOOKUP(E368,E$1:E367,1,FALSE()))),"OLD",IF(AND(E368&lt;&gt;"",E368&lt;&gt;"!!!"),"NEW","")))</f>
        <v> </v>
      </c>
      <c r="G368" s="24" t="str">
        <f>IF(OR(E368="",E368="!!!"),"",IF(OR(J368=0,AND(J368=1,K368=1),AND(J368=1,I368="SBJ"),AND(J368=1,I368=0)),"?IN_FOCUS",IF(J368&lt;=2,"?ACTIVATED",IF(J368&lt;&gt;"","?FAMILIAR",IF(F368="NEW",IF(ISNA(VLOOKUP(E368,#REF!,1,FALSE())),"?TYPE_IDENTIFIABLE","?REFERENTIAL"),"_")))))</f>
        <v> </v>
      </c>
      <c r="H368" s="25" t="str">
        <f>IF(J368&lt;&gt;1,"",IF(I368="SBJ","CB","?"))</f>
        <v> </v>
      </c>
      <c r="I368" s="26" t="str">
        <f>IF(OR(E368="",E368="!!!",F368="NEW"),"",INDEX(B367:B$2,-1+SUMPRODUCT(MAX(ROW(E367:E$2)*(E368=E367:E$2)))))</f>
        <v> </v>
      </c>
      <c r="J368" s="26" t="str">
        <f>IF(OR(E368="",E368="!!!",F368="NEW"),"",COUNTBLANK(OFFSET(A$1,,,SUMPRODUCT(MAX(ROW(E$2:E368)*(E368=E$2:E368)))))-COUNTBLANK(OFFSET(A$1,,,SUMPRODUCT(MAX(ROW(E$1:E367)*(E2=E$1:E367))))))</f>
        <v> </v>
      </c>
      <c r="K368" s="26" t="str">
        <f>IF(OR(E368="",E368="!!!",F368="NEW"),"",INDEX(J$1:J367,SUMPRODUCT(MAX(ROW(E$1:E367)*(E368=E$1:E367)))))</f>
        <v> </v>
      </c>
      <c r="L368" s="27"/>
    </row>
    <row r="369" spans="1:12">
      <c r="A369" s="20" t="s">
        <v>126</v>
      </c>
      <c r="B369" s="21" t="s">
        <v>123</v>
      </c>
      <c r="C369" s="21" t="s">
        <v>112</v>
      </c>
      <c r="D369" s="21" t="s">
        <v>102</v>
      </c>
      <c r="E369" s="22">
        <f>IF(D369="?OLD","!!!","")</f>
        <v/>
      </c>
      <c r="F369" s="23" t="str">
        <f>IF(OR(E369="",E369="!!!"),"",IF(NOT(ISNA(VLOOKUP(E369,E$1:E368,1,FALSE()))),"OLD",IF(AND(E369&lt;&gt;"",E369&lt;&gt;"!!!"),"NEW","")))</f>
        <v> </v>
      </c>
      <c r="G369" s="24" t="str">
        <f>IF(OR(E369="",E369="!!!"),"",IF(OR(J369=0,AND(J369=1,K369=1),AND(J369=1,I369="SBJ"),AND(J369=1,I369=0)),"?IN_FOCUS",IF(J369&lt;=2,"?ACTIVATED",IF(J369&lt;&gt;"","?FAMILIAR",IF(F369="NEW",IF(ISNA(VLOOKUP(E369,#REF!,1,FALSE())),"?TYPE_IDENTIFIABLE","?REFERENTIAL"),"_")))))</f>
        <v> </v>
      </c>
      <c r="H369" s="25" t="str">
        <f>IF(J369&lt;&gt;1,"",IF(I369="SBJ","CB","?"))</f>
        <v> </v>
      </c>
      <c r="I369" s="26" t="str">
        <f>IF(OR(E369="",E369="!!!",F369="NEW"),"",INDEX(B368:B$2,-1+SUMPRODUCT(MAX(ROW(E368:E$2)*(E369=E368:E$2)))))</f>
        <v> </v>
      </c>
      <c r="J369" s="26" t="str">
        <f>IF(OR(E369="",E369="!!!",F369="NEW"),"",COUNTBLANK(OFFSET(A$1,,,SUMPRODUCT(MAX(ROW(E$2:E369)*(E369=E$2:E369)))))-COUNTBLANK(OFFSET(A$1,,,SUMPRODUCT(MAX(ROW(E$1:E368)*(E2=E$1:E368))))))</f>
        <v> </v>
      </c>
      <c r="K369" s="26" t="str">
        <f>IF(OR(E369="",E369="!!!",F369="NEW"),"",INDEX(J$1:J368,SUMPRODUCT(MAX(ROW(E$1:E368)*(E369=E$1:E368)))))</f>
        <v> </v>
      </c>
      <c r="L369" s="27"/>
    </row>
    <row r="370" spans="1:12">
      <c r="A370" s="20" t="s">
        <v>129</v>
      </c>
      <c r="E370" s="22">
        <f>IF(D370="?OLD","!!!","")</f>
        <v/>
      </c>
      <c r="F370" s="23" t="str">
        <f>IF(OR(E370="",E370="!!!"),"",IF(NOT(ISNA(VLOOKUP(E370,E$1:E369,1,FALSE()))),"OLD",IF(AND(E370&lt;&gt;"",E370&lt;&gt;"!!!"),"NEW","")))</f>
        <v> </v>
      </c>
      <c r="G370" s="24" t="str">
        <f>IF(OR(E370="",E370="!!!"),"",IF(OR(J370=0,AND(J370=1,K370=1),AND(J370=1,I370="SBJ"),AND(J370=1,I370=0)),"?IN_FOCUS",IF(J370&lt;=2,"?ACTIVATED",IF(J370&lt;&gt;"","?FAMILIAR",IF(F370="NEW",IF(ISNA(VLOOKUP(E370,#REF!,1,FALSE())),"?TYPE_IDENTIFIABLE","?REFERENTIAL"),"_")))))</f>
        <v> </v>
      </c>
      <c r="H370" s="25" t="str">
        <f>IF(J370&lt;&gt;1,"",IF(I370="SBJ","CB","?"))</f>
        <v> </v>
      </c>
      <c r="I370" s="26" t="str">
        <f>IF(OR(E370="",E370="!!!",F370="NEW"),"",INDEX(B369:B$2,-1+SUMPRODUCT(MAX(ROW(E369:E$2)*(E370=E369:E$2)))))</f>
        <v> </v>
      </c>
      <c r="J370" s="26" t="str">
        <f>IF(OR(E370="",E370="!!!",F370="NEW"),"",COUNTBLANK(OFFSET(A$1,,,SUMPRODUCT(MAX(ROW(E$2:E370)*(E370=E$2:E370)))))-COUNTBLANK(OFFSET(A$1,,,SUMPRODUCT(MAX(ROW(E$1:E369)*(E2=E$1:E369))))))</f>
        <v> </v>
      </c>
      <c r="K370" s="26" t="str">
        <f>IF(OR(E370="",E370="!!!",F370="NEW"),"",INDEX(J$1:J369,SUMPRODUCT(MAX(ROW(E$1:E369)*(E370=E$1:E369)))))</f>
        <v> </v>
      </c>
      <c r="L370" s="27"/>
    </row>
    <row r="371" spans="1:12">
      <c r="A371" s="20" t="s">
        <v>115</v>
      </c>
      <c r="E371" s="22">
        <f>IF(D371="?OLD","!!!","")</f>
        <v/>
      </c>
      <c r="F371" s="23" t="str">
        <f>IF(OR(E371="",E371="!!!"),"",IF(NOT(ISNA(VLOOKUP(E371,E$1:E370,1,FALSE()))),"OLD",IF(AND(E371&lt;&gt;"",E371&lt;&gt;"!!!"),"NEW","")))</f>
        <v> </v>
      </c>
      <c r="G371" s="24" t="str">
        <f>IF(OR(E371="",E371="!!!"),"",IF(OR(J371=0,AND(J371=1,K371=1),AND(J371=1,I371="SBJ"),AND(J371=1,I371=0)),"?IN_FOCUS",IF(J371&lt;=2,"?ACTIVATED",IF(J371&lt;&gt;"","?FAMILIAR",IF(F371="NEW",IF(ISNA(VLOOKUP(E371,#REF!,1,FALSE())),"?TYPE_IDENTIFIABLE","?REFERENTIAL"),"_")))))</f>
        <v> </v>
      </c>
      <c r="H371" s="25" t="str">
        <f>IF(J371&lt;&gt;1,"",IF(I371="SBJ","CB","?"))</f>
        <v> </v>
      </c>
      <c r="I371" s="26" t="str">
        <f>IF(OR(E371="",E371="!!!",F371="NEW"),"",INDEX(B370:B$2,-1+SUMPRODUCT(MAX(ROW(E370:E$2)*(E371=E370:E$2)))))</f>
        <v> </v>
      </c>
      <c r="J371" s="26" t="str">
        <f>IF(OR(E371="",E371="!!!",F371="NEW"),"",COUNTBLANK(OFFSET(A$1,,,SUMPRODUCT(MAX(ROW(E$2:E371)*(E371=E$2:E371)))))-COUNTBLANK(OFFSET(A$1,,,SUMPRODUCT(MAX(ROW(E$1:E370)*(E2=E$1:E370))))))</f>
        <v> </v>
      </c>
      <c r="K371" s="26" t="str">
        <f>IF(OR(E371="",E371="!!!",F371="NEW"),"",INDEX(J$1:J370,SUMPRODUCT(MAX(ROW(E$1:E370)*(E371=E$1:E370)))))</f>
        <v> </v>
      </c>
      <c r="L371" s="27"/>
    </row>
    <row r="372" spans="1:12">
      <c r="A372" s="20" t="s">
        <v>130</v>
      </c>
      <c r="B372" s="21" t="s">
        <v>120</v>
      </c>
      <c r="C372" s="21" t="s">
        <v>131</v>
      </c>
      <c r="D372" s="21" t="s">
        <v>102</v>
      </c>
      <c r="E372" s="22">
        <f>IF(D372="?OLD","!!!","")</f>
        <v/>
      </c>
      <c r="F372" s="23" t="str">
        <f>IF(OR(E372="",E372="!!!"),"",IF(NOT(ISNA(VLOOKUP(E372,E$1:E371,1,FALSE()))),"OLD",IF(AND(E372&lt;&gt;"",E372&lt;&gt;"!!!"),"NEW","")))</f>
        <v> </v>
      </c>
      <c r="G372" s="24" t="str">
        <f>IF(OR(E372="",E372="!!!"),"",IF(OR(J372=0,AND(J372=1,K372=1),AND(J372=1,I372="SBJ"),AND(J372=1,I372=0)),"?IN_FOCUS",IF(J372&lt;=2,"?ACTIVATED",IF(J372&lt;&gt;"","?FAMILIAR",IF(F372="NEW",IF(ISNA(VLOOKUP(E372,#REF!,1,FALSE())),"?TYPE_IDENTIFIABLE","?REFERENTIAL"),"_")))))</f>
        <v> </v>
      </c>
      <c r="H372" s="25" t="str">
        <f>IF(J372&lt;&gt;1,"",IF(I372="SBJ","CB","?"))</f>
        <v> </v>
      </c>
      <c r="I372" s="26" t="str">
        <f>IF(OR(E372="",E372="!!!",F372="NEW"),"",INDEX(B371:B$2,-1+SUMPRODUCT(MAX(ROW(E371:E$2)*(E372=E371:E$2)))))</f>
        <v> </v>
      </c>
      <c r="J372" s="26" t="str">
        <f>IF(OR(E372="",E372="!!!",F372="NEW"),"",COUNTBLANK(OFFSET(A$1,,,SUMPRODUCT(MAX(ROW(E$2:E372)*(E372=E$2:E372)))))-COUNTBLANK(OFFSET(A$1,,,SUMPRODUCT(MAX(ROW(E$1:E371)*(E2=E$1:E371))))))</f>
        <v> </v>
      </c>
      <c r="K372" s="26" t="str">
        <f>IF(OR(E372="",E372="!!!",F372="NEW"),"",INDEX(J$1:J371,SUMPRODUCT(MAX(ROW(E$1:E371)*(E372=E$1:E371)))))</f>
        <v> </v>
      </c>
      <c r="L372" s="27"/>
    </row>
    <row r="373" spans="1:12">
      <c r="A373" s="20" t="s">
        <v>132</v>
      </c>
      <c r="E373" s="22">
        <f>IF(D373="?OLD","!!!","")</f>
        <v/>
      </c>
      <c r="F373" s="23" t="str">
        <f>IF(OR(E373="",E373="!!!"),"",IF(NOT(ISNA(VLOOKUP(E373,E$1:E372,1,FALSE()))),"OLD",IF(AND(E373&lt;&gt;"",E373&lt;&gt;"!!!"),"NEW","")))</f>
        <v> </v>
      </c>
      <c r="G373" s="24" t="str">
        <f>IF(OR(E373="",E373="!!!"),"",IF(OR(J373=0,AND(J373=1,K373=1),AND(J373=1,I373="SBJ"),AND(J373=1,I373=0)),"?IN_FOCUS",IF(J373&lt;=2,"?ACTIVATED",IF(J373&lt;&gt;"","?FAMILIAR",IF(F373="NEW",IF(ISNA(VLOOKUP(E373,#REF!,1,FALSE())),"?TYPE_IDENTIFIABLE","?REFERENTIAL"),"_")))))</f>
        <v> </v>
      </c>
      <c r="H373" s="25" t="str">
        <f>IF(J373&lt;&gt;1,"",IF(I373="SBJ","CB","?"))</f>
        <v> </v>
      </c>
      <c r="I373" s="26" t="str">
        <f>IF(OR(E373="",E373="!!!",F373="NEW"),"",INDEX(B372:B$2,-1+SUMPRODUCT(MAX(ROW(E372:E$2)*(E373=E372:E$2)))))</f>
        <v> </v>
      </c>
      <c r="J373" s="26" t="str">
        <f>IF(OR(E373="",E373="!!!",F373="NEW"),"",COUNTBLANK(OFFSET(A$1,,,SUMPRODUCT(MAX(ROW(E$2:E373)*(E373=E$2:E373)))))-COUNTBLANK(OFFSET(A$1,,,SUMPRODUCT(MAX(ROW(E$1:E372)*(E2=E$1:E372))))))</f>
        <v> </v>
      </c>
      <c r="K373" s="26" t="str">
        <f>IF(OR(E373="",E373="!!!",F373="NEW"),"",INDEX(J$1:J372,SUMPRODUCT(MAX(ROW(E$1:E372)*(E373=E$1:E372)))))</f>
        <v> </v>
      </c>
      <c r="L373" s="27"/>
    </row>
    <row r="374" spans="1:12">
      <c r="A374" s="20" t="s">
        <v>133</v>
      </c>
      <c r="E374" s="22">
        <f>IF(D374="?OLD","!!!","")</f>
        <v/>
      </c>
      <c r="F374" s="23" t="str">
        <f>IF(OR(E374="",E374="!!!"),"",IF(NOT(ISNA(VLOOKUP(E374,E$1:E373,1,FALSE()))),"OLD",IF(AND(E374&lt;&gt;"",E374&lt;&gt;"!!!"),"NEW","")))</f>
        <v> </v>
      </c>
      <c r="G374" s="24" t="str">
        <f>IF(OR(E374="",E374="!!!"),"",IF(OR(J374=0,AND(J374=1,K374=1),AND(J374=1,I374="SBJ"),AND(J374=1,I374=0)),"?IN_FOCUS",IF(J374&lt;=2,"?ACTIVATED",IF(J374&lt;&gt;"","?FAMILIAR",IF(F374="NEW",IF(ISNA(VLOOKUP(E374,#REF!,1,FALSE())),"?TYPE_IDENTIFIABLE","?REFERENTIAL"),"_")))))</f>
        <v> </v>
      </c>
      <c r="H374" s="25" t="str">
        <f>IF(J374&lt;&gt;1,"",IF(I374="SBJ","CB","?"))</f>
        <v> </v>
      </c>
      <c r="I374" s="26" t="str">
        <f>IF(OR(E374="",E374="!!!",F374="NEW"),"",INDEX(B373:B$2,-1+SUMPRODUCT(MAX(ROW(E373:E$2)*(E374=E373:E$2)))))</f>
        <v> </v>
      </c>
      <c r="J374" s="26" t="str">
        <f>IF(OR(E374="",E374="!!!",F374="NEW"),"",COUNTBLANK(OFFSET(A$1,,,SUMPRODUCT(MAX(ROW(E$2:E374)*(E374=E$2:E374)))))-COUNTBLANK(OFFSET(A$1,,,SUMPRODUCT(MAX(ROW(E$1:E373)*(E2=E$1:E373))))))</f>
        <v> </v>
      </c>
      <c r="K374" s="26" t="str">
        <f>IF(OR(E374="",E374="!!!",F374="NEW"),"",INDEX(J$1:J373,SUMPRODUCT(MAX(ROW(E$1:E373)*(E374=E$1:E373)))))</f>
        <v> </v>
      </c>
      <c r="L374" s="27"/>
    </row>
    <row r="375" spans="1:12">
      <c r="A375" s="20" t="s">
        <v>134</v>
      </c>
      <c r="E375" s="22">
        <f>IF(D375="?OLD","!!!","")</f>
        <v/>
      </c>
      <c r="F375" s="23" t="str">
        <f>IF(OR(E375="",E375="!!!"),"",IF(NOT(ISNA(VLOOKUP(E375,E$1:E374,1,FALSE()))),"OLD",IF(AND(E375&lt;&gt;"",E375&lt;&gt;"!!!"),"NEW","")))</f>
        <v> </v>
      </c>
      <c r="G375" s="24" t="str">
        <f>IF(OR(E375="",E375="!!!"),"",IF(OR(J375=0,AND(J375=1,K375=1),AND(J375=1,I375="SBJ"),AND(J375=1,I375=0)),"?IN_FOCUS",IF(J375&lt;=2,"?ACTIVATED",IF(J375&lt;&gt;"","?FAMILIAR",IF(F375="NEW",IF(ISNA(VLOOKUP(E375,#REF!,1,FALSE())),"?TYPE_IDENTIFIABLE","?REFERENTIAL"),"_")))))</f>
        <v> </v>
      </c>
      <c r="H375" s="25" t="str">
        <f>IF(J375&lt;&gt;1,"",IF(I375="SBJ","CB","?"))</f>
        <v> </v>
      </c>
      <c r="I375" s="26" t="str">
        <f>IF(OR(E375="",E375="!!!",F375="NEW"),"",INDEX(B374:B$2,-1+SUMPRODUCT(MAX(ROW(E374:E$2)*(E375=E374:E$2)))))</f>
        <v> </v>
      </c>
      <c r="J375" s="26" t="str">
        <f>IF(OR(E375="",E375="!!!",F375="NEW"),"",COUNTBLANK(OFFSET(A$1,,,SUMPRODUCT(MAX(ROW(E$2:E375)*(E375=E$2:E375)))))-COUNTBLANK(OFFSET(A$1,,,SUMPRODUCT(MAX(ROW(E$1:E374)*(E2=E$1:E374))))))</f>
        <v> </v>
      </c>
      <c r="K375" s="26" t="str">
        <f>IF(OR(E375="",E375="!!!",F375="NEW"),"",INDEX(J$1:J374,SUMPRODUCT(MAX(ROW(E$1:E374)*(E375=E$1:E374)))))</f>
        <v> </v>
      </c>
      <c r="L375" s="27"/>
    </row>
    <row r="376" spans="1:12">
      <c r="A376" s="20" t="s">
        <v>135</v>
      </c>
      <c r="B376" s="21" t="s">
        <v>123</v>
      </c>
      <c r="C376" s="21" t="s">
        <v>104</v>
      </c>
      <c r="D376" s="21" t="s">
        <v>102</v>
      </c>
      <c r="E376" s="22">
        <f>IF(D376="?OLD","!!!","")</f>
        <v/>
      </c>
      <c r="F376" s="23" t="str">
        <f>IF(OR(E376="",E376="!!!"),"",IF(NOT(ISNA(VLOOKUP(E376,E$1:E375,1,FALSE()))),"OLD",IF(AND(E376&lt;&gt;"",E376&lt;&gt;"!!!"),"NEW","")))</f>
        <v> </v>
      </c>
      <c r="G376" s="24" t="str">
        <f>IF(OR(E376="",E376="!!!"),"",IF(OR(J376=0,AND(J376=1,K376=1),AND(J376=1,I376="SBJ"),AND(J376=1,I376=0)),"?IN_FOCUS",IF(J376&lt;=2,"?ACTIVATED",IF(J376&lt;&gt;"","?FAMILIAR",IF(F376="NEW",IF(ISNA(VLOOKUP(E376,#REF!,1,FALSE())),"?TYPE_IDENTIFIABLE","?REFERENTIAL"),"_")))))</f>
        <v> </v>
      </c>
      <c r="H376" s="25" t="str">
        <f>IF(J376&lt;&gt;1,"",IF(I376="SBJ","CB","?"))</f>
        <v> </v>
      </c>
      <c r="I376" s="26" t="str">
        <f>IF(OR(E376="",E376="!!!",F376="NEW"),"",INDEX(B375:B$2,-1+SUMPRODUCT(MAX(ROW(E375:E$2)*(E376=E375:E$2)))))</f>
        <v> </v>
      </c>
      <c r="J376" s="26" t="str">
        <f>IF(OR(E376="",E376="!!!",F376="NEW"),"",COUNTBLANK(OFFSET(A$1,,,SUMPRODUCT(MAX(ROW(E$2:E376)*(E376=E$2:E376)))))-COUNTBLANK(OFFSET(A$1,,,SUMPRODUCT(MAX(ROW(E$1:E375)*(E2=E$1:E375))))))</f>
        <v> </v>
      </c>
      <c r="K376" s="26" t="str">
        <f>IF(OR(E376="",E376="!!!",F376="NEW"),"",INDEX(J$1:J375,SUMPRODUCT(MAX(ROW(E$1:E375)*(E376=E$1:E375)))))</f>
        <v> </v>
      </c>
      <c r="L376" s="27"/>
    </row>
    <row r="377" spans="1:12">
      <c r="A377" s="20" t="s">
        <v>136</v>
      </c>
      <c r="E377" s="22">
        <f>IF(D377="?OLD","!!!","")</f>
        <v/>
      </c>
      <c r="F377" s="23" t="str">
        <f>IF(OR(E377="",E377="!!!"),"",IF(NOT(ISNA(VLOOKUP(E377,E$1:E376,1,FALSE()))),"OLD",IF(AND(E377&lt;&gt;"",E377&lt;&gt;"!!!"),"NEW","")))</f>
        <v> </v>
      </c>
      <c r="G377" s="24" t="str">
        <f>IF(OR(E377="",E377="!!!"),"",IF(OR(J377=0,AND(J377=1,K377=1),AND(J377=1,I377="SBJ"),AND(J377=1,I377=0)),"?IN_FOCUS",IF(J377&lt;=2,"?ACTIVATED",IF(J377&lt;&gt;"","?FAMILIAR",IF(F377="NEW",IF(ISNA(VLOOKUP(E377,#REF!,1,FALSE())),"?TYPE_IDENTIFIABLE","?REFERENTIAL"),"_")))))</f>
        <v> </v>
      </c>
      <c r="H377" s="25" t="str">
        <f>IF(J377&lt;&gt;1,"",IF(I377="SBJ","CB","?"))</f>
        <v> </v>
      </c>
      <c r="I377" s="26" t="str">
        <f>IF(OR(E377="",E377="!!!",F377="NEW"),"",INDEX(B376:B$2,-1+SUMPRODUCT(MAX(ROW(E376:E$2)*(E377=E376:E$2)))))</f>
        <v> </v>
      </c>
      <c r="J377" s="26" t="str">
        <f>IF(OR(E377="",E377="!!!",F377="NEW"),"",COUNTBLANK(OFFSET(A$1,,,SUMPRODUCT(MAX(ROW(E$2:E377)*(E377=E$2:E377)))))-COUNTBLANK(OFFSET(A$1,,,SUMPRODUCT(MAX(ROW(E$1:E376)*(E2=E$1:E376))))))</f>
        <v> </v>
      </c>
      <c r="K377" s="26" t="str">
        <f>IF(OR(E377="",E377="!!!",F377="NEW"),"",INDEX(J$1:J376,SUMPRODUCT(MAX(ROW(E$1:E376)*(E377=E$1:E376)))))</f>
        <v> </v>
      </c>
      <c r="L377" s="27"/>
    </row>
    <row r="378" spans="1:12">
      <c r="A378" s="20" t="s">
        <v>137</v>
      </c>
      <c r="E378" s="22">
        <f>IF(D378="?OLD","!!!","")</f>
        <v/>
      </c>
      <c r="F378" s="23" t="str">
        <f>IF(OR(E378="",E378="!!!"),"",IF(NOT(ISNA(VLOOKUP(E378,E$1:E377,1,FALSE()))),"OLD",IF(AND(E378&lt;&gt;"",E378&lt;&gt;"!!!"),"NEW","")))</f>
        <v> </v>
      </c>
      <c r="G378" s="24" t="str">
        <f>IF(OR(E378="",E378="!!!"),"",IF(OR(J378=0,AND(J378=1,K378=1),AND(J378=1,I378="SBJ"),AND(J378=1,I378=0)),"?IN_FOCUS",IF(J378&lt;=2,"?ACTIVATED",IF(J378&lt;&gt;"","?FAMILIAR",IF(F378="NEW",IF(ISNA(VLOOKUP(E378,#REF!,1,FALSE())),"?TYPE_IDENTIFIABLE","?REFERENTIAL"),"_")))))</f>
        <v> </v>
      </c>
      <c r="H378" s="25" t="str">
        <f>IF(J378&lt;&gt;1,"",IF(I378="SBJ","CB","?"))</f>
        <v> </v>
      </c>
      <c r="I378" s="26" t="str">
        <f>IF(OR(E378="",E378="!!!",F378="NEW"),"",INDEX(B377:B$2,-1+SUMPRODUCT(MAX(ROW(E377:E$2)*(E378=E377:E$2)))))</f>
        <v> </v>
      </c>
      <c r="J378" s="26" t="str">
        <f>IF(OR(E378="",E378="!!!",F378="NEW"),"",COUNTBLANK(OFFSET(A$1,,,SUMPRODUCT(MAX(ROW(E$2:E378)*(E378=E$2:E378)))))-COUNTBLANK(OFFSET(A$1,,,SUMPRODUCT(MAX(ROW(E$1:E377)*(E2=E$1:E377))))))</f>
        <v> </v>
      </c>
      <c r="K378" s="26" t="str">
        <f>IF(OR(E378="",E378="!!!",F378="NEW"),"",INDEX(J$1:J377,SUMPRODUCT(MAX(ROW(E$1:E377)*(E378=E$1:E377)))))</f>
        <v> </v>
      </c>
      <c r="L378" s="27"/>
    </row>
    <row r="379" spans="1:12">
      <c r="A379" s="20" t="s">
        <v>138</v>
      </c>
      <c r="E379" s="22">
        <f>IF(D379="?OLD","!!!","")</f>
        <v/>
      </c>
      <c r="F379" s="23" t="str">
        <f>IF(OR(E379="",E379="!!!"),"",IF(NOT(ISNA(VLOOKUP(E379,E$1:E378,1,FALSE()))),"OLD",IF(AND(E379&lt;&gt;"",E379&lt;&gt;"!!!"),"NEW","")))</f>
        <v> </v>
      </c>
      <c r="G379" s="24" t="str">
        <f>IF(OR(E379="",E379="!!!"),"",IF(OR(J379=0,AND(J379=1,K379=1),AND(J379=1,I379="SBJ"),AND(J379=1,I379=0)),"?IN_FOCUS",IF(J379&lt;=2,"?ACTIVATED",IF(J379&lt;&gt;"","?FAMILIAR",IF(F379="NEW",IF(ISNA(VLOOKUP(E379,#REF!,1,FALSE())),"?TYPE_IDENTIFIABLE","?REFERENTIAL"),"_")))))</f>
        <v> </v>
      </c>
      <c r="H379" s="25" t="str">
        <f>IF(J379&lt;&gt;1,"",IF(I379="SBJ","CB","?"))</f>
        <v> </v>
      </c>
      <c r="I379" s="26" t="str">
        <f>IF(OR(E379="",E379="!!!",F379="NEW"),"",INDEX(B378:B$2,-1+SUMPRODUCT(MAX(ROW(E378:E$2)*(E379=E378:E$2)))))</f>
        <v> </v>
      </c>
      <c r="J379" s="26" t="str">
        <f>IF(OR(E379="",E379="!!!",F379="NEW"),"",COUNTBLANK(OFFSET(A$1,,,SUMPRODUCT(MAX(ROW(E$2:E379)*(E379=E$2:E379)))))-COUNTBLANK(OFFSET(A$1,,,SUMPRODUCT(MAX(ROW(E$1:E378)*(E2=E$1:E378))))))</f>
        <v> </v>
      </c>
      <c r="K379" s="26" t="str">
        <f>IF(OR(E379="",E379="!!!",F379="NEW"),"",INDEX(J$1:J378,SUMPRODUCT(MAX(ROW(E$1:E378)*(E379=E$1:E378)))))</f>
        <v> </v>
      </c>
      <c r="L379" s="27"/>
    </row>
    <row r="380" spans="1:12">
      <c r="A380" s="20" t="s">
        <v>155</v>
      </c>
      <c r="E380" s="22">
        <f>IF(D380="?OLD","!!!","")</f>
        <v/>
      </c>
      <c r="F380" s="23" t="str">
        <f>IF(OR(E380="",E380="!!!"),"",IF(NOT(ISNA(VLOOKUP(E380,E$1:E379,1,FALSE()))),"OLD",IF(AND(E380&lt;&gt;"",E380&lt;&gt;"!!!"),"NEW","")))</f>
        <v> </v>
      </c>
      <c r="G380" s="24" t="str">
        <f>IF(OR(E380="",E380="!!!"),"",IF(OR(J380=0,AND(J380=1,K380=1),AND(J380=1,I380="SBJ"),AND(J380=1,I380=0)),"?IN_FOCUS",IF(J380&lt;=2,"?ACTIVATED",IF(J380&lt;&gt;"","?FAMILIAR",IF(F380="NEW",IF(ISNA(VLOOKUP(E380,#REF!,1,FALSE())),"?TYPE_IDENTIFIABLE","?REFERENTIAL"),"_")))))</f>
        <v> </v>
      </c>
      <c r="H380" s="25" t="str">
        <f>IF(J380&lt;&gt;1,"",IF(I380="SBJ","CB","?"))</f>
        <v> </v>
      </c>
      <c r="I380" s="26" t="str">
        <f>IF(OR(E380="",E380="!!!",F380="NEW"),"",INDEX(B379:B$2,-1+SUMPRODUCT(MAX(ROW(E379:E$2)*(E380=E379:E$2)))))</f>
        <v> </v>
      </c>
      <c r="J380" s="26" t="str">
        <f>IF(OR(E380="",E380="!!!",F380="NEW"),"",COUNTBLANK(OFFSET(A$1,,,SUMPRODUCT(MAX(ROW(E$2:E380)*(E380=E$2:E380)))))-COUNTBLANK(OFFSET(A$1,,,SUMPRODUCT(MAX(ROW(E$1:E379)*(E2=E$1:E379))))))</f>
        <v> </v>
      </c>
      <c r="K380" s="26" t="str">
        <f>IF(OR(E380="",E380="!!!",F380="NEW"),"",INDEX(J$1:J379,SUMPRODUCT(MAX(ROW(E$1:E379)*(E380=E$1:E379)))))</f>
        <v> </v>
      </c>
      <c r="L380" s="27"/>
    </row>
    <row r="381" spans="1:12">
      <c r="A381" s="20"/>
    </row>
    <row r="382" spans="1:12">
      <c r="A382" s="20" t="s">
        <v>325</v>
      </c>
    </row>
    <row r="383" spans="1:12">
      <c r="A383" s="20" t="s">
        <v>110</v>
      </c>
      <c r="E383" s="22">
        <f>IF(D383="?OLD","!!!","")</f>
        <v/>
      </c>
      <c r="F383" s="23" t="str">
        <f>IF(OR(E383="",E383="!!!"),"",IF(NOT(ISNA(VLOOKUP(E383,E$1:E382,1,FALSE()))),"OLD",IF(AND(E383&lt;&gt;"",E383&lt;&gt;"!!!"),"NEW","")))</f>
        <v> </v>
      </c>
      <c r="G383" s="24" t="str">
        <f>IF(OR(E383="",E383="!!!"),"",IF(OR(J383=0,AND(J383=1,K383=1),AND(J383=1,I383="SBJ"),AND(J383=1,I383=0)),"?IN_FOCUS",IF(J383&lt;=2,"?ACTIVATED",IF(J383&lt;&gt;"","?FAMILIAR",IF(F383="NEW",IF(ISNA(VLOOKUP(E383,#REF!,1,FALSE())),"?TYPE_IDENTIFIABLE","?REFERENTIAL"),"_")))))</f>
        <v> </v>
      </c>
      <c r="H383" s="25" t="str">
        <f>IF(J383&lt;&gt;1,"",IF(I383="SBJ","CB","?"))</f>
        <v> </v>
      </c>
      <c r="I383" s="26" t="str">
        <f>IF(OR(E383="",E383="!!!",F383="NEW"),"",INDEX(B382:B$2,-1+SUMPRODUCT(MAX(ROW(E382:E$2)*(E383=E382:E$2)))))</f>
        <v> </v>
      </c>
      <c r="J383" s="26" t="str">
        <f>IF(OR(E383="",E383="!!!",F383="NEW"),"",COUNTBLANK(OFFSET(A$1,,,SUMPRODUCT(MAX(ROW(E$2:E383)*(E383=E$2:E383)))))-COUNTBLANK(OFFSET(A$1,,,SUMPRODUCT(MAX(ROW(E$1:E382)*(E2=E$1:E382))))))</f>
        <v> </v>
      </c>
      <c r="K383" s="26" t="str">
        <f>IF(OR(E383="",E383="!!!",F383="NEW"),"",INDEX(J$1:J382,SUMPRODUCT(MAX(ROW(E$1:E382)*(E383=E$1:E382)))))</f>
        <v> </v>
      </c>
      <c r="L383" s="27"/>
    </row>
    <row r="384" spans="1:12">
      <c r="A384" s="20" t="s">
        <v>209</v>
      </c>
      <c r="B384" s="21" t="s">
        <v>91</v>
      </c>
      <c r="C384" s="21" t="s">
        <v>104</v>
      </c>
      <c r="D384" s="21" t="s">
        <v>102</v>
      </c>
      <c r="E384" s="22">
        <f>IF(D384="?OLD","!!!","")</f>
        <v/>
      </c>
      <c r="F384" s="23" t="str">
        <f>IF(OR(E384="",E384="!!!"),"",IF(NOT(ISNA(VLOOKUP(E384,E$1:E383,1,FALSE()))),"OLD",IF(AND(E384&lt;&gt;"",E384&lt;&gt;"!!!"),"NEW","")))</f>
        <v> </v>
      </c>
      <c r="G384" s="24" t="str">
        <f>IF(OR(E384="",E384="!!!"),"",IF(OR(J384=0,AND(J384=1,K384=1),AND(J384=1,I384="SBJ"),AND(J384=1,I384=0)),"?IN_FOCUS",IF(J384&lt;=2,"?ACTIVATED",IF(J384&lt;&gt;"","?FAMILIAR",IF(F384="NEW",IF(ISNA(VLOOKUP(E384,#REF!,1,FALSE())),"?TYPE_IDENTIFIABLE","?REFERENTIAL"),"_")))))</f>
        <v> </v>
      </c>
      <c r="H384" s="25" t="str">
        <f>IF(J384&lt;&gt;1,"",IF(I384="SBJ","CB","?"))</f>
        <v> </v>
      </c>
      <c r="I384" s="26" t="str">
        <f>IF(OR(E384="",E384="!!!",F384="NEW"),"",INDEX(B383:B$2,-1+SUMPRODUCT(MAX(ROW(E383:E$2)*(E384=E383:E$2)))))</f>
        <v> </v>
      </c>
      <c r="J384" s="26" t="str">
        <f>IF(OR(E384="",E384="!!!",F384="NEW"),"",COUNTBLANK(OFFSET(A$1,,,SUMPRODUCT(MAX(ROW(E$2:E384)*(E384=E$2:E384)))))-COUNTBLANK(OFFSET(A$1,,,SUMPRODUCT(MAX(ROW(E$1:E383)*(E2=E$1:E383))))))</f>
        <v> </v>
      </c>
      <c r="K384" s="26" t="str">
        <f>IF(OR(E384="",E384="!!!",F384="NEW"),"",INDEX(J$1:J383,SUMPRODUCT(MAX(ROW(E$1:E383)*(E384=E$1:E383)))))</f>
        <v> </v>
      </c>
      <c r="L384" s="27"/>
    </row>
    <row r="385" spans="1:12">
      <c r="A385" s="20" t="s">
        <v>326</v>
      </c>
      <c r="E385" s="22">
        <f>IF(D385="?OLD","!!!","")</f>
        <v/>
      </c>
      <c r="F385" s="23" t="str">
        <f>IF(OR(E385="",E385="!!!"),"",IF(NOT(ISNA(VLOOKUP(E385,E$1:E384,1,FALSE()))),"OLD",IF(AND(E385&lt;&gt;"",E385&lt;&gt;"!!!"),"NEW","")))</f>
        <v> </v>
      </c>
      <c r="G385" s="24" t="str">
        <f>IF(OR(E385="",E385="!!!"),"",IF(OR(J385=0,AND(J385=1,K385=1),AND(J385=1,I385="SBJ"),AND(J385=1,I385=0)),"?IN_FOCUS",IF(J385&lt;=2,"?ACTIVATED",IF(J385&lt;&gt;"","?FAMILIAR",IF(F385="NEW",IF(ISNA(VLOOKUP(E385,#REF!,1,FALSE())),"?TYPE_IDENTIFIABLE","?REFERENTIAL"),"_")))))</f>
        <v> </v>
      </c>
      <c r="H385" s="25" t="str">
        <f>IF(J385&lt;&gt;1,"",IF(I385="SBJ","CB","?"))</f>
        <v> </v>
      </c>
      <c r="I385" s="26" t="str">
        <f>IF(OR(E385="",E385="!!!",F385="NEW"),"",INDEX(B384:B$2,-1+SUMPRODUCT(MAX(ROW(E384:E$2)*(E385=E384:E$2)))))</f>
        <v> </v>
      </c>
      <c r="J385" s="26" t="str">
        <f>IF(OR(E385="",E385="!!!",F385="NEW"),"",COUNTBLANK(OFFSET(A$1,,,SUMPRODUCT(MAX(ROW(E$2:E385)*(E385=E$2:E385)))))-COUNTBLANK(OFFSET(A$1,,,SUMPRODUCT(MAX(ROW(E$1:E384)*(E2=E$1:E384))))))</f>
        <v> </v>
      </c>
      <c r="K385" s="26" t="str">
        <f>IF(OR(E385="",E385="!!!",F385="NEW"),"",INDEX(J$1:J384,SUMPRODUCT(MAX(ROW(E$1:E384)*(E385=E$1:E384)))))</f>
        <v> </v>
      </c>
      <c r="L385" s="27"/>
    </row>
    <row r="386" spans="1:12">
      <c r="A386" s="20" t="s">
        <v>324</v>
      </c>
      <c r="E386" s="22">
        <f>IF(D386="?OLD","!!!","")</f>
        <v/>
      </c>
      <c r="F386" s="23" t="str">
        <f>IF(OR(E386="",E386="!!!"),"",IF(NOT(ISNA(VLOOKUP(E386,E$1:E385,1,FALSE()))),"OLD",IF(AND(E386&lt;&gt;"",E386&lt;&gt;"!!!"),"NEW","")))</f>
        <v> </v>
      </c>
      <c r="G386" s="24" t="str">
        <f>IF(OR(E386="",E386="!!!"),"",IF(OR(J386=0,AND(J386=1,K386=1),AND(J386=1,I386="SBJ"),AND(J386=1,I386=0)),"?IN_FOCUS",IF(J386&lt;=2,"?ACTIVATED",IF(J386&lt;&gt;"","?FAMILIAR",IF(F386="NEW",IF(ISNA(VLOOKUP(E386,#REF!,1,FALSE())),"?TYPE_IDENTIFIABLE","?REFERENTIAL"),"_")))))</f>
        <v> </v>
      </c>
      <c r="H386" s="25" t="str">
        <f>IF(J386&lt;&gt;1,"",IF(I386="SBJ","CB","?"))</f>
        <v> </v>
      </c>
      <c r="I386" s="26" t="str">
        <f>IF(OR(E386="",E386="!!!",F386="NEW"),"",INDEX(B385:B$2,-1+SUMPRODUCT(MAX(ROW(E385:E$2)*(E386=E385:E$2)))))</f>
        <v> </v>
      </c>
      <c r="J386" s="26" t="str">
        <f>IF(OR(E386="",E386="!!!",F386="NEW"),"",COUNTBLANK(OFFSET(A$1,,,SUMPRODUCT(MAX(ROW(E$2:E386)*(E386=E$2:E386)))))-COUNTBLANK(OFFSET(A$1,,,SUMPRODUCT(MAX(ROW(E$1:E385)*(E2=E$1:E385))))))</f>
        <v> </v>
      </c>
      <c r="K386" s="26" t="str">
        <f>IF(OR(E386="",E386="!!!",F386="NEW"),"",INDEX(J$1:J385,SUMPRODUCT(MAX(ROW(E$1:E385)*(E386=E$1:E385)))))</f>
        <v> </v>
      </c>
      <c r="L386" s="27"/>
    </row>
    <row r="387" spans="1:12">
      <c r="A387" s="20" t="s">
        <v>327</v>
      </c>
      <c r="E387" s="22">
        <f>IF(D387="?OLD","!!!","")</f>
        <v/>
      </c>
      <c r="F387" s="23" t="str">
        <f>IF(OR(E387="",E387="!!!"),"",IF(NOT(ISNA(VLOOKUP(E387,E$1:E386,1,FALSE()))),"OLD",IF(AND(E387&lt;&gt;"",E387&lt;&gt;"!!!"),"NEW","")))</f>
        <v> </v>
      </c>
      <c r="G387" s="24" t="str">
        <f>IF(OR(E387="",E387="!!!"),"",IF(OR(J387=0,AND(J387=1,K387=1),AND(J387=1,I387="SBJ"),AND(J387=1,I387=0)),"?IN_FOCUS",IF(J387&lt;=2,"?ACTIVATED",IF(J387&lt;&gt;"","?FAMILIAR",IF(F387="NEW",IF(ISNA(VLOOKUP(E387,#REF!,1,FALSE())),"?TYPE_IDENTIFIABLE","?REFERENTIAL"),"_")))))</f>
        <v> </v>
      </c>
      <c r="H387" s="25" t="str">
        <f>IF(J387&lt;&gt;1,"",IF(I387="SBJ","CB","?"))</f>
        <v> </v>
      </c>
      <c r="I387" s="26" t="str">
        <f>IF(OR(E387="",E387="!!!",F387="NEW"),"",INDEX(B386:B$2,-1+SUMPRODUCT(MAX(ROW(E386:E$2)*(E387=E386:E$2)))))</f>
        <v> </v>
      </c>
      <c r="J387" s="26" t="str">
        <f>IF(OR(E387="",E387="!!!",F387="NEW"),"",COUNTBLANK(OFFSET(A$1,,,SUMPRODUCT(MAX(ROW(E$2:E387)*(E387=E$2:E387)))))-COUNTBLANK(OFFSET(A$1,,,SUMPRODUCT(MAX(ROW(E$1:E386)*(E2=E$1:E386))))))</f>
        <v> </v>
      </c>
      <c r="K387" s="26" t="str">
        <f>IF(OR(E387="",E387="!!!",F387="NEW"),"",INDEX(J$1:J386,SUMPRODUCT(MAX(ROW(E$1:E386)*(E387=E$1:E386)))))</f>
        <v> </v>
      </c>
      <c r="L387" s="27"/>
    </row>
    <row r="388" spans="1:12">
      <c r="A388" s="20" t="s">
        <v>58</v>
      </c>
      <c r="B388" s="21" t="s">
        <v>161</v>
      </c>
      <c r="C388" s="21" t="s">
        <v>128</v>
      </c>
      <c r="E388" s="22">
        <f>IF(D388="?OLD","!!!","")</f>
        <v/>
      </c>
      <c r="F388" s="23" t="str">
        <f>IF(OR(E388="",E388="!!!"),"",IF(NOT(ISNA(VLOOKUP(E388,E$1:E387,1,FALSE()))),"OLD",IF(AND(E388&lt;&gt;"",E388&lt;&gt;"!!!"),"NEW","")))</f>
        <v> </v>
      </c>
      <c r="G388" s="24" t="str">
        <f>IF(OR(E388="",E388="!!!"),"",IF(OR(J388=0,AND(J388=1,K388=1),AND(J388=1,I388="SBJ"),AND(J388=1,I388=0)),"?IN_FOCUS",IF(J388&lt;=2,"?ACTIVATED",IF(J388&lt;&gt;"","?FAMILIAR",IF(F388="NEW",IF(ISNA(VLOOKUP(E388,#REF!,1,FALSE())),"?TYPE_IDENTIFIABLE","?REFERENTIAL"),"_")))))</f>
        <v> </v>
      </c>
      <c r="H388" s="25" t="str">
        <f>IF(J388&lt;&gt;1,"",IF(I388="SBJ","CB","?"))</f>
        <v> </v>
      </c>
      <c r="I388" s="26" t="str">
        <f>IF(OR(E388="",E388="!!!",F388="NEW"),"",INDEX(B387:B$2,-1+SUMPRODUCT(MAX(ROW(E387:E$2)*(E388=E387:E$2)))))</f>
        <v> </v>
      </c>
      <c r="J388" s="26" t="str">
        <f>IF(OR(E388="",E388="!!!",F388="NEW"),"",COUNTBLANK(OFFSET(A$1,,,SUMPRODUCT(MAX(ROW(E$2:E388)*(E388=E$2:E388)))))-COUNTBLANK(OFFSET(A$1,,,SUMPRODUCT(MAX(ROW(E$1:E387)*(E2=E$1:E387))))))</f>
        <v> </v>
      </c>
      <c r="K388" s="26" t="str">
        <f>IF(OR(E388="",E388="!!!",F388="NEW"),"",INDEX(J$1:J387,SUMPRODUCT(MAX(ROW(E$1:E387)*(E388=E$1:E387)))))</f>
        <v> </v>
      </c>
      <c r="L388" s="27"/>
    </row>
    <row r="389" spans="1:12">
      <c r="A389" s="20" t="s">
        <v>184</v>
      </c>
      <c r="E389" s="22">
        <f>IF(D389="?OLD","!!!","")</f>
        <v/>
      </c>
      <c r="F389" s="23" t="str">
        <f>IF(OR(E389="",E389="!!!"),"",IF(NOT(ISNA(VLOOKUP(E389,E$1:E388,1,FALSE()))),"OLD",IF(AND(E389&lt;&gt;"",E389&lt;&gt;"!!!"),"NEW","")))</f>
        <v> </v>
      </c>
      <c r="G389" s="24" t="str">
        <f>IF(OR(E389="",E389="!!!"),"",IF(OR(J389=0,AND(J389=1,K389=1),AND(J389=1,I389="SBJ"),AND(J389=1,I389=0)),"?IN_FOCUS",IF(J389&lt;=2,"?ACTIVATED",IF(J389&lt;&gt;"","?FAMILIAR",IF(F389="NEW",IF(ISNA(VLOOKUP(E389,#REF!,1,FALSE())),"?TYPE_IDENTIFIABLE","?REFERENTIAL"),"_")))))</f>
        <v> </v>
      </c>
      <c r="H389" s="25" t="str">
        <f>IF(J389&lt;&gt;1,"",IF(I389="SBJ","CB","?"))</f>
        <v> </v>
      </c>
      <c r="I389" s="26" t="str">
        <f>IF(OR(E389="",E389="!!!",F389="NEW"),"",INDEX(B388:B$2,-1+SUMPRODUCT(MAX(ROW(E388:E$2)*(E389=E388:E$2)))))</f>
        <v> </v>
      </c>
      <c r="J389" s="26" t="str">
        <f>IF(OR(E389="",E389="!!!",F389="NEW"),"",COUNTBLANK(OFFSET(A$1,,,SUMPRODUCT(MAX(ROW(E$2:E389)*(E389=E$2:E389)))))-COUNTBLANK(OFFSET(A$1,,,SUMPRODUCT(MAX(ROW(E$1:E388)*(E2=E$1:E388))))))</f>
        <v> </v>
      </c>
      <c r="K389" s="26" t="str">
        <f>IF(OR(E389="",E389="!!!",F389="NEW"),"",INDEX(J$1:J388,SUMPRODUCT(MAX(ROW(E$1:E388)*(E389=E$1:E388)))))</f>
        <v> </v>
      </c>
      <c r="L389" s="27"/>
    </row>
    <row r="390" spans="1:12">
      <c r="A390" s="20" t="s">
        <v>118</v>
      </c>
      <c r="E390" s="22">
        <f>IF(D390="?OLD","!!!","")</f>
        <v/>
      </c>
      <c r="F390" s="23" t="str">
        <f>IF(OR(E390="",E390="!!!"),"",IF(NOT(ISNA(VLOOKUP(E390,E$1:E389,1,FALSE()))),"OLD",IF(AND(E390&lt;&gt;"",E390&lt;&gt;"!!!"),"NEW","")))</f>
        <v> </v>
      </c>
      <c r="G390" s="24" t="str">
        <f>IF(OR(E390="",E390="!!!"),"",IF(OR(J390=0,AND(J390=1,K390=1),AND(J390=1,I390="SBJ"),AND(J390=1,I390=0)),"?IN_FOCUS",IF(J390&lt;=2,"?ACTIVATED",IF(J390&lt;&gt;"","?FAMILIAR",IF(F390="NEW",IF(ISNA(VLOOKUP(E390,#REF!,1,FALSE())),"?TYPE_IDENTIFIABLE","?REFERENTIAL"),"_")))))</f>
        <v> </v>
      </c>
      <c r="H390" s="25" t="str">
        <f>IF(J390&lt;&gt;1,"",IF(I390="SBJ","CB","?"))</f>
        <v> </v>
      </c>
      <c r="I390" s="26" t="str">
        <f>IF(OR(E390="",E390="!!!",F390="NEW"),"",INDEX(B389:B$2,-1+SUMPRODUCT(MAX(ROW(E389:E$2)*(E390=E389:E$2)))))</f>
        <v> </v>
      </c>
      <c r="J390" s="26" t="str">
        <f>IF(OR(E390="",E390="!!!",F390="NEW"),"",COUNTBLANK(OFFSET(A$1,,,SUMPRODUCT(MAX(ROW(E$2:E390)*(E390=E$2:E390)))))-COUNTBLANK(OFFSET(A$1,,,SUMPRODUCT(MAX(ROW(E$1:E389)*(E2=E$1:E389))))))</f>
        <v> </v>
      </c>
      <c r="K390" s="26" t="str">
        <f>IF(OR(E390="",E390="!!!",F390="NEW"),"",INDEX(J$1:J389,SUMPRODUCT(MAX(ROW(E$1:E389)*(E390=E$1:E389)))))</f>
        <v> </v>
      </c>
      <c r="L390" s="27"/>
    </row>
    <row r="391" spans="1:12">
      <c r="A391" s="20" t="s">
        <v>328</v>
      </c>
      <c r="E391" s="22">
        <f>IF(D391="?OLD","!!!","")</f>
        <v/>
      </c>
      <c r="F391" s="23" t="str">
        <f>IF(OR(E391="",E391="!!!"),"",IF(NOT(ISNA(VLOOKUP(E391,E$1:E390,1,FALSE()))),"OLD",IF(AND(E391&lt;&gt;"",E391&lt;&gt;"!!!"),"NEW","")))</f>
        <v> </v>
      </c>
      <c r="G391" s="24" t="str">
        <f>IF(OR(E391="",E391="!!!"),"",IF(OR(J391=0,AND(J391=1,K391=1),AND(J391=1,I391="SBJ"),AND(J391=1,I391=0)),"?IN_FOCUS",IF(J391&lt;=2,"?ACTIVATED",IF(J391&lt;&gt;"","?FAMILIAR",IF(F391="NEW",IF(ISNA(VLOOKUP(E391,#REF!,1,FALSE())),"?TYPE_IDENTIFIABLE","?REFERENTIAL"),"_")))))</f>
        <v> </v>
      </c>
      <c r="H391" s="25" t="str">
        <f>IF(J391&lt;&gt;1,"",IF(I391="SBJ","CB","?"))</f>
        <v> </v>
      </c>
      <c r="I391" s="26" t="str">
        <f>IF(OR(E391="",E391="!!!",F391="NEW"),"",INDEX(B390:B$2,-1+SUMPRODUCT(MAX(ROW(E390:E$2)*(E391=E390:E$2)))))</f>
        <v> </v>
      </c>
      <c r="J391" s="26" t="str">
        <f>IF(OR(E391="",E391="!!!",F391="NEW"),"",COUNTBLANK(OFFSET(A$1,,,SUMPRODUCT(MAX(ROW(E$2:E391)*(E391=E$2:E391)))))-COUNTBLANK(OFFSET(A$1,,,SUMPRODUCT(MAX(ROW(E$1:E390)*(E2=E$1:E390))))))</f>
        <v> </v>
      </c>
      <c r="K391" s="26" t="str">
        <f>IF(OR(E391="",E391="!!!",F391="NEW"),"",INDEX(J$1:J390,SUMPRODUCT(MAX(ROW(E$1:E390)*(E391=E$1:E390)))))</f>
        <v> </v>
      </c>
      <c r="L391" s="27"/>
    </row>
    <row r="392" spans="1:12">
      <c r="A392" s="20" t="s">
        <v>90</v>
      </c>
      <c r="B392" s="21" t="s">
        <v>161</v>
      </c>
      <c r="C392" s="21" t="s">
        <v>145</v>
      </c>
      <c r="D392" s="21" t="s">
        <v>102</v>
      </c>
      <c r="E392" s="22">
        <f>IF(D392="?OLD","!!!","")</f>
        <v/>
      </c>
      <c r="F392" s="23" t="str">
        <f>IF(OR(E392="",E392="!!!"),"",IF(NOT(ISNA(VLOOKUP(E392,E$1:E391,1,FALSE()))),"OLD",IF(AND(E392&lt;&gt;"",E392&lt;&gt;"!!!"),"NEW","")))</f>
        <v> </v>
      </c>
      <c r="G392" s="24" t="str">
        <f>IF(OR(E392="",E392="!!!"),"",IF(OR(J392=0,AND(J392=1,K392=1),AND(J392=1,I392="SBJ"),AND(J392=1,I392=0)),"?IN_FOCUS",IF(J392&lt;=2,"?ACTIVATED",IF(J392&lt;&gt;"","?FAMILIAR",IF(F392="NEW",IF(ISNA(VLOOKUP(E392,#REF!,1,FALSE())),"?TYPE_IDENTIFIABLE","?REFERENTIAL"),"_")))))</f>
        <v> </v>
      </c>
      <c r="H392" s="25" t="str">
        <f>IF(J392&lt;&gt;1,"",IF(I392="SBJ","CB","?"))</f>
        <v> </v>
      </c>
      <c r="I392" s="26" t="str">
        <f>IF(OR(E392="",E392="!!!",F392="NEW"),"",INDEX(B391:B$2,-1+SUMPRODUCT(MAX(ROW(E391:E$2)*(E392=E391:E$2)))))</f>
        <v> </v>
      </c>
      <c r="J392" s="26" t="str">
        <f>IF(OR(E392="",E392="!!!",F392="NEW"),"",COUNTBLANK(OFFSET(A$1,,,SUMPRODUCT(MAX(ROW(E$2:E392)*(E392=E$2:E392)))))-COUNTBLANK(OFFSET(A$1,,,SUMPRODUCT(MAX(ROW(E$1:E391)*(E2=E$1:E391))))))</f>
        <v> </v>
      </c>
      <c r="K392" s="26" t="str">
        <f>IF(OR(E392="",E392="!!!",F392="NEW"),"",INDEX(J$1:J391,SUMPRODUCT(MAX(ROW(E$1:E391)*(E392=E$1:E391)))))</f>
        <v> </v>
      </c>
      <c r="L392" s="27"/>
    </row>
    <row r="393" spans="1:12">
      <c r="A393" s="20" t="s">
        <v>97</v>
      </c>
      <c r="E393" s="22">
        <f>IF(D393="?OLD","!!!","")</f>
        <v/>
      </c>
      <c r="F393" s="23" t="str">
        <f>IF(OR(E393="",E393="!!!"),"",IF(NOT(ISNA(VLOOKUP(E393,E$1:E392,1,FALSE()))),"OLD",IF(AND(E393&lt;&gt;"",E393&lt;&gt;"!!!"),"NEW","")))</f>
        <v> </v>
      </c>
      <c r="G393" s="24" t="str">
        <f>IF(OR(E393="",E393="!!!"),"",IF(OR(J393=0,AND(J393=1,K393=1),AND(J393=1,I393="SBJ"),AND(J393=1,I393=0)),"?IN_FOCUS",IF(J393&lt;=2,"?ACTIVATED",IF(J393&lt;&gt;"","?FAMILIAR",IF(F393="NEW",IF(ISNA(VLOOKUP(E393,#REF!,1,FALSE())),"?TYPE_IDENTIFIABLE","?REFERENTIAL"),"_")))))</f>
        <v> </v>
      </c>
      <c r="H393" s="25" t="str">
        <f>IF(J393&lt;&gt;1,"",IF(I393="SBJ","CB","?"))</f>
        <v> </v>
      </c>
      <c r="I393" s="26" t="str">
        <f>IF(OR(E393="",E393="!!!",F393="NEW"),"",INDEX(B392:B$2,-1+SUMPRODUCT(MAX(ROW(E392:E$2)*(E393=E392:E$2)))))</f>
        <v> </v>
      </c>
      <c r="J393" s="26" t="str">
        <f>IF(OR(E393="",E393="!!!",F393="NEW"),"",COUNTBLANK(OFFSET(A$1,,,SUMPRODUCT(MAX(ROW(E$2:E393)*(E393=E$2:E393)))))-COUNTBLANK(OFFSET(A$1,,,SUMPRODUCT(MAX(ROW(E$1:E392)*(E2=E$1:E392))))))</f>
        <v> </v>
      </c>
      <c r="K393" s="26" t="str">
        <f>IF(OR(E393="",E393="!!!",F393="NEW"),"",INDEX(J$1:J392,SUMPRODUCT(MAX(ROW(E$1:E392)*(E393=E$1:E392)))))</f>
        <v> </v>
      </c>
      <c r="L393" s="27"/>
    </row>
    <row r="394" spans="1:12">
      <c r="A394" s="20" t="s">
        <v>118</v>
      </c>
      <c r="B394" s="21" t="s">
        <v>144</v>
      </c>
      <c r="E394" s="22">
        <f>IF(D394="?OLD","!!!","")</f>
        <v/>
      </c>
      <c r="F394" s="23" t="str">
        <f>IF(OR(E394="",E394="!!!"),"",IF(NOT(ISNA(VLOOKUP(E394,E$1:E393,1,FALSE()))),"OLD",IF(AND(E394&lt;&gt;"",E394&lt;&gt;"!!!"),"NEW","")))</f>
        <v> </v>
      </c>
      <c r="G394" s="24" t="str">
        <f>IF(OR(E394="",E394="!!!"),"",IF(OR(J394=0,AND(J394=1,K394=1),AND(J394=1,I394="SBJ"),AND(J394=1,I394=0)),"?IN_FOCUS",IF(J394&lt;=2,"?ACTIVATED",IF(J394&lt;&gt;"","?FAMILIAR",IF(F394="NEW",IF(ISNA(VLOOKUP(E394,#REF!,1,FALSE())),"?TYPE_IDENTIFIABLE","?REFERENTIAL"),"_")))))</f>
        <v> </v>
      </c>
      <c r="H394" s="25" t="str">
        <f>IF(J394&lt;&gt;1,"",IF(I394="SBJ","CB","?"))</f>
        <v> </v>
      </c>
      <c r="I394" s="26" t="str">
        <f>IF(OR(E394="",E394="!!!",F394="NEW"),"",INDEX(B393:B$2,-1+SUMPRODUCT(MAX(ROW(E393:E$2)*(E394=E393:E$2)))))</f>
        <v> </v>
      </c>
      <c r="J394" s="26" t="str">
        <f>IF(OR(E394="",E394="!!!",F394="NEW"),"",COUNTBLANK(OFFSET(A$1,,,SUMPRODUCT(MAX(ROW(E$2:E394)*(E394=E$2:E394)))))-COUNTBLANK(OFFSET(A$1,,,SUMPRODUCT(MAX(ROW(E$1:E393)*(E2=E$1:E393))))))</f>
        <v> </v>
      </c>
      <c r="K394" s="26" t="str">
        <f>IF(OR(E394="",E394="!!!",F394="NEW"),"",INDEX(J$1:J393,SUMPRODUCT(MAX(ROW(E$1:E393)*(E394=E$1:E393)))))</f>
        <v> </v>
      </c>
      <c r="L394" s="27"/>
    </row>
    <row r="395" spans="1:12">
      <c r="A395" s="20" t="s">
        <v>159</v>
      </c>
      <c r="E395" s="22">
        <f>IF(D395="?OLD","!!!","")</f>
        <v/>
      </c>
      <c r="F395" s="23" t="str">
        <f>IF(OR(E395="",E395="!!!"),"",IF(NOT(ISNA(VLOOKUP(E395,E$1:E394,1,FALSE()))),"OLD",IF(AND(E395&lt;&gt;"",E395&lt;&gt;"!!!"),"NEW","")))</f>
        <v> </v>
      </c>
      <c r="G395" s="24" t="str">
        <f>IF(OR(E395="",E395="!!!"),"",IF(OR(J395=0,AND(J395=1,K395=1),AND(J395=1,I395="SBJ"),AND(J395=1,I395=0)),"?IN_FOCUS",IF(J395&lt;=2,"?ACTIVATED",IF(J395&lt;&gt;"","?FAMILIAR",IF(F395="NEW",IF(ISNA(VLOOKUP(E395,#REF!,1,FALSE())),"?TYPE_IDENTIFIABLE","?REFERENTIAL"),"_")))))</f>
        <v> </v>
      </c>
      <c r="H395" s="25" t="str">
        <f>IF(J395&lt;&gt;1,"",IF(I395="SBJ","CB","?"))</f>
        <v> </v>
      </c>
      <c r="I395" s="26" t="str">
        <f>IF(OR(E395="",E395="!!!",F395="NEW"),"",INDEX(B394:B$2,-1+SUMPRODUCT(MAX(ROW(E394:E$2)*(E395=E394:E$2)))))</f>
        <v> </v>
      </c>
      <c r="J395" s="26" t="str">
        <f>IF(OR(E395="",E395="!!!",F395="NEW"),"",COUNTBLANK(OFFSET(A$1,,,SUMPRODUCT(MAX(ROW(E$2:E395)*(E395=E$2:E395)))))-COUNTBLANK(OFFSET(A$1,,,SUMPRODUCT(MAX(ROW(E$1:E394)*(E2=E$1:E394))))))</f>
        <v> </v>
      </c>
      <c r="K395" s="26" t="str">
        <f>IF(OR(E395="",E395="!!!",F395="NEW"),"",INDEX(J$1:J394,SUMPRODUCT(MAX(ROW(E$1:E394)*(E395=E$1:E394)))))</f>
        <v> </v>
      </c>
      <c r="L395" s="27"/>
    </row>
    <row r="396" spans="1:12">
      <c r="A396" s="20" t="s">
        <v>166</v>
      </c>
      <c r="B396" s="21" t="s">
        <v>174</v>
      </c>
      <c r="C396" s="21" t="s">
        <v>112</v>
      </c>
      <c r="D396" s="21" t="s">
        <v>102</v>
      </c>
      <c r="E396" s="22">
        <f>IF(D396="?OLD","!!!","")</f>
        <v/>
      </c>
      <c r="F396" s="23" t="str">
        <f>IF(OR(E396="",E396="!!!"),"",IF(NOT(ISNA(VLOOKUP(E396,E$1:E395,1,FALSE()))),"OLD",IF(AND(E396&lt;&gt;"",E396&lt;&gt;"!!!"),"NEW","")))</f>
        <v> </v>
      </c>
      <c r="G396" s="24" t="str">
        <f>IF(OR(E396="",E396="!!!"),"",IF(OR(J396=0,AND(J396=1,K396=1),AND(J396=1,I396="SBJ"),AND(J396=1,I396=0)),"?IN_FOCUS",IF(J396&lt;=2,"?ACTIVATED",IF(J396&lt;&gt;"","?FAMILIAR",IF(F396="NEW",IF(ISNA(VLOOKUP(E396,#REF!,1,FALSE())),"?TYPE_IDENTIFIABLE","?REFERENTIAL"),"_")))))</f>
        <v> </v>
      </c>
      <c r="H396" s="25" t="str">
        <f>IF(J396&lt;&gt;1,"",IF(I396="SBJ","CB","?"))</f>
        <v> </v>
      </c>
      <c r="I396" s="26" t="str">
        <f>IF(OR(E396="",E396="!!!",F396="NEW"),"",INDEX(B395:B$2,-1+SUMPRODUCT(MAX(ROW(E395:E$2)*(E396=E395:E$2)))))</f>
        <v> </v>
      </c>
      <c r="J396" s="26" t="str">
        <f>IF(OR(E396="",E396="!!!",F396="NEW"),"",COUNTBLANK(OFFSET(A$1,,,SUMPRODUCT(MAX(ROW(E$2:E396)*(E396=E$2:E396)))))-COUNTBLANK(OFFSET(A$1,,,SUMPRODUCT(MAX(ROW(E$1:E395)*(E2=E$1:E395))))))</f>
        <v> </v>
      </c>
      <c r="K396" s="26" t="str">
        <f>IF(OR(E396="",E396="!!!",F396="NEW"),"",INDEX(J$1:J395,SUMPRODUCT(MAX(ROW(E$1:E395)*(E396=E$1:E395)))))</f>
        <v> </v>
      </c>
      <c r="L396" s="27"/>
    </row>
    <row r="397" spans="1:12">
      <c r="A397" s="20" t="s">
        <v>329</v>
      </c>
      <c r="E397" s="22">
        <f>IF(D397="?OLD","!!!","")</f>
        <v/>
      </c>
      <c r="F397" s="23" t="str">
        <f>IF(OR(E397="",E397="!!!"),"",IF(NOT(ISNA(VLOOKUP(E397,E$1:E396,1,FALSE()))),"OLD",IF(AND(E397&lt;&gt;"",E397&lt;&gt;"!!!"),"NEW","")))</f>
        <v> </v>
      </c>
      <c r="G397" s="24" t="str">
        <f>IF(OR(E397="",E397="!!!"),"",IF(OR(J397=0,AND(J397=1,K397=1),AND(J397=1,I397="SBJ"),AND(J397=1,I397=0)),"?IN_FOCUS",IF(J397&lt;=2,"?ACTIVATED",IF(J397&lt;&gt;"","?FAMILIAR",IF(F397="NEW",IF(ISNA(VLOOKUP(E397,#REF!,1,FALSE())),"?TYPE_IDENTIFIABLE","?REFERENTIAL"),"_")))))</f>
        <v> </v>
      </c>
      <c r="H397" s="25" t="str">
        <f>IF(J397&lt;&gt;1,"",IF(I397="SBJ","CB","?"))</f>
        <v> </v>
      </c>
      <c r="I397" s="26" t="str">
        <f>IF(OR(E397="",E397="!!!",F397="NEW"),"",INDEX(B396:B$2,-1+SUMPRODUCT(MAX(ROW(E396:E$2)*(E397=E396:E$2)))))</f>
        <v> </v>
      </c>
      <c r="J397" s="26" t="str">
        <f>IF(OR(E397="",E397="!!!",F397="NEW"),"",COUNTBLANK(OFFSET(A$1,,,SUMPRODUCT(MAX(ROW(E$2:E397)*(E397=E$2:E397)))))-COUNTBLANK(OFFSET(A$1,,,SUMPRODUCT(MAX(ROW(E$1:E396)*(E2=E$1:E396))))))</f>
        <v> </v>
      </c>
      <c r="K397" s="26" t="str">
        <f>IF(OR(E397="",E397="!!!",F397="NEW"),"",INDEX(J$1:J396,SUMPRODUCT(MAX(ROW(E$1:E396)*(E397=E$1:E396)))))</f>
        <v> </v>
      </c>
      <c r="L397" s="27"/>
    </row>
    <row r="398" spans="1:12">
      <c r="A398" s="20" t="s">
        <v>250</v>
      </c>
      <c r="E398" s="22">
        <f>IF(D398="?OLD","!!!","")</f>
        <v/>
      </c>
      <c r="F398" s="23" t="str">
        <f>IF(OR(E398="",E398="!!!"),"",IF(NOT(ISNA(VLOOKUP(E398,E$1:E397,1,FALSE()))),"OLD",IF(AND(E398&lt;&gt;"",E398&lt;&gt;"!!!"),"NEW","")))</f>
        <v> </v>
      </c>
      <c r="G398" s="24" t="str">
        <f>IF(OR(E398="",E398="!!!"),"",IF(OR(J398=0,AND(J398=1,K398=1),AND(J398=1,I398="SBJ"),AND(J398=1,I398=0)),"?IN_FOCUS",IF(J398&lt;=2,"?ACTIVATED",IF(J398&lt;&gt;"","?FAMILIAR",IF(F398="NEW",IF(ISNA(VLOOKUP(E398,#REF!,1,FALSE())),"?TYPE_IDENTIFIABLE","?REFERENTIAL"),"_")))))</f>
        <v> </v>
      </c>
      <c r="H398" s="25" t="str">
        <f>IF(J398&lt;&gt;1,"",IF(I398="SBJ","CB","?"))</f>
        <v> </v>
      </c>
      <c r="I398" s="26" t="str">
        <f>IF(OR(E398="",E398="!!!",F398="NEW"),"",INDEX(B397:B$2,-1+SUMPRODUCT(MAX(ROW(E397:E$2)*(E398=E397:E$2)))))</f>
        <v> </v>
      </c>
      <c r="J398" s="26" t="str">
        <f>IF(OR(E398="",E398="!!!",F398="NEW"),"",COUNTBLANK(OFFSET(A$1,,,SUMPRODUCT(MAX(ROW(E$2:E398)*(E398=E$2:E398)))))-COUNTBLANK(OFFSET(A$1,,,SUMPRODUCT(MAX(ROW(E$1:E397)*(E2=E$1:E397))))))</f>
        <v> </v>
      </c>
      <c r="K398" s="26" t="str">
        <f>IF(OR(E398="",E398="!!!",F398="NEW"),"",INDEX(J$1:J397,SUMPRODUCT(MAX(ROW(E$1:E397)*(E398=E$1:E397)))))</f>
        <v> </v>
      </c>
      <c r="L398" s="27"/>
    </row>
    <row r="399" spans="1:12">
      <c r="A399" s="20" t="s">
        <v>155</v>
      </c>
      <c r="E399" s="22">
        <f>IF(D399="?OLD","!!!","")</f>
        <v/>
      </c>
      <c r="F399" s="23" t="str">
        <f>IF(OR(E399="",E399="!!!"),"",IF(NOT(ISNA(VLOOKUP(E399,E$1:E398,1,FALSE()))),"OLD",IF(AND(E399&lt;&gt;"",E399&lt;&gt;"!!!"),"NEW","")))</f>
        <v> </v>
      </c>
      <c r="G399" s="24" t="str">
        <f>IF(OR(E399="",E399="!!!"),"",IF(OR(J399=0,AND(J399=1,K399=1),AND(J399=1,I399="SBJ"),AND(J399=1,I399=0)),"?IN_FOCUS",IF(J399&lt;=2,"?ACTIVATED",IF(J399&lt;&gt;"","?FAMILIAR",IF(F399="NEW",IF(ISNA(VLOOKUP(E399,#REF!,1,FALSE())),"?TYPE_IDENTIFIABLE","?REFERENTIAL"),"_")))))</f>
        <v> </v>
      </c>
      <c r="H399" s="25" t="str">
        <f>IF(J399&lt;&gt;1,"",IF(I399="SBJ","CB","?"))</f>
        <v> </v>
      </c>
      <c r="I399" s="26" t="str">
        <f>IF(OR(E399="",E399="!!!",F399="NEW"),"",INDEX(B398:B$2,-1+SUMPRODUCT(MAX(ROW(E398:E$2)*(E399=E398:E$2)))))</f>
        <v> </v>
      </c>
      <c r="J399" s="26" t="str">
        <f>IF(OR(E399="",E399="!!!",F399="NEW"),"",COUNTBLANK(OFFSET(A$1,,,SUMPRODUCT(MAX(ROW(E$2:E399)*(E399=E$2:E399)))))-COUNTBLANK(OFFSET(A$1,,,SUMPRODUCT(MAX(ROW(E$1:E398)*(E2=E$1:E398))))))</f>
        <v> </v>
      </c>
      <c r="K399" s="26" t="str">
        <f>IF(OR(E399="",E399="!!!",F399="NEW"),"",INDEX(J$1:J398,SUMPRODUCT(MAX(ROW(E$1:E398)*(E399=E$1:E398)))))</f>
        <v> </v>
      </c>
      <c r="L399" s="27"/>
    </row>
    <row r="400" spans="1:12">
      <c r="A400" s="20"/>
    </row>
    <row r="401" spans="1:12">
      <c r="A401" s="20" t="s">
        <v>330</v>
      </c>
    </row>
    <row r="402" spans="1:12">
      <c r="A402" s="20" t="s">
        <v>331</v>
      </c>
      <c r="B402" s="21" t="s">
        <v>91</v>
      </c>
      <c r="C402" s="21" t="s">
        <v>104</v>
      </c>
      <c r="D402" s="21" t="s">
        <v>102</v>
      </c>
      <c r="E402" s="22">
        <f>IF(D402="?OLD","!!!","")</f>
        <v/>
      </c>
      <c r="F402" s="23" t="str">
        <f>IF(OR(E402="",E402="!!!"),"",IF(NOT(ISNA(VLOOKUP(E402,E$1:E401,1,FALSE()))),"OLD",IF(AND(E402&lt;&gt;"",E402&lt;&gt;"!!!"),"NEW","")))</f>
        <v> </v>
      </c>
      <c r="G402" s="24" t="str">
        <f>IF(OR(E402="",E402="!!!"),"",IF(OR(J402=0,AND(J402=1,K402=1),AND(J402=1,I402="SBJ"),AND(J402=1,I402=0)),"?IN_FOCUS",IF(J402&lt;=2,"?ACTIVATED",IF(J402&lt;&gt;"","?FAMILIAR",IF(F402="NEW",IF(ISNA(VLOOKUP(E402,#REF!,1,FALSE())),"?TYPE_IDENTIFIABLE","?REFERENTIAL"),"_")))))</f>
        <v> </v>
      </c>
      <c r="H402" s="25" t="str">
        <f>IF(J402&lt;&gt;1,"",IF(I402="SBJ","CB","?"))</f>
        <v> </v>
      </c>
      <c r="I402" s="26" t="str">
        <f>IF(OR(E402="",E402="!!!",F402="NEW"),"",INDEX(B401:B$2,-1+SUMPRODUCT(MAX(ROW(E401:E$2)*(E402=E401:E$2)))))</f>
        <v> </v>
      </c>
      <c r="J402" s="26" t="str">
        <f>IF(OR(E402="",E402="!!!",F402="NEW"),"",COUNTBLANK(OFFSET(A$1,,,SUMPRODUCT(MAX(ROW(E$2:E402)*(E402=E$2:E402)))))-COUNTBLANK(OFFSET(A$1,,,SUMPRODUCT(MAX(ROW(E$1:E401)*(E2=E$1:E401))))))</f>
        <v> </v>
      </c>
      <c r="K402" s="26" t="str">
        <f>IF(OR(E402="",E402="!!!",F402="NEW"),"",INDEX(J$1:J401,SUMPRODUCT(MAX(ROW(E$1:E401)*(E402=E$1:E401)))))</f>
        <v> </v>
      </c>
      <c r="L402" s="27"/>
    </row>
    <row r="403" spans="1:12">
      <c r="A403" s="20" t="s">
        <v>332</v>
      </c>
      <c r="E403" s="22">
        <f>IF(D403="?OLD","!!!","")</f>
        <v/>
      </c>
      <c r="F403" s="23" t="str">
        <f>IF(OR(E403="",E403="!!!"),"",IF(NOT(ISNA(VLOOKUP(E403,E$1:E402,1,FALSE()))),"OLD",IF(AND(E403&lt;&gt;"",E403&lt;&gt;"!!!"),"NEW","")))</f>
        <v> </v>
      </c>
      <c r="G403" s="24" t="str">
        <f>IF(OR(E403="",E403="!!!"),"",IF(OR(J403=0,AND(J403=1,K403=1),AND(J403=1,I403="SBJ"),AND(J403=1,I403=0)),"?IN_FOCUS",IF(J403&lt;=2,"?ACTIVATED",IF(J403&lt;&gt;"","?FAMILIAR",IF(F403="NEW",IF(ISNA(VLOOKUP(E403,#REF!,1,FALSE())),"?TYPE_IDENTIFIABLE","?REFERENTIAL"),"_")))))</f>
        <v> </v>
      </c>
      <c r="H403" s="25" t="str">
        <f>IF(J403&lt;&gt;1,"",IF(I403="SBJ","CB","?"))</f>
        <v> </v>
      </c>
      <c r="I403" s="26" t="str">
        <f>IF(OR(E403="",E403="!!!",F403="NEW"),"",INDEX(B402:B$2,-1+SUMPRODUCT(MAX(ROW(E402:E$2)*(E403=E402:E$2)))))</f>
        <v> </v>
      </c>
      <c r="J403" s="26" t="str">
        <f>IF(OR(E403="",E403="!!!",F403="NEW"),"",COUNTBLANK(OFFSET(A$1,,,SUMPRODUCT(MAX(ROW(E$2:E403)*(E403=E$2:E403)))))-COUNTBLANK(OFFSET(A$1,,,SUMPRODUCT(MAX(ROW(E$1:E402)*(E2=E$1:E402))))))</f>
        <v> </v>
      </c>
      <c r="K403" s="26" t="str">
        <f>IF(OR(E403="",E403="!!!",F403="NEW"),"",INDEX(J$1:J402,SUMPRODUCT(MAX(ROW(E$1:E402)*(E403=E$1:E402)))))</f>
        <v> </v>
      </c>
      <c r="L403" s="27"/>
    </row>
    <row r="404" spans="1:12">
      <c r="A404" s="20" t="s">
        <v>97</v>
      </c>
      <c r="E404" s="22">
        <f>IF(D404="?OLD","!!!","")</f>
        <v/>
      </c>
      <c r="F404" s="23" t="str">
        <f>IF(OR(E404="",E404="!!!"),"",IF(NOT(ISNA(VLOOKUP(E404,E$1:E403,1,FALSE()))),"OLD",IF(AND(E404&lt;&gt;"",E404&lt;&gt;"!!!"),"NEW","")))</f>
        <v> </v>
      </c>
      <c r="G404" s="24" t="str">
        <f>IF(OR(E404="",E404="!!!"),"",IF(OR(J404=0,AND(J404=1,K404=1),AND(J404=1,I404="SBJ"),AND(J404=1,I404=0)),"?IN_FOCUS",IF(J404&lt;=2,"?ACTIVATED",IF(J404&lt;&gt;"","?FAMILIAR",IF(F404="NEW",IF(ISNA(VLOOKUP(E404,#REF!,1,FALSE())),"?TYPE_IDENTIFIABLE","?REFERENTIAL"),"_")))))</f>
        <v> </v>
      </c>
      <c r="H404" s="25" t="str">
        <f>IF(J404&lt;&gt;1,"",IF(I404="SBJ","CB","?"))</f>
        <v> </v>
      </c>
      <c r="I404" s="26" t="str">
        <f>IF(OR(E404="",E404="!!!",F404="NEW"),"",INDEX(B403:B$2,-1+SUMPRODUCT(MAX(ROW(E403:E$2)*(E404=E403:E$2)))))</f>
        <v> </v>
      </c>
      <c r="J404" s="26" t="str">
        <f>IF(OR(E404="",E404="!!!",F404="NEW"),"",COUNTBLANK(OFFSET(A$1,,,SUMPRODUCT(MAX(ROW(E$2:E404)*(E404=E$2:E404)))))-COUNTBLANK(OFFSET(A$1,,,SUMPRODUCT(MAX(ROW(E$1:E403)*(E2=E$1:E403))))))</f>
        <v> </v>
      </c>
      <c r="K404" s="26" t="str">
        <f>IF(OR(E404="",E404="!!!",F404="NEW"),"",INDEX(J$1:J403,SUMPRODUCT(MAX(ROW(E$1:E403)*(E404=E$1:E403)))))</f>
        <v> </v>
      </c>
      <c r="L404" s="27"/>
    </row>
    <row r="405" spans="1:12">
      <c r="A405" s="20" t="s">
        <v>333</v>
      </c>
      <c r="B405" s="21" t="s">
        <v>195</v>
      </c>
      <c r="C405" s="21" t="s">
        <v>92</v>
      </c>
      <c r="E405" s="22">
        <f>IF(D405="?OLD","!!!","")</f>
        <v/>
      </c>
      <c r="F405" s="23" t="str">
        <f>IF(OR(E405="",E405="!!!"),"",IF(NOT(ISNA(VLOOKUP(E405,E$1:E404,1,FALSE()))),"OLD",IF(AND(E405&lt;&gt;"",E405&lt;&gt;"!!!"),"NEW","")))</f>
        <v> </v>
      </c>
      <c r="G405" s="24" t="str">
        <f>IF(OR(E405="",E405="!!!"),"",IF(OR(J405=0,AND(J405=1,K405=1),AND(J405=1,I405="SBJ"),AND(J405=1,I405=0)),"?IN_FOCUS",IF(J405&lt;=2,"?ACTIVATED",IF(J405&lt;&gt;"","?FAMILIAR",IF(F405="NEW",IF(ISNA(VLOOKUP(E405,#REF!,1,FALSE())),"?TYPE_IDENTIFIABLE","?REFERENTIAL"),"_")))))</f>
        <v> </v>
      </c>
      <c r="H405" s="25" t="str">
        <f>IF(J405&lt;&gt;1,"",IF(I405="SBJ","CB","?"))</f>
        <v> </v>
      </c>
      <c r="I405" s="26" t="str">
        <f>IF(OR(E405="",E405="!!!",F405="NEW"),"",INDEX(B404:B$2,-1+SUMPRODUCT(MAX(ROW(E404:E$2)*(E405=E404:E$2)))))</f>
        <v> </v>
      </c>
      <c r="J405" s="26" t="str">
        <f>IF(OR(E405="",E405="!!!",F405="NEW"),"",COUNTBLANK(OFFSET(A$1,,,SUMPRODUCT(MAX(ROW(E$2:E405)*(E405=E$2:E405)))))-COUNTBLANK(OFFSET(A$1,,,SUMPRODUCT(MAX(ROW(E$1:E404)*(E2=E$1:E404))))))</f>
        <v> </v>
      </c>
      <c r="K405" s="26" t="str">
        <f>IF(OR(E405="",E405="!!!",F405="NEW"),"",INDEX(J$1:J404,SUMPRODUCT(MAX(ROW(E$1:E404)*(E405=E$1:E404)))))</f>
        <v> </v>
      </c>
      <c r="L405" s="27"/>
    </row>
    <row r="406" spans="1:12">
      <c r="A406" s="20" t="s">
        <v>132</v>
      </c>
      <c r="E406" s="22">
        <f>IF(D406="?OLD","!!!","")</f>
        <v/>
      </c>
      <c r="F406" s="23" t="str">
        <f>IF(OR(E406="",E406="!!!"),"",IF(NOT(ISNA(VLOOKUP(E406,E$1:E405,1,FALSE()))),"OLD",IF(AND(E406&lt;&gt;"",E406&lt;&gt;"!!!"),"NEW","")))</f>
        <v> </v>
      </c>
      <c r="G406" s="24" t="str">
        <f>IF(OR(E406="",E406="!!!"),"",IF(OR(J406=0,AND(J406=1,K406=1),AND(J406=1,I406="SBJ"),AND(J406=1,I406=0)),"?IN_FOCUS",IF(J406&lt;=2,"?ACTIVATED",IF(J406&lt;&gt;"","?FAMILIAR",IF(F406="NEW",IF(ISNA(VLOOKUP(E406,#REF!,1,FALSE())),"?TYPE_IDENTIFIABLE","?REFERENTIAL"),"_")))))</f>
        <v> </v>
      </c>
      <c r="H406" s="25" t="str">
        <f>IF(J406&lt;&gt;1,"",IF(I406="SBJ","CB","?"))</f>
        <v> </v>
      </c>
      <c r="I406" s="26" t="str">
        <f>IF(OR(E406="",E406="!!!",F406="NEW"),"",INDEX(B405:B$2,-1+SUMPRODUCT(MAX(ROW(E405:E$2)*(E406=E405:E$2)))))</f>
        <v> </v>
      </c>
      <c r="J406" s="26" t="str">
        <f>IF(OR(E406="",E406="!!!",F406="NEW"),"",COUNTBLANK(OFFSET(A$1,,,SUMPRODUCT(MAX(ROW(E$2:E406)*(E406=E$2:E406)))))-COUNTBLANK(OFFSET(A$1,,,SUMPRODUCT(MAX(ROW(E$1:E405)*(E2=E$1:E405))))))</f>
        <v> </v>
      </c>
      <c r="K406" s="26" t="str">
        <f>IF(OR(E406="",E406="!!!",F406="NEW"),"",INDEX(J$1:J405,SUMPRODUCT(MAX(ROW(E$1:E405)*(E406=E$1:E405)))))</f>
        <v> </v>
      </c>
      <c r="L406" s="27"/>
    </row>
    <row r="407" spans="1:12">
      <c r="A407" s="20" t="s">
        <v>172</v>
      </c>
      <c r="E407" s="22">
        <f>IF(D407="?OLD","!!!","")</f>
        <v/>
      </c>
      <c r="F407" s="23" t="str">
        <f>IF(OR(E407="",E407="!!!"),"",IF(NOT(ISNA(VLOOKUP(E407,E$1:E406,1,FALSE()))),"OLD",IF(AND(E407&lt;&gt;"",E407&lt;&gt;"!!!"),"NEW","")))</f>
        <v> </v>
      </c>
      <c r="G407" s="24" t="str">
        <f>IF(OR(E407="",E407="!!!"),"",IF(OR(J407=0,AND(J407=1,K407=1),AND(J407=1,I407="SBJ"),AND(J407=1,I407=0)),"?IN_FOCUS",IF(J407&lt;=2,"?ACTIVATED",IF(J407&lt;&gt;"","?FAMILIAR",IF(F407="NEW",IF(ISNA(VLOOKUP(E407,#REF!,1,FALSE())),"?TYPE_IDENTIFIABLE","?REFERENTIAL"),"_")))))</f>
        <v> </v>
      </c>
      <c r="H407" s="25" t="str">
        <f>IF(J407&lt;&gt;1,"",IF(I407="SBJ","CB","?"))</f>
        <v> </v>
      </c>
      <c r="I407" s="26" t="str">
        <f>IF(OR(E407="",E407="!!!",F407="NEW"),"",INDEX(B406:B$2,-1+SUMPRODUCT(MAX(ROW(E406:E$2)*(E407=E406:E$2)))))</f>
        <v> </v>
      </c>
      <c r="J407" s="26" t="str">
        <f>IF(OR(E407="",E407="!!!",F407="NEW"),"",COUNTBLANK(OFFSET(A$1,,,SUMPRODUCT(MAX(ROW(E$2:E407)*(E407=E$2:E407)))))-COUNTBLANK(OFFSET(A$1,,,SUMPRODUCT(MAX(ROW(E$1:E406)*(E2=E$1:E406))))))</f>
        <v> </v>
      </c>
      <c r="K407" s="26" t="str">
        <f>IF(OR(E407="",E407="!!!",F407="NEW"),"",INDEX(J$1:J406,SUMPRODUCT(MAX(ROW(E$1:E406)*(E407=E$1:E406)))))</f>
        <v> </v>
      </c>
      <c r="L407" s="27"/>
    </row>
    <row r="408" spans="1:12">
      <c r="A408" s="20" t="s">
        <v>185</v>
      </c>
      <c r="B408" s="21" t="s">
        <v>120</v>
      </c>
      <c r="C408" s="21" t="s">
        <v>112</v>
      </c>
      <c r="D408" s="21" t="s">
        <v>102</v>
      </c>
      <c r="E408" s="22">
        <f>IF(D408="?OLD","!!!","")</f>
        <v/>
      </c>
      <c r="F408" s="23" t="str">
        <f>IF(OR(E408="",E408="!!!"),"",IF(NOT(ISNA(VLOOKUP(E408,E$1:E407,1,FALSE()))),"OLD",IF(AND(E408&lt;&gt;"",E408&lt;&gt;"!!!"),"NEW","")))</f>
        <v> </v>
      </c>
      <c r="G408" s="24" t="str">
        <f>IF(OR(E408="",E408="!!!"),"",IF(OR(J408=0,AND(J408=1,K408=1),AND(J408=1,I408="SBJ"),AND(J408=1,I408=0)),"?IN_FOCUS",IF(J408&lt;=2,"?ACTIVATED",IF(J408&lt;&gt;"","?FAMILIAR",IF(F408="NEW",IF(ISNA(VLOOKUP(E408,#REF!,1,FALSE())),"?TYPE_IDENTIFIABLE","?REFERENTIAL"),"_")))))</f>
        <v> </v>
      </c>
      <c r="H408" s="25" t="str">
        <f>IF(J408&lt;&gt;1,"",IF(I408="SBJ","CB","?"))</f>
        <v> </v>
      </c>
      <c r="I408" s="26" t="str">
        <f>IF(OR(E408="",E408="!!!",F408="NEW"),"",INDEX(B407:B$2,-1+SUMPRODUCT(MAX(ROW(E407:E$2)*(E408=E407:E$2)))))</f>
        <v> </v>
      </c>
      <c r="J408" s="26" t="str">
        <f>IF(OR(E408="",E408="!!!",F408="NEW"),"",COUNTBLANK(OFFSET(A$1,,,SUMPRODUCT(MAX(ROW(E$2:E408)*(E408=E$2:E408)))))-COUNTBLANK(OFFSET(A$1,,,SUMPRODUCT(MAX(ROW(E$1:E407)*(E2=E$1:E407))))))</f>
        <v> </v>
      </c>
      <c r="K408" s="26" t="str">
        <f>IF(OR(E408="",E408="!!!",F408="NEW"),"",INDEX(J$1:J407,SUMPRODUCT(MAX(ROW(E$1:E407)*(E408=E$1:E407)))))</f>
        <v> </v>
      </c>
      <c r="L408" s="27"/>
    </row>
    <row r="409" spans="1:12">
      <c r="A409" s="20" t="s">
        <v>97</v>
      </c>
      <c r="E409" s="22">
        <f>IF(D409="?OLD","!!!","")</f>
        <v/>
      </c>
      <c r="F409" s="23" t="str">
        <f>IF(OR(E409="",E409="!!!"),"",IF(NOT(ISNA(VLOOKUP(E409,E$1:E408,1,FALSE()))),"OLD",IF(AND(E409&lt;&gt;"",E409&lt;&gt;"!!!"),"NEW","")))</f>
        <v> </v>
      </c>
      <c r="G409" s="24" t="str">
        <f>IF(OR(E409="",E409="!!!"),"",IF(OR(J409=0,AND(J409=1,K409=1),AND(J409=1,I409="SBJ"),AND(J409=1,I409=0)),"?IN_FOCUS",IF(J409&lt;=2,"?ACTIVATED",IF(J409&lt;&gt;"","?FAMILIAR",IF(F409="NEW",IF(ISNA(VLOOKUP(E409,#REF!,1,FALSE())),"?TYPE_IDENTIFIABLE","?REFERENTIAL"),"_")))))</f>
        <v> </v>
      </c>
      <c r="H409" s="25" t="str">
        <f>IF(J409&lt;&gt;1,"",IF(I409="SBJ","CB","?"))</f>
        <v> </v>
      </c>
      <c r="I409" s="26" t="str">
        <f>IF(OR(E409="",E409="!!!",F409="NEW"),"",INDEX(B408:B$2,-1+SUMPRODUCT(MAX(ROW(E408:E$2)*(E409=E408:E$2)))))</f>
        <v> </v>
      </c>
      <c r="J409" s="26" t="str">
        <f>IF(OR(E409="",E409="!!!",F409="NEW"),"",COUNTBLANK(OFFSET(A$1,,,SUMPRODUCT(MAX(ROW(E$2:E409)*(E409=E$2:E409)))))-COUNTBLANK(OFFSET(A$1,,,SUMPRODUCT(MAX(ROW(E$1:E408)*(E2=E$1:E408))))))</f>
        <v> </v>
      </c>
      <c r="K409" s="26" t="str">
        <f>IF(OR(E409="",E409="!!!",F409="NEW"),"",INDEX(J$1:J408,SUMPRODUCT(MAX(ROW(E$1:E408)*(E409=E$1:E408)))))</f>
        <v> </v>
      </c>
      <c r="L409" s="27"/>
    </row>
    <row r="410" spans="1:12">
      <c r="A410" s="20" t="s">
        <v>334</v>
      </c>
      <c r="E410" s="22">
        <f>IF(D410="?OLD","!!!","")</f>
        <v/>
      </c>
      <c r="F410" s="23" t="str">
        <f>IF(OR(E410="",E410="!!!"),"",IF(NOT(ISNA(VLOOKUP(E410,E$1:E409,1,FALSE()))),"OLD",IF(AND(E410&lt;&gt;"",E410&lt;&gt;"!!!"),"NEW","")))</f>
        <v> </v>
      </c>
      <c r="G410" s="24" t="str">
        <f>IF(OR(E410="",E410="!!!"),"",IF(OR(J410=0,AND(J410=1,K410=1),AND(J410=1,I410="SBJ"),AND(J410=1,I410=0)),"?IN_FOCUS",IF(J410&lt;=2,"?ACTIVATED",IF(J410&lt;&gt;"","?FAMILIAR",IF(F410="NEW",IF(ISNA(VLOOKUP(E410,#REF!,1,FALSE())),"?TYPE_IDENTIFIABLE","?REFERENTIAL"),"_")))))</f>
        <v> </v>
      </c>
      <c r="H410" s="25" t="str">
        <f>IF(J410&lt;&gt;1,"",IF(I410="SBJ","CB","?"))</f>
        <v> </v>
      </c>
      <c r="I410" s="26" t="str">
        <f>IF(OR(E410="",E410="!!!",F410="NEW"),"",INDEX(B409:B$2,-1+SUMPRODUCT(MAX(ROW(E409:E$2)*(E410=E409:E$2)))))</f>
        <v> </v>
      </c>
      <c r="J410" s="26" t="str">
        <f>IF(OR(E410="",E410="!!!",F410="NEW"),"",COUNTBLANK(OFFSET(A$1,,,SUMPRODUCT(MAX(ROW(E$2:E410)*(E410=E$2:E410)))))-COUNTBLANK(OFFSET(A$1,,,SUMPRODUCT(MAX(ROW(E$1:E409)*(E2=E$1:E409))))))</f>
        <v> </v>
      </c>
      <c r="K410" s="26" t="str">
        <f>IF(OR(E410="",E410="!!!",F410="NEW"),"",INDEX(J$1:J409,SUMPRODUCT(MAX(ROW(E$1:E409)*(E410=E$1:E409)))))</f>
        <v> </v>
      </c>
      <c r="L410" s="27"/>
    </row>
    <row r="411" spans="1:12">
      <c r="A411" s="20" t="s">
        <v>118</v>
      </c>
      <c r="E411" s="22">
        <f>IF(D411="?OLD","!!!","")</f>
        <v/>
      </c>
      <c r="F411" s="23" t="str">
        <f>IF(OR(E411="",E411="!!!"),"",IF(NOT(ISNA(VLOOKUP(E411,E$1:E410,1,FALSE()))),"OLD",IF(AND(E411&lt;&gt;"",E411&lt;&gt;"!!!"),"NEW","")))</f>
        <v> </v>
      </c>
      <c r="G411" s="24" t="str">
        <f>IF(OR(E411="",E411="!!!"),"",IF(OR(J411=0,AND(J411=1,K411=1),AND(J411=1,I411="SBJ"),AND(J411=1,I411=0)),"?IN_FOCUS",IF(J411&lt;=2,"?ACTIVATED",IF(J411&lt;&gt;"","?FAMILIAR",IF(F411="NEW",IF(ISNA(VLOOKUP(E411,#REF!,1,FALSE())),"?TYPE_IDENTIFIABLE","?REFERENTIAL"),"_")))))</f>
        <v> </v>
      </c>
      <c r="H411" s="25" t="str">
        <f>IF(J411&lt;&gt;1,"",IF(I411="SBJ","CB","?"))</f>
        <v> </v>
      </c>
      <c r="I411" s="26" t="str">
        <f>IF(OR(E411="",E411="!!!",F411="NEW"),"",INDEX(B410:B$2,-1+SUMPRODUCT(MAX(ROW(E410:E$2)*(E411=E410:E$2)))))</f>
        <v> </v>
      </c>
      <c r="J411" s="26" t="str">
        <f>IF(OR(E411="",E411="!!!",F411="NEW"),"",COUNTBLANK(OFFSET(A$1,,,SUMPRODUCT(MAX(ROW(E$2:E411)*(E411=E$2:E411)))))-COUNTBLANK(OFFSET(A$1,,,SUMPRODUCT(MAX(ROW(E$1:E410)*(E2=E$1:E410))))))</f>
        <v> </v>
      </c>
      <c r="K411" s="26" t="str">
        <f>IF(OR(E411="",E411="!!!",F411="NEW"),"",INDEX(J$1:J410,SUMPRODUCT(MAX(ROW(E$1:E410)*(E411=E$1:E410)))))</f>
        <v> </v>
      </c>
      <c r="L411" s="27"/>
    </row>
    <row r="412" spans="1:12">
      <c r="A412" s="20" t="s">
        <v>90</v>
      </c>
      <c r="B412" s="21" t="s">
        <v>96</v>
      </c>
      <c r="C412" s="21" t="s">
        <v>112</v>
      </c>
      <c r="D412" s="21" t="s">
        <v>102</v>
      </c>
      <c r="E412" s="22">
        <f>IF(D412="?OLD","!!!","")</f>
        <v/>
      </c>
      <c r="F412" s="23" t="str">
        <f>IF(OR(E412="",E412="!!!"),"",IF(NOT(ISNA(VLOOKUP(E412,E$1:E411,1,FALSE()))),"OLD",IF(AND(E412&lt;&gt;"",E412&lt;&gt;"!!!"),"NEW","")))</f>
        <v> </v>
      </c>
      <c r="G412" s="24" t="str">
        <f>IF(OR(E412="",E412="!!!"),"",IF(OR(J412=0,AND(J412=1,K412=1),AND(J412=1,I412="SBJ"),AND(J412=1,I412=0)),"?IN_FOCUS",IF(J412&lt;=2,"?ACTIVATED",IF(J412&lt;&gt;"","?FAMILIAR",IF(F412="NEW",IF(ISNA(VLOOKUP(E412,#REF!,1,FALSE())),"?TYPE_IDENTIFIABLE","?REFERENTIAL"),"_")))))</f>
        <v> </v>
      </c>
      <c r="H412" s="25" t="str">
        <f>IF(J412&lt;&gt;1,"",IF(I412="SBJ","CB","?"))</f>
        <v> </v>
      </c>
      <c r="I412" s="26" t="str">
        <f>IF(OR(E412="",E412="!!!",F412="NEW"),"",INDEX(B411:B$2,-1+SUMPRODUCT(MAX(ROW(E411:E$2)*(E412=E411:E$2)))))</f>
        <v> </v>
      </c>
      <c r="J412" s="26" t="str">
        <f>IF(OR(E412="",E412="!!!",F412="NEW"),"",COUNTBLANK(OFFSET(A$1,,,SUMPRODUCT(MAX(ROW(E$2:E412)*(E412=E$2:E412)))))-COUNTBLANK(OFFSET(A$1,,,SUMPRODUCT(MAX(ROW(E$1:E411)*(E2=E$1:E411))))))</f>
        <v> </v>
      </c>
      <c r="K412" s="26" t="str">
        <f>IF(OR(E412="",E412="!!!",F412="NEW"),"",INDEX(J$1:J411,SUMPRODUCT(MAX(ROW(E$1:E411)*(E412=E$1:E411)))))</f>
        <v> </v>
      </c>
      <c r="L412" s="27"/>
    </row>
    <row r="413" spans="1:12">
      <c r="A413" s="20" t="s">
        <v>335</v>
      </c>
      <c r="E413" s="22">
        <f>IF(D413="?OLD","!!!","")</f>
        <v/>
      </c>
      <c r="F413" s="23" t="str">
        <f>IF(OR(E413="",E413="!!!"),"",IF(NOT(ISNA(VLOOKUP(E413,E$1:E412,1,FALSE()))),"OLD",IF(AND(E413&lt;&gt;"",E413&lt;&gt;"!!!"),"NEW","")))</f>
        <v> </v>
      </c>
      <c r="G413" s="24" t="str">
        <f>IF(OR(E413="",E413="!!!"),"",IF(OR(J413=0,AND(J413=1,K413=1),AND(J413=1,I413="SBJ"),AND(J413=1,I413=0)),"?IN_FOCUS",IF(J413&lt;=2,"?ACTIVATED",IF(J413&lt;&gt;"","?FAMILIAR",IF(F413="NEW",IF(ISNA(VLOOKUP(E413,#REF!,1,FALSE())),"?TYPE_IDENTIFIABLE","?REFERENTIAL"),"_")))))</f>
        <v> </v>
      </c>
      <c r="H413" s="25" t="str">
        <f>IF(J413&lt;&gt;1,"",IF(I413="SBJ","CB","?"))</f>
        <v> </v>
      </c>
      <c r="I413" s="26" t="str">
        <f>IF(OR(E413="",E413="!!!",F413="NEW"),"",INDEX(B412:B$2,-1+SUMPRODUCT(MAX(ROW(E412:E$2)*(E413=E412:E$2)))))</f>
        <v> </v>
      </c>
      <c r="J413" s="26" t="str">
        <f>IF(OR(E413="",E413="!!!",F413="NEW"),"",COUNTBLANK(OFFSET(A$1,,,SUMPRODUCT(MAX(ROW(E$2:E413)*(E413=E$2:E413)))))-COUNTBLANK(OFFSET(A$1,,,SUMPRODUCT(MAX(ROW(E$1:E412)*(E2=E$1:E412))))))</f>
        <v> </v>
      </c>
      <c r="K413" s="26" t="str">
        <f>IF(OR(E413="",E413="!!!",F413="NEW"),"",INDEX(J$1:J412,SUMPRODUCT(MAX(ROW(E$1:E412)*(E413=E$1:E412)))))</f>
        <v> </v>
      </c>
      <c r="L413" s="27"/>
    </row>
    <row r="414" spans="1:12">
      <c r="A414" s="20" t="s">
        <v>262</v>
      </c>
      <c r="E414" s="22">
        <f>IF(D414="?OLD","!!!","")</f>
        <v/>
      </c>
      <c r="F414" s="23" t="str">
        <f>IF(OR(E414="",E414="!!!"),"",IF(NOT(ISNA(VLOOKUP(E414,E$1:E413,1,FALSE()))),"OLD",IF(AND(E414&lt;&gt;"",E414&lt;&gt;"!!!"),"NEW","")))</f>
        <v> </v>
      </c>
      <c r="G414" s="24" t="str">
        <f>IF(OR(E414="",E414="!!!"),"",IF(OR(J414=0,AND(J414=1,K414=1),AND(J414=1,I414="SBJ"),AND(J414=1,I414=0)),"?IN_FOCUS",IF(J414&lt;=2,"?ACTIVATED",IF(J414&lt;&gt;"","?FAMILIAR",IF(F414="NEW",IF(ISNA(VLOOKUP(E414,#REF!,1,FALSE())),"?TYPE_IDENTIFIABLE","?REFERENTIAL"),"_")))))</f>
        <v> </v>
      </c>
      <c r="H414" s="25" t="str">
        <f>IF(J414&lt;&gt;1,"",IF(I414="SBJ","CB","?"))</f>
        <v> </v>
      </c>
      <c r="I414" s="26" t="str">
        <f>IF(OR(E414="",E414="!!!",F414="NEW"),"",INDEX(B413:B$2,-1+SUMPRODUCT(MAX(ROW(E413:E$2)*(E414=E413:E$2)))))</f>
        <v> </v>
      </c>
      <c r="J414" s="26" t="str">
        <f>IF(OR(E414="",E414="!!!",F414="NEW"),"",COUNTBLANK(OFFSET(A$1,,,SUMPRODUCT(MAX(ROW(E$2:E414)*(E414=E$2:E414)))))-COUNTBLANK(OFFSET(A$1,,,SUMPRODUCT(MAX(ROW(E$1:E413)*(E2=E$1:E413))))))</f>
        <v> </v>
      </c>
      <c r="K414" s="26" t="str">
        <f>IF(OR(E414="",E414="!!!",F414="NEW"),"",INDEX(J$1:J413,SUMPRODUCT(MAX(ROW(E$1:E413)*(E414=E$1:E413)))))</f>
        <v> </v>
      </c>
      <c r="L414" s="27"/>
    </row>
    <row r="415" spans="1:12">
      <c r="A415" s="20" t="s">
        <v>97</v>
      </c>
      <c r="E415" s="22">
        <f>IF(D415="?OLD","!!!","")</f>
        <v/>
      </c>
      <c r="F415" s="23" t="str">
        <f>IF(OR(E415="",E415="!!!"),"",IF(NOT(ISNA(VLOOKUP(E415,E$1:E414,1,FALSE()))),"OLD",IF(AND(E415&lt;&gt;"",E415&lt;&gt;"!!!"),"NEW","")))</f>
        <v> </v>
      </c>
      <c r="G415" s="24" t="str">
        <f>IF(OR(E415="",E415="!!!"),"",IF(OR(J415=0,AND(J415=1,K415=1),AND(J415=1,I415="SBJ"),AND(J415=1,I415=0)),"?IN_FOCUS",IF(J415&lt;=2,"?ACTIVATED",IF(J415&lt;&gt;"","?FAMILIAR",IF(F415="NEW",IF(ISNA(VLOOKUP(E415,#REF!,1,FALSE())),"?TYPE_IDENTIFIABLE","?REFERENTIAL"),"_")))))</f>
        <v> </v>
      </c>
      <c r="H415" s="25" t="str">
        <f>IF(J415&lt;&gt;1,"",IF(I415="SBJ","CB","?"))</f>
        <v> </v>
      </c>
      <c r="I415" s="26" t="str">
        <f>IF(OR(E415="",E415="!!!",F415="NEW"),"",INDEX(B414:B$2,-1+SUMPRODUCT(MAX(ROW(E414:E$2)*(E415=E414:E$2)))))</f>
        <v> </v>
      </c>
      <c r="J415" s="26" t="str">
        <f>IF(OR(E415="",E415="!!!",F415="NEW"),"",COUNTBLANK(OFFSET(A$1,,,SUMPRODUCT(MAX(ROW(E$2:E415)*(E415=E$2:E415)))))-COUNTBLANK(OFFSET(A$1,,,SUMPRODUCT(MAX(ROW(E$1:E414)*(E2=E$1:E414))))))</f>
        <v> </v>
      </c>
      <c r="K415" s="26" t="str">
        <f>IF(OR(E415="",E415="!!!",F415="NEW"),"",INDEX(J$1:J414,SUMPRODUCT(MAX(ROW(E$1:E414)*(E415=E$1:E414)))))</f>
        <v> </v>
      </c>
      <c r="L415" s="27"/>
    </row>
    <row r="416" spans="1:12">
      <c r="A416" s="20" t="s">
        <v>115</v>
      </c>
      <c r="E416" s="22">
        <f>IF(D416="?OLD","!!!","")</f>
        <v/>
      </c>
      <c r="F416" s="23" t="str">
        <f>IF(OR(E416="",E416="!!!"),"",IF(NOT(ISNA(VLOOKUP(E416,E$1:E415,1,FALSE()))),"OLD",IF(AND(E416&lt;&gt;"",E416&lt;&gt;"!!!"),"NEW","")))</f>
        <v> </v>
      </c>
      <c r="G416" s="24" t="str">
        <f>IF(OR(E416="",E416="!!!"),"",IF(OR(J416=0,AND(J416=1,K416=1),AND(J416=1,I416="SBJ"),AND(J416=1,I416=0)),"?IN_FOCUS",IF(J416&lt;=2,"?ACTIVATED",IF(J416&lt;&gt;"","?FAMILIAR",IF(F416="NEW",IF(ISNA(VLOOKUP(E416,#REF!,1,FALSE())),"?TYPE_IDENTIFIABLE","?REFERENTIAL"),"_")))))</f>
        <v> </v>
      </c>
      <c r="H416" s="25" t="str">
        <f>IF(J416&lt;&gt;1,"",IF(I416="SBJ","CB","?"))</f>
        <v> </v>
      </c>
      <c r="I416" s="26" t="str">
        <f>IF(OR(E416="",E416="!!!",F416="NEW"),"",INDEX(B415:B$2,-1+SUMPRODUCT(MAX(ROW(E415:E$2)*(E416=E415:E$2)))))</f>
        <v> </v>
      </c>
      <c r="J416" s="26" t="str">
        <f>IF(OR(E416="",E416="!!!",F416="NEW"),"",COUNTBLANK(OFFSET(A$1,,,SUMPRODUCT(MAX(ROW(E$2:E416)*(E416=E$2:E416)))))-COUNTBLANK(OFFSET(A$1,,,SUMPRODUCT(MAX(ROW(E$1:E415)*(E2=E$1:E415))))))</f>
        <v> </v>
      </c>
      <c r="K416" s="26" t="str">
        <f>IF(OR(E416="",E416="!!!",F416="NEW"),"",INDEX(J$1:J415,SUMPRODUCT(MAX(ROW(E$1:E415)*(E416=E$1:E415)))))</f>
        <v> </v>
      </c>
      <c r="L416" s="27"/>
    </row>
    <row r="417" spans="1:12">
      <c r="A417" s="20" t="s">
        <v>305</v>
      </c>
      <c r="B417" s="21" t="s">
        <v>107</v>
      </c>
      <c r="C417" s="21" t="s">
        <v>112</v>
      </c>
      <c r="D417" s="21" t="s">
        <v>102</v>
      </c>
      <c r="E417" s="22">
        <f>IF(D417="?OLD","!!!","")</f>
        <v/>
      </c>
      <c r="F417" s="23" t="str">
        <f>IF(OR(E417="",E417="!!!"),"",IF(NOT(ISNA(VLOOKUP(E417,E$1:E416,1,FALSE()))),"OLD",IF(AND(E417&lt;&gt;"",E417&lt;&gt;"!!!"),"NEW","")))</f>
        <v> </v>
      </c>
      <c r="G417" s="24" t="str">
        <f>IF(OR(E417="",E417="!!!"),"",IF(OR(J417=0,AND(J417=1,K417=1),AND(J417=1,I417="SBJ"),AND(J417=1,I417=0)),"?IN_FOCUS",IF(J417&lt;=2,"?ACTIVATED",IF(J417&lt;&gt;"","?FAMILIAR",IF(F417="NEW",IF(ISNA(VLOOKUP(E417,#REF!,1,FALSE())),"?TYPE_IDENTIFIABLE","?REFERENTIAL"),"_")))))</f>
        <v> </v>
      </c>
      <c r="H417" s="25" t="str">
        <f>IF(J417&lt;&gt;1,"",IF(I417="SBJ","CB","?"))</f>
        <v> </v>
      </c>
      <c r="I417" s="26" t="str">
        <f>IF(OR(E417="",E417="!!!",F417="NEW"),"",INDEX(B416:B$2,-1+SUMPRODUCT(MAX(ROW(E416:E$2)*(E417=E416:E$2)))))</f>
        <v> </v>
      </c>
      <c r="J417" s="26" t="str">
        <f>IF(OR(E417="",E417="!!!",F417="NEW"),"",COUNTBLANK(OFFSET(A$1,,,SUMPRODUCT(MAX(ROW(E$2:E417)*(E417=E$2:E417)))))-COUNTBLANK(OFFSET(A$1,,,SUMPRODUCT(MAX(ROW(E$1:E416)*(E2=E$1:E416))))))</f>
        <v> </v>
      </c>
      <c r="K417" s="26" t="str">
        <f>IF(OR(E417="",E417="!!!",F417="NEW"),"",INDEX(J$1:J416,SUMPRODUCT(MAX(ROW(E$1:E416)*(E417=E$1:E416)))))</f>
        <v> </v>
      </c>
      <c r="L417" s="27"/>
    </row>
    <row r="418" spans="1:12">
      <c r="A418" s="20" t="s">
        <v>137</v>
      </c>
      <c r="E418" s="22">
        <f>IF(D418="?OLD","!!!","")</f>
        <v/>
      </c>
      <c r="F418" s="23" t="str">
        <f>IF(OR(E418="",E418="!!!"),"",IF(NOT(ISNA(VLOOKUP(E418,E$1:E417,1,FALSE()))),"OLD",IF(AND(E418&lt;&gt;"",E418&lt;&gt;"!!!"),"NEW","")))</f>
        <v> </v>
      </c>
      <c r="G418" s="24" t="str">
        <f>IF(OR(E418="",E418="!!!"),"",IF(OR(J418=0,AND(J418=1,K418=1),AND(J418=1,I418="SBJ"),AND(J418=1,I418=0)),"?IN_FOCUS",IF(J418&lt;=2,"?ACTIVATED",IF(J418&lt;&gt;"","?FAMILIAR",IF(F418="NEW",IF(ISNA(VLOOKUP(E418,#REF!,1,FALSE())),"?TYPE_IDENTIFIABLE","?REFERENTIAL"),"_")))))</f>
        <v> </v>
      </c>
      <c r="H418" s="25" t="str">
        <f>IF(J418&lt;&gt;1,"",IF(I418="SBJ","CB","?"))</f>
        <v> </v>
      </c>
      <c r="I418" s="26" t="str">
        <f>IF(OR(E418="",E418="!!!",F418="NEW"),"",INDEX(B417:B$2,-1+SUMPRODUCT(MAX(ROW(E417:E$2)*(E418=E417:E$2)))))</f>
        <v> </v>
      </c>
      <c r="J418" s="26" t="str">
        <f>IF(OR(E418="",E418="!!!",F418="NEW"),"",COUNTBLANK(OFFSET(A$1,,,SUMPRODUCT(MAX(ROW(E$2:E418)*(E418=E$2:E418)))))-COUNTBLANK(OFFSET(A$1,,,SUMPRODUCT(MAX(ROW(E$1:E417)*(E2=E$1:E417))))))</f>
        <v> </v>
      </c>
      <c r="K418" s="26" t="str">
        <f>IF(OR(E418="",E418="!!!",F418="NEW"),"",INDEX(J$1:J417,SUMPRODUCT(MAX(ROW(E$1:E417)*(E418=E$1:E417)))))</f>
        <v> </v>
      </c>
      <c r="L418" s="27"/>
    </row>
    <row r="419" spans="1:12">
      <c r="A419" s="20" t="s">
        <v>136</v>
      </c>
      <c r="E419" s="22">
        <f>IF(D419="?OLD","!!!","")</f>
        <v/>
      </c>
      <c r="F419" s="23" t="str">
        <f>IF(OR(E419="",E419="!!!"),"",IF(NOT(ISNA(VLOOKUP(E419,E$1:E418,1,FALSE()))),"OLD",IF(AND(E419&lt;&gt;"",E419&lt;&gt;"!!!"),"NEW","")))</f>
        <v> </v>
      </c>
      <c r="G419" s="24" t="str">
        <f>IF(OR(E419="",E419="!!!"),"",IF(OR(J419=0,AND(J419=1,K419=1),AND(J419=1,I419="SBJ"),AND(J419=1,I419=0)),"?IN_FOCUS",IF(J419&lt;=2,"?ACTIVATED",IF(J419&lt;&gt;"","?FAMILIAR",IF(F419="NEW",IF(ISNA(VLOOKUP(E419,#REF!,1,FALSE())),"?TYPE_IDENTIFIABLE","?REFERENTIAL"),"_")))))</f>
        <v> </v>
      </c>
      <c r="H419" s="25" t="str">
        <f>IF(J419&lt;&gt;1,"",IF(I419="SBJ","CB","?"))</f>
        <v> </v>
      </c>
      <c r="I419" s="26" t="str">
        <f>IF(OR(E419="",E419="!!!",F419="NEW"),"",INDEX(B418:B$2,-1+SUMPRODUCT(MAX(ROW(E418:E$2)*(E419=E418:E$2)))))</f>
        <v> </v>
      </c>
      <c r="J419" s="26" t="str">
        <f>IF(OR(E419="",E419="!!!",F419="NEW"),"",COUNTBLANK(OFFSET(A$1,,,SUMPRODUCT(MAX(ROW(E$2:E419)*(E419=E$2:E419)))))-COUNTBLANK(OFFSET(A$1,,,SUMPRODUCT(MAX(ROW(E$1:E418)*(E2=E$1:E418))))))</f>
        <v> </v>
      </c>
      <c r="K419" s="26" t="str">
        <f>IF(OR(E419="",E419="!!!",F419="NEW"),"",INDEX(J$1:J418,SUMPRODUCT(MAX(ROW(E$1:E418)*(E419=E$1:E418)))))</f>
        <v> </v>
      </c>
      <c r="L419" s="27"/>
    </row>
    <row r="420" spans="1:12">
      <c r="A420" s="20" t="s">
        <v>155</v>
      </c>
      <c r="E420" s="22">
        <f>IF(D420="?OLD","!!!","")</f>
        <v/>
      </c>
      <c r="F420" s="23" t="str">
        <f>IF(OR(E420="",E420="!!!"),"",IF(NOT(ISNA(VLOOKUP(E420,E$1:E419,1,FALSE()))),"OLD",IF(AND(E420&lt;&gt;"",E420&lt;&gt;"!!!"),"NEW","")))</f>
        <v> </v>
      </c>
      <c r="G420" s="24" t="str">
        <f>IF(OR(E420="",E420="!!!"),"",IF(OR(J420=0,AND(J420=1,K420=1),AND(J420=1,I420="SBJ"),AND(J420=1,I420=0)),"?IN_FOCUS",IF(J420&lt;=2,"?ACTIVATED",IF(J420&lt;&gt;"","?FAMILIAR",IF(F420="NEW",IF(ISNA(VLOOKUP(E420,#REF!,1,FALSE())),"?TYPE_IDENTIFIABLE","?REFERENTIAL"),"_")))))</f>
        <v> </v>
      </c>
      <c r="H420" s="25" t="str">
        <f>IF(J420&lt;&gt;1,"",IF(I420="SBJ","CB","?"))</f>
        <v> </v>
      </c>
      <c r="I420" s="26" t="str">
        <f>IF(OR(E420="",E420="!!!",F420="NEW"),"",INDEX(B419:B$2,-1+SUMPRODUCT(MAX(ROW(E419:E$2)*(E420=E419:E$2)))))</f>
        <v> </v>
      </c>
      <c r="J420" s="26" t="str">
        <f>IF(OR(E420="",E420="!!!",F420="NEW"),"",COUNTBLANK(OFFSET(A$1,,,SUMPRODUCT(MAX(ROW(E$2:E420)*(E420=E$2:E420)))))-COUNTBLANK(OFFSET(A$1,,,SUMPRODUCT(MAX(ROW(E$1:E419)*(E2=E$1:E419))))))</f>
        <v> </v>
      </c>
      <c r="K420" s="26" t="str">
        <f>IF(OR(E420="",E420="!!!",F420="NEW"),"",INDEX(J$1:J419,SUMPRODUCT(MAX(ROW(E$1:E419)*(E420=E$1:E419)))))</f>
        <v> </v>
      </c>
      <c r="L420" s="27"/>
    </row>
    <row r="421" spans="1:12">
      <c r="A421" s="20"/>
    </row>
    <row r="422" spans="1:12">
      <c r="A422" s="20" t="s">
        <v>156</v>
      </c>
      <c r="E422" s="22">
        <f>IF(D422="?OLD","!!!","")</f>
        <v/>
      </c>
      <c r="F422" s="23" t="str">
        <f>IF(OR(E422="",E422="!!!"),"",IF(NOT(ISNA(VLOOKUP(E422,E$1:E421,1,FALSE()))),"OLD",IF(AND(E422&lt;&gt;"",E422&lt;&gt;"!!!"),"NEW","")))</f>
        <v> </v>
      </c>
      <c r="G422" s="24" t="str">
        <f>IF(OR(E422="",E422="!!!"),"",IF(OR(J422=0,AND(J422=1,K422=1),AND(J422=1,I422="SBJ"),AND(J422=1,I422=0)),"?IN_FOCUS",IF(J422&lt;=2,"?ACTIVATED",IF(J422&lt;&gt;"","?FAMILIAR",IF(F422="NEW",IF(ISNA(VLOOKUP(E422,#REF!,1,FALSE())),"?TYPE_IDENTIFIABLE","?REFERENTIAL"),"_")))))</f>
        <v> </v>
      </c>
      <c r="H422" s="25" t="str">
        <f>IF(J422&lt;&gt;1,"",IF(I422="SBJ","CB","?"))</f>
        <v> </v>
      </c>
      <c r="I422" s="26" t="str">
        <f>IF(OR(E422="",E422="!!!",F422="NEW"),"",INDEX(B421:B$2,-1+SUMPRODUCT(MAX(ROW(E421:E$2)*(E422=E421:E$2)))))</f>
        <v> </v>
      </c>
      <c r="J422" s="26" t="str">
        <f>IF(OR(E422="",E422="!!!",F422="NEW"),"",COUNTBLANK(OFFSET(A$1,,,SUMPRODUCT(MAX(ROW(E$2:E422)*(E422=E$2:E422)))))-COUNTBLANK(OFFSET(A$1,,,SUMPRODUCT(MAX(ROW(E$1:E421)*(E2=E$1:E421))))))</f>
        <v> </v>
      </c>
      <c r="K422" s="26" t="str">
        <f>IF(OR(E422="",E422="!!!",F422="NEW"),"",INDEX(J$1:J421,SUMPRODUCT(MAX(ROW(E$1:E421)*(E422=E$1:E421)))))</f>
        <v> </v>
      </c>
      <c r="L422" s="27"/>
    </row>
    <row r="423" spans="1:12">
      <c r="A423" s="20" t="s">
        <v>336</v>
      </c>
    </row>
    <row r="424" spans="1:12">
      <c r="A424" s="20" t="s">
        <v>332</v>
      </c>
      <c r="B424" s="21" t="s">
        <v>91</v>
      </c>
      <c r="C424" s="21" t="s">
        <v>104</v>
      </c>
      <c r="D424" s="21" t="s">
        <v>102</v>
      </c>
      <c r="E424" s="22">
        <f>IF(D424="?OLD","!!!","")</f>
        <v/>
      </c>
      <c r="F424" s="23" t="str">
        <f>IF(OR(E424="",E424="!!!"),"",IF(NOT(ISNA(VLOOKUP(E424,E$1:E423,1,FALSE()))),"OLD",IF(AND(E424&lt;&gt;"",E424&lt;&gt;"!!!"),"NEW","")))</f>
        <v> </v>
      </c>
      <c r="G424" s="24" t="str">
        <f>IF(OR(E424="",E424="!!!"),"",IF(OR(J424=0,AND(J424=1,K424=1),AND(J424=1,I424="SBJ"),AND(J424=1,I424=0)),"?IN_FOCUS",IF(J424&lt;=2,"?ACTIVATED",IF(J424&lt;&gt;"","?FAMILIAR",IF(F424="NEW",IF(ISNA(VLOOKUP(E424,#REF!,1,FALSE())),"?TYPE_IDENTIFIABLE","?REFERENTIAL"),"_")))))</f>
        <v> </v>
      </c>
      <c r="H424" s="25" t="str">
        <f>IF(J424&lt;&gt;1,"",IF(I424="SBJ","CB","?"))</f>
        <v> </v>
      </c>
      <c r="I424" s="26" t="str">
        <f>IF(OR(E424="",E424="!!!",F424="NEW"),"",INDEX(B423:B$2,-1+SUMPRODUCT(MAX(ROW(E423:E$2)*(E424=E423:E$2)))))</f>
        <v> </v>
      </c>
      <c r="J424" s="26" t="str">
        <f>IF(OR(E424="",E424="!!!",F424="NEW"),"",COUNTBLANK(OFFSET(A$1,,,SUMPRODUCT(MAX(ROW(E$2:E424)*(E424=E$2:E424)))))-COUNTBLANK(OFFSET(A$1,,,SUMPRODUCT(MAX(ROW(E$1:E423)*(E2=E$1:E423))))))</f>
        <v> </v>
      </c>
      <c r="K424" s="26" t="str">
        <f>IF(OR(E424="",E424="!!!",F424="NEW"),"",INDEX(J$1:J423,SUMPRODUCT(MAX(ROW(E$1:E423)*(E424=E$1:E423)))))</f>
        <v> </v>
      </c>
      <c r="L424" s="27"/>
    </row>
    <row r="425" spans="1:12">
      <c r="A425" s="20" t="s">
        <v>170</v>
      </c>
      <c r="E425" s="22">
        <f>IF(D425="?OLD","!!!","")</f>
        <v/>
      </c>
      <c r="F425" s="23" t="str">
        <f>IF(OR(E425="",E425="!!!"),"",IF(NOT(ISNA(VLOOKUP(E425,E$1:E424,1,FALSE()))),"OLD",IF(AND(E425&lt;&gt;"",E425&lt;&gt;"!!!"),"NEW","")))</f>
        <v> </v>
      </c>
      <c r="G425" s="24" t="str">
        <f>IF(OR(E425="",E425="!!!"),"",IF(OR(J425=0,AND(J425=1,K425=1),AND(J425=1,I425="SBJ"),AND(J425=1,I425=0)),"?IN_FOCUS",IF(J425&lt;=2,"?ACTIVATED",IF(J425&lt;&gt;"","?FAMILIAR",IF(F425="NEW",IF(ISNA(VLOOKUP(E425,#REF!,1,FALSE())),"?TYPE_IDENTIFIABLE","?REFERENTIAL"),"_")))))</f>
        <v> </v>
      </c>
      <c r="H425" s="25" t="str">
        <f>IF(J425&lt;&gt;1,"",IF(I425="SBJ","CB","?"))</f>
        <v> </v>
      </c>
      <c r="I425" s="26" t="str">
        <f>IF(OR(E425="",E425="!!!",F425="NEW"),"",INDEX(B424:B$2,-1+SUMPRODUCT(MAX(ROW(E424:E$2)*(E425=E424:E$2)))))</f>
        <v> </v>
      </c>
      <c r="J425" s="26" t="str">
        <f>IF(OR(E425="",E425="!!!",F425="NEW"),"",COUNTBLANK(OFFSET(A$1,,,SUMPRODUCT(MAX(ROW(E$2:E425)*(E425=E$2:E425)))))-COUNTBLANK(OFFSET(A$1,,,SUMPRODUCT(MAX(ROW(E$1:E424)*(E2=E$1:E424))))))</f>
        <v> </v>
      </c>
      <c r="K425" s="26" t="str">
        <f>IF(OR(E425="",E425="!!!",F425="NEW"),"",INDEX(J$1:J424,SUMPRODUCT(MAX(ROW(E$1:E424)*(E425=E$1:E424)))))</f>
        <v> </v>
      </c>
      <c r="L425" s="27"/>
    </row>
    <row r="426" spans="1:12">
      <c r="A426" s="20" t="s">
        <v>214</v>
      </c>
      <c r="E426" s="22">
        <f>IF(D426="?OLD","!!!","")</f>
        <v/>
      </c>
      <c r="F426" s="23" t="str">
        <f>IF(OR(E426="",E426="!!!"),"",IF(NOT(ISNA(VLOOKUP(E426,E$1:E425,1,FALSE()))),"OLD",IF(AND(E426&lt;&gt;"",E426&lt;&gt;"!!!"),"NEW","")))</f>
        <v> </v>
      </c>
      <c r="G426" s="24" t="str">
        <f>IF(OR(E426="",E426="!!!"),"",IF(OR(J426=0,AND(J426=1,K426=1),AND(J426=1,I426="SBJ"),AND(J426=1,I426=0)),"?IN_FOCUS",IF(J426&lt;=2,"?ACTIVATED",IF(J426&lt;&gt;"","?FAMILIAR",IF(F426="NEW",IF(ISNA(VLOOKUP(E426,#REF!,1,FALSE())),"?TYPE_IDENTIFIABLE","?REFERENTIAL"),"_")))))</f>
        <v> </v>
      </c>
      <c r="H426" s="25" t="str">
        <f>IF(J426&lt;&gt;1,"",IF(I426="SBJ","CB","?"))</f>
        <v> </v>
      </c>
      <c r="I426" s="26" t="str">
        <f>IF(OR(E426="",E426="!!!",F426="NEW"),"",INDEX(B425:B$2,-1+SUMPRODUCT(MAX(ROW(E425:E$2)*(E426=E425:E$2)))))</f>
        <v> </v>
      </c>
      <c r="J426" s="26" t="str">
        <f>IF(OR(E426="",E426="!!!",F426="NEW"),"",COUNTBLANK(OFFSET(A$1,,,SUMPRODUCT(MAX(ROW(E$2:E426)*(E426=E$2:E426)))))-COUNTBLANK(OFFSET(A$1,,,SUMPRODUCT(MAX(ROW(E$1:E425)*(E2=E$1:E425))))))</f>
        <v> </v>
      </c>
      <c r="K426" s="26" t="str">
        <f>IF(OR(E426="",E426="!!!",F426="NEW"),"",INDEX(J$1:J425,SUMPRODUCT(MAX(ROW(E$1:E425)*(E426=E$1:E425)))))</f>
        <v> </v>
      </c>
      <c r="L426" s="27"/>
    </row>
    <row r="427" spans="1:12">
      <c r="A427" s="20" t="s">
        <v>177</v>
      </c>
      <c r="E427" s="22">
        <f>IF(D427="?OLD","!!!","")</f>
        <v/>
      </c>
      <c r="F427" s="23" t="str">
        <f>IF(OR(E427="",E427="!!!"),"",IF(NOT(ISNA(VLOOKUP(E427,E$1:E426,1,FALSE()))),"OLD",IF(AND(E427&lt;&gt;"",E427&lt;&gt;"!!!"),"NEW","")))</f>
        <v> </v>
      </c>
      <c r="G427" s="24" t="str">
        <f>IF(OR(E427="",E427="!!!"),"",IF(OR(J427=0,AND(J427=1,K427=1),AND(J427=1,I427="SBJ"),AND(J427=1,I427=0)),"?IN_FOCUS",IF(J427&lt;=2,"?ACTIVATED",IF(J427&lt;&gt;"","?FAMILIAR",IF(F427="NEW",IF(ISNA(VLOOKUP(E427,#REF!,1,FALSE())),"?TYPE_IDENTIFIABLE","?REFERENTIAL"),"_")))))</f>
        <v> </v>
      </c>
      <c r="H427" s="25" t="str">
        <f>IF(J427&lt;&gt;1,"",IF(I427="SBJ","CB","?"))</f>
        <v> </v>
      </c>
      <c r="I427" s="26" t="str">
        <f>IF(OR(E427="",E427="!!!",F427="NEW"),"",INDEX(B426:B$2,-1+SUMPRODUCT(MAX(ROW(E426:E$2)*(E427=E426:E$2)))))</f>
        <v> </v>
      </c>
      <c r="J427" s="26" t="str">
        <f>IF(OR(E427="",E427="!!!",F427="NEW"),"",COUNTBLANK(OFFSET(A$1,,,SUMPRODUCT(MAX(ROW(E$2:E427)*(E427=E$2:E427)))))-COUNTBLANK(OFFSET(A$1,,,SUMPRODUCT(MAX(ROW(E$1:E426)*(E2=E$1:E426))))))</f>
        <v> </v>
      </c>
      <c r="K427" s="26" t="str">
        <f>IF(OR(E427="",E427="!!!",F427="NEW"),"",INDEX(J$1:J426,SUMPRODUCT(MAX(ROW(E$1:E426)*(E427=E$1:E426)))))</f>
        <v> </v>
      </c>
      <c r="L427" s="27"/>
    </row>
    <row r="428" spans="1:12">
      <c r="A428" s="20" t="s">
        <v>301</v>
      </c>
      <c r="B428" s="21" t="s">
        <v>100</v>
      </c>
      <c r="C428" s="21" t="s">
        <v>92</v>
      </c>
      <c r="E428" s="22">
        <f>IF(D428="?OLD","!!!","")</f>
        <v/>
      </c>
      <c r="F428" s="23" t="str">
        <f>IF(OR(E428="",E428="!!!"),"",IF(NOT(ISNA(VLOOKUP(E428,E$1:E427,1,FALSE()))),"OLD",IF(AND(E428&lt;&gt;"",E428&lt;&gt;"!!!"),"NEW","")))</f>
        <v> </v>
      </c>
      <c r="G428" s="24" t="str">
        <f>IF(OR(E428="",E428="!!!"),"",IF(OR(J428=0,AND(J428=1,K428=1),AND(J428=1,I428="SBJ"),AND(J428=1,I428=0)),"?IN_FOCUS",IF(J428&lt;=2,"?ACTIVATED",IF(J428&lt;&gt;"","?FAMILIAR",IF(F428="NEW",IF(ISNA(VLOOKUP(E428,#REF!,1,FALSE())),"?TYPE_IDENTIFIABLE","?REFERENTIAL"),"_")))))</f>
        <v> </v>
      </c>
      <c r="H428" s="25" t="str">
        <f>IF(J428&lt;&gt;1,"",IF(I428="SBJ","CB","?"))</f>
        <v> </v>
      </c>
      <c r="I428" s="26" t="str">
        <f>IF(OR(E428="",E428="!!!",F428="NEW"),"",INDEX(B427:B$2,-1+SUMPRODUCT(MAX(ROW(E427:E$2)*(E428=E427:E$2)))))</f>
        <v> </v>
      </c>
      <c r="J428" s="26" t="str">
        <f>IF(OR(E428="",E428="!!!",F428="NEW"),"",COUNTBLANK(OFFSET(A$1,,,SUMPRODUCT(MAX(ROW(E$2:E428)*(E428=E$2:E428)))))-COUNTBLANK(OFFSET(A$1,,,SUMPRODUCT(MAX(ROW(E$1:E427)*(E2=E$1:E427))))))</f>
        <v> </v>
      </c>
      <c r="K428" s="26" t="str">
        <f>IF(OR(E428="",E428="!!!",F428="NEW"),"",INDEX(J$1:J427,SUMPRODUCT(MAX(ROW(E$1:E427)*(E428=E$1:E427)))))</f>
        <v> </v>
      </c>
      <c r="L428" s="27"/>
    </row>
    <row r="429" spans="1:12">
      <c r="A429" s="20" t="s">
        <v>337</v>
      </c>
      <c r="E429" s="22">
        <f>IF(D429="?OLD","!!!","")</f>
        <v/>
      </c>
      <c r="F429" s="23" t="str">
        <f>IF(OR(E429="",E429="!!!"),"",IF(NOT(ISNA(VLOOKUP(E429,E$1:E428,1,FALSE()))),"OLD",IF(AND(E429&lt;&gt;"",E429&lt;&gt;"!!!"),"NEW","")))</f>
        <v> </v>
      </c>
      <c r="G429" s="24" t="str">
        <f>IF(OR(E429="",E429="!!!"),"",IF(OR(J429=0,AND(J429=1,K429=1),AND(J429=1,I429="SBJ"),AND(J429=1,I429=0)),"?IN_FOCUS",IF(J429&lt;=2,"?ACTIVATED",IF(J429&lt;&gt;"","?FAMILIAR",IF(F429="NEW",IF(ISNA(VLOOKUP(E429,#REF!,1,FALSE())),"?TYPE_IDENTIFIABLE","?REFERENTIAL"),"_")))))</f>
        <v> </v>
      </c>
      <c r="H429" s="25" t="str">
        <f>IF(J429&lt;&gt;1,"",IF(I429="SBJ","CB","?"))</f>
        <v> </v>
      </c>
      <c r="I429" s="26" t="str">
        <f>IF(OR(E429="",E429="!!!",F429="NEW"),"",INDEX(B428:B$2,-1+SUMPRODUCT(MAX(ROW(E428:E$2)*(E429=E428:E$2)))))</f>
        <v> </v>
      </c>
      <c r="J429" s="26" t="str">
        <f>IF(OR(E429="",E429="!!!",F429="NEW"),"",COUNTBLANK(OFFSET(A$1,,,SUMPRODUCT(MAX(ROW(E$2:E429)*(E429=E$2:E429)))))-COUNTBLANK(OFFSET(A$1,,,SUMPRODUCT(MAX(ROW(E$1:E428)*(E2=E$1:E428))))))</f>
        <v> </v>
      </c>
      <c r="K429" s="26" t="str">
        <f>IF(OR(E429="",E429="!!!",F429="NEW"),"",INDEX(J$1:J428,SUMPRODUCT(MAX(ROW(E$1:E428)*(E429=E$1:E428)))))</f>
        <v> </v>
      </c>
      <c r="L429" s="27"/>
    </row>
    <row r="430" spans="1:12">
      <c r="A430" s="20" t="s">
        <v>338</v>
      </c>
      <c r="B430" s="21" t="s">
        <v>107</v>
      </c>
      <c r="C430" s="21" t="s">
        <v>101</v>
      </c>
      <c r="D430" s="21" t="s">
        <v>102</v>
      </c>
      <c r="E430" s="22">
        <f>IF(D430="?OLD","!!!","")</f>
        <v/>
      </c>
      <c r="F430" s="23" t="str">
        <f>IF(OR(E430="",E430="!!!"),"",IF(NOT(ISNA(VLOOKUP(E430,E$1:E429,1,FALSE()))),"OLD",IF(AND(E430&lt;&gt;"",E430&lt;&gt;"!!!"),"NEW","")))</f>
        <v> </v>
      </c>
      <c r="G430" s="24" t="str">
        <f>IF(OR(E430="",E430="!!!"),"",IF(OR(J430=0,AND(J430=1,K430=1),AND(J430=1,I430="SBJ"),AND(J430=1,I430=0)),"?IN_FOCUS",IF(J430&lt;=2,"?ACTIVATED",IF(J430&lt;&gt;"","?FAMILIAR",IF(F430="NEW",IF(ISNA(VLOOKUP(E430,#REF!,1,FALSE())),"?TYPE_IDENTIFIABLE","?REFERENTIAL"),"_")))))</f>
        <v> </v>
      </c>
      <c r="H430" s="25" t="str">
        <f>IF(J430&lt;&gt;1,"",IF(I430="SBJ","CB","?"))</f>
        <v> </v>
      </c>
      <c r="I430" s="26" t="str">
        <f>IF(OR(E430="",E430="!!!",F430="NEW"),"",INDEX(B429:B$2,-1+SUMPRODUCT(MAX(ROW(E429:E$2)*(E430=E429:E$2)))))</f>
        <v> </v>
      </c>
      <c r="J430" s="26" t="str">
        <f>IF(OR(E430="",E430="!!!",F430="NEW"),"",COUNTBLANK(OFFSET(A$1,,,SUMPRODUCT(MAX(ROW(E$2:E430)*(E430=E$2:E430)))))-COUNTBLANK(OFFSET(A$1,,,SUMPRODUCT(MAX(ROW(E$1:E429)*(E2=E$1:E429))))))</f>
        <v> </v>
      </c>
      <c r="K430" s="26" t="str">
        <f>IF(OR(E430="",E430="!!!",F430="NEW"),"",INDEX(J$1:J429,SUMPRODUCT(MAX(ROW(E$1:E429)*(E430=E$1:E429)))))</f>
        <v> </v>
      </c>
      <c r="L430" s="27"/>
    </row>
    <row r="431" spans="1:12">
      <c r="A431" s="20" t="s">
        <v>132</v>
      </c>
      <c r="E431" s="22">
        <f>IF(D431="?OLD","!!!","")</f>
        <v/>
      </c>
      <c r="F431" s="23" t="str">
        <f>IF(OR(E431="",E431="!!!"),"",IF(NOT(ISNA(VLOOKUP(E431,E$1:E430,1,FALSE()))),"OLD",IF(AND(E431&lt;&gt;"",E431&lt;&gt;"!!!"),"NEW","")))</f>
        <v> </v>
      </c>
      <c r="G431" s="24" t="str">
        <f>IF(OR(E431="",E431="!!!"),"",IF(OR(J431=0,AND(J431=1,K431=1),AND(J431=1,I431="SBJ"),AND(J431=1,I431=0)),"?IN_FOCUS",IF(J431&lt;=2,"?ACTIVATED",IF(J431&lt;&gt;"","?FAMILIAR",IF(F431="NEW",IF(ISNA(VLOOKUP(E431,#REF!,1,FALSE())),"?TYPE_IDENTIFIABLE","?REFERENTIAL"),"_")))))</f>
        <v> </v>
      </c>
      <c r="H431" s="25" t="str">
        <f>IF(J431&lt;&gt;1,"",IF(I431="SBJ","CB","?"))</f>
        <v> </v>
      </c>
      <c r="I431" s="26" t="str">
        <f>IF(OR(E431="",E431="!!!",F431="NEW"),"",INDEX(B430:B$2,-1+SUMPRODUCT(MAX(ROW(E430:E$2)*(E431=E430:E$2)))))</f>
        <v> </v>
      </c>
      <c r="J431" s="26" t="str">
        <f>IF(OR(E431="",E431="!!!",F431="NEW"),"",COUNTBLANK(OFFSET(A$1,,,SUMPRODUCT(MAX(ROW(E$2:E431)*(E431=E$2:E431)))))-COUNTBLANK(OFFSET(A$1,,,SUMPRODUCT(MAX(ROW(E$1:E430)*(E2=E$1:E430))))))</f>
        <v> </v>
      </c>
      <c r="K431" s="26" t="str">
        <f>IF(OR(E431="",E431="!!!",F431="NEW"),"",INDEX(J$1:J430,SUMPRODUCT(MAX(ROW(E$1:E430)*(E431=E$1:E430)))))</f>
        <v> </v>
      </c>
      <c r="L431" s="27"/>
    </row>
    <row r="432" spans="1:12">
      <c r="A432" s="20" t="s">
        <v>234</v>
      </c>
      <c r="E432" s="22">
        <f>IF(D432="?OLD","!!!","")</f>
        <v/>
      </c>
      <c r="F432" s="23" t="str">
        <f>IF(OR(E432="",E432="!!!"),"",IF(NOT(ISNA(VLOOKUP(E432,E$1:E431,1,FALSE()))),"OLD",IF(AND(E432&lt;&gt;"",E432&lt;&gt;"!!!"),"NEW","")))</f>
        <v> </v>
      </c>
      <c r="G432" s="24" t="str">
        <f>IF(OR(E432="",E432="!!!"),"",IF(OR(J432=0,AND(J432=1,K432=1),AND(J432=1,I432="SBJ"),AND(J432=1,I432=0)),"?IN_FOCUS",IF(J432&lt;=2,"?ACTIVATED",IF(J432&lt;&gt;"","?FAMILIAR",IF(F432="NEW",IF(ISNA(VLOOKUP(E432,#REF!,1,FALSE())),"?TYPE_IDENTIFIABLE","?REFERENTIAL"),"_")))))</f>
        <v> </v>
      </c>
      <c r="H432" s="25" t="str">
        <f>IF(J432&lt;&gt;1,"",IF(I432="SBJ","CB","?"))</f>
        <v> </v>
      </c>
      <c r="I432" s="26" t="str">
        <f>IF(OR(E432="",E432="!!!",F432="NEW"),"",INDEX(B431:B$2,-1+SUMPRODUCT(MAX(ROW(E431:E$2)*(E432=E431:E$2)))))</f>
        <v> </v>
      </c>
      <c r="J432" s="26" t="str">
        <f>IF(OR(E432="",E432="!!!",F432="NEW"),"",COUNTBLANK(OFFSET(A$1,,,SUMPRODUCT(MAX(ROW(E$2:E432)*(E432=E$2:E432)))))-COUNTBLANK(OFFSET(A$1,,,SUMPRODUCT(MAX(ROW(E$1:E431)*(E2=E$1:E431))))))</f>
        <v> </v>
      </c>
      <c r="K432" s="26" t="str">
        <f>IF(OR(E432="",E432="!!!",F432="NEW"),"",INDEX(J$1:J431,SUMPRODUCT(MAX(ROW(E$1:E431)*(E432=E$1:E431)))))</f>
        <v> </v>
      </c>
      <c r="L432" s="27"/>
    </row>
    <row r="433" spans="1:12">
      <c r="A433" s="20" t="s">
        <v>339</v>
      </c>
      <c r="E433" s="22">
        <f>IF(D433="?OLD","!!!","")</f>
        <v/>
      </c>
      <c r="F433" s="23" t="str">
        <f>IF(OR(E433="",E433="!!!"),"",IF(NOT(ISNA(VLOOKUP(E433,E$1:E432,1,FALSE()))),"OLD",IF(AND(E433&lt;&gt;"",E433&lt;&gt;"!!!"),"NEW","")))</f>
        <v> </v>
      </c>
      <c r="G433" s="24" t="str">
        <f>IF(OR(E433="",E433="!!!"),"",IF(OR(J433=0,AND(J433=1,K433=1),AND(J433=1,I433="SBJ"),AND(J433=1,I433=0)),"?IN_FOCUS",IF(J433&lt;=2,"?ACTIVATED",IF(J433&lt;&gt;"","?FAMILIAR",IF(F433="NEW",IF(ISNA(VLOOKUP(E433,#REF!,1,FALSE())),"?TYPE_IDENTIFIABLE","?REFERENTIAL"),"_")))))</f>
        <v> </v>
      </c>
      <c r="H433" s="25" t="str">
        <f>IF(J433&lt;&gt;1,"",IF(I433="SBJ","CB","?"))</f>
        <v> </v>
      </c>
      <c r="I433" s="26" t="str">
        <f>IF(OR(E433="",E433="!!!",F433="NEW"),"",INDEX(B432:B$2,-1+SUMPRODUCT(MAX(ROW(E432:E$2)*(E433=E432:E$2)))))</f>
        <v> </v>
      </c>
      <c r="J433" s="26" t="str">
        <f>IF(OR(E433="",E433="!!!",F433="NEW"),"",COUNTBLANK(OFFSET(A$1,,,SUMPRODUCT(MAX(ROW(E$2:E433)*(E433=E$2:E433)))))-COUNTBLANK(OFFSET(A$1,,,SUMPRODUCT(MAX(ROW(E$1:E432)*(E2=E$1:E432))))))</f>
        <v> </v>
      </c>
      <c r="K433" s="26" t="str">
        <f>IF(OR(E433="",E433="!!!",F433="NEW"),"",INDEX(J$1:J432,SUMPRODUCT(MAX(ROW(E$1:E432)*(E433=E$1:E432)))))</f>
        <v> </v>
      </c>
      <c r="L433" s="27"/>
    </row>
    <row r="434" spans="1:12">
      <c r="A434" s="20" t="s">
        <v>97</v>
      </c>
      <c r="E434" s="22">
        <f>IF(D434="?OLD","!!!","")</f>
        <v/>
      </c>
      <c r="F434" s="23" t="str">
        <f>IF(OR(E434="",E434="!!!"),"",IF(NOT(ISNA(VLOOKUP(E434,E$1:E433,1,FALSE()))),"OLD",IF(AND(E434&lt;&gt;"",E434&lt;&gt;"!!!"),"NEW","")))</f>
        <v> </v>
      </c>
      <c r="G434" s="24" t="str">
        <f>IF(OR(E434="",E434="!!!"),"",IF(OR(J434=0,AND(J434=1,K434=1),AND(J434=1,I434="SBJ"),AND(J434=1,I434=0)),"?IN_FOCUS",IF(J434&lt;=2,"?ACTIVATED",IF(J434&lt;&gt;"","?FAMILIAR",IF(F434="NEW",IF(ISNA(VLOOKUP(E434,#REF!,1,FALSE())),"?TYPE_IDENTIFIABLE","?REFERENTIAL"),"_")))))</f>
        <v> </v>
      </c>
      <c r="H434" s="25" t="str">
        <f>IF(J434&lt;&gt;1,"",IF(I434="SBJ","CB","?"))</f>
        <v> </v>
      </c>
      <c r="I434" s="26" t="str">
        <f>IF(OR(E434="",E434="!!!",F434="NEW"),"",INDEX(B433:B$2,-1+SUMPRODUCT(MAX(ROW(E433:E$2)*(E434=E433:E$2)))))</f>
        <v> </v>
      </c>
      <c r="J434" s="26" t="str">
        <f>IF(OR(E434="",E434="!!!",F434="NEW"),"",COUNTBLANK(OFFSET(A$1,,,SUMPRODUCT(MAX(ROW(E$2:E434)*(E434=E$2:E434)))))-COUNTBLANK(OFFSET(A$1,,,SUMPRODUCT(MAX(ROW(E$1:E433)*(E2=E$1:E433))))))</f>
        <v> </v>
      </c>
      <c r="K434" s="26" t="str">
        <f>IF(OR(E434="",E434="!!!",F434="NEW"),"",INDEX(J$1:J433,SUMPRODUCT(MAX(ROW(E$1:E433)*(E434=E$1:E433)))))</f>
        <v> </v>
      </c>
      <c r="L434" s="27"/>
    </row>
    <row r="435" spans="1:12">
      <c r="A435" s="20" t="s">
        <v>340</v>
      </c>
      <c r="E435" s="22">
        <f>IF(D435="?OLD","!!!","")</f>
        <v/>
      </c>
      <c r="F435" s="23" t="str">
        <f>IF(OR(E435="",E435="!!!"),"",IF(NOT(ISNA(VLOOKUP(E435,E$1:E434,1,FALSE()))),"OLD",IF(AND(E435&lt;&gt;"",E435&lt;&gt;"!!!"),"NEW","")))</f>
        <v> </v>
      </c>
      <c r="G435" s="24" t="str">
        <f>IF(OR(E435="",E435="!!!"),"",IF(OR(J435=0,AND(J435=1,K435=1),AND(J435=1,I435="SBJ"),AND(J435=1,I435=0)),"?IN_FOCUS",IF(J435&lt;=2,"?ACTIVATED",IF(J435&lt;&gt;"","?FAMILIAR",IF(F435="NEW",IF(ISNA(VLOOKUP(E435,#REF!,1,FALSE())),"?TYPE_IDENTIFIABLE","?REFERENTIAL"),"_")))))</f>
        <v> </v>
      </c>
      <c r="H435" s="25" t="str">
        <f>IF(J435&lt;&gt;1,"",IF(I435="SBJ","CB","?"))</f>
        <v> </v>
      </c>
      <c r="I435" s="26" t="str">
        <f>IF(OR(E435="",E435="!!!",F435="NEW"),"",INDEX(B434:B$2,-1+SUMPRODUCT(MAX(ROW(E434:E$2)*(E435=E434:E$2)))))</f>
        <v> </v>
      </c>
      <c r="J435" s="26" t="str">
        <f>IF(OR(E435="",E435="!!!",F435="NEW"),"",COUNTBLANK(OFFSET(A$1,,,SUMPRODUCT(MAX(ROW(E$2:E435)*(E435=E$2:E435)))))-COUNTBLANK(OFFSET(A$1,,,SUMPRODUCT(MAX(ROW(E$1:E434)*(E2=E$1:E434))))))</f>
        <v> </v>
      </c>
      <c r="K435" s="26" t="str">
        <f>IF(OR(E435="",E435="!!!",F435="NEW"),"",INDEX(J$1:J434,SUMPRODUCT(MAX(ROW(E$1:E434)*(E435=E$1:E434)))))</f>
        <v> </v>
      </c>
      <c r="L435" s="27"/>
    </row>
    <row r="436" spans="1:12">
      <c r="A436" s="20" t="s">
        <v>139</v>
      </c>
      <c r="E436" s="22">
        <f>IF(D436="?OLD","!!!","")</f>
        <v/>
      </c>
      <c r="F436" s="23" t="str">
        <f>IF(OR(E436="",E436="!!!"),"",IF(NOT(ISNA(VLOOKUP(E436,E$1:E435,1,FALSE()))),"OLD",IF(AND(E436&lt;&gt;"",E436&lt;&gt;"!!!"),"NEW","")))</f>
        <v> </v>
      </c>
      <c r="G436" s="24" t="str">
        <f>IF(OR(E436="",E436="!!!"),"",IF(OR(J436=0,AND(J436=1,K436=1),AND(J436=1,I436="SBJ"),AND(J436=1,I436=0)),"?IN_FOCUS",IF(J436&lt;=2,"?ACTIVATED",IF(J436&lt;&gt;"","?FAMILIAR",IF(F436="NEW",IF(ISNA(VLOOKUP(E436,#REF!,1,FALSE())),"?TYPE_IDENTIFIABLE","?REFERENTIAL"),"_")))))</f>
        <v> </v>
      </c>
      <c r="H436" s="25" t="str">
        <f>IF(J436&lt;&gt;1,"",IF(I436="SBJ","CB","?"))</f>
        <v> </v>
      </c>
      <c r="I436" s="26" t="str">
        <f>IF(OR(E436="",E436="!!!",F436="NEW"),"",INDEX(B435:B$2,-1+SUMPRODUCT(MAX(ROW(E435:E$2)*(E436=E435:E$2)))))</f>
        <v> </v>
      </c>
      <c r="J436" s="26" t="str">
        <f>IF(OR(E436="",E436="!!!",F436="NEW"),"",COUNTBLANK(OFFSET(A$1,,,SUMPRODUCT(MAX(ROW(E$2:E436)*(E436=E$2:E436)))))-COUNTBLANK(OFFSET(A$1,,,SUMPRODUCT(MAX(ROW(E$1:E435)*(E2=E$1:E435))))))</f>
        <v> </v>
      </c>
      <c r="K436" s="26" t="str">
        <f>IF(OR(E436="",E436="!!!",F436="NEW"),"",INDEX(J$1:J435,SUMPRODUCT(MAX(ROW(E$1:E435)*(E436=E$1:E435)))))</f>
        <v> </v>
      </c>
      <c r="L436" s="27"/>
    </row>
    <row r="437" spans="1:12">
      <c r="A437" s="20" t="s">
        <v>341</v>
      </c>
      <c r="E437" s="22">
        <f>IF(D437="?OLD","!!!","")</f>
        <v/>
      </c>
      <c r="F437" s="23" t="str">
        <f>IF(OR(E437="",E437="!!!"),"",IF(NOT(ISNA(VLOOKUP(E437,E$1:E436,1,FALSE()))),"OLD",IF(AND(E437&lt;&gt;"",E437&lt;&gt;"!!!"),"NEW","")))</f>
        <v> </v>
      </c>
      <c r="G437" s="24" t="str">
        <f>IF(OR(E437="",E437="!!!"),"",IF(OR(J437=0,AND(J437=1,K437=1),AND(J437=1,I437="SBJ"),AND(J437=1,I437=0)),"?IN_FOCUS",IF(J437&lt;=2,"?ACTIVATED",IF(J437&lt;&gt;"","?FAMILIAR",IF(F437="NEW",IF(ISNA(VLOOKUP(E437,#REF!,1,FALSE())),"?TYPE_IDENTIFIABLE","?REFERENTIAL"),"_")))))</f>
        <v> </v>
      </c>
      <c r="H437" s="25" t="str">
        <f>IF(J437&lt;&gt;1,"",IF(I437="SBJ","CB","?"))</f>
        <v> </v>
      </c>
      <c r="I437" s="26" t="str">
        <f>IF(OR(E437="",E437="!!!",F437="NEW"),"",INDEX(B436:B$2,-1+SUMPRODUCT(MAX(ROW(E436:E$2)*(E437=E436:E$2)))))</f>
        <v> </v>
      </c>
      <c r="J437" s="26" t="str">
        <f>IF(OR(E437="",E437="!!!",F437="NEW"),"",COUNTBLANK(OFFSET(A$1,,,SUMPRODUCT(MAX(ROW(E$2:E437)*(E437=E$2:E437)))))-COUNTBLANK(OFFSET(A$1,,,SUMPRODUCT(MAX(ROW(E$1:E436)*(E2=E$1:E436))))))</f>
        <v> </v>
      </c>
      <c r="K437" s="26" t="str">
        <f>IF(OR(E437="",E437="!!!",F437="NEW"),"",INDEX(J$1:J436,SUMPRODUCT(MAX(ROW(E$1:E436)*(E437=E$1:E436)))))</f>
        <v> </v>
      </c>
      <c r="L437" s="27"/>
    </row>
    <row r="438" spans="1:12">
      <c r="A438" s="20" t="s">
        <v>342</v>
      </c>
      <c r="E438" s="22">
        <f>IF(D438="?OLD","!!!","")</f>
        <v/>
      </c>
      <c r="F438" s="23" t="str">
        <f>IF(OR(E438="",E438="!!!"),"",IF(NOT(ISNA(VLOOKUP(E438,E$1:E437,1,FALSE()))),"OLD",IF(AND(E438&lt;&gt;"",E438&lt;&gt;"!!!"),"NEW","")))</f>
        <v> </v>
      </c>
      <c r="G438" s="24" t="str">
        <f>IF(OR(E438="",E438="!!!"),"",IF(OR(J438=0,AND(J438=1,K438=1),AND(J438=1,I438="SBJ"),AND(J438=1,I438=0)),"?IN_FOCUS",IF(J438&lt;=2,"?ACTIVATED",IF(J438&lt;&gt;"","?FAMILIAR",IF(F438="NEW",IF(ISNA(VLOOKUP(E438,#REF!,1,FALSE())),"?TYPE_IDENTIFIABLE","?REFERENTIAL"),"_")))))</f>
        <v> </v>
      </c>
      <c r="H438" s="25" t="str">
        <f>IF(J438&lt;&gt;1,"",IF(I438="SBJ","CB","?"))</f>
        <v> </v>
      </c>
      <c r="I438" s="26" t="str">
        <f>IF(OR(E438="",E438="!!!",F438="NEW"),"",INDEX(B437:B$2,-1+SUMPRODUCT(MAX(ROW(E437:E$2)*(E438=E437:E$2)))))</f>
        <v> </v>
      </c>
      <c r="J438" s="26" t="str">
        <f>IF(OR(E438="",E438="!!!",F438="NEW"),"",COUNTBLANK(OFFSET(A$1,,,SUMPRODUCT(MAX(ROW(E$2:E438)*(E438=E$2:E438)))))-COUNTBLANK(OFFSET(A$1,,,SUMPRODUCT(MAX(ROW(E$1:E437)*(E2=E$1:E437))))))</f>
        <v> </v>
      </c>
      <c r="K438" s="26" t="str">
        <f>IF(OR(E438="",E438="!!!",F438="NEW"),"",INDEX(J$1:J437,SUMPRODUCT(MAX(ROW(E$1:E437)*(E438=E$1:E437)))))</f>
        <v> </v>
      </c>
      <c r="L438" s="27"/>
    </row>
    <row r="439" spans="1:12">
      <c r="A439" s="20" t="s">
        <v>343</v>
      </c>
      <c r="B439" s="21" t="s">
        <v>107</v>
      </c>
      <c r="C439" s="21" t="s">
        <v>112</v>
      </c>
      <c r="D439" s="21" t="s">
        <v>102</v>
      </c>
      <c r="E439" s="22">
        <f>IF(D439="?OLD","!!!","")</f>
        <v/>
      </c>
      <c r="F439" s="23" t="str">
        <f>IF(OR(E439="",E439="!!!"),"",IF(NOT(ISNA(VLOOKUP(E439,E$1:E438,1,FALSE()))),"OLD",IF(AND(E439&lt;&gt;"",E439&lt;&gt;"!!!"),"NEW","")))</f>
        <v> </v>
      </c>
      <c r="G439" s="24" t="str">
        <f>IF(OR(E439="",E439="!!!"),"",IF(OR(J439=0,AND(J439=1,K439=1),AND(J439=1,I439="SBJ"),AND(J439=1,I439=0)),"?IN_FOCUS",IF(J439&lt;=2,"?ACTIVATED",IF(J439&lt;&gt;"","?FAMILIAR",IF(F439="NEW",IF(ISNA(VLOOKUP(E439,#REF!,1,FALSE())),"?TYPE_IDENTIFIABLE","?REFERENTIAL"),"_")))))</f>
        <v> </v>
      </c>
      <c r="H439" s="25" t="str">
        <f>IF(J439&lt;&gt;1,"",IF(I439="SBJ","CB","?"))</f>
        <v> </v>
      </c>
      <c r="I439" s="26" t="str">
        <f>IF(OR(E439="",E439="!!!",F439="NEW"),"",INDEX(B438:B$2,-1+SUMPRODUCT(MAX(ROW(E438:E$2)*(E439=E438:E$2)))))</f>
        <v> </v>
      </c>
      <c r="J439" s="26" t="str">
        <f>IF(OR(E439="",E439="!!!",F439="NEW"),"",COUNTBLANK(OFFSET(A$1,,,SUMPRODUCT(MAX(ROW(E$2:E439)*(E439=E$2:E439)))))-COUNTBLANK(OFFSET(A$1,,,SUMPRODUCT(MAX(ROW(E$1:E438)*(E2=E$1:E438))))))</f>
        <v> </v>
      </c>
      <c r="K439" s="26" t="str">
        <f>IF(OR(E439="",E439="!!!",F439="NEW"),"",INDEX(J$1:J438,SUMPRODUCT(MAX(ROW(E$1:E438)*(E439=E$1:E438)))))</f>
        <v> </v>
      </c>
      <c r="L439" s="27"/>
    </row>
    <row r="440" spans="1:12">
      <c r="A440" s="20" t="s">
        <v>169</v>
      </c>
      <c r="E440" s="22">
        <f>IF(D440="?OLD","!!!","")</f>
        <v/>
      </c>
      <c r="F440" s="23" t="str">
        <f>IF(OR(E440="",E440="!!!"),"",IF(NOT(ISNA(VLOOKUP(E440,E$1:E439,1,FALSE()))),"OLD",IF(AND(E440&lt;&gt;"",E440&lt;&gt;"!!!"),"NEW","")))</f>
        <v> </v>
      </c>
      <c r="G440" s="24" t="str">
        <f>IF(OR(E440="",E440="!!!"),"",IF(OR(J440=0,AND(J440=1,K440=1),AND(J440=1,I440="SBJ"),AND(J440=1,I440=0)),"?IN_FOCUS",IF(J440&lt;=2,"?ACTIVATED",IF(J440&lt;&gt;"","?FAMILIAR",IF(F440="NEW",IF(ISNA(VLOOKUP(E440,#REF!,1,FALSE())),"?TYPE_IDENTIFIABLE","?REFERENTIAL"),"_")))))</f>
        <v> </v>
      </c>
      <c r="H440" s="25" t="str">
        <f>IF(J440&lt;&gt;1,"",IF(I440="SBJ","CB","?"))</f>
        <v> </v>
      </c>
      <c r="I440" s="26" t="str">
        <f>IF(OR(E440="",E440="!!!",F440="NEW"),"",INDEX(B439:B$2,-1+SUMPRODUCT(MAX(ROW(E439:E$2)*(E440=E439:E$2)))))</f>
        <v> </v>
      </c>
      <c r="J440" s="26" t="str">
        <f>IF(OR(E440="",E440="!!!",F440="NEW"),"",COUNTBLANK(OFFSET(A$1,,,SUMPRODUCT(MAX(ROW(E$2:E440)*(E440=E$2:E440)))))-COUNTBLANK(OFFSET(A$1,,,SUMPRODUCT(MAX(ROW(E$1:E439)*(E2=E$1:E439))))))</f>
        <v> </v>
      </c>
      <c r="K440" s="26" t="str">
        <f>IF(OR(E440="",E440="!!!",F440="NEW"),"",INDEX(J$1:J439,SUMPRODUCT(MAX(ROW(E$1:E439)*(E440=E$1:E439)))))</f>
        <v> </v>
      </c>
      <c r="L440" s="27"/>
    </row>
    <row r="441" spans="1:12">
      <c r="A441" s="20" t="s">
        <v>344</v>
      </c>
      <c r="B441" s="21" t="s">
        <v>120</v>
      </c>
      <c r="C441" s="21" t="s">
        <v>92</v>
      </c>
      <c r="E441" s="22">
        <f>IF(D441="?OLD","!!!","")</f>
        <v/>
      </c>
      <c r="F441" s="23" t="str">
        <f>IF(OR(E441="",E441="!!!"),"",IF(NOT(ISNA(VLOOKUP(E441,E$1:E440,1,FALSE()))),"OLD",IF(AND(E441&lt;&gt;"",E441&lt;&gt;"!!!"),"NEW","")))</f>
        <v> </v>
      </c>
      <c r="G441" s="24" t="str">
        <f>IF(OR(E441="",E441="!!!"),"",IF(OR(J441=0,AND(J441=1,K441=1),AND(J441=1,I441="SBJ"),AND(J441=1,I441=0)),"?IN_FOCUS",IF(J441&lt;=2,"?ACTIVATED",IF(J441&lt;&gt;"","?FAMILIAR",IF(F441="NEW",IF(ISNA(VLOOKUP(E441,#REF!,1,FALSE())),"?TYPE_IDENTIFIABLE","?REFERENTIAL"),"_")))))</f>
        <v> </v>
      </c>
      <c r="H441" s="25" t="str">
        <f>IF(J441&lt;&gt;1,"",IF(I441="SBJ","CB","?"))</f>
        <v> </v>
      </c>
      <c r="I441" s="26" t="str">
        <f>IF(OR(E441="",E441="!!!",F441="NEW"),"",INDEX(B440:B$2,-1+SUMPRODUCT(MAX(ROW(E440:E$2)*(E441=E440:E$2)))))</f>
        <v> </v>
      </c>
      <c r="J441" s="26" t="str">
        <f>IF(OR(E441="",E441="!!!",F441="NEW"),"",COUNTBLANK(OFFSET(A$1,,,SUMPRODUCT(MAX(ROW(E$2:E441)*(E441=E$2:E441)))))-COUNTBLANK(OFFSET(A$1,,,SUMPRODUCT(MAX(ROW(E$1:E440)*(E2=E$1:E440))))))</f>
        <v> </v>
      </c>
      <c r="K441" s="26" t="str">
        <f>IF(OR(E441="",E441="!!!",F441="NEW"),"",INDEX(J$1:J440,SUMPRODUCT(MAX(ROW(E$1:E440)*(E441=E$1:E440)))))</f>
        <v> </v>
      </c>
      <c r="L441" s="27"/>
    </row>
    <row r="442" spans="1:12">
      <c r="A442" s="20" t="s">
        <v>169</v>
      </c>
      <c r="E442" s="22">
        <f>IF(D442="?OLD","!!!","")</f>
        <v/>
      </c>
      <c r="F442" s="23" t="str">
        <f>IF(OR(E442="",E442="!!!"),"",IF(NOT(ISNA(VLOOKUP(E442,E$1:E441,1,FALSE()))),"OLD",IF(AND(E442&lt;&gt;"",E442&lt;&gt;"!!!"),"NEW","")))</f>
        <v> </v>
      </c>
      <c r="G442" s="24" t="str">
        <f>IF(OR(E442="",E442="!!!"),"",IF(OR(J442=0,AND(J442=1,K442=1),AND(J442=1,I442="SBJ"),AND(J442=1,I442=0)),"?IN_FOCUS",IF(J442&lt;=2,"?ACTIVATED",IF(J442&lt;&gt;"","?FAMILIAR",IF(F442="NEW",IF(ISNA(VLOOKUP(E442,#REF!,1,FALSE())),"?TYPE_IDENTIFIABLE","?REFERENTIAL"),"_")))))</f>
        <v> </v>
      </c>
      <c r="H442" s="25" t="str">
        <f>IF(J442&lt;&gt;1,"",IF(I442="SBJ","CB","?"))</f>
        <v> </v>
      </c>
      <c r="I442" s="26" t="str">
        <f>IF(OR(E442="",E442="!!!",F442="NEW"),"",INDEX(B441:B$2,-1+SUMPRODUCT(MAX(ROW(E441:E$2)*(E442=E441:E$2)))))</f>
        <v> </v>
      </c>
      <c r="J442" s="26" t="str">
        <f>IF(OR(E442="",E442="!!!",F442="NEW"),"",COUNTBLANK(OFFSET(A$1,,,SUMPRODUCT(MAX(ROW(E$2:E442)*(E442=E$2:E442)))))-COUNTBLANK(OFFSET(A$1,,,SUMPRODUCT(MAX(ROW(E$1:E441)*(E2=E$1:E441))))))</f>
        <v> </v>
      </c>
      <c r="K442" s="26" t="str">
        <f>IF(OR(E442="",E442="!!!",F442="NEW"),"",INDEX(J$1:J441,SUMPRODUCT(MAX(ROW(E$1:E441)*(E442=E$1:E441)))))</f>
        <v> </v>
      </c>
      <c r="L442" s="27"/>
    </row>
    <row r="443" spans="1:12">
      <c r="A443" s="20" t="s">
        <v>345</v>
      </c>
      <c r="E443" s="22">
        <f>IF(D443="?OLD","!!!","")</f>
        <v/>
      </c>
      <c r="F443" s="23" t="str">
        <f>IF(OR(E443="",E443="!!!"),"",IF(NOT(ISNA(VLOOKUP(E443,E$1:E442,1,FALSE()))),"OLD",IF(AND(E443&lt;&gt;"",E443&lt;&gt;"!!!"),"NEW","")))</f>
        <v> </v>
      </c>
      <c r="G443" s="24" t="str">
        <f>IF(OR(E443="",E443="!!!"),"",IF(OR(J443=0,AND(J443=1,K443=1),AND(J443=1,I443="SBJ"),AND(J443=1,I443=0)),"?IN_FOCUS",IF(J443&lt;=2,"?ACTIVATED",IF(J443&lt;&gt;"","?FAMILIAR",IF(F443="NEW",IF(ISNA(VLOOKUP(E443,#REF!,1,FALSE())),"?TYPE_IDENTIFIABLE","?REFERENTIAL"),"_")))))</f>
        <v> </v>
      </c>
      <c r="H443" s="25" t="str">
        <f>IF(J443&lt;&gt;1,"",IF(I443="SBJ","CB","?"))</f>
        <v> </v>
      </c>
      <c r="I443" s="26" t="str">
        <f>IF(OR(E443="",E443="!!!",F443="NEW"),"",INDEX(B442:B$2,-1+SUMPRODUCT(MAX(ROW(E442:E$2)*(E443=E442:E$2)))))</f>
        <v> </v>
      </c>
      <c r="J443" s="26" t="str">
        <f>IF(OR(E443="",E443="!!!",F443="NEW"),"",COUNTBLANK(OFFSET(A$1,,,SUMPRODUCT(MAX(ROW(E$2:E443)*(E443=E$2:E443)))))-COUNTBLANK(OFFSET(A$1,,,SUMPRODUCT(MAX(ROW(E$1:E442)*(E2=E$1:E442))))))</f>
        <v> </v>
      </c>
      <c r="K443" s="26" t="str">
        <f>IF(OR(E443="",E443="!!!",F443="NEW"),"",INDEX(J$1:J442,SUMPRODUCT(MAX(ROW(E$1:E442)*(E443=E$1:E442)))))</f>
        <v> </v>
      </c>
      <c r="L443" s="27"/>
    </row>
    <row r="444" spans="1:12">
      <c r="A444" s="20" t="s">
        <v>115</v>
      </c>
      <c r="E444" s="22">
        <f>IF(D444="?OLD","!!!","")</f>
        <v/>
      </c>
      <c r="F444" s="23" t="str">
        <f>IF(OR(E444="",E444="!!!"),"",IF(NOT(ISNA(VLOOKUP(E444,E$1:E443,1,FALSE()))),"OLD",IF(AND(E444&lt;&gt;"",E444&lt;&gt;"!!!"),"NEW","")))</f>
        <v> </v>
      </c>
      <c r="G444" s="24" t="str">
        <f>IF(OR(E444="",E444="!!!"),"",IF(OR(J444=0,AND(J444=1,K444=1),AND(J444=1,I444="SBJ"),AND(J444=1,I444=0)),"?IN_FOCUS",IF(J444&lt;=2,"?ACTIVATED",IF(J444&lt;&gt;"","?FAMILIAR",IF(F444="NEW",IF(ISNA(VLOOKUP(E444,#REF!,1,FALSE())),"?TYPE_IDENTIFIABLE","?REFERENTIAL"),"_")))))</f>
        <v> </v>
      </c>
      <c r="H444" s="25" t="str">
        <f>IF(J444&lt;&gt;1,"",IF(I444="SBJ","CB","?"))</f>
        <v> </v>
      </c>
      <c r="I444" s="26" t="str">
        <f>IF(OR(E444="",E444="!!!",F444="NEW"),"",INDEX(B443:B$2,-1+SUMPRODUCT(MAX(ROW(E443:E$2)*(E444=E443:E$2)))))</f>
        <v> </v>
      </c>
      <c r="J444" s="26" t="str">
        <f>IF(OR(E444="",E444="!!!",F444="NEW"),"",COUNTBLANK(OFFSET(A$1,,,SUMPRODUCT(MAX(ROW(E$2:E444)*(E444=E$2:E444)))))-COUNTBLANK(OFFSET(A$1,,,SUMPRODUCT(MAX(ROW(E$1:E443)*(E2=E$1:E443))))))</f>
        <v> </v>
      </c>
      <c r="K444" s="26" t="str">
        <f>IF(OR(E444="",E444="!!!",F444="NEW"),"",INDEX(J$1:J443,SUMPRODUCT(MAX(ROW(E$1:E443)*(E444=E$1:E443)))))</f>
        <v> </v>
      </c>
      <c r="L444" s="27"/>
    </row>
    <row r="445" spans="1:12">
      <c r="A445" s="20" t="s">
        <v>186</v>
      </c>
      <c r="B445" s="21" t="s">
        <v>346</v>
      </c>
      <c r="C445" s="21" t="s">
        <v>112</v>
      </c>
      <c r="D445" s="21" t="s">
        <v>102</v>
      </c>
      <c r="E445" s="22">
        <f>IF(D445="?OLD","!!!","")</f>
        <v/>
      </c>
      <c r="F445" s="23" t="str">
        <f>IF(OR(E445="",E445="!!!"),"",IF(NOT(ISNA(VLOOKUP(E445,E$1:E444,1,FALSE()))),"OLD",IF(AND(E445&lt;&gt;"",E445&lt;&gt;"!!!"),"NEW","")))</f>
        <v> </v>
      </c>
      <c r="G445" s="24" t="str">
        <f>IF(OR(E445="",E445="!!!"),"",IF(OR(J445=0,AND(J445=1,K445=1),AND(J445=1,I445="SBJ"),AND(J445=1,I445=0)),"?IN_FOCUS",IF(J445&lt;=2,"?ACTIVATED",IF(J445&lt;&gt;"","?FAMILIAR",IF(F445="NEW",IF(ISNA(VLOOKUP(E445,#REF!,1,FALSE())),"?TYPE_IDENTIFIABLE","?REFERENTIAL"),"_")))))</f>
        <v> </v>
      </c>
      <c r="H445" s="25" t="str">
        <f>IF(J445&lt;&gt;1,"",IF(I445="SBJ","CB","?"))</f>
        <v> </v>
      </c>
      <c r="I445" s="26" t="str">
        <f>IF(OR(E445="",E445="!!!",F445="NEW"),"",INDEX(B444:B$2,-1+SUMPRODUCT(MAX(ROW(E444:E$2)*(E445=E444:E$2)))))</f>
        <v> </v>
      </c>
      <c r="J445" s="26" t="str">
        <f>IF(OR(E445="",E445="!!!",F445="NEW"),"",COUNTBLANK(OFFSET(A$1,,,SUMPRODUCT(MAX(ROW(E$2:E445)*(E445=E$2:E445)))))-COUNTBLANK(OFFSET(A$1,,,SUMPRODUCT(MAX(ROW(E$1:E444)*(E2=E$1:E444))))))</f>
        <v> </v>
      </c>
      <c r="K445" s="26" t="str">
        <f>IF(OR(E445="",E445="!!!",F445="NEW"),"",INDEX(J$1:J444,SUMPRODUCT(MAX(ROW(E$1:E444)*(E445=E$1:E444)))))</f>
        <v> </v>
      </c>
      <c r="L445" s="27"/>
    </row>
    <row r="446" spans="1:12">
      <c r="A446" s="20" t="s">
        <v>97</v>
      </c>
      <c r="E446" s="22">
        <f>IF(D446="?OLD","!!!","")</f>
        <v/>
      </c>
      <c r="F446" s="23" t="str">
        <f>IF(OR(E446="",E446="!!!"),"",IF(NOT(ISNA(VLOOKUP(E446,E$1:E445,1,FALSE()))),"OLD",IF(AND(E446&lt;&gt;"",E446&lt;&gt;"!!!"),"NEW","")))</f>
        <v> </v>
      </c>
      <c r="G446" s="24" t="str">
        <f>IF(OR(E446="",E446="!!!"),"",IF(OR(J446=0,AND(J446=1,K446=1),AND(J446=1,I446="SBJ"),AND(J446=1,I446=0)),"?IN_FOCUS",IF(J446&lt;=2,"?ACTIVATED",IF(J446&lt;&gt;"","?FAMILIAR",IF(F446="NEW",IF(ISNA(VLOOKUP(E446,#REF!,1,FALSE())),"?TYPE_IDENTIFIABLE","?REFERENTIAL"),"_")))))</f>
        <v> </v>
      </c>
      <c r="H446" s="25" t="str">
        <f>IF(J446&lt;&gt;1,"",IF(I446="SBJ","CB","?"))</f>
        <v> </v>
      </c>
      <c r="I446" s="26" t="str">
        <f>IF(OR(E446="",E446="!!!",F446="NEW"),"",INDEX(B445:B$2,-1+SUMPRODUCT(MAX(ROW(E445:E$2)*(E446=E445:E$2)))))</f>
        <v> </v>
      </c>
      <c r="J446" s="26" t="str">
        <f>IF(OR(E446="",E446="!!!",F446="NEW"),"",COUNTBLANK(OFFSET(A$1,,,SUMPRODUCT(MAX(ROW(E$2:E446)*(E446=E$2:E446)))))-COUNTBLANK(OFFSET(A$1,,,SUMPRODUCT(MAX(ROW(E$1:E445)*(E2=E$1:E445))))))</f>
        <v> </v>
      </c>
      <c r="K446" s="26" t="str">
        <f>IF(OR(E446="",E446="!!!",F446="NEW"),"",INDEX(J$1:J445,SUMPRODUCT(MAX(ROW(E$1:E445)*(E446=E$1:E445)))))</f>
        <v> </v>
      </c>
      <c r="L446" s="27"/>
    </row>
    <row r="447" spans="1:12">
      <c r="A447" s="20" t="s">
        <v>347</v>
      </c>
      <c r="B447" s="21" t="s">
        <v>127</v>
      </c>
      <c r="C447" s="21" t="s">
        <v>92</v>
      </c>
      <c r="E447" s="22">
        <f>IF(D447="?OLD","!!!","")</f>
        <v/>
      </c>
      <c r="F447" s="23" t="str">
        <f>IF(OR(E447="",E447="!!!"),"",IF(NOT(ISNA(VLOOKUP(E447,E$1:E446,1,FALSE()))),"OLD",IF(AND(E447&lt;&gt;"",E447&lt;&gt;"!!!"),"NEW","")))</f>
        <v> </v>
      </c>
      <c r="G447" s="24" t="str">
        <f>IF(OR(E447="",E447="!!!"),"",IF(OR(J447=0,AND(J447=1,K447=1),AND(J447=1,I447="SBJ"),AND(J447=1,I447=0)),"?IN_FOCUS",IF(J447&lt;=2,"?ACTIVATED",IF(J447&lt;&gt;"","?FAMILIAR",IF(F447="NEW",IF(ISNA(VLOOKUP(E447,#REF!,1,FALSE())),"?TYPE_IDENTIFIABLE","?REFERENTIAL"),"_")))))</f>
        <v> </v>
      </c>
      <c r="H447" s="25" t="str">
        <f>IF(J447&lt;&gt;1,"",IF(I447="SBJ","CB","?"))</f>
        <v> </v>
      </c>
      <c r="I447" s="26" t="str">
        <f>IF(OR(E447="",E447="!!!",F447="NEW"),"",INDEX(B446:B$2,-1+SUMPRODUCT(MAX(ROW(E446:E$2)*(E447=E446:E$2)))))</f>
        <v> </v>
      </c>
      <c r="J447" s="26" t="str">
        <f>IF(OR(E447="",E447="!!!",F447="NEW"),"",COUNTBLANK(OFFSET(A$1,,,SUMPRODUCT(MAX(ROW(E$2:E447)*(E447=E$2:E447)))))-COUNTBLANK(OFFSET(A$1,,,SUMPRODUCT(MAX(ROW(E$1:E446)*(E2=E$1:E446))))))</f>
        <v> </v>
      </c>
      <c r="K447" s="26" t="str">
        <f>IF(OR(E447="",E447="!!!",F447="NEW"),"",INDEX(J$1:J446,SUMPRODUCT(MAX(ROW(E$1:E446)*(E447=E$1:E446)))))</f>
        <v> </v>
      </c>
      <c r="L447" s="27"/>
    </row>
    <row r="448" spans="1:12">
      <c r="A448" s="20" t="s">
        <v>169</v>
      </c>
      <c r="E448" s="22">
        <f>IF(D448="?OLD","!!!","")</f>
        <v/>
      </c>
      <c r="F448" s="23" t="str">
        <f>IF(OR(E448="",E448="!!!"),"",IF(NOT(ISNA(VLOOKUP(E448,E$1:E447,1,FALSE()))),"OLD",IF(AND(E448&lt;&gt;"",E448&lt;&gt;"!!!"),"NEW","")))</f>
        <v> </v>
      </c>
      <c r="G448" s="24" t="str">
        <f>IF(OR(E448="",E448="!!!"),"",IF(OR(J448=0,AND(J448=1,K448=1),AND(J448=1,I448="SBJ"),AND(J448=1,I448=0)),"?IN_FOCUS",IF(J448&lt;=2,"?ACTIVATED",IF(J448&lt;&gt;"","?FAMILIAR",IF(F448="NEW",IF(ISNA(VLOOKUP(E448,#REF!,1,FALSE())),"?TYPE_IDENTIFIABLE","?REFERENTIAL"),"_")))))</f>
        <v> </v>
      </c>
      <c r="H448" s="25" t="str">
        <f>IF(J448&lt;&gt;1,"",IF(I448="SBJ","CB","?"))</f>
        <v> </v>
      </c>
      <c r="I448" s="26" t="str">
        <f>IF(OR(E448="",E448="!!!",F448="NEW"),"",INDEX(B447:B$2,-1+SUMPRODUCT(MAX(ROW(E447:E$2)*(E448=E447:E$2)))))</f>
        <v> </v>
      </c>
      <c r="J448" s="26" t="str">
        <f>IF(OR(E448="",E448="!!!",F448="NEW"),"",COUNTBLANK(OFFSET(A$1,,,SUMPRODUCT(MAX(ROW(E$2:E448)*(E448=E$2:E448)))))-COUNTBLANK(OFFSET(A$1,,,SUMPRODUCT(MAX(ROW(E$1:E447)*(E2=E$1:E447))))))</f>
        <v> </v>
      </c>
      <c r="K448" s="26" t="str">
        <f>IF(OR(E448="",E448="!!!",F448="NEW"),"",INDEX(J$1:J447,SUMPRODUCT(MAX(ROW(E$1:E447)*(E448=E$1:E447)))))</f>
        <v> </v>
      </c>
      <c r="L448" s="27"/>
    </row>
    <row r="449" spans="1:12">
      <c r="A449" s="20" t="s">
        <v>348</v>
      </c>
      <c r="E449" s="22">
        <f>IF(D449="?OLD","!!!","")</f>
        <v/>
      </c>
      <c r="F449" s="23" t="str">
        <f>IF(OR(E449="",E449="!!!"),"",IF(NOT(ISNA(VLOOKUP(E449,E$1:E448,1,FALSE()))),"OLD",IF(AND(E449&lt;&gt;"",E449&lt;&gt;"!!!"),"NEW","")))</f>
        <v> </v>
      </c>
      <c r="G449" s="24" t="str">
        <f>IF(OR(E449="",E449="!!!"),"",IF(OR(J449=0,AND(J449=1,K449=1),AND(J449=1,I449="SBJ"),AND(J449=1,I449=0)),"?IN_FOCUS",IF(J449&lt;=2,"?ACTIVATED",IF(J449&lt;&gt;"","?FAMILIAR",IF(F449="NEW",IF(ISNA(VLOOKUP(E449,#REF!,1,FALSE())),"?TYPE_IDENTIFIABLE","?REFERENTIAL"),"_")))))</f>
        <v> </v>
      </c>
      <c r="H449" s="25" t="str">
        <f>IF(J449&lt;&gt;1,"",IF(I449="SBJ","CB","?"))</f>
        <v> </v>
      </c>
      <c r="I449" s="26" t="str">
        <f>IF(OR(E449="",E449="!!!",F449="NEW"),"",INDEX(B448:B$2,-1+SUMPRODUCT(MAX(ROW(E448:E$2)*(E449=E448:E$2)))))</f>
        <v> </v>
      </c>
      <c r="J449" s="26" t="str">
        <f>IF(OR(E449="",E449="!!!",F449="NEW"),"",COUNTBLANK(OFFSET(A$1,,,SUMPRODUCT(MAX(ROW(E$2:E449)*(E449=E$2:E449)))))-COUNTBLANK(OFFSET(A$1,,,SUMPRODUCT(MAX(ROW(E$1:E448)*(E2=E$1:E448))))))</f>
        <v> </v>
      </c>
      <c r="K449" s="26" t="str">
        <f>IF(OR(E449="",E449="!!!",F449="NEW"),"",INDEX(J$1:J448,SUMPRODUCT(MAX(ROW(E$1:E448)*(E449=E$1:E448)))))</f>
        <v> </v>
      </c>
      <c r="L449" s="27"/>
    </row>
    <row r="450" spans="1:12">
      <c r="A450" s="20" t="s">
        <v>349</v>
      </c>
      <c r="B450" s="21" t="s">
        <v>127</v>
      </c>
      <c r="C450" s="21" t="s">
        <v>280</v>
      </c>
      <c r="E450" s="22">
        <f>IF(D450="?OLD","!!!","")</f>
        <v/>
      </c>
      <c r="F450" s="23" t="str">
        <f>IF(OR(E450="",E450="!!!"),"",IF(NOT(ISNA(VLOOKUP(E450,E$1:E449,1,FALSE()))),"OLD",IF(AND(E450&lt;&gt;"",E450&lt;&gt;"!!!"),"NEW","")))</f>
        <v> </v>
      </c>
      <c r="G450" s="24" t="str">
        <f>IF(OR(E450="",E450="!!!"),"",IF(OR(J450=0,AND(J450=1,K450=1),AND(J450=1,I450="SBJ"),AND(J450=1,I450=0)),"?IN_FOCUS",IF(J450&lt;=2,"?ACTIVATED",IF(J450&lt;&gt;"","?FAMILIAR",IF(F450="NEW",IF(ISNA(VLOOKUP(E450,#REF!,1,FALSE())),"?TYPE_IDENTIFIABLE","?REFERENTIAL"),"_")))))</f>
        <v> </v>
      </c>
      <c r="H450" s="25" t="str">
        <f>IF(J450&lt;&gt;1,"",IF(I450="SBJ","CB","?"))</f>
        <v> </v>
      </c>
      <c r="I450" s="26" t="str">
        <f>IF(OR(E450="",E450="!!!",F450="NEW"),"",INDEX(B449:B$2,-1+SUMPRODUCT(MAX(ROW(E449:E$2)*(E450=E449:E$2)))))</f>
        <v> </v>
      </c>
      <c r="J450" s="26" t="str">
        <f>IF(OR(E450="",E450="!!!",F450="NEW"),"",COUNTBLANK(OFFSET(A$1,,,SUMPRODUCT(MAX(ROW(E$2:E450)*(E450=E$2:E450)))))-COUNTBLANK(OFFSET(A$1,,,SUMPRODUCT(MAX(ROW(E$1:E449)*(E2=E$1:E449))))))</f>
        <v> </v>
      </c>
      <c r="K450" s="26" t="str">
        <f>IF(OR(E450="",E450="!!!",F450="NEW"),"",INDEX(J$1:J449,SUMPRODUCT(MAX(ROW(E$1:E449)*(E450=E$1:E449)))))</f>
        <v> </v>
      </c>
      <c r="L450" s="27"/>
    </row>
    <row r="451" spans="1:12">
      <c r="A451" s="20" t="s">
        <v>234</v>
      </c>
      <c r="E451" s="22">
        <f>IF(D451="?OLD","!!!","")</f>
        <v/>
      </c>
      <c r="F451" s="23" t="str">
        <f>IF(OR(E451="",E451="!!!"),"",IF(NOT(ISNA(VLOOKUP(E451,E$1:E450,1,FALSE()))),"OLD",IF(AND(E451&lt;&gt;"",E451&lt;&gt;"!!!"),"NEW","")))</f>
        <v> </v>
      </c>
      <c r="G451" s="24" t="str">
        <f>IF(OR(E451="",E451="!!!"),"",IF(OR(J451=0,AND(J451=1,K451=1),AND(J451=1,I451="SBJ"),AND(J451=1,I451=0)),"?IN_FOCUS",IF(J451&lt;=2,"?ACTIVATED",IF(J451&lt;&gt;"","?FAMILIAR",IF(F451="NEW",IF(ISNA(VLOOKUP(E451,#REF!,1,FALSE())),"?TYPE_IDENTIFIABLE","?REFERENTIAL"),"_")))))</f>
        <v> </v>
      </c>
      <c r="H451" s="25" t="str">
        <f>IF(J451&lt;&gt;1,"",IF(I451="SBJ","CB","?"))</f>
        <v> </v>
      </c>
      <c r="I451" s="26" t="str">
        <f>IF(OR(E451="",E451="!!!",F451="NEW"),"",INDEX(B450:B$2,-1+SUMPRODUCT(MAX(ROW(E450:E$2)*(E451=E450:E$2)))))</f>
        <v> </v>
      </c>
      <c r="J451" s="26" t="str">
        <f>IF(OR(E451="",E451="!!!",F451="NEW"),"",COUNTBLANK(OFFSET(A$1,,,SUMPRODUCT(MAX(ROW(E$2:E451)*(E451=E$2:E451)))))-COUNTBLANK(OFFSET(A$1,,,SUMPRODUCT(MAX(ROW(E$1:E450)*(E2=E$1:E450))))))</f>
        <v> </v>
      </c>
      <c r="K451" s="26" t="str">
        <f>IF(OR(E451="",E451="!!!",F451="NEW"),"",INDEX(J$1:J450,SUMPRODUCT(MAX(ROW(E$1:E450)*(E451=E$1:E450)))))</f>
        <v> </v>
      </c>
      <c r="L451" s="27"/>
    </row>
    <row r="452" spans="1:12">
      <c r="A452" s="20" t="s">
        <v>289</v>
      </c>
      <c r="B452" s="21" t="s">
        <v>346</v>
      </c>
      <c r="C452" s="21" t="s">
        <v>92</v>
      </c>
      <c r="E452" s="22">
        <f>IF(D452="?OLD","!!!","")</f>
        <v/>
      </c>
      <c r="F452" s="23" t="str">
        <f>IF(OR(E452="",E452="!!!"),"",IF(NOT(ISNA(VLOOKUP(E452,E$1:E451,1,FALSE()))),"OLD",IF(AND(E452&lt;&gt;"",E452&lt;&gt;"!!!"),"NEW","")))</f>
        <v> </v>
      </c>
      <c r="G452" s="24" t="str">
        <f>IF(OR(E452="",E452="!!!"),"",IF(OR(J452=0,AND(J452=1,K452=1),AND(J452=1,I452="SBJ"),AND(J452=1,I452=0)),"?IN_FOCUS",IF(J452&lt;=2,"?ACTIVATED",IF(J452&lt;&gt;"","?FAMILIAR",IF(F452="NEW",IF(ISNA(VLOOKUP(E452,#REF!,1,FALSE())),"?TYPE_IDENTIFIABLE","?REFERENTIAL"),"_")))))</f>
        <v> </v>
      </c>
      <c r="H452" s="25" t="str">
        <f>IF(J452&lt;&gt;1,"",IF(I452="SBJ","CB","?"))</f>
        <v> </v>
      </c>
      <c r="I452" s="26" t="str">
        <f>IF(OR(E452="",E452="!!!",F452="NEW"),"",INDEX(B451:B$2,-1+SUMPRODUCT(MAX(ROW(E451:E$2)*(E452=E451:E$2)))))</f>
        <v> </v>
      </c>
      <c r="J452" s="26" t="str">
        <f>IF(OR(E452="",E452="!!!",F452="NEW"),"",COUNTBLANK(OFFSET(A$1,,,SUMPRODUCT(MAX(ROW(E$2:E452)*(E452=E$2:E452)))))-COUNTBLANK(OFFSET(A$1,,,SUMPRODUCT(MAX(ROW(E$1:E451)*(E2=E$1:E451))))))</f>
        <v> </v>
      </c>
      <c r="K452" s="26" t="str">
        <f>IF(OR(E452="",E452="!!!",F452="NEW"),"",INDEX(J$1:J451,SUMPRODUCT(MAX(ROW(E$1:E451)*(E452=E$1:E451)))))</f>
        <v> </v>
      </c>
      <c r="L452" s="27"/>
    </row>
    <row r="453" spans="1:12">
      <c r="A453" s="20" t="s">
        <v>97</v>
      </c>
      <c r="E453" s="22">
        <f>IF(D453="?OLD","!!!","")</f>
        <v/>
      </c>
      <c r="F453" s="23" t="str">
        <f>IF(OR(E453="",E453="!!!"),"",IF(NOT(ISNA(VLOOKUP(E453,E$1:E452,1,FALSE()))),"OLD",IF(AND(E453&lt;&gt;"",E453&lt;&gt;"!!!"),"NEW","")))</f>
        <v> </v>
      </c>
      <c r="G453" s="24" t="str">
        <f>IF(OR(E453="",E453="!!!"),"",IF(OR(J453=0,AND(J453=1,K453=1),AND(J453=1,I453="SBJ"),AND(J453=1,I453=0)),"?IN_FOCUS",IF(J453&lt;=2,"?ACTIVATED",IF(J453&lt;&gt;"","?FAMILIAR",IF(F453="NEW",IF(ISNA(VLOOKUP(E453,#REF!,1,FALSE())),"?TYPE_IDENTIFIABLE","?REFERENTIAL"),"_")))))</f>
        <v> </v>
      </c>
      <c r="H453" s="25" t="str">
        <f>IF(J453&lt;&gt;1,"",IF(I453="SBJ","CB","?"))</f>
        <v> </v>
      </c>
      <c r="I453" s="26" t="str">
        <f>IF(OR(E453="",E453="!!!",F453="NEW"),"",INDEX(B452:B$2,-1+SUMPRODUCT(MAX(ROW(E452:E$2)*(E453=E452:E$2)))))</f>
        <v> </v>
      </c>
      <c r="J453" s="26" t="str">
        <f>IF(OR(E453="",E453="!!!",F453="NEW"),"",COUNTBLANK(OFFSET(A$1,,,SUMPRODUCT(MAX(ROW(E$2:E453)*(E453=E$2:E453)))))-COUNTBLANK(OFFSET(A$1,,,SUMPRODUCT(MAX(ROW(E$1:E452)*(E2=E$1:E452))))))</f>
        <v> </v>
      </c>
      <c r="K453" s="26" t="str">
        <f>IF(OR(E453="",E453="!!!",F453="NEW"),"",INDEX(J$1:J452,SUMPRODUCT(MAX(ROW(E$1:E452)*(E453=E$1:E452)))))</f>
        <v> </v>
      </c>
      <c r="L453" s="27"/>
    </row>
    <row r="454" spans="1:12">
      <c r="A454" s="20" t="s">
        <v>350</v>
      </c>
      <c r="B454" s="21" t="s">
        <v>127</v>
      </c>
      <c r="C454" s="21" t="s">
        <v>92</v>
      </c>
      <c r="E454" s="22">
        <f>IF(D454="?OLD","!!!","")</f>
        <v/>
      </c>
      <c r="F454" s="23" t="str">
        <f>IF(OR(E454="",E454="!!!"),"",IF(NOT(ISNA(VLOOKUP(E454,E$1:E453,1,FALSE()))),"OLD",IF(AND(E454&lt;&gt;"",E454&lt;&gt;"!!!"),"NEW","")))</f>
        <v> </v>
      </c>
      <c r="G454" s="24" t="str">
        <f>IF(OR(E454="",E454="!!!"),"",IF(OR(J454=0,AND(J454=1,K454=1),AND(J454=1,I454="SBJ"),AND(J454=1,I454=0)),"?IN_FOCUS",IF(J454&lt;=2,"?ACTIVATED",IF(J454&lt;&gt;"","?FAMILIAR",IF(F454="NEW",IF(ISNA(VLOOKUP(E454,#REF!,1,FALSE())),"?TYPE_IDENTIFIABLE","?REFERENTIAL"),"_")))))</f>
        <v> </v>
      </c>
      <c r="H454" s="25" t="str">
        <f>IF(J454&lt;&gt;1,"",IF(I454="SBJ","CB","?"))</f>
        <v> </v>
      </c>
      <c r="I454" s="26" t="str">
        <f>IF(OR(E454="",E454="!!!",F454="NEW"),"",INDEX(B453:B$2,-1+SUMPRODUCT(MAX(ROW(E453:E$2)*(E454=E453:E$2)))))</f>
        <v> </v>
      </c>
      <c r="J454" s="26" t="str">
        <f>IF(OR(E454="",E454="!!!",F454="NEW"),"",COUNTBLANK(OFFSET(A$1,,,SUMPRODUCT(MAX(ROW(E$2:E454)*(E454=E$2:E454)))))-COUNTBLANK(OFFSET(A$1,,,SUMPRODUCT(MAX(ROW(E$1:E453)*(E2=E$1:E453))))))</f>
        <v> </v>
      </c>
      <c r="K454" s="26" t="str">
        <f>IF(OR(E454="",E454="!!!",F454="NEW"),"",INDEX(J$1:J453,SUMPRODUCT(MAX(ROW(E$1:E453)*(E454=E$1:E453)))))</f>
        <v> </v>
      </c>
      <c r="L454" s="27"/>
    </row>
    <row r="455" spans="1:12">
      <c r="A455" s="20" t="s">
        <v>169</v>
      </c>
      <c r="E455" s="22">
        <f>IF(D455="?OLD","!!!","")</f>
        <v/>
      </c>
      <c r="F455" s="23" t="str">
        <f>IF(OR(E455="",E455="!!!"),"",IF(NOT(ISNA(VLOOKUP(E455,E$1:E454,1,FALSE()))),"OLD",IF(AND(E455&lt;&gt;"",E455&lt;&gt;"!!!"),"NEW","")))</f>
        <v> </v>
      </c>
      <c r="G455" s="24" t="str">
        <f>IF(OR(E455="",E455="!!!"),"",IF(OR(J455=0,AND(J455=1,K455=1),AND(J455=1,I455="SBJ"),AND(J455=1,I455=0)),"?IN_FOCUS",IF(J455&lt;=2,"?ACTIVATED",IF(J455&lt;&gt;"","?FAMILIAR",IF(F455="NEW",IF(ISNA(VLOOKUP(E455,#REF!,1,FALSE())),"?TYPE_IDENTIFIABLE","?REFERENTIAL"),"_")))))</f>
        <v> </v>
      </c>
      <c r="H455" s="25" t="str">
        <f>IF(J455&lt;&gt;1,"",IF(I455="SBJ","CB","?"))</f>
        <v> </v>
      </c>
      <c r="I455" s="26" t="str">
        <f>IF(OR(E455="",E455="!!!",F455="NEW"),"",INDEX(B454:B$2,-1+SUMPRODUCT(MAX(ROW(E454:E$2)*(E455=E454:E$2)))))</f>
        <v> </v>
      </c>
      <c r="J455" s="26" t="str">
        <f>IF(OR(E455="",E455="!!!",F455="NEW"),"",COUNTBLANK(OFFSET(A$1,,,SUMPRODUCT(MAX(ROW(E$2:E455)*(E455=E$2:E455)))))-COUNTBLANK(OFFSET(A$1,,,SUMPRODUCT(MAX(ROW(E$1:E454)*(E2=E$1:E454))))))</f>
        <v> </v>
      </c>
      <c r="K455" s="26" t="str">
        <f>IF(OR(E455="",E455="!!!",F455="NEW"),"",INDEX(J$1:J454,SUMPRODUCT(MAX(ROW(E$1:E454)*(E455=E$1:E454)))))</f>
        <v> </v>
      </c>
      <c r="L455" s="27"/>
    </row>
    <row r="456" spans="1:12">
      <c r="A456" s="20" t="s">
        <v>351</v>
      </c>
      <c r="B456" s="21" t="s">
        <v>127</v>
      </c>
      <c r="C456" s="21" t="s">
        <v>92</v>
      </c>
      <c r="E456" s="22">
        <f>IF(D456="?OLD","!!!","")</f>
        <v/>
      </c>
      <c r="F456" s="23" t="str">
        <f>IF(OR(E456="",E456="!!!"),"",IF(NOT(ISNA(VLOOKUP(E456,E$1:E455,1,FALSE()))),"OLD",IF(AND(E456&lt;&gt;"",E456&lt;&gt;"!!!"),"NEW","")))</f>
        <v> </v>
      </c>
      <c r="G456" s="24" t="str">
        <f>IF(OR(E456="",E456="!!!"),"",IF(OR(J456=0,AND(J456=1,K456=1),AND(J456=1,I456="SBJ"),AND(J456=1,I456=0)),"?IN_FOCUS",IF(J456&lt;=2,"?ACTIVATED",IF(J456&lt;&gt;"","?FAMILIAR",IF(F456="NEW",IF(ISNA(VLOOKUP(E456,#REF!,1,FALSE())),"?TYPE_IDENTIFIABLE","?REFERENTIAL"),"_")))))</f>
        <v> </v>
      </c>
      <c r="H456" s="25" t="str">
        <f>IF(J456&lt;&gt;1,"",IF(I456="SBJ","CB","?"))</f>
        <v> </v>
      </c>
      <c r="I456" s="26" t="str">
        <f>IF(OR(E456="",E456="!!!",F456="NEW"),"",INDEX(B455:B$2,-1+SUMPRODUCT(MAX(ROW(E455:E$2)*(E456=E455:E$2)))))</f>
        <v> </v>
      </c>
      <c r="J456" s="26" t="str">
        <f>IF(OR(E456="",E456="!!!",F456="NEW"),"",COUNTBLANK(OFFSET(A$1,,,SUMPRODUCT(MAX(ROW(E$2:E456)*(E456=E$2:E456)))))-COUNTBLANK(OFFSET(A$1,,,SUMPRODUCT(MAX(ROW(E$1:E455)*(E2=E$1:E455))))))</f>
        <v> </v>
      </c>
      <c r="K456" s="26" t="str">
        <f>IF(OR(E456="",E456="!!!",F456="NEW"),"",INDEX(J$1:J455,SUMPRODUCT(MAX(ROW(E$1:E455)*(E456=E$1:E455)))))</f>
        <v> </v>
      </c>
      <c r="L456" s="27"/>
    </row>
    <row r="457" spans="1:12">
      <c r="A457" s="20" t="s">
        <v>155</v>
      </c>
      <c r="E457" s="22">
        <f>IF(D457="?OLD","!!!","")</f>
        <v/>
      </c>
      <c r="F457" s="23" t="str">
        <f>IF(OR(E457="",E457="!!!"),"",IF(NOT(ISNA(VLOOKUP(E457,E$1:E456,1,FALSE()))),"OLD",IF(AND(E457&lt;&gt;"",E457&lt;&gt;"!!!"),"NEW","")))</f>
        <v> </v>
      </c>
      <c r="G457" s="24" t="str">
        <f>IF(OR(E457="",E457="!!!"),"",IF(OR(J457=0,AND(J457=1,K457=1),AND(J457=1,I457="SBJ"),AND(J457=1,I457=0)),"?IN_FOCUS",IF(J457&lt;=2,"?ACTIVATED",IF(J457&lt;&gt;"","?FAMILIAR",IF(F457="NEW",IF(ISNA(VLOOKUP(E457,#REF!,1,FALSE())),"?TYPE_IDENTIFIABLE","?REFERENTIAL"),"_")))))</f>
        <v> </v>
      </c>
      <c r="H457" s="25" t="str">
        <f>IF(J457&lt;&gt;1,"",IF(I457="SBJ","CB","?"))</f>
        <v> </v>
      </c>
      <c r="I457" s="26" t="str">
        <f>IF(OR(E457="",E457="!!!",F457="NEW"),"",INDEX(B456:B$2,-1+SUMPRODUCT(MAX(ROW(E456:E$2)*(E457=E456:E$2)))))</f>
        <v> </v>
      </c>
      <c r="J457" s="26" t="str">
        <f>IF(OR(E457="",E457="!!!",F457="NEW"),"",COUNTBLANK(OFFSET(A$1,,,SUMPRODUCT(MAX(ROW(E$2:E457)*(E457=E$2:E457)))))-COUNTBLANK(OFFSET(A$1,,,SUMPRODUCT(MAX(ROW(E$1:E456)*(E2=E$1:E456))))))</f>
        <v> </v>
      </c>
      <c r="K457" s="26" t="str">
        <f>IF(OR(E457="",E457="!!!",F457="NEW"),"",INDEX(J$1:J456,SUMPRODUCT(MAX(ROW(E$1:E456)*(E457=E$1:E456)))))</f>
        <v> </v>
      </c>
      <c r="L457" s="27"/>
    </row>
    <row r="458" spans="1:12">
      <c r="A458" s="20" t="s">
        <v>177</v>
      </c>
      <c r="E458" s="22">
        <f>IF(D458="?OLD","!!!","")</f>
        <v/>
      </c>
      <c r="F458" s="23" t="str">
        <f>IF(OR(E458="",E458="!!!"),"",IF(NOT(ISNA(VLOOKUP(E458,E$1:E457,1,FALSE()))),"OLD",IF(AND(E458&lt;&gt;"",E458&lt;&gt;"!!!"),"NEW","")))</f>
        <v> </v>
      </c>
      <c r="G458" s="24" t="str">
        <f>IF(OR(E458="",E458="!!!"),"",IF(OR(J458=0,AND(J458=1,K458=1),AND(J458=1,I458="SBJ"),AND(J458=1,I458=0)),"?IN_FOCUS",IF(J458&lt;=2,"?ACTIVATED",IF(J458&lt;&gt;"","?FAMILIAR",IF(F458="NEW",IF(ISNA(VLOOKUP(E458,#REF!,1,FALSE())),"?TYPE_IDENTIFIABLE","?REFERENTIAL"),"_")))))</f>
        <v> </v>
      </c>
      <c r="H458" s="25" t="str">
        <f>IF(J458&lt;&gt;1,"",IF(I458="SBJ","CB","?"))</f>
        <v> </v>
      </c>
      <c r="I458" s="26" t="str">
        <f>IF(OR(E458="",E458="!!!",F458="NEW"),"",INDEX(B457:B$2,-1+SUMPRODUCT(MAX(ROW(E457:E$2)*(E458=E457:E$2)))))</f>
        <v> </v>
      </c>
      <c r="J458" s="26" t="str">
        <f>IF(OR(E458="",E458="!!!",F458="NEW"),"",COUNTBLANK(OFFSET(A$1,,,SUMPRODUCT(MAX(ROW(E$2:E458)*(E458=E$2:E458)))))-COUNTBLANK(OFFSET(A$1,,,SUMPRODUCT(MAX(ROW(E$1:E457)*(E2=E$1:E457))))))</f>
        <v> </v>
      </c>
      <c r="K458" s="26" t="str">
        <f>IF(OR(E458="",E458="!!!",F458="NEW"),"",INDEX(J$1:J457,SUMPRODUCT(MAX(ROW(E$1:E457)*(E458=E$1:E457)))))</f>
        <v> </v>
      </c>
      <c r="L458" s="27"/>
    </row>
    <row r="459" spans="1:12">
      <c r="A459" s="20"/>
    </row>
    <row r="460" spans="1:12">
      <c r="A460" s="20" t="s">
        <v>352</v>
      </c>
    </row>
    <row r="461" spans="1:12">
      <c r="A461" s="20" t="s">
        <v>158</v>
      </c>
      <c r="E461" s="22">
        <f>IF(D461="?OLD","!!!","")</f>
        <v/>
      </c>
      <c r="F461" s="23" t="str">
        <f>IF(OR(E461="",E461="!!!"),"",IF(NOT(ISNA(VLOOKUP(E461,E$1:E460,1,FALSE()))),"OLD",IF(AND(E461&lt;&gt;"",E461&lt;&gt;"!!!"),"NEW","")))</f>
        <v> </v>
      </c>
      <c r="G461" s="24" t="str">
        <f>IF(OR(E461="",E461="!!!"),"",IF(OR(J461=0,AND(J461=1,K461=1),AND(J461=1,I461="SBJ"),AND(J461=1,I461=0)),"?IN_FOCUS",IF(J461&lt;=2,"?ACTIVATED",IF(J461&lt;&gt;"","?FAMILIAR",IF(F461="NEW",IF(ISNA(VLOOKUP(E461,#REF!,1,FALSE())),"?TYPE_IDENTIFIABLE","?REFERENTIAL"),"_")))))</f>
        <v> </v>
      </c>
      <c r="H461" s="25" t="str">
        <f>IF(J461&lt;&gt;1,"",IF(I461="SBJ","CB","?"))</f>
        <v> </v>
      </c>
      <c r="I461" s="26" t="str">
        <f>IF(OR(E461="",E461="!!!",F461="NEW"),"",INDEX(B460:B$2,-1+SUMPRODUCT(MAX(ROW(E460:E$2)*(E461=E460:E$2)))))</f>
        <v> </v>
      </c>
      <c r="J461" s="26" t="str">
        <f>IF(OR(E461="",E461="!!!",F461="NEW"),"",COUNTBLANK(OFFSET(A$1,,,SUMPRODUCT(MAX(ROW(E$2:E461)*(E461=E$2:E461)))))-COUNTBLANK(OFFSET(A$1,,,SUMPRODUCT(MAX(ROW(E$1:E460)*(E2=E$1:E460))))))</f>
        <v> </v>
      </c>
      <c r="K461" s="26" t="str">
        <f>IF(OR(E461="",E461="!!!",F461="NEW"),"",INDEX(J$1:J460,SUMPRODUCT(MAX(ROW(E$1:E460)*(E461=E$1:E460)))))</f>
        <v> </v>
      </c>
      <c r="L461" s="27"/>
    </row>
    <row r="462" spans="1:12">
      <c r="A462" s="20" t="s">
        <v>115</v>
      </c>
      <c r="E462" s="22">
        <f>IF(D462="?OLD","!!!","")</f>
        <v/>
      </c>
      <c r="F462" s="23" t="str">
        <f>IF(OR(E462="",E462="!!!"),"",IF(NOT(ISNA(VLOOKUP(E462,E$1:E461,1,FALSE()))),"OLD",IF(AND(E462&lt;&gt;"",E462&lt;&gt;"!!!"),"NEW","")))</f>
        <v> </v>
      </c>
      <c r="G462" s="24" t="str">
        <f>IF(OR(E462="",E462="!!!"),"",IF(OR(J462=0,AND(J462=1,K462=1),AND(J462=1,I462="SBJ"),AND(J462=1,I462=0)),"?IN_FOCUS",IF(J462&lt;=2,"?ACTIVATED",IF(J462&lt;&gt;"","?FAMILIAR",IF(F462="NEW",IF(ISNA(VLOOKUP(E462,#REF!,1,FALSE())),"?TYPE_IDENTIFIABLE","?REFERENTIAL"),"_")))))</f>
        <v> </v>
      </c>
      <c r="H462" s="25" t="str">
        <f>IF(J462&lt;&gt;1,"",IF(I462="SBJ","CB","?"))</f>
        <v> </v>
      </c>
      <c r="I462" s="26" t="str">
        <f>IF(OR(E462="",E462="!!!",F462="NEW"),"",INDEX(B461:B$2,-1+SUMPRODUCT(MAX(ROW(E461:E$2)*(E462=E461:E$2)))))</f>
        <v> </v>
      </c>
      <c r="J462" s="26" t="str">
        <f>IF(OR(E462="",E462="!!!",F462="NEW"),"",COUNTBLANK(OFFSET(A$1,,,SUMPRODUCT(MAX(ROW(E$2:E462)*(E462=E$2:E462)))))-COUNTBLANK(OFFSET(A$1,,,SUMPRODUCT(MAX(ROW(E$1:E461)*(E2=E$1:E461))))))</f>
        <v> </v>
      </c>
      <c r="K462" s="26" t="str">
        <f>IF(OR(E462="",E462="!!!",F462="NEW"),"",INDEX(J$1:J461,SUMPRODUCT(MAX(ROW(E$1:E461)*(E462=E$1:E461)))))</f>
        <v> </v>
      </c>
      <c r="L462" s="27"/>
    </row>
    <row r="463" spans="1:12">
      <c r="A463" s="20" t="s">
        <v>275</v>
      </c>
      <c r="E463" s="22">
        <f>IF(D463="?OLD","!!!","")</f>
        <v/>
      </c>
      <c r="F463" s="23" t="str">
        <f>IF(OR(E463="",E463="!!!"),"",IF(NOT(ISNA(VLOOKUP(E463,E$1:E462,1,FALSE()))),"OLD",IF(AND(E463&lt;&gt;"",E463&lt;&gt;"!!!"),"NEW","")))</f>
        <v> </v>
      </c>
      <c r="G463" s="24" t="str">
        <f>IF(OR(E463="",E463="!!!"),"",IF(OR(J463=0,AND(J463=1,K463=1),AND(J463=1,I463="SBJ"),AND(J463=1,I463=0)),"?IN_FOCUS",IF(J463&lt;=2,"?ACTIVATED",IF(J463&lt;&gt;"","?FAMILIAR",IF(F463="NEW",IF(ISNA(VLOOKUP(E463,#REF!,1,FALSE())),"?TYPE_IDENTIFIABLE","?REFERENTIAL"),"_")))))</f>
        <v> </v>
      </c>
      <c r="H463" s="25" t="str">
        <f>IF(J463&lt;&gt;1,"",IF(I463="SBJ","CB","?"))</f>
        <v> </v>
      </c>
      <c r="I463" s="26" t="str">
        <f>IF(OR(E463="",E463="!!!",F463="NEW"),"",INDEX(B462:B$2,-1+SUMPRODUCT(MAX(ROW(E462:E$2)*(E463=E462:E$2)))))</f>
        <v> </v>
      </c>
      <c r="J463" s="26" t="str">
        <f>IF(OR(E463="",E463="!!!",F463="NEW"),"",COUNTBLANK(OFFSET(A$1,,,SUMPRODUCT(MAX(ROW(E$2:E463)*(E463=E$2:E463)))))-COUNTBLANK(OFFSET(A$1,,,SUMPRODUCT(MAX(ROW(E$1:E462)*(E2=E$1:E462))))))</f>
        <v> </v>
      </c>
      <c r="K463" s="26" t="str">
        <f>IF(OR(E463="",E463="!!!",F463="NEW"),"",INDEX(J$1:J462,SUMPRODUCT(MAX(ROW(E$1:E462)*(E463=E$1:E462)))))</f>
        <v> </v>
      </c>
      <c r="L463" s="27"/>
    </row>
    <row r="464" spans="1:12">
      <c r="A464" s="20" t="s">
        <v>353</v>
      </c>
      <c r="E464" s="22">
        <f>IF(D464="?OLD","!!!","")</f>
        <v/>
      </c>
      <c r="F464" s="23" t="str">
        <f>IF(OR(E464="",E464="!!!"),"",IF(NOT(ISNA(VLOOKUP(E464,E$1:E463,1,FALSE()))),"OLD",IF(AND(E464&lt;&gt;"",E464&lt;&gt;"!!!"),"NEW","")))</f>
        <v> </v>
      </c>
      <c r="G464" s="24" t="str">
        <f>IF(OR(E464="",E464="!!!"),"",IF(OR(J464=0,AND(J464=1,K464=1),AND(J464=1,I464="SBJ"),AND(J464=1,I464=0)),"?IN_FOCUS",IF(J464&lt;=2,"?ACTIVATED",IF(J464&lt;&gt;"","?FAMILIAR",IF(F464="NEW",IF(ISNA(VLOOKUP(E464,#REF!,1,FALSE())),"?TYPE_IDENTIFIABLE","?REFERENTIAL"),"_")))))</f>
        <v> </v>
      </c>
      <c r="H464" s="25" t="str">
        <f>IF(J464&lt;&gt;1,"",IF(I464="SBJ","CB","?"))</f>
        <v> </v>
      </c>
      <c r="I464" s="26" t="str">
        <f>IF(OR(E464="",E464="!!!",F464="NEW"),"",INDEX(B463:B$2,-1+SUMPRODUCT(MAX(ROW(E463:E$2)*(E464=E463:E$2)))))</f>
        <v> </v>
      </c>
      <c r="J464" s="26" t="str">
        <f>IF(OR(E464="",E464="!!!",F464="NEW"),"",COUNTBLANK(OFFSET(A$1,,,SUMPRODUCT(MAX(ROW(E$2:E464)*(E464=E$2:E464)))))-COUNTBLANK(OFFSET(A$1,,,SUMPRODUCT(MAX(ROW(E$1:E463)*(E2=E$1:E463))))))</f>
        <v> </v>
      </c>
      <c r="K464" s="26" t="str">
        <f>IF(OR(E464="",E464="!!!",F464="NEW"),"",INDEX(J$1:J463,SUMPRODUCT(MAX(ROW(E$1:E463)*(E464=E$1:E463)))))</f>
        <v> </v>
      </c>
      <c r="L464" s="27"/>
    </row>
    <row r="465" spans="1:12">
      <c r="A465" s="20" t="s">
        <v>354</v>
      </c>
      <c r="B465" s="21" t="s">
        <v>161</v>
      </c>
      <c r="C465" s="21" t="s">
        <v>145</v>
      </c>
      <c r="D465" s="21" t="s">
        <v>102</v>
      </c>
      <c r="E465" s="22">
        <f>IF(D465="?OLD","!!!","")</f>
        <v/>
      </c>
      <c r="F465" s="23" t="str">
        <f>IF(OR(E465="",E465="!!!"),"",IF(NOT(ISNA(VLOOKUP(E465,E$1:E464,1,FALSE()))),"OLD",IF(AND(E465&lt;&gt;"",E465&lt;&gt;"!!!"),"NEW","")))</f>
        <v> </v>
      </c>
      <c r="G465" s="24" t="str">
        <f>IF(OR(E465="",E465="!!!"),"",IF(OR(J465=0,AND(J465=1,K465=1),AND(J465=1,I465="SBJ"),AND(J465=1,I465=0)),"?IN_FOCUS",IF(J465&lt;=2,"?ACTIVATED",IF(J465&lt;&gt;"","?FAMILIAR",IF(F465="NEW",IF(ISNA(VLOOKUP(E465,#REF!,1,FALSE())),"?TYPE_IDENTIFIABLE","?REFERENTIAL"),"_")))))</f>
        <v> </v>
      </c>
      <c r="H465" s="25" t="str">
        <f>IF(J465&lt;&gt;1,"",IF(I465="SBJ","CB","?"))</f>
        <v> </v>
      </c>
      <c r="I465" s="26" t="str">
        <f>IF(OR(E465="",E465="!!!",F465="NEW"),"",INDEX(B464:B$2,-1+SUMPRODUCT(MAX(ROW(E464:E$2)*(E465=E464:E$2)))))</f>
        <v> </v>
      </c>
      <c r="J465" s="26" t="str">
        <f>IF(OR(E465="",E465="!!!",F465="NEW"),"",COUNTBLANK(OFFSET(A$1,,,SUMPRODUCT(MAX(ROW(E$2:E465)*(E465=E$2:E465)))))-COUNTBLANK(OFFSET(A$1,,,SUMPRODUCT(MAX(ROW(E$1:E464)*(E2=E$1:E464))))))</f>
        <v> </v>
      </c>
      <c r="K465" s="26" t="str">
        <f>IF(OR(E465="",E465="!!!",F465="NEW"),"",INDEX(J$1:J464,SUMPRODUCT(MAX(ROW(E$1:E464)*(E465=E$1:E464)))))</f>
        <v> </v>
      </c>
      <c r="L465" s="27"/>
    </row>
    <row r="466" spans="1:12">
      <c r="A466" s="20" t="s">
        <v>27</v>
      </c>
      <c r="E466" s="22">
        <f>IF(D466="?OLD","!!!","")</f>
        <v/>
      </c>
      <c r="F466" s="23" t="str">
        <f>IF(OR(E466="",E466="!!!"),"",IF(NOT(ISNA(VLOOKUP(E466,E$1:E465,1,FALSE()))),"OLD",IF(AND(E466&lt;&gt;"",E466&lt;&gt;"!!!"),"NEW","")))</f>
        <v> </v>
      </c>
      <c r="G466" s="24" t="str">
        <f>IF(OR(E466="",E466="!!!"),"",IF(OR(J466=0,AND(J466=1,K466=1),AND(J466=1,I466="SBJ"),AND(J466=1,I466=0)),"?IN_FOCUS",IF(J466&lt;=2,"?ACTIVATED",IF(J466&lt;&gt;"","?FAMILIAR",IF(F466="NEW",IF(ISNA(VLOOKUP(E466,#REF!,1,FALSE())),"?TYPE_IDENTIFIABLE","?REFERENTIAL"),"_")))))</f>
        <v> </v>
      </c>
      <c r="H466" s="25" t="str">
        <f>IF(J466&lt;&gt;1,"",IF(I466="SBJ","CB","?"))</f>
        <v> </v>
      </c>
      <c r="I466" s="26" t="str">
        <f>IF(OR(E466="",E466="!!!",F466="NEW"),"",INDEX(B465:B$2,-1+SUMPRODUCT(MAX(ROW(E465:E$2)*(E466=E465:E$2)))))</f>
        <v> </v>
      </c>
      <c r="J466" s="26" t="str">
        <f>IF(OR(E466="",E466="!!!",F466="NEW"),"",COUNTBLANK(OFFSET(A$1,,,SUMPRODUCT(MAX(ROW(E$2:E466)*(E466=E$2:E466)))))-COUNTBLANK(OFFSET(A$1,,,SUMPRODUCT(MAX(ROW(E$1:E465)*(E2=E$1:E465))))))</f>
        <v> </v>
      </c>
      <c r="K466" s="26" t="str">
        <f>IF(OR(E466="",E466="!!!",F466="NEW"),"",INDEX(J$1:J465,SUMPRODUCT(MAX(ROW(E$1:E465)*(E466=E$1:E465)))))</f>
        <v> </v>
      </c>
      <c r="L466" s="27"/>
    </row>
    <row r="467" spans="1:12">
      <c r="A467" s="20" t="s">
        <v>355</v>
      </c>
      <c r="B467" s="21" t="s">
        <v>91</v>
      </c>
      <c r="C467" s="21" t="s">
        <v>101</v>
      </c>
      <c r="D467" s="21" t="s">
        <v>102</v>
      </c>
      <c r="E467" s="22">
        <f>IF(D467="?OLD","!!!","")</f>
        <v/>
      </c>
      <c r="F467" s="23" t="str">
        <f>IF(OR(E467="",E467="!!!"),"",IF(NOT(ISNA(VLOOKUP(E467,E$1:E466,1,FALSE()))),"OLD",IF(AND(E467&lt;&gt;"",E467&lt;&gt;"!!!"),"NEW","")))</f>
        <v> </v>
      </c>
      <c r="G467" s="24" t="str">
        <f>IF(OR(E467="",E467="!!!"),"",IF(OR(J467=0,AND(J467=1,K467=1),AND(J467=1,I467="SBJ"),AND(J467=1,I467=0)),"?IN_FOCUS",IF(J467&lt;=2,"?ACTIVATED",IF(J467&lt;&gt;"","?FAMILIAR",IF(F467="NEW",IF(ISNA(VLOOKUP(E467,#REF!,1,FALSE())),"?TYPE_IDENTIFIABLE","?REFERENTIAL"),"_")))))</f>
        <v> </v>
      </c>
      <c r="H467" s="25" t="str">
        <f>IF(J467&lt;&gt;1,"",IF(I467="SBJ","CB","?"))</f>
        <v> </v>
      </c>
      <c r="I467" s="26" t="str">
        <f>IF(OR(E467="",E467="!!!",F467="NEW"),"",INDEX(B466:B$2,-1+SUMPRODUCT(MAX(ROW(E466:E$2)*(E467=E466:E$2)))))</f>
        <v> </v>
      </c>
      <c r="J467" s="26" t="str">
        <f>IF(OR(E467="",E467="!!!",F467="NEW"),"",COUNTBLANK(OFFSET(A$1,,,SUMPRODUCT(MAX(ROW(E$2:E467)*(E467=E$2:E467)))))-COUNTBLANK(OFFSET(A$1,,,SUMPRODUCT(MAX(ROW(E$1:E466)*(E2=E$1:E466))))))</f>
        <v> </v>
      </c>
      <c r="K467" s="26" t="str">
        <f>IF(OR(E467="",E467="!!!",F467="NEW"),"",INDEX(J$1:J466,SUMPRODUCT(MAX(ROW(E$1:E466)*(E467=E$1:E466)))))</f>
        <v> </v>
      </c>
      <c r="L467" s="27"/>
    </row>
    <row r="468" spans="1:12">
      <c r="A468" s="20" t="s">
        <v>356</v>
      </c>
      <c r="B468" s="21" t="s">
        <v>96</v>
      </c>
      <c r="C468" s="21" t="s">
        <v>153</v>
      </c>
      <c r="D468" s="21" t="s">
        <v>102</v>
      </c>
      <c r="E468" s="22">
        <f>IF(D468="?OLD","!!!","")</f>
        <v/>
      </c>
      <c r="F468" s="23" t="str">
        <f>IF(OR(E468="",E468="!!!"),"",IF(NOT(ISNA(VLOOKUP(E468,E$1:E467,1,FALSE()))),"OLD",IF(AND(E468&lt;&gt;"",E468&lt;&gt;"!!!"),"NEW","")))</f>
        <v> </v>
      </c>
      <c r="G468" s="24" t="str">
        <f>IF(OR(E468="",E468="!!!"),"",IF(OR(J468=0,AND(J468=1,K468=1),AND(J468=1,I468="SBJ"),AND(J468=1,I468=0)),"?IN_FOCUS",IF(J468&lt;=2,"?ACTIVATED",IF(J468&lt;&gt;"","?FAMILIAR",IF(F468="NEW",IF(ISNA(VLOOKUP(E468,#REF!,1,FALSE())),"?TYPE_IDENTIFIABLE","?REFERENTIAL"),"_")))))</f>
        <v> </v>
      </c>
      <c r="H468" s="25" t="str">
        <f>IF(J468&lt;&gt;1,"",IF(I468="SBJ","CB","?"))</f>
        <v> </v>
      </c>
      <c r="I468" s="26" t="str">
        <f>IF(OR(E468="",E468="!!!",F468="NEW"),"",INDEX(B467:B$2,-1+SUMPRODUCT(MAX(ROW(E467:E$2)*(E468=E467:E$2)))))</f>
        <v> </v>
      </c>
      <c r="J468" s="26" t="str">
        <f>IF(OR(E468="",E468="!!!",F468="NEW"),"",COUNTBLANK(OFFSET(A$1,,,SUMPRODUCT(MAX(ROW(E$2:E468)*(E468=E$2:E468)))))-COUNTBLANK(OFFSET(A$1,,,SUMPRODUCT(MAX(ROW(E$1:E467)*(E2=E$1:E467))))))</f>
        <v> </v>
      </c>
      <c r="K468" s="26" t="str">
        <f>IF(OR(E468="",E468="!!!",F468="NEW"),"",INDEX(J$1:J467,SUMPRODUCT(MAX(ROW(E$1:E467)*(E468=E$1:E467)))))</f>
        <v> </v>
      </c>
      <c r="L468" s="27"/>
    </row>
    <row r="469" spans="1:12">
      <c r="A469" s="20" t="s">
        <v>159</v>
      </c>
      <c r="E469" s="22">
        <f>IF(D469="?OLD","!!!","")</f>
        <v/>
      </c>
      <c r="F469" s="23" t="str">
        <f>IF(OR(E469="",E469="!!!"),"",IF(NOT(ISNA(VLOOKUP(E469,E$1:E468,1,FALSE()))),"OLD",IF(AND(E469&lt;&gt;"",E469&lt;&gt;"!!!"),"NEW","")))</f>
        <v> </v>
      </c>
      <c r="G469" s="24" t="str">
        <f>IF(OR(E469="",E469="!!!"),"",IF(OR(J469=0,AND(J469=1,K469=1),AND(J469=1,I469="SBJ"),AND(J469=1,I469=0)),"?IN_FOCUS",IF(J469&lt;=2,"?ACTIVATED",IF(J469&lt;&gt;"","?FAMILIAR",IF(F469="NEW",IF(ISNA(VLOOKUP(E469,#REF!,1,FALSE())),"?TYPE_IDENTIFIABLE","?REFERENTIAL"),"_")))))</f>
        <v> </v>
      </c>
      <c r="H469" s="25" t="str">
        <f>IF(J469&lt;&gt;1,"",IF(I469="SBJ","CB","?"))</f>
        <v> </v>
      </c>
      <c r="I469" s="26" t="str">
        <f>IF(OR(E469="",E469="!!!",F469="NEW"),"",INDEX(B468:B$2,-1+SUMPRODUCT(MAX(ROW(E468:E$2)*(E469=E468:E$2)))))</f>
        <v> </v>
      </c>
      <c r="J469" s="26" t="str">
        <f>IF(OR(E469="",E469="!!!",F469="NEW"),"",COUNTBLANK(OFFSET(A$1,,,SUMPRODUCT(MAX(ROW(E$2:E469)*(E469=E$2:E469)))))-COUNTBLANK(OFFSET(A$1,,,SUMPRODUCT(MAX(ROW(E$1:E468)*(E2=E$1:E468))))))</f>
        <v> </v>
      </c>
      <c r="K469" s="26" t="str">
        <f>IF(OR(E469="",E469="!!!",F469="NEW"),"",INDEX(J$1:J468,SUMPRODUCT(MAX(ROW(E$1:E468)*(E469=E$1:E468)))))</f>
        <v> </v>
      </c>
      <c r="L469" s="27"/>
    </row>
    <row r="470" spans="1:12">
      <c r="A470" s="20" t="s">
        <v>357</v>
      </c>
      <c r="B470" s="21" t="s">
        <v>96</v>
      </c>
      <c r="C470" s="21" t="s">
        <v>112</v>
      </c>
      <c r="D470" s="21" t="s">
        <v>102</v>
      </c>
      <c r="E470" s="22">
        <f>IF(D470="?OLD","!!!","")</f>
        <v/>
      </c>
      <c r="F470" s="23" t="str">
        <f>IF(OR(E470="",E470="!!!"),"",IF(NOT(ISNA(VLOOKUP(E470,E$1:E469,1,FALSE()))),"OLD",IF(AND(E470&lt;&gt;"",E470&lt;&gt;"!!!"),"NEW","")))</f>
        <v> </v>
      </c>
      <c r="G470" s="24" t="str">
        <f>IF(OR(E470="",E470="!!!"),"",IF(OR(J470=0,AND(J470=1,K470=1),AND(J470=1,I470="SBJ"),AND(J470=1,I470=0)),"?IN_FOCUS",IF(J470&lt;=2,"?ACTIVATED",IF(J470&lt;&gt;"","?FAMILIAR",IF(F470="NEW",IF(ISNA(VLOOKUP(E470,#REF!,1,FALSE())),"?TYPE_IDENTIFIABLE","?REFERENTIAL"),"_")))))</f>
        <v> </v>
      </c>
      <c r="H470" s="25" t="str">
        <f>IF(J470&lt;&gt;1,"",IF(I470="SBJ","CB","?"))</f>
        <v> </v>
      </c>
      <c r="I470" s="26" t="str">
        <f>IF(OR(E470="",E470="!!!",F470="NEW"),"",INDEX(B469:B$2,-1+SUMPRODUCT(MAX(ROW(E469:E$2)*(E470=E469:E$2)))))</f>
        <v> </v>
      </c>
      <c r="J470" s="26" t="str">
        <f>IF(OR(E470="",E470="!!!",F470="NEW"),"",COUNTBLANK(OFFSET(A$1,,,SUMPRODUCT(MAX(ROW(E$2:E470)*(E470=E$2:E470)))))-COUNTBLANK(OFFSET(A$1,,,SUMPRODUCT(MAX(ROW(E$1:E469)*(E2=E$1:E469))))))</f>
        <v> </v>
      </c>
      <c r="K470" s="26" t="str">
        <f>IF(OR(E470="",E470="!!!",F470="NEW"),"",INDEX(J$1:J469,SUMPRODUCT(MAX(ROW(E$1:E469)*(E470=E$1:E469)))))</f>
        <v> </v>
      </c>
      <c r="L470" s="27"/>
    </row>
    <row r="471" spans="1:12">
      <c r="A471" s="20" t="s">
        <v>132</v>
      </c>
      <c r="E471" s="22">
        <f>IF(D471="?OLD","!!!","")</f>
        <v/>
      </c>
      <c r="F471" s="23" t="str">
        <f>IF(OR(E471="",E471="!!!"),"",IF(NOT(ISNA(VLOOKUP(E471,E$1:E470,1,FALSE()))),"OLD",IF(AND(E471&lt;&gt;"",E471&lt;&gt;"!!!"),"NEW","")))</f>
        <v> </v>
      </c>
      <c r="G471" s="24" t="str">
        <f>IF(OR(E471="",E471="!!!"),"",IF(OR(J471=0,AND(J471=1,K471=1),AND(J471=1,I471="SBJ"),AND(J471=1,I471=0)),"?IN_FOCUS",IF(J471&lt;=2,"?ACTIVATED",IF(J471&lt;&gt;"","?FAMILIAR",IF(F471="NEW",IF(ISNA(VLOOKUP(E471,#REF!,1,FALSE())),"?TYPE_IDENTIFIABLE","?REFERENTIAL"),"_")))))</f>
        <v> </v>
      </c>
      <c r="H471" s="25" t="str">
        <f>IF(J471&lt;&gt;1,"",IF(I471="SBJ","CB","?"))</f>
        <v> </v>
      </c>
      <c r="I471" s="26" t="str">
        <f>IF(OR(E471="",E471="!!!",F471="NEW"),"",INDEX(B470:B$2,-1+SUMPRODUCT(MAX(ROW(E470:E$2)*(E471=E470:E$2)))))</f>
        <v> </v>
      </c>
      <c r="J471" s="26" t="str">
        <f>IF(OR(E471="",E471="!!!",F471="NEW"),"",COUNTBLANK(OFFSET(A$1,,,SUMPRODUCT(MAX(ROW(E$2:E471)*(E471=E$2:E471)))))-COUNTBLANK(OFFSET(A$1,,,SUMPRODUCT(MAX(ROW(E$1:E470)*(E2=E$1:E470))))))</f>
        <v> </v>
      </c>
      <c r="K471" s="26" t="str">
        <f>IF(OR(E471="",E471="!!!",F471="NEW"),"",INDEX(J$1:J470,SUMPRODUCT(MAX(ROW(E$1:E470)*(E471=E$1:E470)))))</f>
        <v> </v>
      </c>
      <c r="L471" s="27"/>
    </row>
    <row r="472" spans="1:12">
      <c r="A472" s="20" t="s">
        <v>90</v>
      </c>
      <c r="B472" s="21" t="s">
        <v>195</v>
      </c>
      <c r="C472" s="21" t="s">
        <v>112</v>
      </c>
      <c r="D472" s="21" t="s">
        <v>102</v>
      </c>
      <c r="E472" s="22">
        <f>IF(D472="?OLD","!!!","")</f>
        <v/>
      </c>
      <c r="F472" s="23" t="str">
        <f>IF(OR(E472="",E472="!!!"),"",IF(NOT(ISNA(VLOOKUP(E472,E$1:E471,1,FALSE()))),"OLD",IF(AND(E472&lt;&gt;"",E472&lt;&gt;"!!!"),"NEW","")))</f>
        <v> </v>
      </c>
      <c r="G472" s="24" t="str">
        <f>IF(OR(E472="",E472="!!!"),"",IF(OR(J472=0,AND(J472=1,K472=1),AND(J472=1,I472="SBJ"),AND(J472=1,I472=0)),"?IN_FOCUS",IF(J472&lt;=2,"?ACTIVATED",IF(J472&lt;&gt;"","?FAMILIAR",IF(F472="NEW",IF(ISNA(VLOOKUP(E472,#REF!,1,FALSE())),"?TYPE_IDENTIFIABLE","?REFERENTIAL"),"_")))))</f>
        <v> </v>
      </c>
      <c r="H472" s="25" t="str">
        <f>IF(J472&lt;&gt;1,"",IF(I472="SBJ","CB","?"))</f>
        <v> </v>
      </c>
      <c r="I472" s="26" t="str">
        <f>IF(OR(E472="",E472="!!!",F472="NEW"),"",INDEX(B471:B$2,-1+SUMPRODUCT(MAX(ROW(E471:E$2)*(E472=E471:E$2)))))</f>
        <v> </v>
      </c>
      <c r="J472" s="26" t="str">
        <f>IF(OR(E472="",E472="!!!",F472="NEW"),"",COUNTBLANK(OFFSET(A$1,,,SUMPRODUCT(MAX(ROW(E$2:E472)*(E472=E$2:E472)))))-COUNTBLANK(OFFSET(A$1,,,SUMPRODUCT(MAX(ROW(E$1:E471)*(E2=E$1:E471))))))</f>
        <v> </v>
      </c>
      <c r="K472" s="26" t="str">
        <f>IF(OR(E472="",E472="!!!",F472="NEW"),"",INDEX(J$1:J471,SUMPRODUCT(MAX(ROW(E$1:E471)*(E472=E$1:E471)))))</f>
        <v> </v>
      </c>
      <c r="L472" s="27"/>
    </row>
    <row r="473" spans="1:12">
      <c r="A473" s="20" t="s">
        <v>358</v>
      </c>
      <c r="E473" s="22">
        <f>IF(D473="?OLD","!!!","")</f>
        <v/>
      </c>
      <c r="F473" s="23" t="str">
        <f>IF(OR(E473="",E473="!!!"),"",IF(NOT(ISNA(VLOOKUP(E473,E$1:E472,1,FALSE()))),"OLD",IF(AND(E473&lt;&gt;"",E473&lt;&gt;"!!!"),"NEW","")))</f>
        <v> </v>
      </c>
      <c r="G473" s="24" t="str">
        <f>IF(OR(E473="",E473="!!!"),"",IF(OR(J473=0,AND(J473=1,K473=1),AND(J473=1,I473="SBJ"),AND(J473=1,I473=0)),"?IN_FOCUS",IF(J473&lt;=2,"?ACTIVATED",IF(J473&lt;&gt;"","?FAMILIAR",IF(F473="NEW",IF(ISNA(VLOOKUP(E473,#REF!,1,FALSE())),"?TYPE_IDENTIFIABLE","?REFERENTIAL"),"_")))))</f>
        <v> </v>
      </c>
      <c r="H473" s="25" t="str">
        <f>IF(J473&lt;&gt;1,"",IF(I473="SBJ","CB","?"))</f>
        <v> </v>
      </c>
      <c r="I473" s="26" t="str">
        <f>IF(OR(E473="",E473="!!!",F473="NEW"),"",INDEX(B472:B$2,-1+SUMPRODUCT(MAX(ROW(E472:E$2)*(E473=E472:E$2)))))</f>
        <v> </v>
      </c>
      <c r="J473" s="26" t="str">
        <f>IF(OR(E473="",E473="!!!",F473="NEW"),"",COUNTBLANK(OFFSET(A$1,,,SUMPRODUCT(MAX(ROW(E$2:E473)*(E473=E$2:E473)))))-COUNTBLANK(OFFSET(A$1,,,SUMPRODUCT(MAX(ROW(E$1:E472)*(E2=E$1:E472))))))</f>
        <v> </v>
      </c>
      <c r="K473" s="26" t="str">
        <f>IF(OR(E473="",E473="!!!",F473="NEW"),"",INDEX(J$1:J472,SUMPRODUCT(MAX(ROW(E$1:E472)*(E473=E$1:E472)))))</f>
        <v> </v>
      </c>
      <c r="L473" s="27"/>
    </row>
    <row r="474" spans="1:12">
      <c r="A474" s="20" t="s">
        <v>169</v>
      </c>
      <c r="E474" s="22">
        <f>IF(D474="?OLD","!!!","")</f>
        <v/>
      </c>
      <c r="F474" s="23" t="str">
        <f>IF(OR(E474="",E474="!!!"),"",IF(NOT(ISNA(VLOOKUP(E474,E$1:E473,1,FALSE()))),"OLD",IF(AND(E474&lt;&gt;"",E474&lt;&gt;"!!!"),"NEW","")))</f>
        <v> </v>
      </c>
      <c r="G474" s="24" t="str">
        <f>IF(OR(E474="",E474="!!!"),"",IF(OR(J474=0,AND(J474=1,K474=1),AND(J474=1,I474="SBJ"),AND(J474=1,I474=0)),"?IN_FOCUS",IF(J474&lt;=2,"?ACTIVATED",IF(J474&lt;&gt;"","?FAMILIAR",IF(F474="NEW",IF(ISNA(VLOOKUP(E474,#REF!,1,FALSE())),"?TYPE_IDENTIFIABLE","?REFERENTIAL"),"_")))))</f>
        <v> </v>
      </c>
      <c r="H474" s="25" t="str">
        <f>IF(J474&lt;&gt;1,"",IF(I474="SBJ","CB","?"))</f>
        <v> </v>
      </c>
      <c r="I474" s="26" t="str">
        <f>IF(OR(E474="",E474="!!!",F474="NEW"),"",INDEX(B473:B$2,-1+SUMPRODUCT(MAX(ROW(E473:E$2)*(E474=E473:E$2)))))</f>
        <v> </v>
      </c>
      <c r="J474" s="26" t="str">
        <f>IF(OR(E474="",E474="!!!",F474="NEW"),"",COUNTBLANK(OFFSET(A$1,,,SUMPRODUCT(MAX(ROW(E$2:E474)*(E474=E$2:E474)))))-COUNTBLANK(OFFSET(A$1,,,SUMPRODUCT(MAX(ROW(E$1:E473)*(E2=E$1:E473))))))</f>
        <v> </v>
      </c>
      <c r="K474" s="26" t="str">
        <f>IF(OR(E474="",E474="!!!",F474="NEW"),"",INDEX(J$1:J473,SUMPRODUCT(MAX(ROW(E$1:E473)*(E474=E$1:E473)))))</f>
        <v> </v>
      </c>
      <c r="L474" s="27"/>
    </row>
    <row r="475" spans="1:12">
      <c r="A475" s="20" t="s">
        <v>129</v>
      </c>
      <c r="E475" s="22">
        <f>IF(D475="?OLD","!!!","")</f>
        <v/>
      </c>
      <c r="F475" s="23" t="str">
        <f>IF(OR(E475="",E475="!!!"),"",IF(NOT(ISNA(VLOOKUP(E475,E$1:E474,1,FALSE()))),"OLD",IF(AND(E475&lt;&gt;"",E475&lt;&gt;"!!!"),"NEW","")))</f>
        <v> </v>
      </c>
      <c r="G475" s="24" t="str">
        <f>IF(OR(E475="",E475="!!!"),"",IF(OR(J475=0,AND(J475=1,K475=1),AND(J475=1,I475="SBJ"),AND(J475=1,I475=0)),"?IN_FOCUS",IF(J475&lt;=2,"?ACTIVATED",IF(J475&lt;&gt;"","?FAMILIAR",IF(F475="NEW",IF(ISNA(VLOOKUP(E475,#REF!,1,FALSE())),"?TYPE_IDENTIFIABLE","?REFERENTIAL"),"_")))))</f>
        <v> </v>
      </c>
      <c r="H475" s="25" t="str">
        <f>IF(J475&lt;&gt;1,"",IF(I475="SBJ","CB","?"))</f>
        <v> </v>
      </c>
      <c r="I475" s="26" t="str">
        <f>IF(OR(E475="",E475="!!!",F475="NEW"),"",INDEX(B474:B$2,-1+SUMPRODUCT(MAX(ROW(E474:E$2)*(E475=E474:E$2)))))</f>
        <v> </v>
      </c>
      <c r="J475" s="26" t="str">
        <f>IF(OR(E475="",E475="!!!",F475="NEW"),"",COUNTBLANK(OFFSET(A$1,,,SUMPRODUCT(MAX(ROW(E$2:E475)*(E475=E$2:E475)))))-COUNTBLANK(OFFSET(A$1,,,SUMPRODUCT(MAX(ROW(E$1:E474)*(E2=E$1:E474))))))</f>
        <v> </v>
      </c>
      <c r="K475" s="26" t="str">
        <f>IF(OR(E475="",E475="!!!",F475="NEW"),"",INDEX(J$1:J474,SUMPRODUCT(MAX(ROW(E$1:E474)*(E475=E$1:E474)))))</f>
        <v> </v>
      </c>
      <c r="L475" s="27"/>
    </row>
    <row r="476" spans="1:12">
      <c r="A476" s="20" t="s">
        <v>159</v>
      </c>
      <c r="E476" s="22">
        <f>IF(D476="?OLD","!!!","")</f>
        <v/>
      </c>
      <c r="F476" s="23" t="str">
        <f>IF(OR(E476="",E476="!!!"),"",IF(NOT(ISNA(VLOOKUP(E476,E$1:E475,1,FALSE()))),"OLD",IF(AND(E476&lt;&gt;"",E476&lt;&gt;"!!!"),"NEW","")))</f>
        <v> </v>
      </c>
      <c r="G476" s="24" t="str">
        <f>IF(OR(E476="",E476="!!!"),"",IF(OR(J476=0,AND(J476=1,K476=1),AND(J476=1,I476="SBJ"),AND(J476=1,I476=0)),"?IN_FOCUS",IF(J476&lt;=2,"?ACTIVATED",IF(J476&lt;&gt;"","?FAMILIAR",IF(F476="NEW",IF(ISNA(VLOOKUP(E476,#REF!,1,FALSE())),"?TYPE_IDENTIFIABLE","?REFERENTIAL"),"_")))))</f>
        <v> </v>
      </c>
      <c r="H476" s="25" t="str">
        <f>IF(J476&lt;&gt;1,"",IF(I476="SBJ","CB","?"))</f>
        <v> </v>
      </c>
      <c r="I476" s="26" t="str">
        <f>IF(OR(E476="",E476="!!!",F476="NEW"),"",INDEX(B475:B$2,-1+SUMPRODUCT(MAX(ROW(E475:E$2)*(E476=E475:E$2)))))</f>
        <v> </v>
      </c>
      <c r="J476" s="26" t="str">
        <f>IF(OR(E476="",E476="!!!",F476="NEW"),"",COUNTBLANK(OFFSET(A$1,,,SUMPRODUCT(MAX(ROW(E$2:E476)*(E476=E$2:E476)))))-COUNTBLANK(OFFSET(A$1,,,SUMPRODUCT(MAX(ROW(E$1:E475)*(E2=E$1:E475))))))</f>
        <v> </v>
      </c>
      <c r="K476" s="26" t="str">
        <f>IF(OR(E476="",E476="!!!",F476="NEW"),"",INDEX(J$1:J475,SUMPRODUCT(MAX(ROW(E$1:E475)*(E476=E$1:E475)))))</f>
        <v> </v>
      </c>
      <c r="L476" s="27"/>
    </row>
    <row r="477" spans="1:12">
      <c r="A477" s="20" t="s">
        <v>359</v>
      </c>
      <c r="B477" s="21" t="s">
        <v>195</v>
      </c>
      <c r="C477" s="21" t="s">
        <v>112</v>
      </c>
      <c r="D477" s="21" t="s">
        <v>102</v>
      </c>
      <c r="E477" s="22">
        <f>IF(D477="?OLD","!!!","")</f>
        <v/>
      </c>
      <c r="F477" s="23" t="str">
        <f>IF(OR(E477="",E477="!!!"),"",IF(NOT(ISNA(VLOOKUP(E477,E$1:E476,1,FALSE()))),"OLD",IF(AND(E477&lt;&gt;"",E477&lt;&gt;"!!!"),"NEW","")))</f>
        <v> </v>
      </c>
      <c r="G477" s="24" t="str">
        <f>IF(OR(E477="",E477="!!!"),"",IF(OR(J477=0,AND(J477=1,K477=1),AND(J477=1,I477="SBJ"),AND(J477=1,I477=0)),"?IN_FOCUS",IF(J477&lt;=2,"?ACTIVATED",IF(J477&lt;&gt;"","?FAMILIAR",IF(F477="NEW",IF(ISNA(VLOOKUP(E477,#REF!,1,FALSE())),"?TYPE_IDENTIFIABLE","?REFERENTIAL"),"_")))))</f>
        <v> </v>
      </c>
      <c r="H477" s="25" t="str">
        <f>IF(J477&lt;&gt;1,"",IF(I477="SBJ","CB","?"))</f>
        <v> </v>
      </c>
      <c r="I477" s="26" t="str">
        <f>IF(OR(E477="",E477="!!!",F477="NEW"),"",INDEX(B476:B$2,-1+SUMPRODUCT(MAX(ROW(E476:E$2)*(E477=E476:E$2)))))</f>
        <v> </v>
      </c>
      <c r="J477" s="26" t="str">
        <f>IF(OR(E477="",E477="!!!",F477="NEW"),"",COUNTBLANK(OFFSET(A$1,,,SUMPRODUCT(MAX(ROW(E$2:E477)*(E477=E$2:E477)))))-COUNTBLANK(OFFSET(A$1,,,SUMPRODUCT(MAX(ROW(E$1:E476)*(E2=E$1:E476))))))</f>
        <v> </v>
      </c>
      <c r="K477" s="26" t="str">
        <f>IF(OR(E477="",E477="!!!",F477="NEW"),"",INDEX(J$1:J476,SUMPRODUCT(MAX(ROW(E$1:E476)*(E477=E$1:E476)))))</f>
        <v> </v>
      </c>
      <c r="L477" s="27"/>
    </row>
    <row r="478" spans="1:12">
      <c r="A478" s="20" t="s">
        <v>360</v>
      </c>
      <c r="E478" s="22">
        <f>IF(D478="?OLD","!!!","")</f>
        <v/>
      </c>
      <c r="F478" s="23" t="str">
        <f>IF(OR(E478="",E478="!!!"),"",IF(NOT(ISNA(VLOOKUP(E478,E$1:E477,1,FALSE()))),"OLD",IF(AND(E478&lt;&gt;"",E478&lt;&gt;"!!!"),"NEW","")))</f>
        <v> </v>
      </c>
      <c r="G478" s="24" t="str">
        <f>IF(OR(E478="",E478="!!!"),"",IF(OR(J478=0,AND(J478=1,K478=1),AND(J478=1,I478="SBJ"),AND(J478=1,I478=0)),"?IN_FOCUS",IF(J478&lt;=2,"?ACTIVATED",IF(J478&lt;&gt;"","?FAMILIAR",IF(F478="NEW",IF(ISNA(VLOOKUP(E478,#REF!,1,FALSE())),"?TYPE_IDENTIFIABLE","?REFERENTIAL"),"_")))))</f>
        <v> </v>
      </c>
      <c r="H478" s="25" t="str">
        <f>IF(J478&lt;&gt;1,"",IF(I478="SBJ","CB","?"))</f>
        <v> </v>
      </c>
      <c r="I478" s="26" t="str">
        <f>IF(OR(E478="",E478="!!!",F478="NEW"),"",INDEX(B477:B$2,-1+SUMPRODUCT(MAX(ROW(E477:E$2)*(E478=E477:E$2)))))</f>
        <v> </v>
      </c>
      <c r="J478" s="26" t="str">
        <f>IF(OR(E478="",E478="!!!",F478="NEW"),"",COUNTBLANK(OFFSET(A$1,,,SUMPRODUCT(MAX(ROW(E$2:E478)*(E478=E$2:E478)))))-COUNTBLANK(OFFSET(A$1,,,SUMPRODUCT(MAX(ROW(E$1:E477)*(E2=E$1:E477))))))</f>
        <v> </v>
      </c>
      <c r="K478" s="26" t="str">
        <f>IF(OR(E478="",E478="!!!",F478="NEW"),"",INDEX(J$1:J477,SUMPRODUCT(MAX(ROW(E$1:E477)*(E478=E$1:E477)))))</f>
        <v> </v>
      </c>
      <c r="L478" s="27"/>
    </row>
    <row r="479" spans="1:12">
      <c r="A479" s="20" t="s">
        <v>361</v>
      </c>
      <c r="E479" s="22">
        <f>IF(D479="?OLD","!!!","")</f>
        <v/>
      </c>
      <c r="F479" s="23" t="str">
        <f>IF(OR(E479="",E479="!!!"),"",IF(NOT(ISNA(VLOOKUP(E479,E$1:E478,1,FALSE()))),"OLD",IF(AND(E479&lt;&gt;"",E479&lt;&gt;"!!!"),"NEW","")))</f>
        <v> </v>
      </c>
      <c r="G479" s="24" t="str">
        <f>IF(OR(E479="",E479="!!!"),"",IF(OR(J479=0,AND(J479=1,K479=1),AND(J479=1,I479="SBJ"),AND(J479=1,I479=0)),"?IN_FOCUS",IF(J479&lt;=2,"?ACTIVATED",IF(J479&lt;&gt;"","?FAMILIAR",IF(F479="NEW",IF(ISNA(VLOOKUP(E479,#REF!,1,FALSE())),"?TYPE_IDENTIFIABLE","?REFERENTIAL"),"_")))))</f>
        <v> </v>
      </c>
      <c r="H479" s="25" t="str">
        <f>IF(J479&lt;&gt;1,"",IF(I479="SBJ","CB","?"))</f>
        <v> </v>
      </c>
      <c r="I479" s="26" t="str">
        <f>IF(OR(E479="",E479="!!!",F479="NEW"),"",INDEX(B478:B$2,-1+SUMPRODUCT(MAX(ROW(E478:E$2)*(E479=E478:E$2)))))</f>
        <v> </v>
      </c>
      <c r="J479" s="26" t="str">
        <f>IF(OR(E479="",E479="!!!",F479="NEW"),"",COUNTBLANK(OFFSET(A$1,,,SUMPRODUCT(MAX(ROW(E$2:E479)*(E479=E$2:E479)))))-COUNTBLANK(OFFSET(A$1,,,SUMPRODUCT(MAX(ROW(E$1:E478)*(E2=E$1:E478))))))</f>
        <v> </v>
      </c>
      <c r="K479" s="26" t="str">
        <f>IF(OR(E479="",E479="!!!",F479="NEW"),"",INDEX(J$1:J478,SUMPRODUCT(MAX(ROW(E$1:E478)*(E479=E$1:E478)))))</f>
        <v> </v>
      </c>
      <c r="L479" s="27"/>
    </row>
    <row r="480" spans="1:12">
      <c r="A480" s="20" t="s">
        <v>362</v>
      </c>
      <c r="B480" s="21" t="s">
        <v>120</v>
      </c>
      <c r="C480" s="21" t="s">
        <v>92</v>
      </c>
      <c r="E480" s="22">
        <f>IF(D480="?OLD","!!!","")</f>
        <v/>
      </c>
      <c r="F480" s="23" t="str">
        <f>IF(OR(E480="",E480="!!!"),"",IF(NOT(ISNA(VLOOKUP(E480,E$1:E479,1,FALSE()))),"OLD",IF(AND(E480&lt;&gt;"",E480&lt;&gt;"!!!"),"NEW","")))</f>
        <v> </v>
      </c>
      <c r="G480" s="24" t="str">
        <f>IF(OR(E480="",E480="!!!"),"",IF(OR(J480=0,AND(J480=1,K480=1),AND(J480=1,I480="SBJ"),AND(J480=1,I480=0)),"?IN_FOCUS",IF(J480&lt;=2,"?ACTIVATED",IF(J480&lt;&gt;"","?FAMILIAR",IF(F480="NEW",IF(ISNA(VLOOKUP(E480,#REF!,1,FALSE())),"?TYPE_IDENTIFIABLE","?REFERENTIAL"),"_")))))</f>
        <v> </v>
      </c>
      <c r="H480" s="25" t="str">
        <f>IF(J480&lt;&gt;1,"",IF(I480="SBJ","CB","?"))</f>
        <v> </v>
      </c>
      <c r="I480" s="26" t="str">
        <f>IF(OR(E480="",E480="!!!",F480="NEW"),"",INDEX(B479:B$2,-1+SUMPRODUCT(MAX(ROW(E479:E$2)*(E480=E479:E$2)))))</f>
        <v> </v>
      </c>
      <c r="J480" s="26" t="str">
        <f>IF(OR(E480="",E480="!!!",F480="NEW"),"",COUNTBLANK(OFFSET(A$1,,,SUMPRODUCT(MAX(ROW(E$2:E480)*(E480=E$2:E480)))))-COUNTBLANK(OFFSET(A$1,,,SUMPRODUCT(MAX(ROW(E$1:E479)*(E2=E$1:E479))))))</f>
        <v> </v>
      </c>
      <c r="K480" s="26" t="str">
        <f>IF(OR(E480="",E480="!!!",F480="NEW"),"",INDEX(J$1:J479,SUMPRODUCT(MAX(ROW(E$1:E479)*(E480=E$1:E479)))))</f>
        <v> </v>
      </c>
      <c r="L480" s="27"/>
    </row>
    <row r="481" spans="1:12">
      <c r="A481" s="20" t="s">
        <v>363</v>
      </c>
      <c r="E481" s="22">
        <f>IF(D481="?OLD","!!!","")</f>
        <v/>
      </c>
      <c r="F481" s="23" t="str">
        <f>IF(OR(E481="",E481="!!!"),"",IF(NOT(ISNA(VLOOKUP(E481,E$1:E480,1,FALSE()))),"OLD",IF(AND(E481&lt;&gt;"",E481&lt;&gt;"!!!"),"NEW","")))</f>
        <v> </v>
      </c>
      <c r="G481" s="24" t="str">
        <f>IF(OR(E481="",E481="!!!"),"",IF(OR(J481=0,AND(J481=1,K481=1),AND(J481=1,I481="SBJ"),AND(J481=1,I481=0)),"?IN_FOCUS",IF(J481&lt;=2,"?ACTIVATED",IF(J481&lt;&gt;"","?FAMILIAR",IF(F481="NEW",IF(ISNA(VLOOKUP(E481,#REF!,1,FALSE())),"?TYPE_IDENTIFIABLE","?REFERENTIAL"),"_")))))</f>
        <v> </v>
      </c>
      <c r="H481" s="25" t="str">
        <f>IF(J481&lt;&gt;1,"",IF(I481="SBJ","CB","?"))</f>
        <v> </v>
      </c>
      <c r="I481" s="26" t="str">
        <f>IF(OR(E481="",E481="!!!",F481="NEW"),"",INDEX(B480:B$2,-1+SUMPRODUCT(MAX(ROW(E480:E$2)*(E481=E480:E$2)))))</f>
        <v> </v>
      </c>
      <c r="J481" s="26" t="str">
        <f>IF(OR(E481="",E481="!!!",F481="NEW"),"",COUNTBLANK(OFFSET(A$1,,,SUMPRODUCT(MAX(ROW(E$2:E481)*(E481=E$2:E481)))))-COUNTBLANK(OFFSET(A$1,,,SUMPRODUCT(MAX(ROW(E$1:E480)*(E2=E$1:E480))))))</f>
        <v> </v>
      </c>
      <c r="K481" s="26" t="str">
        <f>IF(OR(E481="",E481="!!!",F481="NEW"),"",INDEX(J$1:J480,SUMPRODUCT(MAX(ROW(E$1:E480)*(E481=E$1:E480)))))</f>
        <v> </v>
      </c>
      <c r="L481" s="27"/>
    </row>
    <row r="482" spans="1:12">
      <c r="A482" s="20" t="s">
        <v>262</v>
      </c>
      <c r="E482" s="22">
        <f>IF(D482="?OLD","!!!","")</f>
        <v/>
      </c>
      <c r="F482" s="23" t="str">
        <f>IF(OR(E482="",E482="!!!"),"",IF(NOT(ISNA(VLOOKUP(E482,E$1:E481,1,FALSE()))),"OLD",IF(AND(E482&lt;&gt;"",E482&lt;&gt;"!!!"),"NEW","")))</f>
        <v> </v>
      </c>
      <c r="G482" s="24" t="str">
        <f>IF(OR(E482="",E482="!!!"),"",IF(OR(J482=0,AND(J482=1,K482=1),AND(J482=1,I482="SBJ"),AND(J482=1,I482=0)),"?IN_FOCUS",IF(J482&lt;=2,"?ACTIVATED",IF(J482&lt;&gt;"","?FAMILIAR",IF(F482="NEW",IF(ISNA(VLOOKUP(E482,#REF!,1,FALSE())),"?TYPE_IDENTIFIABLE","?REFERENTIAL"),"_")))))</f>
        <v> </v>
      </c>
      <c r="H482" s="25" t="str">
        <f>IF(J482&lt;&gt;1,"",IF(I482="SBJ","CB","?"))</f>
        <v> </v>
      </c>
      <c r="I482" s="26" t="str">
        <f>IF(OR(E482="",E482="!!!",F482="NEW"),"",INDEX(B481:B$2,-1+SUMPRODUCT(MAX(ROW(E481:E$2)*(E482=E481:E$2)))))</f>
        <v> </v>
      </c>
      <c r="J482" s="26" t="str">
        <f>IF(OR(E482="",E482="!!!",F482="NEW"),"",COUNTBLANK(OFFSET(A$1,,,SUMPRODUCT(MAX(ROW(E$2:E482)*(E482=E$2:E482)))))-COUNTBLANK(OFFSET(A$1,,,SUMPRODUCT(MAX(ROW(E$1:E481)*(E2=E$1:E481))))))</f>
        <v> </v>
      </c>
      <c r="K482" s="26" t="str">
        <f>IF(OR(E482="",E482="!!!",F482="NEW"),"",INDEX(J$1:J481,SUMPRODUCT(MAX(ROW(E$1:E481)*(E482=E$1:E481)))))</f>
        <v> </v>
      </c>
      <c r="L482" s="27"/>
    </row>
    <row r="483" spans="1:12">
      <c r="A483" s="20" t="s">
        <v>118</v>
      </c>
      <c r="E483" s="22">
        <f>IF(D483="?OLD","!!!","")</f>
        <v/>
      </c>
      <c r="F483" s="23" t="str">
        <f>IF(OR(E483="",E483="!!!"),"",IF(NOT(ISNA(VLOOKUP(E483,E$1:E482,1,FALSE()))),"OLD",IF(AND(E483&lt;&gt;"",E483&lt;&gt;"!!!"),"NEW","")))</f>
        <v> </v>
      </c>
      <c r="G483" s="24" t="str">
        <f>IF(OR(E483="",E483="!!!"),"",IF(OR(J483=0,AND(J483=1,K483=1),AND(J483=1,I483="SBJ"),AND(J483=1,I483=0)),"?IN_FOCUS",IF(J483&lt;=2,"?ACTIVATED",IF(J483&lt;&gt;"","?FAMILIAR",IF(F483="NEW",IF(ISNA(VLOOKUP(E483,#REF!,1,FALSE())),"?TYPE_IDENTIFIABLE","?REFERENTIAL"),"_")))))</f>
        <v> </v>
      </c>
      <c r="H483" s="25" t="str">
        <f>IF(J483&lt;&gt;1,"",IF(I483="SBJ","CB","?"))</f>
        <v> </v>
      </c>
      <c r="I483" s="26" t="str">
        <f>IF(OR(E483="",E483="!!!",F483="NEW"),"",INDEX(B482:B$2,-1+SUMPRODUCT(MAX(ROW(E482:E$2)*(E483=E482:E$2)))))</f>
        <v> </v>
      </c>
      <c r="J483" s="26" t="str">
        <f>IF(OR(E483="",E483="!!!",F483="NEW"),"",COUNTBLANK(OFFSET(A$1,,,SUMPRODUCT(MAX(ROW(E$2:E483)*(E483=E$2:E483)))))-COUNTBLANK(OFFSET(A$1,,,SUMPRODUCT(MAX(ROW(E$1:E482)*(E2=E$1:E482))))))</f>
        <v> </v>
      </c>
      <c r="K483" s="26" t="str">
        <f>IF(OR(E483="",E483="!!!",F483="NEW"),"",INDEX(J$1:J482,SUMPRODUCT(MAX(ROW(E$1:E482)*(E483=E$1:E482)))))</f>
        <v> </v>
      </c>
      <c r="L483" s="27"/>
    </row>
    <row r="484" spans="1:12">
      <c r="A484" s="20" t="s">
        <v>220</v>
      </c>
      <c r="B484" s="21" t="s">
        <v>195</v>
      </c>
      <c r="C484" s="21" t="s">
        <v>112</v>
      </c>
      <c r="D484" s="21" t="s">
        <v>102</v>
      </c>
      <c r="E484" s="22">
        <f>IF(D484="?OLD","!!!","")</f>
        <v/>
      </c>
      <c r="F484" s="23" t="str">
        <f>IF(OR(E484="",E484="!!!"),"",IF(NOT(ISNA(VLOOKUP(E484,E$1:E483,1,FALSE()))),"OLD",IF(AND(E484&lt;&gt;"",E484&lt;&gt;"!!!"),"NEW","")))</f>
        <v> </v>
      </c>
      <c r="G484" s="24" t="str">
        <f>IF(OR(E484="",E484="!!!"),"",IF(OR(J484=0,AND(J484=1,K484=1),AND(J484=1,I484="SBJ"),AND(J484=1,I484=0)),"?IN_FOCUS",IF(J484&lt;=2,"?ACTIVATED",IF(J484&lt;&gt;"","?FAMILIAR",IF(F484="NEW",IF(ISNA(VLOOKUP(E484,#REF!,1,FALSE())),"?TYPE_IDENTIFIABLE","?REFERENTIAL"),"_")))))</f>
        <v> </v>
      </c>
      <c r="H484" s="25" t="str">
        <f>IF(J484&lt;&gt;1,"",IF(I484="SBJ","CB","?"))</f>
        <v> </v>
      </c>
      <c r="I484" s="26" t="str">
        <f>IF(OR(E484="",E484="!!!",F484="NEW"),"",INDEX(B483:B$2,-1+SUMPRODUCT(MAX(ROW(E483:E$2)*(E484=E483:E$2)))))</f>
        <v> </v>
      </c>
      <c r="J484" s="26" t="str">
        <f>IF(OR(E484="",E484="!!!",F484="NEW"),"",COUNTBLANK(OFFSET(A$1,,,SUMPRODUCT(MAX(ROW(E$2:E484)*(E484=E$2:E484)))))-COUNTBLANK(OFFSET(A$1,,,SUMPRODUCT(MAX(ROW(E$1:E483)*(E2=E$1:E483))))))</f>
        <v> </v>
      </c>
      <c r="K484" s="26" t="str">
        <f>IF(OR(E484="",E484="!!!",F484="NEW"),"",INDEX(J$1:J483,SUMPRODUCT(MAX(ROW(E$1:E483)*(E484=E$1:E483)))))</f>
        <v> </v>
      </c>
      <c r="L484" s="27"/>
    </row>
    <row r="485" spans="1:12">
      <c r="A485" s="20" t="s">
        <v>364</v>
      </c>
      <c r="E485" s="22">
        <f>IF(D485="?OLD","!!!","")</f>
        <v/>
      </c>
      <c r="F485" s="23" t="str">
        <f>IF(OR(E485="",E485="!!!"),"",IF(NOT(ISNA(VLOOKUP(E485,E$1:E484,1,FALSE()))),"OLD",IF(AND(E485&lt;&gt;"",E485&lt;&gt;"!!!"),"NEW","")))</f>
        <v> </v>
      </c>
      <c r="G485" s="24" t="str">
        <f>IF(OR(E485="",E485="!!!"),"",IF(OR(J485=0,AND(J485=1,K485=1),AND(J485=1,I485="SBJ"),AND(J485=1,I485=0)),"?IN_FOCUS",IF(J485&lt;=2,"?ACTIVATED",IF(J485&lt;&gt;"","?FAMILIAR",IF(F485="NEW",IF(ISNA(VLOOKUP(E485,#REF!,1,FALSE())),"?TYPE_IDENTIFIABLE","?REFERENTIAL"),"_")))))</f>
        <v> </v>
      </c>
      <c r="H485" s="25" t="str">
        <f>IF(J485&lt;&gt;1,"",IF(I485="SBJ","CB","?"))</f>
        <v> </v>
      </c>
      <c r="I485" s="26" t="str">
        <f>IF(OR(E485="",E485="!!!",F485="NEW"),"",INDEX(B484:B$2,-1+SUMPRODUCT(MAX(ROW(E484:E$2)*(E485=E484:E$2)))))</f>
        <v> </v>
      </c>
      <c r="J485" s="26" t="str">
        <f>IF(OR(E485="",E485="!!!",F485="NEW"),"",COUNTBLANK(OFFSET(A$1,,,SUMPRODUCT(MAX(ROW(E$2:E485)*(E485=E$2:E485)))))-COUNTBLANK(OFFSET(A$1,,,SUMPRODUCT(MAX(ROW(E$1:E484)*(E2=E$1:E484))))))</f>
        <v> </v>
      </c>
      <c r="K485" s="26" t="str">
        <f>IF(OR(E485="",E485="!!!",F485="NEW"),"",INDEX(J$1:J484,SUMPRODUCT(MAX(ROW(E$1:E484)*(E485=E$1:E484)))))</f>
        <v> </v>
      </c>
      <c r="L485" s="27"/>
    </row>
    <row r="486" spans="1:12">
      <c r="A486" s="20" t="s">
        <v>132</v>
      </c>
      <c r="E486" s="22">
        <f>IF(D486="?OLD","!!!","")</f>
        <v/>
      </c>
      <c r="F486" s="23" t="str">
        <f>IF(OR(E486="",E486="!!!"),"",IF(NOT(ISNA(VLOOKUP(E486,E$1:E485,1,FALSE()))),"OLD",IF(AND(E486&lt;&gt;"",E486&lt;&gt;"!!!"),"NEW","")))</f>
        <v> </v>
      </c>
      <c r="G486" s="24" t="str">
        <f>IF(OR(E486="",E486="!!!"),"",IF(OR(J486=0,AND(J486=1,K486=1),AND(J486=1,I486="SBJ"),AND(J486=1,I486=0)),"?IN_FOCUS",IF(J486&lt;=2,"?ACTIVATED",IF(J486&lt;&gt;"","?FAMILIAR",IF(F486="NEW",IF(ISNA(VLOOKUP(E486,#REF!,1,FALSE())),"?TYPE_IDENTIFIABLE","?REFERENTIAL"),"_")))))</f>
        <v> </v>
      </c>
      <c r="H486" s="25" t="str">
        <f>IF(J486&lt;&gt;1,"",IF(I486="SBJ","CB","?"))</f>
        <v> </v>
      </c>
      <c r="I486" s="26" t="str">
        <f>IF(OR(E486="",E486="!!!",F486="NEW"),"",INDEX(B485:B$2,-1+SUMPRODUCT(MAX(ROW(E485:E$2)*(E486=E485:E$2)))))</f>
        <v> </v>
      </c>
      <c r="J486" s="26" t="str">
        <f>IF(OR(E486="",E486="!!!",F486="NEW"),"",COUNTBLANK(OFFSET(A$1,,,SUMPRODUCT(MAX(ROW(E$2:E486)*(E486=E$2:E486)))))-COUNTBLANK(OFFSET(A$1,,,SUMPRODUCT(MAX(ROW(E$1:E485)*(E2=E$1:E485))))))</f>
        <v> </v>
      </c>
      <c r="K486" s="26" t="str">
        <f>IF(OR(E486="",E486="!!!",F486="NEW"),"",INDEX(J$1:J485,SUMPRODUCT(MAX(ROW(E$1:E485)*(E486=E$1:E485)))))</f>
        <v> </v>
      </c>
      <c r="L486" s="27"/>
    </row>
    <row r="487" spans="1:12">
      <c r="A487" s="20" t="s">
        <v>365</v>
      </c>
      <c r="B487" s="21" t="s">
        <v>120</v>
      </c>
      <c r="C487" s="21" t="s">
        <v>112</v>
      </c>
      <c r="D487" s="21" t="s">
        <v>102</v>
      </c>
      <c r="E487" s="22">
        <f>IF(D487="?OLD","!!!","")</f>
        <v/>
      </c>
      <c r="F487" s="23" t="str">
        <f>IF(OR(E487="",E487="!!!"),"",IF(NOT(ISNA(VLOOKUP(E487,E$1:E486,1,FALSE()))),"OLD",IF(AND(E487&lt;&gt;"",E487&lt;&gt;"!!!"),"NEW","")))</f>
        <v> </v>
      </c>
      <c r="G487" s="24" t="str">
        <f>IF(OR(E487="",E487="!!!"),"",IF(OR(J487=0,AND(J487=1,K487=1),AND(J487=1,I487="SBJ"),AND(J487=1,I487=0)),"?IN_FOCUS",IF(J487&lt;=2,"?ACTIVATED",IF(J487&lt;&gt;"","?FAMILIAR",IF(F487="NEW",IF(ISNA(VLOOKUP(E487,#REF!,1,FALSE())),"?TYPE_IDENTIFIABLE","?REFERENTIAL"),"_")))))</f>
        <v> </v>
      </c>
      <c r="H487" s="25" t="str">
        <f>IF(J487&lt;&gt;1,"",IF(I487="SBJ","CB","?"))</f>
        <v> </v>
      </c>
      <c r="I487" s="26" t="str">
        <f>IF(OR(E487="",E487="!!!",F487="NEW"),"",INDEX(B486:B$2,-1+SUMPRODUCT(MAX(ROW(E486:E$2)*(E487=E486:E$2)))))</f>
        <v> </v>
      </c>
      <c r="J487" s="26" t="str">
        <f>IF(OR(E487="",E487="!!!",F487="NEW"),"",COUNTBLANK(OFFSET(A$1,,,SUMPRODUCT(MAX(ROW(E$2:E487)*(E487=E$2:E487)))))-COUNTBLANK(OFFSET(A$1,,,SUMPRODUCT(MAX(ROW(E$1:E486)*(E2=E$1:E486))))))</f>
        <v> </v>
      </c>
      <c r="K487" s="26" t="str">
        <f>IF(OR(E487="",E487="!!!",F487="NEW"),"",INDEX(J$1:J486,SUMPRODUCT(MAX(ROW(E$1:E486)*(E487=E$1:E486)))))</f>
        <v> </v>
      </c>
      <c r="L487" s="27"/>
    </row>
    <row r="488" spans="1:12">
      <c r="A488" s="20" t="s">
        <v>169</v>
      </c>
      <c r="E488" s="22">
        <f>IF(D488="?OLD","!!!","")</f>
        <v/>
      </c>
      <c r="F488" s="23" t="str">
        <f>IF(OR(E488="",E488="!!!"),"",IF(NOT(ISNA(VLOOKUP(E488,E$1:E487,1,FALSE()))),"OLD",IF(AND(E488&lt;&gt;"",E488&lt;&gt;"!!!"),"NEW","")))</f>
        <v> </v>
      </c>
      <c r="G488" s="24" t="str">
        <f>IF(OR(E488="",E488="!!!"),"",IF(OR(J488=0,AND(J488=1,K488=1),AND(J488=1,I488="SBJ"),AND(J488=1,I488=0)),"?IN_FOCUS",IF(J488&lt;=2,"?ACTIVATED",IF(J488&lt;&gt;"","?FAMILIAR",IF(F488="NEW",IF(ISNA(VLOOKUP(E488,#REF!,1,FALSE())),"?TYPE_IDENTIFIABLE","?REFERENTIAL"),"_")))))</f>
        <v> </v>
      </c>
      <c r="H488" s="25" t="str">
        <f>IF(J488&lt;&gt;1,"",IF(I488="SBJ","CB","?"))</f>
        <v> </v>
      </c>
      <c r="I488" s="26" t="str">
        <f>IF(OR(E488="",E488="!!!",F488="NEW"),"",INDEX(B487:B$2,-1+SUMPRODUCT(MAX(ROW(E487:E$2)*(E488=E487:E$2)))))</f>
        <v> </v>
      </c>
      <c r="J488" s="26" t="str">
        <f>IF(OR(E488="",E488="!!!",F488="NEW"),"",COUNTBLANK(OFFSET(A$1,,,SUMPRODUCT(MAX(ROW(E$2:E488)*(E488=E$2:E488)))))-COUNTBLANK(OFFSET(A$1,,,SUMPRODUCT(MAX(ROW(E$1:E487)*(E2=E$1:E487))))))</f>
        <v> </v>
      </c>
      <c r="K488" s="26" t="str">
        <f>IF(OR(E488="",E488="!!!",F488="NEW"),"",INDEX(J$1:J487,SUMPRODUCT(MAX(ROW(E$1:E487)*(E488=E$1:E487)))))</f>
        <v> </v>
      </c>
      <c r="L488" s="27"/>
    </row>
    <row r="489" spans="1:12">
      <c r="A489" s="20" t="s">
        <v>208</v>
      </c>
      <c r="E489" s="22">
        <f>IF(D489="?OLD","!!!","")</f>
        <v/>
      </c>
      <c r="F489" s="23" t="str">
        <f>IF(OR(E489="",E489="!!!"),"",IF(NOT(ISNA(VLOOKUP(E489,E$1:E488,1,FALSE()))),"OLD",IF(AND(E489&lt;&gt;"",E489&lt;&gt;"!!!"),"NEW","")))</f>
        <v> </v>
      </c>
      <c r="G489" s="24" t="str">
        <f>IF(OR(E489="",E489="!!!"),"",IF(OR(J489=0,AND(J489=1,K489=1),AND(J489=1,I489="SBJ"),AND(J489=1,I489=0)),"?IN_FOCUS",IF(J489&lt;=2,"?ACTIVATED",IF(J489&lt;&gt;"","?FAMILIAR",IF(F489="NEW",IF(ISNA(VLOOKUP(E489,#REF!,1,FALSE())),"?TYPE_IDENTIFIABLE","?REFERENTIAL"),"_")))))</f>
        <v> </v>
      </c>
      <c r="H489" s="25" t="str">
        <f>IF(J489&lt;&gt;1,"",IF(I489="SBJ","CB","?"))</f>
        <v> </v>
      </c>
      <c r="I489" s="26" t="str">
        <f>IF(OR(E489="",E489="!!!",F489="NEW"),"",INDEX(B488:B$2,-1+SUMPRODUCT(MAX(ROW(E488:E$2)*(E489=E488:E$2)))))</f>
        <v> </v>
      </c>
      <c r="J489" s="26" t="str">
        <f>IF(OR(E489="",E489="!!!",F489="NEW"),"",COUNTBLANK(OFFSET(A$1,,,SUMPRODUCT(MAX(ROW(E$2:E489)*(E489=E$2:E489)))))-COUNTBLANK(OFFSET(A$1,,,SUMPRODUCT(MAX(ROW(E$1:E488)*(E2=E$1:E488))))))</f>
        <v> </v>
      </c>
      <c r="K489" s="26" t="str">
        <f>IF(OR(E489="",E489="!!!",F489="NEW"),"",INDEX(J$1:J488,SUMPRODUCT(MAX(ROW(E$1:E488)*(E489=E$1:E488)))))</f>
        <v> </v>
      </c>
      <c r="L489" s="27"/>
    </row>
    <row r="490" spans="1:12">
      <c r="A490" s="20" t="s">
        <v>366</v>
      </c>
      <c r="B490" s="21" t="s">
        <v>123</v>
      </c>
      <c r="C490" s="21" t="s">
        <v>112</v>
      </c>
      <c r="D490" s="21" t="s">
        <v>102</v>
      </c>
      <c r="E490" s="22">
        <f>IF(D490="?OLD","!!!","")</f>
        <v/>
      </c>
      <c r="F490" s="23" t="str">
        <f>IF(OR(E490="",E490="!!!"),"",IF(NOT(ISNA(VLOOKUP(E490,E$1:E489,1,FALSE()))),"OLD",IF(AND(E490&lt;&gt;"",E490&lt;&gt;"!!!"),"NEW","")))</f>
        <v> </v>
      </c>
      <c r="G490" s="24" t="str">
        <f>IF(OR(E490="",E490="!!!"),"",IF(OR(J490=0,AND(J490=1,K490=1),AND(J490=1,I490="SBJ"),AND(J490=1,I490=0)),"?IN_FOCUS",IF(J490&lt;=2,"?ACTIVATED",IF(J490&lt;&gt;"","?FAMILIAR",IF(F490="NEW",IF(ISNA(VLOOKUP(E490,#REF!,1,FALSE())),"?TYPE_IDENTIFIABLE","?REFERENTIAL"),"_")))))</f>
        <v> </v>
      </c>
      <c r="H490" s="25" t="str">
        <f>IF(J490&lt;&gt;1,"",IF(I490="SBJ","CB","?"))</f>
        <v> </v>
      </c>
      <c r="I490" s="26" t="str">
        <f>IF(OR(E490="",E490="!!!",F490="NEW"),"",INDEX(B489:B$2,-1+SUMPRODUCT(MAX(ROW(E489:E$2)*(E490=E489:E$2)))))</f>
        <v> </v>
      </c>
      <c r="J490" s="26" t="str">
        <f>IF(OR(E490="",E490="!!!",F490="NEW"),"",COUNTBLANK(OFFSET(A$1,,,SUMPRODUCT(MAX(ROW(E$2:E490)*(E490=E$2:E490)))))-COUNTBLANK(OFFSET(A$1,,,SUMPRODUCT(MAX(ROW(E$1:E489)*(E2=E$1:E489))))))</f>
        <v> </v>
      </c>
      <c r="K490" s="26" t="str">
        <f>IF(OR(E490="",E490="!!!",F490="NEW"),"",INDEX(J$1:J489,SUMPRODUCT(MAX(ROW(E$1:E489)*(E490=E$1:E489)))))</f>
        <v> </v>
      </c>
      <c r="L490" s="27"/>
    </row>
    <row r="491" spans="1:12">
      <c r="A491" s="20" t="s">
        <v>367</v>
      </c>
      <c r="E491" s="22">
        <f>IF(D491="?OLD","!!!","")</f>
        <v/>
      </c>
      <c r="F491" s="23" t="str">
        <f>IF(OR(E491="",E491="!!!"),"",IF(NOT(ISNA(VLOOKUP(E491,E$1:E490,1,FALSE()))),"OLD",IF(AND(E491&lt;&gt;"",E491&lt;&gt;"!!!"),"NEW","")))</f>
        <v> </v>
      </c>
      <c r="G491" s="24" t="str">
        <f>IF(OR(E491="",E491="!!!"),"",IF(OR(J491=0,AND(J491=1,K491=1),AND(J491=1,I491="SBJ"),AND(J491=1,I491=0)),"?IN_FOCUS",IF(J491&lt;=2,"?ACTIVATED",IF(J491&lt;&gt;"","?FAMILIAR",IF(F491="NEW",IF(ISNA(VLOOKUP(E491,#REF!,1,FALSE())),"?TYPE_IDENTIFIABLE","?REFERENTIAL"),"_")))))</f>
        <v> </v>
      </c>
      <c r="H491" s="25" t="str">
        <f>IF(J491&lt;&gt;1,"",IF(I491="SBJ","CB","?"))</f>
        <v> </v>
      </c>
      <c r="I491" s="26" t="str">
        <f>IF(OR(E491="",E491="!!!",F491="NEW"),"",INDEX(B490:B$2,-1+SUMPRODUCT(MAX(ROW(E490:E$2)*(E491=E490:E$2)))))</f>
        <v> </v>
      </c>
      <c r="J491" s="26" t="str">
        <f>IF(OR(E491="",E491="!!!",F491="NEW"),"",COUNTBLANK(OFFSET(A$1,,,SUMPRODUCT(MAX(ROW(E$2:E491)*(E491=E$2:E491)))))-COUNTBLANK(OFFSET(A$1,,,SUMPRODUCT(MAX(ROW(E$1:E490)*(E2=E$1:E490))))))</f>
        <v> </v>
      </c>
      <c r="K491" s="26" t="str">
        <f>IF(OR(E491="",E491="!!!",F491="NEW"),"",INDEX(J$1:J490,SUMPRODUCT(MAX(ROW(E$1:E490)*(E491=E$1:E490)))))</f>
        <v> </v>
      </c>
      <c r="L491" s="27"/>
    </row>
    <row r="492" spans="1:12">
      <c r="A492" s="20" t="s">
        <v>155</v>
      </c>
      <c r="E492" s="22">
        <f>IF(D492="?OLD","!!!","")</f>
        <v/>
      </c>
      <c r="F492" s="23" t="str">
        <f>IF(OR(E492="",E492="!!!"),"",IF(NOT(ISNA(VLOOKUP(E492,E$1:E491,1,FALSE()))),"OLD",IF(AND(E492&lt;&gt;"",E492&lt;&gt;"!!!"),"NEW","")))</f>
        <v> </v>
      </c>
      <c r="G492" s="24" t="str">
        <f>IF(OR(E492="",E492="!!!"),"",IF(OR(J492=0,AND(J492=1,K492=1),AND(J492=1,I492="SBJ"),AND(J492=1,I492=0)),"?IN_FOCUS",IF(J492&lt;=2,"?ACTIVATED",IF(J492&lt;&gt;"","?FAMILIAR",IF(F492="NEW",IF(ISNA(VLOOKUP(E492,#REF!,1,FALSE())),"?TYPE_IDENTIFIABLE","?REFERENTIAL"),"_")))))</f>
        <v> </v>
      </c>
      <c r="H492" s="25" t="str">
        <f>IF(J492&lt;&gt;1,"",IF(I492="SBJ","CB","?"))</f>
        <v> </v>
      </c>
      <c r="I492" s="26" t="str">
        <f>IF(OR(E492="",E492="!!!",F492="NEW"),"",INDEX(B491:B$2,-1+SUMPRODUCT(MAX(ROW(E491:E$2)*(E492=E491:E$2)))))</f>
        <v> </v>
      </c>
      <c r="J492" s="26" t="str">
        <f>IF(OR(E492="",E492="!!!",F492="NEW"),"",COUNTBLANK(OFFSET(A$1,,,SUMPRODUCT(MAX(ROW(E$2:E492)*(E492=E$2:E492)))))-COUNTBLANK(OFFSET(A$1,,,SUMPRODUCT(MAX(ROW(E$1:E491)*(E2=E$1:E491))))))</f>
        <v> </v>
      </c>
      <c r="K492" s="26" t="str">
        <f>IF(OR(E492="",E492="!!!",F492="NEW"),"",INDEX(J$1:J491,SUMPRODUCT(MAX(ROW(E$1:E491)*(E492=E$1:E491)))))</f>
        <v> </v>
      </c>
      <c r="L492" s="27"/>
    </row>
    <row r="493" spans="1:12">
      <c r="A493" s="20"/>
    </row>
    <row r="494" spans="1:12">
      <c r="A494" s="20" t="s">
        <v>368</v>
      </c>
    </row>
    <row r="495" spans="1:12">
      <c r="A495" s="20" t="s">
        <v>110</v>
      </c>
      <c r="E495" s="22">
        <f>IF(D495="?OLD","!!!","")</f>
        <v/>
      </c>
      <c r="F495" s="23" t="str">
        <f>IF(OR(E495="",E495="!!!"),"",IF(NOT(ISNA(VLOOKUP(E495,E$1:E494,1,FALSE()))),"OLD",IF(AND(E495&lt;&gt;"",E495&lt;&gt;"!!!"),"NEW","")))</f>
        <v> </v>
      </c>
      <c r="G495" s="24" t="str">
        <f>IF(OR(E495="",E495="!!!"),"",IF(OR(J495=0,AND(J495=1,K495=1),AND(J495=1,I495="SBJ"),AND(J495=1,I495=0)),"?IN_FOCUS",IF(J495&lt;=2,"?ACTIVATED",IF(J495&lt;&gt;"","?FAMILIAR",IF(F495="NEW",IF(ISNA(VLOOKUP(E495,#REF!,1,FALSE())),"?TYPE_IDENTIFIABLE","?REFERENTIAL"),"_")))))</f>
        <v> </v>
      </c>
      <c r="H495" s="25" t="str">
        <f>IF(J495&lt;&gt;1,"",IF(I495="SBJ","CB","?"))</f>
        <v> </v>
      </c>
      <c r="I495" s="26" t="str">
        <f>IF(OR(E495="",E495="!!!",F495="NEW"),"",INDEX(B494:B$2,-1+SUMPRODUCT(MAX(ROW(E494:E$2)*(E495=E494:E$2)))))</f>
        <v> </v>
      </c>
      <c r="J495" s="26" t="str">
        <f>IF(OR(E495="",E495="!!!",F495="NEW"),"",COUNTBLANK(OFFSET(A$1,,,SUMPRODUCT(MAX(ROW(E$2:E495)*(E495=E$2:E495)))))-COUNTBLANK(OFFSET(A$1,,,SUMPRODUCT(MAX(ROW(E$1:E494)*(E2=E$1:E494))))))</f>
        <v> </v>
      </c>
      <c r="K495" s="26" t="str">
        <f>IF(OR(E495="",E495="!!!",F495="NEW"),"",INDEX(J$1:J494,SUMPRODUCT(MAX(ROW(E$1:E494)*(E495=E$1:E494)))))</f>
        <v> </v>
      </c>
      <c r="L495" s="27"/>
    </row>
    <row r="496" spans="1:12">
      <c r="A496" s="20" t="s">
        <v>369</v>
      </c>
      <c r="B496" s="21" t="s">
        <v>91</v>
      </c>
      <c r="C496" s="21" t="s">
        <v>112</v>
      </c>
      <c r="D496" s="21" t="s">
        <v>102</v>
      </c>
      <c r="E496" s="22">
        <f>IF(D496="?OLD","!!!","")</f>
        <v/>
      </c>
      <c r="F496" s="23" t="str">
        <f>IF(OR(E496="",E496="!!!"),"",IF(NOT(ISNA(VLOOKUP(E496,E$1:E495,1,FALSE()))),"OLD",IF(AND(E496&lt;&gt;"",E496&lt;&gt;"!!!"),"NEW","")))</f>
        <v> </v>
      </c>
      <c r="G496" s="24" t="str">
        <f>IF(OR(E496="",E496="!!!"),"",IF(OR(J496=0,AND(J496=1,K496=1),AND(J496=1,I496="SBJ"),AND(J496=1,I496=0)),"?IN_FOCUS",IF(J496&lt;=2,"?ACTIVATED",IF(J496&lt;&gt;"","?FAMILIAR",IF(F496="NEW",IF(ISNA(VLOOKUP(E496,#REF!,1,FALSE())),"?TYPE_IDENTIFIABLE","?REFERENTIAL"),"_")))))</f>
        <v> </v>
      </c>
      <c r="H496" s="25" t="str">
        <f>IF(J496&lt;&gt;1,"",IF(I496="SBJ","CB","?"))</f>
        <v> </v>
      </c>
      <c r="I496" s="26" t="str">
        <f>IF(OR(E496="",E496="!!!",F496="NEW"),"",INDEX(B495:B$2,-1+SUMPRODUCT(MAX(ROW(E495:E$2)*(E496=E495:E$2)))))</f>
        <v> </v>
      </c>
      <c r="J496" s="26" t="str">
        <f>IF(OR(E496="",E496="!!!",F496="NEW"),"",COUNTBLANK(OFFSET(A$1,,,SUMPRODUCT(MAX(ROW(E$2:E496)*(E496=E$2:E496)))))-COUNTBLANK(OFFSET(A$1,,,SUMPRODUCT(MAX(ROW(E$1:E495)*(E2=E$1:E495))))))</f>
        <v> </v>
      </c>
      <c r="K496" s="26" t="str">
        <f>IF(OR(E496="",E496="!!!",F496="NEW"),"",INDEX(J$1:J495,SUMPRODUCT(MAX(ROW(E$1:E495)*(E496=E$1:E495)))))</f>
        <v> </v>
      </c>
      <c r="L496" s="27"/>
    </row>
    <row r="497" spans="1:12">
      <c r="A497" s="20" t="s">
        <v>370</v>
      </c>
      <c r="E497" s="22">
        <f>IF(D497="?OLD","!!!","")</f>
        <v/>
      </c>
      <c r="F497" s="23" t="str">
        <f>IF(OR(E497="",E497="!!!"),"",IF(NOT(ISNA(VLOOKUP(E497,E$1:E496,1,FALSE()))),"OLD",IF(AND(E497&lt;&gt;"",E497&lt;&gt;"!!!"),"NEW","")))</f>
        <v> </v>
      </c>
      <c r="G497" s="24" t="str">
        <f>IF(OR(E497="",E497="!!!"),"",IF(OR(J497=0,AND(J497=1,K497=1),AND(J497=1,I497="SBJ"),AND(J497=1,I497=0)),"?IN_FOCUS",IF(J497&lt;=2,"?ACTIVATED",IF(J497&lt;&gt;"","?FAMILIAR",IF(F497="NEW",IF(ISNA(VLOOKUP(E497,#REF!,1,FALSE())),"?TYPE_IDENTIFIABLE","?REFERENTIAL"),"_")))))</f>
        <v> </v>
      </c>
      <c r="H497" s="25" t="str">
        <f>IF(J497&lt;&gt;1,"",IF(I497="SBJ","CB","?"))</f>
        <v> </v>
      </c>
      <c r="I497" s="26" t="str">
        <f>IF(OR(E497="",E497="!!!",F497="NEW"),"",INDEX(B496:B$2,-1+SUMPRODUCT(MAX(ROW(E496:E$2)*(E497=E496:E$2)))))</f>
        <v> </v>
      </c>
      <c r="J497" s="26" t="str">
        <f>IF(OR(E497="",E497="!!!",F497="NEW"),"",COUNTBLANK(OFFSET(A$1,,,SUMPRODUCT(MAX(ROW(E$2:E497)*(E497=E$2:E497)))))-COUNTBLANK(OFFSET(A$1,,,SUMPRODUCT(MAX(ROW(E$1:E496)*(E2=E$1:E496))))))</f>
        <v> </v>
      </c>
      <c r="K497" s="26" t="str">
        <f>IF(OR(E497="",E497="!!!",F497="NEW"),"",INDEX(J$1:J496,SUMPRODUCT(MAX(ROW(E$1:E496)*(E497=E$1:E496)))))</f>
        <v> </v>
      </c>
      <c r="L497" s="27"/>
    </row>
    <row r="498" spans="1:12">
      <c r="A498" s="20" t="s">
        <v>97</v>
      </c>
      <c r="E498" s="22">
        <f>IF(D498="?OLD","!!!","")</f>
        <v/>
      </c>
      <c r="F498" s="23" t="str">
        <f>IF(OR(E498="",E498="!!!"),"",IF(NOT(ISNA(VLOOKUP(E498,E$1:E497,1,FALSE()))),"OLD",IF(AND(E498&lt;&gt;"",E498&lt;&gt;"!!!"),"NEW","")))</f>
        <v> </v>
      </c>
      <c r="G498" s="24" t="str">
        <f>IF(OR(E498="",E498="!!!"),"",IF(OR(J498=0,AND(J498=1,K498=1),AND(J498=1,I498="SBJ"),AND(J498=1,I498=0)),"?IN_FOCUS",IF(J498&lt;=2,"?ACTIVATED",IF(J498&lt;&gt;"","?FAMILIAR",IF(F498="NEW",IF(ISNA(VLOOKUP(E498,#REF!,1,FALSE())),"?TYPE_IDENTIFIABLE","?REFERENTIAL"),"_")))))</f>
        <v> </v>
      </c>
      <c r="H498" s="25" t="str">
        <f>IF(J498&lt;&gt;1,"",IF(I498="SBJ","CB","?"))</f>
        <v> </v>
      </c>
      <c r="I498" s="26" t="str">
        <f>IF(OR(E498="",E498="!!!",F498="NEW"),"",INDEX(B497:B$2,-1+SUMPRODUCT(MAX(ROW(E497:E$2)*(E498=E497:E$2)))))</f>
        <v> </v>
      </c>
      <c r="J498" s="26" t="str">
        <f>IF(OR(E498="",E498="!!!",F498="NEW"),"",COUNTBLANK(OFFSET(A$1,,,SUMPRODUCT(MAX(ROW(E$2:E498)*(E498=E$2:E498)))))-COUNTBLANK(OFFSET(A$1,,,SUMPRODUCT(MAX(ROW(E$1:E497)*(E2=E$1:E497))))))</f>
        <v> </v>
      </c>
      <c r="K498" s="26" t="str">
        <f>IF(OR(E498="",E498="!!!",F498="NEW"),"",INDEX(J$1:J497,SUMPRODUCT(MAX(ROW(E$1:E497)*(E498=E$1:E497)))))</f>
        <v> </v>
      </c>
      <c r="L498" s="27"/>
    </row>
    <row r="499" spans="1:12">
      <c r="A499" s="20" t="s">
        <v>171</v>
      </c>
      <c r="E499" s="22">
        <f>IF(D499="?OLD","!!!","")</f>
        <v/>
      </c>
      <c r="F499" s="23" t="str">
        <f>IF(OR(E499="",E499="!!!"),"",IF(NOT(ISNA(VLOOKUP(E499,E$1:E498,1,FALSE()))),"OLD",IF(AND(E499&lt;&gt;"",E499&lt;&gt;"!!!"),"NEW","")))</f>
        <v> </v>
      </c>
      <c r="G499" s="24" t="str">
        <f>IF(OR(E499="",E499="!!!"),"",IF(OR(J499=0,AND(J499=1,K499=1),AND(J499=1,I499="SBJ"),AND(J499=1,I499=0)),"?IN_FOCUS",IF(J499&lt;=2,"?ACTIVATED",IF(J499&lt;&gt;"","?FAMILIAR",IF(F499="NEW",IF(ISNA(VLOOKUP(E499,#REF!,1,FALSE())),"?TYPE_IDENTIFIABLE","?REFERENTIAL"),"_")))))</f>
        <v> </v>
      </c>
      <c r="H499" s="25" t="str">
        <f>IF(J499&lt;&gt;1,"",IF(I499="SBJ","CB","?"))</f>
        <v> </v>
      </c>
      <c r="I499" s="26" t="str">
        <f>IF(OR(E499="",E499="!!!",F499="NEW"),"",INDEX(B498:B$2,-1+SUMPRODUCT(MAX(ROW(E498:E$2)*(E499=E498:E$2)))))</f>
        <v> </v>
      </c>
      <c r="J499" s="26" t="str">
        <f>IF(OR(E499="",E499="!!!",F499="NEW"),"",COUNTBLANK(OFFSET(A$1,,,SUMPRODUCT(MAX(ROW(E$2:E499)*(E499=E$2:E499)))))-COUNTBLANK(OFFSET(A$1,,,SUMPRODUCT(MAX(ROW(E$1:E498)*(E2=E$1:E498))))))</f>
        <v> </v>
      </c>
      <c r="K499" s="26" t="str">
        <f>IF(OR(E499="",E499="!!!",F499="NEW"),"",INDEX(J$1:J498,SUMPRODUCT(MAX(ROW(E$1:E498)*(E499=E$1:E498)))))</f>
        <v> </v>
      </c>
      <c r="L499" s="27"/>
    </row>
    <row r="500" spans="1:12">
      <c r="A500" s="20" t="s">
        <v>273</v>
      </c>
      <c r="E500" s="22">
        <f>IF(D500="?OLD","!!!","")</f>
        <v/>
      </c>
      <c r="F500" s="23" t="str">
        <f>IF(OR(E500="",E500="!!!"),"",IF(NOT(ISNA(VLOOKUP(E500,E$1:E499,1,FALSE()))),"OLD",IF(AND(E500&lt;&gt;"",E500&lt;&gt;"!!!"),"NEW","")))</f>
        <v> </v>
      </c>
      <c r="G500" s="24" t="str">
        <f>IF(OR(E500="",E500="!!!"),"",IF(OR(J500=0,AND(J500=1,K500=1),AND(J500=1,I500="SBJ"),AND(J500=1,I500=0)),"?IN_FOCUS",IF(J500&lt;=2,"?ACTIVATED",IF(J500&lt;&gt;"","?FAMILIAR",IF(F500="NEW",IF(ISNA(VLOOKUP(E500,#REF!,1,FALSE())),"?TYPE_IDENTIFIABLE","?REFERENTIAL"),"_")))))</f>
        <v> </v>
      </c>
      <c r="H500" s="25" t="str">
        <f>IF(J500&lt;&gt;1,"",IF(I500="SBJ","CB","?"))</f>
        <v> </v>
      </c>
      <c r="I500" s="26" t="str">
        <f>IF(OR(E500="",E500="!!!",F500="NEW"),"",INDEX(B499:B$2,-1+SUMPRODUCT(MAX(ROW(E499:E$2)*(E500=E499:E$2)))))</f>
        <v> </v>
      </c>
      <c r="J500" s="26" t="str">
        <f>IF(OR(E500="",E500="!!!",F500="NEW"),"",COUNTBLANK(OFFSET(A$1,,,SUMPRODUCT(MAX(ROW(E$2:E500)*(E500=E$2:E500)))))-COUNTBLANK(OFFSET(A$1,,,SUMPRODUCT(MAX(ROW(E$1:E499)*(E2=E$1:E499))))))</f>
        <v> </v>
      </c>
      <c r="K500" s="26" t="str">
        <f>IF(OR(E500="",E500="!!!",F500="NEW"),"",INDEX(J$1:J499,SUMPRODUCT(MAX(ROW(E$1:E499)*(E500=E$1:E499)))))</f>
        <v> </v>
      </c>
      <c r="L500" s="27"/>
    </row>
    <row r="501" spans="1:12">
      <c r="A501" s="20" t="s">
        <v>371</v>
      </c>
      <c r="E501" s="22">
        <f>IF(D501="?OLD","!!!","")</f>
        <v/>
      </c>
      <c r="F501" s="23" t="str">
        <f>IF(OR(E501="",E501="!!!"),"",IF(NOT(ISNA(VLOOKUP(E501,E$1:E500,1,FALSE()))),"OLD",IF(AND(E501&lt;&gt;"",E501&lt;&gt;"!!!"),"NEW","")))</f>
        <v> </v>
      </c>
      <c r="G501" s="24" t="str">
        <f>IF(OR(E501="",E501="!!!"),"",IF(OR(J501=0,AND(J501=1,K501=1),AND(J501=1,I501="SBJ"),AND(J501=1,I501=0)),"?IN_FOCUS",IF(J501&lt;=2,"?ACTIVATED",IF(J501&lt;&gt;"","?FAMILIAR",IF(F501="NEW",IF(ISNA(VLOOKUP(E501,#REF!,1,FALSE())),"?TYPE_IDENTIFIABLE","?REFERENTIAL"),"_")))))</f>
        <v> </v>
      </c>
      <c r="H501" s="25" t="str">
        <f>IF(J501&lt;&gt;1,"",IF(I501="SBJ","CB","?"))</f>
        <v> </v>
      </c>
      <c r="I501" s="26" t="str">
        <f>IF(OR(E501="",E501="!!!",F501="NEW"),"",INDEX(B500:B$2,-1+SUMPRODUCT(MAX(ROW(E500:E$2)*(E501=E500:E$2)))))</f>
        <v> </v>
      </c>
      <c r="J501" s="26" t="str">
        <f>IF(OR(E501="",E501="!!!",F501="NEW"),"",COUNTBLANK(OFFSET(A$1,,,SUMPRODUCT(MAX(ROW(E$2:E501)*(E501=E$2:E501)))))-COUNTBLANK(OFFSET(A$1,,,SUMPRODUCT(MAX(ROW(E$1:E500)*(E2=E$1:E500))))))</f>
        <v> </v>
      </c>
      <c r="K501" s="26" t="str">
        <f>IF(OR(E501="",E501="!!!",F501="NEW"),"",INDEX(J$1:J500,SUMPRODUCT(MAX(ROW(E$1:E500)*(E501=E$1:E500)))))</f>
        <v> </v>
      </c>
      <c r="L501" s="27"/>
    </row>
    <row r="502" spans="1:12">
      <c r="A502" s="20" t="s">
        <v>372</v>
      </c>
      <c r="E502" s="22">
        <f>IF(D502="?OLD","!!!","")</f>
        <v/>
      </c>
      <c r="F502" s="23" t="str">
        <f>IF(OR(E502="",E502="!!!"),"",IF(NOT(ISNA(VLOOKUP(E502,E$1:E501,1,FALSE()))),"OLD",IF(AND(E502&lt;&gt;"",E502&lt;&gt;"!!!"),"NEW","")))</f>
        <v> </v>
      </c>
      <c r="G502" s="24" t="str">
        <f>IF(OR(E502="",E502="!!!"),"",IF(OR(J502=0,AND(J502=1,K502=1),AND(J502=1,I502="SBJ"),AND(J502=1,I502=0)),"?IN_FOCUS",IF(J502&lt;=2,"?ACTIVATED",IF(J502&lt;&gt;"","?FAMILIAR",IF(F502="NEW",IF(ISNA(VLOOKUP(E502,#REF!,1,FALSE())),"?TYPE_IDENTIFIABLE","?REFERENTIAL"),"_")))))</f>
        <v> </v>
      </c>
      <c r="H502" s="25" t="str">
        <f>IF(J502&lt;&gt;1,"",IF(I502="SBJ","CB","?"))</f>
        <v> </v>
      </c>
      <c r="I502" s="26" t="str">
        <f>IF(OR(E502="",E502="!!!",F502="NEW"),"",INDEX(B501:B$2,-1+SUMPRODUCT(MAX(ROW(E501:E$2)*(E502=E501:E$2)))))</f>
        <v> </v>
      </c>
      <c r="J502" s="26" t="str">
        <f>IF(OR(E502="",E502="!!!",F502="NEW"),"",COUNTBLANK(OFFSET(A$1,,,SUMPRODUCT(MAX(ROW(E$2:E502)*(E502=E$2:E502)))))-COUNTBLANK(OFFSET(A$1,,,SUMPRODUCT(MAX(ROW(E$1:E501)*(E2=E$1:E501))))))</f>
        <v> </v>
      </c>
      <c r="K502" s="26" t="str">
        <f>IF(OR(E502="",E502="!!!",F502="NEW"),"",INDEX(J$1:J501,SUMPRODUCT(MAX(ROW(E$1:E501)*(E502=E$1:E501)))))</f>
        <v> </v>
      </c>
      <c r="L502" s="27"/>
    </row>
    <row r="503" spans="1:12">
      <c r="A503" s="20" t="s">
        <v>373</v>
      </c>
      <c r="B503" s="21" t="s">
        <v>161</v>
      </c>
      <c r="C503" s="21" t="s">
        <v>112</v>
      </c>
      <c r="D503" s="21" t="s">
        <v>102</v>
      </c>
      <c r="E503" s="22">
        <f>IF(D503="?OLD","!!!","")</f>
        <v/>
      </c>
      <c r="F503" s="23" t="str">
        <f>IF(OR(E503="",E503="!!!"),"",IF(NOT(ISNA(VLOOKUP(E503,E$1:E502,1,FALSE()))),"OLD",IF(AND(E503&lt;&gt;"",E503&lt;&gt;"!!!"),"NEW","")))</f>
        <v> </v>
      </c>
      <c r="G503" s="24" t="str">
        <f>IF(OR(E503="",E503="!!!"),"",IF(OR(J503=0,AND(J503=1,K503=1),AND(J503=1,I503="SBJ"),AND(J503=1,I503=0)),"?IN_FOCUS",IF(J503&lt;=2,"?ACTIVATED",IF(J503&lt;&gt;"","?FAMILIAR",IF(F503="NEW",IF(ISNA(VLOOKUP(E503,#REF!,1,FALSE())),"?TYPE_IDENTIFIABLE","?REFERENTIAL"),"_")))))</f>
        <v> </v>
      </c>
      <c r="H503" s="25" t="str">
        <f>IF(J503&lt;&gt;1,"",IF(I503="SBJ","CB","?"))</f>
        <v> </v>
      </c>
      <c r="I503" s="26" t="str">
        <f>IF(OR(E503="",E503="!!!",F503="NEW"),"",INDEX(B502:B$2,-1+SUMPRODUCT(MAX(ROW(E502:E$2)*(E503=E502:E$2)))))</f>
        <v> </v>
      </c>
      <c r="J503" s="26" t="str">
        <f>IF(OR(E503="",E503="!!!",F503="NEW"),"",COUNTBLANK(OFFSET(A$1,,,SUMPRODUCT(MAX(ROW(E$2:E503)*(E503=E$2:E503)))))-COUNTBLANK(OFFSET(A$1,,,SUMPRODUCT(MAX(ROW(E$1:E502)*(E2=E$1:E502))))))</f>
        <v> </v>
      </c>
      <c r="K503" s="26" t="str">
        <f>IF(OR(E503="",E503="!!!",F503="NEW"),"",INDEX(J$1:J502,SUMPRODUCT(MAX(ROW(E$1:E502)*(E503=E$1:E502)))))</f>
        <v> </v>
      </c>
      <c r="L503" s="27"/>
    </row>
    <row r="504" spans="1:12">
      <c r="A504" s="20" t="s">
        <v>137</v>
      </c>
      <c r="E504" s="22">
        <f>IF(D504="?OLD","!!!","")</f>
        <v/>
      </c>
      <c r="F504" s="23" t="str">
        <f>IF(OR(E504="",E504="!!!"),"",IF(NOT(ISNA(VLOOKUP(E504,E$1:E503,1,FALSE()))),"OLD",IF(AND(E504&lt;&gt;"",E504&lt;&gt;"!!!"),"NEW","")))</f>
        <v> </v>
      </c>
      <c r="G504" s="24" t="str">
        <f>IF(OR(E504="",E504="!!!"),"",IF(OR(J504=0,AND(J504=1,K504=1),AND(J504=1,I504="SBJ"),AND(J504=1,I504=0)),"?IN_FOCUS",IF(J504&lt;=2,"?ACTIVATED",IF(J504&lt;&gt;"","?FAMILIAR",IF(F504="NEW",IF(ISNA(VLOOKUP(E504,#REF!,1,FALSE())),"?TYPE_IDENTIFIABLE","?REFERENTIAL"),"_")))))</f>
        <v> </v>
      </c>
      <c r="H504" s="25" t="str">
        <f>IF(J504&lt;&gt;1,"",IF(I504="SBJ","CB","?"))</f>
        <v> </v>
      </c>
      <c r="I504" s="26" t="str">
        <f>IF(OR(E504="",E504="!!!",F504="NEW"),"",INDEX(B503:B$2,-1+SUMPRODUCT(MAX(ROW(E503:E$2)*(E504=E503:E$2)))))</f>
        <v> </v>
      </c>
      <c r="J504" s="26" t="str">
        <f>IF(OR(E504="",E504="!!!",F504="NEW"),"",COUNTBLANK(OFFSET(A$1,,,SUMPRODUCT(MAX(ROW(E$2:E504)*(E504=E$2:E504)))))-COUNTBLANK(OFFSET(A$1,,,SUMPRODUCT(MAX(ROW(E$1:E503)*(E2=E$1:E503))))))</f>
        <v> </v>
      </c>
      <c r="K504" s="26" t="str">
        <f>IF(OR(E504="",E504="!!!",F504="NEW"),"",INDEX(J$1:J503,SUMPRODUCT(MAX(ROW(E$1:E503)*(E504=E$1:E503)))))</f>
        <v> </v>
      </c>
      <c r="L504" s="27"/>
    </row>
    <row r="505" spans="1:12">
      <c r="A505" s="20" t="s">
        <v>361</v>
      </c>
      <c r="E505" s="22">
        <f>IF(D505="?OLD","!!!","")</f>
        <v/>
      </c>
      <c r="F505" s="23" t="str">
        <f>IF(OR(E505="",E505="!!!"),"",IF(NOT(ISNA(VLOOKUP(E505,E$1:E504,1,FALSE()))),"OLD",IF(AND(E505&lt;&gt;"",E505&lt;&gt;"!!!"),"NEW","")))</f>
        <v> </v>
      </c>
      <c r="G505" s="24" t="str">
        <f>IF(OR(E505="",E505="!!!"),"",IF(OR(J505=0,AND(J505=1,K505=1),AND(J505=1,I505="SBJ"),AND(J505=1,I505=0)),"?IN_FOCUS",IF(J505&lt;=2,"?ACTIVATED",IF(J505&lt;&gt;"","?FAMILIAR",IF(F505="NEW",IF(ISNA(VLOOKUP(E505,#REF!,1,FALSE())),"?TYPE_IDENTIFIABLE","?REFERENTIAL"),"_")))))</f>
        <v> </v>
      </c>
      <c r="H505" s="25" t="str">
        <f>IF(J505&lt;&gt;1,"",IF(I505="SBJ","CB","?"))</f>
        <v> </v>
      </c>
      <c r="I505" s="26" t="str">
        <f>IF(OR(E505="",E505="!!!",F505="NEW"),"",INDEX(B504:B$2,-1+SUMPRODUCT(MAX(ROW(E504:E$2)*(E505=E504:E$2)))))</f>
        <v> </v>
      </c>
      <c r="J505" s="26" t="str">
        <f>IF(OR(E505="",E505="!!!",F505="NEW"),"",COUNTBLANK(OFFSET(A$1,,,SUMPRODUCT(MAX(ROW(E$2:E505)*(E505=E$2:E505)))))-COUNTBLANK(OFFSET(A$1,,,SUMPRODUCT(MAX(ROW(E$1:E504)*(E2=E$1:E504))))))</f>
        <v> </v>
      </c>
      <c r="K505" s="26" t="str">
        <f>IF(OR(E505="",E505="!!!",F505="NEW"),"",INDEX(J$1:J504,SUMPRODUCT(MAX(ROW(E$1:E504)*(E505=E$1:E504)))))</f>
        <v> </v>
      </c>
      <c r="L505" s="27"/>
    </row>
    <row r="506" spans="1:12">
      <c r="A506" s="20" t="s">
        <v>374</v>
      </c>
      <c r="E506" s="22">
        <f>IF(D506="?OLD","!!!","")</f>
        <v/>
      </c>
      <c r="F506" s="23" t="str">
        <f>IF(OR(E506="",E506="!!!"),"",IF(NOT(ISNA(VLOOKUP(E506,E$1:E505,1,FALSE()))),"OLD",IF(AND(E506&lt;&gt;"",E506&lt;&gt;"!!!"),"NEW","")))</f>
        <v> </v>
      </c>
      <c r="G506" s="24" t="str">
        <f>IF(OR(E506="",E506="!!!"),"",IF(OR(J506=0,AND(J506=1,K506=1),AND(J506=1,I506="SBJ"),AND(J506=1,I506=0)),"?IN_FOCUS",IF(J506&lt;=2,"?ACTIVATED",IF(J506&lt;&gt;"","?FAMILIAR",IF(F506="NEW",IF(ISNA(VLOOKUP(E506,#REF!,1,FALSE())),"?TYPE_IDENTIFIABLE","?REFERENTIAL"),"_")))))</f>
        <v> </v>
      </c>
      <c r="H506" s="25" t="str">
        <f>IF(J506&lt;&gt;1,"",IF(I506="SBJ","CB","?"))</f>
        <v> </v>
      </c>
      <c r="I506" s="26" t="str">
        <f>IF(OR(E506="",E506="!!!",F506="NEW"),"",INDEX(B505:B$2,-1+SUMPRODUCT(MAX(ROW(E505:E$2)*(E506=E505:E$2)))))</f>
        <v> </v>
      </c>
      <c r="J506" s="26" t="str">
        <f>IF(OR(E506="",E506="!!!",F506="NEW"),"",COUNTBLANK(OFFSET(A$1,,,SUMPRODUCT(MAX(ROW(E$2:E506)*(E506=E$2:E506)))))-COUNTBLANK(OFFSET(A$1,,,SUMPRODUCT(MAX(ROW(E$1:E505)*(E2=E$1:E505))))))</f>
        <v> </v>
      </c>
      <c r="K506" s="26" t="str">
        <f>IF(OR(E506="",E506="!!!",F506="NEW"),"",INDEX(J$1:J505,SUMPRODUCT(MAX(ROW(E$1:E505)*(E506=E$1:E505)))))</f>
        <v> </v>
      </c>
      <c r="L506" s="27"/>
    </row>
    <row r="507" spans="1:12">
      <c r="A507" s="20" t="s">
        <v>375</v>
      </c>
      <c r="B507" s="21" t="s">
        <v>195</v>
      </c>
      <c r="C507" s="21" t="s">
        <v>280</v>
      </c>
      <c r="E507" s="22">
        <f>IF(D507="?OLD","!!!","")</f>
        <v/>
      </c>
      <c r="F507" s="23" t="str">
        <f>IF(OR(E507="",E507="!!!"),"",IF(NOT(ISNA(VLOOKUP(E507,E$1:E506,1,FALSE()))),"OLD",IF(AND(E507&lt;&gt;"",E507&lt;&gt;"!!!"),"NEW","")))</f>
        <v> </v>
      </c>
      <c r="G507" s="24" t="str">
        <f>IF(OR(E507="",E507="!!!"),"",IF(OR(J507=0,AND(J507=1,K507=1),AND(J507=1,I507="SBJ"),AND(J507=1,I507=0)),"?IN_FOCUS",IF(J507&lt;=2,"?ACTIVATED",IF(J507&lt;&gt;"","?FAMILIAR",IF(F507="NEW",IF(ISNA(VLOOKUP(E507,#REF!,1,FALSE())),"?TYPE_IDENTIFIABLE","?REFERENTIAL"),"_")))))</f>
        <v> </v>
      </c>
      <c r="H507" s="25" t="str">
        <f>IF(J507&lt;&gt;1,"",IF(I507="SBJ","CB","?"))</f>
        <v> </v>
      </c>
      <c r="I507" s="26" t="str">
        <f>IF(OR(E507="",E507="!!!",F507="NEW"),"",INDEX(B506:B$2,-1+SUMPRODUCT(MAX(ROW(E506:E$2)*(E507=E506:E$2)))))</f>
        <v> </v>
      </c>
      <c r="J507" s="26" t="str">
        <f>IF(OR(E507="",E507="!!!",F507="NEW"),"",COUNTBLANK(OFFSET(A$1,,,SUMPRODUCT(MAX(ROW(E$2:E507)*(E507=E$2:E507)))))-COUNTBLANK(OFFSET(A$1,,,SUMPRODUCT(MAX(ROW(E$1:E506)*(E2=E$1:E506))))))</f>
        <v> </v>
      </c>
      <c r="K507" s="26" t="str">
        <f>IF(OR(E507="",E507="!!!",F507="NEW"),"",INDEX(J$1:J506,SUMPRODUCT(MAX(ROW(E$1:E506)*(E507=E$1:E506)))))</f>
        <v> </v>
      </c>
      <c r="L507" s="27"/>
    </row>
    <row r="508" spans="1:12">
      <c r="A508" s="20" t="s">
        <v>16</v>
      </c>
      <c r="E508" s="22">
        <f>IF(D508="?OLD","!!!","")</f>
        <v/>
      </c>
      <c r="F508" s="23" t="str">
        <f>IF(OR(E508="",E508="!!!"),"",IF(NOT(ISNA(VLOOKUP(E508,E$1:E507,1,FALSE()))),"OLD",IF(AND(E508&lt;&gt;"",E508&lt;&gt;"!!!"),"NEW","")))</f>
        <v> </v>
      </c>
      <c r="G508" s="24" t="str">
        <f>IF(OR(E508="",E508="!!!"),"",IF(OR(J508=0,AND(J508=1,K508=1),AND(J508=1,I508="SBJ"),AND(J508=1,I508=0)),"?IN_FOCUS",IF(J508&lt;=2,"?ACTIVATED",IF(J508&lt;&gt;"","?FAMILIAR",IF(F508="NEW",IF(ISNA(VLOOKUP(E508,#REF!,1,FALSE())),"?TYPE_IDENTIFIABLE","?REFERENTIAL"),"_")))))</f>
        <v> </v>
      </c>
      <c r="H508" s="25" t="str">
        <f>IF(J508&lt;&gt;1,"",IF(I508="SBJ","CB","?"))</f>
        <v> </v>
      </c>
      <c r="I508" s="26" t="str">
        <f>IF(OR(E508="",E508="!!!",F508="NEW"),"",INDEX(B507:B$2,-1+SUMPRODUCT(MAX(ROW(E507:E$2)*(E508=E507:E$2)))))</f>
        <v> </v>
      </c>
      <c r="J508" s="26" t="str">
        <f>IF(OR(E508="",E508="!!!",F508="NEW"),"",COUNTBLANK(OFFSET(A$1,,,SUMPRODUCT(MAX(ROW(E$2:E508)*(E508=E$2:E508)))))-COUNTBLANK(OFFSET(A$1,,,SUMPRODUCT(MAX(ROW(E$1:E507)*(E2=E$1:E507))))))</f>
        <v> </v>
      </c>
      <c r="K508" s="26" t="str">
        <f>IF(OR(E508="",E508="!!!",F508="NEW"),"",INDEX(J$1:J507,SUMPRODUCT(MAX(ROW(E$1:E507)*(E508=E$1:E507)))))</f>
        <v> </v>
      </c>
      <c r="L508" s="27"/>
    </row>
    <row r="509" spans="1:12">
      <c r="A509" s="20" t="s">
        <v>217</v>
      </c>
      <c r="E509" s="22">
        <f>IF(D509="?OLD","!!!","")</f>
        <v/>
      </c>
      <c r="F509" s="23" t="str">
        <f>IF(OR(E509="",E509="!!!"),"",IF(NOT(ISNA(VLOOKUP(E509,E$1:E508,1,FALSE()))),"OLD",IF(AND(E509&lt;&gt;"",E509&lt;&gt;"!!!"),"NEW","")))</f>
        <v> </v>
      </c>
      <c r="G509" s="24" t="str">
        <f>IF(OR(E509="",E509="!!!"),"",IF(OR(J509=0,AND(J509=1,K509=1),AND(J509=1,I509="SBJ"),AND(J509=1,I509=0)),"?IN_FOCUS",IF(J509&lt;=2,"?ACTIVATED",IF(J509&lt;&gt;"","?FAMILIAR",IF(F509="NEW",IF(ISNA(VLOOKUP(E509,#REF!,1,FALSE())),"?TYPE_IDENTIFIABLE","?REFERENTIAL"),"_")))))</f>
        <v> </v>
      </c>
      <c r="H509" s="25" t="str">
        <f>IF(J509&lt;&gt;1,"",IF(I509="SBJ","CB","?"))</f>
        <v> </v>
      </c>
      <c r="I509" s="26" t="str">
        <f>IF(OR(E509="",E509="!!!",F509="NEW"),"",INDEX(B508:B$2,-1+SUMPRODUCT(MAX(ROW(E508:E$2)*(E509=E508:E$2)))))</f>
        <v> </v>
      </c>
      <c r="J509" s="26" t="str">
        <f>IF(OR(E509="",E509="!!!",F509="NEW"),"",COUNTBLANK(OFFSET(A$1,,,SUMPRODUCT(MAX(ROW(E$2:E509)*(E509=E$2:E509)))))-COUNTBLANK(OFFSET(A$1,,,SUMPRODUCT(MAX(ROW(E$1:E508)*(E2=E$1:E508))))))</f>
        <v> </v>
      </c>
      <c r="K509" s="26" t="str">
        <f>IF(OR(E509="",E509="!!!",F509="NEW"),"",INDEX(J$1:J508,SUMPRODUCT(MAX(ROW(E$1:E508)*(E509=E$1:E508)))))</f>
        <v> </v>
      </c>
      <c r="L509" s="27"/>
    </row>
    <row r="510" spans="1:12">
      <c r="A510" s="20" t="s">
        <v>376</v>
      </c>
      <c r="B510" s="21" t="s">
        <v>120</v>
      </c>
      <c r="C510" s="21" t="s">
        <v>92</v>
      </c>
      <c r="E510" s="22">
        <f>IF(D510="?OLD","!!!","")</f>
        <v/>
      </c>
      <c r="F510" s="23" t="str">
        <f>IF(OR(E510="",E510="!!!"),"",IF(NOT(ISNA(VLOOKUP(E510,E$1:E509,1,FALSE()))),"OLD",IF(AND(E510&lt;&gt;"",E510&lt;&gt;"!!!"),"NEW","")))</f>
        <v> </v>
      </c>
      <c r="G510" s="24" t="str">
        <f>IF(OR(E510="",E510="!!!"),"",IF(OR(J510=0,AND(J510=1,K510=1),AND(J510=1,I510="SBJ"),AND(J510=1,I510=0)),"?IN_FOCUS",IF(J510&lt;=2,"?ACTIVATED",IF(J510&lt;&gt;"","?FAMILIAR",IF(F510="NEW",IF(ISNA(VLOOKUP(E510,#REF!,1,FALSE())),"?TYPE_IDENTIFIABLE","?REFERENTIAL"),"_")))))</f>
        <v> </v>
      </c>
      <c r="H510" s="25" t="str">
        <f>IF(J510&lt;&gt;1,"",IF(I510="SBJ","CB","?"))</f>
        <v> </v>
      </c>
      <c r="I510" s="26" t="str">
        <f>IF(OR(E510="",E510="!!!",F510="NEW"),"",INDEX(B509:B$2,-1+SUMPRODUCT(MAX(ROW(E509:E$2)*(E510=E509:E$2)))))</f>
        <v> </v>
      </c>
      <c r="J510" s="26" t="str">
        <f>IF(OR(E510="",E510="!!!",F510="NEW"),"",COUNTBLANK(OFFSET(A$1,,,SUMPRODUCT(MAX(ROW(E$2:E510)*(E510=E$2:E510)))))-COUNTBLANK(OFFSET(A$1,,,SUMPRODUCT(MAX(ROW(E$1:E509)*(E2=E$1:E509))))))</f>
        <v> </v>
      </c>
      <c r="K510" s="26" t="str">
        <f>IF(OR(E510="",E510="!!!",F510="NEW"),"",INDEX(J$1:J509,SUMPRODUCT(MAX(ROW(E$1:E509)*(E510=E$1:E509)))))</f>
        <v> </v>
      </c>
      <c r="L510" s="27"/>
    </row>
    <row r="511" spans="1:12">
      <c r="A511" s="20" t="s">
        <v>97</v>
      </c>
      <c r="E511" s="22">
        <f>IF(D511="?OLD","!!!","")</f>
        <v/>
      </c>
      <c r="F511" s="23" t="str">
        <f>IF(OR(E511="",E511="!!!"),"",IF(NOT(ISNA(VLOOKUP(E511,E$1:E510,1,FALSE()))),"OLD",IF(AND(E511&lt;&gt;"",E511&lt;&gt;"!!!"),"NEW","")))</f>
        <v> </v>
      </c>
      <c r="G511" s="24" t="str">
        <f>IF(OR(E511="",E511="!!!"),"",IF(OR(J511=0,AND(J511=1,K511=1),AND(J511=1,I511="SBJ"),AND(J511=1,I511=0)),"?IN_FOCUS",IF(J511&lt;=2,"?ACTIVATED",IF(J511&lt;&gt;"","?FAMILIAR",IF(F511="NEW",IF(ISNA(VLOOKUP(E511,#REF!,1,FALSE())),"?TYPE_IDENTIFIABLE","?REFERENTIAL"),"_")))))</f>
        <v> </v>
      </c>
      <c r="H511" s="25" t="str">
        <f>IF(J511&lt;&gt;1,"",IF(I511="SBJ","CB","?"))</f>
        <v> </v>
      </c>
      <c r="I511" s="26" t="str">
        <f>IF(OR(E511="",E511="!!!",F511="NEW"),"",INDEX(B510:B$2,-1+SUMPRODUCT(MAX(ROW(E510:E$2)*(E511=E510:E$2)))))</f>
        <v> </v>
      </c>
      <c r="J511" s="26" t="str">
        <f>IF(OR(E511="",E511="!!!",F511="NEW"),"",COUNTBLANK(OFFSET(A$1,,,SUMPRODUCT(MAX(ROW(E$2:E511)*(E511=E$2:E511)))))-COUNTBLANK(OFFSET(A$1,,,SUMPRODUCT(MAX(ROW(E$1:E510)*(E2=E$1:E510))))))</f>
        <v> </v>
      </c>
      <c r="K511" s="26" t="str">
        <f>IF(OR(E511="",E511="!!!",F511="NEW"),"",INDEX(J$1:J510,SUMPRODUCT(MAX(ROW(E$1:E510)*(E511=E$1:E510)))))</f>
        <v> </v>
      </c>
      <c r="L511" s="27"/>
    </row>
    <row r="512" spans="1:12">
      <c r="A512" s="20" t="s">
        <v>377</v>
      </c>
      <c r="B512" s="21" t="s">
        <v>120</v>
      </c>
      <c r="C512" s="21" t="s">
        <v>92</v>
      </c>
      <c r="E512" s="22">
        <f>IF(D512="?OLD","!!!","")</f>
        <v/>
      </c>
      <c r="F512" s="23" t="str">
        <f>IF(OR(E512="",E512="!!!"),"",IF(NOT(ISNA(VLOOKUP(E512,E$1:E511,1,FALSE()))),"OLD",IF(AND(E512&lt;&gt;"",E512&lt;&gt;"!!!"),"NEW","")))</f>
        <v> </v>
      </c>
      <c r="G512" s="24" t="str">
        <f>IF(OR(E512="",E512="!!!"),"",IF(OR(J512=0,AND(J512=1,K512=1),AND(J512=1,I512="SBJ"),AND(J512=1,I512=0)),"?IN_FOCUS",IF(J512&lt;=2,"?ACTIVATED",IF(J512&lt;&gt;"","?FAMILIAR",IF(F512="NEW",IF(ISNA(VLOOKUP(E512,#REF!,1,FALSE())),"?TYPE_IDENTIFIABLE","?REFERENTIAL"),"_")))))</f>
        <v> </v>
      </c>
      <c r="H512" s="25" t="str">
        <f>IF(J512&lt;&gt;1,"",IF(I512="SBJ","CB","?"))</f>
        <v> </v>
      </c>
      <c r="I512" s="26" t="str">
        <f>IF(OR(E512="",E512="!!!",F512="NEW"),"",INDEX(B511:B$2,-1+SUMPRODUCT(MAX(ROW(E511:E$2)*(E512=E511:E$2)))))</f>
        <v> </v>
      </c>
      <c r="J512" s="26" t="str">
        <f>IF(OR(E512="",E512="!!!",F512="NEW"),"",COUNTBLANK(OFFSET(A$1,,,SUMPRODUCT(MAX(ROW(E$2:E512)*(E512=E$2:E512)))))-COUNTBLANK(OFFSET(A$1,,,SUMPRODUCT(MAX(ROW(E$1:E511)*(E2=E$1:E511))))))</f>
        <v> </v>
      </c>
      <c r="K512" s="26" t="str">
        <f>IF(OR(E512="",E512="!!!",F512="NEW"),"",INDEX(J$1:J511,SUMPRODUCT(MAX(ROW(E$1:E511)*(E512=E$1:E511)))))</f>
        <v> </v>
      </c>
      <c r="L512" s="27"/>
    </row>
    <row r="513" spans="1:12">
      <c r="A513" s="20" t="s">
        <v>147</v>
      </c>
      <c r="E513" s="22">
        <f>IF(D513="?OLD","!!!","")</f>
        <v/>
      </c>
      <c r="F513" s="23" t="str">
        <f>IF(OR(E513="",E513="!!!"),"",IF(NOT(ISNA(VLOOKUP(E513,E$1:E512,1,FALSE()))),"OLD",IF(AND(E513&lt;&gt;"",E513&lt;&gt;"!!!"),"NEW","")))</f>
        <v> </v>
      </c>
      <c r="G513" s="24" t="str">
        <f>IF(OR(E513="",E513="!!!"),"",IF(OR(J513=0,AND(J513=1,K513=1),AND(J513=1,I513="SBJ"),AND(J513=1,I513=0)),"?IN_FOCUS",IF(J513&lt;=2,"?ACTIVATED",IF(J513&lt;&gt;"","?FAMILIAR",IF(F513="NEW",IF(ISNA(VLOOKUP(E513,#REF!,1,FALSE())),"?TYPE_IDENTIFIABLE","?REFERENTIAL"),"_")))))</f>
        <v> </v>
      </c>
      <c r="H513" s="25" t="str">
        <f>IF(J513&lt;&gt;1,"",IF(I513="SBJ","CB","?"))</f>
        <v> </v>
      </c>
      <c r="I513" s="26" t="str">
        <f>IF(OR(E513="",E513="!!!",F513="NEW"),"",INDEX(B512:B$2,-1+SUMPRODUCT(MAX(ROW(E512:E$2)*(E513=E512:E$2)))))</f>
        <v> </v>
      </c>
      <c r="J513" s="26" t="str">
        <f>IF(OR(E513="",E513="!!!",F513="NEW"),"",COUNTBLANK(OFFSET(A$1,,,SUMPRODUCT(MAX(ROW(E$2:E513)*(E513=E$2:E513)))))-COUNTBLANK(OFFSET(A$1,,,SUMPRODUCT(MAX(ROW(E$1:E512)*(E2=E$1:E512))))))</f>
        <v> </v>
      </c>
      <c r="K513" s="26" t="str">
        <f>IF(OR(E513="",E513="!!!",F513="NEW"),"",INDEX(J$1:J512,SUMPRODUCT(MAX(ROW(E$1:E512)*(E513=E$1:E512)))))</f>
        <v> </v>
      </c>
      <c r="L513" s="27"/>
    </row>
    <row r="514" spans="1:12">
      <c r="A514" s="20" t="s">
        <v>378</v>
      </c>
      <c r="B514" s="21" t="s">
        <v>123</v>
      </c>
      <c r="C514" s="21" t="s">
        <v>92</v>
      </c>
      <c r="E514" s="22">
        <f>IF(D514="?OLD","!!!","")</f>
        <v/>
      </c>
      <c r="F514" s="23" t="str">
        <f>IF(OR(E514="",E514="!!!"),"",IF(NOT(ISNA(VLOOKUP(E514,E$1:E513,1,FALSE()))),"OLD",IF(AND(E514&lt;&gt;"",E514&lt;&gt;"!!!"),"NEW","")))</f>
        <v> </v>
      </c>
      <c r="G514" s="24" t="str">
        <f>IF(OR(E514="",E514="!!!"),"",IF(OR(J514=0,AND(J514=1,K514=1),AND(J514=1,I514="SBJ"),AND(J514=1,I514=0)),"?IN_FOCUS",IF(J514&lt;=2,"?ACTIVATED",IF(J514&lt;&gt;"","?FAMILIAR",IF(F514="NEW",IF(ISNA(VLOOKUP(E514,#REF!,1,FALSE())),"?TYPE_IDENTIFIABLE","?REFERENTIAL"),"_")))))</f>
        <v> </v>
      </c>
      <c r="H514" s="25" t="str">
        <f>IF(J514&lt;&gt;1,"",IF(I514="SBJ","CB","?"))</f>
        <v> </v>
      </c>
      <c r="I514" s="26" t="str">
        <f>IF(OR(E514="",E514="!!!",F514="NEW"),"",INDEX(B513:B$2,-1+SUMPRODUCT(MAX(ROW(E513:E$2)*(E514=E513:E$2)))))</f>
        <v> </v>
      </c>
      <c r="J514" s="26" t="str">
        <f>IF(OR(E514="",E514="!!!",F514="NEW"),"",COUNTBLANK(OFFSET(A$1,,,SUMPRODUCT(MAX(ROW(E$2:E514)*(E514=E$2:E514)))))-COUNTBLANK(OFFSET(A$1,,,SUMPRODUCT(MAX(ROW(E$1:E513)*(E2=E$1:E513))))))</f>
        <v> </v>
      </c>
      <c r="K514" s="26" t="str">
        <f>IF(OR(E514="",E514="!!!",F514="NEW"),"",INDEX(J$1:J513,SUMPRODUCT(MAX(ROW(E$1:E513)*(E514=E$1:E513)))))</f>
        <v> </v>
      </c>
      <c r="L514" s="27"/>
    </row>
    <row r="515" spans="1:12">
      <c r="A515" s="20" t="s">
        <v>97</v>
      </c>
      <c r="E515" s="22">
        <f>IF(D515="?OLD","!!!","")</f>
        <v/>
      </c>
      <c r="F515" s="23" t="str">
        <f>IF(OR(E515="",E515="!!!"),"",IF(NOT(ISNA(VLOOKUP(E515,E$1:E514,1,FALSE()))),"OLD",IF(AND(E515&lt;&gt;"",E515&lt;&gt;"!!!"),"NEW","")))</f>
        <v> </v>
      </c>
      <c r="G515" s="24" t="str">
        <f>IF(OR(E515="",E515="!!!"),"",IF(OR(J515=0,AND(J515=1,K515=1),AND(J515=1,I515="SBJ"),AND(J515=1,I515=0)),"?IN_FOCUS",IF(J515&lt;=2,"?ACTIVATED",IF(J515&lt;&gt;"","?FAMILIAR",IF(F515="NEW",IF(ISNA(VLOOKUP(E515,#REF!,1,FALSE())),"?TYPE_IDENTIFIABLE","?REFERENTIAL"),"_")))))</f>
        <v> </v>
      </c>
      <c r="H515" s="25" t="str">
        <f>IF(J515&lt;&gt;1,"",IF(I515="SBJ","CB","?"))</f>
        <v> </v>
      </c>
      <c r="I515" s="26" t="str">
        <f>IF(OR(E515="",E515="!!!",F515="NEW"),"",INDEX(B514:B$2,-1+SUMPRODUCT(MAX(ROW(E514:E$2)*(E515=E514:E$2)))))</f>
        <v> </v>
      </c>
      <c r="J515" s="26" t="str">
        <f>IF(OR(E515="",E515="!!!",F515="NEW"),"",COUNTBLANK(OFFSET(A$1,,,SUMPRODUCT(MAX(ROW(E$2:E515)*(E515=E$2:E515)))))-COUNTBLANK(OFFSET(A$1,,,SUMPRODUCT(MAX(ROW(E$1:E514)*(E2=E$1:E514))))))</f>
        <v> </v>
      </c>
      <c r="K515" s="26" t="str">
        <f>IF(OR(E515="",E515="!!!",F515="NEW"),"",INDEX(J$1:J514,SUMPRODUCT(MAX(ROW(E$1:E514)*(E515=E$1:E514)))))</f>
        <v> </v>
      </c>
      <c r="L515" s="27"/>
    </row>
    <row r="516" spans="1:12">
      <c r="A516" s="20" t="s">
        <v>379</v>
      </c>
      <c r="E516" s="22">
        <f>IF(D516="?OLD","!!!","")</f>
        <v/>
      </c>
      <c r="F516" s="23" t="str">
        <f>IF(OR(E516="",E516="!!!"),"",IF(NOT(ISNA(VLOOKUP(E516,E$1:E515,1,FALSE()))),"OLD",IF(AND(E516&lt;&gt;"",E516&lt;&gt;"!!!"),"NEW","")))</f>
        <v> </v>
      </c>
      <c r="G516" s="24" t="str">
        <f>IF(OR(E516="",E516="!!!"),"",IF(OR(J516=0,AND(J516=1,K516=1),AND(J516=1,I516="SBJ"),AND(J516=1,I516=0)),"?IN_FOCUS",IF(J516&lt;=2,"?ACTIVATED",IF(J516&lt;&gt;"","?FAMILIAR",IF(F516="NEW",IF(ISNA(VLOOKUP(E516,#REF!,1,FALSE())),"?TYPE_IDENTIFIABLE","?REFERENTIAL"),"_")))))</f>
        <v> </v>
      </c>
      <c r="H516" s="25" t="str">
        <f>IF(J516&lt;&gt;1,"",IF(I516="SBJ","CB","?"))</f>
        <v> </v>
      </c>
      <c r="I516" s="26" t="str">
        <f>IF(OR(E516="",E516="!!!",F516="NEW"),"",INDEX(B515:B$2,-1+SUMPRODUCT(MAX(ROW(E515:E$2)*(E516=E515:E$2)))))</f>
        <v> </v>
      </c>
      <c r="J516" s="26" t="str">
        <f>IF(OR(E516="",E516="!!!",F516="NEW"),"",COUNTBLANK(OFFSET(A$1,,,SUMPRODUCT(MAX(ROW(E$2:E516)*(E516=E$2:E516)))))-COUNTBLANK(OFFSET(A$1,,,SUMPRODUCT(MAX(ROW(E$1:E515)*(E2=E$1:E515))))))</f>
        <v> </v>
      </c>
      <c r="K516" s="26" t="str">
        <f>IF(OR(E516="",E516="!!!",F516="NEW"),"",INDEX(J$1:J515,SUMPRODUCT(MAX(ROW(E$1:E515)*(E516=E$1:E515)))))</f>
        <v> </v>
      </c>
      <c r="L516" s="27"/>
    </row>
    <row r="517" spans="1:12">
      <c r="A517" s="20" t="s">
        <v>378</v>
      </c>
      <c r="B517" s="21" t="s">
        <v>120</v>
      </c>
      <c r="C517" s="21" t="s">
        <v>92</v>
      </c>
      <c r="E517" s="22">
        <f>IF(D517="?OLD","!!!","")</f>
        <v/>
      </c>
      <c r="F517" s="23" t="str">
        <f>IF(OR(E517="",E517="!!!"),"",IF(NOT(ISNA(VLOOKUP(E517,E$1:E516,1,FALSE()))),"OLD",IF(AND(E517&lt;&gt;"",E517&lt;&gt;"!!!"),"NEW","")))</f>
        <v> </v>
      </c>
      <c r="G517" s="24" t="str">
        <f>IF(OR(E517="",E517="!!!"),"",IF(OR(J517=0,AND(J517=1,K517=1),AND(J517=1,I517="SBJ"),AND(J517=1,I517=0)),"?IN_FOCUS",IF(J517&lt;=2,"?ACTIVATED",IF(J517&lt;&gt;"","?FAMILIAR",IF(F517="NEW",IF(ISNA(VLOOKUP(E517,#REF!,1,FALSE())),"?TYPE_IDENTIFIABLE","?REFERENTIAL"),"_")))))</f>
        <v> </v>
      </c>
      <c r="H517" s="25" t="str">
        <f>IF(J517&lt;&gt;1,"",IF(I517="SBJ","CB","?"))</f>
        <v> </v>
      </c>
      <c r="I517" s="26" t="str">
        <f>IF(OR(E517="",E517="!!!",F517="NEW"),"",INDEX(B516:B$2,-1+SUMPRODUCT(MAX(ROW(E516:E$2)*(E517=E516:E$2)))))</f>
        <v> </v>
      </c>
      <c r="J517" s="26" t="str">
        <f>IF(OR(E517="",E517="!!!",F517="NEW"),"",COUNTBLANK(OFFSET(A$1,,,SUMPRODUCT(MAX(ROW(E$2:E517)*(E517=E$2:E517)))))-COUNTBLANK(OFFSET(A$1,,,SUMPRODUCT(MAX(ROW(E$1:E516)*(E2=E$1:E516))))))</f>
        <v> </v>
      </c>
      <c r="K517" s="26" t="str">
        <f>IF(OR(E517="",E517="!!!",F517="NEW"),"",INDEX(J$1:J516,SUMPRODUCT(MAX(ROW(E$1:E516)*(E517=E$1:E516)))))</f>
        <v> </v>
      </c>
      <c r="L517" s="27"/>
    </row>
    <row r="518" spans="1:12">
      <c r="A518" s="20" t="s">
        <v>184</v>
      </c>
      <c r="E518" s="22">
        <f>IF(D518="?OLD","!!!","")</f>
        <v/>
      </c>
      <c r="F518" s="23" t="str">
        <f>IF(OR(E518="",E518="!!!"),"",IF(NOT(ISNA(VLOOKUP(E518,E$1:E517,1,FALSE()))),"OLD",IF(AND(E518&lt;&gt;"",E518&lt;&gt;"!!!"),"NEW","")))</f>
        <v> </v>
      </c>
      <c r="G518" s="24" t="str">
        <f>IF(OR(E518="",E518="!!!"),"",IF(OR(J518=0,AND(J518=1,K518=1),AND(J518=1,I518="SBJ"),AND(J518=1,I518=0)),"?IN_FOCUS",IF(J518&lt;=2,"?ACTIVATED",IF(J518&lt;&gt;"","?FAMILIAR",IF(F518="NEW",IF(ISNA(VLOOKUP(E518,#REF!,1,FALSE())),"?TYPE_IDENTIFIABLE","?REFERENTIAL"),"_")))))</f>
        <v> </v>
      </c>
      <c r="H518" s="25" t="str">
        <f>IF(J518&lt;&gt;1,"",IF(I518="SBJ","CB","?"))</f>
        <v> </v>
      </c>
      <c r="I518" s="26" t="str">
        <f>IF(OR(E518="",E518="!!!",F518="NEW"),"",INDEX(B517:B$2,-1+SUMPRODUCT(MAX(ROW(E517:E$2)*(E518=E517:E$2)))))</f>
        <v> </v>
      </c>
      <c r="J518" s="26" t="str">
        <f>IF(OR(E518="",E518="!!!",F518="NEW"),"",COUNTBLANK(OFFSET(A$1,,,SUMPRODUCT(MAX(ROW(E$2:E518)*(E518=E$2:E518)))))-COUNTBLANK(OFFSET(A$1,,,SUMPRODUCT(MAX(ROW(E$1:E517)*(E2=E$1:E517))))))</f>
        <v> </v>
      </c>
      <c r="K518" s="26" t="str">
        <f>IF(OR(E518="",E518="!!!",F518="NEW"),"",INDEX(J$1:J517,SUMPRODUCT(MAX(ROW(E$1:E517)*(E518=E$1:E517)))))</f>
        <v> </v>
      </c>
      <c r="L518" s="27"/>
    </row>
    <row r="519" spans="1:12">
      <c r="A519" s="20" t="s">
        <v>380</v>
      </c>
      <c r="B519" s="21" t="s">
        <v>123</v>
      </c>
      <c r="C519" s="21" t="s">
        <v>270</v>
      </c>
      <c r="D519" s="21" t="s">
        <v>102</v>
      </c>
      <c r="E519" s="22">
        <f>IF(D519="?OLD","!!!","")</f>
        <v/>
      </c>
      <c r="F519" s="23" t="str">
        <f>IF(OR(E519="",E519="!!!"),"",IF(NOT(ISNA(VLOOKUP(E519,E$1:E518,1,FALSE()))),"OLD",IF(AND(E519&lt;&gt;"",E519&lt;&gt;"!!!"),"NEW","")))</f>
        <v> </v>
      </c>
      <c r="G519" s="24" t="str">
        <f>IF(OR(E519="",E519="!!!"),"",IF(OR(J519=0,AND(J519=1,K519=1),AND(J519=1,I519="SBJ"),AND(J519=1,I519=0)),"?IN_FOCUS",IF(J519&lt;=2,"?ACTIVATED",IF(J519&lt;&gt;"","?FAMILIAR",IF(F519="NEW",IF(ISNA(VLOOKUP(E519,#REF!,1,FALSE())),"?TYPE_IDENTIFIABLE","?REFERENTIAL"),"_")))))</f>
        <v> </v>
      </c>
      <c r="H519" s="25" t="str">
        <f>IF(J519&lt;&gt;1,"",IF(I519="SBJ","CB","?"))</f>
        <v> </v>
      </c>
      <c r="I519" s="26" t="str">
        <f>IF(OR(E519="",E519="!!!",F519="NEW"),"",INDEX(B518:B$2,-1+SUMPRODUCT(MAX(ROW(E518:E$2)*(E519=E518:E$2)))))</f>
        <v> </v>
      </c>
      <c r="J519" s="26" t="str">
        <f>IF(OR(E519="",E519="!!!",F519="NEW"),"",COUNTBLANK(OFFSET(A$1,,,SUMPRODUCT(MAX(ROW(E$2:E519)*(E519=E$2:E519)))))-COUNTBLANK(OFFSET(A$1,,,SUMPRODUCT(MAX(ROW(E$1:E518)*(E2=E$1:E518))))))</f>
        <v> </v>
      </c>
      <c r="K519" s="26" t="str">
        <f>IF(OR(E519="",E519="!!!",F519="NEW"),"",INDEX(J$1:J518,SUMPRODUCT(MAX(ROW(E$1:E518)*(E519=E$1:E518)))))</f>
        <v> </v>
      </c>
      <c r="L519" s="27"/>
    </row>
    <row r="520" spans="1:12">
      <c r="A520" s="20" t="s">
        <v>97</v>
      </c>
      <c r="E520" s="22">
        <f>IF(D520="?OLD","!!!","")</f>
        <v/>
      </c>
      <c r="F520" s="23" t="str">
        <f>IF(OR(E520="",E520="!!!"),"",IF(NOT(ISNA(VLOOKUP(E520,E$1:E519,1,FALSE()))),"OLD",IF(AND(E520&lt;&gt;"",E520&lt;&gt;"!!!"),"NEW","")))</f>
        <v> </v>
      </c>
      <c r="G520" s="24" t="str">
        <f>IF(OR(E520="",E520="!!!"),"",IF(OR(J520=0,AND(J520=1,K520=1),AND(J520=1,I520="SBJ"),AND(J520=1,I520=0)),"?IN_FOCUS",IF(J520&lt;=2,"?ACTIVATED",IF(J520&lt;&gt;"","?FAMILIAR",IF(F520="NEW",IF(ISNA(VLOOKUP(E520,#REF!,1,FALSE())),"?TYPE_IDENTIFIABLE","?REFERENTIAL"),"_")))))</f>
        <v> </v>
      </c>
      <c r="H520" s="25" t="str">
        <f>IF(J520&lt;&gt;1,"",IF(I520="SBJ","CB","?"))</f>
        <v> </v>
      </c>
      <c r="I520" s="26" t="str">
        <f>IF(OR(E520="",E520="!!!",F520="NEW"),"",INDEX(B519:B$2,-1+SUMPRODUCT(MAX(ROW(E519:E$2)*(E520=E519:E$2)))))</f>
        <v> </v>
      </c>
      <c r="J520" s="26" t="str">
        <f>IF(OR(E520="",E520="!!!",F520="NEW"),"",COUNTBLANK(OFFSET(A$1,,,SUMPRODUCT(MAX(ROW(E$2:E520)*(E520=E$2:E520)))))-COUNTBLANK(OFFSET(A$1,,,SUMPRODUCT(MAX(ROW(E$1:E519)*(E2=E$1:E519))))))</f>
        <v> </v>
      </c>
      <c r="K520" s="26" t="str">
        <f>IF(OR(E520="",E520="!!!",F520="NEW"),"",INDEX(J$1:J519,SUMPRODUCT(MAX(ROW(E$1:E519)*(E520=E$1:E519)))))</f>
        <v> </v>
      </c>
      <c r="L520" s="27"/>
    </row>
    <row r="521" spans="1:12">
      <c r="A521" s="20" t="s">
        <v>118</v>
      </c>
      <c r="B521" s="21" t="s">
        <v>381</v>
      </c>
      <c r="C521" s="21" t="s">
        <v>101</v>
      </c>
      <c r="D521" s="21" t="s">
        <v>102</v>
      </c>
      <c r="E521" s="22">
        <f>IF(D521="?OLD","!!!","")</f>
        <v/>
      </c>
      <c r="F521" s="23" t="str">
        <f>IF(OR(E521="",E521="!!!"),"",IF(NOT(ISNA(VLOOKUP(E521,E$1:E520,1,FALSE()))),"OLD",IF(AND(E521&lt;&gt;"",E521&lt;&gt;"!!!"),"NEW","")))</f>
        <v> </v>
      </c>
      <c r="G521" s="24" t="str">
        <f>IF(OR(E521="",E521="!!!"),"",IF(OR(J521=0,AND(J521=1,K521=1),AND(J521=1,I521="SBJ"),AND(J521=1,I521=0)),"?IN_FOCUS",IF(J521&lt;=2,"?ACTIVATED",IF(J521&lt;&gt;"","?FAMILIAR",IF(F521="NEW",IF(ISNA(VLOOKUP(E521,#REF!,1,FALSE())),"?TYPE_IDENTIFIABLE","?REFERENTIAL"),"_")))))</f>
        <v> </v>
      </c>
      <c r="H521" s="25" t="str">
        <f>IF(J521&lt;&gt;1,"",IF(I521="SBJ","CB","?"))</f>
        <v> </v>
      </c>
      <c r="I521" s="26" t="str">
        <f>IF(OR(E521="",E521="!!!",F521="NEW"),"",INDEX(B520:B$2,-1+SUMPRODUCT(MAX(ROW(E520:E$2)*(E521=E520:E$2)))))</f>
        <v> </v>
      </c>
      <c r="J521" s="26" t="str">
        <f>IF(OR(E521="",E521="!!!",F521="NEW"),"",COUNTBLANK(OFFSET(A$1,,,SUMPRODUCT(MAX(ROW(E$2:E521)*(E521=E$2:E521)))))-COUNTBLANK(OFFSET(A$1,,,SUMPRODUCT(MAX(ROW(E$1:E520)*(E2=E$1:E520))))))</f>
        <v> </v>
      </c>
      <c r="K521" s="26" t="str">
        <f>IF(OR(E521="",E521="!!!",F521="NEW"),"",INDEX(J$1:J520,SUMPRODUCT(MAX(ROW(E$1:E520)*(E521=E$1:E520)))))</f>
        <v> </v>
      </c>
      <c r="L521" s="27"/>
    </row>
    <row r="522" spans="1:12">
      <c r="A522" s="20" t="s">
        <v>242</v>
      </c>
      <c r="E522" s="22">
        <f>IF(D522="?OLD","!!!","")</f>
        <v/>
      </c>
      <c r="F522" s="23" t="str">
        <f>IF(OR(E522="",E522="!!!"),"",IF(NOT(ISNA(VLOOKUP(E522,E$1:E521,1,FALSE()))),"OLD",IF(AND(E522&lt;&gt;"",E522&lt;&gt;"!!!"),"NEW","")))</f>
        <v> </v>
      </c>
      <c r="G522" s="24" t="str">
        <f>IF(OR(E522="",E522="!!!"),"",IF(OR(J522=0,AND(J522=1,K522=1),AND(J522=1,I522="SBJ"),AND(J522=1,I522=0)),"?IN_FOCUS",IF(J522&lt;=2,"?ACTIVATED",IF(J522&lt;&gt;"","?FAMILIAR",IF(F522="NEW",IF(ISNA(VLOOKUP(E522,#REF!,1,FALSE())),"?TYPE_IDENTIFIABLE","?REFERENTIAL"),"_")))))</f>
        <v> </v>
      </c>
      <c r="H522" s="25" t="str">
        <f>IF(J522&lt;&gt;1,"",IF(I522="SBJ","CB","?"))</f>
        <v> </v>
      </c>
      <c r="I522" s="26" t="str">
        <f>IF(OR(E522="",E522="!!!",F522="NEW"),"",INDEX(B521:B$2,-1+SUMPRODUCT(MAX(ROW(E521:E$2)*(E522=E521:E$2)))))</f>
        <v> </v>
      </c>
      <c r="J522" s="26" t="str">
        <f>IF(OR(E522="",E522="!!!",F522="NEW"),"",COUNTBLANK(OFFSET(A$1,,,SUMPRODUCT(MAX(ROW(E$2:E522)*(E522=E$2:E522)))))-COUNTBLANK(OFFSET(A$1,,,SUMPRODUCT(MAX(ROW(E$1:E521)*(E2=E$1:E521))))))</f>
        <v> </v>
      </c>
      <c r="K522" s="26" t="str">
        <f>IF(OR(E522="",E522="!!!",F522="NEW"),"",INDEX(J$1:J521,SUMPRODUCT(MAX(ROW(E$1:E521)*(E522=E$1:E521)))))</f>
        <v> </v>
      </c>
      <c r="L522" s="27"/>
    </row>
    <row r="523" spans="1:12">
      <c r="A523" s="20" t="s">
        <v>148</v>
      </c>
      <c r="E523" s="22">
        <f>IF(D523="?OLD","!!!","")</f>
        <v/>
      </c>
      <c r="F523" s="23" t="str">
        <f>IF(OR(E523="",E523="!!!"),"",IF(NOT(ISNA(VLOOKUP(E523,E$1:E522,1,FALSE()))),"OLD",IF(AND(E523&lt;&gt;"",E523&lt;&gt;"!!!"),"NEW","")))</f>
        <v> </v>
      </c>
      <c r="G523" s="24" t="str">
        <f>IF(OR(E523="",E523="!!!"),"",IF(OR(J523=0,AND(J523=1,K523=1),AND(J523=1,I523="SBJ"),AND(J523=1,I523=0)),"?IN_FOCUS",IF(J523&lt;=2,"?ACTIVATED",IF(J523&lt;&gt;"","?FAMILIAR",IF(F523="NEW",IF(ISNA(VLOOKUP(E523,#REF!,1,FALSE())),"?TYPE_IDENTIFIABLE","?REFERENTIAL"),"_")))))</f>
        <v> </v>
      </c>
      <c r="H523" s="25" t="str">
        <f>IF(J523&lt;&gt;1,"",IF(I523="SBJ","CB","?"))</f>
        <v> </v>
      </c>
      <c r="I523" s="26" t="str">
        <f>IF(OR(E523="",E523="!!!",F523="NEW"),"",INDEX(B522:B$2,-1+SUMPRODUCT(MAX(ROW(E522:E$2)*(E523=E522:E$2)))))</f>
        <v> </v>
      </c>
      <c r="J523" s="26" t="str">
        <f>IF(OR(E523="",E523="!!!",F523="NEW"),"",COUNTBLANK(OFFSET(A$1,,,SUMPRODUCT(MAX(ROW(E$2:E523)*(E523=E$2:E523)))))-COUNTBLANK(OFFSET(A$1,,,SUMPRODUCT(MAX(ROW(E$1:E522)*(E2=E$1:E522))))))</f>
        <v> </v>
      </c>
      <c r="K523" s="26" t="str">
        <f>IF(OR(E523="",E523="!!!",F523="NEW"),"",INDEX(J$1:J522,SUMPRODUCT(MAX(ROW(E$1:E522)*(E523=E$1:E522)))))</f>
        <v> </v>
      </c>
      <c r="L523" s="27"/>
    </row>
    <row r="524" spans="1:12">
      <c r="A524" s="20" t="s">
        <v>382</v>
      </c>
      <c r="E524" s="22">
        <f>IF(D524="?OLD","!!!","")</f>
        <v/>
      </c>
      <c r="F524" s="23" t="str">
        <f>IF(OR(E524="",E524="!!!"),"",IF(NOT(ISNA(VLOOKUP(E524,E$1:E523,1,FALSE()))),"OLD",IF(AND(E524&lt;&gt;"",E524&lt;&gt;"!!!"),"NEW","")))</f>
        <v> </v>
      </c>
      <c r="G524" s="24" t="str">
        <f>IF(OR(E524="",E524="!!!"),"",IF(OR(J524=0,AND(J524=1,K524=1),AND(J524=1,I524="SBJ"),AND(J524=1,I524=0)),"?IN_FOCUS",IF(J524&lt;=2,"?ACTIVATED",IF(J524&lt;&gt;"","?FAMILIAR",IF(F524="NEW",IF(ISNA(VLOOKUP(E524,#REF!,1,FALSE())),"?TYPE_IDENTIFIABLE","?REFERENTIAL"),"_")))))</f>
        <v> </v>
      </c>
      <c r="H524" s="25" t="str">
        <f>IF(J524&lt;&gt;1,"",IF(I524="SBJ","CB","?"))</f>
        <v> </v>
      </c>
      <c r="I524" s="26" t="str">
        <f>IF(OR(E524="",E524="!!!",F524="NEW"),"",INDEX(B523:B$2,-1+SUMPRODUCT(MAX(ROW(E523:E$2)*(E524=E523:E$2)))))</f>
        <v> </v>
      </c>
      <c r="J524" s="26" t="str">
        <f>IF(OR(E524="",E524="!!!",F524="NEW"),"",COUNTBLANK(OFFSET(A$1,,,SUMPRODUCT(MAX(ROW(E$2:E524)*(E524=E$2:E524)))))-COUNTBLANK(OFFSET(A$1,,,SUMPRODUCT(MAX(ROW(E$1:E523)*(E2=E$1:E523))))))</f>
        <v> </v>
      </c>
      <c r="K524" s="26" t="str">
        <f>IF(OR(E524="",E524="!!!",F524="NEW"),"",INDEX(J$1:J523,SUMPRODUCT(MAX(ROW(E$1:E523)*(E524=E$1:E523)))))</f>
        <v> </v>
      </c>
      <c r="L524" s="27"/>
    </row>
    <row r="525" spans="1:12">
      <c r="A525" s="20" t="s">
        <v>383</v>
      </c>
      <c r="B525" s="21" t="s">
        <v>244</v>
      </c>
      <c r="C525" s="21" t="s">
        <v>128</v>
      </c>
      <c r="E525" s="22">
        <f>IF(D525="?OLD","!!!","")</f>
        <v/>
      </c>
      <c r="F525" s="23" t="str">
        <f>IF(OR(E525="",E525="!!!"),"",IF(NOT(ISNA(VLOOKUP(E525,E$1:E524,1,FALSE()))),"OLD",IF(AND(E525&lt;&gt;"",E525&lt;&gt;"!!!"),"NEW","")))</f>
        <v> </v>
      </c>
      <c r="G525" s="24" t="str">
        <f>IF(OR(E525="",E525="!!!"),"",IF(OR(J525=0,AND(J525=1,K525=1),AND(J525=1,I525="SBJ"),AND(J525=1,I525=0)),"?IN_FOCUS",IF(J525&lt;=2,"?ACTIVATED",IF(J525&lt;&gt;"","?FAMILIAR",IF(F525="NEW",IF(ISNA(VLOOKUP(E525,#REF!,1,FALSE())),"?TYPE_IDENTIFIABLE","?REFERENTIAL"),"_")))))</f>
        <v> </v>
      </c>
      <c r="H525" s="25" t="str">
        <f>IF(J525&lt;&gt;1,"",IF(I525="SBJ","CB","?"))</f>
        <v> </v>
      </c>
      <c r="I525" s="26" t="str">
        <f>IF(OR(E525="",E525="!!!",F525="NEW"),"",INDEX(B524:B$2,-1+SUMPRODUCT(MAX(ROW(E524:E$2)*(E525=E524:E$2)))))</f>
        <v> </v>
      </c>
      <c r="J525" s="26" t="str">
        <f>IF(OR(E525="",E525="!!!",F525="NEW"),"",COUNTBLANK(OFFSET(A$1,,,SUMPRODUCT(MAX(ROW(E$2:E525)*(E525=E$2:E525)))))-COUNTBLANK(OFFSET(A$1,,,SUMPRODUCT(MAX(ROW(E$1:E524)*(E2=E$1:E524))))))</f>
        <v> </v>
      </c>
      <c r="K525" s="26" t="str">
        <f>IF(OR(E525="",E525="!!!",F525="NEW"),"",INDEX(J$1:J524,SUMPRODUCT(MAX(ROW(E$1:E524)*(E525=E$1:E524)))))</f>
        <v> </v>
      </c>
      <c r="L525" s="27"/>
    </row>
    <row r="526" spans="1:12">
      <c r="A526" s="20" t="s">
        <v>384</v>
      </c>
      <c r="E526" s="22">
        <f>IF(D526="?OLD","!!!","")</f>
        <v/>
      </c>
      <c r="F526" s="23" t="str">
        <f>IF(OR(E526="",E526="!!!"),"",IF(NOT(ISNA(VLOOKUP(E526,E$1:E525,1,FALSE()))),"OLD",IF(AND(E526&lt;&gt;"",E526&lt;&gt;"!!!"),"NEW","")))</f>
        <v> </v>
      </c>
      <c r="G526" s="24" t="str">
        <f>IF(OR(E526="",E526="!!!"),"",IF(OR(J526=0,AND(J526=1,K526=1),AND(J526=1,I526="SBJ"),AND(J526=1,I526=0)),"?IN_FOCUS",IF(J526&lt;=2,"?ACTIVATED",IF(J526&lt;&gt;"","?FAMILIAR",IF(F526="NEW",IF(ISNA(VLOOKUP(E526,#REF!,1,FALSE())),"?TYPE_IDENTIFIABLE","?REFERENTIAL"),"_")))))</f>
        <v> </v>
      </c>
      <c r="H526" s="25" t="str">
        <f>IF(J526&lt;&gt;1,"",IF(I526="SBJ","CB","?"))</f>
        <v> </v>
      </c>
      <c r="I526" s="26" t="str">
        <f>IF(OR(E526="",E526="!!!",F526="NEW"),"",INDEX(B525:B$2,-1+SUMPRODUCT(MAX(ROW(E525:E$2)*(E526=E525:E$2)))))</f>
        <v> </v>
      </c>
      <c r="J526" s="26" t="str">
        <f>IF(OR(E526="",E526="!!!",F526="NEW"),"",COUNTBLANK(OFFSET(A$1,,,SUMPRODUCT(MAX(ROW(E$2:E526)*(E526=E$2:E526)))))-COUNTBLANK(OFFSET(A$1,,,SUMPRODUCT(MAX(ROW(E$1:E525)*(E2=E$1:E525))))))</f>
        <v> </v>
      </c>
      <c r="K526" s="26" t="str">
        <f>IF(OR(E526="",E526="!!!",F526="NEW"),"",INDEX(J$1:J525,SUMPRODUCT(MAX(ROW(E$1:E525)*(E526=E$1:E525)))))</f>
        <v> </v>
      </c>
      <c r="L526" s="27"/>
    </row>
    <row r="527" spans="1:12">
      <c r="A527" s="20" t="s">
        <v>97</v>
      </c>
      <c r="E527" s="22">
        <f>IF(D527="?OLD","!!!","")</f>
        <v/>
      </c>
      <c r="F527" s="23" t="str">
        <f>IF(OR(E527="",E527="!!!"),"",IF(NOT(ISNA(VLOOKUP(E527,E$1:E526,1,FALSE()))),"OLD",IF(AND(E527&lt;&gt;"",E527&lt;&gt;"!!!"),"NEW","")))</f>
        <v> </v>
      </c>
      <c r="G527" s="24" t="str">
        <f>IF(OR(E527="",E527="!!!"),"",IF(OR(J527=0,AND(J527=1,K527=1),AND(J527=1,I527="SBJ"),AND(J527=1,I527=0)),"?IN_FOCUS",IF(J527&lt;=2,"?ACTIVATED",IF(J527&lt;&gt;"","?FAMILIAR",IF(F527="NEW",IF(ISNA(VLOOKUP(E527,#REF!,1,FALSE())),"?TYPE_IDENTIFIABLE","?REFERENTIAL"),"_")))))</f>
        <v> </v>
      </c>
      <c r="H527" s="25" t="str">
        <f>IF(J527&lt;&gt;1,"",IF(I527="SBJ","CB","?"))</f>
        <v> </v>
      </c>
      <c r="I527" s="26" t="str">
        <f>IF(OR(E527="",E527="!!!",F527="NEW"),"",INDEX(B526:B$2,-1+SUMPRODUCT(MAX(ROW(E526:E$2)*(E527=E526:E$2)))))</f>
        <v> </v>
      </c>
      <c r="J527" s="26" t="str">
        <f>IF(OR(E527="",E527="!!!",F527="NEW"),"",COUNTBLANK(OFFSET(A$1,,,SUMPRODUCT(MAX(ROW(E$2:E527)*(E527=E$2:E527)))))-COUNTBLANK(OFFSET(A$1,,,SUMPRODUCT(MAX(ROW(E$1:E526)*(E2=E$1:E526))))))</f>
        <v> </v>
      </c>
      <c r="K527" s="26" t="str">
        <f>IF(OR(E527="",E527="!!!",F527="NEW"),"",INDEX(J$1:J526,SUMPRODUCT(MAX(ROW(E$1:E526)*(E527=E$1:E526)))))</f>
        <v> </v>
      </c>
      <c r="L527" s="27"/>
    </row>
    <row r="528" spans="1:12">
      <c r="A528" s="20" t="s">
        <v>385</v>
      </c>
      <c r="B528" s="21" t="s">
        <v>120</v>
      </c>
      <c r="C528" s="21" t="s">
        <v>92</v>
      </c>
      <c r="E528" s="22">
        <f>IF(D528="?OLD","!!!","")</f>
        <v/>
      </c>
      <c r="F528" s="23" t="str">
        <f>IF(OR(E528="",E528="!!!"),"",IF(NOT(ISNA(VLOOKUP(E528,E$1:E527,1,FALSE()))),"OLD",IF(AND(E528&lt;&gt;"",E528&lt;&gt;"!!!"),"NEW","")))</f>
        <v> </v>
      </c>
      <c r="G528" s="24" t="str">
        <f>IF(OR(E528="",E528="!!!"),"",IF(OR(J528=0,AND(J528=1,K528=1),AND(J528=1,I528="SBJ"),AND(J528=1,I528=0)),"?IN_FOCUS",IF(J528&lt;=2,"?ACTIVATED",IF(J528&lt;&gt;"","?FAMILIAR",IF(F528="NEW",IF(ISNA(VLOOKUP(E528,#REF!,1,FALSE())),"?TYPE_IDENTIFIABLE","?REFERENTIAL"),"_")))))</f>
        <v> </v>
      </c>
      <c r="H528" s="25" t="str">
        <f>IF(J528&lt;&gt;1,"",IF(I528="SBJ","CB","?"))</f>
        <v> </v>
      </c>
      <c r="I528" s="26" t="str">
        <f>IF(OR(E528="",E528="!!!",F528="NEW"),"",INDEX(B527:B$2,-1+SUMPRODUCT(MAX(ROW(E527:E$2)*(E528=E527:E$2)))))</f>
        <v> </v>
      </c>
      <c r="J528" s="26" t="str">
        <f>IF(OR(E528="",E528="!!!",F528="NEW"),"",COUNTBLANK(OFFSET(A$1,,,SUMPRODUCT(MAX(ROW(E$2:E528)*(E528=E$2:E528)))))-COUNTBLANK(OFFSET(A$1,,,SUMPRODUCT(MAX(ROW(E$1:E527)*(E2=E$1:E527))))))</f>
        <v> </v>
      </c>
      <c r="K528" s="26" t="str">
        <f>IF(OR(E528="",E528="!!!",F528="NEW"),"",INDEX(J$1:J527,SUMPRODUCT(MAX(ROW(E$1:E527)*(E528=E$1:E527)))))</f>
        <v> </v>
      </c>
      <c r="L528" s="27"/>
    </row>
    <row r="529" spans="1:12">
      <c r="A529" s="20" t="s">
        <v>97</v>
      </c>
      <c r="E529" s="22">
        <f>IF(D529="?OLD","!!!","")</f>
        <v/>
      </c>
      <c r="F529" s="23" t="str">
        <f>IF(OR(E529="",E529="!!!"),"",IF(NOT(ISNA(VLOOKUP(E529,E$1:E528,1,FALSE()))),"OLD",IF(AND(E529&lt;&gt;"",E529&lt;&gt;"!!!"),"NEW","")))</f>
        <v> </v>
      </c>
      <c r="G529" s="24" t="str">
        <f>IF(OR(E529="",E529="!!!"),"",IF(OR(J529=0,AND(J529=1,K529=1),AND(J529=1,I529="SBJ"),AND(J529=1,I529=0)),"?IN_FOCUS",IF(J529&lt;=2,"?ACTIVATED",IF(J529&lt;&gt;"","?FAMILIAR",IF(F529="NEW",IF(ISNA(VLOOKUP(E529,#REF!,1,FALSE())),"?TYPE_IDENTIFIABLE","?REFERENTIAL"),"_")))))</f>
        <v> </v>
      </c>
      <c r="H529" s="25" t="str">
        <f>IF(J529&lt;&gt;1,"",IF(I529="SBJ","CB","?"))</f>
        <v> </v>
      </c>
      <c r="I529" s="26" t="str">
        <f>IF(OR(E529="",E529="!!!",F529="NEW"),"",INDEX(B528:B$2,-1+SUMPRODUCT(MAX(ROW(E528:E$2)*(E529=E528:E$2)))))</f>
        <v> </v>
      </c>
      <c r="J529" s="26" t="str">
        <f>IF(OR(E529="",E529="!!!",F529="NEW"),"",COUNTBLANK(OFFSET(A$1,,,SUMPRODUCT(MAX(ROW(E$2:E529)*(E529=E$2:E529)))))-COUNTBLANK(OFFSET(A$1,,,SUMPRODUCT(MAX(ROW(E$1:E528)*(E2=E$1:E528))))))</f>
        <v> </v>
      </c>
      <c r="K529" s="26" t="str">
        <f>IF(OR(E529="",E529="!!!",F529="NEW"),"",INDEX(J$1:J528,SUMPRODUCT(MAX(ROW(E$1:E528)*(E529=E$1:E528)))))</f>
        <v> </v>
      </c>
      <c r="L529" s="27"/>
    </row>
    <row r="530" spans="1:12">
      <c r="A530" s="20" t="s">
        <v>386</v>
      </c>
      <c r="E530" s="22">
        <f>IF(D530="?OLD","!!!","")</f>
        <v/>
      </c>
      <c r="F530" s="23" t="str">
        <f>IF(OR(E530="",E530="!!!"),"",IF(NOT(ISNA(VLOOKUP(E530,E$1:E529,1,FALSE()))),"OLD",IF(AND(E530&lt;&gt;"",E530&lt;&gt;"!!!"),"NEW","")))</f>
        <v> </v>
      </c>
      <c r="G530" s="24" t="str">
        <f>IF(OR(E530="",E530="!!!"),"",IF(OR(J530=0,AND(J530=1,K530=1),AND(J530=1,I530="SBJ"),AND(J530=1,I530=0)),"?IN_FOCUS",IF(J530&lt;=2,"?ACTIVATED",IF(J530&lt;&gt;"","?FAMILIAR",IF(F530="NEW",IF(ISNA(VLOOKUP(E530,#REF!,1,FALSE())),"?TYPE_IDENTIFIABLE","?REFERENTIAL"),"_")))))</f>
        <v> </v>
      </c>
      <c r="H530" s="25" t="str">
        <f>IF(J530&lt;&gt;1,"",IF(I530="SBJ","CB","?"))</f>
        <v> </v>
      </c>
      <c r="I530" s="26" t="str">
        <f>IF(OR(E530="",E530="!!!",F530="NEW"),"",INDEX(B529:B$2,-1+SUMPRODUCT(MAX(ROW(E529:E$2)*(E530=E529:E$2)))))</f>
        <v> </v>
      </c>
      <c r="J530" s="26" t="str">
        <f>IF(OR(E530="",E530="!!!",F530="NEW"),"",COUNTBLANK(OFFSET(A$1,,,SUMPRODUCT(MAX(ROW(E$2:E530)*(E530=E$2:E530)))))-COUNTBLANK(OFFSET(A$1,,,SUMPRODUCT(MAX(ROW(E$1:E529)*(E2=E$1:E529))))))</f>
        <v> </v>
      </c>
      <c r="K530" s="26" t="str">
        <f>IF(OR(E530="",E530="!!!",F530="NEW"),"",INDEX(J$1:J529,SUMPRODUCT(MAX(ROW(E$1:E529)*(E530=E$1:E529)))))</f>
        <v> </v>
      </c>
      <c r="L530" s="27"/>
    </row>
    <row r="531" spans="1:12">
      <c r="A531" s="20" t="s">
        <v>387</v>
      </c>
      <c r="B531" s="21" t="s">
        <v>120</v>
      </c>
      <c r="C531" s="21" t="s">
        <v>92</v>
      </c>
      <c r="E531" s="22">
        <f>IF(D531="?OLD","!!!","")</f>
        <v/>
      </c>
      <c r="F531" s="23" t="str">
        <f>IF(OR(E531="",E531="!!!"),"",IF(NOT(ISNA(VLOOKUP(E531,E$1:E530,1,FALSE()))),"OLD",IF(AND(E531&lt;&gt;"",E531&lt;&gt;"!!!"),"NEW","")))</f>
        <v> </v>
      </c>
      <c r="G531" s="24" t="str">
        <f>IF(OR(E531="",E531="!!!"),"",IF(OR(J531=0,AND(J531=1,K531=1),AND(J531=1,I531="SBJ"),AND(J531=1,I531=0)),"?IN_FOCUS",IF(J531&lt;=2,"?ACTIVATED",IF(J531&lt;&gt;"","?FAMILIAR",IF(F531="NEW",IF(ISNA(VLOOKUP(E531,#REF!,1,FALSE())),"?TYPE_IDENTIFIABLE","?REFERENTIAL"),"_")))))</f>
        <v> </v>
      </c>
      <c r="H531" s="25" t="str">
        <f>IF(J531&lt;&gt;1,"",IF(I531="SBJ","CB","?"))</f>
        <v> </v>
      </c>
      <c r="I531" s="26" t="str">
        <f>IF(OR(E531="",E531="!!!",F531="NEW"),"",INDEX(B530:B$2,-1+SUMPRODUCT(MAX(ROW(E530:E$2)*(E531=E530:E$2)))))</f>
        <v> </v>
      </c>
      <c r="J531" s="26" t="str">
        <f>IF(OR(E531="",E531="!!!",F531="NEW"),"",COUNTBLANK(OFFSET(A$1,,,SUMPRODUCT(MAX(ROW(E$2:E531)*(E531=E$2:E531)))))-COUNTBLANK(OFFSET(A$1,,,SUMPRODUCT(MAX(ROW(E$1:E530)*(E2=E$1:E530))))))</f>
        <v> </v>
      </c>
      <c r="K531" s="26" t="str">
        <f>IF(OR(E531="",E531="!!!",F531="NEW"),"",INDEX(J$1:J530,SUMPRODUCT(MAX(ROW(E$1:E530)*(E531=E$1:E530)))))</f>
        <v> </v>
      </c>
      <c r="L531" s="27"/>
    </row>
    <row r="532" spans="1:12">
      <c r="A532" s="20" t="s">
        <v>208</v>
      </c>
      <c r="E532" s="22">
        <f>IF(D532="?OLD","!!!","")</f>
        <v/>
      </c>
      <c r="F532" s="23" t="str">
        <f>IF(OR(E532="",E532="!!!"),"",IF(NOT(ISNA(VLOOKUP(E532,E$1:E531,1,FALSE()))),"OLD",IF(AND(E532&lt;&gt;"",E532&lt;&gt;"!!!"),"NEW","")))</f>
        <v> </v>
      </c>
      <c r="G532" s="24" t="str">
        <f>IF(OR(E532="",E532="!!!"),"",IF(OR(J532=0,AND(J532=1,K532=1),AND(J532=1,I532="SBJ"),AND(J532=1,I532=0)),"?IN_FOCUS",IF(J532&lt;=2,"?ACTIVATED",IF(J532&lt;&gt;"","?FAMILIAR",IF(F532="NEW",IF(ISNA(VLOOKUP(E532,#REF!,1,FALSE())),"?TYPE_IDENTIFIABLE","?REFERENTIAL"),"_")))))</f>
        <v> </v>
      </c>
      <c r="H532" s="25" t="str">
        <f>IF(J532&lt;&gt;1,"",IF(I532="SBJ","CB","?"))</f>
        <v> </v>
      </c>
      <c r="I532" s="26" t="str">
        <f>IF(OR(E532="",E532="!!!",F532="NEW"),"",INDEX(B531:B$2,-1+SUMPRODUCT(MAX(ROW(E531:E$2)*(E532=E531:E$2)))))</f>
        <v> </v>
      </c>
      <c r="J532" s="26" t="str">
        <f>IF(OR(E532="",E532="!!!",F532="NEW"),"",COUNTBLANK(OFFSET(A$1,,,SUMPRODUCT(MAX(ROW(E$2:E532)*(E532=E$2:E532)))))-COUNTBLANK(OFFSET(A$1,,,SUMPRODUCT(MAX(ROW(E$1:E531)*(E2=E$1:E531))))))</f>
        <v> </v>
      </c>
      <c r="K532" s="26" t="str">
        <f>IF(OR(E532="",E532="!!!",F532="NEW"),"",INDEX(J$1:J531,SUMPRODUCT(MAX(ROW(E$1:E531)*(E532=E$1:E531)))))</f>
        <v> </v>
      </c>
      <c r="L532" s="27"/>
    </row>
    <row r="533" spans="1:12">
      <c r="A533" s="20" t="s">
        <v>388</v>
      </c>
      <c r="B533" s="21" t="s">
        <v>123</v>
      </c>
      <c r="C533" s="21" t="s">
        <v>112</v>
      </c>
      <c r="D533" s="21" t="s">
        <v>102</v>
      </c>
      <c r="E533" s="22">
        <f>IF(D533="?OLD","!!!","")</f>
        <v/>
      </c>
      <c r="F533" s="23" t="str">
        <f>IF(OR(E533="",E533="!!!"),"",IF(NOT(ISNA(VLOOKUP(E533,E$1:E532,1,FALSE()))),"OLD",IF(AND(E533&lt;&gt;"",E533&lt;&gt;"!!!"),"NEW","")))</f>
        <v> </v>
      </c>
      <c r="G533" s="24" t="str">
        <f>IF(OR(E533="",E533="!!!"),"",IF(OR(J533=0,AND(J533=1,K533=1),AND(J533=1,I533="SBJ"),AND(J533=1,I533=0)),"?IN_FOCUS",IF(J533&lt;=2,"?ACTIVATED",IF(J533&lt;&gt;"","?FAMILIAR",IF(F533="NEW",IF(ISNA(VLOOKUP(E533,#REF!,1,FALSE())),"?TYPE_IDENTIFIABLE","?REFERENTIAL"),"_")))))</f>
        <v> </v>
      </c>
      <c r="H533" s="25" t="str">
        <f>IF(J533&lt;&gt;1,"",IF(I533="SBJ","CB","?"))</f>
        <v> </v>
      </c>
      <c r="I533" s="26" t="str">
        <f>IF(OR(E533="",E533="!!!",F533="NEW"),"",INDEX(B532:B$2,-1+SUMPRODUCT(MAX(ROW(E532:E$2)*(E533=E532:E$2)))))</f>
        <v> </v>
      </c>
      <c r="J533" s="26" t="str">
        <f>IF(OR(E533="",E533="!!!",F533="NEW"),"",COUNTBLANK(OFFSET(A$1,,,SUMPRODUCT(MAX(ROW(E$2:E533)*(E533=E$2:E533)))))-COUNTBLANK(OFFSET(A$1,,,SUMPRODUCT(MAX(ROW(E$1:E532)*(E2=E$1:E532))))))</f>
        <v> </v>
      </c>
      <c r="K533" s="26" t="str">
        <f>IF(OR(E533="",E533="!!!",F533="NEW"),"",INDEX(J$1:J532,SUMPRODUCT(MAX(ROW(E$1:E532)*(E533=E$1:E532)))))</f>
        <v> </v>
      </c>
      <c r="L533" s="27"/>
    </row>
    <row r="534" spans="1:12">
      <c r="A534" s="20" t="s">
        <v>97</v>
      </c>
      <c r="E534" s="22">
        <f>IF(D534="?OLD","!!!","")</f>
        <v/>
      </c>
      <c r="F534" s="23" t="str">
        <f>IF(OR(E534="",E534="!!!"),"",IF(NOT(ISNA(VLOOKUP(E534,E$1:E533,1,FALSE()))),"OLD",IF(AND(E534&lt;&gt;"",E534&lt;&gt;"!!!"),"NEW","")))</f>
        <v> </v>
      </c>
      <c r="G534" s="24" t="str">
        <f>IF(OR(E534="",E534="!!!"),"",IF(OR(J534=0,AND(J534=1,K534=1),AND(J534=1,I534="SBJ"),AND(J534=1,I534=0)),"?IN_FOCUS",IF(J534&lt;=2,"?ACTIVATED",IF(J534&lt;&gt;"","?FAMILIAR",IF(F534="NEW",IF(ISNA(VLOOKUP(E534,#REF!,1,FALSE())),"?TYPE_IDENTIFIABLE","?REFERENTIAL"),"_")))))</f>
        <v> </v>
      </c>
      <c r="H534" s="25" t="str">
        <f>IF(J534&lt;&gt;1,"",IF(I534="SBJ","CB","?"))</f>
        <v> </v>
      </c>
      <c r="I534" s="26" t="str">
        <f>IF(OR(E534="",E534="!!!",F534="NEW"),"",INDEX(B533:B$2,-1+SUMPRODUCT(MAX(ROW(E533:E$2)*(E534=E533:E$2)))))</f>
        <v> </v>
      </c>
      <c r="J534" s="26" t="str">
        <f>IF(OR(E534="",E534="!!!",F534="NEW"),"",COUNTBLANK(OFFSET(A$1,,,SUMPRODUCT(MAX(ROW(E$2:E534)*(E534=E$2:E534)))))-COUNTBLANK(OFFSET(A$1,,,SUMPRODUCT(MAX(ROW(E$1:E533)*(E2=E$1:E533))))))</f>
        <v> </v>
      </c>
      <c r="K534" s="26" t="str">
        <f>IF(OR(E534="",E534="!!!",F534="NEW"),"",INDEX(J$1:J533,SUMPRODUCT(MAX(ROW(E$1:E533)*(E534=E$1:E533)))))</f>
        <v> </v>
      </c>
      <c r="L534" s="27"/>
    </row>
    <row r="535" spans="1:12">
      <c r="A535" s="20" t="s">
        <v>389</v>
      </c>
      <c r="B535" s="21" t="s">
        <v>120</v>
      </c>
      <c r="C535" s="21" t="s">
        <v>92</v>
      </c>
      <c r="E535" s="22">
        <f>IF(D535="?OLD","!!!","")</f>
        <v/>
      </c>
      <c r="F535" s="23" t="str">
        <f>IF(OR(E535="",E535="!!!"),"",IF(NOT(ISNA(VLOOKUP(E535,E$1:E534,1,FALSE()))),"OLD",IF(AND(E535&lt;&gt;"",E535&lt;&gt;"!!!"),"NEW","")))</f>
        <v> </v>
      </c>
      <c r="G535" s="24" t="str">
        <f>IF(OR(E535="",E535="!!!"),"",IF(OR(J535=0,AND(J535=1,K535=1),AND(J535=1,I535="SBJ"),AND(J535=1,I535=0)),"?IN_FOCUS",IF(J535&lt;=2,"?ACTIVATED",IF(J535&lt;&gt;"","?FAMILIAR",IF(F535="NEW",IF(ISNA(VLOOKUP(E535,#REF!,1,FALSE())),"?TYPE_IDENTIFIABLE","?REFERENTIAL"),"_")))))</f>
        <v> </v>
      </c>
      <c r="H535" s="25" t="str">
        <f>IF(J535&lt;&gt;1,"",IF(I535="SBJ","CB","?"))</f>
        <v> </v>
      </c>
      <c r="I535" s="26" t="str">
        <f>IF(OR(E535="",E535="!!!",F535="NEW"),"",INDEX(B534:B$2,-1+SUMPRODUCT(MAX(ROW(E534:E$2)*(E535=E534:E$2)))))</f>
        <v> </v>
      </c>
      <c r="J535" s="26" t="str">
        <f>IF(OR(E535="",E535="!!!",F535="NEW"),"",COUNTBLANK(OFFSET(A$1,,,SUMPRODUCT(MAX(ROW(E$2:E535)*(E535=E$2:E535)))))-COUNTBLANK(OFFSET(A$1,,,SUMPRODUCT(MAX(ROW(E$1:E534)*(E2=E$1:E534))))))</f>
        <v> </v>
      </c>
      <c r="K535" s="26" t="str">
        <f>IF(OR(E535="",E535="!!!",F535="NEW"),"",INDEX(J$1:J534,SUMPRODUCT(MAX(ROW(E$1:E534)*(E535=E$1:E534)))))</f>
        <v> </v>
      </c>
      <c r="L535" s="27"/>
    </row>
    <row r="536" spans="1:12">
      <c r="A536" s="20" t="s">
        <v>169</v>
      </c>
      <c r="E536" s="22">
        <f>IF(D536="?OLD","!!!","")</f>
        <v/>
      </c>
      <c r="F536" s="23" t="str">
        <f>IF(OR(E536="",E536="!!!"),"",IF(NOT(ISNA(VLOOKUP(E536,E$1:E535,1,FALSE()))),"OLD",IF(AND(E536&lt;&gt;"",E536&lt;&gt;"!!!"),"NEW","")))</f>
        <v> </v>
      </c>
      <c r="G536" s="24" t="str">
        <f>IF(OR(E536="",E536="!!!"),"",IF(OR(J536=0,AND(J536=1,K536=1),AND(J536=1,I536="SBJ"),AND(J536=1,I536=0)),"?IN_FOCUS",IF(J536&lt;=2,"?ACTIVATED",IF(J536&lt;&gt;"","?FAMILIAR",IF(F536="NEW",IF(ISNA(VLOOKUP(E536,#REF!,1,FALSE())),"?TYPE_IDENTIFIABLE","?REFERENTIAL"),"_")))))</f>
        <v> </v>
      </c>
      <c r="H536" s="25" t="str">
        <f>IF(J536&lt;&gt;1,"",IF(I536="SBJ","CB","?"))</f>
        <v> </v>
      </c>
      <c r="I536" s="26" t="str">
        <f>IF(OR(E536="",E536="!!!",F536="NEW"),"",INDEX(B535:B$2,-1+SUMPRODUCT(MAX(ROW(E535:E$2)*(E536=E535:E$2)))))</f>
        <v> </v>
      </c>
      <c r="J536" s="26" t="str">
        <f>IF(OR(E536="",E536="!!!",F536="NEW"),"",COUNTBLANK(OFFSET(A$1,,,SUMPRODUCT(MAX(ROW(E$2:E536)*(E536=E$2:E536)))))-COUNTBLANK(OFFSET(A$1,,,SUMPRODUCT(MAX(ROW(E$1:E535)*(E2=E$1:E535))))))</f>
        <v> </v>
      </c>
      <c r="K536" s="26" t="str">
        <f>IF(OR(E536="",E536="!!!",F536="NEW"),"",INDEX(J$1:J535,SUMPRODUCT(MAX(ROW(E$1:E535)*(E536=E$1:E535)))))</f>
        <v> </v>
      </c>
      <c r="L536" s="27"/>
    </row>
    <row r="537" spans="1:12">
      <c r="A537" s="20" t="s">
        <v>273</v>
      </c>
      <c r="E537" s="22">
        <f>IF(D537="?OLD","!!!","")</f>
        <v/>
      </c>
      <c r="F537" s="23" t="str">
        <f>IF(OR(E537="",E537="!!!"),"",IF(NOT(ISNA(VLOOKUP(E537,E$1:E536,1,FALSE()))),"OLD",IF(AND(E537&lt;&gt;"",E537&lt;&gt;"!!!"),"NEW","")))</f>
        <v> </v>
      </c>
      <c r="G537" s="24" t="str">
        <f>IF(OR(E537="",E537="!!!"),"",IF(OR(J537=0,AND(J537=1,K537=1),AND(J537=1,I537="SBJ"),AND(J537=1,I537=0)),"?IN_FOCUS",IF(J537&lt;=2,"?ACTIVATED",IF(J537&lt;&gt;"","?FAMILIAR",IF(F537="NEW",IF(ISNA(VLOOKUP(E537,#REF!,1,FALSE())),"?TYPE_IDENTIFIABLE","?REFERENTIAL"),"_")))))</f>
        <v> </v>
      </c>
      <c r="H537" s="25" t="str">
        <f>IF(J537&lt;&gt;1,"",IF(I537="SBJ","CB","?"))</f>
        <v> </v>
      </c>
      <c r="I537" s="26" t="str">
        <f>IF(OR(E537="",E537="!!!",F537="NEW"),"",INDEX(B536:B$2,-1+SUMPRODUCT(MAX(ROW(E536:E$2)*(E537=E536:E$2)))))</f>
        <v> </v>
      </c>
      <c r="J537" s="26" t="str">
        <f>IF(OR(E537="",E537="!!!",F537="NEW"),"",COUNTBLANK(OFFSET(A$1,,,SUMPRODUCT(MAX(ROW(E$2:E537)*(E537=E$2:E537)))))-COUNTBLANK(OFFSET(A$1,,,SUMPRODUCT(MAX(ROW(E$1:E536)*(E2=E$1:E536))))))</f>
        <v> </v>
      </c>
      <c r="K537" s="26" t="str">
        <f>IF(OR(E537="",E537="!!!",F537="NEW"),"",INDEX(J$1:J536,SUMPRODUCT(MAX(ROW(E$1:E536)*(E537=E$1:E536)))))</f>
        <v> </v>
      </c>
      <c r="L537" s="27"/>
    </row>
    <row r="538" spans="1:12">
      <c r="A538" s="20" t="s">
        <v>390</v>
      </c>
      <c r="E538" s="22">
        <f>IF(D538="?OLD","!!!","")</f>
        <v/>
      </c>
      <c r="F538" s="23" t="str">
        <f>IF(OR(E538="",E538="!!!"),"",IF(NOT(ISNA(VLOOKUP(E538,E$1:E537,1,FALSE()))),"OLD",IF(AND(E538&lt;&gt;"",E538&lt;&gt;"!!!"),"NEW","")))</f>
        <v> </v>
      </c>
      <c r="G538" s="24" t="str">
        <f>IF(OR(E538="",E538="!!!"),"",IF(OR(J538=0,AND(J538=1,K538=1),AND(J538=1,I538="SBJ"),AND(J538=1,I538=0)),"?IN_FOCUS",IF(J538&lt;=2,"?ACTIVATED",IF(J538&lt;&gt;"","?FAMILIAR",IF(F538="NEW",IF(ISNA(VLOOKUP(E538,#REF!,1,FALSE())),"?TYPE_IDENTIFIABLE","?REFERENTIAL"),"_")))))</f>
        <v> </v>
      </c>
      <c r="H538" s="25" t="str">
        <f>IF(J538&lt;&gt;1,"",IF(I538="SBJ","CB","?"))</f>
        <v> </v>
      </c>
      <c r="I538" s="26" t="str">
        <f>IF(OR(E538="",E538="!!!",F538="NEW"),"",INDEX(B537:B$2,-1+SUMPRODUCT(MAX(ROW(E537:E$2)*(E538=E537:E$2)))))</f>
        <v> </v>
      </c>
      <c r="J538" s="26" t="str">
        <f>IF(OR(E538="",E538="!!!",F538="NEW"),"",COUNTBLANK(OFFSET(A$1,,,SUMPRODUCT(MAX(ROW(E$2:E538)*(E538=E$2:E538)))))-COUNTBLANK(OFFSET(A$1,,,SUMPRODUCT(MAX(ROW(E$1:E537)*(E2=E$1:E537))))))</f>
        <v> </v>
      </c>
      <c r="K538" s="26" t="str">
        <f>IF(OR(E538="",E538="!!!",F538="NEW"),"",INDEX(J$1:J537,SUMPRODUCT(MAX(ROW(E$1:E537)*(E538=E$1:E537)))))</f>
        <v> </v>
      </c>
      <c r="L538" s="27"/>
    </row>
    <row r="539" spans="1:12">
      <c r="A539" s="20" t="s">
        <v>391</v>
      </c>
      <c r="B539" s="21" t="s">
        <v>120</v>
      </c>
      <c r="C539" s="21" t="s">
        <v>112</v>
      </c>
      <c r="D539" s="21" t="s">
        <v>102</v>
      </c>
      <c r="E539" s="22">
        <f>IF(D539="?OLD","!!!","")</f>
        <v/>
      </c>
      <c r="F539" s="23" t="str">
        <f>IF(OR(E539="",E539="!!!"),"",IF(NOT(ISNA(VLOOKUP(E539,E$1:E538,1,FALSE()))),"OLD",IF(AND(E539&lt;&gt;"",E539&lt;&gt;"!!!"),"NEW","")))</f>
        <v> </v>
      </c>
      <c r="G539" s="24" t="str">
        <f>IF(OR(E539="",E539="!!!"),"",IF(OR(J539=0,AND(J539=1,K539=1),AND(J539=1,I539="SBJ"),AND(J539=1,I539=0)),"?IN_FOCUS",IF(J539&lt;=2,"?ACTIVATED",IF(J539&lt;&gt;"","?FAMILIAR",IF(F539="NEW",IF(ISNA(VLOOKUP(E539,#REF!,1,FALSE())),"?TYPE_IDENTIFIABLE","?REFERENTIAL"),"_")))))</f>
        <v> </v>
      </c>
      <c r="H539" s="25" t="str">
        <f>IF(J539&lt;&gt;1,"",IF(I539="SBJ","CB","?"))</f>
        <v> </v>
      </c>
      <c r="I539" s="26" t="str">
        <f>IF(OR(E539="",E539="!!!",F539="NEW"),"",INDEX(B538:B$2,-1+SUMPRODUCT(MAX(ROW(E538:E$2)*(E539=E538:E$2)))))</f>
        <v> </v>
      </c>
      <c r="J539" s="26" t="str">
        <f>IF(OR(E539="",E539="!!!",F539="NEW"),"",COUNTBLANK(OFFSET(A$1,,,SUMPRODUCT(MAX(ROW(E$2:E539)*(E539=E$2:E539)))))-COUNTBLANK(OFFSET(A$1,,,SUMPRODUCT(MAX(ROW(E$1:E538)*(E2=E$1:E538))))))</f>
        <v> </v>
      </c>
      <c r="K539" s="26" t="str">
        <f>IF(OR(E539="",E539="!!!",F539="NEW"),"",INDEX(J$1:J538,SUMPRODUCT(MAX(ROW(E$1:E538)*(E539=E$1:E538)))))</f>
        <v> </v>
      </c>
      <c r="L539" s="27"/>
    </row>
    <row r="540" spans="1:12">
      <c r="A540" s="20" t="s">
        <v>175</v>
      </c>
      <c r="E540" s="22">
        <f>IF(D540="?OLD","!!!","")</f>
        <v/>
      </c>
      <c r="F540" s="23" t="str">
        <f>IF(OR(E540="",E540="!!!"),"",IF(NOT(ISNA(VLOOKUP(E540,E$1:E539,1,FALSE()))),"OLD",IF(AND(E540&lt;&gt;"",E540&lt;&gt;"!!!"),"NEW","")))</f>
        <v> </v>
      </c>
      <c r="G540" s="24" t="str">
        <f>IF(OR(E540="",E540="!!!"),"",IF(OR(J540=0,AND(J540=1,K540=1),AND(J540=1,I540="SBJ"),AND(J540=1,I540=0)),"?IN_FOCUS",IF(J540&lt;=2,"?ACTIVATED",IF(J540&lt;&gt;"","?FAMILIAR",IF(F540="NEW",IF(ISNA(VLOOKUP(E540,#REF!,1,FALSE())),"?TYPE_IDENTIFIABLE","?REFERENTIAL"),"_")))))</f>
        <v> </v>
      </c>
      <c r="H540" s="25" t="str">
        <f>IF(J540&lt;&gt;1,"",IF(I540="SBJ","CB","?"))</f>
        <v> </v>
      </c>
      <c r="I540" s="26" t="str">
        <f>IF(OR(E540="",E540="!!!",F540="NEW"),"",INDEX(B539:B$2,-1+SUMPRODUCT(MAX(ROW(E539:E$2)*(E540=E539:E$2)))))</f>
        <v> </v>
      </c>
      <c r="J540" s="26" t="str">
        <f>IF(OR(E540="",E540="!!!",F540="NEW"),"",COUNTBLANK(OFFSET(A$1,,,SUMPRODUCT(MAX(ROW(E$2:E540)*(E540=E$2:E540)))))-COUNTBLANK(OFFSET(A$1,,,SUMPRODUCT(MAX(ROW(E$1:E539)*(E2=E$1:E539))))))</f>
        <v> </v>
      </c>
      <c r="K540" s="26" t="str">
        <f>IF(OR(E540="",E540="!!!",F540="NEW"),"",INDEX(J$1:J539,SUMPRODUCT(MAX(ROW(E$1:E539)*(E540=E$1:E539)))))</f>
        <v> </v>
      </c>
      <c r="L540" s="27"/>
    </row>
    <row r="541" spans="1:12">
      <c r="A541" s="20" t="s">
        <v>132</v>
      </c>
      <c r="E541" s="22">
        <f>IF(D541="?OLD","!!!","")</f>
        <v/>
      </c>
      <c r="F541" s="23" t="str">
        <f>IF(OR(E541="",E541="!!!"),"",IF(NOT(ISNA(VLOOKUP(E541,E$1:E540,1,FALSE()))),"OLD",IF(AND(E541&lt;&gt;"",E541&lt;&gt;"!!!"),"NEW","")))</f>
        <v> </v>
      </c>
      <c r="G541" s="24" t="str">
        <f>IF(OR(E541="",E541="!!!"),"",IF(OR(J541=0,AND(J541=1,K541=1),AND(J541=1,I541="SBJ"),AND(J541=1,I541=0)),"?IN_FOCUS",IF(J541&lt;=2,"?ACTIVATED",IF(J541&lt;&gt;"","?FAMILIAR",IF(F541="NEW",IF(ISNA(VLOOKUP(E541,#REF!,1,FALSE())),"?TYPE_IDENTIFIABLE","?REFERENTIAL"),"_")))))</f>
        <v> </v>
      </c>
      <c r="H541" s="25" t="str">
        <f>IF(J541&lt;&gt;1,"",IF(I541="SBJ","CB","?"))</f>
        <v> </v>
      </c>
      <c r="I541" s="26" t="str">
        <f>IF(OR(E541="",E541="!!!",F541="NEW"),"",INDEX(B540:B$2,-1+SUMPRODUCT(MAX(ROW(E540:E$2)*(E541=E540:E$2)))))</f>
        <v> </v>
      </c>
      <c r="J541" s="26" t="str">
        <f>IF(OR(E541="",E541="!!!",F541="NEW"),"",COUNTBLANK(OFFSET(A$1,,,SUMPRODUCT(MAX(ROW(E$2:E541)*(E541=E$2:E541)))))-COUNTBLANK(OFFSET(A$1,,,SUMPRODUCT(MAX(ROW(E$1:E540)*(E2=E$1:E540))))))</f>
        <v> </v>
      </c>
      <c r="K541" s="26" t="str">
        <f>IF(OR(E541="",E541="!!!",F541="NEW"),"",INDEX(J$1:J540,SUMPRODUCT(MAX(ROW(E$1:E540)*(E541=E$1:E540)))))</f>
        <v> </v>
      </c>
      <c r="L541" s="27"/>
    </row>
    <row r="542" spans="1:12">
      <c r="A542" s="20" t="s">
        <v>392</v>
      </c>
      <c r="E542" s="22">
        <f>IF(D542="?OLD","!!!","")</f>
        <v/>
      </c>
      <c r="F542" s="23" t="str">
        <f>IF(OR(E542="",E542="!!!"),"",IF(NOT(ISNA(VLOOKUP(E542,E$1:E541,1,FALSE()))),"OLD",IF(AND(E542&lt;&gt;"",E542&lt;&gt;"!!!"),"NEW","")))</f>
        <v> </v>
      </c>
      <c r="G542" s="24" t="str">
        <f>IF(OR(E542="",E542="!!!"),"",IF(OR(J542=0,AND(J542=1,K542=1),AND(J542=1,I542="SBJ"),AND(J542=1,I542=0)),"?IN_FOCUS",IF(J542&lt;=2,"?ACTIVATED",IF(J542&lt;&gt;"","?FAMILIAR",IF(F542="NEW",IF(ISNA(VLOOKUP(E542,#REF!,1,FALSE())),"?TYPE_IDENTIFIABLE","?REFERENTIAL"),"_")))))</f>
        <v> </v>
      </c>
      <c r="H542" s="25" t="str">
        <f>IF(J542&lt;&gt;1,"",IF(I542="SBJ","CB","?"))</f>
        <v> </v>
      </c>
      <c r="I542" s="26" t="str">
        <f>IF(OR(E542="",E542="!!!",F542="NEW"),"",INDEX(B541:B$2,-1+SUMPRODUCT(MAX(ROW(E541:E$2)*(E542=E541:E$2)))))</f>
        <v> </v>
      </c>
      <c r="J542" s="26" t="str">
        <f>IF(OR(E542="",E542="!!!",F542="NEW"),"",COUNTBLANK(OFFSET(A$1,,,SUMPRODUCT(MAX(ROW(E$2:E542)*(E542=E$2:E542)))))-COUNTBLANK(OFFSET(A$1,,,SUMPRODUCT(MAX(ROW(E$1:E541)*(E2=E$1:E541))))))</f>
        <v> </v>
      </c>
      <c r="K542" s="26" t="str">
        <f>IF(OR(E542="",E542="!!!",F542="NEW"),"",INDEX(J$1:J541,SUMPRODUCT(MAX(ROW(E$1:E541)*(E542=E$1:E541)))))</f>
        <v> </v>
      </c>
      <c r="L542" s="27"/>
    </row>
    <row r="543" spans="1:12">
      <c r="A543" s="20" t="s">
        <v>16</v>
      </c>
      <c r="E543" s="22">
        <f>IF(D543="?OLD","!!!","")</f>
        <v/>
      </c>
      <c r="F543" s="23" t="str">
        <f>IF(OR(E543="",E543="!!!"),"",IF(NOT(ISNA(VLOOKUP(E543,E$1:E542,1,FALSE()))),"OLD",IF(AND(E543&lt;&gt;"",E543&lt;&gt;"!!!"),"NEW","")))</f>
        <v> </v>
      </c>
      <c r="G543" s="24" t="str">
        <f>IF(OR(E543="",E543="!!!"),"",IF(OR(J543=0,AND(J543=1,K543=1),AND(J543=1,I543="SBJ"),AND(J543=1,I543=0)),"?IN_FOCUS",IF(J543&lt;=2,"?ACTIVATED",IF(J543&lt;&gt;"","?FAMILIAR",IF(F543="NEW",IF(ISNA(VLOOKUP(E543,#REF!,1,FALSE())),"?TYPE_IDENTIFIABLE","?REFERENTIAL"),"_")))))</f>
        <v> </v>
      </c>
      <c r="H543" s="25" t="str">
        <f>IF(J543&lt;&gt;1,"",IF(I543="SBJ","CB","?"))</f>
        <v> </v>
      </c>
      <c r="I543" s="26" t="str">
        <f>IF(OR(E543="",E543="!!!",F543="NEW"),"",INDEX(B542:B$2,-1+SUMPRODUCT(MAX(ROW(E542:E$2)*(E543=E542:E$2)))))</f>
        <v> </v>
      </c>
      <c r="J543" s="26" t="str">
        <f>IF(OR(E543="",E543="!!!",F543="NEW"),"",COUNTBLANK(OFFSET(A$1,,,SUMPRODUCT(MAX(ROW(E$2:E543)*(E543=E$2:E543)))))-COUNTBLANK(OFFSET(A$1,,,SUMPRODUCT(MAX(ROW(E$1:E542)*(E2=E$1:E542))))))</f>
        <v> </v>
      </c>
      <c r="K543" s="26" t="str">
        <f>IF(OR(E543="",E543="!!!",F543="NEW"),"",INDEX(J$1:J542,SUMPRODUCT(MAX(ROW(E$1:E542)*(E543=E$1:E542)))))</f>
        <v> </v>
      </c>
      <c r="L543" s="27"/>
    </row>
    <row r="544" spans="1:12">
      <c r="A544" s="20" t="s">
        <v>393</v>
      </c>
      <c r="E544" s="22">
        <f>IF(D544="?OLD","!!!","")</f>
        <v/>
      </c>
      <c r="F544" s="23" t="str">
        <f>IF(OR(E544="",E544="!!!"),"",IF(NOT(ISNA(VLOOKUP(E544,E$1:E543,1,FALSE()))),"OLD",IF(AND(E544&lt;&gt;"",E544&lt;&gt;"!!!"),"NEW","")))</f>
        <v> </v>
      </c>
      <c r="G544" s="24" t="str">
        <f>IF(OR(E544="",E544="!!!"),"",IF(OR(J544=0,AND(J544=1,K544=1),AND(J544=1,I544="SBJ"),AND(J544=1,I544=0)),"?IN_FOCUS",IF(J544&lt;=2,"?ACTIVATED",IF(J544&lt;&gt;"","?FAMILIAR",IF(F544="NEW",IF(ISNA(VLOOKUP(E544,#REF!,1,FALSE())),"?TYPE_IDENTIFIABLE","?REFERENTIAL"),"_")))))</f>
        <v> </v>
      </c>
      <c r="H544" s="25" t="str">
        <f>IF(J544&lt;&gt;1,"",IF(I544="SBJ","CB","?"))</f>
        <v> </v>
      </c>
      <c r="I544" s="26" t="str">
        <f>IF(OR(E544="",E544="!!!",F544="NEW"),"",INDEX(B543:B$2,-1+SUMPRODUCT(MAX(ROW(E543:E$2)*(E544=E543:E$2)))))</f>
        <v> </v>
      </c>
      <c r="J544" s="26" t="str">
        <f>IF(OR(E544="",E544="!!!",F544="NEW"),"",COUNTBLANK(OFFSET(A$1,,,SUMPRODUCT(MAX(ROW(E$2:E544)*(E544=E$2:E544)))))-COUNTBLANK(OFFSET(A$1,,,SUMPRODUCT(MAX(ROW(E$1:E543)*(E2=E$1:E543))))))</f>
        <v> </v>
      </c>
      <c r="K544" s="26" t="str">
        <f>IF(OR(E544="",E544="!!!",F544="NEW"),"",INDEX(J$1:J543,SUMPRODUCT(MAX(ROW(E$1:E543)*(E544=E$1:E543)))))</f>
        <v> </v>
      </c>
      <c r="L544" s="27"/>
    </row>
    <row r="545" spans="1:12">
      <c r="A545" s="20" t="s">
        <v>394</v>
      </c>
      <c r="B545" s="21" t="s">
        <v>123</v>
      </c>
      <c r="C545" s="21" t="s">
        <v>112</v>
      </c>
      <c r="D545" s="21" t="s">
        <v>102</v>
      </c>
      <c r="E545" s="22">
        <f>IF(D545="?OLD","!!!","")</f>
        <v/>
      </c>
      <c r="F545" s="23" t="str">
        <f>IF(OR(E545="",E545="!!!"),"",IF(NOT(ISNA(VLOOKUP(E545,E$1:E544,1,FALSE()))),"OLD",IF(AND(E545&lt;&gt;"",E545&lt;&gt;"!!!"),"NEW","")))</f>
        <v> </v>
      </c>
      <c r="G545" s="24" t="str">
        <f>IF(OR(E545="",E545="!!!"),"",IF(OR(J545=0,AND(J545=1,K545=1),AND(J545=1,I545="SBJ"),AND(J545=1,I545=0)),"?IN_FOCUS",IF(J545&lt;=2,"?ACTIVATED",IF(J545&lt;&gt;"","?FAMILIAR",IF(F545="NEW",IF(ISNA(VLOOKUP(E545,#REF!,1,FALSE())),"?TYPE_IDENTIFIABLE","?REFERENTIAL"),"_")))))</f>
        <v> </v>
      </c>
      <c r="H545" s="25" t="str">
        <f>IF(J545&lt;&gt;1,"",IF(I545="SBJ","CB","?"))</f>
        <v> </v>
      </c>
      <c r="I545" s="26" t="str">
        <f>IF(OR(E545="",E545="!!!",F545="NEW"),"",INDEX(B544:B$2,-1+SUMPRODUCT(MAX(ROW(E544:E$2)*(E545=E544:E$2)))))</f>
        <v> </v>
      </c>
      <c r="J545" s="26" t="str">
        <f>IF(OR(E545="",E545="!!!",F545="NEW"),"",COUNTBLANK(OFFSET(A$1,,,SUMPRODUCT(MAX(ROW(E$2:E545)*(E545=E$2:E545)))))-COUNTBLANK(OFFSET(A$1,,,SUMPRODUCT(MAX(ROW(E$1:E544)*(E2=E$1:E544))))))</f>
        <v> </v>
      </c>
      <c r="K545" s="26" t="str">
        <f>IF(OR(E545="",E545="!!!",F545="NEW"),"",INDEX(J$1:J544,SUMPRODUCT(MAX(ROW(E$1:E544)*(E545=E$1:E544)))))</f>
        <v> </v>
      </c>
      <c r="L545" s="27"/>
    </row>
    <row r="546" spans="1:12">
      <c r="A546" s="20" t="s">
        <v>395</v>
      </c>
      <c r="B546" s="21" t="s">
        <v>127</v>
      </c>
      <c r="C546" s="21" t="s">
        <v>396</v>
      </c>
      <c r="D546" s="21" t="s">
        <v>102</v>
      </c>
      <c r="E546" s="22">
        <f>IF(D546="?OLD","!!!","")</f>
        <v/>
      </c>
      <c r="F546" s="23" t="str">
        <f>IF(OR(E546="",E546="!!!"),"",IF(NOT(ISNA(VLOOKUP(E546,E$1:E545,1,FALSE()))),"OLD",IF(AND(E546&lt;&gt;"",E546&lt;&gt;"!!!"),"NEW","")))</f>
        <v> </v>
      </c>
      <c r="G546" s="24" t="str">
        <f>IF(OR(E546="",E546="!!!"),"",IF(OR(J546=0,AND(J546=1,K546=1),AND(J546=1,I546="SBJ"),AND(J546=1,I546=0)),"?IN_FOCUS",IF(J546&lt;=2,"?ACTIVATED",IF(J546&lt;&gt;"","?FAMILIAR",IF(F546="NEW",IF(ISNA(VLOOKUP(E546,#REF!,1,FALSE())),"?TYPE_IDENTIFIABLE","?REFERENTIAL"),"_")))))</f>
        <v> </v>
      </c>
      <c r="H546" s="25" t="str">
        <f>IF(J546&lt;&gt;1,"",IF(I546="SBJ","CB","?"))</f>
        <v> </v>
      </c>
      <c r="I546" s="26" t="str">
        <f>IF(OR(E546="",E546="!!!",F546="NEW"),"",INDEX(B545:B$2,-1+SUMPRODUCT(MAX(ROW(E545:E$2)*(E546=E545:E$2)))))</f>
        <v> </v>
      </c>
      <c r="J546" s="26" t="str">
        <f>IF(OR(E546="",E546="!!!",F546="NEW"),"",COUNTBLANK(OFFSET(A$1,,,SUMPRODUCT(MAX(ROW(E$2:E546)*(E546=E$2:E546)))))-COUNTBLANK(OFFSET(A$1,,,SUMPRODUCT(MAX(ROW(E$1:E545)*(E2=E$1:E545))))))</f>
        <v> </v>
      </c>
      <c r="K546" s="26" t="str">
        <f>IF(OR(E546="",E546="!!!",F546="NEW"),"",INDEX(J$1:J545,SUMPRODUCT(MAX(ROW(E$1:E545)*(E546=E$1:E545)))))</f>
        <v> </v>
      </c>
      <c r="L546" s="27"/>
    </row>
    <row r="547" spans="1:12">
      <c r="A547" s="20" t="s">
        <v>397</v>
      </c>
      <c r="E547" s="22">
        <f>IF(D547="?OLD","!!!","")</f>
        <v/>
      </c>
      <c r="F547" s="23" t="str">
        <f>IF(OR(E547="",E547="!!!"),"",IF(NOT(ISNA(VLOOKUP(E547,E$1:E546,1,FALSE()))),"OLD",IF(AND(E547&lt;&gt;"",E547&lt;&gt;"!!!"),"NEW","")))</f>
        <v> </v>
      </c>
      <c r="G547" s="24" t="str">
        <f>IF(OR(E547="",E547="!!!"),"",IF(OR(J547=0,AND(J547=1,K547=1),AND(J547=1,I547="SBJ"),AND(J547=1,I547=0)),"?IN_FOCUS",IF(J547&lt;=2,"?ACTIVATED",IF(J547&lt;&gt;"","?FAMILIAR",IF(F547="NEW",IF(ISNA(VLOOKUP(E547,#REF!,1,FALSE())),"?TYPE_IDENTIFIABLE","?REFERENTIAL"),"_")))))</f>
        <v> </v>
      </c>
      <c r="H547" s="25" t="str">
        <f>IF(J547&lt;&gt;1,"",IF(I547="SBJ","CB","?"))</f>
        <v> </v>
      </c>
      <c r="I547" s="26" t="str">
        <f>IF(OR(E547="",E547="!!!",F547="NEW"),"",INDEX(B546:B$2,-1+SUMPRODUCT(MAX(ROW(E546:E$2)*(E547=E546:E$2)))))</f>
        <v> </v>
      </c>
      <c r="J547" s="26" t="str">
        <f>IF(OR(E547="",E547="!!!",F547="NEW"),"",COUNTBLANK(OFFSET(A$1,,,SUMPRODUCT(MAX(ROW(E$2:E547)*(E547=E$2:E547)))))-COUNTBLANK(OFFSET(A$1,,,SUMPRODUCT(MAX(ROW(E$1:E546)*(E2=E$1:E546))))))</f>
        <v> </v>
      </c>
      <c r="K547" s="26" t="str">
        <f>IF(OR(E547="",E547="!!!",F547="NEW"),"",INDEX(J$1:J546,SUMPRODUCT(MAX(ROW(E$1:E546)*(E547=E$1:E546)))))</f>
        <v> </v>
      </c>
      <c r="L547" s="27"/>
    </row>
    <row r="548" spans="1:12">
      <c r="A548" s="20" t="s">
        <v>97</v>
      </c>
      <c r="E548" s="22">
        <f>IF(D548="?OLD","!!!","")</f>
        <v/>
      </c>
      <c r="F548" s="23" t="str">
        <f>IF(OR(E548="",E548="!!!"),"",IF(NOT(ISNA(VLOOKUP(E548,E$1:E547,1,FALSE()))),"OLD",IF(AND(E548&lt;&gt;"",E548&lt;&gt;"!!!"),"NEW","")))</f>
        <v> </v>
      </c>
      <c r="G548" s="24" t="str">
        <f>IF(OR(E548="",E548="!!!"),"",IF(OR(J548=0,AND(J548=1,K548=1),AND(J548=1,I548="SBJ"),AND(J548=1,I548=0)),"?IN_FOCUS",IF(J548&lt;=2,"?ACTIVATED",IF(J548&lt;&gt;"","?FAMILIAR",IF(F548="NEW",IF(ISNA(VLOOKUP(E548,#REF!,1,FALSE())),"?TYPE_IDENTIFIABLE","?REFERENTIAL"),"_")))))</f>
        <v> </v>
      </c>
      <c r="H548" s="25" t="str">
        <f>IF(J548&lt;&gt;1,"",IF(I548="SBJ","CB","?"))</f>
        <v> </v>
      </c>
      <c r="I548" s="26" t="str">
        <f>IF(OR(E548="",E548="!!!",F548="NEW"),"",INDEX(B547:B$2,-1+SUMPRODUCT(MAX(ROW(E547:E$2)*(E548=E547:E$2)))))</f>
        <v> </v>
      </c>
      <c r="J548" s="26" t="str">
        <f>IF(OR(E548="",E548="!!!",F548="NEW"),"",COUNTBLANK(OFFSET(A$1,,,SUMPRODUCT(MAX(ROW(E$2:E548)*(E548=E$2:E548)))))-COUNTBLANK(OFFSET(A$1,,,SUMPRODUCT(MAX(ROW(E$1:E547)*(E2=E$1:E547))))))</f>
        <v> </v>
      </c>
      <c r="K548" s="26" t="str">
        <f>IF(OR(E548="",E548="!!!",F548="NEW"),"",INDEX(J$1:J547,SUMPRODUCT(MAX(ROW(E$1:E547)*(E548=E$1:E547)))))</f>
        <v> </v>
      </c>
      <c r="L548" s="27"/>
    </row>
    <row r="549" spans="1:12">
      <c r="A549" s="20" t="s">
        <v>217</v>
      </c>
      <c r="E549" s="22">
        <f>IF(D549="?OLD","!!!","")</f>
        <v/>
      </c>
      <c r="F549" s="23" t="str">
        <f>IF(OR(E549="",E549="!!!"),"",IF(NOT(ISNA(VLOOKUP(E549,E$1:E548,1,FALSE()))),"OLD",IF(AND(E549&lt;&gt;"",E549&lt;&gt;"!!!"),"NEW","")))</f>
        <v> </v>
      </c>
      <c r="G549" s="24" t="str">
        <f>IF(OR(E549="",E549="!!!"),"",IF(OR(J549=0,AND(J549=1,K549=1),AND(J549=1,I549="SBJ"),AND(J549=1,I549=0)),"?IN_FOCUS",IF(J549&lt;=2,"?ACTIVATED",IF(J549&lt;&gt;"","?FAMILIAR",IF(F549="NEW",IF(ISNA(VLOOKUP(E549,#REF!,1,FALSE())),"?TYPE_IDENTIFIABLE","?REFERENTIAL"),"_")))))</f>
        <v> </v>
      </c>
      <c r="H549" s="25" t="str">
        <f>IF(J549&lt;&gt;1,"",IF(I549="SBJ","CB","?"))</f>
        <v> </v>
      </c>
      <c r="I549" s="26" t="str">
        <f>IF(OR(E549="",E549="!!!",F549="NEW"),"",INDEX(B548:B$2,-1+SUMPRODUCT(MAX(ROW(E548:E$2)*(E549=E548:E$2)))))</f>
        <v> </v>
      </c>
      <c r="J549" s="26" t="str">
        <f>IF(OR(E549="",E549="!!!",F549="NEW"),"",COUNTBLANK(OFFSET(A$1,,,SUMPRODUCT(MAX(ROW(E$2:E549)*(E549=E$2:E549)))))-COUNTBLANK(OFFSET(A$1,,,SUMPRODUCT(MAX(ROW(E$1:E548)*(E2=E$1:E548))))))</f>
        <v> </v>
      </c>
      <c r="K549" s="26" t="str">
        <f>IF(OR(E549="",E549="!!!",F549="NEW"),"",INDEX(J$1:J548,SUMPRODUCT(MAX(ROW(E$1:E548)*(E549=E$1:E548)))))</f>
        <v> </v>
      </c>
      <c r="L549" s="27"/>
    </row>
    <row r="550" spans="1:12">
      <c r="A550" s="20" t="s">
        <v>398</v>
      </c>
      <c r="E550" s="22">
        <f>IF(D550="?OLD","!!!","")</f>
        <v/>
      </c>
      <c r="F550" s="23" t="str">
        <f>IF(OR(E550="",E550="!!!"),"",IF(NOT(ISNA(VLOOKUP(E550,E$1:E549,1,FALSE()))),"OLD",IF(AND(E550&lt;&gt;"",E550&lt;&gt;"!!!"),"NEW","")))</f>
        <v> </v>
      </c>
      <c r="G550" s="24" t="str">
        <f>IF(OR(E550="",E550="!!!"),"",IF(OR(J550=0,AND(J550=1,K550=1),AND(J550=1,I550="SBJ"),AND(J550=1,I550=0)),"?IN_FOCUS",IF(J550&lt;=2,"?ACTIVATED",IF(J550&lt;&gt;"","?FAMILIAR",IF(F550="NEW",IF(ISNA(VLOOKUP(E550,#REF!,1,FALSE())),"?TYPE_IDENTIFIABLE","?REFERENTIAL"),"_")))))</f>
        <v> </v>
      </c>
      <c r="H550" s="25" t="str">
        <f>IF(J550&lt;&gt;1,"",IF(I550="SBJ","CB","?"))</f>
        <v> </v>
      </c>
      <c r="I550" s="26" t="str">
        <f>IF(OR(E550="",E550="!!!",F550="NEW"),"",INDEX(B549:B$2,-1+SUMPRODUCT(MAX(ROW(E549:E$2)*(E550=E549:E$2)))))</f>
        <v> </v>
      </c>
      <c r="J550" s="26" t="str">
        <f>IF(OR(E550="",E550="!!!",F550="NEW"),"",COUNTBLANK(OFFSET(A$1,,,SUMPRODUCT(MAX(ROW(E$2:E550)*(E550=E$2:E550)))))-COUNTBLANK(OFFSET(A$1,,,SUMPRODUCT(MAX(ROW(E$1:E549)*(E2=E$1:E549))))))</f>
        <v> </v>
      </c>
      <c r="K550" s="26" t="str">
        <f>IF(OR(E550="",E550="!!!",F550="NEW"),"",INDEX(J$1:J549,SUMPRODUCT(MAX(ROW(E$1:E549)*(E550=E$1:E549)))))</f>
        <v> </v>
      </c>
      <c r="L550" s="27"/>
    </row>
    <row r="551" spans="1:12">
      <c r="A551" s="20" t="s">
        <v>222</v>
      </c>
      <c r="B551" s="21" t="s">
        <v>100</v>
      </c>
      <c r="C551" s="21" t="s">
        <v>153</v>
      </c>
      <c r="D551" s="21" t="s">
        <v>102</v>
      </c>
      <c r="E551" s="22">
        <f>IF(D551="?OLD","!!!","")</f>
        <v/>
      </c>
      <c r="F551" s="23" t="str">
        <f>IF(OR(E551="",E551="!!!"),"",IF(NOT(ISNA(VLOOKUP(E551,E$1:E550,1,FALSE()))),"OLD",IF(AND(E551&lt;&gt;"",E551&lt;&gt;"!!!"),"NEW","")))</f>
        <v> </v>
      </c>
      <c r="G551" s="24" t="str">
        <f>IF(OR(E551="",E551="!!!"),"",IF(OR(J551=0,AND(J551=1,K551=1),AND(J551=1,I551="SBJ"),AND(J551=1,I551=0)),"?IN_FOCUS",IF(J551&lt;=2,"?ACTIVATED",IF(J551&lt;&gt;"","?FAMILIAR",IF(F551="NEW",IF(ISNA(VLOOKUP(E551,#REF!,1,FALSE())),"?TYPE_IDENTIFIABLE","?REFERENTIAL"),"_")))))</f>
        <v> </v>
      </c>
      <c r="H551" s="25" t="str">
        <f>IF(J551&lt;&gt;1,"",IF(I551="SBJ","CB","?"))</f>
        <v> </v>
      </c>
      <c r="I551" s="26" t="str">
        <f>IF(OR(E551="",E551="!!!",F551="NEW"),"",INDEX(B550:B$2,-1+SUMPRODUCT(MAX(ROW(E550:E$2)*(E551=E550:E$2)))))</f>
        <v> </v>
      </c>
      <c r="J551" s="26" t="str">
        <f>IF(OR(E551="",E551="!!!",F551="NEW"),"",COUNTBLANK(OFFSET(A$1,,,SUMPRODUCT(MAX(ROW(E$2:E551)*(E551=E$2:E551)))))-COUNTBLANK(OFFSET(A$1,,,SUMPRODUCT(MAX(ROW(E$1:E550)*(E2=E$1:E550))))))</f>
        <v> </v>
      </c>
      <c r="K551" s="26" t="str">
        <f>IF(OR(E551="",E551="!!!",F551="NEW"),"",INDEX(J$1:J550,SUMPRODUCT(MAX(ROW(E$1:E550)*(E551=E$1:E550)))))</f>
        <v> </v>
      </c>
      <c r="L551" s="27"/>
    </row>
    <row r="552" spans="1:12">
      <c r="A552" s="20" t="s">
        <v>118</v>
      </c>
      <c r="E552" s="22">
        <f>IF(D552="?OLD","!!!","")</f>
        <v/>
      </c>
      <c r="F552" s="23" t="str">
        <f>IF(OR(E552="",E552="!!!"),"",IF(NOT(ISNA(VLOOKUP(E552,E$1:E551,1,FALSE()))),"OLD",IF(AND(E552&lt;&gt;"",E552&lt;&gt;"!!!"),"NEW","")))</f>
        <v> </v>
      </c>
      <c r="G552" s="24" t="str">
        <f>IF(OR(E552="",E552="!!!"),"",IF(OR(J552=0,AND(J552=1,K552=1),AND(J552=1,I552="SBJ"),AND(J552=1,I552=0)),"?IN_FOCUS",IF(J552&lt;=2,"?ACTIVATED",IF(J552&lt;&gt;"","?FAMILIAR",IF(F552="NEW",IF(ISNA(VLOOKUP(E552,#REF!,1,FALSE())),"?TYPE_IDENTIFIABLE","?REFERENTIAL"),"_")))))</f>
        <v> </v>
      </c>
      <c r="H552" s="25" t="str">
        <f>IF(J552&lt;&gt;1,"",IF(I552="SBJ","CB","?"))</f>
        <v> </v>
      </c>
      <c r="I552" s="26" t="str">
        <f>IF(OR(E552="",E552="!!!",F552="NEW"),"",INDEX(B551:B$2,-1+SUMPRODUCT(MAX(ROW(E551:E$2)*(E552=E551:E$2)))))</f>
        <v> </v>
      </c>
      <c r="J552" s="26" t="str">
        <f>IF(OR(E552="",E552="!!!",F552="NEW"),"",COUNTBLANK(OFFSET(A$1,,,SUMPRODUCT(MAX(ROW(E$2:E552)*(E552=E$2:E552)))))-COUNTBLANK(OFFSET(A$1,,,SUMPRODUCT(MAX(ROW(E$1:E551)*(E2=E$1:E551))))))</f>
        <v> </v>
      </c>
      <c r="K552" s="26" t="str">
        <f>IF(OR(E552="",E552="!!!",F552="NEW"),"",INDEX(J$1:J551,SUMPRODUCT(MAX(ROW(E$1:E551)*(E552=E$1:E551)))))</f>
        <v> </v>
      </c>
      <c r="L552" s="27"/>
    </row>
    <row r="553" spans="1:12">
      <c r="A553" s="20" t="s">
        <v>369</v>
      </c>
      <c r="B553" s="21" t="s">
        <v>107</v>
      </c>
      <c r="C553" s="21" t="s">
        <v>112</v>
      </c>
      <c r="D553" s="21" t="s">
        <v>102</v>
      </c>
      <c r="E553" s="22">
        <f>IF(D553="?OLD","!!!","")</f>
        <v/>
      </c>
      <c r="F553" s="23" t="str">
        <f>IF(OR(E553="",E553="!!!"),"",IF(NOT(ISNA(VLOOKUP(E553,E$1:E552,1,FALSE()))),"OLD",IF(AND(E553&lt;&gt;"",E553&lt;&gt;"!!!"),"NEW","")))</f>
        <v> </v>
      </c>
      <c r="G553" s="24" t="str">
        <f>IF(OR(E553="",E553="!!!"),"",IF(OR(J553=0,AND(J553=1,K553=1),AND(J553=1,I553="SBJ"),AND(J553=1,I553=0)),"?IN_FOCUS",IF(J553&lt;=2,"?ACTIVATED",IF(J553&lt;&gt;"","?FAMILIAR",IF(F553="NEW",IF(ISNA(VLOOKUP(E553,#REF!,1,FALSE())),"?TYPE_IDENTIFIABLE","?REFERENTIAL"),"_")))))</f>
        <v> </v>
      </c>
      <c r="H553" s="25" t="str">
        <f>IF(J553&lt;&gt;1,"",IF(I553="SBJ","CB","?"))</f>
        <v> </v>
      </c>
      <c r="I553" s="26" t="str">
        <f>IF(OR(E553="",E553="!!!",F553="NEW"),"",INDEX(B552:B$2,-1+SUMPRODUCT(MAX(ROW(E552:E$2)*(E553=E552:E$2)))))</f>
        <v> </v>
      </c>
      <c r="J553" s="26" t="str">
        <f>IF(OR(E553="",E553="!!!",F553="NEW"),"",COUNTBLANK(OFFSET(A$1,,,SUMPRODUCT(MAX(ROW(E$2:E553)*(E553=E$2:E553)))))-COUNTBLANK(OFFSET(A$1,,,SUMPRODUCT(MAX(ROW(E$1:E552)*(E2=E$1:E552))))))</f>
        <v> </v>
      </c>
      <c r="K553" s="26" t="str">
        <f>IF(OR(E553="",E553="!!!",F553="NEW"),"",INDEX(J$1:J552,SUMPRODUCT(MAX(ROW(E$1:E552)*(E553=E$1:E552)))))</f>
        <v> </v>
      </c>
      <c r="L553" s="27"/>
    </row>
    <row r="554" spans="1:12">
      <c r="A554" s="20" t="s">
        <v>97</v>
      </c>
      <c r="E554" s="22">
        <f>IF(D554="?OLD","!!!","")</f>
        <v/>
      </c>
      <c r="F554" s="23" t="str">
        <f>IF(OR(E554="",E554="!!!"),"",IF(NOT(ISNA(VLOOKUP(E554,E$1:E553,1,FALSE()))),"OLD",IF(AND(E554&lt;&gt;"",E554&lt;&gt;"!!!"),"NEW","")))</f>
        <v> </v>
      </c>
      <c r="G554" s="24" t="str">
        <f>IF(OR(E554="",E554="!!!"),"",IF(OR(J554=0,AND(J554=1,K554=1),AND(J554=1,I554="SBJ"),AND(J554=1,I554=0)),"?IN_FOCUS",IF(J554&lt;=2,"?ACTIVATED",IF(J554&lt;&gt;"","?FAMILIAR",IF(F554="NEW",IF(ISNA(VLOOKUP(E554,#REF!,1,FALSE())),"?TYPE_IDENTIFIABLE","?REFERENTIAL"),"_")))))</f>
        <v> </v>
      </c>
      <c r="H554" s="25" t="str">
        <f>IF(J554&lt;&gt;1,"",IF(I554="SBJ","CB","?"))</f>
        <v> </v>
      </c>
      <c r="I554" s="26" t="str">
        <f>IF(OR(E554="",E554="!!!",F554="NEW"),"",INDEX(B553:B$2,-1+SUMPRODUCT(MAX(ROW(E553:E$2)*(E554=E553:E$2)))))</f>
        <v> </v>
      </c>
      <c r="J554" s="26" t="str">
        <f>IF(OR(E554="",E554="!!!",F554="NEW"),"",COUNTBLANK(OFFSET(A$1,,,SUMPRODUCT(MAX(ROW(E$2:E554)*(E554=E$2:E554)))))-COUNTBLANK(OFFSET(A$1,,,SUMPRODUCT(MAX(ROW(E$1:E553)*(E2=E$1:E553))))))</f>
        <v> </v>
      </c>
      <c r="K554" s="26" t="str">
        <f>IF(OR(E554="",E554="!!!",F554="NEW"),"",INDEX(J$1:J553,SUMPRODUCT(MAX(ROW(E$1:E553)*(E554=E$1:E553)))))</f>
        <v> </v>
      </c>
      <c r="L554" s="27"/>
    </row>
    <row r="555" spans="1:12">
      <c r="A555" s="20" t="s">
        <v>273</v>
      </c>
      <c r="E555" s="22">
        <f>IF(D555="?OLD","!!!","")</f>
        <v/>
      </c>
      <c r="F555" s="23" t="str">
        <f>IF(OR(E555="",E555="!!!"),"",IF(NOT(ISNA(VLOOKUP(E555,E$1:E554,1,FALSE()))),"OLD",IF(AND(E555&lt;&gt;"",E555&lt;&gt;"!!!"),"NEW","")))</f>
        <v> </v>
      </c>
      <c r="G555" s="24" t="str">
        <f>IF(OR(E555="",E555="!!!"),"",IF(OR(J555=0,AND(J555=1,K555=1),AND(J555=1,I555="SBJ"),AND(J555=1,I555=0)),"?IN_FOCUS",IF(J555&lt;=2,"?ACTIVATED",IF(J555&lt;&gt;"","?FAMILIAR",IF(F555="NEW",IF(ISNA(VLOOKUP(E555,#REF!,1,FALSE())),"?TYPE_IDENTIFIABLE","?REFERENTIAL"),"_")))))</f>
        <v> </v>
      </c>
      <c r="H555" s="25" t="str">
        <f>IF(J555&lt;&gt;1,"",IF(I555="SBJ","CB","?"))</f>
        <v> </v>
      </c>
      <c r="I555" s="26" t="str">
        <f>IF(OR(E555="",E555="!!!",F555="NEW"),"",INDEX(B554:B$2,-1+SUMPRODUCT(MAX(ROW(E554:E$2)*(E555=E554:E$2)))))</f>
        <v> </v>
      </c>
      <c r="J555" s="26" t="str">
        <f>IF(OR(E555="",E555="!!!",F555="NEW"),"",COUNTBLANK(OFFSET(A$1,,,SUMPRODUCT(MAX(ROW(E$2:E555)*(E555=E$2:E555)))))-COUNTBLANK(OFFSET(A$1,,,SUMPRODUCT(MAX(ROW(E$1:E554)*(E2=E$1:E554))))))</f>
        <v> </v>
      </c>
      <c r="K555" s="26" t="str">
        <f>IF(OR(E555="",E555="!!!",F555="NEW"),"",INDEX(J$1:J554,SUMPRODUCT(MAX(ROW(E$1:E554)*(E555=E$1:E554)))))</f>
        <v> </v>
      </c>
      <c r="L555" s="27"/>
    </row>
    <row r="556" spans="1:12">
      <c r="A556" s="20" t="s">
        <v>399</v>
      </c>
      <c r="B556" s="21" t="s">
        <v>195</v>
      </c>
      <c r="C556" s="21" t="s">
        <v>104</v>
      </c>
      <c r="D556" s="21" t="s">
        <v>102</v>
      </c>
      <c r="E556" s="22">
        <f>IF(D556="?OLD","!!!","")</f>
        <v/>
      </c>
      <c r="F556" s="23" t="str">
        <f>IF(OR(E556="",E556="!!!"),"",IF(NOT(ISNA(VLOOKUP(E556,E$1:E555,1,FALSE()))),"OLD",IF(AND(E556&lt;&gt;"",E556&lt;&gt;"!!!"),"NEW","")))</f>
        <v> </v>
      </c>
      <c r="G556" s="24" t="str">
        <f>IF(OR(E556="",E556="!!!"),"",IF(OR(J556=0,AND(J556=1,K556=1),AND(J556=1,I556="SBJ"),AND(J556=1,I556=0)),"?IN_FOCUS",IF(J556&lt;=2,"?ACTIVATED",IF(J556&lt;&gt;"","?FAMILIAR",IF(F556="NEW",IF(ISNA(VLOOKUP(E556,#REF!,1,FALSE())),"?TYPE_IDENTIFIABLE","?REFERENTIAL"),"_")))))</f>
        <v> </v>
      </c>
      <c r="H556" s="25" t="str">
        <f>IF(J556&lt;&gt;1,"",IF(I556="SBJ","CB","?"))</f>
        <v> </v>
      </c>
      <c r="I556" s="26" t="str">
        <f>IF(OR(E556="",E556="!!!",F556="NEW"),"",INDEX(B555:B$2,-1+SUMPRODUCT(MAX(ROW(E555:E$2)*(E556=E555:E$2)))))</f>
        <v> </v>
      </c>
      <c r="J556" s="26" t="str">
        <f>IF(OR(E556="",E556="!!!",F556="NEW"),"",COUNTBLANK(OFFSET(A$1,,,SUMPRODUCT(MAX(ROW(E$2:E556)*(E556=E$2:E556)))))-COUNTBLANK(OFFSET(A$1,,,SUMPRODUCT(MAX(ROW(E$1:E555)*(E2=E$1:E555))))))</f>
        <v> </v>
      </c>
      <c r="K556" s="26" t="str">
        <f>IF(OR(E556="",E556="!!!",F556="NEW"),"",INDEX(J$1:J555,SUMPRODUCT(MAX(ROW(E$1:E555)*(E556=E$1:E555)))))</f>
        <v> </v>
      </c>
      <c r="L556" s="27"/>
    </row>
    <row r="557" spans="1:12">
      <c r="A557" s="20" t="s">
        <v>400</v>
      </c>
      <c r="E557" s="22">
        <f>IF(D557="?OLD","!!!","")</f>
        <v/>
      </c>
      <c r="F557" s="23" t="str">
        <f>IF(OR(E557="",E557="!!!"),"",IF(NOT(ISNA(VLOOKUP(E557,E$1:E556,1,FALSE()))),"OLD",IF(AND(E557&lt;&gt;"",E557&lt;&gt;"!!!"),"NEW","")))</f>
        <v> </v>
      </c>
      <c r="G557" s="24" t="str">
        <f>IF(OR(E557="",E557="!!!"),"",IF(OR(J557=0,AND(J557=1,K557=1),AND(J557=1,I557="SBJ"),AND(J557=1,I557=0)),"?IN_FOCUS",IF(J557&lt;=2,"?ACTIVATED",IF(J557&lt;&gt;"","?FAMILIAR",IF(F557="NEW",IF(ISNA(VLOOKUP(E557,#REF!,1,FALSE())),"?TYPE_IDENTIFIABLE","?REFERENTIAL"),"_")))))</f>
        <v> </v>
      </c>
      <c r="H557" s="25" t="str">
        <f>IF(J557&lt;&gt;1,"",IF(I557="SBJ","CB","?"))</f>
        <v> </v>
      </c>
      <c r="I557" s="26" t="str">
        <f>IF(OR(E557="",E557="!!!",F557="NEW"),"",INDEX(B556:B$2,-1+SUMPRODUCT(MAX(ROW(E556:E$2)*(E557=E556:E$2)))))</f>
        <v> </v>
      </c>
      <c r="J557" s="26" t="str">
        <f>IF(OR(E557="",E557="!!!",F557="NEW"),"",COUNTBLANK(OFFSET(A$1,,,SUMPRODUCT(MAX(ROW(E$2:E557)*(E557=E$2:E557)))))-COUNTBLANK(OFFSET(A$1,,,SUMPRODUCT(MAX(ROW(E$1:E556)*(E2=E$1:E556))))))</f>
        <v> </v>
      </c>
      <c r="K557" s="26" t="str">
        <f>IF(OR(E557="",E557="!!!",F557="NEW"),"",INDEX(J$1:J556,SUMPRODUCT(MAX(ROW(E$1:E556)*(E557=E$1:E556)))))</f>
        <v> </v>
      </c>
      <c r="L557" s="27"/>
    </row>
    <row r="558" spans="1:12">
      <c r="A558" s="20" t="s">
        <v>401</v>
      </c>
      <c r="E558" s="22">
        <f>IF(D558="?OLD","!!!","")</f>
        <v/>
      </c>
      <c r="F558" s="23" t="str">
        <f>IF(OR(E558="",E558="!!!"),"",IF(NOT(ISNA(VLOOKUP(E558,E$1:E557,1,FALSE()))),"OLD",IF(AND(E558&lt;&gt;"",E558&lt;&gt;"!!!"),"NEW","")))</f>
        <v> </v>
      </c>
      <c r="G558" s="24" t="str">
        <f>IF(OR(E558="",E558="!!!"),"",IF(OR(J558=0,AND(J558=1,K558=1),AND(J558=1,I558="SBJ"),AND(J558=1,I558=0)),"?IN_FOCUS",IF(J558&lt;=2,"?ACTIVATED",IF(J558&lt;&gt;"","?FAMILIAR",IF(F558="NEW",IF(ISNA(VLOOKUP(E558,#REF!,1,FALSE())),"?TYPE_IDENTIFIABLE","?REFERENTIAL"),"_")))))</f>
        <v> </v>
      </c>
      <c r="H558" s="25" t="str">
        <f>IF(J558&lt;&gt;1,"",IF(I558="SBJ","CB","?"))</f>
        <v> </v>
      </c>
      <c r="I558" s="26" t="str">
        <f>IF(OR(E558="",E558="!!!",F558="NEW"),"",INDEX(B557:B$2,-1+SUMPRODUCT(MAX(ROW(E557:E$2)*(E558=E557:E$2)))))</f>
        <v> </v>
      </c>
      <c r="J558" s="26" t="str">
        <f>IF(OR(E558="",E558="!!!",F558="NEW"),"",COUNTBLANK(OFFSET(A$1,,,SUMPRODUCT(MAX(ROW(E$2:E558)*(E558=E$2:E558)))))-COUNTBLANK(OFFSET(A$1,,,SUMPRODUCT(MAX(ROW(E$1:E557)*(E2=E$1:E557))))))</f>
        <v> </v>
      </c>
      <c r="K558" s="26" t="str">
        <f>IF(OR(E558="",E558="!!!",F558="NEW"),"",INDEX(J$1:J557,SUMPRODUCT(MAX(ROW(E$1:E557)*(E558=E$1:E557)))))</f>
        <v> </v>
      </c>
      <c r="L558" s="27"/>
    </row>
    <row r="559" spans="1:12">
      <c r="A559" s="20" t="s">
        <v>169</v>
      </c>
      <c r="E559" s="22">
        <f>IF(D559="?OLD","!!!","")</f>
        <v/>
      </c>
      <c r="F559" s="23" t="str">
        <f>IF(OR(E559="",E559="!!!"),"",IF(NOT(ISNA(VLOOKUP(E559,E$1:E558,1,FALSE()))),"OLD",IF(AND(E559&lt;&gt;"",E559&lt;&gt;"!!!"),"NEW","")))</f>
        <v> </v>
      </c>
      <c r="G559" s="24" t="str">
        <f>IF(OR(E559="",E559="!!!"),"",IF(OR(J559=0,AND(J559=1,K559=1),AND(J559=1,I559="SBJ"),AND(J559=1,I559=0)),"?IN_FOCUS",IF(J559&lt;=2,"?ACTIVATED",IF(J559&lt;&gt;"","?FAMILIAR",IF(F559="NEW",IF(ISNA(VLOOKUP(E559,#REF!,1,FALSE())),"?TYPE_IDENTIFIABLE","?REFERENTIAL"),"_")))))</f>
        <v> </v>
      </c>
      <c r="H559" s="25" t="str">
        <f>IF(J559&lt;&gt;1,"",IF(I559="SBJ","CB","?"))</f>
        <v> </v>
      </c>
      <c r="I559" s="26" t="str">
        <f>IF(OR(E559="",E559="!!!",F559="NEW"),"",INDEX(B558:B$2,-1+SUMPRODUCT(MAX(ROW(E558:E$2)*(E559=E558:E$2)))))</f>
        <v> </v>
      </c>
      <c r="J559" s="26" t="str">
        <f>IF(OR(E559="",E559="!!!",F559="NEW"),"",COUNTBLANK(OFFSET(A$1,,,SUMPRODUCT(MAX(ROW(E$2:E559)*(E559=E$2:E559)))))-COUNTBLANK(OFFSET(A$1,,,SUMPRODUCT(MAX(ROW(E$1:E558)*(E2=E$1:E558))))))</f>
        <v> </v>
      </c>
      <c r="K559" s="26" t="str">
        <f>IF(OR(E559="",E559="!!!",F559="NEW"),"",INDEX(J$1:J558,SUMPRODUCT(MAX(ROW(E$1:E558)*(E559=E$1:E558)))))</f>
        <v> </v>
      </c>
      <c r="L559" s="27"/>
    </row>
    <row r="560" spans="1:12">
      <c r="A560" s="20" t="s">
        <v>273</v>
      </c>
      <c r="E560" s="22">
        <f>IF(D560="?OLD","!!!","")</f>
        <v/>
      </c>
      <c r="F560" s="23" t="str">
        <f>IF(OR(E560="",E560="!!!"),"",IF(NOT(ISNA(VLOOKUP(E560,E$1:E559,1,FALSE()))),"OLD",IF(AND(E560&lt;&gt;"",E560&lt;&gt;"!!!"),"NEW","")))</f>
        <v> </v>
      </c>
      <c r="G560" s="24" t="str">
        <f>IF(OR(E560="",E560="!!!"),"",IF(OR(J560=0,AND(J560=1,K560=1),AND(J560=1,I560="SBJ"),AND(J560=1,I560=0)),"?IN_FOCUS",IF(J560&lt;=2,"?ACTIVATED",IF(J560&lt;&gt;"","?FAMILIAR",IF(F560="NEW",IF(ISNA(VLOOKUP(E560,#REF!,1,FALSE())),"?TYPE_IDENTIFIABLE","?REFERENTIAL"),"_")))))</f>
        <v> </v>
      </c>
      <c r="H560" s="25" t="str">
        <f>IF(J560&lt;&gt;1,"",IF(I560="SBJ","CB","?"))</f>
        <v> </v>
      </c>
      <c r="I560" s="26" t="str">
        <f>IF(OR(E560="",E560="!!!",F560="NEW"),"",INDEX(B559:B$2,-1+SUMPRODUCT(MAX(ROW(E559:E$2)*(E560=E559:E$2)))))</f>
        <v> </v>
      </c>
      <c r="J560" s="26" t="str">
        <f>IF(OR(E560="",E560="!!!",F560="NEW"),"",COUNTBLANK(OFFSET(A$1,,,SUMPRODUCT(MAX(ROW(E$2:E560)*(E560=E$2:E560)))))-COUNTBLANK(OFFSET(A$1,,,SUMPRODUCT(MAX(ROW(E$1:E559)*(E2=E$1:E559))))))</f>
        <v> </v>
      </c>
      <c r="K560" s="26" t="str">
        <f>IF(OR(E560="",E560="!!!",F560="NEW"),"",INDEX(J$1:J559,SUMPRODUCT(MAX(ROW(E$1:E559)*(E560=E$1:E559)))))</f>
        <v> </v>
      </c>
      <c r="L560" s="27"/>
    </row>
    <row r="561" spans="1:12">
      <c r="A561" s="20" t="s">
        <v>359</v>
      </c>
      <c r="B561" s="21" t="s">
        <v>195</v>
      </c>
      <c r="C561" s="21" t="s">
        <v>112</v>
      </c>
      <c r="D561" s="21" t="s">
        <v>102</v>
      </c>
      <c r="E561" s="22">
        <f>IF(D561="?OLD","!!!","")</f>
        <v/>
      </c>
      <c r="F561" s="23" t="str">
        <f>IF(OR(E561="",E561="!!!"),"",IF(NOT(ISNA(VLOOKUP(E561,E$1:E560,1,FALSE()))),"OLD",IF(AND(E561&lt;&gt;"",E561&lt;&gt;"!!!"),"NEW","")))</f>
        <v> </v>
      </c>
      <c r="G561" s="24" t="str">
        <f>IF(OR(E561="",E561="!!!"),"",IF(OR(J561=0,AND(J561=1,K561=1),AND(J561=1,I561="SBJ"),AND(J561=1,I561=0)),"?IN_FOCUS",IF(J561&lt;=2,"?ACTIVATED",IF(J561&lt;&gt;"","?FAMILIAR",IF(F561="NEW",IF(ISNA(VLOOKUP(E561,#REF!,1,FALSE())),"?TYPE_IDENTIFIABLE","?REFERENTIAL"),"_")))))</f>
        <v> </v>
      </c>
      <c r="H561" s="25" t="str">
        <f>IF(J561&lt;&gt;1,"",IF(I561="SBJ","CB","?"))</f>
        <v> </v>
      </c>
      <c r="I561" s="26" t="str">
        <f>IF(OR(E561="",E561="!!!",F561="NEW"),"",INDEX(B560:B$2,-1+SUMPRODUCT(MAX(ROW(E560:E$2)*(E561=E560:E$2)))))</f>
        <v> </v>
      </c>
      <c r="J561" s="26" t="str">
        <f>IF(OR(E561="",E561="!!!",F561="NEW"),"",COUNTBLANK(OFFSET(A$1,,,SUMPRODUCT(MAX(ROW(E$2:E561)*(E561=E$2:E561)))))-COUNTBLANK(OFFSET(A$1,,,SUMPRODUCT(MAX(ROW(E$1:E560)*(E2=E$1:E560))))))</f>
        <v> </v>
      </c>
      <c r="K561" s="26" t="str">
        <f>IF(OR(E561="",E561="!!!",F561="NEW"),"",INDEX(J$1:J560,SUMPRODUCT(MAX(ROW(E$1:E560)*(E561=E$1:E560)))))</f>
        <v> </v>
      </c>
      <c r="L561" s="27"/>
    </row>
    <row r="562" spans="1:12">
      <c r="A562" s="20" t="s">
        <v>402</v>
      </c>
      <c r="E562" s="22">
        <f>IF(D562="?OLD","!!!","")</f>
        <v/>
      </c>
      <c r="F562" s="23" t="str">
        <f>IF(OR(E562="",E562="!!!"),"",IF(NOT(ISNA(VLOOKUP(E562,E$1:E561,1,FALSE()))),"OLD",IF(AND(E562&lt;&gt;"",E562&lt;&gt;"!!!"),"NEW","")))</f>
        <v> </v>
      </c>
      <c r="G562" s="24" t="str">
        <f>IF(OR(E562="",E562="!!!"),"",IF(OR(J562=0,AND(J562=1,K562=1),AND(J562=1,I562="SBJ"),AND(J562=1,I562=0)),"?IN_FOCUS",IF(J562&lt;=2,"?ACTIVATED",IF(J562&lt;&gt;"","?FAMILIAR",IF(F562="NEW",IF(ISNA(VLOOKUP(E562,#REF!,1,FALSE())),"?TYPE_IDENTIFIABLE","?REFERENTIAL"),"_")))))</f>
        <v> </v>
      </c>
      <c r="H562" s="25" t="str">
        <f>IF(J562&lt;&gt;1,"",IF(I562="SBJ","CB","?"))</f>
        <v> </v>
      </c>
      <c r="I562" s="26" t="str">
        <f>IF(OR(E562="",E562="!!!",F562="NEW"),"",INDEX(B561:B$2,-1+SUMPRODUCT(MAX(ROW(E561:E$2)*(E562=E561:E$2)))))</f>
        <v> </v>
      </c>
      <c r="J562" s="26" t="str">
        <f>IF(OR(E562="",E562="!!!",F562="NEW"),"",COUNTBLANK(OFFSET(A$1,,,SUMPRODUCT(MAX(ROW(E$2:E562)*(E562=E$2:E562)))))-COUNTBLANK(OFFSET(A$1,,,SUMPRODUCT(MAX(ROW(E$1:E561)*(E2=E$1:E561))))))</f>
        <v> </v>
      </c>
      <c r="K562" s="26" t="str">
        <f>IF(OR(E562="",E562="!!!",F562="NEW"),"",INDEX(J$1:J561,SUMPRODUCT(MAX(ROW(E$1:E561)*(E562=E$1:E561)))))</f>
        <v> </v>
      </c>
      <c r="L562" s="27"/>
    </row>
    <row r="563" spans="1:12">
      <c r="A563" s="20" t="s">
        <v>132</v>
      </c>
      <c r="E563" s="22">
        <f>IF(D563="?OLD","!!!","")</f>
        <v/>
      </c>
      <c r="F563" s="23" t="str">
        <f>IF(OR(E563="",E563="!!!"),"",IF(NOT(ISNA(VLOOKUP(E563,E$1:E562,1,FALSE()))),"OLD",IF(AND(E563&lt;&gt;"",E563&lt;&gt;"!!!"),"NEW","")))</f>
        <v> </v>
      </c>
      <c r="G563" s="24" t="str">
        <f>IF(OR(E563="",E563="!!!"),"",IF(OR(J563=0,AND(J563=1,K563=1),AND(J563=1,I563="SBJ"),AND(J563=1,I563=0)),"?IN_FOCUS",IF(J563&lt;=2,"?ACTIVATED",IF(J563&lt;&gt;"","?FAMILIAR",IF(F563="NEW",IF(ISNA(VLOOKUP(E563,#REF!,1,FALSE())),"?TYPE_IDENTIFIABLE","?REFERENTIAL"),"_")))))</f>
        <v> </v>
      </c>
      <c r="H563" s="25" t="str">
        <f>IF(J563&lt;&gt;1,"",IF(I563="SBJ","CB","?"))</f>
        <v> </v>
      </c>
      <c r="I563" s="26" t="str">
        <f>IF(OR(E563="",E563="!!!",F563="NEW"),"",INDEX(B562:B$2,-1+SUMPRODUCT(MAX(ROW(E562:E$2)*(E563=E562:E$2)))))</f>
        <v> </v>
      </c>
      <c r="J563" s="26" t="str">
        <f>IF(OR(E563="",E563="!!!",F563="NEW"),"",COUNTBLANK(OFFSET(A$1,,,SUMPRODUCT(MAX(ROW(E$2:E563)*(E563=E$2:E563)))))-COUNTBLANK(OFFSET(A$1,,,SUMPRODUCT(MAX(ROW(E$1:E562)*(E2=E$1:E562))))))</f>
        <v> </v>
      </c>
      <c r="K563" s="26" t="str">
        <f>IF(OR(E563="",E563="!!!",F563="NEW"),"",INDEX(J$1:J562,SUMPRODUCT(MAX(ROW(E$1:E562)*(E563=E$1:E562)))))</f>
        <v> </v>
      </c>
      <c r="L563" s="27"/>
    </row>
    <row r="564" spans="1:12">
      <c r="A564" s="20" t="s">
        <v>403</v>
      </c>
      <c r="B564" s="21" t="s">
        <v>120</v>
      </c>
      <c r="C564" s="21" t="s">
        <v>112</v>
      </c>
      <c r="D564" s="21" t="s">
        <v>102</v>
      </c>
      <c r="E564" s="22">
        <f>IF(D564="?OLD","!!!","")</f>
        <v/>
      </c>
      <c r="F564" s="23" t="str">
        <f>IF(OR(E564="",E564="!!!"),"",IF(NOT(ISNA(VLOOKUP(E564,E$1:E563,1,FALSE()))),"OLD",IF(AND(E564&lt;&gt;"",E564&lt;&gt;"!!!"),"NEW","")))</f>
        <v> </v>
      </c>
      <c r="G564" s="24" t="str">
        <f>IF(OR(E564="",E564="!!!"),"",IF(OR(J564=0,AND(J564=1,K564=1),AND(J564=1,I564="SBJ"),AND(J564=1,I564=0)),"?IN_FOCUS",IF(J564&lt;=2,"?ACTIVATED",IF(J564&lt;&gt;"","?FAMILIAR",IF(F564="NEW",IF(ISNA(VLOOKUP(E564,#REF!,1,FALSE())),"?TYPE_IDENTIFIABLE","?REFERENTIAL"),"_")))))</f>
        <v> </v>
      </c>
      <c r="H564" s="25" t="str">
        <f>IF(J564&lt;&gt;1,"",IF(I564="SBJ","CB","?"))</f>
        <v> </v>
      </c>
      <c r="I564" s="26" t="str">
        <f>IF(OR(E564="",E564="!!!",F564="NEW"),"",INDEX(B563:B$2,-1+SUMPRODUCT(MAX(ROW(E563:E$2)*(E564=E563:E$2)))))</f>
        <v> </v>
      </c>
      <c r="J564" s="26" t="str">
        <f>IF(OR(E564="",E564="!!!",F564="NEW"),"",COUNTBLANK(OFFSET(A$1,,,SUMPRODUCT(MAX(ROW(E$2:E564)*(E564=E$2:E564)))))-COUNTBLANK(OFFSET(A$1,,,SUMPRODUCT(MAX(ROW(E$1:E563)*(E2=E$1:E563))))))</f>
        <v> </v>
      </c>
      <c r="K564" s="26" t="str">
        <f>IF(OR(E564="",E564="!!!",F564="NEW"),"",INDEX(J$1:J563,SUMPRODUCT(MAX(ROW(E$1:E563)*(E564=E$1:E563)))))</f>
        <v> </v>
      </c>
      <c r="L564" s="27"/>
    </row>
    <row r="565" spans="1:12">
      <c r="A565" s="20" t="s">
        <v>132</v>
      </c>
      <c r="E565" s="22">
        <f>IF(D565="?OLD","!!!","")</f>
        <v/>
      </c>
      <c r="F565" s="23" t="str">
        <f>IF(OR(E565="",E565="!!!"),"",IF(NOT(ISNA(VLOOKUP(E565,E$1:E564,1,FALSE()))),"OLD",IF(AND(E565&lt;&gt;"",E565&lt;&gt;"!!!"),"NEW","")))</f>
        <v> </v>
      </c>
      <c r="G565" s="24" t="str">
        <f>IF(OR(E565="",E565="!!!"),"",IF(OR(J565=0,AND(J565=1,K565=1),AND(J565=1,I565="SBJ"),AND(J565=1,I565=0)),"?IN_FOCUS",IF(J565&lt;=2,"?ACTIVATED",IF(J565&lt;&gt;"","?FAMILIAR",IF(F565="NEW",IF(ISNA(VLOOKUP(E565,#REF!,1,FALSE())),"?TYPE_IDENTIFIABLE","?REFERENTIAL"),"_")))))</f>
        <v> </v>
      </c>
      <c r="H565" s="25" t="str">
        <f>IF(J565&lt;&gt;1,"",IF(I565="SBJ","CB","?"))</f>
        <v> </v>
      </c>
      <c r="I565" s="26" t="str">
        <f>IF(OR(E565="",E565="!!!",F565="NEW"),"",INDEX(B564:B$2,-1+SUMPRODUCT(MAX(ROW(E564:E$2)*(E565=E564:E$2)))))</f>
        <v> </v>
      </c>
      <c r="J565" s="26" t="str">
        <f>IF(OR(E565="",E565="!!!",F565="NEW"),"",COUNTBLANK(OFFSET(A$1,,,SUMPRODUCT(MAX(ROW(E$2:E565)*(E565=E$2:E565)))))-COUNTBLANK(OFFSET(A$1,,,SUMPRODUCT(MAX(ROW(E$1:E564)*(E2=E$1:E564))))))</f>
        <v> </v>
      </c>
      <c r="K565" s="26" t="str">
        <f>IF(OR(E565="",E565="!!!",F565="NEW"),"",INDEX(J$1:J564,SUMPRODUCT(MAX(ROW(E$1:E564)*(E565=E$1:E564)))))</f>
        <v> </v>
      </c>
      <c r="L565" s="27"/>
    </row>
    <row r="566" spans="1:12">
      <c r="A566" s="20" t="s">
        <v>404</v>
      </c>
      <c r="B566" s="21" t="s">
        <v>123</v>
      </c>
      <c r="C566" s="21" t="s">
        <v>112</v>
      </c>
      <c r="D566" s="21" t="s">
        <v>102</v>
      </c>
      <c r="E566" s="22">
        <f>IF(D566="?OLD","!!!","")</f>
        <v/>
      </c>
      <c r="F566" s="23" t="str">
        <f>IF(OR(E566="",E566="!!!"),"",IF(NOT(ISNA(VLOOKUP(E566,E$1:E565,1,FALSE()))),"OLD",IF(AND(E566&lt;&gt;"",E566&lt;&gt;"!!!"),"NEW","")))</f>
        <v> </v>
      </c>
      <c r="G566" s="24" t="str">
        <f>IF(OR(E566="",E566="!!!"),"",IF(OR(J566=0,AND(J566=1,K566=1),AND(J566=1,I566="SBJ"),AND(J566=1,I566=0)),"?IN_FOCUS",IF(J566&lt;=2,"?ACTIVATED",IF(J566&lt;&gt;"","?FAMILIAR",IF(F566="NEW",IF(ISNA(VLOOKUP(E566,#REF!,1,FALSE())),"?TYPE_IDENTIFIABLE","?REFERENTIAL"),"_")))))</f>
        <v> </v>
      </c>
      <c r="H566" s="25" t="str">
        <f>IF(J566&lt;&gt;1,"",IF(I566="SBJ","CB","?"))</f>
        <v> </v>
      </c>
      <c r="I566" s="26" t="str">
        <f>IF(OR(E566="",E566="!!!",F566="NEW"),"",INDEX(B565:B$2,-1+SUMPRODUCT(MAX(ROW(E565:E$2)*(E566=E565:E$2)))))</f>
        <v> </v>
      </c>
      <c r="J566" s="26" t="str">
        <f>IF(OR(E566="",E566="!!!",F566="NEW"),"",COUNTBLANK(OFFSET(A$1,,,SUMPRODUCT(MAX(ROW(E$2:E566)*(E566=E$2:E566)))))-COUNTBLANK(OFFSET(A$1,,,SUMPRODUCT(MAX(ROW(E$1:E565)*(E2=E$1:E565))))))</f>
        <v> </v>
      </c>
      <c r="K566" s="26" t="str">
        <f>IF(OR(E566="",E566="!!!",F566="NEW"),"",INDEX(J$1:J565,SUMPRODUCT(MAX(ROW(E$1:E565)*(E566=E$1:E565)))))</f>
        <v> </v>
      </c>
      <c r="L566" s="27"/>
    </row>
    <row r="567" spans="1:12">
      <c r="A567" s="20" t="s">
        <v>129</v>
      </c>
      <c r="E567" s="22">
        <f>IF(D567="?OLD","!!!","")</f>
        <v/>
      </c>
      <c r="F567" s="23" t="str">
        <f>IF(OR(E567="",E567="!!!"),"",IF(NOT(ISNA(VLOOKUP(E567,E$1:E566,1,FALSE()))),"OLD",IF(AND(E567&lt;&gt;"",E567&lt;&gt;"!!!"),"NEW","")))</f>
        <v> </v>
      </c>
      <c r="G567" s="24" t="str">
        <f>IF(OR(E567="",E567="!!!"),"",IF(OR(J567=0,AND(J567=1,K567=1),AND(J567=1,I567="SBJ"),AND(J567=1,I567=0)),"?IN_FOCUS",IF(J567&lt;=2,"?ACTIVATED",IF(J567&lt;&gt;"","?FAMILIAR",IF(F567="NEW",IF(ISNA(VLOOKUP(E567,#REF!,1,FALSE())),"?TYPE_IDENTIFIABLE","?REFERENTIAL"),"_")))))</f>
        <v> </v>
      </c>
      <c r="H567" s="25" t="str">
        <f>IF(J567&lt;&gt;1,"",IF(I567="SBJ","CB","?"))</f>
        <v> </v>
      </c>
      <c r="I567" s="26" t="str">
        <f>IF(OR(E567="",E567="!!!",F567="NEW"),"",INDEX(B566:B$2,-1+SUMPRODUCT(MAX(ROW(E566:E$2)*(E567=E566:E$2)))))</f>
        <v> </v>
      </c>
      <c r="J567" s="26" t="str">
        <f>IF(OR(E567="",E567="!!!",F567="NEW"),"",COUNTBLANK(OFFSET(A$1,,,SUMPRODUCT(MAX(ROW(E$2:E567)*(E567=E$2:E567)))))-COUNTBLANK(OFFSET(A$1,,,SUMPRODUCT(MAX(ROW(E$1:E566)*(E2=E$1:E566))))))</f>
        <v> </v>
      </c>
      <c r="K567" s="26" t="str">
        <f>IF(OR(E567="",E567="!!!",F567="NEW"),"",INDEX(J$1:J566,SUMPRODUCT(MAX(ROW(E$1:E566)*(E567=E$1:E566)))))</f>
        <v> </v>
      </c>
      <c r="L567" s="27"/>
    </row>
    <row r="568" spans="1:12">
      <c r="A568" s="20" t="s">
        <v>132</v>
      </c>
      <c r="E568" s="22">
        <f>IF(D568="?OLD","!!!","")</f>
        <v/>
      </c>
      <c r="F568" s="23" t="str">
        <f>IF(OR(E568="",E568="!!!"),"",IF(NOT(ISNA(VLOOKUP(E568,E$1:E567,1,FALSE()))),"OLD",IF(AND(E568&lt;&gt;"",E568&lt;&gt;"!!!"),"NEW","")))</f>
        <v> </v>
      </c>
      <c r="G568" s="24" t="str">
        <f>IF(OR(E568="",E568="!!!"),"",IF(OR(J568=0,AND(J568=1,K568=1),AND(J568=1,I568="SBJ"),AND(J568=1,I568=0)),"?IN_FOCUS",IF(J568&lt;=2,"?ACTIVATED",IF(J568&lt;&gt;"","?FAMILIAR",IF(F568="NEW",IF(ISNA(VLOOKUP(E568,#REF!,1,FALSE())),"?TYPE_IDENTIFIABLE","?REFERENTIAL"),"_")))))</f>
        <v> </v>
      </c>
      <c r="H568" s="25" t="str">
        <f>IF(J568&lt;&gt;1,"",IF(I568="SBJ","CB","?"))</f>
        <v> </v>
      </c>
      <c r="I568" s="26" t="str">
        <f>IF(OR(E568="",E568="!!!",F568="NEW"),"",INDEX(B567:B$2,-1+SUMPRODUCT(MAX(ROW(E567:E$2)*(E568=E567:E$2)))))</f>
        <v> </v>
      </c>
      <c r="J568" s="26" t="str">
        <f>IF(OR(E568="",E568="!!!",F568="NEW"),"",COUNTBLANK(OFFSET(A$1,,,SUMPRODUCT(MAX(ROW(E$2:E568)*(E568=E$2:E568)))))-COUNTBLANK(OFFSET(A$1,,,SUMPRODUCT(MAX(ROW(E$1:E567)*(E2=E$1:E567))))))</f>
        <v> </v>
      </c>
      <c r="K568" s="26" t="str">
        <f>IF(OR(E568="",E568="!!!",F568="NEW"),"",INDEX(J$1:J567,SUMPRODUCT(MAX(ROW(E$1:E567)*(E568=E$1:E567)))))</f>
        <v> </v>
      </c>
      <c r="L568" s="27"/>
    </row>
    <row r="569" spans="1:12">
      <c r="A569" s="20" t="s">
        <v>209</v>
      </c>
      <c r="B569" s="21" t="s">
        <v>123</v>
      </c>
      <c r="C569" s="21" t="s">
        <v>104</v>
      </c>
      <c r="D569" s="21" t="s">
        <v>102</v>
      </c>
      <c r="E569" s="22">
        <f>IF(D569="?OLD","!!!","")</f>
        <v/>
      </c>
      <c r="F569" s="23" t="str">
        <f>IF(OR(E569="",E569="!!!"),"",IF(NOT(ISNA(VLOOKUP(E569,E$1:E568,1,FALSE()))),"OLD",IF(AND(E569&lt;&gt;"",E569&lt;&gt;"!!!"),"NEW","")))</f>
        <v> </v>
      </c>
      <c r="G569" s="24" t="str">
        <f>IF(OR(E569="",E569="!!!"),"",IF(OR(J569=0,AND(J569=1,K569=1),AND(J569=1,I569="SBJ"),AND(J569=1,I569=0)),"?IN_FOCUS",IF(J569&lt;=2,"?ACTIVATED",IF(J569&lt;&gt;"","?FAMILIAR",IF(F569="NEW",IF(ISNA(VLOOKUP(E569,#REF!,1,FALSE())),"?TYPE_IDENTIFIABLE","?REFERENTIAL"),"_")))))</f>
        <v> </v>
      </c>
      <c r="H569" s="25" t="str">
        <f>IF(J569&lt;&gt;1,"",IF(I569="SBJ","CB","?"))</f>
        <v> </v>
      </c>
      <c r="I569" s="26" t="str">
        <f>IF(OR(E569="",E569="!!!",F569="NEW"),"",INDEX(B568:B$2,-1+SUMPRODUCT(MAX(ROW(E568:E$2)*(E569=E568:E$2)))))</f>
        <v> </v>
      </c>
      <c r="J569" s="26" t="str">
        <f>IF(OR(E569="",E569="!!!",F569="NEW"),"",COUNTBLANK(OFFSET(A$1,,,SUMPRODUCT(MAX(ROW(E$2:E569)*(E569=E$2:E569)))))-COUNTBLANK(OFFSET(A$1,,,SUMPRODUCT(MAX(ROW(E$1:E568)*(E2=E$1:E568))))))</f>
        <v> </v>
      </c>
      <c r="K569" s="26" t="str">
        <f>IF(OR(E569="",E569="!!!",F569="NEW"),"",INDEX(J$1:J568,SUMPRODUCT(MAX(ROW(E$1:E568)*(E569=E$1:E568)))))</f>
        <v> </v>
      </c>
      <c r="L569" s="27"/>
    </row>
    <row r="570" spans="1:12">
      <c r="A570" s="20" t="s">
        <v>175</v>
      </c>
      <c r="E570" s="22">
        <f>IF(D570="?OLD","!!!","")</f>
        <v/>
      </c>
      <c r="F570" s="23" t="str">
        <f>IF(OR(E570="",E570="!!!"),"",IF(NOT(ISNA(VLOOKUP(E570,E$1:E569,1,FALSE()))),"OLD",IF(AND(E570&lt;&gt;"",E570&lt;&gt;"!!!"),"NEW","")))</f>
        <v> </v>
      </c>
      <c r="G570" s="24" t="str">
        <f>IF(OR(E570="",E570="!!!"),"",IF(OR(J570=0,AND(J570=1,K570=1),AND(J570=1,I570="SBJ"),AND(J570=1,I570=0)),"?IN_FOCUS",IF(J570&lt;=2,"?ACTIVATED",IF(J570&lt;&gt;"","?FAMILIAR",IF(F570="NEW",IF(ISNA(VLOOKUP(E570,#REF!,1,FALSE())),"?TYPE_IDENTIFIABLE","?REFERENTIAL"),"_")))))</f>
        <v> </v>
      </c>
      <c r="H570" s="25" t="str">
        <f>IF(J570&lt;&gt;1,"",IF(I570="SBJ","CB","?"))</f>
        <v> </v>
      </c>
      <c r="I570" s="26" t="str">
        <f>IF(OR(E570="",E570="!!!",F570="NEW"),"",INDEX(B569:B$2,-1+SUMPRODUCT(MAX(ROW(E569:E$2)*(E570=E569:E$2)))))</f>
        <v> </v>
      </c>
      <c r="J570" s="26" t="str">
        <f>IF(OR(E570="",E570="!!!",F570="NEW"),"",COUNTBLANK(OFFSET(A$1,,,SUMPRODUCT(MAX(ROW(E$2:E570)*(E570=E$2:E570)))))-COUNTBLANK(OFFSET(A$1,,,SUMPRODUCT(MAX(ROW(E$1:E569)*(E2=E$1:E569))))))</f>
        <v> </v>
      </c>
      <c r="K570" s="26" t="str">
        <f>IF(OR(E570="",E570="!!!",F570="NEW"),"",INDEX(J$1:J569,SUMPRODUCT(MAX(ROW(E$1:E569)*(E570=E$1:E569)))))</f>
        <v> </v>
      </c>
      <c r="L570" s="27"/>
    </row>
    <row r="571" spans="1:12">
      <c r="A571" s="20" t="s">
        <v>159</v>
      </c>
      <c r="E571" s="22">
        <f>IF(D571="?OLD","!!!","")</f>
        <v/>
      </c>
      <c r="F571" s="23" t="str">
        <f>IF(OR(E571="",E571="!!!"),"",IF(NOT(ISNA(VLOOKUP(E571,E$1:E570,1,FALSE()))),"OLD",IF(AND(E571&lt;&gt;"",E571&lt;&gt;"!!!"),"NEW","")))</f>
        <v> </v>
      </c>
      <c r="G571" s="24" t="str">
        <f>IF(OR(E571="",E571="!!!"),"",IF(OR(J571=0,AND(J571=1,K571=1),AND(J571=1,I571="SBJ"),AND(J571=1,I571=0)),"?IN_FOCUS",IF(J571&lt;=2,"?ACTIVATED",IF(J571&lt;&gt;"","?FAMILIAR",IF(F571="NEW",IF(ISNA(VLOOKUP(E571,#REF!,1,FALSE())),"?TYPE_IDENTIFIABLE","?REFERENTIAL"),"_")))))</f>
        <v> </v>
      </c>
      <c r="H571" s="25" t="str">
        <f>IF(J571&lt;&gt;1,"",IF(I571="SBJ","CB","?"))</f>
        <v> </v>
      </c>
      <c r="I571" s="26" t="str">
        <f>IF(OR(E571="",E571="!!!",F571="NEW"),"",INDEX(B570:B$2,-1+SUMPRODUCT(MAX(ROW(E570:E$2)*(E571=E570:E$2)))))</f>
        <v> </v>
      </c>
      <c r="J571" s="26" t="str">
        <f>IF(OR(E571="",E571="!!!",F571="NEW"),"",COUNTBLANK(OFFSET(A$1,,,SUMPRODUCT(MAX(ROW(E$2:E571)*(E571=E$2:E571)))))-COUNTBLANK(OFFSET(A$1,,,SUMPRODUCT(MAX(ROW(E$1:E570)*(E2=E$1:E570))))))</f>
        <v> </v>
      </c>
      <c r="K571" s="26" t="str">
        <f>IF(OR(E571="",E571="!!!",F571="NEW"),"",INDEX(J$1:J570,SUMPRODUCT(MAX(ROW(E$1:E570)*(E571=E$1:E570)))))</f>
        <v> </v>
      </c>
      <c r="L571" s="27"/>
    </row>
    <row r="572" spans="1:12">
      <c r="A572" s="20" t="s">
        <v>405</v>
      </c>
      <c r="B572" s="21" t="s">
        <v>123</v>
      </c>
      <c r="C572" s="21" t="s">
        <v>104</v>
      </c>
      <c r="D572" s="21" t="s">
        <v>102</v>
      </c>
      <c r="E572" s="22">
        <f>IF(D572="?OLD","!!!","")</f>
        <v/>
      </c>
      <c r="F572" s="23" t="str">
        <f>IF(OR(E572="",E572="!!!"),"",IF(NOT(ISNA(VLOOKUP(E572,E$1:E571,1,FALSE()))),"OLD",IF(AND(E572&lt;&gt;"",E572&lt;&gt;"!!!"),"NEW","")))</f>
        <v> </v>
      </c>
      <c r="G572" s="24" t="str">
        <f>IF(OR(E572="",E572="!!!"),"",IF(OR(J572=0,AND(J572=1,K572=1),AND(J572=1,I572="SBJ"),AND(J572=1,I572=0)),"?IN_FOCUS",IF(J572&lt;=2,"?ACTIVATED",IF(J572&lt;&gt;"","?FAMILIAR",IF(F572="NEW",IF(ISNA(VLOOKUP(E572,#REF!,1,FALSE())),"?TYPE_IDENTIFIABLE","?REFERENTIAL"),"_")))))</f>
        <v> </v>
      </c>
      <c r="H572" s="25" t="str">
        <f>IF(J572&lt;&gt;1,"",IF(I572="SBJ","CB","?"))</f>
        <v> </v>
      </c>
      <c r="I572" s="26" t="str">
        <f>IF(OR(E572="",E572="!!!",F572="NEW"),"",INDEX(B571:B$2,-1+SUMPRODUCT(MAX(ROW(E571:E$2)*(E572=E571:E$2)))))</f>
        <v> </v>
      </c>
      <c r="J572" s="26" t="str">
        <f>IF(OR(E572="",E572="!!!",F572="NEW"),"",COUNTBLANK(OFFSET(A$1,,,SUMPRODUCT(MAX(ROW(E$2:E572)*(E572=E$2:E572)))))-COUNTBLANK(OFFSET(A$1,,,SUMPRODUCT(MAX(ROW(E$1:E571)*(E2=E$1:E571))))))</f>
        <v> </v>
      </c>
      <c r="K572" s="26" t="str">
        <f>IF(OR(E572="",E572="!!!",F572="NEW"),"",INDEX(J$1:J571,SUMPRODUCT(MAX(ROW(E$1:E571)*(E572=E$1:E571)))))</f>
        <v> </v>
      </c>
      <c r="L572" s="27"/>
    </row>
    <row r="573" spans="1:12">
      <c r="A573" s="20" t="s">
        <v>97</v>
      </c>
      <c r="E573" s="22">
        <f>IF(D573="?OLD","!!!","")</f>
        <v/>
      </c>
      <c r="F573" s="23" t="str">
        <f>IF(OR(E573="",E573="!!!"),"",IF(NOT(ISNA(VLOOKUP(E573,E$1:E572,1,FALSE()))),"OLD",IF(AND(E573&lt;&gt;"",E573&lt;&gt;"!!!"),"NEW","")))</f>
        <v> </v>
      </c>
      <c r="G573" s="24" t="str">
        <f>IF(OR(E573="",E573="!!!"),"",IF(OR(J573=0,AND(J573=1,K573=1),AND(J573=1,I573="SBJ"),AND(J573=1,I573=0)),"?IN_FOCUS",IF(J573&lt;=2,"?ACTIVATED",IF(J573&lt;&gt;"","?FAMILIAR",IF(F573="NEW",IF(ISNA(VLOOKUP(E573,#REF!,1,FALSE())),"?TYPE_IDENTIFIABLE","?REFERENTIAL"),"_")))))</f>
        <v> </v>
      </c>
      <c r="H573" s="25" t="str">
        <f>IF(J573&lt;&gt;1,"",IF(I573="SBJ","CB","?"))</f>
        <v> </v>
      </c>
      <c r="I573" s="26" t="str">
        <f>IF(OR(E573="",E573="!!!",F573="NEW"),"",INDEX(B572:B$2,-1+SUMPRODUCT(MAX(ROW(E572:E$2)*(E573=E572:E$2)))))</f>
        <v> </v>
      </c>
      <c r="J573" s="26" t="str">
        <f>IF(OR(E573="",E573="!!!",F573="NEW"),"",COUNTBLANK(OFFSET(A$1,,,SUMPRODUCT(MAX(ROW(E$2:E573)*(E573=E$2:E573)))))-COUNTBLANK(OFFSET(A$1,,,SUMPRODUCT(MAX(ROW(E$1:E572)*(E2=E$1:E572))))))</f>
        <v> </v>
      </c>
      <c r="K573" s="26" t="str">
        <f>IF(OR(E573="",E573="!!!",F573="NEW"),"",INDEX(J$1:J572,SUMPRODUCT(MAX(ROW(E$1:E572)*(E573=E$1:E572)))))</f>
        <v> </v>
      </c>
      <c r="L573" s="27"/>
    </row>
    <row r="574" spans="1:12">
      <c r="A574" s="20" t="s">
        <v>406</v>
      </c>
      <c r="B574" s="21" t="s">
        <v>127</v>
      </c>
      <c r="C574" s="21" t="s">
        <v>104</v>
      </c>
      <c r="D574" s="21" t="s">
        <v>102</v>
      </c>
      <c r="E574" s="22">
        <f>IF(D574="?OLD","!!!","")</f>
        <v/>
      </c>
      <c r="F574" s="23" t="str">
        <f>IF(OR(E574="",E574="!!!"),"",IF(NOT(ISNA(VLOOKUP(E574,E$1:E573,1,FALSE()))),"OLD",IF(AND(E574&lt;&gt;"",E574&lt;&gt;"!!!"),"NEW","")))</f>
        <v> </v>
      </c>
      <c r="G574" s="24" t="str">
        <f>IF(OR(E574="",E574="!!!"),"",IF(OR(J574=0,AND(J574=1,K574=1),AND(J574=1,I574="SBJ"),AND(J574=1,I574=0)),"?IN_FOCUS",IF(J574&lt;=2,"?ACTIVATED",IF(J574&lt;&gt;"","?FAMILIAR",IF(F574="NEW",IF(ISNA(VLOOKUP(E574,#REF!,1,FALSE())),"?TYPE_IDENTIFIABLE","?REFERENTIAL"),"_")))))</f>
        <v> </v>
      </c>
      <c r="H574" s="25" t="str">
        <f>IF(J574&lt;&gt;1,"",IF(I574="SBJ","CB","?"))</f>
        <v> </v>
      </c>
      <c r="I574" s="26" t="str">
        <f>IF(OR(E574="",E574="!!!",F574="NEW"),"",INDEX(B573:B$2,-1+SUMPRODUCT(MAX(ROW(E573:E$2)*(E574=E573:E$2)))))</f>
        <v> </v>
      </c>
      <c r="J574" s="26" t="str">
        <f>IF(OR(E574="",E574="!!!",F574="NEW"),"",COUNTBLANK(OFFSET(A$1,,,SUMPRODUCT(MAX(ROW(E$2:E574)*(E574=E$2:E574)))))-COUNTBLANK(OFFSET(A$1,,,SUMPRODUCT(MAX(ROW(E$1:E573)*(E2=E$1:E573))))))</f>
        <v> </v>
      </c>
      <c r="K574" s="26" t="str">
        <f>IF(OR(E574="",E574="!!!",F574="NEW"),"",INDEX(J$1:J573,SUMPRODUCT(MAX(ROW(E$1:E573)*(E574=E$1:E573)))))</f>
        <v> </v>
      </c>
      <c r="L574" s="27"/>
    </row>
    <row r="575" spans="1:12">
      <c r="A575" s="20" t="s">
        <v>169</v>
      </c>
      <c r="E575" s="22">
        <f>IF(D575="?OLD","!!!","")</f>
        <v/>
      </c>
      <c r="F575" s="23" t="str">
        <f>IF(OR(E575="",E575="!!!"),"",IF(NOT(ISNA(VLOOKUP(E575,E$1:E574,1,FALSE()))),"OLD",IF(AND(E575&lt;&gt;"",E575&lt;&gt;"!!!"),"NEW","")))</f>
        <v> </v>
      </c>
      <c r="G575" s="24" t="str">
        <f>IF(OR(E575="",E575="!!!"),"",IF(OR(J575=0,AND(J575=1,K575=1),AND(J575=1,I575="SBJ"),AND(J575=1,I575=0)),"?IN_FOCUS",IF(J575&lt;=2,"?ACTIVATED",IF(J575&lt;&gt;"","?FAMILIAR",IF(F575="NEW",IF(ISNA(VLOOKUP(E575,#REF!,1,FALSE())),"?TYPE_IDENTIFIABLE","?REFERENTIAL"),"_")))))</f>
        <v> </v>
      </c>
      <c r="H575" s="25" t="str">
        <f>IF(J575&lt;&gt;1,"",IF(I575="SBJ","CB","?"))</f>
        <v> </v>
      </c>
      <c r="I575" s="26" t="str">
        <f>IF(OR(E575="",E575="!!!",F575="NEW"),"",INDEX(B574:B$2,-1+SUMPRODUCT(MAX(ROW(E574:E$2)*(E575=E574:E$2)))))</f>
        <v> </v>
      </c>
      <c r="J575" s="26" t="str">
        <f>IF(OR(E575="",E575="!!!",F575="NEW"),"",COUNTBLANK(OFFSET(A$1,,,SUMPRODUCT(MAX(ROW(E$2:E575)*(E575=E$2:E575)))))-COUNTBLANK(OFFSET(A$1,,,SUMPRODUCT(MAX(ROW(E$1:E574)*(E2=E$1:E574))))))</f>
        <v> </v>
      </c>
      <c r="K575" s="26" t="str">
        <f>IF(OR(E575="",E575="!!!",F575="NEW"),"",INDEX(J$1:J574,SUMPRODUCT(MAX(ROW(E$1:E574)*(E575=E$1:E574)))))</f>
        <v> </v>
      </c>
      <c r="L575" s="27"/>
    </row>
    <row r="576" spans="1:12">
      <c r="A576" s="20" t="s">
        <v>407</v>
      </c>
      <c r="B576" s="21" t="s">
        <v>127</v>
      </c>
      <c r="C576" s="21" t="s">
        <v>104</v>
      </c>
      <c r="D576" s="21" t="s">
        <v>102</v>
      </c>
      <c r="E576" s="22">
        <f>IF(D576="?OLD","!!!","")</f>
        <v/>
      </c>
      <c r="F576" s="23" t="str">
        <f>IF(OR(E576="",E576="!!!"),"",IF(NOT(ISNA(VLOOKUP(E576,E$1:E575,1,FALSE()))),"OLD",IF(AND(E576&lt;&gt;"",E576&lt;&gt;"!!!"),"NEW","")))</f>
        <v> </v>
      </c>
      <c r="G576" s="24" t="str">
        <f>IF(OR(E576="",E576="!!!"),"",IF(OR(J576=0,AND(J576=1,K576=1),AND(J576=1,I576="SBJ"),AND(J576=1,I576=0)),"?IN_FOCUS",IF(J576&lt;=2,"?ACTIVATED",IF(J576&lt;&gt;"","?FAMILIAR",IF(F576="NEW",IF(ISNA(VLOOKUP(E576,#REF!,1,FALSE())),"?TYPE_IDENTIFIABLE","?REFERENTIAL"),"_")))))</f>
        <v> </v>
      </c>
      <c r="H576" s="25" t="str">
        <f>IF(J576&lt;&gt;1,"",IF(I576="SBJ","CB","?"))</f>
        <v> </v>
      </c>
      <c r="I576" s="26" t="str">
        <f>IF(OR(E576="",E576="!!!",F576="NEW"),"",INDEX(B575:B$2,-1+SUMPRODUCT(MAX(ROW(E575:E$2)*(E576=E575:E$2)))))</f>
        <v> </v>
      </c>
      <c r="J576" s="26" t="str">
        <f>IF(OR(E576="",E576="!!!",F576="NEW"),"",COUNTBLANK(OFFSET(A$1,,,SUMPRODUCT(MAX(ROW(E$2:E576)*(E576=E$2:E576)))))-COUNTBLANK(OFFSET(A$1,,,SUMPRODUCT(MAX(ROW(E$1:E575)*(E2=E$1:E575))))))</f>
        <v> </v>
      </c>
      <c r="K576" s="26" t="str">
        <f>IF(OR(E576="",E576="!!!",F576="NEW"),"",INDEX(J$1:J575,SUMPRODUCT(MAX(ROW(E$1:E575)*(E576=E$1:E575)))))</f>
        <v> </v>
      </c>
      <c r="L576" s="27"/>
    </row>
    <row r="577" spans="1:12">
      <c r="A577" s="20" t="s">
        <v>397</v>
      </c>
      <c r="E577" s="22">
        <f>IF(D577="?OLD","!!!","")</f>
        <v/>
      </c>
      <c r="F577" s="23" t="str">
        <f>IF(OR(E577="",E577="!!!"),"",IF(NOT(ISNA(VLOOKUP(E577,E$1:E576,1,FALSE()))),"OLD",IF(AND(E577&lt;&gt;"",E577&lt;&gt;"!!!"),"NEW","")))</f>
        <v> </v>
      </c>
      <c r="G577" s="24" t="str">
        <f>IF(OR(E577="",E577="!!!"),"",IF(OR(J577=0,AND(J577=1,K577=1),AND(J577=1,I577="SBJ"),AND(J577=1,I577=0)),"?IN_FOCUS",IF(J577&lt;=2,"?ACTIVATED",IF(J577&lt;&gt;"","?FAMILIAR",IF(F577="NEW",IF(ISNA(VLOOKUP(E577,#REF!,1,FALSE())),"?TYPE_IDENTIFIABLE","?REFERENTIAL"),"_")))))</f>
        <v> </v>
      </c>
      <c r="H577" s="25" t="str">
        <f>IF(J577&lt;&gt;1,"",IF(I577="SBJ","CB","?"))</f>
        <v> </v>
      </c>
      <c r="I577" s="26" t="str">
        <f>IF(OR(E577="",E577="!!!",F577="NEW"),"",INDEX(B576:B$2,-1+SUMPRODUCT(MAX(ROW(E576:E$2)*(E577=E576:E$2)))))</f>
        <v> </v>
      </c>
      <c r="J577" s="26" t="str">
        <f>IF(OR(E577="",E577="!!!",F577="NEW"),"",COUNTBLANK(OFFSET(A$1,,,SUMPRODUCT(MAX(ROW(E$2:E577)*(E577=E$2:E577)))))-COUNTBLANK(OFFSET(A$1,,,SUMPRODUCT(MAX(ROW(E$1:E576)*(E2=E$1:E576))))))</f>
        <v> </v>
      </c>
      <c r="K577" s="26" t="str">
        <f>IF(OR(E577="",E577="!!!",F577="NEW"),"",INDEX(J$1:J576,SUMPRODUCT(MAX(ROW(E$1:E576)*(E577=E$1:E576)))))</f>
        <v> </v>
      </c>
      <c r="L577" s="27"/>
    </row>
    <row r="578" spans="1:12">
      <c r="A578" s="20" t="s">
        <v>155</v>
      </c>
      <c r="E578" s="22">
        <f>IF(D578="?OLD","!!!","")</f>
        <v/>
      </c>
      <c r="F578" s="23" t="str">
        <f>IF(OR(E578="",E578="!!!"),"",IF(NOT(ISNA(VLOOKUP(E578,E$1:E577,1,FALSE()))),"OLD",IF(AND(E578&lt;&gt;"",E578&lt;&gt;"!!!"),"NEW","")))</f>
        <v> </v>
      </c>
      <c r="G578" s="24" t="str">
        <f>IF(OR(E578="",E578="!!!"),"",IF(OR(J578=0,AND(J578=1,K578=1),AND(J578=1,I578="SBJ"),AND(J578=1,I578=0)),"?IN_FOCUS",IF(J578&lt;=2,"?ACTIVATED",IF(J578&lt;&gt;"","?FAMILIAR",IF(F578="NEW",IF(ISNA(VLOOKUP(E578,#REF!,1,FALSE())),"?TYPE_IDENTIFIABLE","?REFERENTIAL"),"_")))))</f>
        <v> </v>
      </c>
      <c r="H578" s="25" t="str">
        <f>IF(J578&lt;&gt;1,"",IF(I578="SBJ","CB","?"))</f>
        <v> </v>
      </c>
      <c r="I578" s="26" t="str">
        <f>IF(OR(E578="",E578="!!!",F578="NEW"),"",INDEX(B577:B$2,-1+SUMPRODUCT(MAX(ROW(E577:E$2)*(E578=E577:E$2)))))</f>
        <v> </v>
      </c>
      <c r="J578" s="26" t="str">
        <f>IF(OR(E578="",E578="!!!",F578="NEW"),"",COUNTBLANK(OFFSET(A$1,,,SUMPRODUCT(MAX(ROW(E$2:E578)*(E578=E$2:E578)))))-COUNTBLANK(OFFSET(A$1,,,SUMPRODUCT(MAX(ROW(E$1:E577)*(E2=E$1:E577))))))</f>
        <v> </v>
      </c>
      <c r="K578" s="26" t="str">
        <f>IF(OR(E578="",E578="!!!",F578="NEW"),"",INDEX(J$1:J577,SUMPRODUCT(MAX(ROW(E$1:E577)*(E578=E$1:E577)))))</f>
        <v> </v>
      </c>
      <c r="L578" s="27"/>
    </row>
    <row r="579" spans="1:12">
      <c r="A579"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2024-12-05T17:54:44Z</dcterms:created>
  <dcterms:modified xsi:type="dcterms:W3CDTF">2024-12-05T17:54:44Z</dcterms:modified>
</cp:coreProperties>
</file>