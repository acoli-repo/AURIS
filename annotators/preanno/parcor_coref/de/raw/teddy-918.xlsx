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<sst xmlns="http://schemas.openxmlformats.org/spreadsheetml/2006/main" count="11149" uniqueCount="2592">
  <si>
    <t>ID</t>
  </si>
  <si>
    <t>PRED_ID</t>
  </si>
  <si>
    <t>MARKER_AUTO</t>
  </si>
  <si>
    <t>PREDICATE</t>
  </si>
  <si>
    <t>TEXT</t>
  </si>
  <si>
    <t>SENTENCE</t>
  </si>
  <si>
    <t>MARKER</t>
  </si>
  <si>
    <t>TARGET</t>
  </si>
  <si>
    <t>RELATION</t>
  </si>
  <si>
    <t>COMMENT</t>
  </si>
  <si>
    <t>1</t>
  </si>
  <si>
    <t>2</t>
  </si>
  <si>
    <t>_</t>
  </si>
  <si>
    <t>sprechen</t>
  </si>
  <si>
    <t>Heute spreche ich zu Ihnen über Energie und Klima .</t>
  </si>
  <si>
    <t>file://conllu/de/teddy-918.conllu#s1_0</t>
  </si>
  <si>
    <t>5</t>
  </si>
  <si>
    <t>etwas</t>
  </si>
  <si>
    <t>Und das überrascht vielleicht etwas , weil sich meine Vollzeitbeschäftigung bei der Stiftung hauptsächlich um Impfstoffe und Saatgut dreht , um die Dinge , die wir erfinden und liefern müssen um den ärmsten 2 Milliarden ein besseres Leben zu ermöglichen .</t>
  </si>
  <si>
    <t>file://conllu/de/teddy-918.conllu#s2_0</t>
  </si>
  <si>
    <t>3</t>
  </si>
  <si>
    <t>sein (sein wichtig)</t>
  </si>
  <si>
    <t>Aber Energie und Klima sind extrem wichtig für diese Menschen , Genau genommen sogar wichtiger als für jeden anderen auf dem Planeten .</t>
  </si>
  <si>
    <t>file://conllu/de/teddy-918.conllu#s3_0</t>
  </si>
  <si>
    <t>4</t>
  </si>
  <si>
    <t>bedeuten</t>
  </si>
  <si>
    <t>Klimaverschlechterung bedeutet , dass deren Saaten über viele Jahre nicht wachsen werden .</t>
  </si>
  <si>
    <t>file://conllu/de/teddy-918.conllu#s4_0</t>
  </si>
  <si>
    <t>8</t>
  </si>
  <si>
    <t>regnen</t>
  </si>
  <si>
    <t>Es wir zu viel oder zu wenig regnen .</t>
  </si>
  <si>
    <t>file://conllu/de/teddy-918.conllu#s5_0</t>
  </si>
  <si>
    <t>6</t>
  </si>
  <si>
    <t>ändern</t>
  </si>
  <si>
    <t>Die Dinge werden sich so ändern , wie es ihre fragile Umwelt nicht aushalten kann .</t>
  </si>
  <si>
    <t>file://conllu/de/teddy-918.conllu#s6_0</t>
  </si>
  <si>
    <t>7</t>
  </si>
  <si>
    <t>führen</t>
  </si>
  <si>
    <t>Das führt zu Hungersterben .</t>
  </si>
  <si>
    <t>file://conllu/de/teddy-918.conllu#s7_0</t>
  </si>
  <si>
    <t>Es führt zu Unsicherheit .</t>
  </si>
  <si>
    <t>file://conllu/de/teddy-918.conllu#s8_0</t>
  </si>
  <si>
    <t>9</t>
  </si>
  <si>
    <t>Es führt zu Unruhen .</t>
  </si>
  <si>
    <t>file://conllu/de/teddy-918.conllu#s9_0</t>
  </si>
  <si>
    <t>10</t>
  </si>
  <si>
    <t>werden</t>
  </si>
  <si>
    <t>Also , wird eine Klimaveränderung furchtbar für sie werden .</t>
  </si>
  <si>
    <t>file://conllu/de/teddy-918.conllu#s10_0</t>
  </si>
  <si>
    <t>11</t>
  </si>
  <si>
    <t>Außerdem ist der Energiepreis für sie sehr wichtig .</t>
  </si>
  <si>
    <t>file://conllu/de/teddy-918.conllu#s11_0</t>
  </si>
  <si>
    <t>12</t>
  </si>
  <si>
    <t>sein (sein Tatsache)</t>
  </si>
  <si>
    <t>Tatsache ist , dass , wenn Sie nur von einer Sache den Preis verringern könnten , zur zu der Armutsverringerung wäre Energie bei weitem am an dem effektivsten .</t>
  </si>
  <si>
    <t>file://conllu/de/teddy-918.conllu#s12_0</t>
  </si>
  <si>
    <t>13</t>
  </si>
  <si>
    <t>sein (sein fallen|gefallen)</t>
  </si>
  <si>
    <t>Nun , der Energiepreis ist über die Zeit gefallen .</t>
  </si>
  <si>
    <t>file://conllu/de/teddy-918.conllu#s13_0</t>
  </si>
  <si>
    <t>14</t>
  </si>
  <si>
    <t>basieren</t>
  </si>
  <si>
    <t>Tatsächlich basiert die Fortschrittsgesellschaft auf Energiefortschritten .</t>
  </si>
  <si>
    <t>file://conllu/de/teddy-918.conllu#s14_0</t>
  </si>
  <si>
    <t>15</t>
  </si>
  <si>
    <t>treiben</t>
  </si>
  <si>
    <t>Die Kohlerevolution trieb die industrielle Revolution an und selbst im in dem 20 .</t>
  </si>
  <si>
    <t>file://conllu/de/teddy-918.conllu#s15_0</t>
  </si>
  <si>
    <t>16</t>
  </si>
  <si>
    <t>Und deshalb?</t>
  </si>
  <si>
    <t>geben</t>
  </si>
  <si>
    <t>Jahrhundert gab es einen rapiden Fall im in dem Elektrizitätspreis und deshalb haben wir Kühlschränke , Klimaanlagen , wir können moderne Materialien herstellen und so viele Dinge tun .</t>
  </si>
  <si>
    <t>file://conllu/de/teddy-918.conllu#s16_0</t>
  </si>
  <si>
    <t>17</t>
  </si>
  <si>
    <t>befinden</t>
  </si>
  <si>
    <t>Wir befinden uns also in einer wunderbaren Situation mit Strom in der reichen Welt .</t>
  </si>
  <si>
    <t>file://conllu/de/teddy-918.conllu#s17_0</t>
  </si>
  <si>
    <t>18</t>
  </si>
  <si>
    <t>25</t>
  </si>
  <si>
    <t>hängen</t>
  </si>
  <si>
    <t>Aber , wenn wir den Preis verringern lassen wir uns den Preis halbieren treffen wir auf eine neue Barriere und diese Barriere hängt mit CO2 zusammen .</t>
  </si>
  <si>
    <t>file://conllu/de/teddy-918.conllu#s18_0</t>
  </si>
  <si>
    <t>19</t>
  </si>
  <si>
    <t>erwärmen</t>
  </si>
  <si>
    <t>CO2 erwärmt den Planeten und die Gleichung für CO2 ist eigentlich ziemlich klar .</t>
  </si>
  <si>
    <t>file://conllu/de/teddy-918.conllu#s19_0</t>
  </si>
  <si>
    <t>20</t>
  </si>
  <si>
    <t>summieren</t>
  </si>
  <si>
    <t>Sie summieren das ausgestoßene CO2 , welches zur zu der Temperaturerhöhung führt und diese Temperaturerhöhung hat einige sehr negative Folgen .</t>
  </si>
  <si>
    <t>file://conllu/de/teddy-918.conllu#s20_0</t>
  </si>
  <si>
    <t>21</t>
  </si>
  <si>
    <t>Effekt</t>
  </si>
  <si>
    <t>Effekte auf das Wetter und vielleicht schlimmer , die indirekte Folge , dass die natürlichen Ökosysteme sich solch rapiden Veränderungen nicht anpassen können und somit ganze Systeme zusammenfallen .</t>
  </si>
  <si>
    <t>file://conllu/de/teddy-918.conllu#s21_0</t>
  </si>
  <si>
    <t>22</t>
  </si>
  <si>
    <t>liegen</t>
  </si>
  <si>
    <t>Nun , der exakte Zusammenhang zwischen einem CO2 Anstieg und der dadurch resultierende Temperaturveränderung und wo deren weitere Folgen liegen , da gibt es einige Unklarheiten , aber nicht sehr viele .</t>
  </si>
  <si>
    <t>file://conllu/de/teddy-918.conllu#s22_0</t>
  </si>
  <si>
    <t>23</t>
  </si>
  <si>
    <t>Und es gibt sicher Unklarheit darüber , wie schlimm diese Folgen werden .</t>
  </si>
  <si>
    <t>file://conllu/de/teddy-918.conllu#s23_0</t>
  </si>
  <si>
    <t>24</t>
  </si>
  <si>
    <t>sein (sein schlimm)</t>
  </si>
  <si>
    <t>Aber sie werden extrem schlimm sein !</t>
  </si>
  <si>
    <t>file://conllu/de/teddy-918.conllu#s24_0</t>
  </si>
  <si>
    <t>gefragen</t>
  </si>
  <si>
    <t>Ich habe die Top Wissenschaftler mehrmals gefragt : &amp;quot; Müssen wir wirklich runter auf nahe Null kommen ?</t>
  </si>
  <si>
    <t>file://conllu/de/teddy-918.conllu#s25_0</t>
  </si>
  <si>
    <t>26</t>
  </si>
  <si>
    <t>Reicht</t>
  </si>
  <si>
    <t>Reicht nicht die Hälfte oder ein Viertel ? &amp;quot;</t>
  </si>
  <si>
    <t>file://conllu/de/teddy-918.conllu#s26_0</t>
  </si>
  <si>
    <t>27</t>
  </si>
  <si>
    <t>sein (sein kommen)</t>
  </si>
  <si>
    <t>Die Antwort ist : Bis wir nahe Null kommen , wird die Temperatur weiter steigen .</t>
  </si>
  <si>
    <t>file://conllu/de/teddy-918.conllu#s27_0</t>
  </si>
  <si>
    <t>28</t>
  </si>
  <si>
    <t>sein (sein Herausforderung)</t>
  </si>
  <si>
    <t>Deshalb ist es eine große Herausforderung .</t>
  </si>
  <si>
    <t>file://conllu/de/teddy-918.conllu#s28_0</t>
  </si>
  <si>
    <t>29</t>
  </si>
  <si>
    <t>sagen</t>
  </si>
  <si>
    <t>Es ist ganz anders als zu sagen , wir haben ein 3,5 m hohen LKW , der unter einer 3 m Brücke her muss .</t>
  </si>
  <si>
    <t>file://conllu/de/teddy-918.conllu#s29_0</t>
  </si>
  <si>
    <t>30</t>
  </si>
  <si>
    <t>quetschen</t>
  </si>
  <si>
    <t>Den kann man dann quasi darunter her quetschen .</t>
  </si>
  <si>
    <t>file://conllu/de/teddy-918.conllu#s30_0</t>
  </si>
  <si>
    <t>31</t>
  </si>
  <si>
    <t>müssen</t>
  </si>
  <si>
    <t>Das hier muss ganz nach unten , auf Null .</t>
  </si>
  <si>
    <t>file://conllu/de/teddy-918.conllu#s31_0</t>
  </si>
  <si>
    <t>32</t>
  </si>
  <si>
    <t>stoßen</t>
  </si>
  <si>
    <t>Nun , wir stoßen jedes Jahr eine menge Kohlenstoffdioxid aus , über 26 Milliarden Tonnen .</t>
  </si>
  <si>
    <t>file://conllu/de/teddy-918.conllu#s32_0</t>
  </si>
  <si>
    <t>33</t>
  </si>
  <si>
    <t>Tonne</t>
  </si>
  <si>
    <t>Jeder Amerikaner etwa 20 Tonnen .</t>
  </si>
  <si>
    <t>file://conllu/de/teddy-918.conllu#s33_0</t>
  </si>
  <si>
    <t>34</t>
  </si>
  <si>
    <t>ein</t>
  </si>
  <si>
    <t>Menschen aus armen Ländern , weniger als eine .</t>
  </si>
  <si>
    <t>file://conllu/de/teddy-918.conllu#s34_0</t>
  </si>
  <si>
    <t>36</t>
  </si>
  <si>
    <t>hervorbringen</t>
  </si>
  <si>
    <t>Und irgendwie müssen wir Veränderungen hervorbringen , die das auf Null senken .</t>
  </si>
  <si>
    <t>file://conllu/de/teddy-918.conllu#s36_0</t>
  </si>
  <si>
    <t>37</t>
  </si>
  <si>
    <t>sein (sein steigen)</t>
  </si>
  <si>
    <t>Es ist bisher konstant gestiegen .</t>
  </si>
  <si>
    <t>file://conllu/de/teddy-918.conllu#s37_0</t>
  </si>
  <si>
    <t>38</t>
  </si>
  <si>
    <t>beeinflussen</t>
  </si>
  <si>
    <t>Nur verschiedene ökonomische Veränderungen haben es überhaupt beeinflusst und wir müssen von rapidem Anstieg zu Verringerung gehen und zu einer Verringerung bis auf Null .</t>
  </si>
  <si>
    <t>file://conllu/de/teddy-918.conllu#s38_0</t>
  </si>
  <si>
    <t>39</t>
  </si>
  <si>
    <t>haben</t>
  </si>
  <si>
    <t>Diese Gleichung hat vier Faktoren .</t>
  </si>
  <si>
    <t>file://conllu/de/teddy-918.conllu#s39_0</t>
  </si>
  <si>
    <t>40</t>
  </si>
  <si>
    <t>Multiplikation</t>
  </si>
  <si>
    <t>Ein bisschen Multiplikation .</t>
  </si>
  <si>
    <t>file://conllu/de/teddy-918.conllu#s40_0</t>
  </si>
  <si>
    <t>41</t>
  </si>
  <si>
    <t>wollen</t>
  </si>
  <si>
    <t>Sie haben dieses Ding links CO2 , das Sie Richtung Null bringen wollen und das wird von der Anzahl der Menschen abhängen , von den Diensten , die jeder Mensch im in dem Durchschnitt nutzt , der durchschnittlichen Energie für jeden Dienst und dem CO2 , das pro Energieeinheit emittiert wird .</t>
  </si>
  <si>
    <t>file://conllu/de/teddy-918.conllu#s41_0</t>
  </si>
  <si>
    <t>42</t>
  </si>
  <si>
    <t>anschauen</t>
  </si>
  <si>
    <t>Lassen Sie uns also jeden Faktor einzeln anschauen und überlegen wir , wie wir das auf Null bekommen .</t>
  </si>
  <si>
    <t>file://conllu/de/teddy-918.conllu#s42_0</t>
  </si>
  <si>
    <t>43</t>
  </si>
  <si>
    <t>kommen</t>
  </si>
  <si>
    <t>Wahrscheinlich muss eine dieser Zahlen sehr nah an Null kommen .</t>
  </si>
  <si>
    <t>file://conllu/de/teddy-918.conllu#s43_0</t>
  </si>
  <si>
    <t>44</t>
  </si>
  <si>
    <t>Durch?</t>
  </si>
  <si>
    <t>sein (sein Algebra)</t>
  </si>
  <si>
    <t>Nun das ist grundlegende Algebra , aber gehen wir es mal durch .</t>
  </si>
  <si>
    <t>file://conllu/de/teddy-918.conllu#s44_0</t>
  </si>
  <si>
    <t>45</t>
  </si>
  <si>
    <t>Zuerst haben wir die Bevölkerung .</t>
  </si>
  <si>
    <t>file://conllu/de/teddy-918.conllu#s45_0</t>
  </si>
  <si>
    <t>46</t>
  </si>
  <si>
    <t>leben</t>
  </si>
  <si>
    <t>Heute leben 6,8 Milliarden Menschen , und es schreitet auf 9 Milliarden zu .</t>
  </si>
  <si>
    <t>file://conllu/de/teddy-918.conllu#s46_0</t>
  </si>
  <si>
    <t>47</t>
  </si>
  <si>
    <t>bewegen</t>
  </si>
  <si>
    <t>die sich auf 9 Milliarden zu bewegen .</t>
  </si>
  <si>
    <t>file://conllu/de/teddy-918.conllu#s47_0</t>
  </si>
  <si>
    <t>48</t>
  </si>
  <si>
    <t>senken</t>
  </si>
  <si>
    <t>Wenn wir sehr erfolgreich mit neuen Impfstoffen , der Gesundheitsvorsorgung und Reproduktionsmedizin sind könnten wir das wohl um 10% bis 15% senken , aber zur zu der Zeit sehen wir eine Steigung um 1,3 .</t>
  </si>
  <si>
    <t>file://conllu/de/teddy-918.conllu#s48_0</t>
  </si>
  <si>
    <t>49</t>
  </si>
  <si>
    <t>sein (sein Dienst)</t>
  </si>
  <si>
    <t>Der zweite Faktor sind die Dienste , die wir nutzen .</t>
  </si>
  <si>
    <t>file://conllu/de/teddy-918.conllu#s49_0</t>
  </si>
  <si>
    <t>50</t>
  </si>
  <si>
    <t>umfassen</t>
  </si>
  <si>
    <t>Das umfasst alles , die Nahrung , die wir essen , Kleidung , Fernsehen , Heizung .</t>
  </si>
  <si>
    <t>file://conllu/de/teddy-918.conllu#s50_0</t>
  </si>
  <si>
    <t>51</t>
  </si>
  <si>
    <t>Das sind sehr gute Dinge und Armutsverringerung bedeutet , diese Dienste fast jedem auf dem Planeten zugänglich zu machen .</t>
  </si>
  <si>
    <t>file://conllu/de/teddy-918.conllu#s51_0</t>
  </si>
  <si>
    <t>52</t>
  </si>
  <si>
    <t>sein (sein toll)</t>
  </si>
  <si>
    <t>Es ist toll , dass diese Nummer steigt .</t>
  </si>
  <si>
    <t>file://conllu/de/teddy-918.conllu#s52_0</t>
  </si>
  <si>
    <t>53</t>
  </si>
  <si>
    <t>machen</t>
  </si>
  <si>
    <t>In der reichen Welt , in der oberen Milliarde , könnten wir wohl Abstriche machen und weniger nutzen , aber im in dem Durchschnitt wird diese Zahl jedes Jahr steigen und sich somit insgesamt mehr als verdoppeln , die Zahl der Dienste die pro Person bereitgestellt werden .</t>
  </si>
  <si>
    <t>file://conllu/de/teddy-918.conllu#s53_0</t>
  </si>
  <si>
    <t>54</t>
  </si>
  <si>
    <t>sehen</t>
  </si>
  <si>
    <t>Hier sehen wir einen sehr grundlegenden Dienst .</t>
  </si>
  <si>
    <t>file://conllu/de/teddy-918.conllu#s54_0</t>
  </si>
  <si>
    <t>55</t>
  </si>
  <si>
    <t>Gibt es zu Hause Licht , damit man die Hausaufgaben lesen kann ?</t>
  </si>
  <si>
    <t>file://conllu/de/teddy-918.conllu#s55_0</t>
  </si>
  <si>
    <t>56</t>
  </si>
  <si>
    <t>gehen</t>
  </si>
  <si>
    <t>Und diese Schüler haben es nicht , also gehen sie heraus und lesen ihre Schulaufgaben unter dem Straßenlicht .</t>
  </si>
  <si>
    <t>file://conllu/de/teddy-918.conllu#s56_0</t>
  </si>
  <si>
    <t>57</t>
  </si>
  <si>
    <t>Nun , bei Effektivität , dem E , die Energie pro Dienst , gibt es endlich gute Nachrichten .</t>
  </si>
  <si>
    <t>file://conllu/de/teddy-918.conllu#s57_0</t>
  </si>
  <si>
    <t>58</t>
  </si>
  <si>
    <t>Wir haben etwas , das nicht steigt , aufgrund verschiedener Erfolge im in dem Lichtsektor , durch andere Autotypen , durch neue Methoden im in dem Häuserbau , Es gibt viele Dienste , deren Energieaufwand Sie drastisch senken können , drastisch gesenkt werden kann , 103 00:05:50,000 &amp;amp;gt ;</t>
  </si>
  <si>
    <t>file://conllu/de/teddy-918.conllu#s58_0</t>
  </si>
  <si>
    <t>59</t>
  </si>
  <si>
    <t>lassen</t>
  </si>
  <si>
    <t>00:05:53,000 manche Dienste lassen sich um 90% reduzieren .</t>
  </si>
  <si>
    <t>file://conllu/de/teddy-918.conllu#s59_0</t>
  </si>
  <si>
    <t>60</t>
  </si>
  <si>
    <t>manche einzelne Dienste lassen sich um 90% reduzieren .</t>
  </si>
  <si>
    <t>file://conllu/de/teddy-918.conllu#s60_0</t>
  </si>
  <si>
    <t>61</t>
  </si>
  <si>
    <t>&amp;amp;gen</t>
  </si>
  <si>
    <t>In anderen Diensten , wie der Herstellung von Düngemitteln , 105 00:05:56,000 &amp;amp;gt ;</t>
  </si>
  <si>
    <t>file://conllu/de/teddy-918.conllu#s61_0</t>
  </si>
  <si>
    <t>62</t>
  </si>
  <si>
    <t>sein (sein klein)</t>
  </si>
  <si>
    <t>00:05:58,000 oder dem Luftverkehr oder Luftverkehr , ist der Spielraum für Verbesserungen sehr viel kleiner .</t>
  </si>
  <si>
    <t>file://conllu/de/teddy-918.conllu#s62_0</t>
  </si>
  <si>
    <t>63</t>
  </si>
  <si>
    <t>bekommen</t>
  </si>
  <si>
    <t>Insgesamt , wenn wir optimistisch sind , bekommen wir vielleicht eine Reduzierung um einen Faktor 3 oder vielleicht sogar um einen Faktor 6 .</t>
  </si>
  <si>
    <t>file://conllu/de/teddy-918.conllu#s63_0</t>
  </si>
  <si>
    <t>64</t>
  </si>
  <si>
    <t>sein (sein gehen)</t>
  </si>
  <si>
    <t>Aber bei den ersten drei Faktoren , sind wir jetzt von 26 Milliarden auf vielleicht allerbestes 13 Milliarden Tonnen gegangen .</t>
  </si>
  <si>
    <t>file://conllu/de/teddy-918.conllu#s64_0</t>
  </si>
  <si>
    <t>65</t>
  </si>
  <si>
    <t>reichen</t>
  </si>
  <si>
    <t>Und das reicht einfach nicht aus !</t>
  </si>
  <si>
    <t>file://conllu/de/teddy-918.conllu#s65_0</t>
  </si>
  <si>
    <t>66</t>
  </si>
  <si>
    <t>Sehen wir uns also den vierten Faktor an und dieser wird ein Schlüsselfaktor sein Das ist die Menge an CO2 , die pro Energieeinheit emittiert wird .</t>
  </si>
  <si>
    <t>file://conllu/de/teddy-918.conllu#s66_0</t>
  </si>
  <si>
    <t>67</t>
  </si>
  <si>
    <t>stellen</t>
  </si>
  <si>
    <t>Es stellt sich die Frage , ob man das auf Null bekommen kann .</t>
  </si>
  <si>
    <t>file://conllu/de/teddy-918.conllu#s67_0</t>
  </si>
  <si>
    <t>68</t>
  </si>
  <si>
    <t>nein</t>
  </si>
  <si>
    <t>Wenn Sie Kohle verbrennen : Nein .</t>
  </si>
  <si>
    <t>file://conllu/de/teddy-918.conllu#s68_0</t>
  </si>
  <si>
    <t>69</t>
  </si>
  <si>
    <t>Wenn Sie Erdgas verbrennen : Nein .</t>
  </si>
  <si>
    <t>file://conllu/de/teddy-918.conllu#s69_0</t>
  </si>
  <si>
    <t>70</t>
  </si>
  <si>
    <t>emittieren</t>
  </si>
  <si>
    <t>Fast jede Herstellungsmethode für Strom emittiert heutzutage CO2 , außer die erneuerbaren Energien und Nuklearenergie .</t>
  </si>
  <si>
    <t>file://conllu/de/teddy-918.conllu#s70_0</t>
  </si>
  <si>
    <t>71</t>
  </si>
  <si>
    <t>schaffen</t>
  </si>
  <si>
    <t>Also , was wir auf einem globalen Level machen müssen , ist , ein neues System zu schaffen .</t>
  </si>
  <si>
    <t>file://conllu/de/teddy-918.conllu#s71_0</t>
  </si>
  <si>
    <t>72</t>
  </si>
  <si>
    <t>brauchen</t>
  </si>
  <si>
    <t>Wir brauchen Energiewunder .</t>
  </si>
  <si>
    <t>file://conllu/de/teddy-918.conllu#s72_0</t>
  </si>
  <si>
    <t>73</t>
  </si>
  <si>
    <t>mein</t>
  </si>
  <si>
    <t>Wenn ich nun den Begriff &amp;quot; Wunder &amp;quot; benutze , meine ich nicht das Unmögliche .</t>
  </si>
  <si>
    <t>file://conllu/de/teddy-918.conllu#s73_0</t>
  </si>
  <si>
    <t>74</t>
  </si>
  <si>
    <t>sein (sein Wunder)</t>
  </si>
  <si>
    <t>Der Mikroprozessor ist ein Wunder .</t>
  </si>
  <si>
    <t>file://conllu/de/teddy-918.conllu#s74_0</t>
  </si>
  <si>
    <t>75</t>
  </si>
  <si>
    <t>Der PC ist ein Wunder .</t>
  </si>
  <si>
    <t>file://conllu/de/teddy-918.conllu#s75_0</t>
  </si>
  <si>
    <t>76</t>
  </si>
  <si>
    <t>Das Internet und dessen Dienste ist ein Wunder .</t>
  </si>
  <si>
    <t>file://conllu/de/teddy-918.conllu#s76_0</t>
  </si>
  <si>
    <t>77</t>
  </si>
  <si>
    <t>beitragen</t>
  </si>
  <si>
    <t>Die Menschen hier haben zu der Entwicklung vieler dieser Wunder beigetragen .</t>
  </si>
  <si>
    <t>file://conllu/de/teddy-918.conllu#s77_0</t>
  </si>
  <si>
    <t>78</t>
  </si>
  <si>
    <t>Normalerweise gibt es keine Deadline , dass man ein Wunder bis zu einem bestimmten Datum braucht .</t>
  </si>
  <si>
    <t>file://conllu/de/teddy-918.conllu#s78_0</t>
  </si>
  <si>
    <t>79</t>
  </si>
  <si>
    <t>stehen</t>
  </si>
  <si>
    <t>Normalerweise steht man quasi nur daneben und manche kommen , andere nicht .</t>
  </si>
  <si>
    <t>file://conllu/de/teddy-918.conllu#s79_0</t>
  </si>
  <si>
    <t>80</t>
  </si>
  <si>
    <t>In diesem Fall müssen wir aber Vollgas geben und ein Wunder in sehr kurzer Zeit bekommen .</t>
  </si>
  <si>
    <t>file://conllu/de/teddy-918.conllu#s80_0</t>
  </si>
  <si>
    <t>81</t>
  </si>
  <si>
    <t>fragen</t>
  </si>
  <si>
    <t>Nun , ich fragte mich , wie kann ich das wirklich rüberbringen ?</t>
  </si>
  <si>
    <t>file://conllu/de/teddy-918.conllu#s81_0</t>
  </si>
  <si>
    <t>82</t>
  </si>
  <si>
    <t>Gibt es eine natürliche Illustration , eine Demonstration , die die Vorstellung der Menschen hier entfacht ?</t>
  </si>
  <si>
    <t>file://conllu/de/teddy-918.conllu#s82_0</t>
  </si>
  <si>
    <t>83</t>
  </si>
  <si>
    <t>erinnern</t>
  </si>
  <si>
    <t>Ich erinnerte mich an letztes Jahr , als ich Moskitos brachte und irgendwie mochten die Leute das .</t>
  </si>
  <si>
    <t>file://conllu/de/teddy-918.conllu#s83_0</t>
  </si>
  <si>
    <t>84</t>
  </si>
  <si>
    <t>( Lachen ) Die Idee wurde für sie wirklich greifbar , wissen Sie , dass es Menschen gibt , die mit Moskitos leben .</t>
  </si>
  <si>
    <t>file://conllu/de/teddy-918.conllu#s84_0</t>
  </si>
  <si>
    <t>85</t>
  </si>
  <si>
    <t>fallen</t>
  </si>
  <si>
    <t>Für Energie fiel mir das hier ein .</t>
  </si>
  <si>
    <t>file://conllu/de/teddy-918.conllu#s85_0</t>
  </si>
  <si>
    <t>86</t>
  </si>
  <si>
    <t>entscheiden</t>
  </si>
  <si>
    <t>Ich entschied , dass das Freilassen von Glühwürmchen mein diesjähriger Beitrag zur zu der Umwelt hier sein würde .</t>
  </si>
  <si>
    <t>file://conllu/de/teddy-918.conllu#s86_0</t>
  </si>
  <si>
    <t>87</t>
  </si>
  <si>
    <t>sein (sein Glühwürmchen)</t>
  </si>
  <si>
    <t>Hier sind also ein paar natürliche Glühwürmchen .</t>
  </si>
  <si>
    <t>file://conllu/de/teddy-918.conllu#s87_0</t>
  </si>
  <si>
    <t>88</t>
  </si>
  <si>
    <t>versichern</t>
  </si>
  <si>
    <t>Man hat mir versichert , dass sie nicht beißen .</t>
  </si>
  <si>
    <t>file://conllu/de/teddy-918.conllu#s88_0</t>
  </si>
  <si>
    <t>89</t>
  </si>
  <si>
    <t>verlassen</t>
  </si>
  <si>
    <t>Tatsächlich werden sie wohl nicht mal das Glas verlassen .</t>
  </si>
  <si>
    <t>file://conllu/de/teddy-918.conllu#s89_0</t>
  </si>
  <si>
    <t>90</t>
  </si>
  <si>
    <t>Nun , es gibt alle möglichen Spielereilösungen wie diese , aber sie bringen alle nicht viel .</t>
  </si>
  <si>
    <t>file://conllu/de/teddy-918.conllu#s90_0</t>
  </si>
  <si>
    <t>91</t>
  </si>
  <si>
    <t>Wir brauchen Lösungen , entweder eine oder mehrere die eine unvorstellbare Skalierung und unvorstellbare Verlässlichkeit haben .</t>
  </si>
  <si>
    <t>file://conllu/de/teddy-918.conllu#s91_0</t>
  </si>
  <si>
    <t>92</t>
  </si>
  <si>
    <t>Und obwohl es viele Richtungen gibt , in denen Menschen danach suchen , sehe ich wirklich nur fünf , die diese großen Anforderungen leisten können .</t>
  </si>
  <si>
    <t>file://conllu/de/teddy-918.conllu#s92_0</t>
  </si>
  <si>
    <t>93</t>
  </si>
  <si>
    <t>ausgelassen</t>
  </si>
  <si>
    <t>Ich habe Gezeiten , Geothermal , Fusion und Biokraftstoffe ausgelassen .</t>
  </si>
  <si>
    <t>file://conllu/de/teddy-918.conllu#s93_0</t>
  </si>
  <si>
    <t>94</t>
  </si>
  <si>
    <t>leisten</t>
  </si>
  <si>
    <t>Diese leisten vielleicht einen moderaten Beitrag und wenn sie besseres leisten als ich erwarte , wäre das toll , aber meine Kernaussage hier ist , dass wir an all jenen fünf arbeiten müssen , und wir können keine von ihnen aufgeben , weil sie uns einschüchtern , denn alle haben signifikante Probleme .</t>
  </si>
  <si>
    <t>file://conllu/de/teddy-918.conllu#s94_0</t>
  </si>
  <si>
    <t>95</t>
  </si>
  <si>
    <t>schauen</t>
  </si>
  <si>
    <t>Schauen wir uns zuerst das Verbrennen fossiler Brennstoffe an , Verbrennung von entweder Kohle oder Erdgas .</t>
  </si>
  <si>
    <t>file://conllu/de/teddy-918.conllu#s95_0</t>
  </si>
  <si>
    <t>96</t>
  </si>
  <si>
    <t>Was?</t>
  </si>
  <si>
    <t>scheinen</t>
  </si>
  <si>
    <t>Was man dort machen muss , scheint vielleicht einfach , aber das ist es nicht .</t>
  </si>
  <si>
    <t>file://conllu/de/teddy-918.conllu#s96_0</t>
  </si>
  <si>
    <t>97</t>
  </si>
  <si>
    <t>müssen (müssen einfangen)</t>
  </si>
  <si>
    <t>Man müsste all das CO2 , das nach dem Verbrennen aus dem Schornstein kommt , einfangen , unter Druck verflüssigen und dann irgendwo lagern und hoffen , dass es dort bleibt .</t>
  </si>
  <si>
    <t>file://conllu/de/teddy-918.conllu#s97_0</t>
  </si>
  <si>
    <t>98</t>
  </si>
  <si>
    <t>Es gibt einige Pilotprojekte , die das auf einem 60% 80% Niveau schaffen , aber es auf 100% zu bekommen wird sehr schwierig werden .</t>
  </si>
  <si>
    <t>file://conllu/de/teddy-918.conllu#s98_0</t>
  </si>
  <si>
    <t>99</t>
  </si>
  <si>
    <t>Und eine Einigung für die Lagerung des CO2 zu erzielen , ist eine große Herausforderung .</t>
  </si>
  <si>
    <t>file://conllu/de/teddy-918.conllu#s99_0</t>
  </si>
  <si>
    <t>100</t>
  </si>
  <si>
    <t>sein (sein Lagerzeitfrage)</t>
  </si>
  <si>
    <t>Aber das größte Problem hier ist die Lagerzeitfrage .</t>
  </si>
  <si>
    <t>file://conllu/de/teddy-918.conllu#s100_0</t>
  </si>
  <si>
    <t>101</t>
  </si>
  <si>
    <t>sicherstellen</t>
  </si>
  <si>
    <t>Wer wird es sicherstellen ?</t>
  </si>
  <si>
    <t>file://conllu/de/teddy-918.conllu#s101_0</t>
  </si>
  <si>
    <t>102</t>
  </si>
  <si>
    <t>garantieren</t>
  </si>
  <si>
    <t>Wer kann etwas garantieren , was buchstäblich viele Milliarden mal größer als jede Art von Müll , den man sich von Nuklear und anderen Dingen vorstellen kann ?</t>
  </si>
  <si>
    <t>file://conllu/de/teddy-918.conllu#s102_0</t>
  </si>
  <si>
    <t>103</t>
  </si>
  <si>
    <t>sein (sein Menge)</t>
  </si>
  <si>
    <t>Das ist eine Menge Volumen .</t>
  </si>
  <si>
    <t>file://conllu/de/teddy-918.conllu#s103_0</t>
  </si>
  <si>
    <t>104</t>
  </si>
  <si>
    <t>sein (sein Nuß)</t>
  </si>
  <si>
    <t>Das ist also eine harte Nuss .</t>
  </si>
  <si>
    <t>file://conllu/de/teddy-918.conllu#s104_0</t>
  </si>
  <si>
    <t>105</t>
  </si>
  <si>
    <t>nah</t>
  </si>
  <si>
    <t>Als nächstes : Nuklearenergie .</t>
  </si>
  <si>
    <t>file://conllu/de/teddy-918.conllu#s105_0</t>
  </si>
  <si>
    <t>106</t>
  </si>
  <si>
    <t>Die hat auch drei große Probleme .</t>
  </si>
  <si>
    <t>file://conllu/de/teddy-918.conllu#s106_0</t>
  </si>
  <si>
    <t>107</t>
  </si>
  <si>
    <t>Kosten</t>
  </si>
  <si>
    <t>Die Kosten , vor allem in hochregulierten Ländern sind hoch .</t>
  </si>
  <si>
    <t>file://conllu/de/teddy-918.conllu#s107_0</t>
  </si>
  <si>
    <t>108</t>
  </si>
  <si>
    <t>Frage</t>
  </si>
  <si>
    <t>Die Frage nach Sicherheit , dass man wirklich fühlt , dass nichts schief gehen kann , trotz der menschlichen Mitarbeit , dass der Treibstoff nicht für Waffen verwendet wird .</t>
  </si>
  <si>
    <t>file://conllu/de/teddy-918.conllu#s108_0</t>
  </si>
  <si>
    <t>109</t>
  </si>
  <si>
    <t>Und was macht man dann mit dem Müll ?</t>
  </si>
  <si>
    <t>file://conllu/de/teddy-918.conllu#s109_0</t>
  </si>
  <si>
    <t>110</t>
  </si>
  <si>
    <t>Denn obwohl er nicht sehr groß ist , gibt es eine Menge Bedenken .</t>
  </si>
  <si>
    <t>file://conllu/de/teddy-918.conllu#s110_0</t>
  </si>
  <si>
    <t>111</t>
  </si>
  <si>
    <t>fühlen</t>
  </si>
  <si>
    <t>Die Menschen müssen sich dabei gut fühlen .</t>
  </si>
  <si>
    <t>file://conllu/de/teddy-918.conllu#s111_0</t>
  </si>
  <si>
    <t>112</t>
  </si>
  <si>
    <t>184 00:10:20,000 &amp;amp;gt ;</t>
  </si>
  <si>
    <t>file://conllu/de/teddy-918.conllu#s112_0</t>
  </si>
  <si>
    <t>113</t>
  </si>
  <si>
    <t>arbeiten</t>
  </si>
  <si>
    <t>00:10:25,000 Also drei sehr schwierige Probleme , die vielleicht lösbar sind Also drei sehr schwierige Probleme , die vielleicht lösbar sind , und an denen man deshalb arbeiten sollte .</t>
  </si>
  <si>
    <t>file://conllu/de/teddy-918.conllu#s113_0</t>
  </si>
  <si>
    <t>114</t>
  </si>
  <si>
    <t>zusammenfassen</t>
  </si>
  <si>
    <t>Die letzten drei der fünf habe ich zusammengefasst .</t>
  </si>
  <si>
    <t>file://conllu/de/teddy-918.conllu#s114_0</t>
  </si>
  <si>
    <t>115</t>
  </si>
  <si>
    <t>sein (sein Energie)</t>
  </si>
  <si>
    <t>Es sind die Erneuerbaren Energien , wie sie oft genannt werden .</t>
  </si>
  <si>
    <t>file://conllu/de/teddy-918.conllu#s115_0</t>
  </si>
  <si>
    <t>116</t>
  </si>
  <si>
    <t>Und auch die haben obwohl es toll ist , dass sie keinen Brennstoff brauchen sie haben einige Nachteile .</t>
  </si>
  <si>
    <t>file://conllu/de/teddy-918.conllu#s116_0</t>
  </si>
  <si>
    <t>118</t>
  </si>
  <si>
    <t>sein (sein Energiefarmen)</t>
  </si>
  <si>
    <t>Das sind Energiefarmen , man spricht von vielen Quadratkilometern , tausendmal mehr Fläche als ein normales Kraftwerk .</t>
  </si>
  <si>
    <t>file://conllu/de/teddy-918.conllu#s118_0</t>
  </si>
  <si>
    <t>119</t>
  </si>
  <si>
    <t>unterliegen</t>
  </si>
  <si>
    <t>Außerdem unterliegen diese Quellen Unterbrechungen : Die Sonne scheint nicht den ganzen Tag , sie scheint auch nicht jeden Tag und genauso weht auch der Wind nicht ständig .</t>
  </si>
  <si>
    <t>file://conllu/de/teddy-918.conllu#s119_0</t>
  </si>
  <si>
    <t>120</t>
  </si>
  <si>
    <t>Deshalb muss man , wenn man von diesen Quellen abhängig ist , einen Weg haben , die Energie auch in Zeiten wenn Sie nicht verfügbar ist , zu bekommen .</t>
  </si>
  <si>
    <t>file://conllu/de/teddy-918.conllu#s120_0</t>
  </si>
  <si>
    <t>121</t>
  </si>
  <si>
    <t>Es gibt hier also große Preisherausforderungen .</t>
  </si>
  <si>
    <t>file://conllu/de/teddy-918.conllu#s121_0</t>
  </si>
  <si>
    <t>122</t>
  </si>
  <si>
    <t>Es gibt Herausforderungen bei der Übertragung .</t>
  </si>
  <si>
    <t>file://conllu/de/teddy-918.conllu#s122_0</t>
  </si>
  <si>
    <t>123</t>
  </si>
  <si>
    <t>umgehen</t>
  </si>
  <si>
    <t>Wenn wir beispielsweise sagen , dass die Energiequelle außerhalb des Landes liegt , brauchen Sie nicht nur die Technologie , Sie müssen auch mit dem Risiko umgehen , dass die Energie von wo anders herkommt .</t>
  </si>
  <si>
    <t>file://conllu/de/teddy-918.conllu#s123_0</t>
  </si>
  <si>
    <t>124</t>
  </si>
  <si>
    <t>Und es gibt das Lagerungsproblem .</t>
  </si>
  <si>
    <t>file://conllu/de/teddy-918.conllu#s124_0</t>
  </si>
  <si>
    <t>125</t>
  </si>
  <si>
    <t>angeschauen</t>
  </si>
  <si>
    <t>Und um die Dimension zu zeigen , habe ich mir alle Arten von Batterien , die hergestellt werden , angeschaut : Die für Autos , Computer , Handys , Taschenlampen , für alles .</t>
  </si>
  <si>
    <t>file://conllu/de/teddy-918.conllu#s125_0</t>
  </si>
  <si>
    <t>126</t>
  </si>
  <si>
    <t>vergleichen</t>
  </si>
  <si>
    <t>Und das habe ich mit der Menge der elektronischen Energie , welche die Welt nutzt , verglichen .</t>
  </si>
  <si>
    <t>file://conllu/de/teddy-918.conllu#s126_0</t>
  </si>
  <si>
    <t>127</t>
  </si>
  <si>
    <t>finden</t>
  </si>
  <si>
    <t>Ich fand heraus , dass alle Batterien , die wir jetzt produzieren , weniger als 10 Minuten der Gesamtenergie lagern könnten .</t>
  </si>
  <si>
    <t>file://conllu/de/teddy-918.conllu#s127_0</t>
  </si>
  <si>
    <t>128</t>
  </si>
  <si>
    <t>Wir brauchen hier also einen großen Durchbruch , etwas , dass um einen Faktor 100 besser sein wird , als die Herangehensweisen zur zu der Zeit .</t>
  </si>
  <si>
    <t>file://conllu/de/teddy-918.conllu#s128_0</t>
  </si>
  <si>
    <t>129</t>
  </si>
  <si>
    <t>sein (sein unmöglich)</t>
  </si>
  <si>
    <t>Das ist nicht unmöglich , aber es ist nicht so leicht .</t>
  </si>
  <si>
    <t>file://conllu/de/teddy-918.conllu#s129_0</t>
  </si>
  <si>
    <t>130</t>
  </si>
  <si>
    <t>passieren</t>
  </si>
  <si>
    <t>Das passiert , wenn man versucht , diese unterbrochenen Quellen über sagen wir 20% 30% des Verbrauchs zu bringen .</t>
  </si>
  <si>
    <t>file://conllu/de/teddy-918.conllu#s130_0</t>
  </si>
  <si>
    <t>131</t>
  </si>
  <si>
    <t>Wenn Sie sich um 100% darauf stützen wollen , brauchen Sie eine unglaubliche Wunderbatterie .</t>
  </si>
  <si>
    <t>file://conllu/de/teddy-918.conllu#s131_0</t>
  </si>
  <si>
    <t>132</t>
  </si>
  <si>
    <t>Nun , wohin sollen wir gehen : Was ist der richtige Ansatz ?</t>
  </si>
  <si>
    <t>file://conllu/de/teddy-918.conllu#s132_0</t>
  </si>
  <si>
    <t>133</t>
  </si>
  <si>
    <t>Manhattan</t>
  </si>
  <si>
    <t>Ein &amp;quot; Manhattan Projekt &amp;quot; ?</t>
  </si>
  <si>
    <t>file://conllu/de/teddy-918.conllu#s133_0</t>
  </si>
  <si>
    <t>134</t>
  </si>
  <si>
    <t>Wie kommen wir ans an das Ziel ?</t>
  </si>
  <si>
    <t>file://conllu/de/teddy-918.conllu#s134_0</t>
  </si>
  <si>
    <t>135</t>
  </si>
  <si>
    <t>Was wir brauchen sind viele Firmen , die daran arbeiten .</t>
  </si>
  <si>
    <t>file://conllu/de/teddy-918.conllu#s135_0</t>
  </si>
  <si>
    <t>136</t>
  </si>
  <si>
    <t>Hundert</t>
  </si>
  <si>
    <t>Hunderte .</t>
  </si>
  <si>
    <t>file://conllu/de/teddy-918.conllu#s136_0</t>
  </si>
  <si>
    <t>137</t>
  </si>
  <si>
    <t>In jeden dieser fünf Bereiche brauchen wir mindestens 100 Menschen .</t>
  </si>
  <si>
    <t>file://conllu/de/teddy-918.conllu#s137_0</t>
  </si>
  <si>
    <t>138</t>
  </si>
  <si>
    <t>Bei vielen werden Sie sagen : Die sind verrückt !</t>
  </si>
  <si>
    <t>file://conllu/de/teddy-918.conllu#s138_0</t>
  </si>
  <si>
    <t>139</t>
  </si>
  <si>
    <t>sein (sein gut)</t>
  </si>
  <si>
    <t>Das ist gut .</t>
  </si>
  <si>
    <t>file://conllu/de/teddy-918.conllu#s139_0</t>
  </si>
  <si>
    <t>140</t>
  </si>
  <si>
    <t>glauben</t>
  </si>
  <si>
    <t>Ich glaube , hier in der TED Gruppe gibt es viele , die sich dort bereits engagieren .</t>
  </si>
  <si>
    <t>file://conllu/de/teddy-918.conllu#s140_0</t>
  </si>
  <si>
    <t>141</t>
  </si>
  <si>
    <t>Bill Gross hat mehrere Firmen , unter anderem eine namens eSolar die großartige Solarthermaltechnologien hat .</t>
  </si>
  <si>
    <t>file://conllu/de/teddy-918.conllu#s141_0</t>
  </si>
  <si>
    <t>142</t>
  </si>
  <si>
    <t>investieren</t>
  </si>
  <si>
    <t>Vinod Khosla investiert in dutzende Firmen die tolle Sachen machen und interessante Möglichkeiten haben und ich versuche das zu unterstützen .</t>
  </si>
  <si>
    <t>file://conllu/de/teddy-918.conllu#s142_0</t>
  </si>
  <si>
    <t>143</t>
  </si>
  <si>
    <t>finanzieren</t>
  </si>
  <si>
    <t>Nathan Myhrvold und ich finanzieren eine Firma , die , vielleicht überraschenderweise , den nuklearen Ansatz verfolgt .</t>
  </si>
  <si>
    <t>file://conllu/de/teddy-918.conllu#s143_0</t>
  </si>
  <si>
    <t>144</t>
  </si>
  <si>
    <t>Es gibt einige Innovationen im in dem Nuklearbereich ; modular , flüssig .</t>
  </si>
  <si>
    <t>file://conllu/de/teddy-918.conllu#s144_0</t>
  </si>
  <si>
    <t>145</t>
  </si>
  <si>
    <t>aufgehören</t>
  </si>
  <si>
    <t>Die Entwicklung hat in dieser Industrie vor einiger Zeit aufgehört , also ist es keine große Überraschung , dass einige gute Konzepte herumliegen .</t>
  </si>
  <si>
    <t>file://conllu/de/teddy-918.conllu#s145_0</t>
  </si>
  <si>
    <t>146</t>
  </si>
  <si>
    <t>Das TerraPower Konzept bedeutet , dass man anstelle eines Teils des Urans , dem einen Prozent , das U235 , wir entschieden , die 99% zu verbrennen , das U238 .</t>
  </si>
  <si>
    <t>file://conllu/de/teddy-918.conllu#s146_0</t>
  </si>
  <si>
    <t>147</t>
  </si>
  <si>
    <t>sein (sein Idee)</t>
  </si>
  <si>
    <t>Das ist eine ziemlich verrückte Idee .</t>
  </si>
  <si>
    <t>file://conllu/de/teddy-918.conllu#s147_0</t>
  </si>
  <si>
    <t>148</t>
  </si>
  <si>
    <t>simulieren</t>
  </si>
  <si>
    <t>Aber tatsächlich hatte man darüber schon lange nachgedacht , aber man konnte nie vernünftig simulieren , ob es funktionieren würde , doch seitdem es moderne Supercomputer gibt , kann man es simulieren und sehen , dass : Ja !</t>
  </si>
  <si>
    <t>file://conllu/de/teddy-918.conllu#s148_0</t>
  </si>
  <si>
    <t>149</t>
  </si>
  <si>
    <t>Mit der richtigen Materialienherangehensweise , sieht es so aus , dass es funktioniere .</t>
  </si>
  <si>
    <t>file://conllu/de/teddy-918.conllu#s149_0</t>
  </si>
  <si>
    <t>150</t>
  </si>
  <si>
    <t>Und weil man diese 99% verbrennt , ist das Kostenprofil sehr viel besser .</t>
  </si>
  <si>
    <t>file://conllu/de/teddy-918.conllu#s150_0</t>
  </si>
  <si>
    <t>151</t>
  </si>
  <si>
    <t>verbrennen</t>
  </si>
  <si>
    <t>Tatsächlich verbrennt man den Müll , und man kann sogar den Abfall von heutigen Reaktoren als Antriebsstoff benutzen .</t>
  </si>
  <si>
    <t>file://conllu/de/teddy-918.conllu#s151_0</t>
  </si>
  <si>
    <t>152</t>
  </si>
  <si>
    <t>zerbrechen</t>
  </si>
  <si>
    <t>Anstatt sich darüber den Kopf zu zerbrechen , verbrennen Sie es einfach .</t>
  </si>
  <si>
    <t>file://conllu/de/teddy-918.conllu#s152_0</t>
  </si>
  <si>
    <t>153</t>
  </si>
  <si>
    <t>Sache</t>
  </si>
  <si>
    <t>Eine tolle Sache .</t>
  </si>
  <si>
    <t>file://conllu/de/teddy-918.conllu#s153_0</t>
  </si>
  <si>
    <t>154</t>
  </si>
  <si>
    <t>verbrauchen</t>
  </si>
  <si>
    <t>Das Uran wird graduell verbraucht , ein bisschen wie eine Kerze .</t>
  </si>
  <si>
    <t>file://conllu/de/teddy-918.conllu#s154_0</t>
  </si>
  <si>
    <t>155</t>
  </si>
  <si>
    <t>Sie sehen , dass es eine Art Säule ist , oft als &amp;quot; Wandernde Welle Reaktor &amp;quot; bezeichnet .</t>
  </si>
  <si>
    <t>file://conllu/de/teddy-918.conllu#s155_0</t>
  </si>
  <si>
    <t>156</t>
  </si>
  <si>
    <t>lösen</t>
  </si>
  <si>
    <t>Das löst wirklich das Treibstoffproblem .</t>
  </si>
  <si>
    <t>file://conllu/de/teddy-918.conllu#s156_0</t>
  </si>
  <si>
    <t>157</t>
  </si>
  <si>
    <t>sein (sein Bild)</t>
  </si>
  <si>
    <t>Hier ist ein Bild eines Ortes in Kentucky .</t>
  </si>
  <si>
    <t>file://conllu/de/teddy-918.conllu#s157_0</t>
  </si>
  <si>
    <t>158</t>
  </si>
  <si>
    <t>sein (sein Abfall)</t>
  </si>
  <si>
    <t>Das ist der Abfall , die 99% .</t>
  </si>
  <si>
    <t>file://conllu/de/teddy-918.conllu#s158_0</t>
  </si>
  <si>
    <t>159</t>
  </si>
  <si>
    <t>herausgenommen</t>
  </si>
  <si>
    <t>Man hat den Teil , der heute verbrannt wird , herausgenommen also heißt es aufgebrauchtes Uran .</t>
  </si>
  <si>
    <t>file://conllu/de/teddy-918.conllu#s159_0</t>
  </si>
  <si>
    <t>160</t>
  </si>
  <si>
    <t>trieben</t>
  </si>
  <si>
    <t>Das triebe die U.S. für hunderte von Jahren an .</t>
  </si>
  <si>
    <t>file://conllu/de/teddy-918.conllu#s160_0</t>
  </si>
  <si>
    <t>161</t>
  </si>
  <si>
    <t>Und wenn man Ozeanwasser günstig und einfach filtriert , bekommt man genügend Treibstoff für die restliche Lebenszeit des Planeten .</t>
  </si>
  <si>
    <t>file://conllu/de/teddy-918.conllu#s161_0</t>
  </si>
  <si>
    <t>162</t>
  </si>
  <si>
    <t>wissen</t>
  </si>
  <si>
    <t>Wissen Sie , es gibt da noch viele Herausforderungen , aber es ist ein Beispiel von vielen hunderten von Konzepten , die wir brauchen , um vorwärts zu kommen .</t>
  </si>
  <si>
    <t>file://conllu/de/teddy-918.conllu#s162_0</t>
  </si>
  <si>
    <t>163</t>
  </si>
  <si>
    <t>überlegen</t>
  </si>
  <si>
    <t>Überlegen wir uns , wie wir unseren Erfolg messen sollten .</t>
  </si>
  <si>
    <t>file://conllu/de/teddy-918.conllu#s163_0</t>
  </si>
  <si>
    <t>164</t>
  </si>
  <si>
    <t>aussehen</t>
  </si>
  <si>
    <t>Wie sollte unser Zeugnis aussehen ?</t>
  </si>
  <si>
    <t>file://conllu/de/teddy-918.conllu#s164_0</t>
  </si>
  <si>
    <t>165</t>
  </si>
  <si>
    <t>Nun , gehen wir bis ans an das Ziel , das wir erreichen müssen und dann reden wir über den Zwischenschritt .</t>
  </si>
  <si>
    <t>file://conllu/de/teddy-918.conllu#s165_0</t>
  </si>
  <si>
    <t>166</t>
  </si>
  <si>
    <t>Viele sprechen von einer 80% Reduktion bis 2050 .</t>
  </si>
  <si>
    <t>file://conllu/de/teddy-918.conllu#s166_0</t>
  </si>
  <si>
    <t>167</t>
  </si>
  <si>
    <t>Es ist wirklich sehr wichtig , dass wir dorthin gelangen .</t>
  </si>
  <si>
    <t>file://conllu/de/teddy-918.conllu#s167_0</t>
  </si>
  <si>
    <t>168</t>
  </si>
  <si>
    <t>erzeugen</t>
  </si>
  <si>
    <t>Die restlichen 20% werden in armen Ländern erzeugt werden , sowie immer noch etwas Landwirtschaft .</t>
  </si>
  <si>
    <t>file://conllu/de/teddy-918.conllu#s168_0</t>
  </si>
  <si>
    <t>169</t>
  </si>
  <si>
    <t>sein (sein sauber)</t>
  </si>
  <si>
    <t>Hoffentlich wird Waldrohdung und Zement bis dahin sauber sein .</t>
  </si>
  <si>
    <t>file://conllu/de/teddy-918.conllu#s169_0</t>
  </si>
  <si>
    <t>170</t>
  </si>
  <si>
    <t>umstellen</t>
  </si>
  <si>
    <t>Also , um diese 80% zu erreichen , müssen die Industriestaaten , inklusive Ländern wie China , ihre Elektrizitätsgeneration komplett umstellen .</t>
  </si>
  <si>
    <t>file://conllu/de/teddy-918.conllu#s170_0</t>
  </si>
  <si>
    <t>171</t>
  </si>
  <si>
    <t>Die andere Note sagt , ob wir die Null Emissionen Technologie einsetzen , ob sie in allen entwickelten Ländern eingesetzt ist und wir auf dem Weg sind , sie zu dem Rest zu bekommen .</t>
  </si>
  <si>
    <t>file://conllu/de/teddy-918.conllu#s171_0</t>
  </si>
  <si>
    <t>172</t>
  </si>
  <si>
    <t>Das ist super wichtig .</t>
  </si>
  <si>
    <t>file://conllu/de/teddy-918.conllu#s172_0</t>
  </si>
  <si>
    <t>173</t>
  </si>
  <si>
    <t>Das wird ein Schlüsselelement dieses Zeugnisses .</t>
  </si>
  <si>
    <t>file://conllu/de/teddy-918.conllu#s173_0</t>
  </si>
  <si>
    <t>174</t>
  </si>
  <si>
    <t>zurückgehen</t>
  </si>
  <si>
    <t>Wenn wir von dort zurückgehen , wie sollte das 2020 Zeugnis aussehen ?</t>
  </si>
  <si>
    <t>file://conllu/de/teddy-918.conllu#s174_0</t>
  </si>
  <si>
    <t>175</t>
  </si>
  <si>
    <t>enthalten</t>
  </si>
  <si>
    <t>Es sollte wieder die beiden Elemente enthalten .</t>
  </si>
  <si>
    <t>file://conllu/de/teddy-918.conllu#s175_0</t>
  </si>
  <si>
    <t>176</t>
  </si>
  <si>
    <t>nutzen</t>
  </si>
  <si>
    <t>Wir sollten die Effektivitätsmaßnahmen nutzen , um Reduktion auf den Weg zu bringen .</t>
  </si>
  <si>
    <t>file://conllu/de/teddy-918.conllu#s176_0</t>
  </si>
  <si>
    <t>177</t>
  </si>
  <si>
    <t>Je weniger wir emittieren , desto geringer wird die CO2 Summe sein und damit auch die Temperatur .</t>
  </si>
  <si>
    <t>file://conllu/de/teddy-918.conllu#s177_0</t>
  </si>
  <si>
    <t>178</t>
  </si>
  <si>
    <t>sein (sein unternehmen)</t>
  </si>
  <si>
    <t>Aber eigentlich ist diese Note für die Dinge die wir unternehmen , die nicht komplett zu den großen Reduktionen führen , nur gleich , oder sogar etwas weniger wichtig wie die andere , welche die Schnelligkeit der Innovation für diese Durchbrüche darstellt .</t>
  </si>
  <si>
    <t>file://conllu/de/teddy-918.conllu#s178_0</t>
  </si>
  <si>
    <t>179</t>
  </si>
  <si>
    <t>verfolgen</t>
  </si>
  <si>
    <t>Diese Durchbrüche müssen wir mit Vollgas verfolgen und das können wir messen : in Firmenzahlen , in Pilotprojekten und Regulierungsänderungen .</t>
  </si>
  <si>
    <t>file://conllu/de/teddy-918.conllu#s179_0</t>
  </si>
  <si>
    <t>180</t>
  </si>
  <si>
    <t>Es gibt viele großartige Bücher zu diesem Thema .</t>
  </si>
  <si>
    <t>file://conllu/de/teddy-918.conllu#s180_0</t>
  </si>
  <si>
    <t>181</t>
  </si>
  <si>
    <t>Das Al Gore Buch &amp;quot; Wir haben die Wahl &amp;quot; und David McKays &amp;quot; Sustainable Energy Without the Hot Air . &amp;quot;</t>
  </si>
  <si>
    <t>file://conllu/de/teddy-918.conllu#s181_0</t>
  </si>
  <si>
    <t>182</t>
  </si>
  <si>
    <t>Sie gehen es wirklich durch und schaffen einen Rahmen , in dem dies breit diskutiert werden kann , denn wir brauchen dafür Unterstützung von allen Seiten .</t>
  </si>
  <si>
    <t>file://conllu/de/teddy-918.conllu#s182_0</t>
  </si>
  <si>
    <t>183</t>
  </si>
  <si>
    <t>Es gibt Einiges , das zusammenkommen muss .</t>
  </si>
  <si>
    <t>file://conllu/de/teddy-918.conllu#s183_0</t>
  </si>
  <si>
    <t>184</t>
  </si>
  <si>
    <t>sein (sein Wunsch)</t>
  </si>
  <si>
    <t>Das ist ein Wunsch .</t>
  </si>
  <si>
    <t>file://conllu/de/teddy-918.conllu#s184_0</t>
  </si>
  <si>
    <t>185</t>
  </si>
  <si>
    <t>Wunsch</t>
  </si>
  <si>
    <t>Ein sehr konkreter Wunsch , dass wir diese Technologie erfinden .</t>
  </si>
  <si>
    <t>file://conllu/de/teddy-918.conllu#s185_0</t>
  </si>
  <si>
    <t>186</t>
  </si>
  <si>
    <t>auswählen</t>
  </si>
  <si>
    <t>Wenn Sie mir nur einen Wunsch für die nächsten 50 Jahre gestatten , ich könnte den Präsidenten auswählen , einen Impfstoff , und das liebe ich , oder ich könnte diesen Wunsch wählen , der lautet , halbierter Energiepreis ohne CO2 wird erfunden .</t>
  </si>
  <si>
    <t>file://conllu/de/teddy-918.conllu#s186_0</t>
  </si>
  <si>
    <t>187</t>
  </si>
  <si>
    <t>nähmen</t>
  </si>
  <si>
    <t>diesen Wunsch nähme ich .</t>
  </si>
  <si>
    <t>file://conllu/de/teddy-918.conllu#s187_0</t>
  </si>
  <si>
    <t>188</t>
  </si>
  <si>
    <t>Dieser hat die größte Auswirkung .</t>
  </si>
  <si>
    <t>file://conllu/de/teddy-918.conllu#s188_0</t>
  </si>
  <si>
    <t>189</t>
  </si>
  <si>
    <t>Wenn wir diesen Wunsch nicht kriegen , wird der Graben zwischen langfristig und kurzfristig denkenden Menschen schrecklich werden , zwischen den USA und China , zwischen armen und reichen Ländern .</t>
  </si>
  <si>
    <t>file://conllu/de/teddy-918.conllu#s189_0</t>
  </si>
  <si>
    <t>190</t>
  </si>
  <si>
    <t>und fast alle Leben dieser 2 Milliarden werden sehr viel schlechter sein .</t>
  </si>
  <si>
    <t>file://conllu/de/teddy-918.conllu#s190_0</t>
  </si>
  <si>
    <t>191</t>
  </si>
  <si>
    <t>tun</t>
  </si>
  <si>
    <t>Was müssen wir also tun ?</t>
  </si>
  <si>
    <t>file://conllu/de/teddy-918.conllu#s191_0</t>
  </si>
  <si>
    <t>192</t>
  </si>
  <si>
    <t>appellieren</t>
  </si>
  <si>
    <t>Für welche Maßnahmen appelliere ich ?</t>
  </si>
  <si>
    <t>file://conllu/de/teddy-918.conllu#s192_0</t>
  </si>
  <si>
    <t>193</t>
  </si>
  <si>
    <t>einsetzen</t>
  </si>
  <si>
    <t>Wir müssen uns für mehr Forschungsgelder einsetzen .</t>
  </si>
  <si>
    <t>file://conllu/de/teddy-918.conllu#s193_0</t>
  </si>
  <si>
    <t>194</t>
  </si>
  <si>
    <t>Wenn Länder sich in Orten wie Koppenhagen treffen , sollten sie nicht nur über CO2 sprechen .</t>
  </si>
  <si>
    <t>file://conllu/de/teddy-918.conllu#s194_0</t>
  </si>
  <si>
    <t>195</t>
  </si>
  <si>
    <t>besprechen</t>
  </si>
  <si>
    <t>Sie sollten diese Innovationsstrategie besprechen und Sie wären geschockt von den lächerlich geringen Geldern , die für diese innovativen Herangehensweisen ausgegeben werden .</t>
  </si>
  <si>
    <t>file://conllu/de/teddy-918.conllu#s195_0</t>
  </si>
  <si>
    <t>196</t>
  </si>
  <si>
    <t>Wir brauchen Marktanreize , CO2 Steuern , Cap &amp;amp;amp ;</t>
  </si>
  <si>
    <t>file://conllu/de/teddy-918.conllu#s196_0</t>
  </si>
  <si>
    <t>197</t>
  </si>
  <si>
    <t>Trade etwas , dass ein Preissignal schafft .</t>
  </si>
  <si>
    <t>file://conllu/de/teddy-918.conllu#s197_0</t>
  </si>
  <si>
    <t>198</t>
  </si>
  <si>
    <t>verbreiten</t>
  </si>
  <si>
    <t>Wir müssen die Nachricht verbreiten .</t>
  </si>
  <si>
    <t>file://conllu/de/teddy-918.conllu#s198_0</t>
  </si>
  <si>
    <t>199</t>
  </si>
  <si>
    <t>fahren|führen</t>
  </si>
  <si>
    <t>Wir müssen Dialog rationaler und vollständiger führen und auch die Dinge , die von der Regierung unternommen werden .</t>
  </si>
  <si>
    <t>file://conllu/de/teddy-918.conllu#s199_0</t>
  </si>
  <si>
    <t>200</t>
  </si>
  <si>
    <t>Es ist ein wichtiger Wunsch , aber ich denke , wir können ihn erfüllen .</t>
  </si>
  <si>
    <t>file://conllu/de/teddy-918.conllu#s200_0</t>
  </si>
  <si>
    <t>201</t>
  </si>
  <si>
    <t>Dank</t>
  </si>
  <si>
    <t>Vielen Dank .</t>
  </si>
  <si>
    <t>file://conllu/de/teddy-918.conllu#s201_0</t>
  </si>
  <si>
    <t>202</t>
  </si>
  <si>
    <t>Rank|Danke</t>
  </si>
  <si>
    <t>( Applaus ) Chris Anderson : Danke .</t>
  </si>
  <si>
    <t>file://conllu/de/teddy-918.conllu#s202_0</t>
  </si>
  <si>
    <t>203</t>
  </si>
  <si>
    <t>Danke !</t>
  </si>
  <si>
    <t>file://conllu/de/teddy-918.conllu#s203_0</t>
  </si>
  <si>
    <t>204</t>
  </si>
  <si>
    <t>file://conllu/de/teddy-918.conllu#s204_0</t>
  </si>
  <si>
    <t>205</t>
  </si>
  <si>
    <t>verstehen</t>
  </si>
  <si>
    <t>Nur um TerraPower etwas besser zu verstehen Erstmal , können Sie uns eine Vorstellung der Größenordnung dieser Investition geben ?</t>
  </si>
  <si>
    <t>file://conllu/de/teddy-918.conllu#s205_0</t>
  </si>
  <si>
    <t>206</t>
  </si>
  <si>
    <t>Bill</t>
  </si>
  <si>
    <t>Bill Gates :</t>
  </si>
  <si>
    <t>file://conllu/de/teddy-918.conllu#s206_0</t>
  </si>
  <si>
    <t>207</t>
  </si>
  <si>
    <t>Um die Simulation auf einem Supercomputer durchzuführen , alle großen Wissenschaftler zu bekommen , was wir gemacht haben , brauchen wir nur einige 10 Millionen .</t>
  </si>
  <si>
    <t>file://conllu/de/teddy-918.conllu#s207_0</t>
  </si>
  <si>
    <t>208</t>
  </si>
  <si>
    <t>testen</t>
  </si>
  <si>
    <t>Und selbst wenn wir unsere Materialien in einem russischen Reaktor getestet haben , um sicherzustellen , dass es vernünftig funktioniert , ist man nur in den 100en Millionen .</t>
  </si>
  <si>
    <t>file://conllu/de/teddy-918.conllu#s208_0</t>
  </si>
  <si>
    <t>209</t>
  </si>
  <si>
    <t>sein (sein bauen)</t>
  </si>
  <si>
    <t>Der schwierige Schritt ist das Bauen des ersten Reaktors , weitere Milliarden zu finden , die Regularien und den Ort der tatsächlich den ersten davon baut .</t>
  </si>
  <si>
    <t>file://conllu/de/teddy-918.conllu#s209_0</t>
  </si>
  <si>
    <t>210</t>
  </si>
  <si>
    <t>sein (sein klar)</t>
  </si>
  <si>
    <t>Sobald der Erste fertig ist , wenn er so läuft wie versprochen , dann ist alles ganz klar , denn die Wirtschaftlichkeit , die Energiedichte ist so anders als bei Nuklearenergie , wie wir sie kennen .</t>
  </si>
  <si>
    <t>file://conllu/de/teddy-918.conllu#s210_0</t>
  </si>
  <si>
    <t>211</t>
  </si>
  <si>
    <t>CA : Um das richtig zu verstehen :</t>
  </si>
  <si>
    <t>file://conllu/de/teddy-918.conllu#s211_0</t>
  </si>
  <si>
    <t>212</t>
  </si>
  <si>
    <t>Das bedeutet tief in den Boden zu bauen fast wie eine vertikale Säule nuklearen Brennstoffs , dieses verbrauchten Urans und dann beginnt der Prozess oben und arbeitet sich weiter nach unten ?</t>
  </si>
  <si>
    <t>file://conllu/de/teddy-918.conllu#s212_0</t>
  </si>
  <si>
    <t>213</t>
  </si>
  <si>
    <t>BG</t>
  </si>
  <si>
    <t>BG : Genau .</t>
  </si>
  <si>
    <t>file://conllu/de/teddy-918.conllu#s213_0</t>
  </si>
  <si>
    <t>214</t>
  </si>
  <si>
    <t>befüllen</t>
  </si>
  <si>
    <t>Heute müssen Sie den Reaktor immer neu befüllen , also gibt es viele Leute und viele Kontrollen , die schief gehen können .</t>
  </si>
  <si>
    <t>file://conllu/de/teddy-918.conllu#s214_0</t>
  </si>
  <si>
    <t>215</t>
  </si>
  <si>
    <t>Ding</t>
  </si>
  <si>
    <t>Dieses Ding wo man ihn öffnet und Sachen hinein oder herausbringt .</t>
  </si>
  <si>
    <t>file://conllu/de/teddy-918.conllu#s215_0</t>
  </si>
  <si>
    <t>216</t>
  </si>
  <si>
    <t>Das ist nicht gut !</t>
  </si>
  <si>
    <t>file://conllu/de/teddy-918.conllu#s216_0</t>
  </si>
  <si>
    <t>217</t>
  </si>
  <si>
    <t>denken</t>
  </si>
  <si>
    <t>Wenn man aber sehr billigen Brennstoff hat , kann man ihn für 60 Jahre befüllen denken Sie an eine Säule die Sie vergraben , ohne die ganzen Komplexitäten .</t>
  </si>
  <si>
    <t>file://conllu/de/teddy-918.conllu#s217_0</t>
  </si>
  <si>
    <t>218</t>
  </si>
  <si>
    <t>sitzen</t>
  </si>
  <si>
    <t>Und es sitzt dort und brennt 60 Jahre lang und dann ist es fertig .</t>
  </si>
  <si>
    <t>file://conllu/de/teddy-918.conllu#s218_0</t>
  </si>
  <si>
    <t>219</t>
  </si>
  <si>
    <t>Nuklearreaktor</t>
  </si>
  <si>
    <t>CA : Ein Nuklearreaktor , der selbst eine Lösung für den Müll bietet .</t>
  </si>
  <si>
    <t>file://conllu/de/teddy-918.conllu#s219_0</t>
  </si>
  <si>
    <t>220</t>
  </si>
  <si>
    <t>BG : Ja .</t>
  </si>
  <si>
    <t>file://conllu/de/teddy-918.conllu#s220_0</t>
  </si>
  <si>
    <t>221</t>
  </si>
  <si>
    <t>Nun , was mit dem Müll passiert : Man kann ihn sitzen lassen es gibt viel weniger Müll mit dieser Methode dann nehmen Sie ihn und packen ihn in den nächsten Reaktor und verbrennen es weiter .</t>
  </si>
  <si>
    <t>file://conllu/de/teddy-918.conllu#s221_0</t>
  </si>
  <si>
    <t>222</t>
  </si>
  <si>
    <t>beginnen</t>
  </si>
  <si>
    <t>Und wir beginnen , indem wir den Müll nehmen , der bereits existiert , der in diesen Kühlbecken oder Trockenbehältern bei den Reaktoren liegt .</t>
  </si>
  <si>
    <t>file://conllu/de/teddy-918.conllu#s222_0</t>
  </si>
  <si>
    <t>223</t>
  </si>
  <si>
    <t>sein (sein Startbrennstoff)</t>
  </si>
  <si>
    <t>Das ist unser Startbrennstoff .</t>
  </si>
  <si>
    <t>file://conllu/de/teddy-918.conllu#s223_0</t>
  </si>
  <si>
    <t>224</t>
  </si>
  <si>
    <t>reduziert</t>
  </si>
  <si>
    <t>Also ist das , was für diese Reaktoren ein Problem war , das , was wir in unseren füllen und damit wird das Müllvolumen dramatisch reduziert während dieses Prozesses .</t>
  </si>
  <si>
    <t>file://conllu/de/teddy-918.conllu#s224_0</t>
  </si>
  <si>
    <t>225</t>
  </si>
  <si>
    <t>CA : Aber während Sie mit verschiedenen Menschen dieser Welt über diese Möglichkeiten gesprochen haben , wo ist das größte Interesse , so was wirklich umzusetzen ?</t>
  </si>
  <si>
    <t>file://conllu/de/teddy-918.conllu#s225_0</t>
  </si>
  <si>
    <t>226</t>
  </si>
  <si>
    <t>festlegen</t>
  </si>
  <si>
    <t>BG : Nun wir haben uns noch nicht auf einen Ort festgelegt und es gibt eine Menge interessanter Offenlegungsregeln für alles das &amp;quot; nuklear &amp;quot; im in dem Namen trägt .</t>
  </si>
  <si>
    <t>file://conllu/de/teddy-918.conllu#s226_0</t>
  </si>
  <si>
    <t>227</t>
  </si>
  <si>
    <t>sein (sein geben)</t>
  </si>
  <si>
    <t>Es gibt großes Interesse und die Menschen des Unternehmens waren in Russland , Indien , China ...</t>
  </si>
  <si>
    <t>file://conllu/de/teddy-918.conllu#s227_0</t>
  </si>
  <si>
    <t>228</t>
  </si>
  <si>
    <t>sein</t>
  </si>
  <si>
    <t>Ich war hier und habe den Energieminister getroffen und darüber gesprochen , wie dies zur zu der Energieagenda passt .</t>
  </si>
  <si>
    <t>file://conllu/de/teddy-918.conllu#s228_0</t>
  </si>
  <si>
    <t>229</t>
  </si>
  <si>
    <t>sein (sein optimistisch)</t>
  </si>
  <si>
    <t>Ich bin optimistisch .</t>
  </si>
  <si>
    <t>file://conllu/de/teddy-918.conllu#s229_0</t>
  </si>
  <si>
    <t>230</t>
  </si>
  <si>
    <t>Wissen Sie , die Franzosen und Japaner haben etwas in die Richtung gemacht .</t>
  </si>
  <si>
    <t>file://conllu/de/teddy-918.conllu#s230_0</t>
  </si>
  <si>
    <t>231</t>
  </si>
  <si>
    <t>sein (sein Variante)</t>
  </si>
  <si>
    <t>Dies ist eine Variante einer Sache , die gemacht wurde .</t>
  </si>
  <si>
    <t>file://conllu/de/teddy-918.conllu#s231_0</t>
  </si>
  <si>
    <t>232</t>
  </si>
  <si>
    <t>sein (sein jed)</t>
  </si>
  <si>
    <t>Das ist ein wichtiger Schritt vorwärts , aber es ist wie ein schneller Reaktor und einige Länder haben diese gebaut , deshalb ist jeder , der einen schnellen Reaktor umgesetzt hat , ein Kandidatat für unseren ersten .</t>
  </si>
  <si>
    <t>file://conllu/de/teddy-918.conllu#s232_0</t>
  </si>
  <si>
    <t>233</t>
  </si>
  <si>
    <t>ca</t>
  </si>
  <si>
    <t>CA :</t>
  </si>
  <si>
    <t>file://conllu/de/teddy-918.conllu#s233_0</t>
  </si>
  <si>
    <t>234</t>
  </si>
  <si>
    <t>rufen</t>
  </si>
  <si>
    <t>In Ihrer Vorstellung : Zeitrahmen und Wahrscheinlichkeit so etwas wirklich ins in das Leben zu rufen ?</t>
  </si>
  <si>
    <t>file://conllu/de/teddy-918.conllu#s234_0</t>
  </si>
  <si>
    <t>235</t>
  </si>
  <si>
    <t>BG : Nun wir brauchen eines dieser skalierbaren , stromgenerierenden Dinge , die sehr günstig sind , wir haben 20 Jahre zum zu dem Erfinden und dann 20 Jahre zum zu dem Einsetzen .</t>
  </si>
  <si>
    <t>file://conllu/de/teddy-918.conllu#s235_0</t>
  </si>
  <si>
    <t>236</t>
  </si>
  <si>
    <t>sein (sein Deadline)</t>
  </si>
  <si>
    <t>Das ist quasi die Deadline , die uns die Umweltmodelle aufgezeigt hat , die wir einhalten müssen .</t>
  </si>
  <si>
    <t>file://conllu/de/teddy-918.conllu#s236_0</t>
  </si>
  <si>
    <t>237</t>
  </si>
  <si>
    <t>halten</t>
  </si>
  <si>
    <t>Und , wissen Sie , TerraPower , wenn alles gut läuft , und das ist ein großer Wunsch , könnte das leicht halten .</t>
  </si>
  <si>
    <t>file://conllu/de/teddy-918.conllu#s237_0</t>
  </si>
  <si>
    <t>238</t>
  </si>
  <si>
    <t>Und glücklicherweise gibt es heute Dutzende von Firmen , und wir brauchen Hunderte , die , genauso , wenn deren Ansätze funktionieren , die Förderung für ihre Piloten funktioniert , dafür mitbieten können .</t>
  </si>
  <si>
    <t>file://conllu/de/teddy-918.conllu#s238_0</t>
  </si>
  <si>
    <t>239</t>
  </si>
  <si>
    <t>Und es wäre am an dem Besten , wenn es mehrere schaffen , denn dann könnte man eine Mischung benutzen .</t>
  </si>
  <si>
    <t>file://conllu/de/teddy-918.conllu#s239_0</t>
  </si>
  <si>
    <t>240</t>
  </si>
  <si>
    <t>Auf jeden Fall brauchen wir eine Lösung .</t>
  </si>
  <si>
    <t>file://conllu/de/teddy-918.conllu#s240_0</t>
  </si>
  <si>
    <t>241</t>
  </si>
  <si>
    <t>sein (sein groß)</t>
  </si>
  <si>
    <t>CA : Betreffend der großen möglichen Durchbrüche , ist dies das Größte , das Sie kennen ?</t>
  </si>
  <si>
    <t>file://conllu/de/teddy-918.conllu#s241_0</t>
  </si>
  <si>
    <t>242</t>
  </si>
  <si>
    <t>sein (sein allerwichtig)</t>
  </si>
  <si>
    <t>BG : Ein Energiedurchbruch ist das allerwichtigste .</t>
  </si>
  <si>
    <t>file://conllu/de/teddy-918.conllu#s242_0</t>
  </si>
  <si>
    <t>243</t>
  </si>
  <si>
    <t>sein (sein Umweltherausforderung)</t>
  </si>
  <si>
    <t>Das wäre es auch ohne die Umweltherausforderung gewesen , aber die macht es noch so viel wichtiger .</t>
  </si>
  <si>
    <t>file://conllu/de/teddy-918.conllu#s243_0</t>
  </si>
  <si>
    <t>245</t>
  </si>
  <si>
    <t>Wissen Sie , wir kennen deren Arbeit nicht so gut wie diese , aber es gibt die modulare Methode , das ist ein anderer Ansatz .</t>
  </si>
  <si>
    <t>file://conllu/de/teddy-918.conllu#s245_0</t>
  </si>
  <si>
    <t>246</t>
  </si>
  <si>
    <t>Es gibt einen flüssigen Reaktortyp , welches etwas schwierig scheint , aber vielleicht sagen die das über uns .</t>
  </si>
  <si>
    <t>file://conllu/de/teddy-918.conllu#s246_0</t>
  </si>
  <si>
    <t>247</t>
  </si>
  <si>
    <t>Und somit gibt es verschiedene , aber das schöne daran ist , dass ein Uranmolekül eine Millionen mal so viel Energie hat wie ein , sagen wir , ein Kohlemolekül und deshalb , wenn Sie mit den Problemen umgehen können und die sind hauptsächlich die Strahlung , der Fußabdruck und die Kosten , spielt das Potential , also die Auswirkungen auf das Land und andere Dinge , fast in einer eigenen Liga .</t>
  </si>
  <si>
    <t>file://conllu/de/teddy-918.conllu#s247_0</t>
  </si>
  <si>
    <t>248</t>
  </si>
  <si>
    <t>klappen</t>
  </si>
  <si>
    <t>CA : Wenn das nicht klappt , was dann ?</t>
  </si>
  <si>
    <t>file://conllu/de/teddy-918.conllu#s248_0</t>
  </si>
  <si>
    <t>249</t>
  </si>
  <si>
    <t>einleiten</t>
  </si>
  <si>
    <t>Müssen wir Notfallmaßnahmen einleiten , um zu versuchen , die Erdtemperatur stabil zu halten ?</t>
  </si>
  <si>
    <t>file://conllu/de/teddy-918.conllu#s249_0</t>
  </si>
  <si>
    <t>250</t>
  </si>
  <si>
    <t>essen</t>
  </si>
  <si>
    <t>BG : Wenn man in diese Situation kommt , ist es als ob man zu viel gegessen hat , und kurz vor einem Herzinfarkt steht .</t>
  </si>
  <si>
    <t>file://conllu/de/teddy-918.conllu#s250_0</t>
  </si>
  <si>
    <t>251</t>
  </si>
  <si>
    <t>Was macht man dann ?</t>
  </si>
  <si>
    <t>file://conllu/de/teddy-918.conllu#s251_0</t>
  </si>
  <si>
    <t>252</t>
  </si>
  <si>
    <t>Man braucht vielleicht eine Herzoperation oder ähnliches .</t>
  </si>
  <si>
    <t>file://conllu/de/teddy-918.conllu#s252_0</t>
  </si>
  <si>
    <t>253</t>
  </si>
  <si>
    <t>Es gibt eine Forschungsrichtung die sich Geoengineering nennt , die sich mit verschiedenen Techniken befasst , um die Erwärmung zu verzögern , damit wir 20 oder 30 Jahre länger bekämen um uns zusammenzuraufen .</t>
  </si>
  <si>
    <t>file://conllu/de/teddy-918.conllu#s253_0</t>
  </si>
  <si>
    <t>254</t>
  </si>
  <si>
    <t>sein (sein Versicherungsmethode)</t>
  </si>
  <si>
    <t>Das ist nur eine Versicherungsmethode .</t>
  </si>
  <si>
    <t>file://conllu/de/teddy-918.conllu#s254_0</t>
  </si>
  <si>
    <t>255</t>
  </si>
  <si>
    <t>hoffen</t>
  </si>
  <si>
    <t>Man hofft , dass wir das nicht brauchen .</t>
  </si>
  <si>
    <t>file://conllu/de/teddy-918.conllu#s255_0</t>
  </si>
  <si>
    <t>256</t>
  </si>
  <si>
    <t>Manche Leute sagen , man sollte gar nicht erst an der Versicherung arbeiten weil einen das vielleicht faul macht , sodass man weiter isst , weil man weiß , dass einen die Herzoperation retten wird .</t>
  </si>
  <si>
    <t>file://conllu/de/teddy-918.conllu#s256_0</t>
  </si>
  <si>
    <t>257</t>
  </si>
  <si>
    <t>Ich weiß nicht , ob das klug ist , wenn man sich die Wichtigkeit dieses Problems vor Augen führt , aber es gibt nun einen Diskurs in Geoengineering darüber , ob man das zur zu der Verfügung haben sollte , falls die Dinge schneller kommen , oder diese Innovation länger braucht , als wir erwarten .</t>
  </si>
  <si>
    <t>file://conllu/de/teddy-918.conllu#s257_0</t>
  </si>
  <si>
    <t>258</t>
  </si>
  <si>
    <t>CA : Klimaskeptiker : Haben</t>
  </si>
  <si>
    <t>file://conllu/de/teddy-918.conllu#s258_0</t>
  </si>
  <si>
    <t>259</t>
  </si>
  <si>
    <t>Satz</t>
  </si>
  <si>
    <t>Sie ein oder zwei Sätze für die , um Sie vielleicht zu überzeugen ?</t>
  </si>
  <si>
    <t>file://conllu/de/teddy-918.conllu#s259_0</t>
  </si>
  <si>
    <t>260</t>
  </si>
  <si>
    <t>BG : Nun , leider leben die Skeptiker in sehr verschiedenen Camps .</t>
  </si>
  <si>
    <t>file://conllu/de/teddy-918.conllu#s260_0</t>
  </si>
  <si>
    <t>261</t>
  </si>
  <si>
    <t>sein (sein wenig)</t>
  </si>
  <si>
    <t>Diejenigen , die wissenschaftliche Argumente machen , sind sehr wenig .</t>
  </si>
  <si>
    <t>file://conllu/de/teddy-918.conllu#s261_0</t>
  </si>
  <si>
    <t>262</t>
  </si>
  <si>
    <t>Sagen sie , dass es negative Auswirkungen gibt , die mit den Wolken zu tun haben , die Dinge verschieben ?</t>
  </si>
  <si>
    <t>file://conllu/de/teddy-918.conllu#s262_0</t>
  </si>
  <si>
    <t>263</t>
  </si>
  <si>
    <t>Es gibt sehr , sehr wenige Dinge , die sie überhaupt sagen können , von denen es eine Chance in einer Millionen gibt .</t>
  </si>
  <si>
    <t>file://conllu/de/teddy-918.conllu#s263_0</t>
  </si>
  <si>
    <t>264</t>
  </si>
  <si>
    <t>sein (sein ähnlich)</t>
  </si>
  <si>
    <t>Das Hauptproblem hier ist so ähnlich wie bei AIDS .</t>
  </si>
  <si>
    <t>file://conllu/de/teddy-918.conllu#s264_0</t>
  </si>
  <si>
    <t>265</t>
  </si>
  <si>
    <t>Man macht den Fehler jetzt , und man zahlt dafür sehr viel später .</t>
  </si>
  <si>
    <t>file://conllu/de/teddy-918.conllu#s265_0</t>
  </si>
  <si>
    <t>266</t>
  </si>
  <si>
    <t>sein (sein Vorstellung)</t>
  </si>
  <si>
    <t>Und deshalb ist die Vorstellung , jetzt , wenn man alle möglichen dringenden Probleme hat , in etwas zu investieren , von dem man erst später was hat und dazu kommt , dass die Investition nicht so klar ist .</t>
  </si>
  <si>
    <t>file://conllu/de/teddy-918.conllu#s266_0</t>
  </si>
  <si>
    <t>267</t>
  </si>
  <si>
    <t>Tatsächlich ist der IPCC Report nicht unbedingt das schlimmste Szenario und es gibt Menschen in der reichen Welt , die sich IPCC anschauen und sagen , okay , das ist kein großes Drama .</t>
  </si>
  <si>
    <t>file://conllu/de/teddy-918.conllu#s267_0</t>
  </si>
  <si>
    <t>268</t>
  </si>
  <si>
    <t>Die Tatsache ist , dass diese Unsicherheit uns Sorgen machen sollte .</t>
  </si>
  <si>
    <t>file://conllu/de/teddy-918.conllu#s268_0</t>
  </si>
  <si>
    <t>269</t>
  </si>
  <si>
    <t>Aber mein Traum hier ist , dass , wenn man es ökonomisch machen kann , und gleichzeitig das CO2 beseitigt , dann sagen auch die Skeptiker : &amp;quot; Okay , Es interessiert mich nicht , dass es kein CO2 emittiert , ich wünschte fast , dass es das täte , aber ich werde es wohl akzeptieren , weil es billiger ist als die vorherige Methode . &amp;quot;</t>
  </si>
  <si>
    <t>file://conllu/de/teddy-918.conllu#s269_0</t>
  </si>
  <si>
    <t>270</t>
  </si>
  <si>
    <t>sein (sein Antwort)</t>
  </si>
  <si>
    <t>CA : Und das wäre Ihre Antwort auf das Björn Lomborg Argument , dass , wenn man all diese Zeit und Energie verwendet um das CO2 Problem zu lösen , all die anderen Ziele darunter leiden , die Armutsverringerung , die Bekämpfung von Malaria und so weiter , dass es eine dumme Verschwendung von Ressourcen ist , Geld dafür zu investieren , während es bessere Dinge gibt , die wir tun können .</t>
  </si>
  <si>
    <t>file://conllu/de/teddy-918.conllu#s270_0</t>
  </si>
  <si>
    <t>271</t>
  </si>
  <si>
    <t>BG : Nun , die tatsächlichen Ausgaben für die Forschung sagen wir die U.S. sollten 10 Milliarden pro Jahr mehr ausgeben als sie heute tun das ist nicht so dramatisch .</t>
  </si>
  <si>
    <t>file://conllu/de/teddy-918.conllu#s271_0</t>
  </si>
  <si>
    <t>272</t>
  </si>
  <si>
    <t>leiden</t>
  </si>
  <si>
    <t>Darunter sollten anderen Dinge nicht leiden .</t>
  </si>
  <si>
    <t>file://conllu/de/teddy-918.conllu#s272_0</t>
  </si>
  <si>
    <t>273</t>
  </si>
  <si>
    <t>Man kommt dann zu großen Geldsummen , und hier können vernünftige Leute widersprechen , wenn man etwas hat , das nicht ökonomisch ist , und versucht , das zu finanzieren .</t>
  </si>
  <si>
    <t>file://conllu/de/teddy-918.conllu#s273_0</t>
  </si>
  <si>
    <t>274</t>
  </si>
  <si>
    <t>geschehen</t>
  </si>
  <si>
    <t>Für mich geschieht hier die meiste Verschwendung .</t>
  </si>
  <si>
    <t>file://conllu/de/teddy-918.conllu#s274_0</t>
  </si>
  <si>
    <t>275</t>
  </si>
  <si>
    <t>sein (sein denn)</t>
  </si>
  <si>
    <t>Es sei denn , man ist sehr kurz vor einem Kostendurchbruch und finanziert nur noch die Lernkurve .</t>
  </si>
  <si>
    <t>file://conllu/de/teddy-918.conllu#s275_0</t>
  </si>
  <si>
    <t>276</t>
  </si>
  <si>
    <t>versuchen (versuchen glauben)</t>
  </si>
  <si>
    <t>Ich glaube wir sollten mehr Dinge versuchen , die das Potential haben , sehr viel günstiger zu sein .</t>
  </si>
  <si>
    <t>file://conllu/de/teddy-918.conllu#s276_0</t>
  </si>
  <si>
    <t>277</t>
  </si>
  <si>
    <t>sein (sein Energiepreis)</t>
  </si>
  <si>
    <t>Falls der Abstrich , den man bekommt , ein sehr hoher Energiepreis ist , dann können nur die Reichen mithalten .</t>
  </si>
  <si>
    <t>file://conllu/de/teddy-918.conllu#s277_0</t>
  </si>
  <si>
    <t>278</t>
  </si>
  <si>
    <t>Ich meine?</t>
  </si>
  <si>
    <t>ausgeben</t>
  </si>
  <si>
    <t>Ich meine , jeder von uns hier könnte fünf mal so viel für unsere Energie ausgeben ohne seinen Lebensstil zu ändern .</t>
  </si>
  <si>
    <t>file://conllu/de/teddy-918.conllu#s278_0</t>
  </si>
  <si>
    <t>279</t>
  </si>
  <si>
    <t>sein (sein Desaster)</t>
  </si>
  <si>
    <t>Für die unteren zwei Milliarden aber ist es ein Desaster .</t>
  </si>
  <si>
    <t>file://conllu/de/teddy-918.conllu#s279_0</t>
  </si>
  <si>
    <t>280</t>
  </si>
  <si>
    <t>Und selbst Lomborg denkt um .</t>
  </si>
  <si>
    <t>file://conllu/de/teddy-918.conllu#s280_0</t>
  </si>
  <si>
    <t>281</t>
  </si>
  <si>
    <t>Warum?</t>
  </si>
  <si>
    <t>sein (sein jetzt)</t>
  </si>
  <si>
    <t>Seine neue Masche ist jetzt : &amp;quot; Warum wird die Forschung nicht mehr besprochen ? &amp;quot;</t>
  </si>
  <si>
    <t>file://conllu/de/teddy-918.conllu#s281_0</t>
  </si>
  <si>
    <t>282</t>
  </si>
  <si>
    <t>assoziieren</t>
  </si>
  <si>
    <t>Er wird immer noch , wegen seiner früheren Geschichten , mit dem Skeptiker Camp assoziiert , aber er hat verstanden , dass das eine sehr einsame Gruppe ist und deshalb bringt er jetzt das Forschungsargument .</t>
  </si>
  <si>
    <t>file://conllu/de/teddy-918.conllu#s282_0</t>
  </si>
  <si>
    <t>283</t>
  </si>
  <si>
    <t>sein (sein Gedankengang)</t>
  </si>
  <si>
    <t>Und das ist ein Gedankengang , den ich für angemessen halte .</t>
  </si>
  <si>
    <t>file://conllu/de/teddy-918.conllu#s283_0</t>
  </si>
  <si>
    <t>284</t>
  </si>
  <si>
    <t>Forschung</t>
  </si>
  <si>
    <t>Die Forschung , es ist einfach verrückt , wie wenig die unterstützt wird .</t>
  </si>
  <si>
    <t>file://conllu/de/teddy-918.conllu#s284_0</t>
  </si>
  <si>
    <t>285</t>
  </si>
  <si>
    <t>sagen (sagen glauben)</t>
  </si>
  <si>
    <t>CA : Bill , ich glaube ich spreche für fast alle Menschen hier , wenn ich sage , ich hoffe wirklich , dass Ihr Wunsch wahr wird .</t>
  </si>
  <si>
    <t>file://conllu/de/teddy-918.conllu#s285_0</t>
  </si>
  <si>
    <t>286</t>
  </si>
  <si>
    <t>Vielen , vielen Dank .</t>
  </si>
  <si>
    <t>file://conllu/de/teddy-918.conllu#s286_0</t>
  </si>
  <si>
    <t>287</t>
  </si>
  <si>
    <t>BG : Danke .</t>
  </si>
  <si>
    <t>file://conllu/de/teddy-918.conllu#s287_0</t>
  </si>
  <si>
    <t>WORD</t>
  </si>
  <si>
    <t>GR</t>
  </si>
  <si>
    <t>NP_TYPE</t>
  </si>
  <si>
    <t>REF_AUTO</t>
  </si>
  <si>
    <t>COREF</t>
  </si>
  <si>
    <t>REF</t>
  </si>
  <si>
    <t>IS</t>
  </si>
  <si>
    <t>CB</t>
  </si>
  <si>
    <t>GR_ANTE</t>
  </si>
  <si>
    <t>REF_DIST</t>
  </si>
  <si>
    <t>REF_DIST_ANTE</t>
  </si>
  <si>
    <t># text = Heute spreche ich zu Ihnen über Energie und Klima.</t>
  </si>
  <si>
    <t>Heute</t>
  </si>
  <si>
    <t>spreche</t>
  </si>
  <si>
    <t>ich</t>
  </si>
  <si>
    <t>SBJ</t>
  </si>
  <si>
    <t>pron.pper</t>
  </si>
  <si>
    <t>?OLD</t>
  </si>
  <si>
    <t>zu</t>
  </si>
  <si>
    <t>other_2</t>
  </si>
  <si>
    <t>pron.pind</t>
  </si>
  <si>
    <t>Ihnen</t>
  </si>
  <si>
    <t>other</t>
  </si>
  <si>
    <t>über</t>
  </si>
  <si>
    <t>Energie</t>
  </si>
  <si>
    <t>indef-np.bare</t>
  </si>
  <si>
    <t>und</t>
  </si>
  <si>
    <t>Klima</t>
  </si>
  <si>
    <t>.</t>
  </si>
  <si>
    <t># text = Und das überrascht vielleicht etwas, weil sich meine Vollzeitbeschäftigung bei der Stiftung hauptsächlich um Impfstoffe und Saatgut dreht, um die Dinge, die wir erfinden und liefern müssen um den ärmsten 2 Milliarden ein besseres Leben zu ermöglichen.</t>
  </si>
  <si>
    <t>Und</t>
  </si>
  <si>
    <t>das</t>
  </si>
  <si>
    <t>überrascht</t>
  </si>
  <si>
    <t>vielleicht</t>
  </si>
  <si>
    <t>def-np.the</t>
  </si>
  <si>
    <t>,</t>
  </si>
  <si>
    <t>weil</t>
  </si>
  <si>
    <t>sich</t>
  </si>
  <si>
    <t>OBJ_2</t>
  </si>
  <si>
    <t>meine</t>
  </si>
  <si>
    <t>other_3</t>
  </si>
  <si>
    <t>pron.ppos</t>
  </si>
  <si>
    <t>Vollzeitbeschäftigung</t>
  </si>
  <si>
    <t>SBJ_2</t>
  </si>
  <si>
    <t>bei</t>
  </si>
  <si>
    <t>der</t>
  </si>
  <si>
    <t>Stiftung</t>
  </si>
  <si>
    <t>hauptsächlich</t>
  </si>
  <si>
    <t>um</t>
  </si>
  <si>
    <t>Impfstoffe</t>
  </si>
  <si>
    <t>Saatgut</t>
  </si>
  <si>
    <t>dreht</t>
  </si>
  <si>
    <t>die</t>
  </si>
  <si>
    <t>Dinge</t>
  </si>
  <si>
    <t>OBJ_3</t>
  </si>
  <si>
    <t>OBJ_5</t>
  </si>
  <si>
    <t>wir</t>
  </si>
  <si>
    <t>SBJ_5</t>
  </si>
  <si>
    <t>pron</t>
  </si>
  <si>
    <t>erfinden</t>
  </si>
  <si>
    <t>liefern</t>
  </si>
  <si>
    <t>den</t>
  </si>
  <si>
    <t>ärmsten</t>
  </si>
  <si>
    <t>Milliarden</t>
  </si>
  <si>
    <t>other_5</t>
  </si>
  <si>
    <t>indef-np.quant</t>
  </si>
  <si>
    <t>besseres</t>
  </si>
  <si>
    <t>Leben</t>
  </si>
  <si>
    <t>indef-np.a</t>
  </si>
  <si>
    <t>ermöglichen</t>
  </si>
  <si>
    <t># text = Aber Energie und Klima sind extrem wichtig für diese Menschen, Genau genommen sogar wichtiger als für jeden anderen auf dem Planeten.</t>
  </si>
  <si>
    <t>Aber</t>
  </si>
  <si>
    <t>sind</t>
  </si>
  <si>
    <t>extrem</t>
  </si>
  <si>
    <t>wichtig</t>
  </si>
  <si>
    <t>für</t>
  </si>
  <si>
    <t>diese</t>
  </si>
  <si>
    <t>pron.pds</t>
  </si>
  <si>
    <t>Menschen</t>
  </si>
  <si>
    <t>def-np.dem</t>
  </si>
  <si>
    <t>Genau</t>
  </si>
  <si>
    <t>SBJ_3</t>
  </si>
  <si>
    <t>ne</t>
  </si>
  <si>
    <t>genommen</t>
  </si>
  <si>
    <t>sogar</t>
  </si>
  <si>
    <t>wichtiger</t>
  </si>
  <si>
    <t>als</t>
  </si>
  <si>
    <t>jeden</t>
  </si>
  <si>
    <t>anderen</t>
  </si>
  <si>
    <t>other_4</t>
  </si>
  <si>
    <t>auf</t>
  </si>
  <si>
    <t>dem</t>
  </si>
  <si>
    <t>Planeten</t>
  </si>
  <si>
    <t>def-np.the.other</t>
  </si>
  <si>
    <t># text = Klimaverschlechterung bedeutet, dass deren Saaten über viele Jahre nicht wachsen werden.</t>
  </si>
  <si>
    <t>Klimaverschlechterung</t>
  </si>
  <si>
    <t>bedeutet</t>
  </si>
  <si>
    <t>dass</t>
  </si>
  <si>
    <t>deren</t>
  </si>
  <si>
    <t>Saaten</t>
  </si>
  <si>
    <t>def-np.poss</t>
  </si>
  <si>
    <t>viele</t>
  </si>
  <si>
    <t>Jahre</t>
  </si>
  <si>
    <t>nicht</t>
  </si>
  <si>
    <t>wachsen</t>
  </si>
  <si>
    <t># text = Es wir zu viel oder zu wenig regnen.</t>
  </si>
  <si>
    <t>Es</t>
  </si>
  <si>
    <t>viel</t>
  </si>
  <si>
    <t>OBJ</t>
  </si>
  <si>
    <t>oder</t>
  </si>
  <si>
    <t>wenig</t>
  </si>
  <si>
    <t># text = Die Dinge werden sich so ändern, wie es ihre fragile Umwelt nicht aushalten kann.</t>
  </si>
  <si>
    <t>Die</t>
  </si>
  <si>
    <t>so</t>
  </si>
  <si>
    <t>wie</t>
  </si>
  <si>
    <t>es</t>
  </si>
  <si>
    <t>ihre</t>
  </si>
  <si>
    <t>fragile</t>
  </si>
  <si>
    <t>Umwelt</t>
  </si>
  <si>
    <t>indef-np</t>
  </si>
  <si>
    <t>aushalten</t>
  </si>
  <si>
    <t>kann</t>
  </si>
  <si>
    <t># text = Das führt zu Hungersterben.</t>
  </si>
  <si>
    <t>Das</t>
  </si>
  <si>
    <t>führt</t>
  </si>
  <si>
    <t>Hungersterben</t>
  </si>
  <si>
    <t># text = Es führt zu Unsicherheit.</t>
  </si>
  <si>
    <t>Unsicherheit</t>
  </si>
  <si>
    <t># text = Es führt zu Unruhen.</t>
  </si>
  <si>
    <t>Unruhen</t>
  </si>
  <si>
    <t># text = Also, wird eine Klimaveränderung furchtbar für sie werden.</t>
  </si>
  <si>
    <t>Also</t>
  </si>
  <si>
    <t>wird</t>
  </si>
  <si>
    <t>eine</t>
  </si>
  <si>
    <t>Klimaveränderung</t>
  </si>
  <si>
    <t>furchtbar</t>
  </si>
  <si>
    <t>sie</t>
  </si>
  <si>
    <t># text = Außerdem ist der Energiepreis für sie sehr wichtig.</t>
  </si>
  <si>
    <t>Außerdem</t>
  </si>
  <si>
    <t>ist</t>
  </si>
  <si>
    <t>Energiepreis</t>
  </si>
  <si>
    <t>sehr</t>
  </si>
  <si>
    <t># text = Tatsache ist, dass, wenn Sie nur von einer Sache den Preis verringern könnten, zur Armutsverringerung wäre Energie bei weitem am effektivsten.</t>
  </si>
  <si>
    <t>Tatsache</t>
  </si>
  <si>
    <t>wenn</t>
  </si>
  <si>
    <t>Sie</t>
  </si>
  <si>
    <t>nur</t>
  </si>
  <si>
    <t>von</t>
  </si>
  <si>
    <t>einer</t>
  </si>
  <si>
    <t>Preis</t>
  </si>
  <si>
    <t>verringern</t>
  </si>
  <si>
    <t>könnten</t>
  </si>
  <si>
    <t>Armutsverringerung</t>
  </si>
  <si>
    <t>wäre</t>
  </si>
  <si>
    <t>weitem</t>
  </si>
  <si>
    <t>an</t>
  </si>
  <si>
    <t>effektivsten</t>
  </si>
  <si>
    <t># text = Nun, der Energiepreis ist über die Zeit gefallen.</t>
  </si>
  <si>
    <t>Nun</t>
  </si>
  <si>
    <t>Zeit</t>
  </si>
  <si>
    <t>gefallen</t>
  </si>
  <si>
    <t># text = Tatsächlich basiert die Fortschrittsgesellschaft auf Energiefortschritten.</t>
  </si>
  <si>
    <t>Tatsächlich</t>
  </si>
  <si>
    <t>basiert</t>
  </si>
  <si>
    <t>Fortschrittsgesellschaft</t>
  </si>
  <si>
    <t>Energiefortschritten</t>
  </si>
  <si>
    <t># text = Die Kohlerevolution trieb die industrielle Revolution an und selbst im 20.</t>
  </si>
  <si>
    <t>Kohlerevolution</t>
  </si>
  <si>
    <t>trieb</t>
  </si>
  <si>
    <t>industrielle</t>
  </si>
  <si>
    <t>Revolution</t>
  </si>
  <si>
    <t>selbst</t>
  </si>
  <si>
    <t>in</t>
  </si>
  <si>
    <t># text = Jahrhundert gab es einen rapiden Fall im Elektrizitätspreis und deshalb haben wir Kühlschränke, Klimaanlagen, wir können moderne Materialien herstellen und so viele Dinge tun.</t>
  </si>
  <si>
    <t>Jahrhundert</t>
  </si>
  <si>
    <t>gab</t>
  </si>
  <si>
    <t>einen</t>
  </si>
  <si>
    <t>rapiden</t>
  </si>
  <si>
    <t>Fall</t>
  </si>
  <si>
    <t>Elektrizitätspreis</t>
  </si>
  <si>
    <t>deshalb</t>
  </si>
  <si>
    <t>Kühlschränke</t>
  </si>
  <si>
    <t>Klimaanlagen</t>
  </si>
  <si>
    <t>SBJ_4</t>
  </si>
  <si>
    <t>können</t>
  </si>
  <si>
    <t>moderne</t>
  </si>
  <si>
    <t>Materialien</t>
  </si>
  <si>
    <t>herstellen</t>
  </si>
  <si>
    <t># text = Wir befinden uns also in einer wunderbaren Situation mit Strom in der reichen Welt.</t>
  </si>
  <si>
    <t>Wir</t>
  </si>
  <si>
    <t>uns</t>
  </si>
  <si>
    <t>also</t>
  </si>
  <si>
    <t>wunderbaren</t>
  </si>
  <si>
    <t>Situation</t>
  </si>
  <si>
    <t>mit</t>
  </si>
  <si>
    <t>Strom</t>
  </si>
  <si>
    <t>Welt</t>
  </si>
  <si>
    <t># text = Aber, wenn wir den Preis verringern -- lassen wir uns den Preis halbieren -- treffen wir auf eine neue Barriere und diese Barriere hängt mit CO2 zusammen.</t>
  </si>
  <si>
    <t>OBJ_4</t>
  </si>
  <si>
    <t>halbieren</t>
  </si>
  <si>
    <t>treffen</t>
  </si>
  <si>
    <t>neue</t>
  </si>
  <si>
    <t>Barriere</t>
  </si>
  <si>
    <t>hängt</t>
  </si>
  <si>
    <t>CO2</t>
  </si>
  <si>
    <t>zusammen</t>
  </si>
  <si>
    <t># text = CO2 erwärmt den Planeten und die Gleichung für CO2 ist eigentlich ziemlich klar.</t>
  </si>
  <si>
    <t>erwärmt</t>
  </si>
  <si>
    <t>Gleichung</t>
  </si>
  <si>
    <t>eigentlich</t>
  </si>
  <si>
    <t>ziemlich</t>
  </si>
  <si>
    <t>klar</t>
  </si>
  <si>
    <t># text = Sie summieren das ausgestoßene CO2, welches zur Temperaturerhöhung führt und diese Temperaturerhöhung hat einige sehr negative Folgen.</t>
  </si>
  <si>
    <t>ausgestoßene</t>
  </si>
  <si>
    <t>welches</t>
  </si>
  <si>
    <t>Temperaturerhöhung</t>
  </si>
  <si>
    <t>hat</t>
  </si>
  <si>
    <t>einige</t>
  </si>
  <si>
    <t>negative</t>
  </si>
  <si>
    <t>Folgen</t>
  </si>
  <si>
    <t># text = Effekte auf das Wetter und vielleicht schlimmer, die indirekte Folge, dass die natürlichen Ökosysteme sich solch rapiden Veränderungen nicht anpassen können und somit ganze Systeme zusammenfallen.</t>
  </si>
  <si>
    <t>Effekte</t>
  </si>
  <si>
    <t>Wetter</t>
  </si>
  <si>
    <t>schlimmer</t>
  </si>
  <si>
    <t>indirekte</t>
  </si>
  <si>
    <t>Folge</t>
  </si>
  <si>
    <t>natürlichen</t>
  </si>
  <si>
    <t>Ökosysteme</t>
  </si>
  <si>
    <t>solch</t>
  </si>
  <si>
    <t>Veränderungen</t>
  </si>
  <si>
    <t>anpassen</t>
  </si>
  <si>
    <t>somit</t>
  </si>
  <si>
    <t>ganze</t>
  </si>
  <si>
    <t>Systeme</t>
  </si>
  <si>
    <t>zusammenfallen</t>
  </si>
  <si>
    <t># text = Nun, der exakte Zusammenhang zwischen einem CO2-Anstieg und der dadurch resultierende Temperaturveränderung und wo deren weitere Folgen liegen, da gibt es einige Unklarheiten, aber nicht sehr viele.</t>
  </si>
  <si>
    <t>exakte</t>
  </si>
  <si>
    <t>Zusammenhang</t>
  </si>
  <si>
    <t>zwischen</t>
  </si>
  <si>
    <t>einem</t>
  </si>
  <si>
    <t>Anstieg</t>
  </si>
  <si>
    <t>dadurch</t>
  </si>
  <si>
    <t>resultierende</t>
  </si>
  <si>
    <t>Temperaturveränderung</t>
  </si>
  <si>
    <t>wo</t>
  </si>
  <si>
    <t>weitere</t>
  </si>
  <si>
    <t>da</t>
  </si>
  <si>
    <t>gibt</t>
  </si>
  <si>
    <t>Unklarheiten</t>
  </si>
  <si>
    <t>aber</t>
  </si>
  <si>
    <t># text = Und es gibt sicher Unklarheit darüber, wie schlimm diese Folgen werden.</t>
  </si>
  <si>
    <t>sicher</t>
  </si>
  <si>
    <t>Unklarheit</t>
  </si>
  <si>
    <t>darüber</t>
  </si>
  <si>
    <t>schlimm</t>
  </si>
  <si>
    <t># text = Aber sie werden extrem schlimm sein!</t>
  </si>
  <si>
    <t>!</t>
  </si>
  <si>
    <t>--</t>
  </si>
  <si>
    <t># text = Ich habe die Top-Wissenschaftler mehrmals gefragt: "Müssen wir wirklich runter auf nahe Null kommen?</t>
  </si>
  <si>
    <t>Ich</t>
  </si>
  <si>
    <t>habe</t>
  </si>
  <si>
    <t>Top</t>
  </si>
  <si>
    <t>Wissenschaftler</t>
  </si>
  <si>
    <t>mehrmals</t>
  </si>
  <si>
    <t>gefragt</t>
  </si>
  <si>
    <t>:</t>
  </si>
  <si>
    <t>&amp;quot;</t>
  </si>
  <si>
    <t>Müssen</t>
  </si>
  <si>
    <t>wirklich</t>
  </si>
  <si>
    <t>runter</t>
  </si>
  <si>
    <t>nahe</t>
  </si>
  <si>
    <t>Null</t>
  </si>
  <si>
    <t>?</t>
  </si>
  <si>
    <t># text = Reicht nicht die Hälfte oder ein Viertel?"</t>
  </si>
  <si>
    <t>Hälfte</t>
  </si>
  <si>
    <t>Viertel</t>
  </si>
  <si>
    <t># text = Die Antwort ist: Bis wir nahe Null kommen, wird die Temperatur weiter steigen.</t>
  </si>
  <si>
    <t>Antwort</t>
  </si>
  <si>
    <t>Bis</t>
  </si>
  <si>
    <t>Temperatur</t>
  </si>
  <si>
    <t>weiter</t>
  </si>
  <si>
    <t>steigen</t>
  </si>
  <si>
    <t># text = Deshalb ist es eine große Herausforderung.</t>
  </si>
  <si>
    <t>Deshalb</t>
  </si>
  <si>
    <t>große</t>
  </si>
  <si>
    <t>Herausforderung</t>
  </si>
  <si>
    <t># text = Es ist ganz anders als zu sagen, wir haben ein 3,5 m hohen LKW, der unter einer 3 m Brücke her muss.</t>
  </si>
  <si>
    <t>ganz</t>
  </si>
  <si>
    <t>anders</t>
  </si>
  <si>
    <t>3,5</t>
  </si>
  <si>
    <t>m</t>
  </si>
  <si>
    <t>hohen</t>
  </si>
  <si>
    <t>LKW</t>
  </si>
  <si>
    <t>unter</t>
  </si>
  <si>
    <t>Brücke</t>
  </si>
  <si>
    <t>her</t>
  </si>
  <si>
    <t>muss</t>
  </si>
  <si>
    <t># text = Den kann man dann quasi darunter her quetschen.</t>
  </si>
  <si>
    <t>Den</t>
  </si>
  <si>
    <t>man</t>
  </si>
  <si>
    <t>dann</t>
  </si>
  <si>
    <t>quasi</t>
  </si>
  <si>
    <t>darunter</t>
  </si>
  <si>
    <t># text = Das hier muss ganz nach unten, auf Null.</t>
  </si>
  <si>
    <t>hier</t>
  </si>
  <si>
    <t>nach</t>
  </si>
  <si>
    <t>unten</t>
  </si>
  <si>
    <t># text = Nun, wir stoßen jedes Jahr eine menge Kohlenstoffdioxid aus, über 26 Milliarden Tonnen.</t>
  </si>
  <si>
    <t>jedes</t>
  </si>
  <si>
    <t>Jahr</t>
  </si>
  <si>
    <t>menge</t>
  </si>
  <si>
    <t>Kohlenstoffdioxid</t>
  </si>
  <si>
    <t>aus</t>
  </si>
  <si>
    <t>Tonnen</t>
  </si>
  <si>
    <t># text = Jeder Amerikaner etwa 20 Tonnen.</t>
  </si>
  <si>
    <t>Jeder</t>
  </si>
  <si>
    <t>Amerikaner</t>
  </si>
  <si>
    <t>etwa</t>
  </si>
  <si>
    <t># text = Menschen aus armen Ländern, weniger als eine.</t>
  </si>
  <si>
    <t>armen</t>
  </si>
  <si>
    <t>Ländern</t>
  </si>
  <si>
    <t>weniger</t>
  </si>
  <si>
    <t># text = Im Durchschnitt sind es etwa 5 Tonnen für jeden auf dem Planeten.</t>
  </si>
  <si>
    <t>In</t>
  </si>
  <si>
    <t>Durchschnitt</t>
  </si>
  <si>
    <t># text = Und irgendwie müssen wir Veränderungen hervorbringen, die das auf Null senken.</t>
  </si>
  <si>
    <t>irgendwie</t>
  </si>
  <si>
    <t># text = Es ist bisher konstant gestiegen.</t>
  </si>
  <si>
    <t>bisher</t>
  </si>
  <si>
    <t>konstant</t>
  </si>
  <si>
    <t>gestiegen</t>
  </si>
  <si>
    <t># text = Nur verschiedene ökonomische Veränderungen haben es überhaupt beeinflusst und wir müssen von rapidem Anstieg zu Verringerung gehen und zu einer Verringerung bis auf Null.</t>
  </si>
  <si>
    <t>Nur</t>
  </si>
  <si>
    <t>verschiedene</t>
  </si>
  <si>
    <t>ökonomische</t>
  </si>
  <si>
    <t>überhaupt</t>
  </si>
  <si>
    <t>beeinflusst</t>
  </si>
  <si>
    <t>rapidem</t>
  </si>
  <si>
    <t>Verringerung</t>
  </si>
  <si>
    <t>bis</t>
  </si>
  <si>
    <t># text = Diese Gleichung hat vier Faktoren.</t>
  </si>
  <si>
    <t>Diese</t>
  </si>
  <si>
    <t>vier</t>
  </si>
  <si>
    <t>Faktoren</t>
  </si>
  <si>
    <t># text = Ein bisschen Multiplikation.</t>
  </si>
  <si>
    <t>Ein</t>
  </si>
  <si>
    <t>bisschen</t>
  </si>
  <si>
    <t># text = Sie haben dieses Ding links - CO2 -, das Sie Richtung Null bringen wollen und das wird von der Anzahl der Menschen abhängen, von den Diensten, die jeder Mensch im Durchschnitt nutzt, der durchschnittlichen Energie für jeden Dienst und dem CO2, das pro Energieeinheit emittiert wird.</t>
  </si>
  <si>
    <t>dieses</t>
  </si>
  <si>
    <t>links</t>
  </si>
  <si>
    <t>Richtung</t>
  </si>
  <si>
    <t>bringen</t>
  </si>
  <si>
    <t>Anzahl</t>
  </si>
  <si>
    <t>abhängen</t>
  </si>
  <si>
    <t>Diensten</t>
  </si>
  <si>
    <t>jeder</t>
  </si>
  <si>
    <t>Mensch</t>
  </si>
  <si>
    <t>nutzt</t>
  </si>
  <si>
    <t>durchschnittlichen</t>
  </si>
  <si>
    <t>Dienst</t>
  </si>
  <si>
    <t>pro</t>
  </si>
  <si>
    <t>Energieeinheit</t>
  </si>
  <si>
    <t>emittiert</t>
  </si>
  <si>
    <t># text = Lassen Sie uns also jeden Faktor einzeln anschauen und überlegen wir, wie wir das auf Null bekommen.</t>
  </si>
  <si>
    <t>Lassen</t>
  </si>
  <si>
    <t>Faktor</t>
  </si>
  <si>
    <t>einzeln</t>
  </si>
  <si>
    <t># text = Wahrscheinlich muss eine dieser Zahlen sehr nah an Null kommen.</t>
  </si>
  <si>
    <t>Wahrscheinlich</t>
  </si>
  <si>
    <t>dieser</t>
  </si>
  <si>
    <t>Zahlen</t>
  </si>
  <si>
    <t># text = Nun das ist grundlegende Algebra, aber gehen wir es mal durch.</t>
  </si>
  <si>
    <t>grundlegende</t>
  </si>
  <si>
    <t>Algebra</t>
  </si>
  <si>
    <t>mal</t>
  </si>
  <si>
    <t>durch</t>
  </si>
  <si>
    <t># text = Zuerst haben wir die Bevölkerung.</t>
  </si>
  <si>
    <t>Zuerst</t>
  </si>
  <si>
    <t>Bevölkerung</t>
  </si>
  <si>
    <t># text = Heute leben 6,8 Milliarden Menschen, und es schreitet auf 9 Milliarden zu.</t>
  </si>
  <si>
    <t>6,8</t>
  </si>
  <si>
    <t>schreitet</t>
  </si>
  <si>
    <t># text = die sich auf 9 Milliarden zu bewegen.</t>
  </si>
  <si>
    <t># text = Wenn wir sehr erfolgreich mit neuen Impfstoffen, der Gesundheitsvorsorgung und Reproduktionsmedizin sind könnten wir das wohl um 10% bis 15% senken, aber zur Zeit sehen wir eine Steigung um 1,3.</t>
  </si>
  <si>
    <t>Wenn</t>
  </si>
  <si>
    <t>erfolgreich</t>
  </si>
  <si>
    <t>neuen</t>
  </si>
  <si>
    <t>Impfstoffen</t>
  </si>
  <si>
    <t>Gesundheitsvorsorgung</t>
  </si>
  <si>
    <t>Reproduktionsmedizin</t>
  </si>
  <si>
    <t>wohl</t>
  </si>
  <si>
    <t>10%</t>
  </si>
  <si>
    <t>15%</t>
  </si>
  <si>
    <t>Steigung</t>
  </si>
  <si>
    <t>1,3</t>
  </si>
  <si>
    <t># text = Der zweite Faktor sind die Dienste, die wir nutzen.</t>
  </si>
  <si>
    <t>Der</t>
  </si>
  <si>
    <t>zweite</t>
  </si>
  <si>
    <t>Dienste</t>
  </si>
  <si>
    <t># text = Das umfasst alles, die Nahrung, die wir essen, Kleidung, Fernsehen, Heizung.</t>
  </si>
  <si>
    <t>umfasst</t>
  </si>
  <si>
    <t>alles</t>
  </si>
  <si>
    <t>Nahrung</t>
  </si>
  <si>
    <t>Kleidung</t>
  </si>
  <si>
    <t>Fernsehen</t>
  </si>
  <si>
    <t>Heizung</t>
  </si>
  <si>
    <t># text = Das sind sehr gute Dinge und Armutsverringerung bedeutet, diese Dienste fast jedem auf dem Planeten zugänglich zu machen.</t>
  </si>
  <si>
    <t>gute</t>
  </si>
  <si>
    <t>fast</t>
  </si>
  <si>
    <t>jedem</t>
  </si>
  <si>
    <t>zugänglich</t>
  </si>
  <si>
    <t># text = Es ist toll, dass diese Nummer steigt.</t>
  </si>
  <si>
    <t>toll</t>
  </si>
  <si>
    <t>Nummer</t>
  </si>
  <si>
    <t>steigt</t>
  </si>
  <si>
    <t># text = In der reichen Welt, in der oberen Milliarde, könnten wir wohl Abstriche machen und weniger nutzen, aber im Durchschnitt wird diese Zahl jedes Jahr steigen und sich somit insgesamt mehr als verdoppeln, die Zahl der Dienste die pro Person bereitgestellt werden.</t>
  </si>
  <si>
    <t>oberen</t>
  </si>
  <si>
    <t>Milliarde</t>
  </si>
  <si>
    <t>Abstriche</t>
  </si>
  <si>
    <t>Zahl</t>
  </si>
  <si>
    <t>insgesamt</t>
  </si>
  <si>
    <t>mehr</t>
  </si>
  <si>
    <t>verdoppeln</t>
  </si>
  <si>
    <t>Person</t>
  </si>
  <si>
    <t>bereitgestellt</t>
  </si>
  <si>
    <t># text = Hier sehen wir einen sehr grundlegenden Dienst.</t>
  </si>
  <si>
    <t>Hier</t>
  </si>
  <si>
    <t>grundlegenden</t>
  </si>
  <si>
    <t># text = Gibt es zu Hause Licht, damit man die Hausaufgaben lesen kann?</t>
  </si>
  <si>
    <t>Gibt</t>
  </si>
  <si>
    <t>Hause</t>
  </si>
  <si>
    <t>Licht</t>
  </si>
  <si>
    <t>damit</t>
  </si>
  <si>
    <t>Hausaufgaben</t>
  </si>
  <si>
    <t>lesen</t>
  </si>
  <si>
    <t># text = Und diese Schüler haben es nicht, also gehen sie heraus und lesen ihre Schulaufgaben unter dem Straßenlicht.</t>
  </si>
  <si>
    <t>Schüler</t>
  </si>
  <si>
    <t>heraus</t>
  </si>
  <si>
    <t>Schulaufgaben</t>
  </si>
  <si>
    <t>Straßenlicht</t>
  </si>
  <si>
    <t># text = Nun, bei Effektivität, dem E, die Energie pro Dienst, gibt es endlich gute Nachrichten.</t>
  </si>
  <si>
    <t>Effektivität</t>
  </si>
  <si>
    <t>E</t>
  </si>
  <si>
    <t>endlich</t>
  </si>
  <si>
    <t>Nachrichten</t>
  </si>
  <si>
    <t># text = Wir haben etwas, das nicht steigt, aufgrund verschiedener Erfolge im Lichtsektor, durch andere Autotypen, durch neue Methoden im Häuserbau, Es gibt viele Dienste, deren Energieaufwand Sie drastisch senken können, drastisch gesenkt werden kann, 103 00:05:50,000 --&amp;gt;</t>
  </si>
  <si>
    <t>aufgrund</t>
  </si>
  <si>
    <t>verschiedener</t>
  </si>
  <si>
    <t>Erfolge</t>
  </si>
  <si>
    <t>Lichtsektor</t>
  </si>
  <si>
    <t>andere</t>
  </si>
  <si>
    <t>Autotypen</t>
  </si>
  <si>
    <t>Methoden</t>
  </si>
  <si>
    <t>Häuserbau</t>
  </si>
  <si>
    <t>Energieaufwand</t>
  </si>
  <si>
    <t>OBJ_6</t>
  </si>
  <si>
    <t>SBJ_6</t>
  </si>
  <si>
    <t>drastisch</t>
  </si>
  <si>
    <t>gesenkt</t>
  </si>
  <si>
    <t>00:05:50,000</t>
  </si>
  <si>
    <t>&amp;amp;gt</t>
  </si>
  <si>
    <t>;</t>
  </si>
  <si>
    <t># text = 00:05:53,000 manche Dienste lassen sich um 90% reduzieren.</t>
  </si>
  <si>
    <t>00:05:53,000</t>
  </si>
  <si>
    <t>manche</t>
  </si>
  <si>
    <t>90%</t>
  </si>
  <si>
    <t>reduzieren</t>
  </si>
  <si>
    <t># text = manche einzelne Dienste lassen sich um 90% reduzieren.</t>
  </si>
  <si>
    <t>einzelne</t>
  </si>
  <si>
    <t># text = In anderen Diensten, wie der Herstellung von Düngemitteln, 105 00:05:56,000 --&amp;gt;</t>
  </si>
  <si>
    <t>Herstellung</t>
  </si>
  <si>
    <t>Düngemitteln</t>
  </si>
  <si>
    <t>00:05:56,000</t>
  </si>
  <si>
    <t># text = 00:05:58,000 oder dem Luftverkehr oder Luftverkehr, ist der Spielraum für Verbesserungen sehr viel kleiner.</t>
  </si>
  <si>
    <t>00:05:58,000</t>
  </si>
  <si>
    <t>Luftverkehr</t>
  </si>
  <si>
    <t>Spielraum</t>
  </si>
  <si>
    <t>Verbesserungen</t>
  </si>
  <si>
    <t>kleiner</t>
  </si>
  <si>
    <t># text = Insgesamt, wenn wir optimistisch sind, bekommen wir vielleicht eine Reduzierung um einen Faktor 3 oder vielleicht sogar um einen Faktor 6.</t>
  </si>
  <si>
    <t>Insgesamt</t>
  </si>
  <si>
    <t>optimistisch</t>
  </si>
  <si>
    <t>Reduzierung</t>
  </si>
  <si>
    <t># text = Aber bei den ersten drei Faktoren, sind wir jetzt von 26 Milliarden auf vielleicht allerbestes 13 Milliarden Tonnen gegangen.</t>
  </si>
  <si>
    <t>ersten</t>
  </si>
  <si>
    <t>drei</t>
  </si>
  <si>
    <t>def-np.quant</t>
  </si>
  <si>
    <t>jetzt</t>
  </si>
  <si>
    <t>allerbestes</t>
  </si>
  <si>
    <t>gegangen</t>
  </si>
  <si>
    <t># text = Und das reicht einfach nicht aus!</t>
  </si>
  <si>
    <t>reicht</t>
  </si>
  <si>
    <t>einfach</t>
  </si>
  <si>
    <t># text = Sehen wir uns also den vierten Faktor an -- und dieser wird ein Schlüsselfaktor sein -- Das ist die Menge an CO2, die pro Energieeinheit emittiert wird.</t>
  </si>
  <si>
    <t>Sehen</t>
  </si>
  <si>
    <t>vierten</t>
  </si>
  <si>
    <t>Schlüsselfaktor</t>
  </si>
  <si>
    <t>Menge</t>
  </si>
  <si>
    <t># text = Es stellt sich die Frage, ob man das auf Null bekommen kann.</t>
  </si>
  <si>
    <t>stellt</t>
  </si>
  <si>
    <t>ob</t>
  </si>
  <si>
    <t># text = Wenn Sie Kohle verbrennen: Nein.</t>
  </si>
  <si>
    <t>Kohle</t>
  </si>
  <si>
    <t>Nein</t>
  </si>
  <si>
    <t># text = Wenn Sie Erdgas verbrennen: Nein.</t>
  </si>
  <si>
    <t>Erdgas</t>
  </si>
  <si>
    <t># text = Fast jede Herstellungsmethode für Strom emittiert heutzutage CO2, außer die erneuerbaren Energien und Nuklearenergie.</t>
  </si>
  <si>
    <t>Fast</t>
  </si>
  <si>
    <t>jede</t>
  </si>
  <si>
    <t>Herstellungsmethode</t>
  </si>
  <si>
    <t>heutzutage</t>
  </si>
  <si>
    <t>außer</t>
  </si>
  <si>
    <t>erneuerbaren</t>
  </si>
  <si>
    <t>Energien</t>
  </si>
  <si>
    <t>Nuklearenergie</t>
  </si>
  <si>
    <t># text = Also, was wir auf einem globalen Level machen müssen, ist, ein neues System zu schaffen.</t>
  </si>
  <si>
    <t>was</t>
  </si>
  <si>
    <t>globalen</t>
  </si>
  <si>
    <t>Level</t>
  </si>
  <si>
    <t>neues</t>
  </si>
  <si>
    <t>System</t>
  </si>
  <si>
    <t># text = Wir brauchen Energiewunder.</t>
  </si>
  <si>
    <t>Energiewunder</t>
  </si>
  <si>
    <t># text = Wenn ich nun den Begriff "Wunder" benutze, meine ich nicht das Unmögliche.</t>
  </si>
  <si>
    <t>nun</t>
  </si>
  <si>
    <t>Begriff</t>
  </si>
  <si>
    <t>Wunder</t>
  </si>
  <si>
    <t>benutze</t>
  </si>
  <si>
    <t>Unmögliche</t>
  </si>
  <si>
    <t># text = Der Mikroprozessor ist ein Wunder.</t>
  </si>
  <si>
    <t>Mikroprozessor</t>
  </si>
  <si>
    <t># text = Der PC ist ein Wunder.</t>
  </si>
  <si>
    <t>PC</t>
  </si>
  <si>
    <t># text = Das Internet und dessen Dienste ist ein Wunder.</t>
  </si>
  <si>
    <t>Internet</t>
  </si>
  <si>
    <t>dessen</t>
  </si>
  <si>
    <t># text = Die Menschen hier haben zu der Entwicklung vieler dieser Wunder beigetragen.</t>
  </si>
  <si>
    <t>Entwicklung</t>
  </si>
  <si>
    <t>vieler</t>
  </si>
  <si>
    <t>beigetragen</t>
  </si>
  <si>
    <t># text = Normalerweise gibt es keine Deadline, dass man ein Wunder bis zu einem bestimmten Datum braucht.</t>
  </si>
  <si>
    <t>Normalerweise</t>
  </si>
  <si>
    <t>keine</t>
  </si>
  <si>
    <t>Deadline</t>
  </si>
  <si>
    <t>bestimmten</t>
  </si>
  <si>
    <t>Datum</t>
  </si>
  <si>
    <t>braucht</t>
  </si>
  <si>
    <t># text = Normalerweise steht man quasi nur daneben und manche kommen, andere nicht.</t>
  </si>
  <si>
    <t>steht</t>
  </si>
  <si>
    <t>daneben</t>
  </si>
  <si>
    <t># text = In diesem Fall müssen wir aber Vollgas geben und ein Wunder in sehr kurzer Zeit bekommen.</t>
  </si>
  <si>
    <t>diesem</t>
  </si>
  <si>
    <t>Vollgas</t>
  </si>
  <si>
    <t>kurzer</t>
  </si>
  <si>
    <t># text = Nun, ich fragte mich, wie kann ich das wirklich rüberbringen?</t>
  </si>
  <si>
    <t>fragte</t>
  </si>
  <si>
    <t>mich</t>
  </si>
  <si>
    <t>rüberbringen</t>
  </si>
  <si>
    <t># text = Gibt es eine natürliche Illustration, eine Demonstration, die die Vorstellung der Menschen hier entfacht?</t>
  </si>
  <si>
    <t>natürliche</t>
  </si>
  <si>
    <t>Illustration</t>
  </si>
  <si>
    <t>Demonstration</t>
  </si>
  <si>
    <t>Vorstellung</t>
  </si>
  <si>
    <t>entfacht</t>
  </si>
  <si>
    <t># text = Ich erinnerte mich an letztes Jahr, als ich Moskitos brachte und irgendwie mochten die Leute das.</t>
  </si>
  <si>
    <t>erinnerte</t>
  </si>
  <si>
    <t>letztes</t>
  </si>
  <si>
    <t>Moskitos</t>
  </si>
  <si>
    <t>brachte</t>
  </si>
  <si>
    <t>mochten</t>
  </si>
  <si>
    <t>Leute</t>
  </si>
  <si>
    <t># text = (Lachen) Die Idee wurde für sie wirklich greifbar, wissen Sie, dass es Menschen gibt, die mit Moskitos leben.</t>
  </si>
  <si>
    <t>(</t>
  </si>
  <si>
    <t>Lachen</t>
  </si>
  <si>
    <t>)</t>
  </si>
  <si>
    <t>Idee</t>
  </si>
  <si>
    <t>wurde</t>
  </si>
  <si>
    <t>greifbar</t>
  </si>
  <si>
    <t># text = Für Energie fiel mir das hier ein.</t>
  </si>
  <si>
    <t>Für</t>
  </si>
  <si>
    <t>fiel</t>
  </si>
  <si>
    <t>mir</t>
  </si>
  <si>
    <t># text = Ich entschied, dass das Freilassen von Glühwürmchen mein diesjähriger Beitrag zur Umwelt hier sein würde.</t>
  </si>
  <si>
    <t>entschied</t>
  </si>
  <si>
    <t>Freilassen</t>
  </si>
  <si>
    <t>Glühwürmchen</t>
  </si>
  <si>
    <t>diesjähriger</t>
  </si>
  <si>
    <t>Beitrag</t>
  </si>
  <si>
    <t>würde</t>
  </si>
  <si>
    <t># text = Hier sind also ein paar natürliche Glühwürmchen.</t>
  </si>
  <si>
    <t>paar</t>
  </si>
  <si>
    <t># text = Man hat mir versichert, dass sie nicht beißen.</t>
  </si>
  <si>
    <t>Man</t>
  </si>
  <si>
    <t>versichert</t>
  </si>
  <si>
    <t>beißen</t>
  </si>
  <si>
    <t># text = Tatsächlich werden sie wohl nicht mal das Glas verlassen.</t>
  </si>
  <si>
    <t>Glas</t>
  </si>
  <si>
    <t># text = Nun, es gibt alle möglichen Spielereilösungen wie diese, aber sie bringen alle nicht viel.</t>
  </si>
  <si>
    <t>alle</t>
  </si>
  <si>
    <t>möglichen</t>
  </si>
  <si>
    <t>Spielereilösungen</t>
  </si>
  <si>
    <t># text = Wir brauchen Lösungen, entweder eine oder mehrere die eine unvorstellbare Skalierung und unvorstellbare Verlässlichkeit haben.</t>
  </si>
  <si>
    <t>Lösungen</t>
  </si>
  <si>
    <t>entweder</t>
  </si>
  <si>
    <t>mehrere</t>
  </si>
  <si>
    <t>unvorstellbare</t>
  </si>
  <si>
    <t>Skalierung</t>
  </si>
  <si>
    <t>Verlässlichkeit</t>
  </si>
  <si>
    <t># text = Und obwohl es viele Richtungen gibt, in denen Menschen danach suchen, sehe ich wirklich nur fünf, die diese großen Anforderungen leisten können.</t>
  </si>
  <si>
    <t>obwohl</t>
  </si>
  <si>
    <t>Richtungen</t>
  </si>
  <si>
    <t>denen</t>
  </si>
  <si>
    <t>danach</t>
  </si>
  <si>
    <t>suchen</t>
  </si>
  <si>
    <t>sehe</t>
  </si>
  <si>
    <t>fünf</t>
  </si>
  <si>
    <t>großen</t>
  </si>
  <si>
    <t>Anforderungen</t>
  </si>
  <si>
    <t># text = Ich habe Gezeiten, Geothermal, Fusion und Biokraftstoffe ausgelassen.</t>
  </si>
  <si>
    <t>Gezeiten</t>
  </si>
  <si>
    <t>Geothermal</t>
  </si>
  <si>
    <t>Fusion</t>
  </si>
  <si>
    <t>Biokraftstoffe</t>
  </si>
  <si>
    <t># text = Diese leisten vielleicht einen moderaten Beitrag und wenn sie besseres leisten als ich erwarte, wäre das toll, aber meine Kernaussage hier ist, dass wir an all jenen fünf arbeiten müssen, und wir können keine von ihnen aufgeben, weil sie uns einschüchtern, denn alle haben signifikante Probleme.</t>
  </si>
  <si>
    <t>moderaten</t>
  </si>
  <si>
    <t>erwarte</t>
  </si>
  <si>
    <t>other_6</t>
  </si>
  <si>
    <t>Kernaussage</t>
  </si>
  <si>
    <t>all</t>
  </si>
  <si>
    <t>other_7</t>
  </si>
  <si>
    <t>jenen</t>
  </si>
  <si>
    <t>SBJ_7</t>
  </si>
  <si>
    <t>ihnen</t>
  </si>
  <si>
    <t>aufgeben</t>
  </si>
  <si>
    <t>SBJ_8</t>
  </si>
  <si>
    <t>OBJ_8</t>
  </si>
  <si>
    <t>einschüchtern</t>
  </si>
  <si>
    <t>denn</t>
  </si>
  <si>
    <t>SBJ_9</t>
  </si>
  <si>
    <t>signifikante</t>
  </si>
  <si>
    <t>Probleme</t>
  </si>
  <si>
    <t>OBJ_9</t>
  </si>
  <si>
    <t># text = Schauen wir uns zuerst das Verbrennen fossiler Brennstoffe an, Verbrennung von entweder Kohle oder Erdgas.</t>
  </si>
  <si>
    <t>Schauen</t>
  </si>
  <si>
    <t>zuerst</t>
  </si>
  <si>
    <t>Verbrennen</t>
  </si>
  <si>
    <t>fossiler</t>
  </si>
  <si>
    <t>Brennstoffe</t>
  </si>
  <si>
    <t>Verbrennung</t>
  </si>
  <si>
    <t># text = Was man dort machen muss, scheint vielleicht einfach, aber das ist es nicht.</t>
  </si>
  <si>
    <t>Was</t>
  </si>
  <si>
    <t>dort</t>
  </si>
  <si>
    <t>scheint</t>
  </si>
  <si>
    <t># text = Man müsste all das CO2, das nach dem Verbrennen aus dem Schornstein kommt, einfangen, unter Druck verflüssigen und dann irgendwo lagern und hoffen, dass es dort bleibt.</t>
  </si>
  <si>
    <t>müsste</t>
  </si>
  <si>
    <t>Schornstein</t>
  </si>
  <si>
    <t>kommt</t>
  </si>
  <si>
    <t>einfangen</t>
  </si>
  <si>
    <t>Druck</t>
  </si>
  <si>
    <t>verflüssigen</t>
  </si>
  <si>
    <t>irgendwo</t>
  </si>
  <si>
    <t>lagern</t>
  </si>
  <si>
    <t>bleibt</t>
  </si>
  <si>
    <t># text = Es gibt einige Pilotprojekte, die das auf einem 60% - 80% Niveau schaffen, aber es auf 100% zu bekommen wird sehr schwierig werden.</t>
  </si>
  <si>
    <t>Pilotprojekte</t>
  </si>
  <si>
    <t>60%</t>
  </si>
  <si>
    <t>80%</t>
  </si>
  <si>
    <t>Niveau</t>
  </si>
  <si>
    <t>100%</t>
  </si>
  <si>
    <t>schwierig</t>
  </si>
  <si>
    <t># text = Und eine Einigung für die Lagerung des CO2 zu erzielen, ist eine große Herausforderung.</t>
  </si>
  <si>
    <t>Einigung</t>
  </si>
  <si>
    <t>Lagerung</t>
  </si>
  <si>
    <t>des</t>
  </si>
  <si>
    <t>erzielen</t>
  </si>
  <si>
    <t># text = Aber das größte Problem hier ist die Lagerzeitfrage.</t>
  </si>
  <si>
    <t>größte</t>
  </si>
  <si>
    <t>Problem</t>
  </si>
  <si>
    <t>Lagerzeitfrage</t>
  </si>
  <si>
    <t># text = Wer wird es sicherstellen?</t>
  </si>
  <si>
    <t>Wer</t>
  </si>
  <si>
    <t>pron.pint</t>
  </si>
  <si>
    <t># text = Wer kann etwas garantieren, was buchstäblich viele Milliarden mal größer als jede Art von Müll, den man sich von Nuklear- und anderen Dingen vorstellen kann?</t>
  </si>
  <si>
    <t>buchstäblich</t>
  </si>
  <si>
    <t>größer</t>
  </si>
  <si>
    <t>Art</t>
  </si>
  <si>
    <t>Müll</t>
  </si>
  <si>
    <t>Nuklear</t>
  </si>
  <si>
    <t>Dingen</t>
  </si>
  <si>
    <t>vorstellen</t>
  </si>
  <si>
    <t># text = Das ist eine Menge Volumen.</t>
  </si>
  <si>
    <t>Volumen</t>
  </si>
  <si>
    <t># text = Das ist also eine harte Nuss.</t>
  </si>
  <si>
    <t>harte</t>
  </si>
  <si>
    <t>Nuss</t>
  </si>
  <si>
    <t># text = Als nächstes: Nuklearenergie.</t>
  </si>
  <si>
    <t>Als</t>
  </si>
  <si>
    <t>nächstes</t>
  </si>
  <si>
    <t># text = Die hat auch drei große Probleme.</t>
  </si>
  <si>
    <t>auch</t>
  </si>
  <si>
    <t># text = Die Kosten, vor allem in hochregulierten Ländern sind hoch.</t>
  </si>
  <si>
    <t>vor</t>
  </si>
  <si>
    <t>allem</t>
  </si>
  <si>
    <t>hochregulierten</t>
  </si>
  <si>
    <t>hoch</t>
  </si>
  <si>
    <t># text = Die Frage nach Sicherheit, dass man wirklich fühlt, dass nichts schief gehen kann, trotz der menschlichen Mitarbeit, dass der Treibstoff nicht für Waffen verwendet wird.</t>
  </si>
  <si>
    <t>Sicherheit</t>
  </si>
  <si>
    <t>fühlt</t>
  </si>
  <si>
    <t>nichts</t>
  </si>
  <si>
    <t>schief</t>
  </si>
  <si>
    <t>trotz</t>
  </si>
  <si>
    <t>menschlichen</t>
  </si>
  <si>
    <t>Mitarbeit</t>
  </si>
  <si>
    <t>Treibstoff</t>
  </si>
  <si>
    <t>Waffen</t>
  </si>
  <si>
    <t>verwendet</t>
  </si>
  <si>
    <t># text = Und was macht man dann mit dem Müll?</t>
  </si>
  <si>
    <t>macht</t>
  </si>
  <si>
    <t># text = Denn obwohl er nicht sehr groß ist, gibt es eine Menge Bedenken.</t>
  </si>
  <si>
    <t>Denn</t>
  </si>
  <si>
    <t>er</t>
  </si>
  <si>
    <t>groß</t>
  </si>
  <si>
    <t>Bedenken</t>
  </si>
  <si>
    <t># text = Die Menschen müssen sich dabei gut fühlen.</t>
  </si>
  <si>
    <t>dabei</t>
  </si>
  <si>
    <t>gut</t>
  </si>
  <si>
    <t># text = 184 00:10:20,000 --&amp;gt;</t>
  </si>
  <si>
    <t>00:10:20,000</t>
  </si>
  <si>
    <t># text = 00:10:25,000 Also drei sehr schwierige Probleme, die vielleicht lösbar sind Also drei sehr schwierige Probleme, die vielleicht lösbar sind, und an denen man deshalb arbeiten sollte.</t>
  </si>
  <si>
    <t>00:10:25,000</t>
  </si>
  <si>
    <t>schwierige</t>
  </si>
  <si>
    <t>lösbar</t>
  </si>
  <si>
    <t>sollte</t>
  </si>
  <si>
    <t># text = Die letzten drei der fünf habe ich zusammengefasst.</t>
  </si>
  <si>
    <t>letzten</t>
  </si>
  <si>
    <t>zusammengefasst</t>
  </si>
  <si>
    <t># text = Es sind die Erneuerbaren Energien, wie sie oft genannt werden.</t>
  </si>
  <si>
    <t>Erneuerbaren</t>
  </si>
  <si>
    <t>oft</t>
  </si>
  <si>
    <t>genannt</t>
  </si>
  <si>
    <t># text = Und auch die haben -- obwohl es toll ist, dass sie keinen Brennstoff brauchen -- sie haben einige Nachteile.</t>
  </si>
  <si>
    <t>keinen</t>
  </si>
  <si>
    <t>Brennstoff</t>
  </si>
  <si>
    <t>Nachteile</t>
  </si>
  <si>
    <t># text = Zum einen ist die Energiedichte, die diese Technologien erzeugen dramatisch geringer als die von Kraftwerken.</t>
  </si>
  <si>
    <t>Zu</t>
  </si>
  <si>
    <t>Energiedichte</t>
  </si>
  <si>
    <t>Technologien</t>
  </si>
  <si>
    <t>dramatisch</t>
  </si>
  <si>
    <t>geringer</t>
  </si>
  <si>
    <t>Kraftwerken</t>
  </si>
  <si>
    <t># text = Das sind Energiefarmen, man spricht von vielen Quadratkilometern, tausendmal mehr Fläche als ein normales Kraftwerk.</t>
  </si>
  <si>
    <t>Energiefarmen</t>
  </si>
  <si>
    <t>spricht</t>
  </si>
  <si>
    <t>vielen</t>
  </si>
  <si>
    <t>Quadratkilometern</t>
  </si>
  <si>
    <t>tausendmal</t>
  </si>
  <si>
    <t>Fläche</t>
  </si>
  <si>
    <t>normales</t>
  </si>
  <si>
    <t>Kraftwerk</t>
  </si>
  <si>
    <t># text = Außerdem unterliegen diese Quellen Unterbrechungen: Die Sonne scheint nicht den ganzen Tag, sie scheint auch nicht jeden Tag und genauso weht auch der Wind nicht ständig.</t>
  </si>
  <si>
    <t>Quellen</t>
  </si>
  <si>
    <t>Unterbrechungen</t>
  </si>
  <si>
    <t>Sonne</t>
  </si>
  <si>
    <t>ganzen</t>
  </si>
  <si>
    <t>Tag</t>
  </si>
  <si>
    <t>genauso</t>
  </si>
  <si>
    <t>weht</t>
  </si>
  <si>
    <t>Wind</t>
  </si>
  <si>
    <t>ständig</t>
  </si>
  <si>
    <t># text = Deshalb muss man, wenn man von diesen Quellen abhängig ist, einen Weg haben, die Energie auch in Zeiten wenn Sie nicht verfügbar ist, zu bekommen.</t>
  </si>
  <si>
    <t>diesen</t>
  </si>
  <si>
    <t>abhängig</t>
  </si>
  <si>
    <t>Weg</t>
  </si>
  <si>
    <t>Zeiten</t>
  </si>
  <si>
    <t>verfügbar</t>
  </si>
  <si>
    <t># text = Es gibt hier also große Preisherausforderungen.</t>
  </si>
  <si>
    <t>Preisherausforderungen</t>
  </si>
  <si>
    <t># text = Es gibt Herausforderungen bei der Übertragung.</t>
  </si>
  <si>
    <t>Herausforderungen</t>
  </si>
  <si>
    <t>Übertragung</t>
  </si>
  <si>
    <t># text = Wenn wir beispielsweise sagen, dass die Energiequelle außerhalb des Landes liegt, brauchen Sie nicht nur die Technologie, Sie müssen auch mit dem Risiko umgehen, dass die Energie von wo anders herkommt.</t>
  </si>
  <si>
    <t>beispielsweise</t>
  </si>
  <si>
    <t>Energiequelle</t>
  </si>
  <si>
    <t>außerhalb</t>
  </si>
  <si>
    <t>Landes</t>
  </si>
  <si>
    <t>liegt</t>
  </si>
  <si>
    <t>Technologie</t>
  </si>
  <si>
    <t>Risiko</t>
  </si>
  <si>
    <t>herkommt</t>
  </si>
  <si>
    <t># text = Und es gibt das Lagerungsproblem.</t>
  </si>
  <si>
    <t>Lagerungsproblem</t>
  </si>
  <si>
    <t># text = Und um die Dimension zu zeigen, habe ich mir alle Arten von Batterien, die hergestellt werden, angeschaut: Die für Autos, Computer, Handys, Taschenlampen, für alles.</t>
  </si>
  <si>
    <t>Dimension</t>
  </si>
  <si>
    <t>zeigen</t>
  </si>
  <si>
    <t>Arten</t>
  </si>
  <si>
    <t>Batterien</t>
  </si>
  <si>
    <t>hergestellt</t>
  </si>
  <si>
    <t>angeschaut</t>
  </si>
  <si>
    <t>Autos</t>
  </si>
  <si>
    <t>Computer</t>
  </si>
  <si>
    <t>Handys</t>
  </si>
  <si>
    <t>Taschenlampen</t>
  </si>
  <si>
    <t># text = Und das habe ich mit der Menge der elektronischen Energie, welche die Welt nutzt, verglichen.</t>
  </si>
  <si>
    <t>elektronischen</t>
  </si>
  <si>
    <t>welche</t>
  </si>
  <si>
    <t>verglichen</t>
  </si>
  <si>
    <t># text = Ich fand heraus, dass alle Batterien, die wir jetzt produzieren, weniger als 10 Minuten der Gesamtenergie lagern könnten.</t>
  </si>
  <si>
    <t>fand</t>
  </si>
  <si>
    <t>produzieren</t>
  </si>
  <si>
    <t>Minuten</t>
  </si>
  <si>
    <t>Gesamtenergie</t>
  </si>
  <si>
    <t># text = Wir brauchen hier also einen großen Durchbruch, etwas, dass um einen Faktor 100 besser sein wird, als die Herangehensweisen zur Zeit.</t>
  </si>
  <si>
    <t>Durchbruch</t>
  </si>
  <si>
    <t>besser</t>
  </si>
  <si>
    <t>Herangehensweisen</t>
  </si>
  <si>
    <t># text = Das ist nicht unmöglich, aber es ist nicht so leicht.</t>
  </si>
  <si>
    <t>unmöglich</t>
  </si>
  <si>
    <t>leicht</t>
  </si>
  <si>
    <t># text = Das passiert, wenn man versucht, diese unterbrochenen Quellen über sagen wir 20% - 30% des Verbrauchs zu bringen.</t>
  </si>
  <si>
    <t>passiert</t>
  </si>
  <si>
    <t>versucht</t>
  </si>
  <si>
    <t>unterbrochenen</t>
  </si>
  <si>
    <t>20%</t>
  </si>
  <si>
    <t>30%</t>
  </si>
  <si>
    <t>Verbrauchs</t>
  </si>
  <si>
    <t># text = Wenn Sie sich um 100% darauf stützen wollen, brauchen Sie eine unglaubliche Wunderbatterie.</t>
  </si>
  <si>
    <t>darauf</t>
  </si>
  <si>
    <t>stützen</t>
  </si>
  <si>
    <t>unglaubliche</t>
  </si>
  <si>
    <t>Wunderbatterie</t>
  </si>
  <si>
    <t># text = Nun, wohin sollen wir gehen: Was ist der richtige Ansatz?</t>
  </si>
  <si>
    <t>wohin</t>
  </si>
  <si>
    <t>sollen</t>
  </si>
  <si>
    <t>richtige</t>
  </si>
  <si>
    <t>Ansatz</t>
  </si>
  <si>
    <t># text = Ein "Manhattan Projekt"?</t>
  </si>
  <si>
    <t>Projekt</t>
  </si>
  <si>
    <t># text = Wie kommen wir ans Ziel?</t>
  </si>
  <si>
    <t>Wie</t>
  </si>
  <si>
    <t>Ziel</t>
  </si>
  <si>
    <t># text = Was wir brauchen sind viele Firmen, die daran arbeiten.</t>
  </si>
  <si>
    <t>Firmen</t>
  </si>
  <si>
    <t>daran</t>
  </si>
  <si>
    <t>pron.padv</t>
  </si>
  <si>
    <t># text = Hunderte.</t>
  </si>
  <si>
    <t>Hunderte</t>
  </si>
  <si>
    <t># text = In jeden dieser fünf Bereiche brauchen wir mindestens 100 Menschen.</t>
  </si>
  <si>
    <t>Bereiche</t>
  </si>
  <si>
    <t>mindestens</t>
  </si>
  <si>
    <t># text = Bei vielen werden Sie sagen: Die sind verrückt!</t>
  </si>
  <si>
    <t>Bei</t>
  </si>
  <si>
    <t>verrückt</t>
  </si>
  <si>
    <t># text = Das ist gut.</t>
  </si>
  <si>
    <t># text = Ich glaube, hier in der TED Gruppe gibt es viele, die sich dort bereits engagieren.</t>
  </si>
  <si>
    <t>glaube</t>
  </si>
  <si>
    <t>TED</t>
  </si>
  <si>
    <t>Gruppe</t>
  </si>
  <si>
    <t>bereits</t>
  </si>
  <si>
    <t>engagieren</t>
  </si>
  <si>
    <t># text = Bill Gross hat mehrere Firmen, unter anderem eine namens eSolar die großartige Solarthermaltechnologien hat.</t>
  </si>
  <si>
    <t>Gross</t>
  </si>
  <si>
    <t>anderem</t>
  </si>
  <si>
    <t>namens</t>
  </si>
  <si>
    <t>eSolar</t>
  </si>
  <si>
    <t>großartige</t>
  </si>
  <si>
    <t>Solarthermaltechnologien</t>
  </si>
  <si>
    <t># text = Vinod Khosla investiert in dutzende Firmen die tolle Sachen machen und interessante Möglichkeiten haben und ich versuche das zu unterstützen.</t>
  </si>
  <si>
    <t>Vinod</t>
  </si>
  <si>
    <t>Khosla</t>
  </si>
  <si>
    <t>investiert</t>
  </si>
  <si>
    <t>dutzende</t>
  </si>
  <si>
    <t>tolle</t>
  </si>
  <si>
    <t>Sachen</t>
  </si>
  <si>
    <t>interessante</t>
  </si>
  <si>
    <t>Möglichkeiten</t>
  </si>
  <si>
    <t>versuche</t>
  </si>
  <si>
    <t>unterstützen</t>
  </si>
  <si>
    <t># text = Nathan Myhrvold und ich finanzieren eine Firma, die, vielleicht überraschenderweise, den nuklearen Ansatz verfolgt.</t>
  </si>
  <si>
    <t>Nathan</t>
  </si>
  <si>
    <t>Myhrvold</t>
  </si>
  <si>
    <t>Firma</t>
  </si>
  <si>
    <t>überraschenderweise</t>
  </si>
  <si>
    <t>nuklearen</t>
  </si>
  <si>
    <t>verfolgt</t>
  </si>
  <si>
    <t># text = Es gibt einige Innovationen im Nuklearbereich; modular, flüssig.</t>
  </si>
  <si>
    <t>Innovationen</t>
  </si>
  <si>
    <t>Nuklearbereich</t>
  </si>
  <si>
    <t>modular</t>
  </si>
  <si>
    <t>flüssig</t>
  </si>
  <si>
    <t># text = Die Entwicklung hat in dieser Industrie vor einiger Zeit aufgehört, also ist es keine große Überraschung, dass einige gute Konzepte herumliegen.</t>
  </si>
  <si>
    <t>Industrie</t>
  </si>
  <si>
    <t>einiger</t>
  </si>
  <si>
    <t>aufgehört</t>
  </si>
  <si>
    <t>Überraschung</t>
  </si>
  <si>
    <t>Konzepte</t>
  </si>
  <si>
    <t>herumliegen</t>
  </si>
  <si>
    <t># text = Das TerraPower-Konzept bedeutet, dass man anstelle eines Teils des Urans, dem einen Prozent, das U235, wir entschieden, die 99% zu verbrennen, das U238.</t>
  </si>
  <si>
    <t>TerraPower</t>
  </si>
  <si>
    <t>Konzept</t>
  </si>
  <si>
    <t>anstelle</t>
  </si>
  <si>
    <t>eines</t>
  </si>
  <si>
    <t>Teils</t>
  </si>
  <si>
    <t>Urans</t>
  </si>
  <si>
    <t>Prozent</t>
  </si>
  <si>
    <t>U235</t>
  </si>
  <si>
    <t>entschieden</t>
  </si>
  <si>
    <t>99%</t>
  </si>
  <si>
    <t>U238</t>
  </si>
  <si>
    <t># text = Das ist eine ziemlich verrückte Idee.</t>
  </si>
  <si>
    <t>verrückte</t>
  </si>
  <si>
    <t># text = Aber tatsächlich hatte man darüber schon lange nachgedacht, aber man konnte nie vernünftig simulieren, ob es funktionieren würde, doch seitdem es moderne Supercomputer gibt, kann man es simulieren und sehen, dass: Ja!</t>
  </si>
  <si>
    <t>tatsächlich</t>
  </si>
  <si>
    <t>hatte</t>
  </si>
  <si>
    <t>schon</t>
  </si>
  <si>
    <t>lange</t>
  </si>
  <si>
    <t>nachgedacht</t>
  </si>
  <si>
    <t>konnte</t>
  </si>
  <si>
    <t>nie</t>
  </si>
  <si>
    <t>vernünftig</t>
  </si>
  <si>
    <t>funktionieren</t>
  </si>
  <si>
    <t>doch</t>
  </si>
  <si>
    <t>seitdem</t>
  </si>
  <si>
    <t>Supercomputer</t>
  </si>
  <si>
    <t>Ja</t>
  </si>
  <si>
    <t># text = Mit der richtigen Materialienherangehensweise, sieht es so aus, dass es funktioniere.</t>
  </si>
  <si>
    <t>Mit</t>
  </si>
  <si>
    <t>richtigen</t>
  </si>
  <si>
    <t>Materialienherangehensweise</t>
  </si>
  <si>
    <t>sieht</t>
  </si>
  <si>
    <t>funktioniere</t>
  </si>
  <si>
    <t># text = Und weil man diese 99% verbrennt, ist das Kostenprofil sehr viel besser.</t>
  </si>
  <si>
    <t>verbrennt</t>
  </si>
  <si>
    <t>Kostenprofil</t>
  </si>
  <si>
    <t># text = Tatsächlich verbrennt man den Müll, und man kann sogar den Abfall von heutigen Reaktoren als Antriebsstoff benutzen.</t>
  </si>
  <si>
    <t>Abfall</t>
  </si>
  <si>
    <t>heutigen</t>
  </si>
  <si>
    <t>Reaktoren</t>
  </si>
  <si>
    <t>Antriebsstoff</t>
  </si>
  <si>
    <t>benutzen</t>
  </si>
  <si>
    <t># text = Anstatt sich darüber den Kopf zu zerbrechen, verbrennen Sie es einfach.</t>
  </si>
  <si>
    <t>Anstatt</t>
  </si>
  <si>
    <t>Kopf</t>
  </si>
  <si>
    <t># text = Eine tolle Sache.</t>
  </si>
  <si>
    <t>Eine</t>
  </si>
  <si>
    <t># text = Das Uran wird graduell verbraucht, ein bisschen wie eine Kerze.</t>
  </si>
  <si>
    <t>Uran</t>
  </si>
  <si>
    <t>graduell</t>
  </si>
  <si>
    <t>verbraucht</t>
  </si>
  <si>
    <t>Kerze</t>
  </si>
  <si>
    <t># text = Sie sehen, dass es eine Art Säule ist, oft als "Wandernde Welle Reaktor" bezeichnet.</t>
  </si>
  <si>
    <t>Säule</t>
  </si>
  <si>
    <t>Wandernde</t>
  </si>
  <si>
    <t>Welle</t>
  </si>
  <si>
    <t>Reaktor</t>
  </si>
  <si>
    <t>bezeichnet</t>
  </si>
  <si>
    <t># text = Das löst wirklich das Treibstoffproblem.</t>
  </si>
  <si>
    <t>löst</t>
  </si>
  <si>
    <t>Treibstoffproblem</t>
  </si>
  <si>
    <t># text = Hier ist ein Bild eines Ortes in Kentucky.</t>
  </si>
  <si>
    <t>Bild</t>
  </si>
  <si>
    <t>Ortes</t>
  </si>
  <si>
    <t>Kentucky</t>
  </si>
  <si>
    <t># text = Das ist der Abfall, die 99%.</t>
  </si>
  <si>
    <t># text = Man hat den Teil, der heute verbrannt wird, herausgenommen also heißt es aufgebrauchtes Uran.</t>
  </si>
  <si>
    <t>Teil</t>
  </si>
  <si>
    <t>heute</t>
  </si>
  <si>
    <t>verbrannt</t>
  </si>
  <si>
    <t>heißt</t>
  </si>
  <si>
    <t>aufgebrauchtes</t>
  </si>
  <si>
    <t># text = Das triebe die U.S. für hunderte von Jahren an.</t>
  </si>
  <si>
    <t>triebe</t>
  </si>
  <si>
    <t>U.S.</t>
  </si>
  <si>
    <t>hunderte</t>
  </si>
  <si>
    <t>Jahren</t>
  </si>
  <si>
    <t># text = Und wenn man Ozeanwasser günstig und einfach filtriert, bekommt man genügend Treibstoff für die restliche Lebenszeit des Planeten.</t>
  </si>
  <si>
    <t>Ozeanwasser</t>
  </si>
  <si>
    <t>günstig</t>
  </si>
  <si>
    <t>filtriert</t>
  </si>
  <si>
    <t>bekommt</t>
  </si>
  <si>
    <t>genügend</t>
  </si>
  <si>
    <t>restliche</t>
  </si>
  <si>
    <t>Lebenszeit</t>
  </si>
  <si>
    <t># text = Wissen Sie, es gibt da noch viele Herausforderungen, aber es ist ein Beispiel von vielen hunderten von Konzepten, die wir brauchen, um vorwärts zu kommen.</t>
  </si>
  <si>
    <t>Wissen</t>
  </si>
  <si>
    <t>noch</t>
  </si>
  <si>
    <t>Beispiel</t>
  </si>
  <si>
    <t>hunderten</t>
  </si>
  <si>
    <t>Konzepten</t>
  </si>
  <si>
    <t>vorwärts</t>
  </si>
  <si>
    <t># text = Überlegen wir uns, wie wir unseren Erfolg messen sollten.</t>
  </si>
  <si>
    <t>Überlegen</t>
  </si>
  <si>
    <t>unseren</t>
  </si>
  <si>
    <t>Erfolg</t>
  </si>
  <si>
    <t>messen</t>
  </si>
  <si>
    <t>sollten</t>
  </si>
  <si>
    <t># text = Wie sollte unser Zeugnis aussehen?</t>
  </si>
  <si>
    <t>unser</t>
  </si>
  <si>
    <t>Zeugnis</t>
  </si>
  <si>
    <t># text = Nun, gehen wir bis ans Ziel, das wir erreichen müssen und dann reden wir über den Zwischenschritt.</t>
  </si>
  <si>
    <t>erreichen</t>
  </si>
  <si>
    <t>reden</t>
  </si>
  <si>
    <t>Zwischenschritt</t>
  </si>
  <si>
    <t># text = Viele sprechen von einer 80% Reduktion bis 2050.</t>
  </si>
  <si>
    <t>Viele</t>
  </si>
  <si>
    <t>Reduktion</t>
  </si>
  <si>
    <t>2050</t>
  </si>
  <si>
    <t># text = Es ist wirklich sehr wichtig, dass wir dorthin gelangen.</t>
  </si>
  <si>
    <t>dorthin</t>
  </si>
  <si>
    <t>gelangen</t>
  </si>
  <si>
    <t># text = Die restlichen 20% werden in armen Ländern erzeugt werden, sowie immer noch etwas Landwirtschaft.</t>
  </si>
  <si>
    <t>restlichen</t>
  </si>
  <si>
    <t>erzeugt</t>
  </si>
  <si>
    <t>sowie</t>
  </si>
  <si>
    <t>immer</t>
  </si>
  <si>
    <t>Landwirtschaft</t>
  </si>
  <si>
    <t># text = Hoffentlich wird Waldrohdung und Zement bis dahin sauber sein.</t>
  </si>
  <si>
    <t>Hoffentlich</t>
  </si>
  <si>
    <t>Waldrohdung</t>
  </si>
  <si>
    <t>Zement</t>
  </si>
  <si>
    <t>dahin</t>
  </si>
  <si>
    <t>sauber</t>
  </si>
  <si>
    <t># text = Also, um diese 80% zu erreichen, müssen die Industriestaaten, inklusive Ländern wie China, ihre Elektrizitätsgeneration komplett umstellen.</t>
  </si>
  <si>
    <t>Industriestaaten</t>
  </si>
  <si>
    <t>inklusive</t>
  </si>
  <si>
    <t>China</t>
  </si>
  <si>
    <t>Elektrizitätsgeneration</t>
  </si>
  <si>
    <t>komplett</t>
  </si>
  <si>
    <t># text = Die andere Note sagt, ob wir die Null-Emissionen Technologie einsetzen, ob sie in allen entwickelten Ländern eingesetzt ist und wir auf dem Weg sind, sie zu dem Rest zu bekommen.</t>
  </si>
  <si>
    <t>Note</t>
  </si>
  <si>
    <t>sagt</t>
  </si>
  <si>
    <t>Emissionen</t>
  </si>
  <si>
    <t>allen</t>
  </si>
  <si>
    <t>entwickelten</t>
  </si>
  <si>
    <t>eingesetzt</t>
  </si>
  <si>
    <t>Rest</t>
  </si>
  <si>
    <t># text = Das ist super wichtig.</t>
  </si>
  <si>
    <t>super</t>
  </si>
  <si>
    <t># text = Das wird ein Schlüsselelement dieses Zeugnisses.</t>
  </si>
  <si>
    <t>Schlüsselelement</t>
  </si>
  <si>
    <t>Zeugnisses</t>
  </si>
  <si>
    <t># text = Wenn wir von dort zurückgehen, wie sollte das 2020 Zeugnis aussehen?</t>
  </si>
  <si>
    <t>2020</t>
  </si>
  <si>
    <t># text = Es sollte wieder die beiden Elemente enthalten.</t>
  </si>
  <si>
    <t>wieder</t>
  </si>
  <si>
    <t>beiden</t>
  </si>
  <si>
    <t>Elemente</t>
  </si>
  <si>
    <t># text = Wir sollten die Effektivitätsmaßnahmen nutzen, um Reduktion auf den Weg zu bringen.</t>
  </si>
  <si>
    <t>Effektivitätsmaßnahmen</t>
  </si>
  <si>
    <t># text = Je weniger wir emittieren, desto geringer wird die CO2-Summe sein und damit auch die Temperatur.</t>
  </si>
  <si>
    <t>Je</t>
  </si>
  <si>
    <t>desto</t>
  </si>
  <si>
    <t>Summe</t>
  </si>
  <si>
    <t># text = Aber eigentlich ist diese Note für die Dinge die wir unternehmen, die nicht komplett zu den großen Reduktionen führen, nur gleich, oder sogar etwas weniger wichtig wie die andere, welche die Schnelligkeit der Innovation für diese Durchbrüche darstellt.</t>
  </si>
  <si>
    <t>unternehmen</t>
  </si>
  <si>
    <t>Reduktionen</t>
  </si>
  <si>
    <t>gleich</t>
  </si>
  <si>
    <t>Schnelligkeit</t>
  </si>
  <si>
    <t>Innovation</t>
  </si>
  <si>
    <t>Durchbrüche</t>
  </si>
  <si>
    <t>darstellt</t>
  </si>
  <si>
    <t># text = Diese Durchbrüche müssen wir mit Vollgas verfolgen und das können wir messen: in Firmenzahlen, in Pilotprojekten und Regulierungsänderungen.</t>
  </si>
  <si>
    <t>Firmenzahlen</t>
  </si>
  <si>
    <t>Pilotprojekten</t>
  </si>
  <si>
    <t>Regulierungsänderungen</t>
  </si>
  <si>
    <t># text = Es gibt viele großartige Bücher zu diesem Thema.</t>
  </si>
  <si>
    <t>Bücher</t>
  </si>
  <si>
    <t>Thema</t>
  </si>
  <si>
    <t># text = Das Al Gore Buch \"Wir haben die Wahl\" und David McKays \"Sustainable Energy Without the Hot Air.\"</t>
  </si>
  <si>
    <t>Al</t>
  </si>
  <si>
    <t>Gore</t>
  </si>
  <si>
    <t>Buch</t>
  </si>
  <si>
    <t>Wahl</t>
  </si>
  <si>
    <t>David</t>
  </si>
  <si>
    <t>McKays</t>
  </si>
  <si>
    <t>Sustainable</t>
  </si>
  <si>
    <t>Energy</t>
  </si>
  <si>
    <t>Without</t>
  </si>
  <si>
    <t>the</t>
  </si>
  <si>
    <t>Hot</t>
  </si>
  <si>
    <t>Air</t>
  </si>
  <si>
    <t># text = Sie gehen es wirklich durch und schaffen einen Rahmen, in dem dies breit diskutiert werden kann, denn wir brauchen dafür Unterstützung von allen Seiten.</t>
  </si>
  <si>
    <t>Rahmen</t>
  </si>
  <si>
    <t>dies</t>
  </si>
  <si>
    <t>breit</t>
  </si>
  <si>
    <t>diskutiert</t>
  </si>
  <si>
    <t>dafür</t>
  </si>
  <si>
    <t>Unterstützung</t>
  </si>
  <si>
    <t>Seiten</t>
  </si>
  <si>
    <t># text = Es gibt Einiges, das zusammenkommen muss.</t>
  </si>
  <si>
    <t>Einiges</t>
  </si>
  <si>
    <t>zusammenkommen</t>
  </si>
  <si>
    <t># text = Das ist ein Wunsch.</t>
  </si>
  <si>
    <t># text = Ein sehr konkreter Wunsch, dass wir diese Technologie erfinden.</t>
  </si>
  <si>
    <t>konkreter</t>
  </si>
  <si>
    <t># text = Wenn Sie mir nur einen Wunsch für die nächsten 50 Jahre gestatten, ich könnte den Präsidenten auswählen, einen Impfstoff, und das liebe ich, oder ich könnte diesen Wunsch wählen, der lautet, halbierter Energiepreis ohne CO2 wird erfunden.</t>
  </si>
  <si>
    <t>nächsten</t>
  </si>
  <si>
    <t>gestatten</t>
  </si>
  <si>
    <t>könnte</t>
  </si>
  <si>
    <t>Präsidenten</t>
  </si>
  <si>
    <t>Impfstoff</t>
  </si>
  <si>
    <t>liebe</t>
  </si>
  <si>
    <t>wählen</t>
  </si>
  <si>
    <t>lautet</t>
  </si>
  <si>
    <t>halbierter</t>
  </si>
  <si>
    <t>ohne</t>
  </si>
  <si>
    <t>erfunden</t>
  </si>
  <si>
    <t># text = diesen Wunsch nähme ich.</t>
  </si>
  <si>
    <t>nähme</t>
  </si>
  <si>
    <t># text = Dieser hat die größte Auswirkung.</t>
  </si>
  <si>
    <t>Dieser</t>
  </si>
  <si>
    <t>Auswirkung</t>
  </si>
  <si>
    <t># text = Wenn wir diesen Wunsch nicht kriegen, wird der Graben zwischen langfristig und kurzfristig denkenden Menschen schrecklich werden, zwischen den USA und China, zwischen armen und reichen Ländern.</t>
  </si>
  <si>
    <t>kriegen</t>
  </si>
  <si>
    <t>Graben</t>
  </si>
  <si>
    <t>langfristig</t>
  </si>
  <si>
    <t>kurzfristig</t>
  </si>
  <si>
    <t>denkenden</t>
  </si>
  <si>
    <t>schrecklich</t>
  </si>
  <si>
    <t>USA</t>
  </si>
  <si>
    <t># text = und fast alle Leben dieser 2 Milliarden werden sehr viel schlechter sein.</t>
  </si>
  <si>
    <t>schlechter</t>
  </si>
  <si>
    <t># text = Was müssen wir also tun?</t>
  </si>
  <si>
    <t># text = Für welche Maßnahmen appelliere ich?</t>
  </si>
  <si>
    <t>Maßnahmen</t>
  </si>
  <si>
    <t>appelliere</t>
  </si>
  <si>
    <t># text = Wir müssen uns für mehr Forschungsgelder einsetzen.</t>
  </si>
  <si>
    <t>Forschungsgelder</t>
  </si>
  <si>
    <t># text = Wenn Länder sich in Orten wie Koppenhagen treffen, sollten sie nicht nur über CO2 sprechen.</t>
  </si>
  <si>
    <t>Länder</t>
  </si>
  <si>
    <t>Orten</t>
  </si>
  <si>
    <t>Koppenhagen</t>
  </si>
  <si>
    <t># text = Sie sollten diese Innovationsstrategie besprechen und Sie wären geschockt von den lächerlich geringen Geldern, die für diese innovativen Herangehensweisen ausgegeben werden.</t>
  </si>
  <si>
    <t>Innovationsstrategie</t>
  </si>
  <si>
    <t>wären</t>
  </si>
  <si>
    <t>geschockt</t>
  </si>
  <si>
    <t>lächerlich</t>
  </si>
  <si>
    <t>geringen</t>
  </si>
  <si>
    <t>Geldern</t>
  </si>
  <si>
    <t>innovativen</t>
  </si>
  <si>
    <t>ausgegeben</t>
  </si>
  <si>
    <t># text = Wir brauchen Marktanreize, CO2 Steuern, Cap &amp;amp;</t>
  </si>
  <si>
    <t>Marktanreize</t>
  </si>
  <si>
    <t>Steuern</t>
  </si>
  <si>
    <t>Cap</t>
  </si>
  <si>
    <t>&amp;amp;amp</t>
  </si>
  <si>
    <t># text = Trade etwas, dass ein Preissignal schafft.</t>
  </si>
  <si>
    <t>Trade</t>
  </si>
  <si>
    <t>Preissignal</t>
  </si>
  <si>
    <t>schafft</t>
  </si>
  <si>
    <t># text = Wir müssen die Nachricht verbreiten.</t>
  </si>
  <si>
    <t>Nachricht</t>
  </si>
  <si>
    <t># text = Wir müssen Dialog rationaler und vollständiger führen und auch die Dinge, die von der Regierung unternommen werden.</t>
  </si>
  <si>
    <t>Dialog</t>
  </si>
  <si>
    <t>rationaler</t>
  </si>
  <si>
    <t>vollständiger</t>
  </si>
  <si>
    <t>Regierung</t>
  </si>
  <si>
    <t>unternommen</t>
  </si>
  <si>
    <t># text = Es ist ein wichtiger Wunsch, aber ich denke, wir können ihn erfüllen.</t>
  </si>
  <si>
    <t>denke</t>
  </si>
  <si>
    <t>ihn</t>
  </si>
  <si>
    <t>erfüllen</t>
  </si>
  <si>
    <t># text = Vielen Dank.</t>
  </si>
  <si>
    <t>Vielen</t>
  </si>
  <si>
    <t># text = (Applaus) Chris Anderson: Danke.</t>
  </si>
  <si>
    <t>Applaus</t>
  </si>
  <si>
    <t>Chris</t>
  </si>
  <si>
    <t>Anderson</t>
  </si>
  <si>
    <t>Danke</t>
  </si>
  <si>
    <t># text = Danke!</t>
  </si>
  <si>
    <t># text = Nur um TerraPower etwas besser zu verstehen -- Erstmal, können Sie uns eine Vorstellung der Größenordnung dieser Investition geben?</t>
  </si>
  <si>
    <t>Erstmal</t>
  </si>
  <si>
    <t>Größenordnung</t>
  </si>
  <si>
    <t>Investition</t>
  </si>
  <si>
    <t># text = Bill Gates:</t>
  </si>
  <si>
    <t>Gates</t>
  </si>
  <si>
    <t># text = Um die Simulation auf einem Supercomputer durchzuführen, alle großen Wissenschaftler zu bekommen, was wir gemacht haben, brauchen wir nur einige 10 Millionen.</t>
  </si>
  <si>
    <t>Um</t>
  </si>
  <si>
    <t>Simulation</t>
  </si>
  <si>
    <t>durchzuführen</t>
  </si>
  <si>
    <t>gemacht</t>
  </si>
  <si>
    <t>Millionen</t>
  </si>
  <si>
    <t># text = Und selbst wenn wir unsere Materialien in einem russischen Reaktor getestet haben, um sicherzustellen, dass es vernünftig funktioniert, ist man nur in den 100en Millionen.</t>
  </si>
  <si>
    <t>unsere</t>
  </si>
  <si>
    <t>russischen</t>
  </si>
  <si>
    <t>getestet</t>
  </si>
  <si>
    <t>sicherzustellen</t>
  </si>
  <si>
    <t>funktioniert</t>
  </si>
  <si>
    <t>100en</t>
  </si>
  <si>
    <t># text = Der schwierige Schritt ist das Bauen des ersten Reaktors, weitere Milliarden zu finden, die Regularien und den Ort der tatsächlich den ersten davon baut.</t>
  </si>
  <si>
    <t>Schritt</t>
  </si>
  <si>
    <t>Bauen</t>
  </si>
  <si>
    <t>Reaktors</t>
  </si>
  <si>
    <t>Regularien</t>
  </si>
  <si>
    <t>Ort</t>
  </si>
  <si>
    <t>davon</t>
  </si>
  <si>
    <t>baut</t>
  </si>
  <si>
    <t># text = Sobald der Erste fertig ist, wenn er so läuft wie versprochen, dann ist alles ganz klar, denn die Wirtschaftlichkeit, die Energiedichte ist so anders als bei Nuklearenergie, wie wir sie kennen.</t>
  </si>
  <si>
    <t>Sobald</t>
  </si>
  <si>
    <t>Erste</t>
  </si>
  <si>
    <t>fertig</t>
  </si>
  <si>
    <t>läuft</t>
  </si>
  <si>
    <t>versprochen</t>
  </si>
  <si>
    <t>Wirtschaftlichkeit</t>
  </si>
  <si>
    <t>kennen</t>
  </si>
  <si>
    <t># text = CA: Um das richtig zu verstehen:</t>
  </si>
  <si>
    <t>CA</t>
  </si>
  <si>
    <t>richtig</t>
  </si>
  <si>
    <t># text = Das bedeutet tief in den Boden zu bauen fast wie eine vertikale Säule nuklearen Brennstoffs, dieses verbrauchten Urans und dann beginnt der Prozess oben und arbeitet sich weiter nach unten?</t>
  </si>
  <si>
    <t>tief</t>
  </si>
  <si>
    <t>Boden</t>
  </si>
  <si>
    <t>bauen</t>
  </si>
  <si>
    <t>vertikale</t>
  </si>
  <si>
    <t>Brennstoffs</t>
  </si>
  <si>
    <t>verbrauchten</t>
  </si>
  <si>
    <t>beginnt</t>
  </si>
  <si>
    <t>Prozess</t>
  </si>
  <si>
    <t>oben</t>
  </si>
  <si>
    <t>arbeitet</t>
  </si>
  <si>
    <t># text = BG: Genau.</t>
  </si>
  <si>
    <t># text = Heute müssen Sie den Reaktor immer neu befüllen, also gibt es viele Leute und viele Kontrollen, die schief gehen können.</t>
  </si>
  <si>
    <t>neu</t>
  </si>
  <si>
    <t>Kontrollen</t>
  </si>
  <si>
    <t># text = Dieses Ding wo man ihn öffnet und Sachen hinein- oder herausbringt.</t>
  </si>
  <si>
    <t>Dieses</t>
  </si>
  <si>
    <t>öffnet</t>
  </si>
  <si>
    <t>hinein</t>
  </si>
  <si>
    <t>herausbringt</t>
  </si>
  <si>
    <t># text = Das ist nicht gut!</t>
  </si>
  <si>
    <t># text = Wenn man aber sehr billigen Brennstoff hat, kann man ihn für 60 Jahre befüllen -- denken Sie an eine Säule -- die Sie vergraben, ohne die ganzen Komplexitäten.</t>
  </si>
  <si>
    <t>billigen</t>
  </si>
  <si>
    <t>vergraben</t>
  </si>
  <si>
    <t>Komplexitäten</t>
  </si>
  <si>
    <t># text = Und es sitzt dort und brennt 60 Jahre lang und dann ist es fertig.</t>
  </si>
  <si>
    <t>sitzt</t>
  </si>
  <si>
    <t>brennt</t>
  </si>
  <si>
    <t>lang</t>
  </si>
  <si>
    <t># text = CA: Ein Nuklearreaktor, der selbst eine Lösung für den Müll bietet.</t>
  </si>
  <si>
    <t>Lösung</t>
  </si>
  <si>
    <t>bietet</t>
  </si>
  <si>
    <t># text = BG: Ja.</t>
  </si>
  <si>
    <t># text = Nun, was mit dem Müll passiert: Man kann ihn sitzen lassen -- es gibt viel weniger Müll mit dieser Methode -- dann nehmen Sie ihn und packen ihn in den nächsten Reaktor und verbrennen es weiter.</t>
  </si>
  <si>
    <t>Methode</t>
  </si>
  <si>
    <t>nehmen</t>
  </si>
  <si>
    <t>packen</t>
  </si>
  <si>
    <t># text = Und wir beginnen, indem wir den Müll nehmen, der bereits existiert, der in diesen Kühlbecken oder Trockenbehältern bei den Reaktoren liegt.</t>
  </si>
  <si>
    <t>indem</t>
  </si>
  <si>
    <t>existiert</t>
  </si>
  <si>
    <t>Kühlbecken</t>
  </si>
  <si>
    <t>Trockenbehältern</t>
  </si>
  <si>
    <t># text = Das ist unser Startbrennstoff.</t>
  </si>
  <si>
    <t>Startbrennstoff</t>
  </si>
  <si>
    <t># text = Also ist das, was für diese Reaktoren ein Problem war, das, was wir in unseren füllen und damit wird das Müllvolumen dramatisch reduziert während dieses Prozesses.</t>
  </si>
  <si>
    <t>war</t>
  </si>
  <si>
    <t>füllen</t>
  </si>
  <si>
    <t>Müllvolumen</t>
  </si>
  <si>
    <t>während</t>
  </si>
  <si>
    <t>Prozesses</t>
  </si>
  <si>
    <t># text = CA: Aber während Sie mit verschiedenen Menschen dieser Welt über diese Möglichkeiten gesprochen haben, wo ist das größte Interesse, so was wirklich umzusetzen?</t>
  </si>
  <si>
    <t>verschiedenen</t>
  </si>
  <si>
    <t>gesprochen</t>
  </si>
  <si>
    <t>Interesse</t>
  </si>
  <si>
    <t>umzusetzen</t>
  </si>
  <si>
    <t># text = BG: Nun wir haben uns noch nicht auf einen Ort festgelegt und es gibt eine Menge interessanter Offenlegungsregeln für alles das \"nuklear\" im Namen trägt.</t>
  </si>
  <si>
    <t>festgelegt</t>
  </si>
  <si>
    <t>interessanter</t>
  </si>
  <si>
    <t>Offenlegungsregeln</t>
  </si>
  <si>
    <t>nuklear</t>
  </si>
  <si>
    <t>Namen</t>
  </si>
  <si>
    <t>trägt</t>
  </si>
  <si>
    <t># text = Es gibt großes Interesse und die Menschen des Unternehmens waren in Russland, Indien, China...</t>
  </si>
  <si>
    <t>großes</t>
  </si>
  <si>
    <t>Unternehmens</t>
  </si>
  <si>
    <t>waren</t>
  </si>
  <si>
    <t>Russland</t>
  </si>
  <si>
    <t>Indien</t>
  </si>
  <si>
    <t>...</t>
  </si>
  <si>
    <t># text = Ich war hier und habe den Energieminister getroffen und darüber gesprochen, wie dies zur Energieagenda passt.</t>
  </si>
  <si>
    <t>Energieminister</t>
  </si>
  <si>
    <t>getroffen</t>
  </si>
  <si>
    <t>Energieagenda</t>
  </si>
  <si>
    <t>passt</t>
  </si>
  <si>
    <t># text = Ich bin optimistisch.</t>
  </si>
  <si>
    <t>bin</t>
  </si>
  <si>
    <t># text = Wissen Sie, die Franzosen und Japaner haben etwas in die Richtung gemacht.</t>
  </si>
  <si>
    <t>Franzosen</t>
  </si>
  <si>
    <t>Japaner</t>
  </si>
  <si>
    <t># text = Dies ist eine Variante einer Sache, die gemacht wurde.</t>
  </si>
  <si>
    <t>Dies</t>
  </si>
  <si>
    <t>Variante</t>
  </si>
  <si>
    <t># text = Das ist ein wichtiger Schritt vorwärts, aber es ist wie ein schneller Reaktor und einige Länder haben diese gebaut, deshalb ist jeder, der einen schnellen Reaktor umgesetzt hat, ein Kandidatat für unseren ersten.</t>
  </si>
  <si>
    <t>schneller</t>
  </si>
  <si>
    <t>gebaut</t>
  </si>
  <si>
    <t>schnellen</t>
  </si>
  <si>
    <t>umgesetzt</t>
  </si>
  <si>
    <t>Kandidatat</t>
  </si>
  <si>
    <t># text = CA:</t>
  </si>
  <si>
    <t># text = In Ihrer Vorstellung: Zeitrahmen und Wahrscheinlichkeit so etwas wirklich ins Leben zu rufen?</t>
  </si>
  <si>
    <t>Ihrer</t>
  </si>
  <si>
    <t>Zeitrahmen</t>
  </si>
  <si>
    <t>Wahrscheinlichkeit</t>
  </si>
  <si>
    <t># text = BG: Nun wir brauchen eines dieser skalierbaren, stromgenerierenden Dinge, die sehr günstig sind, wir haben 20 Jahre zum Erfinden und dann 20 Jahre zum Einsetzen.</t>
  </si>
  <si>
    <t>skalierbaren</t>
  </si>
  <si>
    <t>stromgenerierenden</t>
  </si>
  <si>
    <t>Erfinden</t>
  </si>
  <si>
    <t>Einsetzen</t>
  </si>
  <si>
    <t># text = Das ist quasi die Deadline, die uns die Umweltmodelle aufgezeigt hat, die wir einhalten müssen.</t>
  </si>
  <si>
    <t>Umweltmodelle</t>
  </si>
  <si>
    <t>aufgezeigt</t>
  </si>
  <si>
    <t>einhalten</t>
  </si>
  <si>
    <t># text = Und, wissen Sie, TerraPower, wenn alles gut läuft, und das ist ein großer Wunsch, könnte das leicht halten.</t>
  </si>
  <si>
    <t>großer</t>
  </si>
  <si>
    <t># text = Und glücklicherweise gibt es heute Dutzende von Firmen, und wir brauchen Hunderte, die, genauso, wenn deren Ansätze funktionieren, die Förderung für ihre Piloten funktioniert, dafür mitbieten können.</t>
  </si>
  <si>
    <t>glücklicherweise</t>
  </si>
  <si>
    <t>Dutzende</t>
  </si>
  <si>
    <t>Ansätze</t>
  </si>
  <si>
    <t>Förderung</t>
  </si>
  <si>
    <t>Piloten</t>
  </si>
  <si>
    <t>mitbieten</t>
  </si>
  <si>
    <t># text = Und es wäre am Besten, wenn es mehrere schaffen, denn dann könnte man eine Mischung benutzen.</t>
  </si>
  <si>
    <t>Besten</t>
  </si>
  <si>
    <t>Mischung</t>
  </si>
  <si>
    <t># text = Auf jeden Fall brauchen wir eine Lösung.</t>
  </si>
  <si>
    <t>Auf</t>
  </si>
  <si>
    <t># text = CA: Betreffend der großen möglichen Durchbrüche, ist dies das Größte, das Sie kennen?</t>
  </si>
  <si>
    <t>Betreffend</t>
  </si>
  <si>
    <t>Größte</t>
  </si>
  <si>
    <t># text = BG: Ein Energiedurchbruch ist das allerwichtigste.</t>
  </si>
  <si>
    <t>Energiedurchbruch</t>
  </si>
  <si>
    <t>allerwichtigste</t>
  </si>
  <si>
    <t># text = Das wäre es auch ohne die Umweltherausforderung gewesen, aber die macht es noch so viel wichtiger.</t>
  </si>
  <si>
    <t>Umweltherausforderung</t>
  </si>
  <si>
    <t>gewesen</t>
  </si>
  <si>
    <t># text = Im nuklearen Sektor gibt es andere innovative Firmen.</t>
  </si>
  <si>
    <t>Sektor</t>
  </si>
  <si>
    <t>innovative</t>
  </si>
  <si>
    <t># text = Wissen Sie, wir kennen deren Arbeit nicht so gut wie diese, aber es gibt die modulare Methode, das ist ein anderer Ansatz.</t>
  </si>
  <si>
    <t>Arbeit</t>
  </si>
  <si>
    <t>modulare</t>
  </si>
  <si>
    <t>anderer</t>
  </si>
  <si>
    <t># text = Es gibt einen flüssigen Reaktortyp, welches etwas schwierig scheint, aber vielleicht sagen die das über uns.</t>
  </si>
  <si>
    <t>flüssigen</t>
  </si>
  <si>
    <t>Reaktortyp</t>
  </si>
  <si>
    <t># text = Und somit gibt es verschiedene, aber das schöne daran ist, dass ein Uranmolekül eine Millionen mal so viel Energie hat wie ein, sagen wir, ein Kohlemolekül und deshalb, wenn Sie mit den Problemen umgehen können und die sind hauptsächlich die Strahlung, der Fußabdruck und die Kosten, spielt das Potential, also die Auswirkungen auf das Land und andere Dinge, fast in einer eigenen Liga.</t>
  </si>
  <si>
    <t>schöne</t>
  </si>
  <si>
    <t>Uranmolekül</t>
  </si>
  <si>
    <t>Kohlemolekül</t>
  </si>
  <si>
    <t>Problemen</t>
  </si>
  <si>
    <t>Strahlung</t>
  </si>
  <si>
    <t>Fußabdruck</t>
  </si>
  <si>
    <t>spielt</t>
  </si>
  <si>
    <t>Potential</t>
  </si>
  <si>
    <t>Auswirkungen</t>
  </si>
  <si>
    <t>Land</t>
  </si>
  <si>
    <t>eigenen</t>
  </si>
  <si>
    <t>Liga</t>
  </si>
  <si>
    <t># text = CA: Wenn das nicht klappt, was dann?</t>
  </si>
  <si>
    <t>klappt</t>
  </si>
  <si>
    <t># text = Müssen wir Notfallmaßnahmen einleiten, um zu versuchen, die Erdtemperatur stabil zu halten?</t>
  </si>
  <si>
    <t>Notfallmaßnahmen</t>
  </si>
  <si>
    <t>versuchen</t>
  </si>
  <si>
    <t>Erdtemperatur</t>
  </si>
  <si>
    <t>stabil</t>
  </si>
  <si>
    <t># text = BG: Wenn man in diese Situation kommt, ist es als ob man zu viel gegessen hat, und kurz vor einem Herzinfarkt steht.</t>
  </si>
  <si>
    <t>gegessen</t>
  </si>
  <si>
    <t>kurz</t>
  </si>
  <si>
    <t>Herzinfarkt</t>
  </si>
  <si>
    <t># text = Was macht man dann?</t>
  </si>
  <si>
    <t># text = Man braucht vielleicht eine Herzoperation oder ähnliches.</t>
  </si>
  <si>
    <t>Herzoperation</t>
  </si>
  <si>
    <t>ähnliches</t>
  </si>
  <si>
    <t># text = Es gibt eine Forschungsrichtung die sich Geoengineering nennt, die sich mit verschiedenen Techniken befasst, um die Erwärmung zu verzögern, damit wir 20 oder 30 Jahre länger bekämen um uns zusammenzuraufen.</t>
  </si>
  <si>
    <t>Forschungsrichtung</t>
  </si>
  <si>
    <t>Geoengineering</t>
  </si>
  <si>
    <t>nennt</t>
  </si>
  <si>
    <t>Techniken</t>
  </si>
  <si>
    <t>befasst</t>
  </si>
  <si>
    <t>Erwärmung</t>
  </si>
  <si>
    <t>verzögern</t>
  </si>
  <si>
    <t>länger</t>
  </si>
  <si>
    <t>bekämen</t>
  </si>
  <si>
    <t>zusammenzuraufen</t>
  </si>
  <si>
    <t># text = Das ist nur eine Versicherungsmethode.</t>
  </si>
  <si>
    <t>Versicherungsmethode</t>
  </si>
  <si>
    <t># text = Man hofft, dass wir das nicht brauchen.</t>
  </si>
  <si>
    <t>hofft</t>
  </si>
  <si>
    <t># text = Manche Leute sagen, man sollte gar nicht erst an der Versicherung arbeiten weil einen das vielleicht faul macht, sodass man weiter isst, weil man weiß, dass einen die Herzoperation retten wird.</t>
  </si>
  <si>
    <t>Manche</t>
  </si>
  <si>
    <t>gar</t>
  </si>
  <si>
    <t>erst</t>
  </si>
  <si>
    <t>Versicherung</t>
  </si>
  <si>
    <t>faul</t>
  </si>
  <si>
    <t>sodass</t>
  </si>
  <si>
    <t>isst</t>
  </si>
  <si>
    <t>weiß</t>
  </si>
  <si>
    <t>retten</t>
  </si>
  <si>
    <t># text = Ich weiß nicht, ob das klug ist, wenn man sich die Wichtigkeit dieses Problems vor Augen führt, aber es gibt nun einen Diskurs in Geoengineering darüber, ob man das zur Verfügung haben sollte, falls die Dinge schneller kommen, oder diese Innovation länger braucht, als wir erwarten.</t>
  </si>
  <si>
    <t>klug</t>
  </si>
  <si>
    <t>Wichtigkeit</t>
  </si>
  <si>
    <t>Problems</t>
  </si>
  <si>
    <t>Augen</t>
  </si>
  <si>
    <t>Diskurs</t>
  </si>
  <si>
    <t>Verfügung</t>
  </si>
  <si>
    <t>falls</t>
  </si>
  <si>
    <t>erwarten</t>
  </si>
  <si>
    <t># text = CA: Klimaskeptiker: Haben</t>
  </si>
  <si>
    <t>Klimaskeptiker</t>
  </si>
  <si>
    <t>Haben</t>
  </si>
  <si>
    <t># text = Sie ein oder zwei Sätze für die, um Sie vielleicht zu überzeugen?</t>
  </si>
  <si>
    <t>zwei</t>
  </si>
  <si>
    <t>Sätze</t>
  </si>
  <si>
    <t>überzeugen</t>
  </si>
  <si>
    <t># text = BG: Nun, leider leben die Skeptiker in sehr verschiedenen Camps.</t>
  </si>
  <si>
    <t>leider</t>
  </si>
  <si>
    <t>Skeptiker</t>
  </si>
  <si>
    <t>Camps</t>
  </si>
  <si>
    <t># text = Diejenigen, die wissenschaftliche Argumente machen, sind sehr wenig.</t>
  </si>
  <si>
    <t>Diejenigen</t>
  </si>
  <si>
    <t>wissenschaftliche</t>
  </si>
  <si>
    <t>Argumente</t>
  </si>
  <si>
    <t># text = Sagen sie, dass es negative Auswirkungen gibt, die mit den Wolken zu tun haben, die Dinge verschieben?</t>
  </si>
  <si>
    <t>Sagen</t>
  </si>
  <si>
    <t>Wolken</t>
  </si>
  <si>
    <t>verschieben</t>
  </si>
  <si>
    <t># text = Es gibt sehr, sehr wenige Dinge, die sie überhaupt sagen können, von denen es eine Chance in einer Millionen gibt.</t>
  </si>
  <si>
    <t>wenige</t>
  </si>
  <si>
    <t>Chance</t>
  </si>
  <si>
    <t># text = Das Hauptproblem hier ist so ähnlich wie bei AIDS.</t>
  </si>
  <si>
    <t>Hauptproblem</t>
  </si>
  <si>
    <t>ähnlich</t>
  </si>
  <si>
    <t>AIDS</t>
  </si>
  <si>
    <t># text = Man macht den Fehler jetzt, und man zahlt dafür sehr viel später.</t>
  </si>
  <si>
    <t>Fehler</t>
  </si>
  <si>
    <t>zahlt</t>
  </si>
  <si>
    <t>später</t>
  </si>
  <si>
    <t># text = Und deshalb ist die Vorstellung, jetzt, wenn man alle möglichen dringenden Probleme hat, in etwas zu investieren, von dem man erst später was hat -- und dazu kommt, dass die Investition nicht so klar ist.</t>
  </si>
  <si>
    <t>dringenden</t>
  </si>
  <si>
    <t>dazu</t>
  </si>
  <si>
    <t># text = Tatsächlich ist der IPCC Report nicht unbedingt das schlimmste Szenario und es gibt Menschen in der reichen Welt, die sich IPCC anschauen und sagen, okay, das ist kein großes Drama.</t>
  </si>
  <si>
    <t>IPCC</t>
  </si>
  <si>
    <t>Report</t>
  </si>
  <si>
    <t>unbedingt</t>
  </si>
  <si>
    <t>schlimmste</t>
  </si>
  <si>
    <t>Szenario</t>
  </si>
  <si>
    <t>okay</t>
  </si>
  <si>
    <t>kein</t>
  </si>
  <si>
    <t>Drama</t>
  </si>
  <si>
    <t># text = Die Tatsache ist, dass diese Unsicherheit uns Sorgen machen sollte.</t>
  </si>
  <si>
    <t>Sorgen</t>
  </si>
  <si>
    <t># text = Aber mein Traum hier ist, dass, wenn man es ökonomisch machen kann, und gleichzeitig das CO2 beseitigt, dann sagen auch die Skeptiker: \"Okay, Es interessiert mich nicht, dass es kein CO2 emittiert, ich wünschte fast, dass es das täte, aber ich werde es wohl akzeptieren, weil es billiger ist als die vorherige Methode.\"</t>
  </si>
  <si>
    <t>Traum</t>
  </si>
  <si>
    <t>ökonomisch</t>
  </si>
  <si>
    <t>gleichzeitig</t>
  </si>
  <si>
    <t>beseitigt</t>
  </si>
  <si>
    <t>Okay</t>
  </si>
  <si>
    <t>interessiert</t>
  </si>
  <si>
    <t>other_8</t>
  </si>
  <si>
    <t>OBJ_7</t>
  </si>
  <si>
    <t>wünschte</t>
  </si>
  <si>
    <t>täte</t>
  </si>
  <si>
    <t>werde</t>
  </si>
  <si>
    <t>akzeptieren</t>
  </si>
  <si>
    <t>billiger</t>
  </si>
  <si>
    <t>vorherige</t>
  </si>
  <si>
    <t># text = CA: Und das wäre Ihre Antwort auf das Björn Lomborg Argument, dass, wenn man all diese Zeit und Energie verwendet um das CO2 Problem zu lösen, all die anderen Ziele darunter leiden, die Armutsverringerung, die Bekämpfung von Malaria und so weiter, dass es eine dumme Verschwendung von Ressourcen ist, Geld dafür zu investieren, während es bessere Dinge gibt, die wir tun können.</t>
  </si>
  <si>
    <t>Ihre</t>
  </si>
  <si>
    <t>Björn</t>
  </si>
  <si>
    <t>Lomborg</t>
  </si>
  <si>
    <t>Argument</t>
  </si>
  <si>
    <t>Ziele</t>
  </si>
  <si>
    <t>Bekämpfung</t>
  </si>
  <si>
    <t>Malaria</t>
  </si>
  <si>
    <t>dumme</t>
  </si>
  <si>
    <t>Verschwendung</t>
  </si>
  <si>
    <t>Ressourcen</t>
  </si>
  <si>
    <t>Geld</t>
  </si>
  <si>
    <t>bessere</t>
  </si>
  <si>
    <t># text = BG: Nun, die tatsächlichen Ausgaben für die Forschung -- sagen wir die U.S. sollten 10 Milliarden pro Jahr mehr ausgeben als sie heute tun -- das ist nicht so dramatisch.</t>
  </si>
  <si>
    <t>tatsächlichen</t>
  </si>
  <si>
    <t>Ausgaben</t>
  </si>
  <si>
    <t># text = Darunter sollten anderen Dinge nicht leiden.</t>
  </si>
  <si>
    <t>Darunter</t>
  </si>
  <si>
    <t># text = Man kommt dann zu großen Geldsummen, und hier können vernünftige Leute widersprechen, wenn man etwas hat, das nicht ökonomisch ist, und versucht, das zu finanzieren.</t>
  </si>
  <si>
    <t>Geldsummen</t>
  </si>
  <si>
    <t>vernünftige</t>
  </si>
  <si>
    <t>widersprechen</t>
  </si>
  <si>
    <t># text = Für mich geschieht hier die meiste Verschwendung.</t>
  </si>
  <si>
    <t>geschieht</t>
  </si>
  <si>
    <t>meiste</t>
  </si>
  <si>
    <t># text = Es sei denn, man ist sehr kurz vor einem Kostendurchbruch und finanziert nur noch die Lernkurve.</t>
  </si>
  <si>
    <t>sei</t>
  </si>
  <si>
    <t>Kostendurchbruch</t>
  </si>
  <si>
    <t>finanziert</t>
  </si>
  <si>
    <t>Lernkurve</t>
  </si>
  <si>
    <t># text = Ich glaube wir sollten mehr Dinge versuchen, die das Potential haben, sehr viel günstiger zu sein.</t>
  </si>
  <si>
    <t>günstiger</t>
  </si>
  <si>
    <t># text = Falls der Abstrich, den man bekommt, ein sehr hoher Energiepreis ist, dann können nur die Reichen mithalten.</t>
  </si>
  <si>
    <t>Falls</t>
  </si>
  <si>
    <t>Abstrich</t>
  </si>
  <si>
    <t>hoher</t>
  </si>
  <si>
    <t>Reichen</t>
  </si>
  <si>
    <t>mithalten</t>
  </si>
  <si>
    <t># text = Ich meine, jeder von uns hier könnte fünf mal so viel für unsere Energie ausgeben ohne seinen Lebensstil zu ändern.</t>
  </si>
  <si>
    <t>seinen</t>
  </si>
  <si>
    <t>Lebensstil</t>
  </si>
  <si>
    <t># text = Für die unteren zwei Milliarden aber ist es ein Desaster.</t>
  </si>
  <si>
    <t>unteren</t>
  </si>
  <si>
    <t>Desaster</t>
  </si>
  <si>
    <t># text = Und selbst Lomborg denkt um.</t>
  </si>
  <si>
    <t>denkt</t>
  </si>
  <si>
    <t># text = Seine neue Masche ist jetzt: \"Warum wird die Forschung nicht mehr besprochen?\"</t>
  </si>
  <si>
    <t>Seine</t>
  </si>
  <si>
    <t>Masche</t>
  </si>
  <si>
    <t>Warum</t>
  </si>
  <si>
    <t>besprochen</t>
  </si>
  <si>
    <t># text = Er wird immer noch, wegen seiner früheren Geschichten, mit dem Skeptiker-Camp assoziiert, aber er hat verstanden, dass das eine sehr einsame Gruppe ist und deshalb bringt er jetzt das Forschungsargument.</t>
  </si>
  <si>
    <t>Er</t>
  </si>
  <si>
    <t>wegen</t>
  </si>
  <si>
    <t>seiner</t>
  </si>
  <si>
    <t>früheren</t>
  </si>
  <si>
    <t>Geschichten</t>
  </si>
  <si>
    <t>Camp</t>
  </si>
  <si>
    <t>assoziiert</t>
  </si>
  <si>
    <t>verstanden</t>
  </si>
  <si>
    <t>einsame</t>
  </si>
  <si>
    <t>bringt</t>
  </si>
  <si>
    <t>Forschungsargument</t>
  </si>
  <si>
    <t># text = Und das ist ein Gedankengang, den ich für angemessen halte.</t>
  </si>
  <si>
    <t>Gedankengang</t>
  </si>
  <si>
    <t>angemessen</t>
  </si>
  <si>
    <t>halte</t>
  </si>
  <si>
    <t># text = Die Forschung, es ist einfach verrückt, wie wenig die unterstützt wird.</t>
  </si>
  <si>
    <t>unterstützt</t>
  </si>
  <si>
    <t># text = CA: Bill, ich glaube ich spreche für fast alle Menschen hier, wenn ich sage, ich hoffe wirklich, dass Ihr Wunsch wahr wird.</t>
  </si>
  <si>
    <t>sage</t>
  </si>
  <si>
    <t>hoffe</t>
  </si>
  <si>
    <t>Ihr</t>
  </si>
  <si>
    <t>wahr</t>
  </si>
  <si>
    <t># text = Vielen, vielen Dank.</t>
  </si>
  <si>
    <t># text = BG: Danke.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</si>
</sst>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85"/>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16</v>
      </c>
      <c r="C3" s="6" t="s">
        <v>12</v>
      </c>
      <c r="D3" s="7" t="s">
        <v>17</v>
      </c>
      <c r="E3" s="8" t="s">
        <v>18</v>
      </c>
      <c r="F3" s="6" t="s">
        <v>19</v>
      </c>
      <c r="G3" s="9">
        <f>IF(A3=1,"_",IF(C3="_","???",C3))</f>
        <v/>
      </c>
      <c r="H3" s="10" t="s">
        <v>12</v>
      </c>
      <c r="I3" s="11" t="s">
        <v>12</v>
      </c>
      <c r="J3" s="12"/>
    </row>
    <row r="4" spans="1:10" ht="60" customHeight="1">
      <c r="A4" s="6" t="s">
        <v>20</v>
      </c>
      <c r="B4" s="6" t="s">
        <v>16</v>
      </c>
      <c r="C4" s="6" t="s">
        <v>12</v>
      </c>
      <c r="D4" s="7" t="s">
        <v>21</v>
      </c>
      <c r="E4" s="8" t="s">
        <v>22</v>
      </c>
      <c r="F4" s="6" t="s">
        <v>23</v>
      </c>
      <c r="G4" s="9">
        <f>IF(A4=1,"_",IF(C4="_","???",C4))</f>
        <v/>
      </c>
      <c r="H4" s="10" t="s">
        <v>12</v>
      </c>
      <c r="I4" s="11" t="s">
        <v>12</v>
      </c>
      <c r="J4" s="12"/>
    </row>
    <row r="5" spans="1:10" ht="60" customHeight="1">
      <c r="A5" s="6" t="s">
        <v>24</v>
      </c>
      <c r="B5" s="6" t="s">
        <v>11</v>
      </c>
      <c r="C5" s="6" t="s">
        <v>12</v>
      </c>
      <c r="D5" s="7" t="s">
        <v>25</v>
      </c>
      <c r="E5" s="8" t="s">
        <v>26</v>
      </c>
      <c r="F5" s="6" t="s">
        <v>27</v>
      </c>
      <c r="G5" s="9">
        <f>IF(A5=1,"_",IF(C5="_","???",C5))</f>
        <v/>
      </c>
      <c r="H5" s="10" t="s">
        <v>12</v>
      </c>
      <c r="I5" s="11" t="s">
        <v>12</v>
      </c>
      <c r="J5" s="12"/>
    </row>
    <row r="6" spans="1:10" ht="60" customHeight="1">
      <c r="A6" s="6" t="s">
        <v>16</v>
      </c>
      <c r="B6" s="6" t="s">
        <v>28</v>
      </c>
      <c r="C6" s="6" t="s">
        <v>12</v>
      </c>
      <c r="D6" s="7" t="s">
        <v>29</v>
      </c>
      <c r="E6" s="8" t="s">
        <v>30</v>
      </c>
      <c r="F6" s="6" t="s">
        <v>31</v>
      </c>
      <c r="G6" s="9">
        <f>IF(A6=1,"_",IF(C6="_","???",C6))</f>
        <v/>
      </c>
      <c r="H6" s="10" t="s">
        <v>12</v>
      </c>
      <c r="I6" s="11" t="s">
        <v>12</v>
      </c>
      <c r="J6" s="12"/>
    </row>
    <row r="7" spans="1:10" ht="60" customHeight="1">
      <c r="A7" s="6" t="s">
        <v>32</v>
      </c>
      <c r="B7" s="6" t="s">
        <v>32</v>
      </c>
      <c r="C7" s="6" t="s">
        <v>12</v>
      </c>
      <c r="D7" s="7" t="s">
        <v>33</v>
      </c>
      <c r="E7" s="8" t="s">
        <v>34</v>
      </c>
      <c r="F7" s="6" t="s">
        <v>35</v>
      </c>
      <c r="G7" s="9">
        <f>IF(A7=1,"_",IF(C7="_","???",C7))</f>
        <v/>
      </c>
      <c r="H7" s="10" t="s">
        <v>12</v>
      </c>
      <c r="I7" s="11" t="s">
        <v>12</v>
      </c>
      <c r="J7" s="12"/>
    </row>
    <row r="8" spans="1:10" ht="60" customHeight="1">
      <c r="A8" s="6" t="s">
        <v>36</v>
      </c>
      <c r="B8" s="6" t="s">
        <v>11</v>
      </c>
      <c r="C8" s="6" t="s">
        <v>12</v>
      </c>
      <c r="D8" s="7" t="s">
        <v>37</v>
      </c>
      <c r="E8" s="8" t="s">
        <v>38</v>
      </c>
      <c r="F8" s="6" t="s">
        <v>39</v>
      </c>
      <c r="G8" s="9">
        <f>IF(A8=1,"_",IF(C8="_","???",C8))</f>
        <v/>
      </c>
      <c r="H8" s="10" t="s">
        <v>12</v>
      </c>
      <c r="I8" s="11" t="s">
        <v>12</v>
      </c>
      <c r="J8" s="12"/>
    </row>
    <row r="9" spans="1:10" ht="60" customHeight="1">
      <c r="A9" s="6" t="s">
        <v>28</v>
      </c>
      <c r="B9" s="6" t="s">
        <v>11</v>
      </c>
      <c r="C9" s="6" t="s">
        <v>12</v>
      </c>
      <c r="D9" s="7" t="s">
        <v>37</v>
      </c>
      <c r="E9" s="8" t="s">
        <v>40</v>
      </c>
      <c r="F9" s="6" t="s">
        <v>41</v>
      </c>
      <c r="G9" s="9">
        <f>IF(A9=1,"_",IF(C9="_","???",C9))</f>
        <v/>
      </c>
      <c r="H9" s="10" t="s">
        <v>12</v>
      </c>
      <c r="I9" s="11" t="s">
        <v>12</v>
      </c>
      <c r="J9" s="12"/>
    </row>
    <row r="10" spans="1:10" ht="60" customHeight="1">
      <c r="A10" s="6" t="s">
        <v>42</v>
      </c>
      <c r="B10" s="6" t="s">
        <v>11</v>
      </c>
      <c r="C10" s="6" t="s">
        <v>12</v>
      </c>
      <c r="D10" s="7" t="s">
        <v>37</v>
      </c>
      <c r="E10" s="8" t="s">
        <v>43</v>
      </c>
      <c r="F10" s="6" t="s">
        <v>44</v>
      </c>
      <c r="G10" s="9">
        <f>IF(A10=1,"_",IF(C10="_","???",C10))</f>
        <v/>
      </c>
      <c r="H10" s="10" t="s">
        <v>12</v>
      </c>
      <c r="I10" s="11" t="s">
        <v>12</v>
      </c>
      <c r="J10" s="12"/>
    </row>
    <row r="11" spans="1:10" ht="60" customHeight="1">
      <c r="A11" s="6" t="s">
        <v>45</v>
      </c>
      <c r="B11" s="6" t="s">
        <v>42</v>
      </c>
      <c r="C11" s="6" t="s">
        <v>12</v>
      </c>
      <c r="D11" s="7" t="s">
        <v>46</v>
      </c>
      <c r="E11" s="8" t="s">
        <v>47</v>
      </c>
      <c r="F11" s="6" t="s">
        <v>48</v>
      </c>
      <c r="G11" s="9">
        <f>IF(A11=1,"_",IF(C11="_","???",C11))</f>
        <v/>
      </c>
      <c r="H11" s="10" t="s">
        <v>12</v>
      </c>
      <c r="I11" s="11" t="s">
        <v>12</v>
      </c>
      <c r="J11" s="12"/>
    </row>
    <row r="12" spans="1:10" ht="60" customHeight="1">
      <c r="A12" s="6" t="s">
        <v>49</v>
      </c>
      <c r="B12" s="6" t="s">
        <v>11</v>
      </c>
      <c r="C12" s="6" t="s">
        <v>12</v>
      </c>
      <c r="D12" s="7" t="s">
        <v>21</v>
      </c>
      <c r="E12" s="8" t="s">
        <v>50</v>
      </c>
      <c r="F12" s="6" t="s">
        <v>51</v>
      </c>
      <c r="G12" s="9">
        <f>IF(A12=1,"_",IF(C12="_","???",C12))</f>
        <v/>
      </c>
      <c r="H12" s="10" t="s">
        <v>12</v>
      </c>
      <c r="I12" s="11" t="s">
        <v>12</v>
      </c>
      <c r="J12" s="12"/>
    </row>
    <row r="13" spans="1:10" ht="60" customHeight="1">
      <c r="A13" s="6" t="s">
        <v>52</v>
      </c>
      <c r="B13" s="6" t="s">
        <v>11</v>
      </c>
      <c r="C13" s="6" t="s">
        <v>12</v>
      </c>
      <c r="D13" s="7" t="s">
        <v>53</v>
      </c>
      <c r="E13" s="8" t="s">
        <v>54</v>
      </c>
      <c r="F13" s="6" t="s">
        <v>55</v>
      </c>
      <c r="G13" s="9">
        <f>IF(A13=1,"_",IF(C13="_","???",C13))</f>
        <v/>
      </c>
      <c r="H13" s="10" t="s">
        <v>12</v>
      </c>
      <c r="I13" s="11" t="s">
        <v>12</v>
      </c>
      <c r="J13" s="12"/>
    </row>
    <row r="14" spans="1:10" ht="60" customHeight="1">
      <c r="A14" s="6" t="s">
        <v>56</v>
      </c>
      <c r="B14" s="6" t="s">
        <v>16</v>
      </c>
      <c r="C14" s="6" t="s">
        <v>12</v>
      </c>
      <c r="D14" s="7" t="s">
        <v>57</v>
      </c>
      <c r="E14" s="8" t="s">
        <v>58</v>
      </c>
      <c r="F14" s="6" t="s">
        <v>59</v>
      </c>
      <c r="G14" s="9">
        <f>IF(A14=1,"_",IF(C14="_","???",C14))</f>
        <v/>
      </c>
      <c r="H14" s="10" t="s">
        <v>12</v>
      </c>
      <c r="I14" s="11" t="s">
        <v>12</v>
      </c>
      <c r="J14" s="12"/>
    </row>
    <row r="15" spans="1:10" ht="60" customHeight="1">
      <c r="A15" s="6" t="s">
        <v>60</v>
      </c>
      <c r="B15" s="6" t="s">
        <v>11</v>
      </c>
      <c r="C15" s="6" t="s">
        <v>12</v>
      </c>
      <c r="D15" s="7" t="s">
        <v>61</v>
      </c>
      <c r="E15" s="8" t="s">
        <v>62</v>
      </c>
      <c r="F15" s="6" t="s">
        <v>63</v>
      </c>
      <c r="G15" s="9">
        <f>IF(A15=1,"_",IF(C15="_","???",C15))</f>
        <v/>
      </c>
      <c r="H15" s="10" t="s">
        <v>12</v>
      </c>
      <c r="I15" s="11" t="s">
        <v>12</v>
      </c>
      <c r="J15" s="12"/>
    </row>
    <row r="16" spans="1:10" ht="60" customHeight="1">
      <c r="A16" s="6" t="s">
        <v>64</v>
      </c>
      <c r="B16" s="6" t="s">
        <v>20</v>
      </c>
      <c r="C16" s="6" t="s">
        <v>12</v>
      </c>
      <c r="D16" s="7" t="s">
        <v>65</v>
      </c>
      <c r="E16" s="8" t="s">
        <v>66</v>
      </c>
      <c r="F16" s="6" t="s">
        <v>67</v>
      </c>
      <c r="G16" s="9">
        <f>IF(A16=1,"_",IF(C16="_","???",C16))</f>
        <v/>
      </c>
      <c r="H16" s="10" t="s">
        <v>12</v>
      </c>
      <c r="I16" s="11" t="s">
        <v>12</v>
      </c>
      <c r="J16" s="12"/>
    </row>
    <row r="17" spans="1:10" ht="60" customHeight="1">
      <c r="A17" s="6" t="s">
        <v>68</v>
      </c>
      <c r="B17" s="6" t="s">
        <v>11</v>
      </c>
      <c r="C17" s="6" t="s">
        <v>69</v>
      </c>
      <c r="D17" s="7" t="s">
        <v>70</v>
      </c>
      <c r="E17" s="8" t="s">
        <v>71</v>
      </c>
      <c r="F17" s="6" t="s">
        <v>72</v>
      </c>
      <c r="G17" s="9">
        <f>IF(A17=1,"_",IF(C17="_","???",C17))</f>
        <v/>
      </c>
      <c r="H17" s="10" t="s">
        <v>12</v>
      </c>
      <c r="I17" s="11" t="s">
        <v>12</v>
      </c>
      <c r="J17" s="12"/>
    </row>
    <row r="18" spans="1:10" ht="60" customHeight="1">
      <c r="A18" s="6" t="s">
        <v>73</v>
      </c>
      <c r="B18" s="6" t="s">
        <v>11</v>
      </c>
      <c r="C18" s="6" t="s">
        <v>12</v>
      </c>
      <c r="D18" s="7" t="s">
        <v>74</v>
      </c>
      <c r="E18" s="8" t="s">
        <v>75</v>
      </c>
      <c r="F18" s="6" t="s">
        <v>76</v>
      </c>
      <c r="G18" s="9">
        <f>IF(A18=1,"_",IF(C18="_","???",C18))</f>
        <v/>
      </c>
      <c r="H18" s="10" t="s">
        <v>12</v>
      </c>
      <c r="I18" s="11" t="s">
        <v>12</v>
      </c>
      <c r="J18" s="12"/>
    </row>
    <row r="19" spans="1:10" ht="60" customHeight="1">
      <c r="A19" s="6" t="s">
        <v>77</v>
      </c>
      <c r="B19" s="6" t="s">
        <v>78</v>
      </c>
      <c r="C19" s="6" t="s">
        <v>12</v>
      </c>
      <c r="D19" s="7" t="s">
        <v>79</v>
      </c>
      <c r="E19" s="8" t="s">
        <v>80</v>
      </c>
      <c r="F19" s="6" t="s">
        <v>81</v>
      </c>
      <c r="G19" s="9">
        <f>IF(A19=1,"_",IF(C19="_","???",C19))</f>
        <v/>
      </c>
      <c r="H19" s="10" t="s">
        <v>12</v>
      </c>
      <c r="I19" s="11" t="s">
        <v>12</v>
      </c>
      <c r="J19" s="12"/>
    </row>
    <row r="20" spans="1:10" ht="60" customHeight="1">
      <c r="A20" s="6" t="s">
        <v>82</v>
      </c>
      <c r="B20" s="6" t="s">
        <v>11</v>
      </c>
      <c r="C20" s="6" t="s">
        <v>12</v>
      </c>
      <c r="D20" s="7" t="s">
        <v>83</v>
      </c>
      <c r="E20" s="8" t="s">
        <v>84</v>
      </c>
      <c r="F20" s="6" t="s">
        <v>85</v>
      </c>
      <c r="G20" s="9">
        <f>IF(A20=1,"_",IF(C20="_","???",C20))</f>
        <v/>
      </c>
      <c r="H20" s="10" t="s">
        <v>12</v>
      </c>
      <c r="I20" s="11" t="s">
        <v>12</v>
      </c>
      <c r="J20" s="12"/>
    </row>
    <row r="21" spans="1:10" ht="60" customHeight="1">
      <c r="A21" s="6" t="s">
        <v>86</v>
      </c>
      <c r="B21" s="6" t="s">
        <v>11</v>
      </c>
      <c r="C21" s="6" t="s">
        <v>12</v>
      </c>
      <c r="D21" s="7" t="s">
        <v>87</v>
      </c>
      <c r="E21" s="8" t="s">
        <v>88</v>
      </c>
      <c r="F21" s="6" t="s">
        <v>89</v>
      </c>
      <c r="G21" s="9">
        <f>IF(A21=1,"_",IF(C21="_","???",C21))</f>
        <v/>
      </c>
      <c r="H21" s="10" t="s">
        <v>12</v>
      </c>
      <c r="I21" s="11" t="s">
        <v>12</v>
      </c>
      <c r="J21" s="12"/>
    </row>
    <row r="22" spans="1:10" ht="60" customHeight="1">
      <c r="A22" s="6" t="s">
        <v>90</v>
      </c>
      <c r="B22" s="6" t="s">
        <v>10</v>
      </c>
      <c r="C22" s="6" t="s">
        <v>12</v>
      </c>
      <c r="D22" s="7" t="s">
        <v>91</v>
      </c>
      <c r="E22" s="8" t="s">
        <v>92</v>
      </c>
      <c r="F22" s="6" t="s">
        <v>93</v>
      </c>
      <c r="G22" s="9">
        <f>IF(A22=1,"_",IF(C22="_","???",C22))</f>
        <v/>
      </c>
      <c r="H22" s="10" t="s">
        <v>12</v>
      </c>
      <c r="I22" s="11" t="s">
        <v>12</v>
      </c>
      <c r="J22" s="12"/>
    </row>
    <row r="23" spans="1:10" ht="60" customHeight="1">
      <c r="A23" s="6" t="s">
        <v>94</v>
      </c>
      <c r="B23" s="6" t="s">
        <v>90</v>
      </c>
      <c r="C23" s="6" t="s">
        <v>12</v>
      </c>
      <c r="D23" s="7" t="s">
        <v>95</v>
      </c>
      <c r="E23" s="8" t="s">
        <v>96</v>
      </c>
      <c r="F23" s="6" t="s">
        <v>97</v>
      </c>
      <c r="G23" s="9">
        <f>IF(A23=1,"_",IF(C23="_","???",C23))</f>
        <v/>
      </c>
      <c r="H23" s="10" t="s">
        <v>12</v>
      </c>
      <c r="I23" s="11" t="s">
        <v>12</v>
      </c>
      <c r="J23" s="12"/>
    </row>
    <row r="24" spans="1:10" ht="60" customHeight="1">
      <c r="A24" s="6" t="s">
        <v>98</v>
      </c>
      <c r="B24" s="6" t="s">
        <v>20</v>
      </c>
      <c r="C24" s="6" t="s">
        <v>12</v>
      </c>
      <c r="D24" s="7" t="s">
        <v>70</v>
      </c>
      <c r="E24" s="8" t="s">
        <v>99</v>
      </c>
      <c r="F24" s="6" t="s">
        <v>100</v>
      </c>
      <c r="G24" s="9">
        <f>IF(A24=1,"_",IF(C24="_","???",C24))</f>
        <v/>
      </c>
      <c r="H24" s="10" t="s">
        <v>12</v>
      </c>
      <c r="I24" s="11" t="s">
        <v>12</v>
      </c>
      <c r="J24" s="12"/>
    </row>
    <row r="25" spans="1:10" ht="60" customHeight="1">
      <c r="A25" s="6" t="s">
        <v>101</v>
      </c>
      <c r="B25" s="6" t="s">
        <v>32</v>
      </c>
      <c r="C25" s="6" t="s">
        <v>12</v>
      </c>
      <c r="D25" s="7" t="s">
        <v>102</v>
      </c>
      <c r="E25" s="8" t="s">
        <v>103</v>
      </c>
      <c r="F25" s="6" t="s">
        <v>104</v>
      </c>
      <c r="G25" s="9">
        <f>IF(A25=1,"_",IF(C25="_","???",C25))</f>
        <v/>
      </c>
      <c r="H25" s="10" t="s">
        <v>12</v>
      </c>
      <c r="I25" s="11" t="s">
        <v>12</v>
      </c>
      <c r="J25" s="12"/>
    </row>
    <row r="26" spans="1:10" ht="60" customHeight="1">
      <c r="A26" s="6" t="s">
        <v>78</v>
      </c>
      <c r="B26" s="6" t="s">
        <v>28</v>
      </c>
      <c r="C26" s="6" t="s">
        <v>12</v>
      </c>
      <c r="D26" s="7" t="s">
        <v>105</v>
      </c>
      <c r="E26" s="8" t="s">
        <v>106</v>
      </c>
      <c r="F26" s="6" t="s">
        <v>107</v>
      </c>
      <c r="G26" s="9">
        <f>IF(A26=1,"_",IF(C26="_","???",C26))</f>
        <v/>
      </c>
      <c r="H26" s="10" t="s">
        <v>12</v>
      </c>
      <c r="I26" s="11" t="s">
        <v>12</v>
      </c>
      <c r="J26" s="12"/>
    </row>
    <row r="27" spans="1:10" ht="60" customHeight="1">
      <c r="A27" s="6" t="s">
        <v>108</v>
      </c>
      <c r="B27" s="6" t="s">
        <v>10</v>
      </c>
      <c r="C27" s="6" t="s">
        <v>12</v>
      </c>
      <c r="D27" s="7" t="s">
        <v>109</v>
      </c>
      <c r="E27" s="8" t="s">
        <v>110</v>
      </c>
      <c r="F27" s="6" t="s">
        <v>111</v>
      </c>
      <c r="G27" s="9">
        <f>IF(A27=1,"_",IF(C27="_","???",C27))</f>
        <v/>
      </c>
      <c r="H27" s="10" t="s">
        <v>12</v>
      </c>
      <c r="I27" s="11" t="s">
        <v>12</v>
      </c>
      <c r="J27" s="12"/>
    </row>
    <row r="28" spans="1:10" ht="60" customHeight="1">
      <c r="A28" s="6" t="s">
        <v>112</v>
      </c>
      <c r="B28" s="6" t="s">
        <v>20</v>
      </c>
      <c r="C28" s="6" t="s">
        <v>12</v>
      </c>
      <c r="D28" s="7" t="s">
        <v>113</v>
      </c>
      <c r="E28" s="8" t="s">
        <v>114</v>
      </c>
      <c r="F28" s="6" t="s">
        <v>115</v>
      </c>
      <c r="G28" s="9">
        <f>IF(A28=1,"_",IF(C28="_","???",C28))</f>
        <v/>
      </c>
      <c r="H28" s="10" t="s">
        <v>12</v>
      </c>
      <c r="I28" s="11" t="s">
        <v>12</v>
      </c>
      <c r="J28" s="12"/>
    </row>
    <row r="29" spans="1:10" ht="60" customHeight="1">
      <c r="A29" s="6" t="s">
        <v>116</v>
      </c>
      <c r="B29" s="6" t="s">
        <v>11</v>
      </c>
      <c r="C29" s="6" t="s">
        <v>12</v>
      </c>
      <c r="D29" s="7" t="s">
        <v>117</v>
      </c>
      <c r="E29" s="8" t="s">
        <v>118</v>
      </c>
      <c r="F29" s="6" t="s">
        <v>119</v>
      </c>
      <c r="G29" s="9">
        <f>IF(A29=1,"_",IF(C29="_","???",C29))</f>
        <v/>
      </c>
      <c r="H29" s="10" t="s">
        <v>12</v>
      </c>
      <c r="I29" s="11" t="s">
        <v>12</v>
      </c>
      <c r="J29" s="12"/>
    </row>
    <row r="30" spans="1:10" ht="60" customHeight="1">
      <c r="A30" s="6" t="s">
        <v>120</v>
      </c>
      <c r="B30" s="6" t="s">
        <v>36</v>
      </c>
      <c r="C30" s="6" t="s">
        <v>12</v>
      </c>
      <c r="D30" s="7" t="s">
        <v>121</v>
      </c>
      <c r="E30" s="8" t="s">
        <v>122</v>
      </c>
      <c r="F30" s="6" t="s">
        <v>123</v>
      </c>
      <c r="G30" s="9">
        <f>IF(A30=1,"_",IF(C30="_","???",C30))</f>
        <v/>
      </c>
      <c r="H30" s="10" t="s">
        <v>12</v>
      </c>
      <c r="I30" s="11" t="s">
        <v>12</v>
      </c>
      <c r="J30" s="12"/>
    </row>
    <row r="31" spans="1:10" ht="60" customHeight="1">
      <c r="A31" s="6" t="s">
        <v>124</v>
      </c>
      <c r="B31" s="6" t="s">
        <v>28</v>
      </c>
      <c r="C31" s="6" t="s">
        <v>12</v>
      </c>
      <c r="D31" s="7" t="s">
        <v>125</v>
      </c>
      <c r="E31" s="8" t="s">
        <v>126</v>
      </c>
      <c r="F31" s="6" t="s">
        <v>127</v>
      </c>
      <c r="G31" s="9">
        <f>IF(A31=1,"_",IF(C31="_","???",C31))</f>
        <v/>
      </c>
      <c r="H31" s="10" t="s">
        <v>12</v>
      </c>
      <c r="I31" s="11" t="s">
        <v>12</v>
      </c>
      <c r="J31" s="12"/>
    </row>
    <row r="32" spans="1:10" ht="60" customHeight="1">
      <c r="A32" s="6" t="s">
        <v>128</v>
      </c>
      <c r="B32" s="6" t="s">
        <v>20</v>
      </c>
      <c r="C32" s="6" t="s">
        <v>12</v>
      </c>
      <c r="D32" s="7" t="s">
        <v>129</v>
      </c>
      <c r="E32" s="8" t="s">
        <v>130</v>
      </c>
      <c r="F32" s="6" t="s">
        <v>131</v>
      </c>
      <c r="G32" s="9">
        <f>IF(A32=1,"_",IF(C32="_","???",C32))</f>
        <v/>
      </c>
      <c r="H32" s="10" t="s">
        <v>12</v>
      </c>
      <c r="I32" s="11" t="s">
        <v>12</v>
      </c>
      <c r="J32" s="12"/>
    </row>
    <row r="33" spans="1:10" ht="60" customHeight="1">
      <c r="A33" s="6" t="s">
        <v>132</v>
      </c>
      <c r="B33" s="6" t="s">
        <v>24</v>
      </c>
      <c r="C33" s="6" t="s">
        <v>12</v>
      </c>
      <c r="D33" s="7" t="s">
        <v>133</v>
      </c>
      <c r="E33" s="8" t="s">
        <v>134</v>
      </c>
      <c r="F33" s="6" t="s">
        <v>135</v>
      </c>
      <c r="G33" s="9">
        <f>IF(A33=1,"_",IF(C33="_","???",C33))</f>
        <v/>
      </c>
      <c r="H33" s="10" t="s">
        <v>12</v>
      </c>
      <c r="I33" s="11" t="s">
        <v>12</v>
      </c>
      <c r="J33" s="12"/>
    </row>
    <row r="34" spans="1:10" ht="60" customHeight="1">
      <c r="A34" s="6" t="s">
        <v>136</v>
      </c>
      <c r="B34" s="6" t="s">
        <v>16</v>
      </c>
      <c r="C34" s="6" t="s">
        <v>12</v>
      </c>
      <c r="D34" s="7" t="s">
        <v>137</v>
      </c>
      <c r="E34" s="8" t="s">
        <v>138</v>
      </c>
      <c r="F34" s="6" t="s">
        <v>139</v>
      </c>
      <c r="G34" s="9">
        <f>IF(A34=1,"_",IF(C34="_","???",C34))</f>
        <v/>
      </c>
      <c r="H34" s="10" t="s">
        <v>12</v>
      </c>
      <c r="I34" s="11" t="s">
        <v>12</v>
      </c>
      <c r="J34" s="12"/>
    </row>
    <row r="35" spans="1:10" ht="60" customHeight="1">
      <c r="A35" s="6" t="s">
        <v>140</v>
      </c>
      <c r="B35" s="6" t="s">
        <v>28</v>
      </c>
      <c r="C35" s="6" t="s">
        <v>12</v>
      </c>
      <c r="D35" s="7" t="s">
        <v>141</v>
      </c>
      <c r="E35" s="8" t="s">
        <v>142</v>
      </c>
      <c r="F35" s="6" t="s">
        <v>143</v>
      </c>
      <c r="G35" s="9">
        <f>IF(A35=1,"_",IF(C35="_","???",C35))</f>
        <v/>
      </c>
      <c r="H35" s="10" t="s">
        <v>12</v>
      </c>
      <c r="I35" s="11" t="s">
        <v>12</v>
      </c>
      <c r="J35" s="12"/>
    </row>
    <row r="36" spans="1:10" ht="60" customHeight="1">
      <c r="A36" s="6" t="s">
        <v>144</v>
      </c>
      <c r="B36" s="6" t="s">
        <v>32</v>
      </c>
      <c r="C36" s="6" t="s">
        <v>12</v>
      </c>
      <c r="D36" s="7" t="s">
        <v>145</v>
      </c>
      <c r="E36" s="8" t="s">
        <v>146</v>
      </c>
      <c r="F36" s="6" t="s">
        <v>147</v>
      </c>
      <c r="G36" s="9">
        <f>IF(A36=1,"_",IF(C36="_","???",C36))</f>
        <v/>
      </c>
      <c r="H36" s="10" t="s">
        <v>12</v>
      </c>
      <c r="I36" s="11" t="s">
        <v>12</v>
      </c>
      <c r="J36" s="12"/>
    </row>
    <row r="37" spans="1:10" ht="60" customHeight="1">
      <c r="A37" s="6" t="s">
        <v>148</v>
      </c>
      <c r="B37" s="6" t="s">
        <v>11</v>
      </c>
      <c r="C37" s="6" t="s">
        <v>12</v>
      </c>
      <c r="D37" s="7" t="s">
        <v>149</v>
      </c>
      <c r="E37" s="8" t="s">
        <v>150</v>
      </c>
      <c r="F37" s="6" t="s">
        <v>151</v>
      </c>
      <c r="G37" s="9">
        <f>IF(A37=1,"_",IF(C37="_","???",C37))</f>
        <v/>
      </c>
      <c r="H37" s="10" t="s">
        <v>12</v>
      </c>
      <c r="I37" s="11" t="s">
        <v>12</v>
      </c>
      <c r="J37" s="12"/>
    </row>
    <row r="38" spans="1:10" ht="60" customHeight="1">
      <c r="A38" s="6" t="s">
        <v>152</v>
      </c>
      <c r="B38" s="6" t="s">
        <v>28</v>
      </c>
      <c r="C38" s="6" t="s">
        <v>12</v>
      </c>
      <c r="D38" s="7" t="s">
        <v>153</v>
      </c>
      <c r="E38" s="8" t="s">
        <v>154</v>
      </c>
      <c r="F38" s="6" t="s">
        <v>155</v>
      </c>
      <c r="G38" s="9">
        <f>IF(A38=1,"_",IF(C38="_","???",C38))</f>
        <v/>
      </c>
      <c r="H38" s="10" t="s">
        <v>12</v>
      </c>
      <c r="I38" s="11" t="s">
        <v>12</v>
      </c>
      <c r="J38" s="12"/>
    </row>
    <row r="39" spans="1:10" ht="60" customHeight="1">
      <c r="A39" s="6" t="s">
        <v>156</v>
      </c>
      <c r="B39" s="6" t="s">
        <v>20</v>
      </c>
      <c r="C39" s="6" t="s">
        <v>12</v>
      </c>
      <c r="D39" s="7" t="s">
        <v>157</v>
      </c>
      <c r="E39" s="8" t="s">
        <v>158</v>
      </c>
      <c r="F39" s="6" t="s">
        <v>159</v>
      </c>
      <c r="G39" s="9">
        <f>IF(A39=1,"_",IF(C39="_","???",C39))</f>
        <v/>
      </c>
      <c r="H39" s="10" t="s">
        <v>12</v>
      </c>
      <c r="I39" s="11" t="s">
        <v>12</v>
      </c>
      <c r="J39" s="12"/>
    </row>
    <row r="40" spans="1:10" ht="60" customHeight="1">
      <c r="A40" s="6" t="s">
        <v>160</v>
      </c>
      <c r="B40" s="6" t="s">
        <v>20</v>
      </c>
      <c r="C40" s="6" t="s">
        <v>12</v>
      </c>
      <c r="D40" s="7" t="s">
        <v>161</v>
      </c>
      <c r="E40" s="8" t="s">
        <v>162</v>
      </c>
      <c r="F40" s="6" t="s">
        <v>163</v>
      </c>
      <c r="G40" s="9">
        <f>IF(A40=1,"_",IF(C40="_","???",C40))</f>
        <v/>
      </c>
      <c r="H40" s="10" t="s">
        <v>12</v>
      </c>
      <c r="I40" s="11" t="s">
        <v>12</v>
      </c>
      <c r="J40" s="12"/>
    </row>
    <row r="41" spans="1:10" ht="60" customHeight="1">
      <c r="A41" s="6" t="s">
        <v>164</v>
      </c>
      <c r="B41" s="6" t="s">
        <v>64</v>
      </c>
      <c r="C41" s="6" t="s">
        <v>12</v>
      </c>
      <c r="D41" s="7" t="s">
        <v>165</v>
      </c>
      <c r="E41" s="8" t="s">
        <v>166</v>
      </c>
      <c r="F41" s="6" t="s">
        <v>167</v>
      </c>
      <c r="G41" s="9">
        <f>IF(A41=1,"_",IF(C41="_","???",C41))</f>
        <v/>
      </c>
      <c r="H41" s="10" t="s">
        <v>12</v>
      </c>
      <c r="I41" s="11" t="s">
        <v>12</v>
      </c>
      <c r="J41" s="12"/>
    </row>
    <row r="42" spans="1:10" ht="60" customHeight="1">
      <c r="A42" s="6" t="s">
        <v>168</v>
      </c>
      <c r="B42" s="6" t="s">
        <v>28</v>
      </c>
      <c r="C42" s="6" t="s">
        <v>12</v>
      </c>
      <c r="D42" s="7" t="s">
        <v>169</v>
      </c>
      <c r="E42" s="8" t="s">
        <v>170</v>
      </c>
      <c r="F42" s="6" t="s">
        <v>171</v>
      </c>
      <c r="G42" s="9">
        <f>IF(A42=1,"_",IF(C42="_","???",C42))</f>
        <v/>
      </c>
      <c r="H42" s="10" t="s">
        <v>12</v>
      </c>
      <c r="I42" s="11" t="s">
        <v>12</v>
      </c>
      <c r="J42" s="12"/>
    </row>
    <row r="43" spans="1:10" ht="60" customHeight="1">
      <c r="A43" s="6" t="s">
        <v>172</v>
      </c>
      <c r="B43" s="6" t="s">
        <v>45</v>
      </c>
      <c r="C43" s="6" t="s">
        <v>12</v>
      </c>
      <c r="D43" s="7" t="s">
        <v>173</v>
      </c>
      <c r="E43" s="8" t="s">
        <v>174</v>
      </c>
      <c r="F43" s="6" t="s">
        <v>175</v>
      </c>
      <c r="G43" s="9">
        <f>IF(A43=1,"_",IF(C43="_","???",C43))</f>
        <v/>
      </c>
      <c r="H43" s="10" t="s">
        <v>12</v>
      </c>
      <c r="I43" s="11" t="s">
        <v>12</v>
      </c>
      <c r="J43" s="12"/>
    </row>
    <row r="44" spans="1:10" ht="60" customHeight="1">
      <c r="A44" s="6" t="s">
        <v>176</v>
      </c>
      <c r="B44" s="6" t="s">
        <v>20</v>
      </c>
      <c r="C44" s="6" t="s">
        <v>177</v>
      </c>
      <c r="D44" s="7" t="s">
        <v>178</v>
      </c>
      <c r="E44" s="8" t="s">
        <v>179</v>
      </c>
      <c r="F44" s="6" t="s">
        <v>180</v>
      </c>
      <c r="G44" s="9">
        <f>IF(A44=1,"_",IF(C44="_","???",C44))</f>
        <v/>
      </c>
      <c r="H44" s="10" t="s">
        <v>12</v>
      </c>
      <c r="I44" s="11" t="s">
        <v>12</v>
      </c>
      <c r="J44" s="12"/>
    </row>
    <row r="45" spans="1:10" ht="60" customHeight="1">
      <c r="A45" s="6" t="s">
        <v>181</v>
      </c>
      <c r="B45" s="6" t="s">
        <v>11</v>
      </c>
      <c r="C45" s="6" t="s">
        <v>12</v>
      </c>
      <c r="D45" s="7" t="s">
        <v>157</v>
      </c>
      <c r="E45" s="8" t="s">
        <v>182</v>
      </c>
      <c r="F45" s="6" t="s">
        <v>183</v>
      </c>
      <c r="G45" s="9">
        <f>IF(A45=1,"_",IF(C45="_","???",C45))</f>
        <v/>
      </c>
      <c r="H45" s="10" t="s">
        <v>12</v>
      </c>
      <c r="I45" s="11" t="s">
        <v>12</v>
      </c>
      <c r="J45" s="12"/>
    </row>
    <row r="46" spans="1:10" ht="60" customHeight="1">
      <c r="A46" s="6" t="s">
        <v>184</v>
      </c>
      <c r="B46" s="6" t="s">
        <v>11</v>
      </c>
      <c r="C46" s="6" t="s">
        <v>12</v>
      </c>
      <c r="D46" s="7" t="s">
        <v>185</v>
      </c>
      <c r="E46" s="8" t="s">
        <v>186</v>
      </c>
      <c r="F46" s="6" t="s">
        <v>187</v>
      </c>
      <c r="G46" s="9">
        <f>IF(A46=1,"_",IF(C46="_","???",C46))</f>
        <v/>
      </c>
      <c r="H46" s="10" t="s">
        <v>12</v>
      </c>
      <c r="I46" s="11" t="s">
        <v>12</v>
      </c>
      <c r="J46" s="12"/>
    </row>
    <row r="47" spans="1:10" ht="60" customHeight="1">
      <c r="A47" s="6" t="s">
        <v>188</v>
      </c>
      <c r="B47" s="6" t="s">
        <v>36</v>
      </c>
      <c r="C47" s="6" t="s">
        <v>12</v>
      </c>
      <c r="D47" s="7" t="s">
        <v>189</v>
      </c>
      <c r="E47" s="8" t="s">
        <v>190</v>
      </c>
      <c r="F47" s="6" t="s">
        <v>191</v>
      </c>
      <c r="G47" s="9">
        <f>IF(A47=1,"_",IF(C47="_","???",C47))</f>
        <v/>
      </c>
      <c r="H47" s="10" t="s">
        <v>12</v>
      </c>
      <c r="I47" s="11" t="s">
        <v>12</v>
      </c>
      <c r="J47" s="12"/>
    </row>
    <row r="48" spans="1:10" ht="60" customHeight="1">
      <c r="A48" s="6" t="s">
        <v>192</v>
      </c>
      <c r="B48" s="6" t="s">
        <v>94</v>
      </c>
      <c r="C48" s="6" t="s">
        <v>12</v>
      </c>
      <c r="D48" s="7" t="s">
        <v>193</v>
      </c>
      <c r="E48" s="8" t="s">
        <v>194</v>
      </c>
      <c r="F48" s="6" t="s">
        <v>195</v>
      </c>
      <c r="G48" s="9">
        <f>IF(A48=1,"_",IF(C48="_","???",C48))</f>
        <v/>
      </c>
      <c r="H48" s="10" t="s">
        <v>12</v>
      </c>
      <c r="I48" s="11" t="s">
        <v>12</v>
      </c>
      <c r="J48" s="12"/>
    </row>
    <row r="49" spans="1:10" ht="60" customHeight="1">
      <c r="A49" s="6" t="s">
        <v>196</v>
      </c>
      <c r="B49" s="6" t="s">
        <v>24</v>
      </c>
      <c r="C49" s="6" t="s">
        <v>12</v>
      </c>
      <c r="D49" s="7" t="s">
        <v>197</v>
      </c>
      <c r="E49" s="8" t="s">
        <v>198</v>
      </c>
      <c r="F49" s="6" t="s">
        <v>199</v>
      </c>
      <c r="G49" s="9">
        <f>IF(A49=1,"_",IF(C49="_","???",C49))</f>
        <v/>
      </c>
      <c r="H49" s="10" t="s">
        <v>12</v>
      </c>
      <c r="I49" s="11" t="s">
        <v>12</v>
      </c>
      <c r="J49" s="12"/>
    </row>
    <row r="50" spans="1:10" ht="60" customHeight="1">
      <c r="A50" s="6" t="s">
        <v>200</v>
      </c>
      <c r="B50" s="6" t="s">
        <v>11</v>
      </c>
      <c r="C50" s="6" t="s">
        <v>12</v>
      </c>
      <c r="D50" s="7" t="s">
        <v>201</v>
      </c>
      <c r="E50" s="8" t="s">
        <v>202</v>
      </c>
      <c r="F50" s="6" t="s">
        <v>203</v>
      </c>
      <c r="G50" s="9">
        <f>IF(A50=1,"_",IF(C50="_","???",C50))</f>
        <v/>
      </c>
      <c r="H50" s="10" t="s">
        <v>12</v>
      </c>
      <c r="I50" s="11" t="s">
        <v>12</v>
      </c>
      <c r="J50" s="12"/>
    </row>
    <row r="51" spans="1:10" ht="60" customHeight="1">
      <c r="A51" s="6" t="s">
        <v>204</v>
      </c>
      <c r="B51" s="6" t="s">
        <v>28</v>
      </c>
      <c r="C51" s="6" t="s">
        <v>12</v>
      </c>
      <c r="D51" s="7" t="s">
        <v>25</v>
      </c>
      <c r="E51" s="8" t="s">
        <v>205</v>
      </c>
      <c r="F51" s="6" t="s">
        <v>206</v>
      </c>
      <c r="G51" s="9">
        <f>IF(A51=1,"_",IF(C51="_","???",C51))</f>
        <v/>
      </c>
      <c r="H51" s="10" t="s">
        <v>12</v>
      </c>
      <c r="I51" s="11" t="s">
        <v>12</v>
      </c>
      <c r="J51" s="12"/>
    </row>
    <row r="52" spans="1:10" ht="60" customHeight="1">
      <c r="A52" s="6" t="s">
        <v>207</v>
      </c>
      <c r="B52" s="6" t="s">
        <v>11</v>
      </c>
      <c r="C52" s="6" t="s">
        <v>12</v>
      </c>
      <c r="D52" s="7" t="s">
        <v>208</v>
      </c>
      <c r="E52" s="8" t="s">
        <v>209</v>
      </c>
      <c r="F52" s="6" t="s">
        <v>210</v>
      </c>
      <c r="G52" s="9">
        <f>IF(A52=1,"_",IF(C52="_","???",C52))</f>
        <v/>
      </c>
      <c r="H52" s="10" t="s">
        <v>12</v>
      </c>
      <c r="I52" s="11" t="s">
        <v>12</v>
      </c>
      <c r="J52" s="12"/>
    </row>
    <row r="53" spans="1:10" ht="60" customHeight="1">
      <c r="A53" s="6" t="s">
        <v>211</v>
      </c>
      <c r="B53" s="6" t="s">
        <v>64</v>
      </c>
      <c r="C53" s="6" t="s">
        <v>12</v>
      </c>
      <c r="D53" s="7" t="s">
        <v>212</v>
      </c>
      <c r="E53" s="8" t="s">
        <v>213</v>
      </c>
      <c r="F53" s="6" t="s">
        <v>214</v>
      </c>
      <c r="G53" s="9">
        <f>IF(A53=1,"_",IF(C53="_","???",C53))</f>
        <v/>
      </c>
      <c r="H53" s="10" t="s">
        <v>12</v>
      </c>
      <c r="I53" s="11" t="s">
        <v>12</v>
      </c>
      <c r="J53" s="12"/>
    </row>
    <row r="54" spans="1:10" ht="60" customHeight="1">
      <c r="A54" s="6" t="s">
        <v>215</v>
      </c>
      <c r="B54" s="6" t="s">
        <v>11</v>
      </c>
      <c r="C54" s="6" t="s">
        <v>12</v>
      </c>
      <c r="D54" s="7" t="s">
        <v>216</v>
      </c>
      <c r="E54" s="8" t="s">
        <v>217</v>
      </c>
      <c r="F54" s="6" t="s">
        <v>218</v>
      </c>
      <c r="G54" s="9">
        <f>IF(A54=1,"_",IF(C54="_","???",C54))</f>
        <v/>
      </c>
      <c r="H54" s="10" t="s">
        <v>12</v>
      </c>
      <c r="I54" s="11" t="s">
        <v>12</v>
      </c>
      <c r="J54" s="12"/>
    </row>
    <row r="55" spans="1:10" ht="60" customHeight="1">
      <c r="A55" s="6" t="s">
        <v>219</v>
      </c>
      <c r="B55" s="6" t="s">
        <v>10</v>
      </c>
      <c r="C55" s="6" t="s">
        <v>12</v>
      </c>
      <c r="D55" s="7" t="s">
        <v>70</v>
      </c>
      <c r="E55" s="8" t="s">
        <v>220</v>
      </c>
      <c r="F55" s="6" t="s">
        <v>221</v>
      </c>
      <c r="G55" s="9">
        <f>IF(A55=1,"_",IF(C55="_","???",C55))</f>
        <v/>
      </c>
      <c r="H55" s="10" t="s">
        <v>12</v>
      </c>
      <c r="I55" s="11" t="s">
        <v>12</v>
      </c>
      <c r="J55" s="12"/>
    </row>
    <row r="56" spans="1:10" ht="60" customHeight="1">
      <c r="A56" s="6" t="s">
        <v>222</v>
      </c>
      <c r="B56" s="6" t="s">
        <v>42</v>
      </c>
      <c r="C56" s="6" t="s">
        <v>12</v>
      </c>
      <c r="D56" s="7" t="s">
        <v>223</v>
      </c>
      <c r="E56" s="8" t="s">
        <v>224</v>
      </c>
      <c r="F56" s="6" t="s">
        <v>225</v>
      </c>
      <c r="G56" s="9">
        <f>IF(A56=1,"_",IF(C56="_","???",C56))</f>
        <v/>
      </c>
      <c r="H56" s="10" t="s">
        <v>12</v>
      </c>
      <c r="I56" s="11" t="s">
        <v>12</v>
      </c>
      <c r="J56" s="12"/>
    </row>
    <row r="57" spans="1:10" ht="60" customHeight="1">
      <c r="A57" s="6" t="s">
        <v>226</v>
      </c>
      <c r="B57" s="6" t="s">
        <v>60</v>
      </c>
      <c r="C57" s="6" t="s">
        <v>12</v>
      </c>
      <c r="D57" s="7" t="s">
        <v>70</v>
      </c>
      <c r="E57" s="8" t="s">
        <v>227</v>
      </c>
      <c r="F57" s="6" t="s">
        <v>228</v>
      </c>
      <c r="G57" s="9">
        <f>IF(A57=1,"_",IF(C57="_","???",C57))</f>
        <v/>
      </c>
      <c r="H57" s="10" t="s">
        <v>12</v>
      </c>
      <c r="I57" s="11" t="s">
        <v>12</v>
      </c>
      <c r="J57" s="12"/>
    </row>
    <row r="58" spans="1:10" ht="60" customHeight="1">
      <c r="A58" s="6" t="s">
        <v>229</v>
      </c>
      <c r="B58" s="6" t="s">
        <v>11</v>
      </c>
      <c r="C58" s="6" t="s">
        <v>177</v>
      </c>
      <c r="D58" s="7" t="s">
        <v>157</v>
      </c>
      <c r="E58" s="8" t="s">
        <v>230</v>
      </c>
      <c r="F58" s="6" t="s">
        <v>231</v>
      </c>
      <c r="G58" s="9">
        <f>IF(A58=1,"_",IF(C58="_","???",C58))</f>
        <v/>
      </c>
      <c r="H58" s="10" t="s">
        <v>12</v>
      </c>
      <c r="I58" s="11" t="s">
        <v>12</v>
      </c>
      <c r="J58" s="12"/>
    </row>
    <row r="59" spans="1:10" ht="60" customHeight="1">
      <c r="A59" s="6" t="s">
        <v>232</v>
      </c>
      <c r="B59" s="6" t="s">
        <v>24</v>
      </c>
      <c r="C59" s="6" t="s">
        <v>12</v>
      </c>
      <c r="D59" s="7" t="s">
        <v>233</v>
      </c>
      <c r="E59" s="8" t="s">
        <v>234</v>
      </c>
      <c r="F59" s="6" t="s">
        <v>235</v>
      </c>
      <c r="G59" s="9">
        <f>IF(A59=1,"_",IF(C59="_","???",C59))</f>
        <v/>
      </c>
      <c r="H59" s="10" t="s">
        <v>12</v>
      </c>
      <c r="I59" s="11" t="s">
        <v>12</v>
      </c>
      <c r="J59" s="12"/>
    </row>
    <row r="60" spans="1:10" ht="60" customHeight="1">
      <c r="A60" s="6" t="s">
        <v>236</v>
      </c>
      <c r="B60" s="6" t="s">
        <v>24</v>
      </c>
      <c r="C60" s="6" t="s">
        <v>12</v>
      </c>
      <c r="D60" s="7" t="s">
        <v>233</v>
      </c>
      <c r="E60" s="8" t="s">
        <v>237</v>
      </c>
      <c r="F60" s="6" t="s">
        <v>238</v>
      </c>
      <c r="G60" s="9">
        <f>IF(A60=1,"_",IF(C60="_","???",C60))</f>
        <v/>
      </c>
      <c r="H60" s="10" t="s">
        <v>12</v>
      </c>
      <c r="I60" s="11" t="s">
        <v>12</v>
      </c>
      <c r="J60" s="12"/>
    </row>
    <row r="61" spans="1:10" ht="60" customHeight="1">
      <c r="A61" s="6" t="s">
        <v>239</v>
      </c>
      <c r="B61" s="6" t="s">
        <v>64</v>
      </c>
      <c r="C61" s="6" t="s">
        <v>12</v>
      </c>
      <c r="D61" s="7" t="s">
        <v>240</v>
      </c>
      <c r="E61" s="8" t="s">
        <v>241</v>
      </c>
      <c r="F61" s="6" t="s">
        <v>242</v>
      </c>
      <c r="G61" s="9">
        <f>IF(A61=1,"_",IF(C61="_","???",C61))</f>
        <v/>
      </c>
      <c r="H61" s="10" t="s">
        <v>12</v>
      </c>
      <c r="I61" s="11" t="s">
        <v>12</v>
      </c>
      <c r="J61" s="12"/>
    </row>
    <row r="62" spans="1:10" ht="60" customHeight="1">
      <c r="A62" s="6" t="s">
        <v>243</v>
      </c>
      <c r="B62" s="6" t="s">
        <v>28</v>
      </c>
      <c r="C62" s="6" t="s">
        <v>12</v>
      </c>
      <c r="D62" s="7" t="s">
        <v>244</v>
      </c>
      <c r="E62" s="8" t="s">
        <v>245</v>
      </c>
      <c r="F62" s="6" t="s">
        <v>246</v>
      </c>
      <c r="G62" s="9">
        <f>IF(A62=1,"_",IF(C62="_","???",C62))</f>
        <v/>
      </c>
      <c r="H62" s="10" t="s">
        <v>12</v>
      </c>
      <c r="I62" s="11" t="s">
        <v>12</v>
      </c>
      <c r="J62" s="12"/>
    </row>
    <row r="63" spans="1:10" ht="60" customHeight="1">
      <c r="A63" s="6" t="s">
        <v>247</v>
      </c>
      <c r="B63" s="6" t="s">
        <v>28</v>
      </c>
      <c r="C63" s="6" t="s">
        <v>12</v>
      </c>
      <c r="D63" s="7" t="s">
        <v>248</v>
      </c>
      <c r="E63" s="8" t="s">
        <v>249</v>
      </c>
      <c r="F63" s="6" t="s">
        <v>250</v>
      </c>
      <c r="G63" s="9">
        <f>IF(A63=1,"_",IF(C63="_","???",C63))</f>
        <v/>
      </c>
      <c r="H63" s="10" t="s">
        <v>12</v>
      </c>
      <c r="I63" s="11" t="s">
        <v>12</v>
      </c>
      <c r="J63" s="12"/>
    </row>
    <row r="64" spans="1:10" ht="60" customHeight="1">
      <c r="A64" s="6" t="s">
        <v>251</v>
      </c>
      <c r="B64" s="6" t="s">
        <v>28</v>
      </c>
      <c r="C64" s="6" t="s">
        <v>12</v>
      </c>
      <c r="D64" s="7" t="s">
        <v>252</v>
      </c>
      <c r="E64" s="8" t="s">
        <v>253</v>
      </c>
      <c r="F64" s="6" t="s">
        <v>254</v>
      </c>
      <c r="G64" s="9">
        <f>IF(A64=1,"_",IF(C64="_","???",C64))</f>
        <v/>
      </c>
      <c r="H64" s="10" t="s">
        <v>12</v>
      </c>
      <c r="I64" s="11" t="s">
        <v>12</v>
      </c>
      <c r="J64" s="12"/>
    </row>
    <row r="65" spans="1:10" ht="60" customHeight="1">
      <c r="A65" s="6" t="s">
        <v>255</v>
      </c>
      <c r="B65" s="6" t="s">
        <v>20</v>
      </c>
      <c r="C65" s="6" t="s">
        <v>12</v>
      </c>
      <c r="D65" s="7" t="s">
        <v>256</v>
      </c>
      <c r="E65" s="8" t="s">
        <v>257</v>
      </c>
      <c r="F65" s="6" t="s">
        <v>258</v>
      </c>
      <c r="G65" s="9">
        <f>IF(A65=1,"_",IF(C65="_","???",C65))</f>
        <v/>
      </c>
      <c r="H65" s="10" t="s">
        <v>12</v>
      </c>
      <c r="I65" s="11" t="s">
        <v>12</v>
      </c>
      <c r="J65" s="12"/>
    </row>
    <row r="66" spans="1:10" ht="60" customHeight="1">
      <c r="A66" s="6" t="s">
        <v>259</v>
      </c>
      <c r="B66" s="6" t="s">
        <v>10</v>
      </c>
      <c r="C66" s="6" t="s">
        <v>12</v>
      </c>
      <c r="D66" s="7" t="s">
        <v>216</v>
      </c>
      <c r="E66" s="8" t="s">
        <v>260</v>
      </c>
      <c r="F66" s="6" t="s">
        <v>261</v>
      </c>
      <c r="G66" s="9">
        <f>IF(A66=1,"_",IF(C66="_","???",C66))</f>
        <v/>
      </c>
      <c r="H66" s="10" t="s">
        <v>12</v>
      </c>
      <c r="I66" s="11" t="s">
        <v>12</v>
      </c>
      <c r="J66" s="12"/>
    </row>
    <row r="67" spans="1:10" ht="60" customHeight="1">
      <c r="A67" s="6" t="s">
        <v>262</v>
      </c>
      <c r="B67" s="6" t="s">
        <v>11</v>
      </c>
      <c r="C67" s="6" t="s">
        <v>12</v>
      </c>
      <c r="D67" s="7" t="s">
        <v>263</v>
      </c>
      <c r="E67" s="8" t="s">
        <v>264</v>
      </c>
      <c r="F67" s="6" t="s">
        <v>265</v>
      </c>
      <c r="G67" s="9">
        <f>IF(A67=1,"_",IF(C67="_","???",C67))</f>
        <v/>
      </c>
      <c r="H67" s="10" t="s">
        <v>12</v>
      </c>
      <c r="I67" s="11" t="s">
        <v>12</v>
      </c>
      <c r="J67" s="12"/>
    </row>
    <row r="68" spans="1:10" ht="60" customHeight="1">
      <c r="A68" s="6" t="s">
        <v>266</v>
      </c>
      <c r="B68" s="6" t="s">
        <v>32</v>
      </c>
      <c r="C68" s="6" t="s">
        <v>12</v>
      </c>
      <c r="D68" s="7" t="s">
        <v>267</v>
      </c>
      <c r="E68" s="8" t="s">
        <v>268</v>
      </c>
      <c r="F68" s="6" t="s">
        <v>269</v>
      </c>
      <c r="G68" s="9">
        <f>IF(A68=1,"_",IF(C68="_","???",C68))</f>
        <v/>
      </c>
      <c r="H68" s="10" t="s">
        <v>12</v>
      </c>
      <c r="I68" s="11" t="s">
        <v>12</v>
      </c>
      <c r="J68" s="12"/>
    </row>
    <row r="69" spans="1:10" ht="60" customHeight="1">
      <c r="A69" s="6" t="s">
        <v>270</v>
      </c>
      <c r="B69" s="6" t="s">
        <v>32</v>
      </c>
      <c r="C69" s="6" t="s">
        <v>12</v>
      </c>
      <c r="D69" s="7" t="s">
        <v>267</v>
      </c>
      <c r="E69" s="8" t="s">
        <v>271</v>
      </c>
      <c r="F69" s="6" t="s">
        <v>272</v>
      </c>
      <c r="G69" s="9">
        <f>IF(A69=1,"_",IF(C69="_","???",C69))</f>
        <v/>
      </c>
      <c r="H69" s="10" t="s">
        <v>12</v>
      </c>
      <c r="I69" s="11" t="s">
        <v>12</v>
      </c>
      <c r="J69" s="12"/>
    </row>
    <row r="70" spans="1:10" ht="60" customHeight="1">
      <c r="A70" s="6" t="s">
        <v>273</v>
      </c>
      <c r="B70" s="6" t="s">
        <v>32</v>
      </c>
      <c r="C70" s="6" t="s">
        <v>12</v>
      </c>
      <c r="D70" s="7" t="s">
        <v>274</v>
      </c>
      <c r="E70" s="8" t="s">
        <v>275</v>
      </c>
      <c r="F70" s="6" t="s">
        <v>276</v>
      </c>
      <c r="G70" s="9">
        <f>IF(A70=1,"_",IF(C70="_","???",C70))</f>
        <v/>
      </c>
      <c r="H70" s="10" t="s">
        <v>12</v>
      </c>
      <c r="I70" s="11" t="s">
        <v>12</v>
      </c>
      <c r="J70" s="12"/>
    </row>
    <row r="71" spans="1:10" ht="60" customHeight="1">
      <c r="A71" s="6" t="s">
        <v>277</v>
      </c>
      <c r="B71" s="6" t="s">
        <v>77</v>
      </c>
      <c r="C71" s="6" t="s">
        <v>12</v>
      </c>
      <c r="D71" s="7" t="s">
        <v>278</v>
      </c>
      <c r="E71" s="8" t="s">
        <v>279</v>
      </c>
      <c r="F71" s="6" t="s">
        <v>280</v>
      </c>
      <c r="G71" s="9">
        <f>IF(A71=1,"_",IF(C71="_","???",C71))</f>
        <v/>
      </c>
      <c r="H71" s="10" t="s">
        <v>12</v>
      </c>
      <c r="I71" s="11" t="s">
        <v>12</v>
      </c>
      <c r="J71" s="12"/>
    </row>
    <row r="72" spans="1:10" ht="60" customHeight="1">
      <c r="A72" s="6" t="s">
        <v>281</v>
      </c>
      <c r="B72" s="6" t="s">
        <v>11</v>
      </c>
      <c r="C72" s="6" t="s">
        <v>12</v>
      </c>
      <c r="D72" s="7" t="s">
        <v>282</v>
      </c>
      <c r="E72" s="8" t="s">
        <v>283</v>
      </c>
      <c r="F72" s="6" t="s">
        <v>284</v>
      </c>
      <c r="G72" s="9">
        <f>IF(A72=1,"_",IF(C72="_","???",C72))</f>
        <v/>
      </c>
      <c r="H72" s="10" t="s">
        <v>12</v>
      </c>
      <c r="I72" s="11" t="s">
        <v>12</v>
      </c>
      <c r="J72" s="12"/>
    </row>
    <row r="73" spans="1:10" ht="60" customHeight="1">
      <c r="A73" s="6" t="s">
        <v>285</v>
      </c>
      <c r="B73" s="6" t="s">
        <v>49</v>
      </c>
      <c r="C73" s="6" t="s">
        <v>12</v>
      </c>
      <c r="D73" s="7" t="s">
        <v>286</v>
      </c>
      <c r="E73" s="8" t="s">
        <v>287</v>
      </c>
      <c r="F73" s="6" t="s">
        <v>288</v>
      </c>
      <c r="G73" s="9">
        <f>IF(A73=1,"_",IF(C73="_","???",C73))</f>
        <v/>
      </c>
      <c r="H73" s="10" t="s">
        <v>12</v>
      </c>
      <c r="I73" s="11" t="s">
        <v>12</v>
      </c>
      <c r="J73" s="12"/>
    </row>
    <row r="74" spans="1:10" ht="60" customHeight="1">
      <c r="A74" s="6" t="s">
        <v>289</v>
      </c>
      <c r="B74" s="6" t="s">
        <v>20</v>
      </c>
      <c r="C74" s="6" t="s">
        <v>12</v>
      </c>
      <c r="D74" s="7" t="s">
        <v>290</v>
      </c>
      <c r="E74" s="8" t="s">
        <v>291</v>
      </c>
      <c r="F74" s="6" t="s">
        <v>292</v>
      </c>
      <c r="G74" s="9">
        <f>IF(A74=1,"_",IF(C74="_","???",C74))</f>
        <v/>
      </c>
      <c r="H74" s="10" t="s">
        <v>12</v>
      </c>
      <c r="I74" s="11" t="s">
        <v>12</v>
      </c>
      <c r="J74" s="12"/>
    </row>
    <row r="75" spans="1:10" ht="60" customHeight="1">
      <c r="A75" s="6" t="s">
        <v>293</v>
      </c>
      <c r="B75" s="6" t="s">
        <v>20</v>
      </c>
      <c r="C75" s="6" t="s">
        <v>12</v>
      </c>
      <c r="D75" s="7" t="s">
        <v>290</v>
      </c>
      <c r="E75" s="8" t="s">
        <v>294</v>
      </c>
      <c r="F75" s="6" t="s">
        <v>295</v>
      </c>
      <c r="G75" s="9">
        <f>IF(A75=1,"_",IF(C75="_","???",C75))</f>
        <v/>
      </c>
      <c r="H75" s="10" t="s">
        <v>12</v>
      </c>
      <c r="I75" s="11" t="s">
        <v>12</v>
      </c>
      <c r="J75" s="12"/>
    </row>
    <row r="76" spans="1:10" ht="60" customHeight="1">
      <c r="A76" s="6" t="s">
        <v>296</v>
      </c>
      <c r="B76" s="6" t="s">
        <v>32</v>
      </c>
      <c r="C76" s="6" t="s">
        <v>12</v>
      </c>
      <c r="D76" s="7" t="s">
        <v>290</v>
      </c>
      <c r="E76" s="8" t="s">
        <v>297</v>
      </c>
      <c r="F76" s="6" t="s">
        <v>298</v>
      </c>
      <c r="G76" s="9">
        <f>IF(A76=1,"_",IF(C76="_","???",C76))</f>
        <v/>
      </c>
      <c r="H76" s="10" t="s">
        <v>12</v>
      </c>
      <c r="I76" s="11" t="s">
        <v>12</v>
      </c>
      <c r="J76" s="12"/>
    </row>
    <row r="77" spans="1:10" ht="60" customHeight="1">
      <c r="A77" s="6" t="s">
        <v>299</v>
      </c>
      <c r="B77" s="6" t="s">
        <v>49</v>
      </c>
      <c r="C77" s="6" t="s">
        <v>12</v>
      </c>
      <c r="D77" s="7" t="s">
        <v>300</v>
      </c>
      <c r="E77" s="8" t="s">
        <v>301</v>
      </c>
      <c r="F77" s="6" t="s">
        <v>302</v>
      </c>
      <c r="G77" s="9">
        <f>IF(A77=1,"_",IF(C77="_","???",C77))</f>
        <v/>
      </c>
      <c r="H77" s="10" t="s">
        <v>12</v>
      </c>
      <c r="I77" s="11" t="s">
        <v>12</v>
      </c>
      <c r="J77" s="12"/>
    </row>
    <row r="78" spans="1:10" ht="60" customHeight="1">
      <c r="A78" s="6" t="s">
        <v>303</v>
      </c>
      <c r="B78" s="6" t="s">
        <v>11</v>
      </c>
      <c r="C78" s="6" t="s">
        <v>12</v>
      </c>
      <c r="D78" s="7" t="s">
        <v>70</v>
      </c>
      <c r="E78" s="8" t="s">
        <v>304</v>
      </c>
      <c r="F78" s="6" t="s">
        <v>305</v>
      </c>
      <c r="G78" s="9">
        <f>IF(A78=1,"_",IF(C78="_","???",C78))</f>
        <v/>
      </c>
      <c r="H78" s="10" t="s">
        <v>12</v>
      </c>
      <c r="I78" s="11" t="s">
        <v>12</v>
      </c>
      <c r="J78" s="12"/>
    </row>
    <row r="79" spans="1:10" ht="60" customHeight="1">
      <c r="A79" s="6" t="s">
        <v>306</v>
      </c>
      <c r="B79" s="6" t="s">
        <v>11</v>
      </c>
      <c r="C79" s="6" t="s">
        <v>12</v>
      </c>
      <c r="D79" s="7" t="s">
        <v>307</v>
      </c>
      <c r="E79" s="8" t="s">
        <v>308</v>
      </c>
      <c r="F79" s="6" t="s">
        <v>309</v>
      </c>
      <c r="G79" s="9">
        <f>IF(A79=1,"_",IF(C79="_","???",C79))</f>
        <v/>
      </c>
      <c r="H79" s="10" t="s">
        <v>12</v>
      </c>
      <c r="I79" s="11" t="s">
        <v>12</v>
      </c>
      <c r="J79" s="12"/>
    </row>
    <row r="80" spans="1:10" ht="60" customHeight="1">
      <c r="A80" s="6" t="s">
        <v>310</v>
      </c>
      <c r="B80" s="6" t="s">
        <v>28</v>
      </c>
      <c r="C80" s="6" t="s">
        <v>12</v>
      </c>
      <c r="D80" s="7" t="s">
        <v>70</v>
      </c>
      <c r="E80" s="8" t="s">
        <v>311</v>
      </c>
      <c r="F80" s="6" t="s">
        <v>312</v>
      </c>
      <c r="G80" s="9">
        <f>IF(A80=1,"_",IF(C80="_","???",C80))</f>
        <v/>
      </c>
      <c r="H80" s="10" t="s">
        <v>12</v>
      </c>
      <c r="I80" s="11" t="s">
        <v>12</v>
      </c>
      <c r="J80" s="12"/>
    </row>
    <row r="81" spans="1:10" ht="60" customHeight="1">
      <c r="A81" s="6" t="s">
        <v>313</v>
      </c>
      <c r="B81" s="6" t="s">
        <v>24</v>
      </c>
      <c r="C81" s="6" t="s">
        <v>12</v>
      </c>
      <c r="D81" s="7" t="s">
        <v>314</v>
      </c>
      <c r="E81" s="8" t="s">
        <v>315</v>
      </c>
      <c r="F81" s="6" t="s">
        <v>316</v>
      </c>
      <c r="G81" s="9">
        <f>IF(A81=1,"_",IF(C81="_","???",C81))</f>
        <v/>
      </c>
      <c r="H81" s="10" t="s">
        <v>12</v>
      </c>
      <c r="I81" s="11" t="s">
        <v>12</v>
      </c>
      <c r="J81" s="12"/>
    </row>
    <row r="82" spans="1:10" ht="60" customHeight="1">
      <c r="A82" s="6" t="s">
        <v>317</v>
      </c>
      <c r="B82" s="6" t="s">
        <v>10</v>
      </c>
      <c r="C82" s="6" t="s">
        <v>12</v>
      </c>
      <c r="D82" s="7" t="s">
        <v>70</v>
      </c>
      <c r="E82" s="8" t="s">
        <v>318</v>
      </c>
      <c r="F82" s="6" t="s">
        <v>319</v>
      </c>
      <c r="G82" s="9">
        <f>IF(A82=1,"_",IF(C82="_","???",C82))</f>
        <v/>
      </c>
      <c r="H82" s="10" t="s">
        <v>12</v>
      </c>
      <c r="I82" s="11" t="s">
        <v>12</v>
      </c>
      <c r="J82" s="12"/>
    </row>
    <row r="83" spans="1:10" ht="60" customHeight="1">
      <c r="A83" s="6" t="s">
        <v>320</v>
      </c>
      <c r="B83" s="6" t="s">
        <v>11</v>
      </c>
      <c r="C83" s="6" t="s">
        <v>12</v>
      </c>
      <c r="D83" s="7" t="s">
        <v>321</v>
      </c>
      <c r="E83" s="8" t="s">
        <v>322</v>
      </c>
      <c r="F83" s="6" t="s">
        <v>323</v>
      </c>
      <c r="G83" s="9">
        <f>IF(A83=1,"_",IF(C83="_","???",C83))</f>
        <v/>
      </c>
      <c r="H83" s="10" t="s">
        <v>12</v>
      </c>
      <c r="I83" s="11" t="s">
        <v>12</v>
      </c>
      <c r="J83" s="12"/>
    </row>
    <row r="84" spans="1:10" ht="60" customHeight="1">
      <c r="A84" s="6" t="s">
        <v>324</v>
      </c>
      <c r="B84" s="6" t="s">
        <v>32</v>
      </c>
      <c r="C84" s="6" t="s">
        <v>12</v>
      </c>
      <c r="D84" s="7" t="s">
        <v>46</v>
      </c>
      <c r="E84" s="8" t="s">
        <v>325</v>
      </c>
      <c r="F84" s="6" t="s">
        <v>326</v>
      </c>
      <c r="G84" s="9">
        <f>IF(A84=1,"_",IF(C84="_","???",C84))</f>
        <v/>
      </c>
      <c r="H84" s="10" t="s">
        <v>12</v>
      </c>
      <c r="I84" s="11" t="s">
        <v>12</v>
      </c>
      <c r="J84" s="12"/>
    </row>
    <row r="85" spans="1:10" ht="60" customHeight="1">
      <c r="A85" s="6" t="s">
        <v>327</v>
      </c>
      <c r="B85" s="6" t="s">
        <v>20</v>
      </c>
      <c r="C85" s="6" t="s">
        <v>12</v>
      </c>
      <c r="D85" s="7" t="s">
        <v>328</v>
      </c>
      <c r="E85" s="8" t="s">
        <v>329</v>
      </c>
      <c r="F85" s="6" t="s">
        <v>330</v>
      </c>
      <c r="G85" s="9">
        <f>IF(A85=1,"_",IF(C85="_","???",C85))</f>
        <v/>
      </c>
      <c r="H85" s="10" t="s">
        <v>12</v>
      </c>
      <c r="I85" s="11" t="s">
        <v>12</v>
      </c>
      <c r="J85" s="12"/>
    </row>
    <row r="86" spans="1:10" ht="60" customHeight="1">
      <c r="A86" s="6" t="s">
        <v>331</v>
      </c>
      <c r="B86" s="6" t="s">
        <v>11</v>
      </c>
      <c r="C86" s="6" t="s">
        <v>12</v>
      </c>
      <c r="D86" s="7" t="s">
        <v>332</v>
      </c>
      <c r="E86" s="8" t="s">
        <v>333</v>
      </c>
      <c r="F86" s="6" t="s">
        <v>334</v>
      </c>
      <c r="G86" s="9">
        <f>IF(A86=1,"_",IF(C86="_","???",C86))</f>
        <v/>
      </c>
      <c r="H86" s="10" t="s">
        <v>12</v>
      </c>
      <c r="I86" s="11" t="s">
        <v>12</v>
      </c>
      <c r="J86" s="12"/>
    </row>
    <row r="87" spans="1:10" ht="60" customHeight="1">
      <c r="A87" s="6" t="s">
        <v>335</v>
      </c>
      <c r="B87" s="6" t="s">
        <v>11</v>
      </c>
      <c r="C87" s="6" t="s">
        <v>12</v>
      </c>
      <c r="D87" s="7" t="s">
        <v>336</v>
      </c>
      <c r="E87" s="8" t="s">
        <v>337</v>
      </c>
      <c r="F87" s="6" t="s">
        <v>338</v>
      </c>
      <c r="G87" s="9">
        <f>IF(A87=1,"_",IF(C87="_","???",C87))</f>
        <v/>
      </c>
      <c r="H87" s="10" t="s">
        <v>12</v>
      </c>
      <c r="I87" s="11" t="s">
        <v>12</v>
      </c>
      <c r="J87" s="12"/>
    </row>
    <row r="88" spans="1:10" ht="60" customHeight="1">
      <c r="A88" s="6" t="s">
        <v>339</v>
      </c>
      <c r="B88" s="6" t="s">
        <v>24</v>
      </c>
      <c r="C88" s="6" t="s">
        <v>12</v>
      </c>
      <c r="D88" s="7" t="s">
        <v>340</v>
      </c>
      <c r="E88" s="8" t="s">
        <v>341</v>
      </c>
      <c r="F88" s="6" t="s">
        <v>342</v>
      </c>
      <c r="G88" s="9">
        <f>IF(A88=1,"_",IF(C88="_","???",C88))</f>
        <v/>
      </c>
      <c r="H88" s="10" t="s">
        <v>12</v>
      </c>
      <c r="I88" s="11" t="s">
        <v>12</v>
      </c>
      <c r="J88" s="12"/>
    </row>
    <row r="89" spans="1:10" ht="60" customHeight="1">
      <c r="A89" s="6" t="s">
        <v>343</v>
      </c>
      <c r="B89" s="6" t="s">
        <v>42</v>
      </c>
      <c r="C89" s="6" t="s">
        <v>12</v>
      </c>
      <c r="D89" s="7" t="s">
        <v>344</v>
      </c>
      <c r="E89" s="8" t="s">
        <v>345</v>
      </c>
      <c r="F89" s="6" t="s">
        <v>346</v>
      </c>
      <c r="G89" s="9">
        <f>IF(A89=1,"_",IF(C89="_","???",C89))</f>
        <v/>
      </c>
      <c r="H89" s="10" t="s">
        <v>12</v>
      </c>
      <c r="I89" s="11" t="s">
        <v>12</v>
      </c>
      <c r="J89" s="12"/>
    </row>
    <row r="90" spans="1:10" ht="60" customHeight="1">
      <c r="A90" s="6" t="s">
        <v>347</v>
      </c>
      <c r="B90" s="6" t="s">
        <v>24</v>
      </c>
      <c r="C90" s="6" t="s">
        <v>12</v>
      </c>
      <c r="D90" s="7" t="s">
        <v>70</v>
      </c>
      <c r="E90" s="8" t="s">
        <v>348</v>
      </c>
      <c r="F90" s="6" t="s">
        <v>349</v>
      </c>
      <c r="G90" s="9">
        <f>IF(A90=1,"_",IF(C90="_","???",C90))</f>
        <v/>
      </c>
      <c r="H90" s="10" t="s">
        <v>12</v>
      </c>
      <c r="I90" s="11" t="s">
        <v>12</v>
      </c>
      <c r="J90" s="12"/>
    </row>
    <row r="91" spans="1:10" ht="60" customHeight="1">
      <c r="A91" s="6" t="s">
        <v>350</v>
      </c>
      <c r="B91" s="6" t="s">
        <v>11</v>
      </c>
      <c r="C91" s="6" t="s">
        <v>12</v>
      </c>
      <c r="D91" s="7" t="s">
        <v>282</v>
      </c>
      <c r="E91" s="8" t="s">
        <v>351</v>
      </c>
      <c r="F91" s="6" t="s">
        <v>352</v>
      </c>
      <c r="G91" s="9">
        <f>IF(A91=1,"_",IF(C91="_","???",C91))</f>
        <v/>
      </c>
      <c r="H91" s="10" t="s">
        <v>12</v>
      </c>
      <c r="I91" s="11" t="s">
        <v>12</v>
      </c>
      <c r="J91" s="12"/>
    </row>
    <row r="92" spans="1:10" ht="60" customHeight="1">
      <c r="A92" s="6" t="s">
        <v>353</v>
      </c>
      <c r="B92" s="6" t="s">
        <v>32</v>
      </c>
      <c r="C92" s="6" t="s">
        <v>12</v>
      </c>
      <c r="D92" s="7" t="s">
        <v>70</v>
      </c>
      <c r="E92" s="8" t="s">
        <v>354</v>
      </c>
      <c r="F92" s="6" t="s">
        <v>355</v>
      </c>
      <c r="G92" s="9">
        <f>IF(A92=1,"_",IF(C92="_","???",C92))</f>
        <v/>
      </c>
      <c r="H92" s="10" t="s">
        <v>12</v>
      </c>
      <c r="I92" s="11" t="s">
        <v>12</v>
      </c>
      <c r="J92" s="12"/>
    </row>
    <row r="93" spans="1:10" ht="60" customHeight="1">
      <c r="A93" s="6" t="s">
        <v>356</v>
      </c>
      <c r="B93" s="6" t="s">
        <v>45</v>
      </c>
      <c r="C93" s="6" t="s">
        <v>12</v>
      </c>
      <c r="D93" s="7" t="s">
        <v>357</v>
      </c>
      <c r="E93" s="8" t="s">
        <v>358</v>
      </c>
      <c r="F93" s="6" t="s">
        <v>359</v>
      </c>
      <c r="G93" s="9">
        <f>IF(A93=1,"_",IF(C93="_","???",C93))</f>
        <v/>
      </c>
      <c r="H93" s="10" t="s">
        <v>12</v>
      </c>
      <c r="I93" s="11" t="s">
        <v>12</v>
      </c>
      <c r="J93" s="12"/>
    </row>
    <row r="94" spans="1:10" ht="60" customHeight="1">
      <c r="A94" s="6" t="s">
        <v>360</v>
      </c>
      <c r="B94" s="6" t="s">
        <v>11</v>
      </c>
      <c r="C94" s="6" t="s">
        <v>12</v>
      </c>
      <c r="D94" s="7" t="s">
        <v>361</v>
      </c>
      <c r="E94" s="8" t="s">
        <v>362</v>
      </c>
      <c r="F94" s="6" t="s">
        <v>363</v>
      </c>
      <c r="G94" s="9">
        <f>IF(A94=1,"_",IF(C94="_","???",C94))</f>
        <v/>
      </c>
      <c r="H94" s="10" t="s">
        <v>12</v>
      </c>
      <c r="I94" s="11" t="s">
        <v>12</v>
      </c>
      <c r="J94" s="12"/>
    </row>
    <row r="95" spans="1:10" ht="60" customHeight="1">
      <c r="A95" s="6" t="s">
        <v>364</v>
      </c>
      <c r="B95" s="6" t="s">
        <v>10</v>
      </c>
      <c r="C95" s="6" t="s">
        <v>12</v>
      </c>
      <c r="D95" s="7" t="s">
        <v>365</v>
      </c>
      <c r="E95" s="8" t="s">
        <v>366</v>
      </c>
      <c r="F95" s="6" t="s">
        <v>367</v>
      </c>
      <c r="G95" s="9">
        <f>IF(A95=1,"_",IF(C95="_","???",C95))</f>
        <v/>
      </c>
      <c r="H95" s="10" t="s">
        <v>12</v>
      </c>
      <c r="I95" s="11" t="s">
        <v>12</v>
      </c>
      <c r="J95" s="12"/>
    </row>
    <row r="96" spans="1:10" ht="60" customHeight="1">
      <c r="A96" s="6" t="s">
        <v>368</v>
      </c>
      <c r="B96" s="6" t="s">
        <v>36</v>
      </c>
      <c r="C96" s="6" t="s">
        <v>369</v>
      </c>
      <c r="D96" s="7" t="s">
        <v>370</v>
      </c>
      <c r="E96" s="8" t="s">
        <v>371</v>
      </c>
      <c r="F96" s="6" t="s">
        <v>372</v>
      </c>
      <c r="G96" s="9">
        <f>IF(A96=1,"_",IF(C96="_","???",C96))</f>
        <v/>
      </c>
      <c r="H96" s="10" t="s">
        <v>12</v>
      </c>
      <c r="I96" s="11" t="s">
        <v>12</v>
      </c>
      <c r="J96" s="12"/>
    </row>
    <row r="97" spans="1:10" ht="60" customHeight="1">
      <c r="A97" s="6" t="s">
        <v>373</v>
      </c>
      <c r="B97" s="6" t="s">
        <v>11</v>
      </c>
      <c r="C97" s="6" t="s">
        <v>12</v>
      </c>
      <c r="D97" s="7" t="s">
        <v>374</v>
      </c>
      <c r="E97" s="8" t="s">
        <v>375</v>
      </c>
      <c r="F97" s="6" t="s">
        <v>376</v>
      </c>
      <c r="G97" s="9">
        <f>IF(A97=1,"_",IF(C97="_","???",C97))</f>
        <v/>
      </c>
      <c r="H97" s="10" t="s">
        <v>12</v>
      </c>
      <c r="I97" s="11" t="s">
        <v>12</v>
      </c>
      <c r="J97" s="12"/>
    </row>
    <row r="98" spans="1:10" ht="60" customHeight="1">
      <c r="A98" s="6" t="s">
        <v>377</v>
      </c>
      <c r="B98" s="6" t="s">
        <v>11</v>
      </c>
      <c r="C98" s="6" t="s">
        <v>12</v>
      </c>
      <c r="D98" s="7" t="s">
        <v>70</v>
      </c>
      <c r="E98" s="8" t="s">
        <v>378</v>
      </c>
      <c r="F98" s="6" t="s">
        <v>379</v>
      </c>
      <c r="G98" s="9">
        <f>IF(A98=1,"_",IF(C98="_","???",C98))</f>
        <v/>
      </c>
      <c r="H98" s="10" t="s">
        <v>12</v>
      </c>
      <c r="I98" s="11" t="s">
        <v>12</v>
      </c>
      <c r="J98" s="12"/>
    </row>
    <row r="99" spans="1:10" ht="60" customHeight="1">
      <c r="A99" s="6" t="s">
        <v>380</v>
      </c>
      <c r="B99" s="6" t="s">
        <v>52</v>
      </c>
      <c r="C99" s="6" t="s">
        <v>12</v>
      </c>
      <c r="D99" s="7" t="s">
        <v>117</v>
      </c>
      <c r="E99" s="8" t="s">
        <v>381</v>
      </c>
      <c r="F99" s="6" t="s">
        <v>382</v>
      </c>
      <c r="G99" s="9">
        <f>IF(A99=1,"_",IF(C99="_","???",C99))</f>
        <v/>
      </c>
      <c r="H99" s="10" t="s">
        <v>12</v>
      </c>
      <c r="I99" s="11" t="s">
        <v>12</v>
      </c>
      <c r="J99" s="12"/>
    </row>
    <row r="100" spans="1:10" ht="60" customHeight="1">
      <c r="A100" s="6" t="s">
        <v>383</v>
      </c>
      <c r="B100" s="6" t="s">
        <v>32</v>
      </c>
      <c r="C100" s="6" t="s">
        <v>12</v>
      </c>
      <c r="D100" s="7" t="s">
        <v>384</v>
      </c>
      <c r="E100" s="8" t="s">
        <v>385</v>
      </c>
      <c r="F100" s="6" t="s">
        <v>386</v>
      </c>
      <c r="G100" s="9">
        <f>IF(A100=1,"_",IF(C100="_","???",C100))</f>
        <v/>
      </c>
      <c r="H100" s="10" t="s">
        <v>12</v>
      </c>
      <c r="I100" s="11" t="s">
        <v>12</v>
      </c>
      <c r="J100" s="12"/>
    </row>
    <row r="101" spans="1:10" ht="60" customHeight="1">
      <c r="A101" s="6" t="s">
        <v>387</v>
      </c>
      <c r="B101" s="6" t="s">
        <v>24</v>
      </c>
      <c r="C101" s="6" t="s">
        <v>12</v>
      </c>
      <c r="D101" s="7" t="s">
        <v>388</v>
      </c>
      <c r="E101" s="8" t="s">
        <v>389</v>
      </c>
      <c r="F101" s="6" t="s">
        <v>390</v>
      </c>
      <c r="G101" s="9">
        <f>IF(A101=1,"_",IF(C101="_","???",C101))</f>
        <v/>
      </c>
      <c r="H101" s="10" t="s">
        <v>12</v>
      </c>
      <c r="I101" s="11" t="s">
        <v>12</v>
      </c>
      <c r="J101" s="12"/>
    </row>
    <row r="102" spans="1:10" ht="60" customHeight="1">
      <c r="A102" s="6" t="s">
        <v>391</v>
      </c>
      <c r="B102" s="6" t="s">
        <v>24</v>
      </c>
      <c r="C102" s="6" t="s">
        <v>369</v>
      </c>
      <c r="D102" s="7" t="s">
        <v>392</v>
      </c>
      <c r="E102" s="8" t="s">
        <v>393</v>
      </c>
      <c r="F102" s="6" t="s">
        <v>394</v>
      </c>
      <c r="G102" s="9">
        <f>IF(A102=1,"_",IF(C102="_","???",C102))</f>
        <v/>
      </c>
      <c r="H102" s="10" t="s">
        <v>12</v>
      </c>
      <c r="I102" s="11" t="s">
        <v>12</v>
      </c>
      <c r="J102" s="12"/>
    </row>
    <row r="103" spans="1:10" ht="60" customHeight="1">
      <c r="A103" s="6" t="s">
        <v>395</v>
      </c>
      <c r="B103" s="6" t="s">
        <v>11</v>
      </c>
      <c r="C103" s="6" t="s">
        <v>12</v>
      </c>
      <c r="D103" s="7" t="s">
        <v>396</v>
      </c>
      <c r="E103" s="8" t="s">
        <v>397</v>
      </c>
      <c r="F103" s="6" t="s">
        <v>398</v>
      </c>
      <c r="G103" s="9">
        <f>IF(A103=1,"_",IF(C103="_","???",C103))</f>
        <v/>
      </c>
      <c r="H103" s="10" t="s">
        <v>12</v>
      </c>
      <c r="I103" s="11" t="s">
        <v>12</v>
      </c>
      <c r="J103" s="12"/>
    </row>
    <row r="104" spans="1:10" ht="60" customHeight="1">
      <c r="A104" s="6" t="s">
        <v>399</v>
      </c>
      <c r="B104" s="6" t="s">
        <v>11</v>
      </c>
      <c r="C104" s="6" t="s">
        <v>12</v>
      </c>
      <c r="D104" s="7" t="s">
        <v>400</v>
      </c>
      <c r="E104" s="8" t="s">
        <v>401</v>
      </c>
      <c r="F104" s="6" t="s">
        <v>402</v>
      </c>
      <c r="G104" s="9">
        <f>IF(A104=1,"_",IF(C104="_","???",C104))</f>
        <v/>
      </c>
      <c r="H104" s="10" t="s">
        <v>12</v>
      </c>
      <c r="I104" s="11" t="s">
        <v>12</v>
      </c>
      <c r="J104" s="12"/>
    </row>
    <row r="105" spans="1:10" ht="60" customHeight="1">
      <c r="A105" s="6" t="s">
        <v>403</v>
      </c>
      <c r="B105" s="6" t="s">
        <v>11</v>
      </c>
      <c r="C105" s="6" t="s">
        <v>12</v>
      </c>
      <c r="D105" s="7" t="s">
        <v>404</v>
      </c>
      <c r="E105" s="8" t="s">
        <v>405</v>
      </c>
      <c r="F105" s="6" t="s">
        <v>406</v>
      </c>
      <c r="G105" s="9">
        <f>IF(A105=1,"_",IF(C105="_","???",C105))</f>
        <v/>
      </c>
      <c r="H105" s="10" t="s">
        <v>12</v>
      </c>
      <c r="I105" s="11" t="s">
        <v>12</v>
      </c>
      <c r="J105" s="12"/>
    </row>
    <row r="106" spans="1:10" ht="60" customHeight="1">
      <c r="A106" s="6" t="s">
        <v>407</v>
      </c>
      <c r="B106" s="6" t="s">
        <v>11</v>
      </c>
      <c r="C106" s="6" t="s">
        <v>12</v>
      </c>
      <c r="D106" s="7" t="s">
        <v>157</v>
      </c>
      <c r="E106" s="8" t="s">
        <v>408</v>
      </c>
      <c r="F106" s="6" t="s">
        <v>409</v>
      </c>
      <c r="G106" s="9">
        <f>IF(A106=1,"_",IF(C106="_","???",C106))</f>
        <v/>
      </c>
      <c r="H106" s="10" t="s">
        <v>12</v>
      </c>
      <c r="I106" s="11" t="s">
        <v>12</v>
      </c>
      <c r="J106" s="12"/>
    </row>
    <row r="107" spans="1:10" ht="60" customHeight="1">
      <c r="A107" s="6" t="s">
        <v>410</v>
      </c>
      <c r="B107" s="6" t="s">
        <v>11</v>
      </c>
      <c r="C107" s="6" t="s">
        <v>12</v>
      </c>
      <c r="D107" s="7" t="s">
        <v>411</v>
      </c>
      <c r="E107" s="8" t="s">
        <v>412</v>
      </c>
      <c r="F107" s="6" t="s">
        <v>413</v>
      </c>
      <c r="G107" s="9">
        <f>IF(A107=1,"_",IF(C107="_","???",C107))</f>
        <v/>
      </c>
      <c r="H107" s="10" t="s">
        <v>12</v>
      </c>
      <c r="I107" s="11" t="s">
        <v>12</v>
      </c>
      <c r="J107" s="12"/>
    </row>
    <row r="108" spans="1:10" ht="60" customHeight="1">
      <c r="A108" s="6" t="s">
        <v>414</v>
      </c>
      <c r="B108" s="6" t="s">
        <v>11</v>
      </c>
      <c r="C108" s="6" t="s">
        <v>12</v>
      </c>
      <c r="D108" s="7" t="s">
        <v>415</v>
      </c>
      <c r="E108" s="8" t="s">
        <v>416</v>
      </c>
      <c r="F108" s="6" t="s">
        <v>417</v>
      </c>
      <c r="G108" s="9">
        <f>IF(A108=1,"_",IF(C108="_","???",C108))</f>
        <v/>
      </c>
      <c r="H108" s="10" t="s">
        <v>12</v>
      </c>
      <c r="I108" s="11" t="s">
        <v>12</v>
      </c>
      <c r="J108" s="12"/>
    </row>
    <row r="109" spans="1:10" ht="60" customHeight="1">
      <c r="A109" s="6" t="s">
        <v>418</v>
      </c>
      <c r="B109" s="6" t="s">
        <v>20</v>
      </c>
      <c r="C109" s="6" t="s">
        <v>369</v>
      </c>
      <c r="D109" s="7" t="s">
        <v>212</v>
      </c>
      <c r="E109" s="8" t="s">
        <v>419</v>
      </c>
      <c r="F109" s="6" t="s">
        <v>420</v>
      </c>
      <c r="G109" s="9">
        <f>IF(A109=1,"_",IF(C109="_","???",C109))</f>
        <v/>
      </c>
      <c r="H109" s="10" t="s">
        <v>12</v>
      </c>
      <c r="I109" s="11" t="s">
        <v>12</v>
      </c>
      <c r="J109" s="12"/>
    </row>
    <row r="110" spans="1:10" ht="60" customHeight="1">
      <c r="A110" s="6" t="s">
        <v>421</v>
      </c>
      <c r="B110" s="6" t="s">
        <v>42</v>
      </c>
      <c r="C110" s="6" t="s">
        <v>12</v>
      </c>
      <c r="D110" s="7" t="s">
        <v>70</v>
      </c>
      <c r="E110" s="8" t="s">
        <v>422</v>
      </c>
      <c r="F110" s="6" t="s">
        <v>423</v>
      </c>
      <c r="G110" s="9">
        <f>IF(A110=1,"_",IF(C110="_","???",C110))</f>
        <v/>
      </c>
      <c r="H110" s="10" t="s">
        <v>12</v>
      </c>
      <c r="I110" s="11" t="s">
        <v>12</v>
      </c>
      <c r="J110" s="12"/>
    </row>
    <row r="111" spans="1:10" ht="60" customHeight="1">
      <c r="A111" s="6" t="s">
        <v>424</v>
      </c>
      <c r="B111" s="6" t="s">
        <v>36</v>
      </c>
      <c r="C111" s="6" t="s">
        <v>12</v>
      </c>
      <c r="D111" s="7" t="s">
        <v>425</v>
      </c>
      <c r="E111" s="8" t="s">
        <v>426</v>
      </c>
      <c r="F111" s="6" t="s">
        <v>427</v>
      </c>
      <c r="G111" s="9">
        <f>IF(A111=1,"_",IF(C111="_","???",C111))</f>
        <v/>
      </c>
      <c r="H111" s="10" t="s">
        <v>12</v>
      </c>
      <c r="I111" s="11" t="s">
        <v>12</v>
      </c>
      <c r="J111" s="12"/>
    </row>
    <row r="112" spans="1:10" ht="60" customHeight="1">
      <c r="A112" s="6" t="s">
        <v>428</v>
      </c>
      <c r="B112" s="6" t="s">
        <v>16</v>
      </c>
      <c r="C112" s="6" t="s">
        <v>12</v>
      </c>
      <c r="D112" s="7" t="s">
        <v>240</v>
      </c>
      <c r="E112" s="8" t="s">
        <v>429</v>
      </c>
      <c r="F112" s="6" t="s">
        <v>430</v>
      </c>
      <c r="G112" s="9">
        <f>IF(A112=1,"_",IF(C112="_","???",C112))</f>
        <v/>
      </c>
      <c r="H112" s="10" t="s">
        <v>12</v>
      </c>
      <c r="I112" s="11" t="s">
        <v>12</v>
      </c>
      <c r="J112" s="12"/>
    </row>
    <row r="113" spans="1:10" ht="60" customHeight="1">
      <c r="A113" s="6" t="s">
        <v>431</v>
      </c>
      <c r="B113" s="6" t="s">
        <v>116</v>
      </c>
      <c r="C113" s="6" t="s">
        <v>12</v>
      </c>
      <c r="D113" s="7" t="s">
        <v>432</v>
      </c>
      <c r="E113" s="8" t="s">
        <v>433</v>
      </c>
      <c r="F113" s="6" t="s">
        <v>434</v>
      </c>
      <c r="G113" s="9">
        <f>IF(A113=1,"_",IF(C113="_","???",C113))</f>
        <v/>
      </c>
      <c r="H113" s="10" t="s">
        <v>12</v>
      </c>
      <c r="I113" s="11" t="s">
        <v>12</v>
      </c>
      <c r="J113" s="12"/>
    </row>
    <row r="114" spans="1:10" ht="60" customHeight="1">
      <c r="A114" s="6" t="s">
        <v>435</v>
      </c>
      <c r="B114" s="6" t="s">
        <v>28</v>
      </c>
      <c r="C114" s="6" t="s">
        <v>12</v>
      </c>
      <c r="D114" s="7" t="s">
        <v>436</v>
      </c>
      <c r="E114" s="8" t="s">
        <v>437</v>
      </c>
      <c r="F114" s="6" t="s">
        <v>438</v>
      </c>
      <c r="G114" s="9">
        <f>IF(A114=1,"_",IF(C114="_","???",C114))</f>
        <v/>
      </c>
      <c r="H114" s="10" t="s">
        <v>12</v>
      </c>
      <c r="I114" s="11" t="s">
        <v>12</v>
      </c>
      <c r="J114" s="12"/>
    </row>
    <row r="115" spans="1:10" ht="60" customHeight="1">
      <c r="A115" s="6" t="s">
        <v>439</v>
      </c>
      <c r="B115" s="6" t="s">
        <v>11</v>
      </c>
      <c r="C115" s="6" t="s">
        <v>12</v>
      </c>
      <c r="D115" s="7" t="s">
        <v>440</v>
      </c>
      <c r="E115" s="8" t="s">
        <v>441</v>
      </c>
      <c r="F115" s="6" t="s">
        <v>442</v>
      </c>
      <c r="G115" s="9">
        <f>IF(A115=1,"_",IF(C115="_","???",C115))</f>
        <v/>
      </c>
      <c r="H115" s="10" t="s">
        <v>12</v>
      </c>
      <c r="I115" s="11" t="s">
        <v>12</v>
      </c>
      <c r="J115" s="12"/>
    </row>
    <row r="116" spans="1:10" ht="60" customHeight="1">
      <c r="A116" s="6" t="s">
        <v>443</v>
      </c>
      <c r="B116" s="6" t="s">
        <v>24</v>
      </c>
      <c r="C116" s="6" t="s">
        <v>12</v>
      </c>
      <c r="D116" s="7" t="s">
        <v>157</v>
      </c>
      <c r="E116" s="8" t="s">
        <v>444</v>
      </c>
      <c r="F116" s="6" t="s">
        <v>445</v>
      </c>
      <c r="G116" s="9">
        <f>IF(A116=1,"_",IF(C116="_","???",C116))</f>
        <v/>
      </c>
      <c r="H116" s="10" t="s">
        <v>12</v>
      </c>
      <c r="I116" s="11" t="s">
        <v>12</v>
      </c>
      <c r="J116" s="12"/>
    </row>
    <row r="117" spans="1:10" ht="60" customHeight="1">
      <c r="A117" s="6" t="s">
        <v>446</v>
      </c>
      <c r="B117" s="6" t="s">
        <v>11</v>
      </c>
      <c r="C117" s="6" t="s">
        <v>12</v>
      </c>
      <c r="D117" s="7" t="s">
        <v>447</v>
      </c>
      <c r="E117" s="8" t="s">
        <v>448</v>
      </c>
      <c r="F117" s="6" t="s">
        <v>449</v>
      </c>
      <c r="G117" s="9">
        <f>IF(A117=1,"_",IF(C117="_","???",C117))</f>
        <v/>
      </c>
      <c r="H117" s="10" t="s">
        <v>12</v>
      </c>
      <c r="I117" s="11" t="s">
        <v>12</v>
      </c>
      <c r="J117" s="12"/>
    </row>
    <row r="118" spans="1:10" ht="60" customHeight="1">
      <c r="A118" s="6" t="s">
        <v>450</v>
      </c>
      <c r="B118" s="6" t="s">
        <v>11</v>
      </c>
      <c r="C118" s="6" t="s">
        <v>12</v>
      </c>
      <c r="D118" s="7" t="s">
        <v>451</v>
      </c>
      <c r="E118" s="8" t="s">
        <v>452</v>
      </c>
      <c r="F118" s="6" t="s">
        <v>453</v>
      </c>
      <c r="G118" s="9">
        <f>IF(A118=1,"_",IF(C118="_","???",C118))</f>
        <v/>
      </c>
      <c r="H118" s="10" t="s">
        <v>12</v>
      </c>
      <c r="I118" s="11" t="s">
        <v>12</v>
      </c>
      <c r="J118" s="12"/>
    </row>
    <row r="119" spans="1:10" ht="60" customHeight="1">
      <c r="A119" s="6" t="s">
        <v>454</v>
      </c>
      <c r="B119" s="6" t="s">
        <v>11</v>
      </c>
      <c r="C119" s="6" t="s">
        <v>12</v>
      </c>
      <c r="D119" s="7" t="s">
        <v>129</v>
      </c>
      <c r="E119" s="8" t="s">
        <v>455</v>
      </c>
      <c r="F119" s="6" t="s">
        <v>456</v>
      </c>
      <c r="G119" s="9">
        <f>IF(A119=1,"_",IF(C119="_","???",C119))</f>
        <v/>
      </c>
      <c r="H119" s="10" t="s">
        <v>12</v>
      </c>
      <c r="I119" s="11" t="s">
        <v>12</v>
      </c>
      <c r="J119" s="12"/>
    </row>
    <row r="120" spans="1:10" ht="60" customHeight="1">
      <c r="A120" s="6" t="s">
        <v>457</v>
      </c>
      <c r="B120" s="6" t="s">
        <v>11</v>
      </c>
      <c r="C120" s="6" t="s">
        <v>12</v>
      </c>
      <c r="D120" s="7" t="s">
        <v>70</v>
      </c>
      <c r="E120" s="8" t="s">
        <v>458</v>
      </c>
      <c r="F120" s="6" t="s">
        <v>459</v>
      </c>
      <c r="G120" s="9">
        <f>IF(A120=1,"_",IF(C120="_","???",C120))</f>
        <v/>
      </c>
      <c r="H120" s="10" t="s">
        <v>12</v>
      </c>
      <c r="I120" s="11" t="s">
        <v>12</v>
      </c>
      <c r="J120" s="12"/>
    </row>
    <row r="121" spans="1:10" ht="60" customHeight="1">
      <c r="A121" s="6" t="s">
        <v>460</v>
      </c>
      <c r="B121" s="6" t="s">
        <v>11</v>
      </c>
      <c r="C121" s="6" t="s">
        <v>12</v>
      </c>
      <c r="D121" s="7" t="s">
        <v>70</v>
      </c>
      <c r="E121" s="8" t="s">
        <v>461</v>
      </c>
      <c r="F121" s="6" t="s">
        <v>462</v>
      </c>
      <c r="G121" s="9">
        <f>IF(A121=1,"_",IF(C121="_","???",C121))</f>
        <v/>
      </c>
      <c r="H121" s="10" t="s">
        <v>12</v>
      </c>
      <c r="I121" s="11" t="s">
        <v>12</v>
      </c>
      <c r="J121" s="12"/>
    </row>
    <row r="122" spans="1:10" ht="60" customHeight="1">
      <c r="A122" s="6" t="s">
        <v>463</v>
      </c>
      <c r="B122" s="6" t="s">
        <v>112</v>
      </c>
      <c r="C122" s="6" t="s">
        <v>12</v>
      </c>
      <c r="D122" s="7" t="s">
        <v>464</v>
      </c>
      <c r="E122" s="8" t="s">
        <v>465</v>
      </c>
      <c r="F122" s="6" t="s">
        <v>466</v>
      </c>
      <c r="G122" s="9">
        <f>IF(A122=1,"_",IF(C122="_","???",C122))</f>
        <v/>
      </c>
      <c r="H122" s="10" t="s">
        <v>12</v>
      </c>
      <c r="I122" s="11" t="s">
        <v>12</v>
      </c>
      <c r="J122" s="12"/>
    </row>
    <row r="123" spans="1:10" ht="60" customHeight="1">
      <c r="A123" s="6" t="s">
        <v>467</v>
      </c>
      <c r="B123" s="6" t="s">
        <v>20</v>
      </c>
      <c r="C123" s="6" t="s">
        <v>12</v>
      </c>
      <c r="D123" s="7" t="s">
        <v>70</v>
      </c>
      <c r="E123" s="8" t="s">
        <v>468</v>
      </c>
      <c r="F123" s="6" t="s">
        <v>469</v>
      </c>
      <c r="G123" s="9">
        <f>IF(A123=1,"_",IF(C123="_","???",C123))</f>
        <v/>
      </c>
      <c r="H123" s="10" t="s">
        <v>12</v>
      </c>
      <c r="I123" s="11" t="s">
        <v>12</v>
      </c>
      <c r="J123" s="12"/>
    </row>
    <row r="124" spans="1:10" ht="60" customHeight="1">
      <c r="A124" s="6" t="s">
        <v>470</v>
      </c>
      <c r="B124" s="6" t="s">
        <v>86</v>
      </c>
      <c r="C124" s="6" t="s">
        <v>12</v>
      </c>
      <c r="D124" s="7" t="s">
        <v>471</v>
      </c>
      <c r="E124" s="8" t="s">
        <v>472</v>
      </c>
      <c r="F124" s="6" t="s">
        <v>473</v>
      </c>
      <c r="G124" s="9">
        <f>IF(A124=1,"_",IF(C124="_","???",C124))</f>
        <v/>
      </c>
      <c r="H124" s="10" t="s">
        <v>12</v>
      </c>
      <c r="I124" s="11" t="s">
        <v>12</v>
      </c>
      <c r="J124" s="12"/>
    </row>
    <row r="125" spans="1:10" ht="60" customHeight="1">
      <c r="A125" s="6" t="s">
        <v>474</v>
      </c>
      <c r="B125" s="6" t="s">
        <v>73</v>
      </c>
      <c r="C125" s="6" t="s">
        <v>12</v>
      </c>
      <c r="D125" s="7" t="s">
        <v>475</v>
      </c>
      <c r="E125" s="8" t="s">
        <v>476</v>
      </c>
      <c r="F125" s="6" t="s">
        <v>477</v>
      </c>
      <c r="G125" s="9">
        <f>IF(A125=1,"_",IF(C125="_","???",C125))</f>
        <v/>
      </c>
      <c r="H125" s="10" t="s">
        <v>12</v>
      </c>
      <c r="I125" s="11" t="s">
        <v>12</v>
      </c>
      <c r="J125" s="12"/>
    </row>
    <row r="126" spans="1:10" ht="60" customHeight="1">
      <c r="A126" s="6" t="s">
        <v>478</v>
      </c>
      <c r="B126" s="6" t="s">
        <v>11</v>
      </c>
      <c r="C126" s="6" t="s">
        <v>12</v>
      </c>
      <c r="D126" s="7" t="s">
        <v>479</v>
      </c>
      <c r="E126" s="8" t="s">
        <v>480</v>
      </c>
      <c r="F126" s="6" t="s">
        <v>481</v>
      </c>
      <c r="G126" s="9">
        <f>IF(A126=1,"_",IF(C126="_","???",C126))</f>
        <v/>
      </c>
      <c r="H126" s="10" t="s">
        <v>12</v>
      </c>
      <c r="I126" s="11" t="s">
        <v>12</v>
      </c>
      <c r="J126" s="12"/>
    </row>
    <row r="127" spans="1:10" ht="60" customHeight="1">
      <c r="A127" s="6" t="s">
        <v>482</v>
      </c>
      <c r="B127" s="6" t="s">
        <v>11</v>
      </c>
      <c r="C127" s="6" t="s">
        <v>12</v>
      </c>
      <c r="D127" s="7" t="s">
        <v>282</v>
      </c>
      <c r="E127" s="8" t="s">
        <v>483</v>
      </c>
      <c r="F127" s="6" t="s">
        <v>484</v>
      </c>
      <c r="G127" s="9">
        <f>IF(A127=1,"_",IF(C127="_","???",C127))</f>
        <v/>
      </c>
      <c r="H127" s="10" t="s">
        <v>12</v>
      </c>
      <c r="I127" s="11" t="s">
        <v>12</v>
      </c>
      <c r="J127" s="12"/>
    </row>
    <row r="128" spans="1:10" ht="60" customHeight="1">
      <c r="A128" s="6" t="s">
        <v>485</v>
      </c>
      <c r="B128" s="6" t="s">
        <v>11</v>
      </c>
      <c r="C128" s="6" t="s">
        <v>12</v>
      </c>
      <c r="D128" s="7" t="s">
        <v>486</v>
      </c>
      <c r="E128" s="8" t="s">
        <v>487</v>
      </c>
      <c r="F128" s="6" t="s">
        <v>488</v>
      </c>
      <c r="G128" s="9">
        <f>IF(A128=1,"_",IF(C128="_","???",C128))</f>
        <v/>
      </c>
      <c r="H128" s="10" t="s">
        <v>12</v>
      </c>
      <c r="I128" s="11" t="s">
        <v>12</v>
      </c>
      <c r="J128" s="12"/>
    </row>
    <row r="129" spans="1:10" ht="60" customHeight="1">
      <c r="A129" s="6" t="s">
        <v>489</v>
      </c>
      <c r="B129" s="6" t="s">
        <v>11</v>
      </c>
      <c r="C129" s="6" t="s">
        <v>12</v>
      </c>
      <c r="D129" s="7" t="s">
        <v>490</v>
      </c>
      <c r="E129" s="8" t="s">
        <v>491</v>
      </c>
      <c r="F129" s="6" t="s">
        <v>492</v>
      </c>
      <c r="G129" s="9">
        <f>IF(A129=1,"_",IF(C129="_","???",C129))</f>
        <v/>
      </c>
      <c r="H129" s="10" t="s">
        <v>12</v>
      </c>
      <c r="I129" s="11" t="s">
        <v>12</v>
      </c>
      <c r="J129" s="12"/>
    </row>
    <row r="130" spans="1:10" ht="60" customHeight="1">
      <c r="A130" s="6" t="s">
        <v>493</v>
      </c>
      <c r="B130" s="6" t="s">
        <v>45</v>
      </c>
      <c r="C130" s="6" t="s">
        <v>12</v>
      </c>
      <c r="D130" s="7" t="s">
        <v>282</v>
      </c>
      <c r="E130" s="8" t="s">
        <v>494</v>
      </c>
      <c r="F130" s="6" t="s">
        <v>495</v>
      </c>
      <c r="G130" s="9">
        <f>IF(A130=1,"_",IF(C130="_","???",C130))</f>
        <v/>
      </c>
      <c r="H130" s="10" t="s">
        <v>12</v>
      </c>
      <c r="I130" s="11" t="s">
        <v>12</v>
      </c>
      <c r="J130" s="12"/>
    </row>
    <row r="131" spans="1:10" ht="60" customHeight="1">
      <c r="A131" s="6" t="s">
        <v>496</v>
      </c>
      <c r="B131" s="6" t="s">
        <v>32</v>
      </c>
      <c r="C131" s="6" t="s">
        <v>369</v>
      </c>
      <c r="D131" s="7" t="s">
        <v>223</v>
      </c>
      <c r="E131" s="8" t="s">
        <v>497</v>
      </c>
      <c r="F131" s="6" t="s">
        <v>498</v>
      </c>
      <c r="G131" s="9">
        <f>IF(A131=1,"_",IF(C131="_","???",C131))</f>
        <v/>
      </c>
      <c r="H131" s="10" t="s">
        <v>12</v>
      </c>
      <c r="I131" s="11" t="s">
        <v>12</v>
      </c>
      <c r="J131" s="12"/>
    </row>
    <row r="132" spans="1:10" ht="60" customHeight="1">
      <c r="A132" s="6" t="s">
        <v>499</v>
      </c>
      <c r="B132" s="6" t="s">
        <v>20</v>
      </c>
      <c r="C132" s="6" t="s">
        <v>12</v>
      </c>
      <c r="D132" s="7" t="s">
        <v>500</v>
      </c>
      <c r="E132" s="8" t="s">
        <v>501</v>
      </c>
      <c r="F132" s="6" t="s">
        <v>502</v>
      </c>
      <c r="G132" s="9">
        <f>IF(A132=1,"_",IF(C132="_","???",C132))</f>
        <v/>
      </c>
      <c r="H132" s="10" t="s">
        <v>12</v>
      </c>
      <c r="I132" s="11" t="s">
        <v>12</v>
      </c>
      <c r="J132" s="12"/>
    </row>
    <row r="133" spans="1:10" ht="60" customHeight="1">
      <c r="A133" s="6" t="s">
        <v>503</v>
      </c>
      <c r="B133" s="6" t="s">
        <v>11</v>
      </c>
      <c r="C133" s="6" t="s">
        <v>12</v>
      </c>
      <c r="D133" s="7" t="s">
        <v>173</v>
      </c>
      <c r="E133" s="8" t="s">
        <v>504</v>
      </c>
      <c r="F133" s="6" t="s">
        <v>505</v>
      </c>
      <c r="G133" s="9">
        <f>IF(A133=1,"_",IF(C133="_","???",C133))</f>
        <v/>
      </c>
      <c r="H133" s="10" t="s">
        <v>12</v>
      </c>
      <c r="I133" s="11" t="s">
        <v>12</v>
      </c>
      <c r="J133" s="12"/>
    </row>
    <row r="134" spans="1:10" ht="60" customHeight="1">
      <c r="A134" s="6" t="s">
        <v>506</v>
      </c>
      <c r="B134" s="6" t="s">
        <v>20</v>
      </c>
      <c r="C134" s="6" t="s">
        <v>369</v>
      </c>
      <c r="D134" s="7" t="s">
        <v>282</v>
      </c>
      <c r="E134" s="8" t="s">
        <v>507</v>
      </c>
      <c r="F134" s="6" t="s">
        <v>508</v>
      </c>
      <c r="G134" s="9">
        <f>IF(A134=1,"_",IF(C134="_","???",C134))</f>
        <v/>
      </c>
      <c r="H134" s="10" t="s">
        <v>12</v>
      </c>
      <c r="I134" s="11" t="s">
        <v>12</v>
      </c>
      <c r="J134" s="12"/>
    </row>
    <row r="135" spans="1:10" ht="60" customHeight="1">
      <c r="A135" s="6" t="s">
        <v>509</v>
      </c>
      <c r="B135" s="6" t="s">
        <v>10</v>
      </c>
      <c r="C135" s="6" t="s">
        <v>12</v>
      </c>
      <c r="D135" s="7" t="s">
        <v>510</v>
      </c>
      <c r="E135" s="8" t="s">
        <v>511</v>
      </c>
      <c r="F135" s="6" t="s">
        <v>512</v>
      </c>
      <c r="G135" s="9">
        <f>IF(A135=1,"_",IF(C135="_","???",C135))</f>
        <v/>
      </c>
      <c r="H135" s="10" t="s">
        <v>12</v>
      </c>
      <c r="I135" s="11" t="s">
        <v>12</v>
      </c>
      <c r="J135" s="12"/>
    </row>
    <row r="136" spans="1:10" ht="60" customHeight="1">
      <c r="A136" s="6" t="s">
        <v>513</v>
      </c>
      <c r="B136" s="6" t="s">
        <v>32</v>
      </c>
      <c r="C136" s="6" t="s">
        <v>12</v>
      </c>
      <c r="D136" s="7" t="s">
        <v>282</v>
      </c>
      <c r="E136" s="8" t="s">
        <v>514</v>
      </c>
      <c r="F136" s="6" t="s">
        <v>515</v>
      </c>
      <c r="G136" s="9">
        <f>IF(A136=1,"_",IF(C136="_","???",C136))</f>
        <v/>
      </c>
      <c r="H136" s="10" t="s">
        <v>12</v>
      </c>
      <c r="I136" s="11" t="s">
        <v>12</v>
      </c>
      <c r="J136" s="12"/>
    </row>
    <row r="137" spans="1:10" ht="60" customHeight="1">
      <c r="A137" s="6" t="s">
        <v>516</v>
      </c>
      <c r="B137" s="6" t="s">
        <v>16</v>
      </c>
      <c r="C137" s="6" t="s">
        <v>12</v>
      </c>
      <c r="D137" s="7" t="s">
        <v>121</v>
      </c>
      <c r="E137" s="8" t="s">
        <v>517</v>
      </c>
      <c r="F137" s="6" t="s">
        <v>518</v>
      </c>
      <c r="G137" s="9">
        <f>IF(A137=1,"_",IF(C137="_","???",C137))</f>
        <v/>
      </c>
      <c r="H137" s="10" t="s">
        <v>12</v>
      </c>
      <c r="I137" s="11" t="s">
        <v>12</v>
      </c>
      <c r="J137" s="12"/>
    </row>
    <row r="138" spans="1:10" ht="60" customHeight="1">
      <c r="A138" s="6" t="s">
        <v>519</v>
      </c>
      <c r="B138" s="6" t="s">
        <v>11</v>
      </c>
      <c r="C138" s="6" t="s">
        <v>12</v>
      </c>
      <c r="D138" s="7" t="s">
        <v>520</v>
      </c>
      <c r="E138" s="8" t="s">
        <v>521</v>
      </c>
      <c r="F138" s="6" t="s">
        <v>522</v>
      </c>
      <c r="G138" s="9">
        <f>IF(A138=1,"_",IF(C138="_","???",C138))</f>
        <v/>
      </c>
      <c r="H138" s="10" t="s">
        <v>12</v>
      </c>
      <c r="I138" s="11" t="s">
        <v>12</v>
      </c>
      <c r="J138" s="12"/>
    </row>
    <row r="139" spans="1:10" ht="60" customHeight="1">
      <c r="A139" s="6" t="s">
        <v>523</v>
      </c>
      <c r="B139" s="6" t="s">
        <v>11</v>
      </c>
      <c r="C139" s="6" t="s">
        <v>12</v>
      </c>
      <c r="D139" s="7" t="s">
        <v>524</v>
      </c>
      <c r="E139" s="8" t="s">
        <v>525</v>
      </c>
      <c r="F139" s="6" t="s">
        <v>526</v>
      </c>
      <c r="G139" s="9">
        <f>IF(A139=1,"_",IF(C139="_","???",C139))</f>
        <v/>
      </c>
      <c r="H139" s="10" t="s">
        <v>12</v>
      </c>
      <c r="I139" s="11" t="s">
        <v>12</v>
      </c>
      <c r="J139" s="12"/>
    </row>
    <row r="140" spans="1:10" ht="60" customHeight="1">
      <c r="A140" s="6" t="s">
        <v>527</v>
      </c>
      <c r="B140" s="6" t="s">
        <v>64</v>
      </c>
      <c r="C140" s="6" t="s">
        <v>12</v>
      </c>
      <c r="D140" s="7" t="s">
        <v>157</v>
      </c>
      <c r="E140" s="8" t="s">
        <v>528</v>
      </c>
      <c r="F140" s="6" t="s">
        <v>529</v>
      </c>
      <c r="G140" s="9">
        <f>IF(A140=1,"_",IF(C140="_","???",C140))</f>
        <v/>
      </c>
      <c r="H140" s="10" t="s">
        <v>12</v>
      </c>
      <c r="I140" s="11" t="s">
        <v>12</v>
      </c>
      <c r="J140" s="12"/>
    </row>
    <row r="141" spans="1:10" ht="60" customHeight="1">
      <c r="A141" s="6" t="s">
        <v>530</v>
      </c>
      <c r="B141" s="6" t="s">
        <v>20</v>
      </c>
      <c r="C141" s="6" t="s">
        <v>12</v>
      </c>
      <c r="D141" s="7" t="s">
        <v>531</v>
      </c>
      <c r="E141" s="8" t="s">
        <v>532</v>
      </c>
      <c r="F141" s="6" t="s">
        <v>533</v>
      </c>
      <c r="G141" s="9">
        <f>IF(A141=1,"_",IF(C141="_","???",C141))</f>
        <v/>
      </c>
      <c r="H141" s="10" t="s">
        <v>12</v>
      </c>
      <c r="I141" s="11" t="s">
        <v>12</v>
      </c>
      <c r="J141" s="12"/>
    </row>
    <row r="142" spans="1:10" ht="60" customHeight="1">
      <c r="A142" s="6" t="s">
        <v>534</v>
      </c>
      <c r="B142" s="6" t="s">
        <v>16</v>
      </c>
      <c r="C142" s="6" t="s">
        <v>12</v>
      </c>
      <c r="D142" s="7" t="s">
        <v>535</v>
      </c>
      <c r="E142" s="8" t="s">
        <v>536</v>
      </c>
      <c r="F142" s="6" t="s">
        <v>537</v>
      </c>
      <c r="G142" s="9">
        <f>IF(A142=1,"_",IF(C142="_","???",C142))</f>
        <v/>
      </c>
      <c r="H142" s="10" t="s">
        <v>12</v>
      </c>
      <c r="I142" s="11" t="s">
        <v>12</v>
      </c>
      <c r="J142" s="12"/>
    </row>
    <row r="143" spans="1:10" ht="60" customHeight="1">
      <c r="A143" s="6" t="s">
        <v>538</v>
      </c>
      <c r="B143" s="6" t="s">
        <v>11</v>
      </c>
      <c r="C143" s="6" t="s">
        <v>12</v>
      </c>
      <c r="D143" s="7" t="s">
        <v>70</v>
      </c>
      <c r="E143" s="8" t="s">
        <v>539</v>
      </c>
      <c r="F143" s="6" t="s">
        <v>540</v>
      </c>
      <c r="G143" s="9">
        <f>IF(A143=1,"_",IF(C143="_","???",C143))</f>
        <v/>
      </c>
      <c r="H143" s="10" t="s">
        <v>12</v>
      </c>
      <c r="I143" s="11" t="s">
        <v>12</v>
      </c>
      <c r="J143" s="12"/>
    </row>
    <row r="144" spans="1:10" ht="60" customHeight="1">
      <c r="A144" s="6" t="s">
        <v>541</v>
      </c>
      <c r="B144" s="6" t="s">
        <v>45</v>
      </c>
      <c r="C144" s="6" t="s">
        <v>12</v>
      </c>
      <c r="D144" s="7" t="s">
        <v>542</v>
      </c>
      <c r="E144" s="8" t="s">
        <v>543</v>
      </c>
      <c r="F144" s="6" t="s">
        <v>544</v>
      </c>
      <c r="G144" s="9">
        <f>IF(A144=1,"_",IF(C144="_","???",C144))</f>
        <v/>
      </c>
      <c r="H144" s="10" t="s">
        <v>12</v>
      </c>
      <c r="I144" s="11" t="s">
        <v>12</v>
      </c>
      <c r="J144" s="12"/>
    </row>
    <row r="145" spans="1:10" ht="60" customHeight="1">
      <c r="A145" s="6" t="s">
        <v>545</v>
      </c>
      <c r="B145" s="6" t="s">
        <v>16</v>
      </c>
      <c r="C145" s="6" t="s">
        <v>12</v>
      </c>
      <c r="D145" s="7" t="s">
        <v>25</v>
      </c>
      <c r="E145" s="8" t="s">
        <v>546</v>
      </c>
      <c r="F145" s="6" t="s">
        <v>547</v>
      </c>
      <c r="G145" s="9">
        <f>IF(A145=1,"_",IF(C145="_","???",C145))</f>
        <v/>
      </c>
      <c r="H145" s="10" t="s">
        <v>12</v>
      </c>
      <c r="I145" s="11" t="s">
        <v>12</v>
      </c>
      <c r="J145" s="12"/>
    </row>
    <row r="146" spans="1:10" ht="60" customHeight="1">
      <c r="A146" s="6" t="s">
        <v>548</v>
      </c>
      <c r="B146" s="6" t="s">
        <v>11</v>
      </c>
      <c r="C146" s="6" t="s">
        <v>12</v>
      </c>
      <c r="D146" s="7" t="s">
        <v>549</v>
      </c>
      <c r="E146" s="8" t="s">
        <v>550</v>
      </c>
      <c r="F146" s="6" t="s">
        <v>551</v>
      </c>
      <c r="G146" s="9">
        <f>IF(A146=1,"_",IF(C146="_","???",C146))</f>
        <v/>
      </c>
      <c r="H146" s="10" t="s">
        <v>12</v>
      </c>
      <c r="I146" s="11" t="s">
        <v>12</v>
      </c>
      <c r="J146" s="12"/>
    </row>
    <row r="147" spans="1:10" ht="60" customHeight="1">
      <c r="A147" s="6" t="s">
        <v>552</v>
      </c>
      <c r="B147" s="6" t="s">
        <v>132</v>
      </c>
      <c r="C147" s="6" t="s">
        <v>12</v>
      </c>
      <c r="D147" s="7" t="s">
        <v>553</v>
      </c>
      <c r="E147" s="8" t="s">
        <v>554</v>
      </c>
      <c r="F147" s="6" t="s">
        <v>555</v>
      </c>
      <c r="G147" s="9">
        <f>IF(A147=1,"_",IF(C147="_","???",C147))</f>
        <v/>
      </c>
      <c r="H147" s="10" t="s">
        <v>12</v>
      </c>
      <c r="I147" s="11" t="s">
        <v>12</v>
      </c>
      <c r="J147" s="12"/>
    </row>
    <row r="148" spans="1:10" ht="60" customHeight="1">
      <c r="A148" s="6" t="s">
        <v>556</v>
      </c>
      <c r="B148" s="6" t="s">
        <v>32</v>
      </c>
      <c r="C148" s="6" t="s">
        <v>12</v>
      </c>
      <c r="D148" s="7" t="s">
        <v>216</v>
      </c>
      <c r="E148" s="8" t="s">
        <v>557</v>
      </c>
      <c r="F148" s="6" t="s">
        <v>558</v>
      </c>
      <c r="G148" s="9">
        <f>IF(A148=1,"_",IF(C148="_","???",C148))</f>
        <v/>
      </c>
      <c r="H148" s="10" t="s">
        <v>12</v>
      </c>
      <c r="I148" s="11" t="s">
        <v>12</v>
      </c>
      <c r="J148" s="12"/>
    </row>
    <row r="149" spans="1:10" ht="60" customHeight="1">
      <c r="A149" s="6" t="s">
        <v>559</v>
      </c>
      <c r="B149" s="6" t="s">
        <v>28</v>
      </c>
      <c r="C149" s="6" t="s">
        <v>12</v>
      </c>
      <c r="D149" s="7" t="s">
        <v>520</v>
      </c>
      <c r="E149" s="8" t="s">
        <v>560</v>
      </c>
      <c r="F149" s="6" t="s">
        <v>561</v>
      </c>
      <c r="G149" s="9">
        <f>IF(A149=1,"_",IF(C149="_","???",C149))</f>
        <v/>
      </c>
      <c r="H149" s="10" t="s">
        <v>12</v>
      </c>
      <c r="I149" s="11" t="s">
        <v>12</v>
      </c>
      <c r="J149" s="12"/>
    </row>
    <row r="150" spans="1:10" ht="60" customHeight="1">
      <c r="A150" s="6" t="s">
        <v>562</v>
      </c>
      <c r="B150" s="6" t="s">
        <v>11</v>
      </c>
      <c r="C150" s="6" t="s">
        <v>12</v>
      </c>
      <c r="D150" s="7" t="s">
        <v>563</v>
      </c>
      <c r="E150" s="8" t="s">
        <v>564</v>
      </c>
      <c r="F150" s="6" t="s">
        <v>565</v>
      </c>
      <c r="G150" s="9">
        <f>IF(A150=1,"_",IF(C150="_","???",C150))</f>
        <v/>
      </c>
      <c r="H150" s="10" t="s">
        <v>12</v>
      </c>
      <c r="I150" s="11" t="s">
        <v>12</v>
      </c>
      <c r="J150" s="12"/>
    </row>
    <row r="151" spans="1:10" ht="60" customHeight="1">
      <c r="A151" s="6" t="s">
        <v>566</v>
      </c>
      <c r="B151" s="6" t="s">
        <v>36</v>
      </c>
      <c r="C151" s="6" t="s">
        <v>12</v>
      </c>
      <c r="D151" s="7" t="s">
        <v>567</v>
      </c>
      <c r="E151" s="8" t="s">
        <v>568</v>
      </c>
      <c r="F151" s="6" t="s">
        <v>569</v>
      </c>
      <c r="G151" s="9">
        <f>IF(A151=1,"_",IF(C151="_","???",C151))</f>
        <v/>
      </c>
      <c r="H151" s="10" t="s">
        <v>12</v>
      </c>
      <c r="I151" s="11" t="s">
        <v>12</v>
      </c>
      <c r="J151" s="12"/>
    </row>
    <row r="152" spans="1:10" ht="60" customHeight="1">
      <c r="A152" s="6" t="s">
        <v>570</v>
      </c>
      <c r="B152" s="6" t="s">
        <v>20</v>
      </c>
      <c r="C152" s="6" t="s">
        <v>12</v>
      </c>
      <c r="D152" s="7" t="s">
        <v>571</v>
      </c>
      <c r="E152" s="8" t="s">
        <v>572</v>
      </c>
      <c r="F152" s="6" t="s">
        <v>573</v>
      </c>
      <c r="G152" s="9">
        <f>IF(A152=1,"_",IF(C152="_","???",C152))</f>
        <v/>
      </c>
      <c r="H152" s="10" t="s">
        <v>12</v>
      </c>
      <c r="I152" s="11" t="s">
        <v>12</v>
      </c>
      <c r="J152" s="12"/>
    </row>
    <row r="153" spans="1:10" ht="60" customHeight="1">
      <c r="A153" s="6" t="s">
        <v>574</v>
      </c>
      <c r="B153" s="6" t="s">
        <v>16</v>
      </c>
      <c r="C153" s="6" t="s">
        <v>12</v>
      </c>
      <c r="D153" s="7" t="s">
        <v>575</v>
      </c>
      <c r="E153" s="8" t="s">
        <v>576</v>
      </c>
      <c r="F153" s="6" t="s">
        <v>577</v>
      </c>
      <c r="G153" s="9">
        <f>IF(A153=1,"_",IF(C153="_","???",C153))</f>
        <v/>
      </c>
      <c r="H153" s="10" t="s">
        <v>12</v>
      </c>
      <c r="I153" s="11" t="s">
        <v>12</v>
      </c>
      <c r="J153" s="12"/>
    </row>
    <row r="154" spans="1:10" ht="60" customHeight="1">
      <c r="A154" s="6" t="s">
        <v>578</v>
      </c>
      <c r="B154" s="6" t="s">
        <v>11</v>
      </c>
      <c r="C154" s="6" t="s">
        <v>12</v>
      </c>
      <c r="D154" s="7" t="s">
        <v>216</v>
      </c>
      <c r="E154" s="8" t="s">
        <v>579</v>
      </c>
      <c r="F154" s="6" t="s">
        <v>580</v>
      </c>
      <c r="G154" s="9">
        <f>IF(A154=1,"_",IF(C154="_","???",C154))</f>
        <v/>
      </c>
      <c r="H154" s="10" t="s">
        <v>12</v>
      </c>
      <c r="I154" s="11" t="s">
        <v>12</v>
      </c>
      <c r="J154" s="12"/>
    </row>
    <row r="155" spans="1:10" ht="60" customHeight="1">
      <c r="A155" s="6" t="s">
        <v>581</v>
      </c>
      <c r="B155" s="6" t="s">
        <v>11</v>
      </c>
      <c r="C155" s="6" t="s">
        <v>12</v>
      </c>
      <c r="D155" s="7" t="s">
        <v>582</v>
      </c>
      <c r="E155" s="8" t="s">
        <v>583</v>
      </c>
      <c r="F155" s="6" t="s">
        <v>584</v>
      </c>
      <c r="G155" s="9">
        <f>IF(A155=1,"_",IF(C155="_","???",C155))</f>
        <v/>
      </c>
      <c r="H155" s="10" t="s">
        <v>12</v>
      </c>
      <c r="I155" s="11" t="s">
        <v>12</v>
      </c>
      <c r="J155" s="12"/>
    </row>
    <row r="156" spans="1:10" ht="60" customHeight="1">
      <c r="A156" s="6" t="s">
        <v>585</v>
      </c>
      <c r="B156" s="6" t="s">
        <v>11</v>
      </c>
      <c r="C156" s="6" t="s">
        <v>12</v>
      </c>
      <c r="D156" s="7" t="s">
        <v>586</v>
      </c>
      <c r="E156" s="8" t="s">
        <v>587</v>
      </c>
      <c r="F156" s="6" t="s">
        <v>588</v>
      </c>
      <c r="G156" s="9">
        <f>IF(A156=1,"_",IF(C156="_","???",C156))</f>
        <v/>
      </c>
      <c r="H156" s="10" t="s">
        <v>12</v>
      </c>
      <c r="I156" s="11" t="s">
        <v>12</v>
      </c>
      <c r="J156" s="12"/>
    </row>
    <row r="157" spans="1:10" ht="60" customHeight="1">
      <c r="A157" s="6" t="s">
        <v>589</v>
      </c>
      <c r="B157" s="6" t="s">
        <v>11</v>
      </c>
      <c r="C157" s="6" t="s">
        <v>12</v>
      </c>
      <c r="D157" s="7" t="s">
        <v>590</v>
      </c>
      <c r="E157" s="8" t="s">
        <v>591</v>
      </c>
      <c r="F157" s="6" t="s">
        <v>592</v>
      </c>
      <c r="G157" s="9">
        <f>IF(A157=1,"_",IF(C157="_","???",C157))</f>
        <v/>
      </c>
      <c r="H157" s="10" t="s">
        <v>12</v>
      </c>
      <c r="I157" s="11" t="s">
        <v>12</v>
      </c>
      <c r="J157" s="12"/>
    </row>
    <row r="158" spans="1:10" ht="60" customHeight="1">
      <c r="A158" s="6" t="s">
        <v>593</v>
      </c>
      <c r="B158" s="6" t="s">
        <v>49</v>
      </c>
      <c r="C158" s="6" t="s">
        <v>12</v>
      </c>
      <c r="D158" s="7" t="s">
        <v>594</v>
      </c>
      <c r="E158" s="8" t="s">
        <v>595</v>
      </c>
      <c r="F158" s="6" t="s">
        <v>596</v>
      </c>
      <c r="G158" s="9">
        <f>IF(A158=1,"_",IF(C158="_","???",C158))</f>
        <v/>
      </c>
      <c r="H158" s="10" t="s">
        <v>12</v>
      </c>
      <c r="I158" s="11" t="s">
        <v>12</v>
      </c>
      <c r="J158" s="12"/>
    </row>
    <row r="159" spans="1:10" ht="60" customHeight="1">
      <c r="A159" s="6" t="s">
        <v>597</v>
      </c>
      <c r="B159" s="6" t="s">
        <v>11</v>
      </c>
      <c r="C159" s="6" t="s">
        <v>12</v>
      </c>
      <c r="D159" s="7" t="s">
        <v>598</v>
      </c>
      <c r="E159" s="8" t="s">
        <v>599</v>
      </c>
      <c r="F159" s="6" t="s">
        <v>600</v>
      </c>
      <c r="G159" s="9">
        <f>IF(A159=1,"_",IF(C159="_","???",C159))</f>
        <v/>
      </c>
      <c r="H159" s="10" t="s">
        <v>12</v>
      </c>
      <c r="I159" s="11" t="s">
        <v>12</v>
      </c>
      <c r="J159" s="12"/>
    </row>
    <row r="160" spans="1:10" ht="60" customHeight="1">
      <c r="A160" s="6" t="s">
        <v>601</v>
      </c>
      <c r="B160" s="6" t="s">
        <v>45</v>
      </c>
      <c r="C160" s="6" t="s">
        <v>12</v>
      </c>
      <c r="D160" s="7" t="s">
        <v>248</v>
      </c>
      <c r="E160" s="8" t="s">
        <v>602</v>
      </c>
      <c r="F160" s="6" t="s">
        <v>603</v>
      </c>
      <c r="G160" s="9">
        <f>IF(A160=1,"_",IF(C160="_","???",C160))</f>
        <v/>
      </c>
      <c r="H160" s="10" t="s">
        <v>12</v>
      </c>
      <c r="I160" s="11" t="s">
        <v>12</v>
      </c>
      <c r="J160" s="12"/>
    </row>
    <row r="161" spans="1:10" ht="60" customHeight="1">
      <c r="A161" s="6" t="s">
        <v>604</v>
      </c>
      <c r="B161" s="6" t="s">
        <v>10</v>
      </c>
      <c r="C161" s="6" t="s">
        <v>12</v>
      </c>
      <c r="D161" s="7" t="s">
        <v>605</v>
      </c>
      <c r="E161" s="8" t="s">
        <v>606</v>
      </c>
      <c r="F161" s="6" t="s">
        <v>607</v>
      </c>
      <c r="G161" s="9">
        <f>IF(A161=1,"_",IF(C161="_","???",C161))</f>
        <v/>
      </c>
      <c r="H161" s="10" t="s">
        <v>12</v>
      </c>
      <c r="I161" s="11" t="s">
        <v>12</v>
      </c>
      <c r="J161" s="12"/>
    </row>
    <row r="162" spans="1:10" ht="60" customHeight="1">
      <c r="A162" s="6" t="s">
        <v>608</v>
      </c>
      <c r="B162" s="6" t="s">
        <v>10</v>
      </c>
      <c r="C162" s="6" t="s">
        <v>12</v>
      </c>
      <c r="D162" s="7" t="s">
        <v>609</v>
      </c>
      <c r="E162" s="8" t="s">
        <v>610</v>
      </c>
      <c r="F162" s="6" t="s">
        <v>611</v>
      </c>
      <c r="G162" s="9">
        <f>IF(A162=1,"_",IF(C162="_","???",C162))</f>
        <v/>
      </c>
      <c r="H162" s="10" t="s">
        <v>12</v>
      </c>
      <c r="I162" s="11" t="s">
        <v>12</v>
      </c>
      <c r="J162" s="12"/>
    </row>
    <row r="163" spans="1:10" ht="60" customHeight="1">
      <c r="A163" s="6" t="s">
        <v>612</v>
      </c>
      <c r="B163" s="6" t="s">
        <v>16</v>
      </c>
      <c r="C163" s="6" t="s">
        <v>12</v>
      </c>
      <c r="D163" s="7" t="s">
        <v>613</v>
      </c>
      <c r="E163" s="8" t="s">
        <v>614</v>
      </c>
      <c r="F163" s="6" t="s">
        <v>615</v>
      </c>
      <c r="G163" s="9">
        <f>IF(A163=1,"_",IF(C163="_","???",C163))</f>
        <v/>
      </c>
      <c r="H163" s="10" t="s">
        <v>12</v>
      </c>
      <c r="I163" s="11" t="s">
        <v>12</v>
      </c>
      <c r="J163" s="12"/>
    </row>
    <row r="164" spans="1:10" ht="60" customHeight="1">
      <c r="A164" s="6" t="s">
        <v>616</v>
      </c>
      <c r="B164" s="6" t="s">
        <v>20</v>
      </c>
      <c r="C164" s="6" t="s">
        <v>12</v>
      </c>
      <c r="D164" s="7" t="s">
        <v>223</v>
      </c>
      <c r="E164" s="8" t="s">
        <v>617</v>
      </c>
      <c r="F164" s="6" t="s">
        <v>618</v>
      </c>
      <c r="G164" s="9">
        <f>IF(A164=1,"_",IF(C164="_","???",C164))</f>
        <v/>
      </c>
      <c r="H164" s="10" t="s">
        <v>12</v>
      </c>
      <c r="I164" s="11" t="s">
        <v>12</v>
      </c>
      <c r="J164" s="12"/>
    </row>
    <row r="165" spans="1:10" ht="60" customHeight="1">
      <c r="A165" s="6" t="s">
        <v>619</v>
      </c>
      <c r="B165" s="6" t="s">
        <v>11</v>
      </c>
      <c r="C165" s="6" t="s">
        <v>12</v>
      </c>
      <c r="D165" s="7" t="s">
        <v>13</v>
      </c>
      <c r="E165" s="8" t="s">
        <v>620</v>
      </c>
      <c r="F165" s="6" t="s">
        <v>621</v>
      </c>
      <c r="G165" s="9">
        <f>IF(A165=1,"_",IF(C165="_","???",C165))</f>
        <v/>
      </c>
      <c r="H165" s="10" t="s">
        <v>12</v>
      </c>
      <c r="I165" s="11" t="s">
        <v>12</v>
      </c>
      <c r="J165" s="12"/>
    </row>
    <row r="166" spans="1:10" ht="60" customHeight="1">
      <c r="A166" s="6" t="s">
        <v>622</v>
      </c>
      <c r="B166" s="6" t="s">
        <v>11</v>
      </c>
      <c r="C166" s="6" t="s">
        <v>12</v>
      </c>
      <c r="D166" s="7" t="s">
        <v>21</v>
      </c>
      <c r="E166" s="8" t="s">
        <v>623</v>
      </c>
      <c r="F166" s="6" t="s">
        <v>624</v>
      </c>
      <c r="G166" s="9">
        <f>IF(A166=1,"_",IF(C166="_","???",C166))</f>
        <v/>
      </c>
      <c r="H166" s="10" t="s">
        <v>12</v>
      </c>
      <c r="I166" s="11" t="s">
        <v>12</v>
      </c>
      <c r="J166" s="12"/>
    </row>
    <row r="167" spans="1:10" ht="60" customHeight="1">
      <c r="A167" s="6" t="s">
        <v>625</v>
      </c>
      <c r="B167" s="6" t="s">
        <v>28</v>
      </c>
      <c r="C167" s="6" t="s">
        <v>12</v>
      </c>
      <c r="D167" s="7" t="s">
        <v>626</v>
      </c>
      <c r="E167" s="8" t="s">
        <v>627</v>
      </c>
      <c r="F167" s="6" t="s">
        <v>628</v>
      </c>
      <c r="G167" s="9">
        <f>IF(A167=1,"_",IF(C167="_","???",C167))</f>
        <v/>
      </c>
      <c r="H167" s="10" t="s">
        <v>12</v>
      </c>
      <c r="I167" s="11" t="s">
        <v>12</v>
      </c>
      <c r="J167" s="12"/>
    </row>
    <row r="168" spans="1:10" ht="60" customHeight="1">
      <c r="A168" s="6" t="s">
        <v>629</v>
      </c>
      <c r="B168" s="6" t="s">
        <v>42</v>
      </c>
      <c r="C168" s="6" t="s">
        <v>12</v>
      </c>
      <c r="D168" s="7" t="s">
        <v>630</v>
      </c>
      <c r="E168" s="8" t="s">
        <v>631</v>
      </c>
      <c r="F168" s="6" t="s">
        <v>632</v>
      </c>
      <c r="G168" s="9">
        <f>IF(A168=1,"_",IF(C168="_","???",C168))</f>
        <v/>
      </c>
      <c r="H168" s="10" t="s">
        <v>12</v>
      </c>
      <c r="I168" s="11" t="s">
        <v>12</v>
      </c>
      <c r="J168" s="12"/>
    </row>
    <row r="169" spans="1:10" ht="60" customHeight="1">
      <c r="A169" s="6" t="s">
        <v>633</v>
      </c>
      <c r="B169" s="6" t="s">
        <v>90</v>
      </c>
      <c r="C169" s="6" t="s">
        <v>12</v>
      </c>
      <c r="D169" s="7" t="s">
        <v>634</v>
      </c>
      <c r="E169" s="8" t="s">
        <v>635</v>
      </c>
      <c r="F169" s="6" t="s">
        <v>636</v>
      </c>
      <c r="G169" s="9">
        <f>IF(A169=1,"_",IF(C169="_","???",C169))</f>
        <v/>
      </c>
      <c r="H169" s="10" t="s">
        <v>12</v>
      </c>
      <c r="I169" s="11" t="s">
        <v>12</v>
      </c>
      <c r="J169" s="12"/>
    </row>
    <row r="170" spans="1:10" ht="60" customHeight="1">
      <c r="A170" s="6" t="s">
        <v>637</v>
      </c>
      <c r="B170" s="6" t="s">
        <v>24</v>
      </c>
      <c r="C170" s="6" t="s">
        <v>12</v>
      </c>
      <c r="D170" s="7" t="s">
        <v>121</v>
      </c>
      <c r="E170" s="8" t="s">
        <v>638</v>
      </c>
      <c r="F170" s="6" t="s">
        <v>639</v>
      </c>
      <c r="G170" s="9">
        <f>IF(A170=1,"_",IF(C170="_","???",C170))</f>
        <v/>
      </c>
      <c r="H170" s="10" t="s">
        <v>12</v>
      </c>
      <c r="I170" s="11" t="s">
        <v>12</v>
      </c>
      <c r="J170" s="12"/>
    </row>
    <row r="171" spans="1:10" ht="60" customHeight="1">
      <c r="A171" s="6" t="s">
        <v>640</v>
      </c>
      <c r="B171" s="6" t="s">
        <v>11</v>
      </c>
      <c r="C171" s="6" t="s">
        <v>12</v>
      </c>
      <c r="D171" s="7" t="s">
        <v>21</v>
      </c>
      <c r="E171" s="8" t="s">
        <v>641</v>
      </c>
      <c r="F171" s="6" t="s">
        <v>642</v>
      </c>
      <c r="G171" s="9">
        <f>IF(A171=1,"_",IF(C171="_","???",C171))</f>
        <v/>
      </c>
      <c r="H171" s="10" t="s">
        <v>12</v>
      </c>
      <c r="I171" s="11" t="s">
        <v>12</v>
      </c>
      <c r="J171" s="12"/>
    </row>
    <row r="172" spans="1:10" ht="60" customHeight="1">
      <c r="A172" s="6" t="s">
        <v>643</v>
      </c>
      <c r="B172" s="6" t="s">
        <v>11</v>
      </c>
      <c r="C172" s="6" t="s">
        <v>12</v>
      </c>
      <c r="D172" s="7" t="s">
        <v>46</v>
      </c>
      <c r="E172" s="8" t="s">
        <v>644</v>
      </c>
      <c r="F172" s="6" t="s">
        <v>645</v>
      </c>
      <c r="G172" s="9">
        <f>IF(A172=1,"_",IF(C172="_","???",C172))</f>
        <v/>
      </c>
      <c r="H172" s="10" t="s">
        <v>12</v>
      </c>
      <c r="I172" s="11" t="s">
        <v>12</v>
      </c>
      <c r="J172" s="12"/>
    </row>
    <row r="173" spans="1:10" ht="60" customHeight="1">
      <c r="A173" s="6" t="s">
        <v>646</v>
      </c>
      <c r="B173" s="6" t="s">
        <v>16</v>
      </c>
      <c r="C173" s="6" t="s">
        <v>12</v>
      </c>
      <c r="D173" s="7" t="s">
        <v>647</v>
      </c>
      <c r="E173" s="8" t="s">
        <v>648</v>
      </c>
      <c r="F173" s="6" t="s">
        <v>649</v>
      </c>
      <c r="G173" s="9">
        <f>IF(A173=1,"_",IF(C173="_","???",C173))</f>
        <v/>
      </c>
      <c r="H173" s="10" t="s">
        <v>12</v>
      </c>
      <c r="I173" s="11" t="s">
        <v>12</v>
      </c>
      <c r="J173" s="12"/>
    </row>
    <row r="174" spans="1:10" ht="60" customHeight="1">
      <c r="A174" s="6" t="s">
        <v>650</v>
      </c>
      <c r="B174" s="6" t="s">
        <v>36</v>
      </c>
      <c r="C174" s="6" t="s">
        <v>12</v>
      </c>
      <c r="D174" s="7" t="s">
        <v>651</v>
      </c>
      <c r="E174" s="8" t="s">
        <v>652</v>
      </c>
      <c r="F174" s="6" t="s">
        <v>653</v>
      </c>
      <c r="G174" s="9">
        <f>IF(A174=1,"_",IF(C174="_","???",C174))</f>
        <v/>
      </c>
      <c r="H174" s="10" t="s">
        <v>12</v>
      </c>
      <c r="I174" s="11" t="s">
        <v>12</v>
      </c>
      <c r="J174" s="12"/>
    </row>
    <row r="175" spans="1:10" ht="60" customHeight="1">
      <c r="A175" s="6" t="s">
        <v>654</v>
      </c>
      <c r="B175" s="6" t="s">
        <v>16</v>
      </c>
      <c r="C175" s="6" t="s">
        <v>12</v>
      </c>
      <c r="D175" s="7" t="s">
        <v>655</v>
      </c>
      <c r="E175" s="8" t="s">
        <v>656</v>
      </c>
      <c r="F175" s="6" t="s">
        <v>657</v>
      </c>
      <c r="G175" s="9">
        <f>IF(A175=1,"_",IF(C175="_","???",C175))</f>
        <v/>
      </c>
      <c r="H175" s="10" t="s">
        <v>12</v>
      </c>
      <c r="I175" s="11" t="s">
        <v>12</v>
      </c>
      <c r="J175" s="12"/>
    </row>
    <row r="176" spans="1:10" ht="60" customHeight="1">
      <c r="A176" s="6" t="s">
        <v>658</v>
      </c>
      <c r="B176" s="6" t="s">
        <v>24</v>
      </c>
      <c r="C176" s="6" t="s">
        <v>12</v>
      </c>
      <c r="D176" s="7" t="s">
        <v>274</v>
      </c>
      <c r="E176" s="8" t="s">
        <v>659</v>
      </c>
      <c r="F176" s="6" t="s">
        <v>660</v>
      </c>
      <c r="G176" s="9">
        <f>IF(A176=1,"_",IF(C176="_","???",C176))</f>
        <v/>
      </c>
      <c r="H176" s="10" t="s">
        <v>12</v>
      </c>
      <c r="I176" s="11" t="s">
        <v>12</v>
      </c>
      <c r="J176" s="12"/>
    </row>
    <row r="177" spans="1:10" ht="60" customHeight="1">
      <c r="A177" s="6" t="s">
        <v>661</v>
      </c>
      <c r="B177" s="6" t="s">
        <v>20</v>
      </c>
      <c r="C177" s="6" t="s">
        <v>12</v>
      </c>
      <c r="D177" s="7" t="s">
        <v>662</v>
      </c>
      <c r="E177" s="8" t="s">
        <v>663</v>
      </c>
      <c r="F177" s="6" t="s">
        <v>664</v>
      </c>
      <c r="G177" s="9">
        <f>IF(A177=1,"_",IF(C177="_","???",C177))</f>
        <v/>
      </c>
      <c r="H177" s="10" t="s">
        <v>12</v>
      </c>
      <c r="I177" s="11" t="s">
        <v>12</v>
      </c>
      <c r="J177" s="12"/>
    </row>
    <row r="178" spans="1:10" ht="60" customHeight="1">
      <c r="A178" s="6" t="s">
        <v>665</v>
      </c>
      <c r="B178" s="6" t="s">
        <v>36</v>
      </c>
      <c r="C178" s="6" t="s">
        <v>12</v>
      </c>
      <c r="D178" s="7" t="s">
        <v>666</v>
      </c>
      <c r="E178" s="8" t="s">
        <v>667</v>
      </c>
      <c r="F178" s="6" t="s">
        <v>668</v>
      </c>
      <c r="G178" s="9">
        <f>IF(A178=1,"_",IF(C178="_","???",C178))</f>
        <v/>
      </c>
      <c r="H178" s="10" t="s">
        <v>12</v>
      </c>
      <c r="I178" s="11" t="s">
        <v>12</v>
      </c>
      <c r="J178" s="12"/>
    </row>
    <row r="179" spans="1:10" ht="60" customHeight="1">
      <c r="A179" s="6" t="s">
        <v>669</v>
      </c>
      <c r="B179" s="6" t="s">
        <v>11</v>
      </c>
      <c r="C179" s="6" t="s">
        <v>12</v>
      </c>
      <c r="D179" s="7" t="s">
        <v>70</v>
      </c>
      <c r="E179" s="8" t="s">
        <v>670</v>
      </c>
      <c r="F179" s="6" t="s">
        <v>671</v>
      </c>
      <c r="G179" s="9">
        <f>IF(A179=1,"_",IF(C179="_","???",C179))</f>
        <v/>
      </c>
      <c r="H179" s="10" t="s">
        <v>12</v>
      </c>
      <c r="I179" s="11" t="s">
        <v>12</v>
      </c>
      <c r="J179" s="12"/>
    </row>
    <row r="180" spans="1:10" ht="60" customHeight="1">
      <c r="A180" s="6" t="s">
        <v>672</v>
      </c>
      <c r="B180" s="6" t="s">
        <v>36</v>
      </c>
      <c r="C180" s="6" t="s">
        <v>12</v>
      </c>
      <c r="D180" s="7" t="s">
        <v>157</v>
      </c>
      <c r="E180" s="8" t="s">
        <v>673</v>
      </c>
      <c r="F180" s="6" t="s">
        <v>674</v>
      </c>
      <c r="G180" s="9">
        <f>IF(A180=1,"_",IF(C180="_","???",C180))</f>
        <v/>
      </c>
      <c r="H180" s="10" t="s">
        <v>12</v>
      </c>
      <c r="I180" s="11" t="s">
        <v>12</v>
      </c>
      <c r="J180" s="12"/>
    </row>
    <row r="181" spans="1:10" ht="60" customHeight="1">
      <c r="A181" s="6" t="s">
        <v>675</v>
      </c>
      <c r="B181" s="6" t="s">
        <v>11</v>
      </c>
      <c r="C181" s="6" t="s">
        <v>177</v>
      </c>
      <c r="D181" s="7" t="s">
        <v>223</v>
      </c>
      <c r="E181" s="8" t="s">
        <v>676</v>
      </c>
      <c r="F181" s="6" t="s">
        <v>677</v>
      </c>
      <c r="G181" s="9">
        <f>IF(A181=1,"_",IF(C181="_","???",C181))</f>
        <v/>
      </c>
      <c r="H181" s="10" t="s">
        <v>12</v>
      </c>
      <c r="I181" s="11" t="s">
        <v>12</v>
      </c>
      <c r="J181" s="12"/>
    </row>
    <row r="182" spans="1:10" ht="60" customHeight="1">
      <c r="A182" s="6" t="s">
        <v>678</v>
      </c>
      <c r="B182" s="6" t="s">
        <v>11</v>
      </c>
      <c r="C182" s="6" t="s">
        <v>12</v>
      </c>
      <c r="D182" s="7" t="s">
        <v>70</v>
      </c>
      <c r="E182" s="8" t="s">
        <v>679</v>
      </c>
      <c r="F182" s="6" t="s">
        <v>680</v>
      </c>
      <c r="G182" s="9">
        <f>IF(A182=1,"_",IF(C182="_","???",C182))</f>
        <v/>
      </c>
      <c r="H182" s="10" t="s">
        <v>12</v>
      </c>
      <c r="I182" s="11" t="s">
        <v>12</v>
      </c>
      <c r="J182" s="12"/>
    </row>
    <row r="183" spans="1:10" ht="60" customHeight="1">
      <c r="A183" s="6" t="s">
        <v>681</v>
      </c>
      <c r="B183" s="6" t="s">
        <v>11</v>
      </c>
      <c r="C183" s="6" t="s">
        <v>12</v>
      </c>
      <c r="D183" s="7" t="s">
        <v>682</v>
      </c>
      <c r="E183" s="8" t="s">
        <v>683</v>
      </c>
      <c r="F183" s="6" t="s">
        <v>684</v>
      </c>
      <c r="G183" s="9">
        <f>IF(A183=1,"_",IF(C183="_","???",C183))</f>
        <v/>
      </c>
      <c r="H183" s="10" t="s">
        <v>12</v>
      </c>
      <c r="I183" s="11" t="s">
        <v>12</v>
      </c>
      <c r="J183" s="12"/>
    </row>
    <row r="184" spans="1:10" ht="60" customHeight="1">
      <c r="A184" s="6" t="s">
        <v>685</v>
      </c>
      <c r="B184" s="6" t="s">
        <v>24</v>
      </c>
      <c r="C184" s="6" t="s">
        <v>12</v>
      </c>
      <c r="D184" s="7" t="s">
        <v>686</v>
      </c>
      <c r="E184" s="8" t="s">
        <v>687</v>
      </c>
      <c r="F184" s="6" t="s">
        <v>688</v>
      </c>
      <c r="G184" s="9">
        <f>IF(A184=1,"_",IF(C184="_","???",C184))</f>
        <v/>
      </c>
      <c r="H184" s="10" t="s">
        <v>12</v>
      </c>
      <c r="I184" s="11" t="s">
        <v>12</v>
      </c>
      <c r="J184" s="12"/>
    </row>
    <row r="185" spans="1:10" ht="60" customHeight="1">
      <c r="A185" s="6" t="s">
        <v>689</v>
      </c>
      <c r="B185" s="6" t="s">
        <v>77</v>
      </c>
      <c r="C185" s="6" t="s">
        <v>12</v>
      </c>
      <c r="D185" s="7" t="s">
        <v>690</v>
      </c>
      <c r="E185" s="8" t="s">
        <v>691</v>
      </c>
      <c r="F185" s="6" t="s">
        <v>692</v>
      </c>
      <c r="G185" s="9">
        <f>IF(A185=1,"_",IF(C185="_","???",C185))</f>
        <v/>
      </c>
      <c r="H185" s="10" t="s">
        <v>12</v>
      </c>
      <c r="I185" s="11" t="s">
        <v>12</v>
      </c>
      <c r="J185" s="12"/>
    </row>
    <row r="186" spans="1:10" ht="60" customHeight="1">
      <c r="A186" s="6" t="s">
        <v>693</v>
      </c>
      <c r="B186" s="6" t="s">
        <v>20</v>
      </c>
      <c r="C186" s="6" t="s">
        <v>12</v>
      </c>
      <c r="D186" s="7" t="s">
        <v>694</v>
      </c>
      <c r="E186" s="8" t="s">
        <v>695</v>
      </c>
      <c r="F186" s="6" t="s">
        <v>696</v>
      </c>
      <c r="G186" s="9">
        <f>IF(A186=1,"_",IF(C186="_","???",C186))</f>
        <v/>
      </c>
      <c r="H186" s="10" t="s">
        <v>12</v>
      </c>
      <c r="I186" s="11" t="s">
        <v>12</v>
      </c>
      <c r="J186" s="12"/>
    </row>
    <row r="187" spans="1:10" ht="60" customHeight="1">
      <c r="A187" s="6" t="s">
        <v>697</v>
      </c>
      <c r="B187" s="6" t="s">
        <v>11</v>
      </c>
      <c r="C187" s="6" t="s">
        <v>12</v>
      </c>
      <c r="D187" s="7" t="s">
        <v>157</v>
      </c>
      <c r="E187" s="8" t="s">
        <v>698</v>
      </c>
      <c r="F187" s="6" t="s">
        <v>699</v>
      </c>
      <c r="G187" s="9">
        <f>IF(A187=1,"_",IF(C187="_","???",C187))</f>
        <v/>
      </c>
      <c r="H187" s="10" t="s">
        <v>12</v>
      </c>
      <c r="I187" s="11" t="s">
        <v>12</v>
      </c>
      <c r="J187" s="12"/>
    </row>
    <row r="188" spans="1:10" ht="60" customHeight="1">
      <c r="A188" s="6" t="s">
        <v>700</v>
      </c>
      <c r="B188" s="6" t="s">
        <v>77</v>
      </c>
      <c r="C188" s="6" t="s">
        <v>12</v>
      </c>
      <c r="D188" s="7" t="s">
        <v>46</v>
      </c>
      <c r="E188" s="8" t="s">
        <v>701</v>
      </c>
      <c r="F188" s="6" t="s">
        <v>702</v>
      </c>
      <c r="G188" s="9">
        <f>IF(A188=1,"_",IF(C188="_","???",C188))</f>
        <v/>
      </c>
      <c r="H188" s="10" t="s">
        <v>12</v>
      </c>
      <c r="I188" s="11" t="s">
        <v>12</v>
      </c>
      <c r="J188" s="12"/>
    </row>
    <row r="189" spans="1:10" ht="60" customHeight="1">
      <c r="A189" s="6" t="s">
        <v>703</v>
      </c>
      <c r="B189" s="6" t="s">
        <v>28</v>
      </c>
      <c r="C189" s="6" t="s">
        <v>12</v>
      </c>
      <c r="D189" s="7" t="s">
        <v>46</v>
      </c>
      <c r="E189" s="8" t="s">
        <v>704</v>
      </c>
      <c r="F189" s="6" t="s">
        <v>705</v>
      </c>
      <c r="G189" s="9">
        <f>IF(A189=1,"_",IF(C189="_","???",C189))</f>
        <v/>
      </c>
      <c r="H189" s="10" t="s">
        <v>12</v>
      </c>
      <c r="I189" s="11" t="s">
        <v>12</v>
      </c>
      <c r="J189" s="12"/>
    </row>
    <row r="190" spans="1:10" ht="60" customHeight="1">
      <c r="A190" s="6" t="s">
        <v>706</v>
      </c>
      <c r="B190" s="6" t="s">
        <v>16</v>
      </c>
      <c r="C190" s="6" t="s">
        <v>369</v>
      </c>
      <c r="D190" s="7" t="s">
        <v>707</v>
      </c>
      <c r="E190" s="8" t="s">
        <v>708</v>
      </c>
      <c r="F190" s="6" t="s">
        <v>709</v>
      </c>
      <c r="G190" s="9">
        <f>IF(A190=1,"_",IF(C190="_","???",C190))</f>
        <v/>
      </c>
      <c r="H190" s="10" t="s">
        <v>12</v>
      </c>
      <c r="I190" s="11" t="s">
        <v>12</v>
      </c>
      <c r="J190" s="12"/>
    </row>
    <row r="191" spans="1:10" ht="60" customHeight="1">
      <c r="A191" s="6" t="s">
        <v>710</v>
      </c>
      <c r="B191" s="6" t="s">
        <v>24</v>
      </c>
      <c r="C191" s="6" t="s">
        <v>12</v>
      </c>
      <c r="D191" s="7" t="s">
        <v>711</v>
      </c>
      <c r="E191" s="8" t="s">
        <v>712</v>
      </c>
      <c r="F191" s="6" t="s">
        <v>713</v>
      </c>
      <c r="G191" s="9">
        <f>IF(A191=1,"_",IF(C191="_","???",C191))</f>
        <v/>
      </c>
      <c r="H191" s="10" t="s">
        <v>12</v>
      </c>
      <c r="I191" s="11" t="s">
        <v>12</v>
      </c>
      <c r="J191" s="12"/>
    </row>
    <row r="192" spans="1:10" ht="60" customHeight="1">
      <c r="A192" s="6" t="s">
        <v>714</v>
      </c>
      <c r="B192" s="6" t="s">
        <v>36</v>
      </c>
      <c r="C192" s="6" t="s">
        <v>12</v>
      </c>
      <c r="D192" s="7" t="s">
        <v>715</v>
      </c>
      <c r="E192" s="8" t="s">
        <v>716</v>
      </c>
      <c r="F192" s="6" t="s">
        <v>717</v>
      </c>
      <c r="G192" s="9">
        <f>IF(A192=1,"_",IF(C192="_","???",C192))</f>
        <v/>
      </c>
      <c r="H192" s="10" t="s">
        <v>12</v>
      </c>
      <c r="I192" s="11" t="s">
        <v>12</v>
      </c>
      <c r="J192" s="12"/>
    </row>
    <row r="193" spans="1:10" ht="60" customHeight="1">
      <c r="A193" s="6" t="s">
        <v>718</v>
      </c>
      <c r="B193" s="6" t="s">
        <v>68</v>
      </c>
      <c r="C193" s="6" t="s">
        <v>12</v>
      </c>
      <c r="D193" s="7" t="s">
        <v>13</v>
      </c>
      <c r="E193" s="8" t="s">
        <v>719</v>
      </c>
      <c r="F193" s="6" t="s">
        <v>720</v>
      </c>
      <c r="G193" s="9">
        <f>IF(A193=1,"_",IF(C193="_","???",C193))</f>
        <v/>
      </c>
      <c r="H193" s="10" t="s">
        <v>12</v>
      </c>
      <c r="I193" s="11" t="s">
        <v>12</v>
      </c>
      <c r="J193" s="12"/>
    </row>
    <row r="194" spans="1:10" ht="60" customHeight="1">
      <c r="A194" s="6" t="s">
        <v>721</v>
      </c>
      <c r="B194" s="6" t="s">
        <v>16</v>
      </c>
      <c r="C194" s="6" t="s">
        <v>12</v>
      </c>
      <c r="D194" s="7" t="s">
        <v>722</v>
      </c>
      <c r="E194" s="8" t="s">
        <v>723</v>
      </c>
      <c r="F194" s="6" t="s">
        <v>724</v>
      </c>
      <c r="G194" s="9">
        <f>IF(A194=1,"_",IF(C194="_","???",C194))</f>
        <v/>
      </c>
      <c r="H194" s="10" t="s">
        <v>12</v>
      </c>
      <c r="I194" s="11" t="s">
        <v>12</v>
      </c>
      <c r="J194" s="12"/>
    </row>
    <row r="195" spans="1:10" ht="60" customHeight="1">
      <c r="A195" s="6" t="s">
        <v>725</v>
      </c>
      <c r="B195" s="6" t="s">
        <v>11</v>
      </c>
      <c r="C195" s="6" t="s">
        <v>12</v>
      </c>
      <c r="D195" s="7" t="s">
        <v>282</v>
      </c>
      <c r="E195" s="8" t="s">
        <v>726</v>
      </c>
      <c r="F195" s="6" t="s">
        <v>727</v>
      </c>
      <c r="G195" s="9">
        <f>IF(A195=1,"_",IF(C195="_","???",C195))</f>
        <v/>
      </c>
      <c r="H195" s="10" t="s">
        <v>12</v>
      </c>
      <c r="I195" s="11" t="s">
        <v>12</v>
      </c>
      <c r="J195" s="12"/>
    </row>
    <row r="196" spans="1:10" ht="60" customHeight="1">
      <c r="A196" s="6" t="s">
        <v>728</v>
      </c>
      <c r="B196" s="6" t="s">
        <v>11</v>
      </c>
      <c r="C196" s="6" t="s">
        <v>12</v>
      </c>
      <c r="D196" s="7" t="s">
        <v>17</v>
      </c>
      <c r="E196" s="8" t="s">
        <v>729</v>
      </c>
      <c r="F196" s="6" t="s">
        <v>730</v>
      </c>
      <c r="G196" s="9">
        <f>IF(A196=1,"_",IF(C196="_","???",C196))</f>
        <v/>
      </c>
      <c r="H196" s="10" t="s">
        <v>12</v>
      </c>
      <c r="I196" s="11" t="s">
        <v>12</v>
      </c>
      <c r="J196" s="12"/>
    </row>
    <row r="197" spans="1:10" ht="60" customHeight="1">
      <c r="A197" s="6" t="s">
        <v>731</v>
      </c>
      <c r="B197" s="6" t="s">
        <v>16</v>
      </c>
      <c r="C197" s="6" t="s">
        <v>12</v>
      </c>
      <c r="D197" s="7" t="s">
        <v>732</v>
      </c>
      <c r="E197" s="8" t="s">
        <v>733</v>
      </c>
      <c r="F197" s="6" t="s">
        <v>734</v>
      </c>
      <c r="G197" s="9">
        <f>IF(A197=1,"_",IF(C197="_","???",C197))</f>
        <v/>
      </c>
      <c r="H197" s="10" t="s">
        <v>12</v>
      </c>
      <c r="I197" s="11" t="s">
        <v>12</v>
      </c>
      <c r="J197" s="12"/>
    </row>
    <row r="198" spans="1:10" ht="60" customHeight="1">
      <c r="A198" s="6" t="s">
        <v>735</v>
      </c>
      <c r="B198" s="6" t="s">
        <v>36</v>
      </c>
      <c r="C198" s="6" t="s">
        <v>12</v>
      </c>
      <c r="D198" s="7" t="s">
        <v>736</v>
      </c>
      <c r="E198" s="8" t="s">
        <v>737</v>
      </c>
      <c r="F198" s="6" t="s">
        <v>738</v>
      </c>
      <c r="G198" s="9">
        <f>IF(A198=1,"_",IF(C198="_","???",C198))</f>
        <v/>
      </c>
      <c r="H198" s="10" t="s">
        <v>12</v>
      </c>
      <c r="I198" s="11" t="s">
        <v>12</v>
      </c>
      <c r="J198" s="12"/>
    </row>
    <row r="199" spans="1:10" ht="60" customHeight="1">
      <c r="A199" s="6" t="s">
        <v>739</v>
      </c>
      <c r="B199" s="6" t="s">
        <v>11</v>
      </c>
      <c r="C199" s="6" t="s">
        <v>12</v>
      </c>
      <c r="D199" s="7" t="s">
        <v>682</v>
      </c>
      <c r="E199" s="8" t="s">
        <v>740</v>
      </c>
      <c r="F199" s="6" t="s">
        <v>741</v>
      </c>
      <c r="G199" s="9">
        <f>IF(A199=1,"_",IF(C199="_","???",C199))</f>
        <v/>
      </c>
      <c r="H199" s="10" t="s">
        <v>12</v>
      </c>
      <c r="I199" s="11" t="s">
        <v>12</v>
      </c>
      <c r="J199" s="12"/>
    </row>
    <row r="200" spans="1:10" ht="60" customHeight="1">
      <c r="A200" s="6" t="s">
        <v>742</v>
      </c>
      <c r="B200" s="6" t="s">
        <v>11</v>
      </c>
      <c r="C200" s="6" t="s">
        <v>12</v>
      </c>
      <c r="D200" s="7" t="s">
        <v>743</v>
      </c>
      <c r="E200" s="8" t="s">
        <v>744</v>
      </c>
      <c r="F200" s="6" t="s">
        <v>745</v>
      </c>
      <c r="G200" s="9">
        <f>IF(A200=1,"_",IF(C200="_","???",C200))</f>
        <v/>
      </c>
      <c r="H200" s="10" t="s">
        <v>12</v>
      </c>
      <c r="I200" s="11" t="s">
        <v>12</v>
      </c>
      <c r="J200" s="12"/>
    </row>
    <row r="201" spans="1:10" ht="60" customHeight="1">
      <c r="A201" s="6" t="s">
        <v>746</v>
      </c>
      <c r="B201" s="6" t="s">
        <v>36</v>
      </c>
      <c r="C201" s="6" t="s">
        <v>12</v>
      </c>
      <c r="D201" s="7" t="s">
        <v>747</v>
      </c>
      <c r="E201" s="8" t="s">
        <v>748</v>
      </c>
      <c r="F201" s="6" t="s">
        <v>749</v>
      </c>
      <c r="G201" s="9">
        <f>IF(A201=1,"_",IF(C201="_","???",C201))</f>
        <v/>
      </c>
      <c r="H201" s="10" t="s">
        <v>12</v>
      </c>
      <c r="I201" s="11" t="s">
        <v>12</v>
      </c>
      <c r="J201" s="12"/>
    </row>
    <row r="202" spans="1:10" ht="60" customHeight="1">
      <c r="A202" s="6" t="s">
        <v>750</v>
      </c>
      <c r="B202" s="6" t="s">
        <v>10</v>
      </c>
      <c r="C202" s="6" t="s">
        <v>12</v>
      </c>
      <c r="D202" s="7" t="s">
        <v>743</v>
      </c>
      <c r="E202" s="8" t="s">
        <v>751</v>
      </c>
      <c r="F202" s="6" t="s">
        <v>752</v>
      </c>
      <c r="G202" s="9">
        <f>IF(A202=1,"_",IF(C202="_","???",C202))</f>
        <v/>
      </c>
      <c r="H202" s="10" t="s">
        <v>12</v>
      </c>
      <c r="I202" s="11" t="s">
        <v>12</v>
      </c>
      <c r="J202" s="12"/>
    </row>
    <row r="203" spans="1:10" ht="60" customHeight="1">
      <c r="A203" s="6" t="s">
        <v>753</v>
      </c>
      <c r="B203" s="6" t="s">
        <v>11</v>
      </c>
      <c r="C203" s="6" t="s">
        <v>12</v>
      </c>
      <c r="D203" s="7" t="s">
        <v>743</v>
      </c>
      <c r="E203" s="8" t="s">
        <v>744</v>
      </c>
      <c r="F203" s="6" t="s">
        <v>754</v>
      </c>
      <c r="G203" s="9">
        <f>IF(A203=1,"_",IF(C203="_","???",C203))</f>
        <v/>
      </c>
      <c r="H203" s="10" t="s">
        <v>12</v>
      </c>
      <c r="I203" s="11" t="s">
        <v>12</v>
      </c>
      <c r="J203" s="12"/>
    </row>
    <row r="204" spans="1:10" ht="60" customHeight="1">
      <c r="A204" s="6" t="s">
        <v>755</v>
      </c>
      <c r="B204" s="6" t="s">
        <v>36</v>
      </c>
      <c r="C204" s="6" t="s">
        <v>12</v>
      </c>
      <c r="D204" s="7" t="s">
        <v>756</v>
      </c>
      <c r="E204" s="8" t="s">
        <v>757</v>
      </c>
      <c r="F204" s="6" t="s">
        <v>758</v>
      </c>
      <c r="G204" s="9">
        <f>IF(A204=1,"_",IF(C204="_","???",C204))</f>
        <v/>
      </c>
      <c r="H204" s="10" t="s">
        <v>12</v>
      </c>
      <c r="I204" s="11" t="s">
        <v>12</v>
      </c>
      <c r="J204" s="12"/>
    </row>
    <row r="205" spans="1:10" ht="60" customHeight="1">
      <c r="A205" s="6" t="s">
        <v>759</v>
      </c>
      <c r="B205" s="6" t="s">
        <v>10</v>
      </c>
      <c r="C205" s="6" t="s">
        <v>12</v>
      </c>
      <c r="D205" s="7" t="s">
        <v>760</v>
      </c>
      <c r="E205" s="8" t="s">
        <v>761</v>
      </c>
      <c r="F205" s="6" t="s">
        <v>762</v>
      </c>
      <c r="G205" s="9">
        <f>IF(A205=1,"_",IF(C205="_","???",C205))</f>
        <v/>
      </c>
      <c r="H205" s="10" t="s">
        <v>12</v>
      </c>
      <c r="I205" s="11" t="s">
        <v>12</v>
      </c>
      <c r="J205" s="12"/>
    </row>
    <row r="206" spans="1:10" ht="60" customHeight="1">
      <c r="A206" s="6" t="s">
        <v>763</v>
      </c>
      <c r="B206" s="6" t="s">
        <v>86</v>
      </c>
      <c r="C206" s="6" t="s">
        <v>12</v>
      </c>
      <c r="D206" s="7" t="s">
        <v>282</v>
      </c>
      <c r="E206" s="8" t="s">
        <v>764</v>
      </c>
      <c r="F206" s="6" t="s">
        <v>765</v>
      </c>
      <c r="G206" s="9">
        <f>IF(A206=1,"_",IF(C206="_","???",C206))</f>
        <v/>
      </c>
      <c r="H206" s="10" t="s">
        <v>12</v>
      </c>
      <c r="I206" s="11" t="s">
        <v>12</v>
      </c>
      <c r="J206" s="12"/>
    </row>
    <row r="207" spans="1:10" ht="60" customHeight="1">
      <c r="A207" s="6" t="s">
        <v>766</v>
      </c>
      <c r="B207" s="6" t="s">
        <v>49</v>
      </c>
      <c r="C207" s="6" t="s">
        <v>12</v>
      </c>
      <c r="D207" s="7" t="s">
        <v>767</v>
      </c>
      <c r="E207" s="8" t="s">
        <v>768</v>
      </c>
      <c r="F207" s="6" t="s">
        <v>769</v>
      </c>
      <c r="G207" s="9">
        <f>IF(A207=1,"_",IF(C207="_","???",C207))</f>
        <v/>
      </c>
      <c r="H207" s="10" t="s">
        <v>12</v>
      </c>
      <c r="I207" s="11" t="s">
        <v>12</v>
      </c>
      <c r="J207" s="12"/>
    </row>
    <row r="208" spans="1:10" ht="60" customHeight="1">
      <c r="A208" s="6" t="s">
        <v>770</v>
      </c>
      <c r="B208" s="6" t="s">
        <v>24</v>
      </c>
      <c r="C208" s="6" t="s">
        <v>12</v>
      </c>
      <c r="D208" s="7" t="s">
        <v>771</v>
      </c>
      <c r="E208" s="8" t="s">
        <v>772</v>
      </c>
      <c r="F208" s="6" t="s">
        <v>773</v>
      </c>
      <c r="G208" s="9">
        <f>IF(A208=1,"_",IF(C208="_","???",C208))</f>
        <v/>
      </c>
      <c r="H208" s="10" t="s">
        <v>12</v>
      </c>
      <c r="I208" s="11" t="s">
        <v>12</v>
      </c>
      <c r="J208" s="12"/>
    </row>
    <row r="209" spans="1:10" ht="60" customHeight="1">
      <c r="A209" s="6" t="s">
        <v>774</v>
      </c>
      <c r="B209" s="6" t="s">
        <v>64</v>
      </c>
      <c r="C209" s="6" t="s">
        <v>12</v>
      </c>
      <c r="D209" s="7" t="s">
        <v>775</v>
      </c>
      <c r="E209" s="8" t="s">
        <v>776</v>
      </c>
      <c r="F209" s="6" t="s">
        <v>777</v>
      </c>
      <c r="G209" s="9">
        <f>IF(A209=1,"_",IF(C209="_","???",C209))</f>
        <v/>
      </c>
      <c r="H209" s="10" t="s">
        <v>12</v>
      </c>
      <c r="I209" s="11" t="s">
        <v>12</v>
      </c>
      <c r="J209" s="12"/>
    </row>
    <row r="210" spans="1:10" ht="60" customHeight="1">
      <c r="A210" s="6" t="s">
        <v>778</v>
      </c>
      <c r="B210" s="6" t="s">
        <v>36</v>
      </c>
      <c r="C210" s="6" t="s">
        <v>12</v>
      </c>
      <c r="D210" s="7" t="s">
        <v>756</v>
      </c>
      <c r="E210" s="8" t="s">
        <v>779</v>
      </c>
      <c r="F210" s="6" t="s">
        <v>780</v>
      </c>
      <c r="G210" s="9">
        <f>IF(A210=1,"_",IF(C210="_","???",C210))</f>
        <v/>
      </c>
      <c r="H210" s="10" t="s">
        <v>12</v>
      </c>
      <c r="I210" s="11" t="s">
        <v>12</v>
      </c>
      <c r="J210" s="12"/>
    </row>
    <row r="211" spans="1:10" ht="60" customHeight="1">
      <c r="A211" s="6" t="s">
        <v>781</v>
      </c>
      <c r="B211" s="6" t="s">
        <v>11</v>
      </c>
      <c r="C211" s="6" t="s">
        <v>12</v>
      </c>
      <c r="D211" s="7" t="s">
        <v>25</v>
      </c>
      <c r="E211" s="8" t="s">
        <v>782</v>
      </c>
      <c r="F211" s="6" t="s">
        <v>783</v>
      </c>
      <c r="G211" s="9">
        <f>IF(A211=1,"_",IF(C211="_","???",C211))</f>
        <v/>
      </c>
      <c r="H211" s="10" t="s">
        <v>12</v>
      </c>
      <c r="I211" s="11" t="s">
        <v>12</v>
      </c>
      <c r="J211" s="12"/>
    </row>
    <row r="212" spans="1:10" ht="60" customHeight="1">
      <c r="A212" s="6" t="s">
        <v>784</v>
      </c>
      <c r="B212" s="6" t="s">
        <v>10</v>
      </c>
      <c r="C212" s="6" t="s">
        <v>12</v>
      </c>
      <c r="D212" s="7" t="s">
        <v>785</v>
      </c>
      <c r="E212" s="8" t="s">
        <v>786</v>
      </c>
      <c r="F212" s="6" t="s">
        <v>787</v>
      </c>
      <c r="G212" s="9">
        <f>IF(A212=1,"_",IF(C212="_","???",C212))</f>
        <v/>
      </c>
      <c r="H212" s="10" t="s">
        <v>12</v>
      </c>
      <c r="I212" s="11" t="s">
        <v>12</v>
      </c>
      <c r="J212" s="12"/>
    </row>
    <row r="213" spans="1:10" ht="60" customHeight="1">
      <c r="A213" s="6" t="s">
        <v>788</v>
      </c>
      <c r="B213" s="6" t="s">
        <v>28</v>
      </c>
      <c r="C213" s="6" t="s">
        <v>12</v>
      </c>
      <c r="D213" s="7" t="s">
        <v>789</v>
      </c>
      <c r="E213" s="8" t="s">
        <v>790</v>
      </c>
      <c r="F213" s="6" t="s">
        <v>791</v>
      </c>
      <c r="G213" s="9">
        <f>IF(A213=1,"_",IF(C213="_","???",C213))</f>
        <v/>
      </c>
      <c r="H213" s="10" t="s">
        <v>12</v>
      </c>
      <c r="I213" s="11" t="s">
        <v>12</v>
      </c>
      <c r="J213" s="12"/>
    </row>
    <row r="214" spans="1:10" ht="60" customHeight="1">
      <c r="A214" s="6" t="s">
        <v>792</v>
      </c>
      <c r="B214" s="6" t="s">
        <v>11</v>
      </c>
      <c r="C214" s="6" t="s">
        <v>12</v>
      </c>
      <c r="D214" s="7" t="s">
        <v>793</v>
      </c>
      <c r="E214" s="8" t="s">
        <v>794</v>
      </c>
      <c r="F214" s="6" t="s">
        <v>795</v>
      </c>
      <c r="G214" s="9">
        <f>IF(A214=1,"_",IF(C214="_","???",C214))</f>
        <v/>
      </c>
      <c r="H214" s="10" t="s">
        <v>12</v>
      </c>
      <c r="I214" s="11" t="s">
        <v>12</v>
      </c>
      <c r="J214" s="12"/>
    </row>
    <row r="215" spans="1:10" ht="60" customHeight="1">
      <c r="A215" s="6" t="s">
        <v>796</v>
      </c>
      <c r="B215" s="6" t="s">
        <v>11</v>
      </c>
      <c r="C215" s="6" t="s">
        <v>12</v>
      </c>
      <c r="D215" s="7" t="s">
        <v>520</v>
      </c>
      <c r="E215" s="8" t="s">
        <v>797</v>
      </c>
      <c r="F215" s="6" t="s">
        <v>798</v>
      </c>
      <c r="G215" s="9">
        <f>IF(A215=1,"_",IF(C215="_","???",C215))</f>
        <v/>
      </c>
      <c r="H215" s="10" t="s">
        <v>12</v>
      </c>
      <c r="I215" s="11" t="s">
        <v>12</v>
      </c>
      <c r="J215" s="12"/>
    </row>
    <row r="216" spans="1:10" ht="60" customHeight="1">
      <c r="A216" s="6" t="s">
        <v>799</v>
      </c>
      <c r="B216" s="6" t="s">
        <v>73</v>
      </c>
      <c r="C216" s="6" t="s">
        <v>12</v>
      </c>
      <c r="D216" s="7" t="s">
        <v>800</v>
      </c>
      <c r="E216" s="8" t="s">
        <v>801</v>
      </c>
      <c r="F216" s="6" t="s">
        <v>802</v>
      </c>
      <c r="G216" s="9">
        <f>IF(A216=1,"_",IF(C216="_","???",C216))</f>
        <v/>
      </c>
      <c r="H216" s="10" t="s">
        <v>12</v>
      </c>
      <c r="I216" s="11" t="s">
        <v>12</v>
      </c>
      <c r="J216" s="12"/>
    </row>
    <row r="217" spans="1:10" ht="60" customHeight="1">
      <c r="A217" s="6" t="s">
        <v>803</v>
      </c>
      <c r="B217" s="6" t="s">
        <v>20</v>
      </c>
      <c r="C217" s="6" t="s">
        <v>12</v>
      </c>
      <c r="D217" s="7" t="s">
        <v>804</v>
      </c>
      <c r="E217" s="8" t="s">
        <v>805</v>
      </c>
      <c r="F217" s="6" t="s">
        <v>806</v>
      </c>
      <c r="G217" s="9">
        <f>IF(A217=1,"_",IF(C217="_","???",C217))</f>
        <v/>
      </c>
      <c r="H217" s="10" t="s">
        <v>12</v>
      </c>
      <c r="I217" s="11" t="s">
        <v>12</v>
      </c>
      <c r="J217" s="12"/>
    </row>
    <row r="218" spans="1:10" ht="60" customHeight="1">
      <c r="A218" s="6" t="s">
        <v>807</v>
      </c>
      <c r="B218" s="6" t="s">
        <v>24</v>
      </c>
      <c r="C218" s="6" t="s">
        <v>12</v>
      </c>
      <c r="D218" s="7" t="s">
        <v>808</v>
      </c>
      <c r="E218" s="8" t="s">
        <v>809</v>
      </c>
      <c r="F218" s="6" t="s">
        <v>810</v>
      </c>
      <c r="G218" s="9">
        <f>IF(A218=1,"_",IF(C218="_","???",C218))</f>
        <v/>
      </c>
      <c r="H218" s="10" t="s">
        <v>12</v>
      </c>
      <c r="I218" s="11" t="s">
        <v>12</v>
      </c>
      <c r="J218" s="12"/>
    </row>
    <row r="219" spans="1:10" ht="60" customHeight="1">
      <c r="A219" s="6" t="s">
        <v>811</v>
      </c>
      <c r="B219" s="6" t="s">
        <v>10</v>
      </c>
      <c r="C219" s="6" t="s">
        <v>12</v>
      </c>
      <c r="D219" s="7" t="s">
        <v>785</v>
      </c>
      <c r="E219" s="8" t="s">
        <v>812</v>
      </c>
      <c r="F219" s="6" t="s">
        <v>813</v>
      </c>
      <c r="G219" s="9">
        <f>IF(A219=1,"_",IF(C219="_","???",C219))</f>
        <v/>
      </c>
      <c r="H219" s="10" t="s">
        <v>12</v>
      </c>
      <c r="I219" s="11" t="s">
        <v>12</v>
      </c>
      <c r="J219" s="12"/>
    </row>
    <row r="220" spans="1:10" ht="60" customHeight="1">
      <c r="A220" s="6" t="s">
        <v>814</v>
      </c>
      <c r="B220" s="6" t="s">
        <v>56</v>
      </c>
      <c r="C220" s="6" t="s">
        <v>12</v>
      </c>
      <c r="D220" s="7" t="s">
        <v>233</v>
      </c>
      <c r="E220" s="8" t="s">
        <v>815</v>
      </c>
      <c r="F220" s="6" t="s">
        <v>816</v>
      </c>
      <c r="G220" s="9">
        <f>IF(A220=1,"_",IF(C220="_","???",C220))</f>
        <v/>
      </c>
      <c r="H220" s="10" t="s">
        <v>12</v>
      </c>
      <c r="I220" s="11" t="s">
        <v>12</v>
      </c>
      <c r="J220" s="12"/>
    </row>
    <row r="221" spans="1:10" ht="60" customHeight="1">
      <c r="A221" s="6" t="s">
        <v>817</v>
      </c>
      <c r="B221" s="6" t="s">
        <v>20</v>
      </c>
      <c r="C221" s="6" t="s">
        <v>12</v>
      </c>
      <c r="D221" s="7" t="s">
        <v>818</v>
      </c>
      <c r="E221" s="8" t="s">
        <v>819</v>
      </c>
      <c r="F221" s="6" t="s">
        <v>820</v>
      </c>
      <c r="G221" s="9">
        <f>IF(A221=1,"_",IF(C221="_","???",C221))</f>
        <v/>
      </c>
      <c r="H221" s="10" t="s">
        <v>12</v>
      </c>
      <c r="I221" s="11" t="s">
        <v>12</v>
      </c>
      <c r="J221" s="12"/>
    </row>
    <row r="222" spans="1:10" ht="60" customHeight="1">
      <c r="A222" s="6" t="s">
        <v>821</v>
      </c>
      <c r="B222" s="6" t="s">
        <v>11</v>
      </c>
      <c r="C222" s="6" t="s">
        <v>12</v>
      </c>
      <c r="D222" s="7" t="s">
        <v>822</v>
      </c>
      <c r="E222" s="8" t="s">
        <v>823</v>
      </c>
      <c r="F222" s="6" t="s">
        <v>824</v>
      </c>
      <c r="G222" s="9">
        <f>IF(A222=1,"_",IF(C222="_","???",C222))</f>
        <v/>
      </c>
      <c r="H222" s="10" t="s">
        <v>12</v>
      </c>
      <c r="I222" s="11" t="s">
        <v>12</v>
      </c>
      <c r="J222" s="12"/>
    </row>
    <row r="223" spans="1:10" ht="60" customHeight="1">
      <c r="A223" s="6" t="s">
        <v>825</v>
      </c>
      <c r="B223" s="6" t="s">
        <v>108</v>
      </c>
      <c r="C223" s="6" t="s">
        <v>369</v>
      </c>
      <c r="D223" s="7" t="s">
        <v>826</v>
      </c>
      <c r="E223" s="8" t="s">
        <v>827</v>
      </c>
      <c r="F223" s="6" t="s">
        <v>828</v>
      </c>
      <c r="G223" s="9">
        <f>IF(A223=1,"_",IF(C223="_","???",C223))</f>
        <v/>
      </c>
      <c r="H223" s="10" t="s">
        <v>12</v>
      </c>
      <c r="I223" s="11" t="s">
        <v>12</v>
      </c>
      <c r="J223" s="12"/>
    </row>
    <row r="224" spans="1:10" ht="60" customHeight="1">
      <c r="A224" s="6" t="s">
        <v>829</v>
      </c>
      <c r="B224" s="6" t="s">
        <v>60</v>
      </c>
      <c r="C224" s="6" t="s">
        <v>369</v>
      </c>
      <c r="D224" s="7" t="s">
        <v>13</v>
      </c>
      <c r="E224" s="8" t="s">
        <v>830</v>
      </c>
      <c r="F224" s="6" t="s">
        <v>831</v>
      </c>
      <c r="G224" s="9">
        <f>IF(A224=1,"_",IF(C224="_","???",C224))</f>
        <v/>
      </c>
      <c r="H224" s="10" t="s">
        <v>12</v>
      </c>
      <c r="I224" s="11" t="s">
        <v>12</v>
      </c>
      <c r="J224" s="12"/>
    </row>
    <row r="225" spans="1:10" ht="60" customHeight="1">
      <c r="A225" s="6" t="s">
        <v>832</v>
      </c>
      <c r="B225" s="6" t="s">
        <v>52</v>
      </c>
      <c r="C225" s="6" t="s">
        <v>12</v>
      </c>
      <c r="D225" s="7" t="s">
        <v>833</v>
      </c>
      <c r="E225" s="8" t="s">
        <v>834</v>
      </c>
      <c r="F225" s="6" t="s">
        <v>835</v>
      </c>
      <c r="G225" s="9">
        <f>IF(A225=1,"_",IF(C225="_","???",C225))</f>
        <v/>
      </c>
      <c r="H225" s="10" t="s">
        <v>12</v>
      </c>
      <c r="I225" s="11" t="s">
        <v>12</v>
      </c>
      <c r="J225" s="12"/>
    </row>
    <row r="226" spans="1:10" ht="60" customHeight="1">
      <c r="A226" s="6" t="s">
        <v>836</v>
      </c>
      <c r="B226" s="6" t="s">
        <v>45</v>
      </c>
      <c r="C226" s="6" t="s">
        <v>12</v>
      </c>
      <c r="D226" s="7" t="s">
        <v>837</v>
      </c>
      <c r="E226" s="8" t="s">
        <v>838</v>
      </c>
      <c r="F226" s="6" t="s">
        <v>839</v>
      </c>
      <c r="G226" s="9">
        <f>IF(A226=1,"_",IF(C226="_","???",C226))</f>
        <v/>
      </c>
      <c r="H226" s="10" t="s">
        <v>12</v>
      </c>
      <c r="I226" s="11" t="s">
        <v>12</v>
      </c>
      <c r="J226" s="12"/>
    </row>
    <row r="227" spans="1:10" ht="60" customHeight="1">
      <c r="A227" s="6" t="s">
        <v>840</v>
      </c>
      <c r="B227" s="6" t="s">
        <v>11</v>
      </c>
      <c r="C227" s="6" t="s">
        <v>12</v>
      </c>
      <c r="D227" s="7" t="s">
        <v>841</v>
      </c>
      <c r="E227" s="8" t="s">
        <v>842</v>
      </c>
      <c r="F227" s="6" t="s">
        <v>843</v>
      </c>
      <c r="G227" s="9">
        <f>IF(A227=1,"_",IF(C227="_","???",C227))</f>
        <v/>
      </c>
      <c r="H227" s="10" t="s">
        <v>12</v>
      </c>
      <c r="I227" s="11" t="s">
        <v>12</v>
      </c>
      <c r="J227" s="12"/>
    </row>
    <row r="228" spans="1:10" ht="60" customHeight="1">
      <c r="A228" s="6" t="s">
        <v>844</v>
      </c>
      <c r="B228" s="6" t="s">
        <v>11</v>
      </c>
      <c r="C228" s="6" t="s">
        <v>12</v>
      </c>
      <c r="D228" s="7" t="s">
        <v>845</v>
      </c>
      <c r="E228" s="8" t="s">
        <v>846</v>
      </c>
      <c r="F228" s="6" t="s">
        <v>847</v>
      </c>
      <c r="G228" s="9">
        <f>IF(A228=1,"_",IF(C228="_","???",C228))</f>
        <v/>
      </c>
      <c r="H228" s="10" t="s">
        <v>12</v>
      </c>
      <c r="I228" s="11" t="s">
        <v>12</v>
      </c>
      <c r="J228" s="12"/>
    </row>
    <row r="229" spans="1:10" ht="60" customHeight="1">
      <c r="A229" s="6" t="s">
        <v>848</v>
      </c>
      <c r="B229" s="6" t="s">
        <v>10</v>
      </c>
      <c r="C229" s="6" t="s">
        <v>12</v>
      </c>
      <c r="D229" s="7" t="s">
        <v>605</v>
      </c>
      <c r="E229" s="8" t="s">
        <v>849</v>
      </c>
      <c r="F229" s="6" t="s">
        <v>850</v>
      </c>
      <c r="G229" s="9">
        <f>IF(A229=1,"_",IF(C229="_","???",C229))</f>
        <v/>
      </c>
      <c r="H229" s="10" t="s">
        <v>12</v>
      </c>
      <c r="I229" s="11" t="s">
        <v>12</v>
      </c>
      <c r="J229" s="12"/>
    </row>
    <row r="230" spans="1:10" ht="60" customHeight="1">
      <c r="A230" s="6" t="s">
        <v>851</v>
      </c>
      <c r="B230" s="6" t="s">
        <v>11</v>
      </c>
      <c r="C230" s="6" t="s">
        <v>12</v>
      </c>
      <c r="D230" s="7" t="s">
        <v>852</v>
      </c>
      <c r="E230" s="8" t="s">
        <v>853</v>
      </c>
      <c r="F230" s="6" t="s">
        <v>854</v>
      </c>
      <c r="G230" s="9">
        <f>IF(A230=1,"_",IF(C230="_","???",C230))</f>
        <v/>
      </c>
      <c r="H230" s="10" t="s">
        <v>12</v>
      </c>
      <c r="I230" s="11" t="s">
        <v>12</v>
      </c>
      <c r="J230" s="12"/>
    </row>
    <row r="231" spans="1:10" ht="60" customHeight="1">
      <c r="A231" s="6" t="s">
        <v>855</v>
      </c>
      <c r="B231" s="6" t="s">
        <v>98</v>
      </c>
      <c r="C231" s="6" t="s">
        <v>12</v>
      </c>
      <c r="D231" s="7" t="s">
        <v>856</v>
      </c>
      <c r="E231" s="8" t="s">
        <v>857</v>
      </c>
      <c r="F231" s="6" t="s">
        <v>858</v>
      </c>
      <c r="G231" s="9">
        <f>IF(A231=1,"_",IF(C231="_","???",C231))</f>
        <v/>
      </c>
      <c r="H231" s="10" t="s">
        <v>12</v>
      </c>
      <c r="I231" s="11" t="s">
        <v>12</v>
      </c>
      <c r="J231" s="12"/>
    </row>
    <row r="232" spans="1:10" ht="60" customHeight="1">
      <c r="A232" s="6" t="s">
        <v>859</v>
      </c>
      <c r="B232" s="6" t="s">
        <v>10</v>
      </c>
      <c r="C232" s="6" t="s">
        <v>12</v>
      </c>
      <c r="D232" s="7" t="s">
        <v>860</v>
      </c>
      <c r="E232" s="8" t="s">
        <v>861</v>
      </c>
      <c r="F232" s="6" t="s">
        <v>862</v>
      </c>
      <c r="G232" s="9">
        <f>IF(A232=1,"_",IF(C232="_","???",C232))</f>
        <v/>
      </c>
      <c r="H232" s="10" t="s">
        <v>12</v>
      </c>
      <c r="I232" s="11" t="s">
        <v>12</v>
      </c>
      <c r="J232" s="12"/>
    </row>
    <row r="233" spans="1:10" ht="60" customHeight="1">
      <c r="A233" s="6" t="s">
        <v>863</v>
      </c>
      <c r="B233" s="6" t="s">
        <v>64</v>
      </c>
      <c r="C233" s="6" t="s">
        <v>12</v>
      </c>
      <c r="D233" s="7" t="s">
        <v>864</v>
      </c>
      <c r="E233" s="8" t="s">
        <v>865</v>
      </c>
      <c r="F233" s="6" t="s">
        <v>866</v>
      </c>
      <c r="G233" s="9">
        <f>IF(A233=1,"_",IF(C233="_","???",C233))</f>
        <v/>
      </c>
      <c r="H233" s="10" t="s">
        <v>12</v>
      </c>
      <c r="I233" s="11" t="s">
        <v>12</v>
      </c>
      <c r="J233" s="12"/>
    </row>
    <row r="234" spans="1:10" ht="60" customHeight="1">
      <c r="A234" s="6" t="s">
        <v>867</v>
      </c>
      <c r="B234" s="6" t="s">
        <v>10</v>
      </c>
      <c r="C234" s="6" t="s">
        <v>12</v>
      </c>
      <c r="D234" s="7" t="s">
        <v>785</v>
      </c>
      <c r="E234" s="8" t="s">
        <v>868</v>
      </c>
      <c r="F234" s="6" t="s">
        <v>869</v>
      </c>
      <c r="G234" s="9">
        <f>IF(A234=1,"_",IF(C234="_","???",C234))</f>
        <v/>
      </c>
      <c r="H234" s="10" t="s">
        <v>12</v>
      </c>
      <c r="I234" s="11" t="s">
        <v>12</v>
      </c>
      <c r="J234" s="12"/>
    </row>
    <row r="235" spans="1:10" ht="60" customHeight="1">
      <c r="A235" s="6" t="s">
        <v>870</v>
      </c>
      <c r="B235" s="6" t="s">
        <v>11</v>
      </c>
      <c r="C235" s="6" t="s">
        <v>12</v>
      </c>
      <c r="D235" s="7" t="s">
        <v>871</v>
      </c>
      <c r="E235" s="8" t="s">
        <v>872</v>
      </c>
      <c r="F235" s="6" t="s">
        <v>873</v>
      </c>
      <c r="G235" s="9">
        <f>IF(A235=1,"_",IF(C235="_","???",C235))</f>
        <v/>
      </c>
      <c r="H235" s="10" t="s">
        <v>12</v>
      </c>
      <c r="I235" s="11" t="s">
        <v>12</v>
      </c>
      <c r="J235" s="12"/>
    </row>
    <row r="236" spans="1:10" ht="60" customHeight="1">
      <c r="A236" s="6" t="s">
        <v>874</v>
      </c>
      <c r="B236" s="6" t="s">
        <v>98</v>
      </c>
      <c r="C236" s="6" t="s">
        <v>12</v>
      </c>
      <c r="D236" s="7" t="s">
        <v>875</v>
      </c>
      <c r="E236" s="8" t="s">
        <v>876</v>
      </c>
      <c r="F236" s="6" t="s">
        <v>877</v>
      </c>
      <c r="G236" s="9">
        <f>IF(A236=1,"_",IF(C236="_","???",C236))</f>
        <v/>
      </c>
      <c r="H236" s="10" t="s">
        <v>12</v>
      </c>
      <c r="I236" s="11" t="s">
        <v>12</v>
      </c>
      <c r="J236" s="12"/>
    </row>
    <row r="237" spans="1:10" ht="60" customHeight="1">
      <c r="A237" s="6" t="s">
        <v>878</v>
      </c>
      <c r="B237" s="6" t="s">
        <v>20</v>
      </c>
      <c r="C237" s="6" t="s">
        <v>12</v>
      </c>
      <c r="D237" s="7" t="s">
        <v>70</v>
      </c>
      <c r="E237" s="8" t="s">
        <v>879</v>
      </c>
      <c r="F237" s="6" t="s">
        <v>880</v>
      </c>
      <c r="G237" s="9">
        <f>IF(A237=1,"_",IF(C237="_","???",C237))</f>
        <v/>
      </c>
      <c r="H237" s="10" t="s">
        <v>12</v>
      </c>
      <c r="I237" s="11" t="s">
        <v>12</v>
      </c>
      <c r="J237" s="12"/>
    </row>
    <row r="238" spans="1:10" ht="60" customHeight="1">
      <c r="A238" s="6" t="s">
        <v>881</v>
      </c>
      <c r="B238" s="6" t="s">
        <v>20</v>
      </c>
      <c r="C238" s="6" t="s">
        <v>12</v>
      </c>
      <c r="D238" s="7" t="s">
        <v>841</v>
      </c>
      <c r="E238" s="8" t="s">
        <v>882</v>
      </c>
      <c r="F238" s="6" t="s">
        <v>883</v>
      </c>
      <c r="G238" s="9">
        <f>IF(A238=1,"_",IF(C238="_","???",C238))</f>
        <v/>
      </c>
      <c r="H238" s="10" t="s">
        <v>12</v>
      </c>
      <c r="I238" s="11" t="s">
        <v>12</v>
      </c>
      <c r="J238" s="12"/>
    </row>
    <row r="239" spans="1:10" ht="60" customHeight="1">
      <c r="A239" s="6" t="s">
        <v>884</v>
      </c>
      <c r="B239" s="6" t="s">
        <v>24</v>
      </c>
      <c r="C239" s="6" t="s">
        <v>12</v>
      </c>
      <c r="D239" s="7" t="s">
        <v>282</v>
      </c>
      <c r="E239" s="8" t="s">
        <v>885</v>
      </c>
      <c r="F239" s="6" t="s">
        <v>886</v>
      </c>
      <c r="G239" s="9">
        <f>IF(A239=1,"_",IF(C239="_","???",C239))</f>
        <v/>
      </c>
      <c r="H239" s="10" t="s">
        <v>12</v>
      </c>
      <c r="I239" s="11" t="s">
        <v>12</v>
      </c>
      <c r="J239" s="12"/>
    </row>
    <row r="240" spans="1:10" ht="60" customHeight="1">
      <c r="A240" s="6" t="s">
        <v>887</v>
      </c>
      <c r="B240" s="6" t="s">
        <v>42</v>
      </c>
      <c r="C240" s="6" t="s">
        <v>12</v>
      </c>
      <c r="D240" s="7" t="s">
        <v>888</v>
      </c>
      <c r="E240" s="8" t="s">
        <v>889</v>
      </c>
      <c r="F240" s="6" t="s">
        <v>890</v>
      </c>
      <c r="G240" s="9">
        <f>IF(A240=1,"_",IF(C240="_","???",C240))</f>
        <v/>
      </c>
      <c r="H240" s="10" t="s">
        <v>12</v>
      </c>
      <c r="I240" s="11" t="s">
        <v>12</v>
      </c>
      <c r="J240" s="12"/>
    </row>
    <row r="241" spans="1:10" ht="60" customHeight="1">
      <c r="A241" s="6" t="s">
        <v>891</v>
      </c>
      <c r="B241" s="6" t="s">
        <v>16</v>
      </c>
      <c r="C241" s="6" t="s">
        <v>12</v>
      </c>
      <c r="D241" s="7" t="s">
        <v>892</v>
      </c>
      <c r="E241" s="8" t="s">
        <v>893</v>
      </c>
      <c r="F241" s="6" t="s">
        <v>894</v>
      </c>
      <c r="G241" s="9">
        <f>IF(A241=1,"_",IF(C241="_","???",C241))</f>
        <v/>
      </c>
      <c r="H241" s="10" t="s">
        <v>12</v>
      </c>
      <c r="I241" s="11" t="s">
        <v>12</v>
      </c>
      <c r="J241" s="12"/>
    </row>
    <row r="242" spans="1:10" ht="60" customHeight="1">
      <c r="A242" s="6" t="s">
        <v>895</v>
      </c>
      <c r="B242" s="6" t="s">
        <v>28</v>
      </c>
      <c r="C242" s="6" t="s">
        <v>12</v>
      </c>
      <c r="D242" s="7" t="s">
        <v>896</v>
      </c>
      <c r="E242" s="8" t="s">
        <v>897</v>
      </c>
      <c r="F242" s="6" t="s">
        <v>898</v>
      </c>
      <c r="G242" s="9">
        <f>IF(A242=1,"_",IF(C242="_","???",C242))</f>
        <v/>
      </c>
      <c r="H242" s="10" t="s">
        <v>12</v>
      </c>
      <c r="I242" s="11" t="s">
        <v>12</v>
      </c>
      <c r="J242" s="12"/>
    </row>
    <row r="243" spans="1:10" ht="60" customHeight="1">
      <c r="A243" s="6" t="s">
        <v>899</v>
      </c>
      <c r="B243" s="6" t="s">
        <v>10</v>
      </c>
      <c r="C243" s="6" t="s">
        <v>12</v>
      </c>
      <c r="D243" s="7" t="s">
        <v>605</v>
      </c>
      <c r="E243" s="8" t="s">
        <v>900</v>
      </c>
      <c r="F243" s="6" t="s">
        <v>901</v>
      </c>
      <c r="G243" s="9">
        <f>IF(A243=1,"_",IF(C243="_","???",C243))</f>
        <v/>
      </c>
      <c r="H243" s="10" t="s">
        <v>12</v>
      </c>
      <c r="I243" s="11" t="s">
        <v>12</v>
      </c>
      <c r="J243" s="12"/>
    </row>
    <row r="244" spans="1:10" ht="60" customHeight="1">
      <c r="A244" s="6" t="s">
        <v>902</v>
      </c>
      <c r="B244" s="6" t="s">
        <v>11</v>
      </c>
      <c r="C244" s="6" t="s">
        <v>12</v>
      </c>
      <c r="D244" s="7" t="s">
        <v>70</v>
      </c>
      <c r="E244" s="8" t="s">
        <v>903</v>
      </c>
      <c r="F244" s="6" t="s">
        <v>904</v>
      </c>
      <c r="G244" s="9">
        <f>IF(A244=1,"_",IF(C244="_","???",C244))</f>
        <v/>
      </c>
      <c r="H244" s="10" t="s">
        <v>12</v>
      </c>
      <c r="I244" s="11" t="s">
        <v>12</v>
      </c>
      <c r="J244" s="12"/>
    </row>
    <row r="245" spans="1:10" ht="60" customHeight="1">
      <c r="A245" s="6" t="s">
        <v>905</v>
      </c>
      <c r="B245" s="6" t="s">
        <v>49</v>
      </c>
      <c r="C245" s="6" t="s">
        <v>12</v>
      </c>
      <c r="D245" s="7" t="s">
        <v>837</v>
      </c>
      <c r="E245" s="8" t="s">
        <v>906</v>
      </c>
      <c r="F245" s="6" t="s">
        <v>907</v>
      </c>
      <c r="G245" s="9">
        <f>IF(A245=1,"_",IF(C245="_","???",C245))</f>
        <v/>
      </c>
      <c r="H245" s="10" t="s">
        <v>12</v>
      </c>
      <c r="I245" s="11" t="s">
        <v>12</v>
      </c>
      <c r="J245" s="12"/>
    </row>
    <row r="246" spans="1:10" ht="60" customHeight="1">
      <c r="A246" s="6" t="s">
        <v>908</v>
      </c>
      <c r="B246" s="6" t="s">
        <v>32</v>
      </c>
      <c r="C246" s="6" t="s">
        <v>369</v>
      </c>
      <c r="D246" s="7" t="s">
        <v>909</v>
      </c>
      <c r="E246" s="8" t="s">
        <v>910</v>
      </c>
      <c r="F246" s="6" t="s">
        <v>911</v>
      </c>
      <c r="G246" s="9">
        <f>IF(A246=1,"_",IF(C246="_","???",C246))</f>
        <v/>
      </c>
      <c r="H246" s="10" t="s">
        <v>12</v>
      </c>
      <c r="I246" s="11" t="s">
        <v>12</v>
      </c>
      <c r="J246" s="12"/>
    </row>
    <row r="247" spans="1:10" ht="60" customHeight="1">
      <c r="A247" s="6" t="s">
        <v>912</v>
      </c>
      <c r="B247" s="6" t="s">
        <v>24</v>
      </c>
      <c r="C247" s="6" t="s">
        <v>12</v>
      </c>
      <c r="D247" s="7" t="s">
        <v>913</v>
      </c>
      <c r="E247" s="8" t="s">
        <v>914</v>
      </c>
      <c r="F247" s="6" t="s">
        <v>915</v>
      </c>
      <c r="G247" s="9">
        <f>IF(A247=1,"_",IF(C247="_","???",C247))</f>
        <v/>
      </c>
      <c r="H247" s="10" t="s">
        <v>12</v>
      </c>
      <c r="I247" s="11" t="s">
        <v>12</v>
      </c>
      <c r="J247" s="12"/>
    </row>
    <row r="248" spans="1:10" ht="60" customHeight="1">
      <c r="A248" s="6" t="s">
        <v>916</v>
      </c>
      <c r="B248" s="6" t="s">
        <v>73</v>
      </c>
      <c r="C248" s="6" t="s">
        <v>12</v>
      </c>
      <c r="D248" s="7" t="s">
        <v>917</v>
      </c>
      <c r="E248" s="8" t="s">
        <v>918</v>
      </c>
      <c r="F248" s="6" t="s">
        <v>919</v>
      </c>
      <c r="G248" s="9">
        <f>IF(A248=1,"_",IF(C248="_","???",C248))</f>
        <v/>
      </c>
      <c r="H248" s="10" t="s">
        <v>12</v>
      </c>
      <c r="I248" s="11" t="s">
        <v>12</v>
      </c>
      <c r="J248" s="12"/>
    </row>
    <row r="249" spans="1:10" ht="60" customHeight="1">
      <c r="A249" s="6" t="s">
        <v>920</v>
      </c>
      <c r="B249" s="6" t="s">
        <v>11</v>
      </c>
      <c r="C249" s="6" t="s">
        <v>369</v>
      </c>
      <c r="D249" s="7" t="s">
        <v>212</v>
      </c>
      <c r="E249" s="8" t="s">
        <v>921</v>
      </c>
      <c r="F249" s="6" t="s">
        <v>922</v>
      </c>
      <c r="G249" s="9">
        <f>IF(A249=1,"_",IF(C249="_","???",C249))</f>
        <v/>
      </c>
      <c r="H249" s="10" t="s">
        <v>12</v>
      </c>
      <c r="I249" s="11" t="s">
        <v>12</v>
      </c>
      <c r="J249" s="12"/>
    </row>
    <row r="250" spans="1:10" ht="60" customHeight="1">
      <c r="A250" s="6" t="s">
        <v>923</v>
      </c>
      <c r="B250" s="6" t="s">
        <v>11</v>
      </c>
      <c r="C250" s="6" t="s">
        <v>12</v>
      </c>
      <c r="D250" s="7" t="s">
        <v>282</v>
      </c>
      <c r="E250" s="8" t="s">
        <v>924</v>
      </c>
      <c r="F250" s="6" t="s">
        <v>925</v>
      </c>
      <c r="G250" s="9">
        <f>IF(A250=1,"_",IF(C250="_","???",C250))</f>
        <v/>
      </c>
      <c r="H250" s="10" t="s">
        <v>12</v>
      </c>
      <c r="I250" s="11" t="s">
        <v>12</v>
      </c>
      <c r="J250" s="12"/>
    </row>
    <row r="251" spans="1:10" ht="60" customHeight="1">
      <c r="A251" s="6" t="s">
        <v>926</v>
      </c>
      <c r="B251" s="6" t="s">
        <v>11</v>
      </c>
      <c r="C251" s="6" t="s">
        <v>12</v>
      </c>
      <c r="D251" s="7" t="s">
        <v>70</v>
      </c>
      <c r="E251" s="8" t="s">
        <v>927</v>
      </c>
      <c r="F251" s="6" t="s">
        <v>928</v>
      </c>
      <c r="G251" s="9">
        <f>IF(A251=1,"_",IF(C251="_","???",C251))</f>
        <v/>
      </c>
      <c r="H251" s="10" t="s">
        <v>12</v>
      </c>
      <c r="I251" s="11" t="s">
        <v>12</v>
      </c>
      <c r="J251" s="12"/>
    </row>
    <row r="252" spans="1:10" ht="60" customHeight="1">
      <c r="A252" s="6" t="s">
        <v>929</v>
      </c>
      <c r="B252" s="6" t="s">
        <v>11</v>
      </c>
      <c r="C252" s="6" t="s">
        <v>12</v>
      </c>
      <c r="D252" s="7" t="s">
        <v>930</v>
      </c>
      <c r="E252" s="8" t="s">
        <v>931</v>
      </c>
      <c r="F252" s="6" t="s">
        <v>932</v>
      </c>
      <c r="G252" s="9">
        <f>IF(A252=1,"_",IF(C252="_","???",C252))</f>
        <v/>
      </c>
      <c r="H252" s="10" t="s">
        <v>12</v>
      </c>
      <c r="I252" s="11" t="s">
        <v>12</v>
      </c>
      <c r="J252" s="12"/>
    </row>
    <row r="253" spans="1:10" ht="60" customHeight="1">
      <c r="A253" s="6" t="s">
        <v>933</v>
      </c>
      <c r="B253" s="6" t="s">
        <v>11</v>
      </c>
      <c r="C253" s="6" t="s">
        <v>12</v>
      </c>
      <c r="D253" s="7" t="s">
        <v>934</v>
      </c>
      <c r="E253" s="8" t="s">
        <v>935</v>
      </c>
      <c r="F253" s="6" t="s">
        <v>936</v>
      </c>
      <c r="G253" s="9">
        <f>IF(A253=1,"_",IF(C253="_","???",C253))</f>
        <v/>
      </c>
      <c r="H253" s="10" t="s">
        <v>12</v>
      </c>
      <c r="I253" s="11" t="s">
        <v>12</v>
      </c>
      <c r="J253" s="12"/>
    </row>
    <row r="254" spans="1:10" ht="60" customHeight="1">
      <c r="A254" s="6" t="s">
        <v>937</v>
      </c>
      <c r="B254" s="6" t="s">
        <v>20</v>
      </c>
      <c r="C254" s="6" t="s">
        <v>12</v>
      </c>
      <c r="D254" s="7" t="s">
        <v>121</v>
      </c>
      <c r="E254" s="8" t="s">
        <v>938</v>
      </c>
      <c r="F254" s="6" t="s">
        <v>939</v>
      </c>
      <c r="G254" s="9">
        <f>IF(A254=1,"_",IF(C254="_","???",C254))</f>
        <v/>
      </c>
      <c r="H254" s="10" t="s">
        <v>12</v>
      </c>
      <c r="I254" s="11" t="s">
        <v>12</v>
      </c>
      <c r="J254" s="12"/>
    </row>
    <row r="255" spans="1:10" ht="60" customHeight="1">
      <c r="A255" s="6" t="s">
        <v>940</v>
      </c>
      <c r="B255" s="6" t="s">
        <v>11</v>
      </c>
      <c r="C255" s="6" t="s">
        <v>12</v>
      </c>
      <c r="D255" s="7" t="s">
        <v>605</v>
      </c>
      <c r="E255" s="8" t="s">
        <v>941</v>
      </c>
      <c r="F255" s="6" t="s">
        <v>942</v>
      </c>
      <c r="G255" s="9">
        <f>IF(A255=1,"_",IF(C255="_","???",C255))</f>
        <v/>
      </c>
      <c r="H255" s="10" t="s">
        <v>12</v>
      </c>
      <c r="I255" s="11" t="s">
        <v>12</v>
      </c>
      <c r="J255" s="12"/>
    </row>
    <row r="256" spans="1:10" ht="60" customHeight="1">
      <c r="A256" s="6" t="s">
        <v>943</v>
      </c>
      <c r="B256" s="6" t="s">
        <v>16</v>
      </c>
      <c r="C256" s="6" t="s">
        <v>12</v>
      </c>
      <c r="D256" s="7" t="s">
        <v>157</v>
      </c>
      <c r="E256" s="8" t="s">
        <v>944</v>
      </c>
      <c r="F256" s="6" t="s">
        <v>945</v>
      </c>
      <c r="G256" s="9">
        <f>IF(A256=1,"_",IF(C256="_","???",C256))</f>
        <v/>
      </c>
      <c r="H256" s="10" t="s">
        <v>12</v>
      </c>
      <c r="I256" s="11" t="s">
        <v>12</v>
      </c>
      <c r="J256" s="12"/>
    </row>
    <row r="257" spans="1:10" ht="60" customHeight="1">
      <c r="A257" s="6" t="s">
        <v>946</v>
      </c>
      <c r="B257" s="6" t="s">
        <v>16</v>
      </c>
      <c r="C257" s="6" t="s">
        <v>12</v>
      </c>
      <c r="D257" s="7" t="s">
        <v>947</v>
      </c>
      <c r="E257" s="8" t="s">
        <v>948</v>
      </c>
      <c r="F257" s="6" t="s">
        <v>949</v>
      </c>
      <c r="G257" s="9">
        <f>IF(A257=1,"_",IF(C257="_","???",C257))</f>
        <v/>
      </c>
      <c r="H257" s="10" t="s">
        <v>12</v>
      </c>
      <c r="I257" s="11" t="s">
        <v>12</v>
      </c>
      <c r="J257" s="12"/>
    </row>
    <row r="258" spans="1:10" ht="60" customHeight="1">
      <c r="A258" s="6" t="s">
        <v>950</v>
      </c>
      <c r="B258" s="6" t="s">
        <v>32</v>
      </c>
      <c r="C258" s="6" t="s">
        <v>12</v>
      </c>
      <c r="D258" s="7" t="s">
        <v>185</v>
      </c>
      <c r="E258" s="8" t="s">
        <v>951</v>
      </c>
      <c r="F258" s="6" t="s">
        <v>952</v>
      </c>
      <c r="G258" s="9">
        <f>IF(A258=1,"_",IF(C258="_","???",C258))</f>
        <v/>
      </c>
      <c r="H258" s="10" t="s">
        <v>12</v>
      </c>
      <c r="I258" s="11" t="s">
        <v>12</v>
      </c>
      <c r="J258" s="12"/>
    </row>
    <row r="259" spans="1:10" ht="60" customHeight="1">
      <c r="A259" s="6" t="s">
        <v>953</v>
      </c>
      <c r="B259" s="6" t="s">
        <v>28</v>
      </c>
      <c r="C259" s="6" t="s">
        <v>12</v>
      </c>
      <c r="D259" s="7" t="s">
        <v>954</v>
      </c>
      <c r="E259" s="8" t="s">
        <v>955</v>
      </c>
      <c r="F259" s="6" t="s">
        <v>956</v>
      </c>
      <c r="G259" s="9">
        <f>IF(A259=1,"_",IF(C259="_","???",C259))</f>
        <v/>
      </c>
      <c r="H259" s="10" t="s">
        <v>12</v>
      </c>
      <c r="I259" s="11" t="s">
        <v>12</v>
      </c>
      <c r="J259" s="12"/>
    </row>
    <row r="260" spans="1:10" ht="60" customHeight="1">
      <c r="A260" s="6" t="s">
        <v>957</v>
      </c>
      <c r="B260" s="6" t="s">
        <v>10</v>
      </c>
      <c r="C260" s="6" t="s">
        <v>12</v>
      </c>
      <c r="D260" s="7" t="s">
        <v>121</v>
      </c>
      <c r="E260" s="8" t="s">
        <v>958</v>
      </c>
      <c r="F260" s="6" t="s">
        <v>959</v>
      </c>
      <c r="G260" s="9">
        <f>IF(A260=1,"_",IF(C260="_","???",C260))</f>
        <v/>
      </c>
      <c r="H260" s="10" t="s">
        <v>12</v>
      </c>
      <c r="I260" s="11" t="s">
        <v>12</v>
      </c>
      <c r="J260" s="12"/>
    </row>
    <row r="261" spans="1:10" ht="60" customHeight="1">
      <c r="A261" s="6" t="s">
        <v>960</v>
      </c>
      <c r="B261" s="6" t="s">
        <v>11</v>
      </c>
      <c r="C261" s="6" t="s">
        <v>12</v>
      </c>
      <c r="D261" s="7" t="s">
        <v>70</v>
      </c>
      <c r="E261" s="8" t="s">
        <v>961</v>
      </c>
      <c r="F261" s="6" t="s">
        <v>962</v>
      </c>
      <c r="G261" s="9">
        <f>IF(A261=1,"_",IF(C261="_","???",C261))</f>
        <v/>
      </c>
      <c r="H261" s="10" t="s">
        <v>12</v>
      </c>
      <c r="I261" s="11" t="s">
        <v>12</v>
      </c>
      <c r="J261" s="12"/>
    </row>
    <row r="262" spans="1:10" ht="60" customHeight="1">
      <c r="A262" s="6" t="s">
        <v>963</v>
      </c>
      <c r="B262" s="6" t="s">
        <v>24</v>
      </c>
      <c r="C262" s="6" t="s">
        <v>12</v>
      </c>
      <c r="D262" s="7" t="s">
        <v>964</v>
      </c>
      <c r="E262" s="8" t="s">
        <v>965</v>
      </c>
      <c r="F262" s="6" t="s">
        <v>966</v>
      </c>
      <c r="G262" s="9">
        <f>IF(A262=1,"_",IF(C262="_","???",C262))</f>
        <v/>
      </c>
      <c r="H262" s="10" t="s">
        <v>12</v>
      </c>
      <c r="I262" s="11" t="s">
        <v>12</v>
      </c>
      <c r="J262" s="12"/>
    </row>
    <row r="263" spans="1:10" ht="60" customHeight="1">
      <c r="A263" s="6" t="s">
        <v>967</v>
      </c>
      <c r="B263" s="6" t="s">
        <v>11</v>
      </c>
      <c r="C263" s="6" t="s">
        <v>12</v>
      </c>
      <c r="D263" s="7" t="s">
        <v>212</v>
      </c>
      <c r="E263" s="8" t="s">
        <v>968</v>
      </c>
      <c r="F263" s="6" t="s">
        <v>969</v>
      </c>
      <c r="G263" s="9">
        <f>IF(A263=1,"_",IF(C263="_","???",C263))</f>
        <v/>
      </c>
      <c r="H263" s="10" t="s">
        <v>12</v>
      </c>
      <c r="I263" s="11" t="s">
        <v>12</v>
      </c>
      <c r="J263" s="12"/>
    </row>
    <row r="264" spans="1:10" ht="60" customHeight="1">
      <c r="A264" s="6" t="s">
        <v>970</v>
      </c>
      <c r="B264" s="6" t="s">
        <v>20</v>
      </c>
      <c r="C264" s="6" t="s">
        <v>69</v>
      </c>
      <c r="D264" s="7" t="s">
        <v>971</v>
      </c>
      <c r="E264" s="8" t="s">
        <v>972</v>
      </c>
      <c r="F264" s="6" t="s">
        <v>973</v>
      </c>
      <c r="G264" s="9">
        <f>IF(A264=1,"_",IF(C264="_","???",C264))</f>
        <v/>
      </c>
      <c r="H264" s="10" t="s">
        <v>12</v>
      </c>
      <c r="I264" s="11" t="s">
        <v>12</v>
      </c>
      <c r="J264" s="12"/>
    </row>
    <row r="265" spans="1:10" ht="60" customHeight="1">
      <c r="A265" s="6" t="s">
        <v>974</v>
      </c>
      <c r="B265" s="6" t="s">
        <v>56</v>
      </c>
      <c r="C265" s="6" t="s">
        <v>12</v>
      </c>
      <c r="D265" s="7" t="s">
        <v>70</v>
      </c>
      <c r="E265" s="8" t="s">
        <v>975</v>
      </c>
      <c r="F265" s="6" t="s">
        <v>976</v>
      </c>
      <c r="G265" s="9">
        <f>IF(A265=1,"_",IF(C265="_","???",C265))</f>
        <v/>
      </c>
      <c r="H265" s="10" t="s">
        <v>12</v>
      </c>
      <c r="I265" s="11" t="s">
        <v>12</v>
      </c>
      <c r="J265" s="12"/>
    </row>
    <row r="266" spans="1:10" ht="60" customHeight="1">
      <c r="A266" s="6" t="s">
        <v>977</v>
      </c>
      <c r="B266" s="6" t="s">
        <v>20</v>
      </c>
      <c r="C266" s="6" t="s">
        <v>12</v>
      </c>
      <c r="D266" s="7" t="s">
        <v>53</v>
      </c>
      <c r="E266" s="8" t="s">
        <v>978</v>
      </c>
      <c r="F266" s="6" t="s">
        <v>979</v>
      </c>
      <c r="G266" s="9">
        <f>IF(A266=1,"_",IF(C266="_","???",C266))</f>
        <v/>
      </c>
      <c r="H266" s="10" t="s">
        <v>12</v>
      </c>
      <c r="I266" s="11" t="s">
        <v>12</v>
      </c>
      <c r="J266" s="12"/>
    </row>
    <row r="267" spans="1:10" ht="60" customHeight="1">
      <c r="A267" s="6" t="s">
        <v>980</v>
      </c>
      <c r="B267" s="6" t="s">
        <v>16</v>
      </c>
      <c r="C267" s="6" t="s">
        <v>12</v>
      </c>
      <c r="D267" s="7" t="s">
        <v>841</v>
      </c>
      <c r="E267" s="8" t="s">
        <v>981</v>
      </c>
      <c r="F267" s="6" t="s">
        <v>982</v>
      </c>
      <c r="G267" s="9">
        <f>IF(A267=1,"_",IF(C267="_","???",C267))</f>
        <v/>
      </c>
      <c r="H267" s="10" t="s">
        <v>12</v>
      </c>
      <c r="I267" s="11" t="s">
        <v>12</v>
      </c>
      <c r="J267" s="12"/>
    </row>
    <row r="268" spans="1:10" ht="60" customHeight="1">
      <c r="A268" s="6" t="s">
        <v>983</v>
      </c>
      <c r="B268" s="6" t="s">
        <v>16</v>
      </c>
      <c r="C268" s="6" t="s">
        <v>12</v>
      </c>
      <c r="D268" s="7" t="s">
        <v>984</v>
      </c>
      <c r="E268" s="8" t="s">
        <v>985</v>
      </c>
      <c r="F268" s="6" t="s">
        <v>986</v>
      </c>
      <c r="G268" s="9">
        <f>IF(A268=1,"_",IF(C268="_","???",C268))</f>
        <v/>
      </c>
      <c r="H268" s="10" t="s">
        <v>12</v>
      </c>
      <c r="I268" s="11" t="s">
        <v>12</v>
      </c>
      <c r="J268" s="12"/>
    </row>
    <row r="269" spans="1:10" ht="60" customHeight="1">
      <c r="A269" s="6" t="s">
        <v>987</v>
      </c>
      <c r="B269" s="6" t="s">
        <v>52</v>
      </c>
      <c r="C269" s="6" t="s">
        <v>12</v>
      </c>
      <c r="D269" s="7" t="s">
        <v>121</v>
      </c>
      <c r="E269" s="8" t="s">
        <v>988</v>
      </c>
      <c r="F269" s="6" t="s">
        <v>989</v>
      </c>
      <c r="G269" s="9">
        <f>IF(A269=1,"_",IF(C269="_","???",C269))</f>
        <v/>
      </c>
      <c r="H269" s="10" t="s">
        <v>12</v>
      </c>
      <c r="I269" s="11" t="s">
        <v>12</v>
      </c>
      <c r="J269" s="12"/>
    </row>
    <row r="270" spans="1:10" ht="60" customHeight="1">
      <c r="A270" s="6" t="s">
        <v>990</v>
      </c>
      <c r="B270" s="6" t="s">
        <v>32</v>
      </c>
      <c r="C270" s="6" t="s">
        <v>12</v>
      </c>
      <c r="D270" s="7" t="s">
        <v>991</v>
      </c>
      <c r="E270" s="8" t="s">
        <v>992</v>
      </c>
      <c r="F270" s="6" t="s">
        <v>993</v>
      </c>
      <c r="G270" s="9">
        <f>IF(A270=1,"_",IF(C270="_","???",C270))</f>
        <v/>
      </c>
      <c r="H270" s="10" t="s">
        <v>12</v>
      </c>
      <c r="I270" s="11" t="s">
        <v>12</v>
      </c>
      <c r="J270" s="12"/>
    </row>
    <row r="271" spans="1:10" ht="60" customHeight="1">
      <c r="A271" s="6" t="s">
        <v>994</v>
      </c>
      <c r="B271" s="6" t="s">
        <v>11</v>
      </c>
      <c r="C271" s="6" t="s">
        <v>12</v>
      </c>
      <c r="D271" s="7" t="s">
        <v>173</v>
      </c>
      <c r="E271" s="8" t="s">
        <v>995</v>
      </c>
      <c r="F271" s="6" t="s">
        <v>996</v>
      </c>
      <c r="G271" s="9">
        <f>IF(A271=1,"_",IF(C271="_","???",C271))</f>
        <v/>
      </c>
      <c r="H271" s="10" t="s">
        <v>12</v>
      </c>
      <c r="I271" s="11" t="s">
        <v>12</v>
      </c>
      <c r="J271" s="12"/>
    </row>
    <row r="272" spans="1:10" ht="60" customHeight="1">
      <c r="A272" s="6" t="s">
        <v>997</v>
      </c>
      <c r="B272" s="6" t="s">
        <v>20</v>
      </c>
      <c r="C272" s="6" t="s">
        <v>12</v>
      </c>
      <c r="D272" s="7" t="s">
        <v>998</v>
      </c>
      <c r="E272" s="8" t="s">
        <v>999</v>
      </c>
      <c r="F272" s="6" t="s">
        <v>1000</v>
      </c>
      <c r="G272" s="9">
        <f>IF(A272=1,"_",IF(C272="_","???",C272))</f>
        <v/>
      </c>
      <c r="H272" s="10" t="s">
        <v>12</v>
      </c>
      <c r="I272" s="11" t="s">
        <v>12</v>
      </c>
      <c r="J272" s="12"/>
    </row>
    <row r="273" spans="1:10" ht="60" customHeight="1">
      <c r="A273" s="6" t="s">
        <v>1001</v>
      </c>
      <c r="B273" s="6" t="s">
        <v>11</v>
      </c>
      <c r="C273" s="6" t="s">
        <v>12</v>
      </c>
      <c r="D273" s="7" t="s">
        <v>1002</v>
      </c>
      <c r="E273" s="8" t="s">
        <v>1003</v>
      </c>
      <c r="F273" s="6" t="s">
        <v>1004</v>
      </c>
      <c r="G273" s="9">
        <f>IF(A273=1,"_",IF(C273="_","???",C273))</f>
        <v/>
      </c>
      <c r="H273" s="10" t="s">
        <v>12</v>
      </c>
      <c r="I273" s="11" t="s">
        <v>12</v>
      </c>
      <c r="J273" s="12"/>
    </row>
    <row r="274" spans="1:10" ht="60" customHeight="1">
      <c r="A274" s="6" t="s">
        <v>1005</v>
      </c>
      <c r="B274" s="6" t="s">
        <v>36</v>
      </c>
      <c r="C274" s="6" t="s">
        <v>12</v>
      </c>
      <c r="D274" s="7" t="s">
        <v>1006</v>
      </c>
      <c r="E274" s="8" t="s">
        <v>1007</v>
      </c>
      <c r="F274" s="6" t="s">
        <v>1008</v>
      </c>
      <c r="G274" s="9">
        <f>IF(A274=1,"_",IF(C274="_","???",C274))</f>
        <v/>
      </c>
      <c r="H274" s="10" t="s">
        <v>12</v>
      </c>
      <c r="I274" s="11" t="s">
        <v>12</v>
      </c>
      <c r="J274" s="12"/>
    </row>
    <row r="275" spans="1:10" ht="60" customHeight="1">
      <c r="A275" s="6" t="s">
        <v>1009</v>
      </c>
      <c r="B275" s="6" t="s">
        <v>56</v>
      </c>
      <c r="C275" s="6" t="s">
        <v>12</v>
      </c>
      <c r="D275" s="7" t="s">
        <v>1010</v>
      </c>
      <c r="E275" s="8" t="s">
        <v>1011</v>
      </c>
      <c r="F275" s="6" t="s">
        <v>1012</v>
      </c>
      <c r="G275" s="9">
        <f>IF(A275=1,"_",IF(C275="_","???",C275))</f>
        <v/>
      </c>
      <c r="H275" s="10" t="s">
        <v>12</v>
      </c>
      <c r="I275" s="11" t="s">
        <v>12</v>
      </c>
      <c r="J275" s="12"/>
    </row>
    <row r="276" spans="1:10" ht="60" customHeight="1">
      <c r="A276" s="6" t="s">
        <v>1013</v>
      </c>
      <c r="B276" s="6" t="s">
        <v>68</v>
      </c>
      <c r="C276" s="6" t="s">
        <v>1014</v>
      </c>
      <c r="D276" s="7" t="s">
        <v>1015</v>
      </c>
      <c r="E276" s="8" t="s">
        <v>1016</v>
      </c>
      <c r="F276" s="6" t="s">
        <v>1017</v>
      </c>
      <c r="G276" s="9">
        <f>IF(A276=1,"_",IF(C276="_","???",C276))</f>
        <v/>
      </c>
      <c r="H276" s="10" t="s">
        <v>12</v>
      </c>
      <c r="I276" s="11" t="s">
        <v>12</v>
      </c>
      <c r="J276" s="12"/>
    </row>
    <row r="277" spans="1:10" ht="60" customHeight="1">
      <c r="A277" s="6" t="s">
        <v>1018</v>
      </c>
      <c r="B277" s="6" t="s">
        <v>36</v>
      </c>
      <c r="C277" s="6" t="s">
        <v>12</v>
      </c>
      <c r="D277" s="7" t="s">
        <v>1019</v>
      </c>
      <c r="E277" s="8" t="s">
        <v>1020</v>
      </c>
      <c r="F277" s="6" t="s">
        <v>1021</v>
      </c>
      <c r="G277" s="9">
        <f>IF(A277=1,"_",IF(C277="_","???",C277))</f>
        <v/>
      </c>
      <c r="H277" s="10" t="s">
        <v>12</v>
      </c>
      <c r="I277" s="11" t="s">
        <v>12</v>
      </c>
      <c r="J277" s="12"/>
    </row>
    <row r="278" spans="1:10" ht="60" customHeight="1">
      <c r="A278" s="6" t="s">
        <v>1022</v>
      </c>
      <c r="B278" s="6" t="s">
        <v>24</v>
      </c>
      <c r="C278" s="6" t="s">
        <v>12</v>
      </c>
      <c r="D278" s="7" t="s">
        <v>800</v>
      </c>
      <c r="E278" s="8" t="s">
        <v>1023</v>
      </c>
      <c r="F278" s="6" t="s">
        <v>1024</v>
      </c>
      <c r="G278" s="9">
        <f>IF(A278=1,"_",IF(C278="_","???",C278))</f>
        <v/>
      </c>
      <c r="H278" s="10" t="s">
        <v>12</v>
      </c>
      <c r="I278" s="11" t="s">
        <v>12</v>
      </c>
      <c r="J278" s="12"/>
    </row>
    <row r="279" spans="1:10" ht="60" customHeight="1">
      <c r="A279" s="6" t="s">
        <v>1025</v>
      </c>
      <c r="B279" s="6" t="s">
        <v>24</v>
      </c>
      <c r="C279" s="6" t="s">
        <v>1026</v>
      </c>
      <c r="D279" s="7" t="s">
        <v>1027</v>
      </c>
      <c r="E279" s="8" t="s">
        <v>1028</v>
      </c>
      <c r="F279" s="6" t="s">
        <v>1029</v>
      </c>
      <c r="G279" s="9">
        <f>IF(A279=1,"_",IF(C279="_","???",C279))</f>
        <v/>
      </c>
      <c r="H279" s="10" t="s">
        <v>12</v>
      </c>
      <c r="I279" s="11" t="s">
        <v>12</v>
      </c>
      <c r="J279" s="12"/>
    </row>
    <row r="280" spans="1:10" ht="60" customHeight="1">
      <c r="A280" s="6" t="s">
        <v>1030</v>
      </c>
      <c r="B280" s="6" t="s">
        <v>68</v>
      </c>
      <c r="C280" s="6" t="s">
        <v>12</v>
      </c>
      <c r="D280" s="7" t="s">
        <v>1031</v>
      </c>
      <c r="E280" s="8" t="s">
        <v>1032</v>
      </c>
      <c r="F280" s="6" t="s">
        <v>1033</v>
      </c>
      <c r="G280" s="9">
        <f>IF(A280=1,"_",IF(C280="_","???",C280))</f>
        <v/>
      </c>
      <c r="H280" s="10" t="s">
        <v>12</v>
      </c>
      <c r="I280" s="11" t="s">
        <v>12</v>
      </c>
      <c r="J280" s="12"/>
    </row>
    <row r="281" spans="1:10" ht="60" customHeight="1">
      <c r="A281" s="6" t="s">
        <v>1034</v>
      </c>
      <c r="B281" s="6" t="s">
        <v>20</v>
      </c>
      <c r="C281" s="6" t="s">
        <v>12</v>
      </c>
      <c r="D281" s="7" t="s">
        <v>1035</v>
      </c>
      <c r="E281" s="8" t="s">
        <v>1036</v>
      </c>
      <c r="F281" s="6" t="s">
        <v>1037</v>
      </c>
      <c r="G281" s="9">
        <f>IF(A281=1,"_",IF(C281="_","???",C281))</f>
        <v/>
      </c>
      <c r="H281" s="10" t="s">
        <v>12</v>
      </c>
      <c r="I281" s="11" t="s">
        <v>12</v>
      </c>
      <c r="J281" s="12"/>
    </row>
    <row r="282" spans="1:10" ht="60" customHeight="1">
      <c r="A282" s="6" t="s">
        <v>1038</v>
      </c>
      <c r="B282" s="6" t="s">
        <v>11</v>
      </c>
      <c r="C282" s="6" t="s">
        <v>12</v>
      </c>
      <c r="D282" s="7" t="s">
        <v>1039</v>
      </c>
      <c r="E282" s="8" t="s">
        <v>1040</v>
      </c>
      <c r="F282" s="6" t="s">
        <v>1041</v>
      </c>
      <c r="G282" s="9">
        <f>IF(A282=1,"_",IF(C282="_","???",C282))</f>
        <v/>
      </c>
      <c r="H282" s="10" t="s">
        <v>12</v>
      </c>
      <c r="I282" s="11" t="s">
        <v>12</v>
      </c>
      <c r="J282" s="12"/>
    </row>
    <row r="283" spans="1:10" ht="60" customHeight="1">
      <c r="A283" s="6" t="s">
        <v>1042</v>
      </c>
      <c r="B283" s="6" t="s">
        <v>73</v>
      </c>
      <c r="C283" s="6" t="s">
        <v>12</v>
      </c>
      <c r="D283" s="7" t="s">
        <v>1043</v>
      </c>
      <c r="E283" s="8" t="s">
        <v>1044</v>
      </c>
      <c r="F283" s="6" t="s">
        <v>1045</v>
      </c>
      <c r="G283" s="9">
        <f>IF(A283=1,"_",IF(C283="_","???",C283))</f>
        <v/>
      </c>
      <c r="H283" s="10" t="s">
        <v>12</v>
      </c>
      <c r="I283" s="11" t="s">
        <v>12</v>
      </c>
      <c r="J283" s="12"/>
    </row>
    <row r="284" spans="1:10" ht="60" customHeight="1">
      <c r="A284" s="6" t="s">
        <v>1046</v>
      </c>
      <c r="B284" s="6" t="s">
        <v>24</v>
      </c>
      <c r="C284" s="6" t="s">
        <v>12</v>
      </c>
      <c r="D284" s="7" t="s">
        <v>743</v>
      </c>
      <c r="E284" s="8" t="s">
        <v>1047</v>
      </c>
      <c r="F284" s="6" t="s">
        <v>1048</v>
      </c>
      <c r="G284" s="9">
        <f>IF(A284=1,"_",IF(C284="_","???",C284))</f>
        <v/>
      </c>
      <c r="H284" s="10" t="s">
        <v>12</v>
      </c>
      <c r="I284" s="11" t="s">
        <v>12</v>
      </c>
      <c r="J284" s="12"/>
    </row>
    <row r="285" spans="1:10" ht="60" customHeight="1">
      <c r="A285" s="6" t="s">
        <v>1049</v>
      </c>
      <c r="B285" s="6" t="s">
        <v>10</v>
      </c>
      <c r="C285" s="6" t="s">
        <v>12</v>
      </c>
      <c r="D285" s="7" t="s">
        <v>785</v>
      </c>
      <c r="E285" s="8" t="s">
        <v>1050</v>
      </c>
      <c r="F285" s="6" t="s">
        <v>1051</v>
      </c>
      <c r="G285" s="9">
        <f>IF(A285=1,"_",IF(C285="_","???",C285))</f>
        <v/>
      </c>
      <c r="H285" s="10" t="s">
        <v>12</v>
      </c>
      <c r="I285" s="11" t="s">
        <v>12</v>
      </c>
      <c r="J285"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5451"/>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1052</v>
      </c>
      <c r="B1" s="13" t="s">
        <v>1053</v>
      </c>
      <c r="C1" s="13" t="s">
        <v>1054</v>
      </c>
      <c r="D1" s="13" t="s">
        <v>1055</v>
      </c>
      <c r="E1" s="14" t="s">
        <v>1056</v>
      </c>
      <c r="F1" s="15" t="s">
        <v>1057</v>
      </c>
      <c r="G1" s="16" t="s">
        <v>1058</v>
      </c>
      <c r="H1" s="17" t="s">
        <v>1059</v>
      </c>
      <c r="I1" s="18" t="s">
        <v>1060</v>
      </c>
      <c r="J1" s="18" t="s">
        <v>1061</v>
      </c>
      <c r="K1" s="18" t="s">
        <v>1062</v>
      </c>
      <c r="L1" s="19" t="s">
        <v>9</v>
      </c>
    </row>
    <row r="2" spans="1:12">
      <c r="A2" s="20" t="s">
        <v>1063</v>
      </c>
    </row>
    <row r="3" spans="1:12">
      <c r="A3" s="20" t="s">
        <v>1064</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1065</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1066</v>
      </c>
      <c r="B5" s="27" t="s">
        <v>1067</v>
      </c>
      <c r="C5" s="27" t="s">
        <v>1068</v>
      </c>
      <c r="D5" s="27" t="s">
        <v>1069</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1070</v>
      </c>
      <c r="B6" s="27" t="s">
        <v>1071</v>
      </c>
      <c r="C6" s="27" t="s">
        <v>1072</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1073</v>
      </c>
      <c r="B7" s="27" t="s">
        <v>1074</v>
      </c>
      <c r="C7" s="27" t="s">
        <v>1068</v>
      </c>
      <c r="D7" s="27" t="s">
        <v>1069</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1075</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1076</v>
      </c>
      <c r="B9" s="27" t="s">
        <v>1074</v>
      </c>
      <c r="C9" s="27" t="s">
        <v>1077</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1078</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1079</v>
      </c>
      <c r="B11" s="27" t="s">
        <v>1071</v>
      </c>
      <c r="C11" s="27" t="s">
        <v>1077</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1080</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row>
    <row r="14" spans="1:12">
      <c r="A14" s="20" t="s">
        <v>1081</v>
      </c>
    </row>
    <row r="15" spans="1:12">
      <c r="A15" s="20" t="s">
        <v>1082</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1083</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1084</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1085</v>
      </c>
      <c r="B18" s="27" t="s">
        <v>1067</v>
      </c>
      <c r="C18" s="27" t="s">
        <v>1086</v>
      </c>
      <c r="D18" s="27" t="s">
        <v>1069</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17</v>
      </c>
      <c r="B19" s="27" t="s">
        <v>1074</v>
      </c>
      <c r="C19" s="27" t="s">
        <v>1072</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1087</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1088</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1089</v>
      </c>
      <c r="B22" s="27" t="s">
        <v>1090</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1091</v>
      </c>
      <c r="B23" s="27" t="s">
        <v>1092</v>
      </c>
      <c r="C23" s="27" t="s">
        <v>1093</v>
      </c>
      <c r="D23" s="27" t="s">
        <v>1069</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1094</v>
      </c>
      <c r="B24" s="27" t="s">
        <v>1095</v>
      </c>
      <c r="C24" s="27" t="s">
        <v>1077</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1096</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1097</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1098</v>
      </c>
      <c r="B27" s="27" t="s">
        <v>1071</v>
      </c>
      <c r="C27" s="27" t="s">
        <v>1086</v>
      </c>
      <c r="D27" s="27" t="s">
        <v>1069</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1099</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1100</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1101</v>
      </c>
      <c r="B30" s="27" t="s">
        <v>1071</v>
      </c>
      <c r="C30" s="27" t="s">
        <v>1077</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1078</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1102</v>
      </c>
      <c r="B32" s="27" t="s">
        <v>1092</v>
      </c>
      <c r="C32" s="27" t="s">
        <v>1077</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1103</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1087</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1100</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1104</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1105</v>
      </c>
      <c r="B37" s="27" t="s">
        <v>1106</v>
      </c>
      <c r="C37" s="27" t="s">
        <v>1086</v>
      </c>
      <c r="D37" s="27" t="s">
        <v>1069</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1087</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1104</v>
      </c>
      <c r="B39" s="27" t="s">
        <v>1107</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1108</v>
      </c>
      <c r="B40" s="27" t="s">
        <v>1109</v>
      </c>
      <c r="C40" s="27" t="s">
        <v>1110</v>
      </c>
      <c r="D40" s="27" t="s">
        <v>1069</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1111</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1078</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1112</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129</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1100</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1113</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1114</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11</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1115</v>
      </c>
      <c r="B49" s="27" t="s">
        <v>1116</v>
      </c>
      <c r="C49" s="27" t="s">
        <v>1117</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141</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1118</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1119</v>
      </c>
      <c r="B52" s="27" t="s">
        <v>1106</v>
      </c>
      <c r="C52" s="27" t="s">
        <v>1120</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1070</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1121</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1080</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row>
    <row r="57" spans="1:12">
      <c r="A57" s="20" t="s">
        <v>1122</v>
      </c>
    </row>
    <row r="58" spans="1:12">
      <c r="A58" s="20" t="s">
        <v>1123</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1076</v>
      </c>
      <c r="B59" s="27" t="s">
        <v>1067</v>
      </c>
      <c r="C59" s="27" t="s">
        <v>1077</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1078</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1079</v>
      </c>
      <c r="B61" s="27" t="s">
        <v>1071</v>
      </c>
      <c r="C61" s="27" t="s">
        <v>1077</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1124</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1125</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1126</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1127</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1128</v>
      </c>
      <c r="B66" s="27" t="s">
        <v>1071</v>
      </c>
      <c r="C66" s="27" t="s">
        <v>1129</v>
      </c>
      <c r="D66" s="27" t="s">
        <v>1069</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1130</v>
      </c>
      <c r="B67" s="27" t="s">
        <v>1074</v>
      </c>
      <c r="C67" s="27" t="s">
        <v>1131</v>
      </c>
      <c r="D67" s="27" t="s">
        <v>1069</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1087</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1132</v>
      </c>
      <c r="B69" s="27" t="s">
        <v>1133</v>
      </c>
      <c r="C69" s="27" t="s">
        <v>1134</v>
      </c>
      <c r="D69" s="27" t="s">
        <v>1069</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1135</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1136</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1137</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1138</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1127</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1139</v>
      </c>
      <c r="B75" s="27" t="s">
        <v>1116</v>
      </c>
      <c r="C75" s="27" t="s">
        <v>1072</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1140</v>
      </c>
      <c r="B76" s="27" t="s">
        <v>1141</v>
      </c>
      <c r="C76" s="27" t="s">
        <v>1110</v>
      </c>
      <c r="D76" s="27" t="s">
        <v>1069</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1142</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1143</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1144</v>
      </c>
      <c r="B79" s="27" t="s">
        <v>1092</v>
      </c>
      <c r="C79" s="27" t="s">
        <v>1145</v>
      </c>
      <c r="D79" s="27" t="s">
        <v>1069</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1080</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row>
    <row r="82" spans="1:12">
      <c r="A82" s="20" t="s">
        <v>1146</v>
      </c>
    </row>
    <row r="83" spans="1:12">
      <c r="A83" s="20" t="s">
        <v>1147</v>
      </c>
      <c r="B83" s="27" t="s">
        <v>1067</v>
      </c>
      <c r="C83" s="27" t="s">
        <v>1077</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1148</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1087</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1149</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1150</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1151</v>
      </c>
      <c r="B88" s="27" t="s">
        <v>1095</v>
      </c>
      <c r="C88" s="27" t="s">
        <v>1152</v>
      </c>
      <c r="D88" s="27" t="s">
        <v>1069</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1075</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1153</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1154</v>
      </c>
      <c r="B91" s="27" t="s">
        <v>1071</v>
      </c>
      <c r="C91" s="27" t="s">
        <v>1117</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1155</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1156</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46</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1080</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row>
    <row r="97" spans="1:12">
      <c r="A97" s="20" t="s">
        <v>1157</v>
      </c>
    </row>
    <row r="98" spans="1:12">
      <c r="A98" s="20" t="s">
        <v>1158</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1108</v>
      </c>
      <c r="B99" s="27" t="s">
        <v>1067</v>
      </c>
      <c r="C99" s="27" t="s">
        <v>1110</v>
      </c>
      <c r="D99" s="27" t="s">
        <v>1069</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1070</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1159</v>
      </c>
      <c r="B101" s="27" t="s">
        <v>1160</v>
      </c>
      <c r="C101" s="27" t="s">
        <v>1110</v>
      </c>
      <c r="D101" s="27" t="s">
        <v>1069</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1161</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1070</v>
      </c>
      <c r="B103" s="27" t="s">
        <v>1092</v>
      </c>
      <c r="C103" s="27" t="s">
        <v>1072</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1162</v>
      </c>
      <c r="B104" s="27" t="s">
        <v>1071</v>
      </c>
      <c r="C104" s="27" t="s">
        <v>1110</v>
      </c>
      <c r="D104" s="27" t="s">
        <v>1069</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29</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1080</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row>
    <row r="108" spans="1:12">
      <c r="A108" s="20" t="s">
        <v>1163</v>
      </c>
    </row>
    <row r="109" spans="1:12">
      <c r="A109" s="20" t="s">
        <v>1164</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1105</v>
      </c>
      <c r="B110" s="27" t="s">
        <v>1067</v>
      </c>
      <c r="C110" s="27" t="s">
        <v>1086</v>
      </c>
      <c r="D110" s="27" t="s">
        <v>1069</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46</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1089</v>
      </c>
      <c r="B112" s="27" t="s">
        <v>1160</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1165</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33</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1087</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1166</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1167</v>
      </c>
      <c r="B117" s="27" t="s">
        <v>1095</v>
      </c>
      <c r="C117" s="27" t="s">
        <v>1068</v>
      </c>
      <c r="D117" s="27" t="s">
        <v>1069</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1168</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1169</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1170</v>
      </c>
      <c r="B120" s="27" t="s">
        <v>1090</v>
      </c>
      <c r="C120" s="27" t="s">
        <v>1171</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1155</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1172</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1173</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1080</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row>
    <row r="126" spans="1:12">
      <c r="A126" s="20" t="s">
        <v>1174</v>
      </c>
    </row>
    <row r="127" spans="1:12">
      <c r="A127" s="20" t="s">
        <v>1175</v>
      </c>
      <c r="B127" s="27" t="s">
        <v>1067</v>
      </c>
      <c r="C127" s="27" t="s">
        <v>1129</v>
      </c>
      <c r="D127" s="27" t="s">
        <v>1069</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1176</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1070</v>
      </c>
      <c r="B129" s="27" t="s">
        <v>1071</v>
      </c>
      <c r="C129" s="27" t="s">
        <v>1072</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1177</v>
      </c>
      <c r="B130" s="27" t="s">
        <v>1074</v>
      </c>
      <c r="C130" s="27" t="s">
        <v>1134</v>
      </c>
      <c r="D130" s="27" t="s">
        <v>1069</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1080</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row>
    <row r="133" spans="1:12">
      <c r="A133" s="20" t="s">
        <v>1178</v>
      </c>
    </row>
    <row r="134" spans="1:12">
      <c r="A134" s="20" t="s">
        <v>1158</v>
      </c>
      <c r="B134" s="27" t="s">
        <v>1067</v>
      </c>
      <c r="C134" s="27" t="s">
        <v>1068</v>
      </c>
      <c r="D134" s="27" t="s">
        <v>1069</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1176</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1070</v>
      </c>
      <c r="B136" s="27" t="s">
        <v>1071</v>
      </c>
      <c r="C136" s="27" t="s">
        <v>1072</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1179</v>
      </c>
      <c r="B137" s="27" t="s">
        <v>1074</v>
      </c>
      <c r="C137" s="27" t="s">
        <v>1077</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1080</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row>
    <row r="140" spans="1:12">
      <c r="A140" s="20" t="s">
        <v>1180</v>
      </c>
    </row>
    <row r="141" spans="1:12">
      <c r="A141" s="20" t="s">
        <v>1158</v>
      </c>
      <c r="B141" s="27" t="s">
        <v>1067</v>
      </c>
      <c r="C141" s="27" t="s">
        <v>1068</v>
      </c>
      <c r="D141" s="27" t="s">
        <v>1069</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1176</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1070</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1181</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1080</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row>
    <row r="147" spans="1:12">
      <c r="A147" s="20" t="s">
        <v>1182</v>
      </c>
    </row>
    <row r="148" spans="1:12">
      <c r="A148" s="20" t="s">
        <v>1183</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1087</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1184</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1185</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1186</v>
      </c>
      <c r="B152" s="27" t="s">
        <v>1095</v>
      </c>
      <c r="C152" s="27" t="s">
        <v>1120</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1187</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1127</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1188</v>
      </c>
      <c r="B155" s="27" t="s">
        <v>1074</v>
      </c>
      <c r="C155" s="27" t="s">
        <v>1110</v>
      </c>
      <c r="D155" s="27" t="s">
        <v>1069</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46</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1080</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row>
    <row r="159" spans="1:12">
      <c r="A159" s="20" t="s">
        <v>1189</v>
      </c>
    </row>
    <row r="160" spans="1:12">
      <c r="A160" s="20" t="s">
        <v>1190</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1191</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1097</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1192</v>
      </c>
      <c r="B163" s="27" t="s">
        <v>1067</v>
      </c>
      <c r="C163" s="27" t="s">
        <v>1086</v>
      </c>
      <c r="D163" s="27" t="s">
        <v>1069</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1127</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1188</v>
      </c>
      <c r="B165" s="27" t="s">
        <v>1071</v>
      </c>
      <c r="C165" s="27" t="s">
        <v>1110</v>
      </c>
      <c r="D165" s="27" t="s">
        <v>1069</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1193</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1126</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1080</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row>
    <row r="170" spans="1:12">
      <c r="A170" s="20" t="s">
        <v>1194</v>
      </c>
    </row>
    <row r="171" spans="1:12">
      <c r="A171" s="20" t="s">
        <v>1195</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1191</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1087</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1149</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1087</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1196</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1197</v>
      </c>
      <c r="B177" s="27" t="s">
        <v>1095</v>
      </c>
      <c r="C177" s="27" t="s">
        <v>1068</v>
      </c>
      <c r="D177" s="27" t="s">
        <v>1069</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1198</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1199</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1200</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571</v>
      </c>
      <c r="B181" s="27" t="s">
        <v>1071</v>
      </c>
      <c r="C181" s="27" t="s">
        <v>1120</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1113</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1201</v>
      </c>
      <c r="B183" s="27" t="s">
        <v>1090</v>
      </c>
      <c r="C183" s="27" t="s">
        <v>1086</v>
      </c>
      <c r="D183" s="27" t="s">
        <v>1069</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1202</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1203</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1087</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1070</v>
      </c>
      <c r="B187" s="27" t="s">
        <v>1092</v>
      </c>
      <c r="C187" s="27" t="s">
        <v>1072</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1097</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1204</v>
      </c>
      <c r="B189" s="27" t="s">
        <v>1071</v>
      </c>
      <c r="C189" s="27" t="s">
        <v>1086</v>
      </c>
      <c r="D189" s="27" t="s">
        <v>1069</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1205</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1076</v>
      </c>
      <c r="B191" s="27" t="s">
        <v>1095</v>
      </c>
      <c r="C191" s="27" t="s">
        <v>1077</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1096</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1206</v>
      </c>
      <c r="B193" s="27" t="s">
        <v>1071</v>
      </c>
      <c r="C193" s="27" t="s">
        <v>1077</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1207</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1143</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1208</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1080</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row>
    <row r="199" spans="1:12">
      <c r="A199" s="20" t="s">
        <v>1209</v>
      </c>
    </row>
    <row r="200" spans="1:12">
      <c r="A200" s="20" t="s">
        <v>1210</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1087</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1097</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1192</v>
      </c>
      <c r="B203" s="27" t="s">
        <v>1067</v>
      </c>
      <c r="C203" s="27" t="s">
        <v>1086</v>
      </c>
      <c r="D203" s="27" t="s">
        <v>1069</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1191</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1075</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1104</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1211</v>
      </c>
      <c r="B207" s="27" t="s">
        <v>1074</v>
      </c>
      <c r="C207" s="27" t="s">
        <v>1086</v>
      </c>
      <c r="D207" s="27" t="s">
        <v>1069</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1212</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1080</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row>
    <row r="211" spans="1:12">
      <c r="A211" s="20" t="s">
        <v>1213</v>
      </c>
    </row>
    <row r="212" spans="1:12">
      <c r="A212" s="20" t="s">
        <v>1214</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1215</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1104</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1216</v>
      </c>
      <c r="B215" s="27" t="s">
        <v>1067</v>
      </c>
      <c r="C215" s="27" t="s">
        <v>1086</v>
      </c>
      <c r="D215" s="27" t="s">
        <v>1069</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1142</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1217</v>
      </c>
      <c r="B217" s="27" t="s">
        <v>1074</v>
      </c>
      <c r="C217" s="27" t="s">
        <v>1077</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1080</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row>
    <row r="220" spans="1:12">
      <c r="A220" s="20" t="s">
        <v>1218</v>
      </c>
    </row>
    <row r="221" spans="1:12">
      <c r="A221" s="20" t="s">
        <v>1164</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1219</v>
      </c>
      <c r="B222" s="27" t="s">
        <v>1067</v>
      </c>
      <c r="C222" s="27" t="s">
        <v>1086</v>
      </c>
      <c r="D222" s="27" t="s">
        <v>1069</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1220</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1104</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1221</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1222</v>
      </c>
      <c r="B226" s="27" t="s">
        <v>1160</v>
      </c>
      <c r="C226" s="27" t="s">
        <v>1086</v>
      </c>
      <c r="D226" s="27" t="s">
        <v>1069</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1207</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1078</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1223</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1224</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1143</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86</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1080</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row>
    <row r="235" spans="1:12">
      <c r="A235" s="20" t="s">
        <v>1225</v>
      </c>
    </row>
    <row r="236" spans="1:12">
      <c r="A236" s="20" t="s">
        <v>1226</v>
      </c>
      <c r="B236" s="27" t="s">
        <v>1074</v>
      </c>
      <c r="C236" s="27" t="s">
        <v>1077</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1227</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1167</v>
      </c>
      <c r="B238" s="27" t="s">
        <v>1067</v>
      </c>
      <c r="C238" s="27" t="s">
        <v>1068</v>
      </c>
      <c r="D238" s="27" t="s">
        <v>1069</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1228</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1229</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1230</v>
      </c>
      <c r="B241" s="27" t="s">
        <v>1160</v>
      </c>
      <c r="C241" s="27" t="s">
        <v>1120</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1224</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1143</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1231</v>
      </c>
      <c r="B244" s="27" t="s">
        <v>1071</v>
      </c>
      <c r="C244" s="27" t="s">
        <v>1086</v>
      </c>
      <c r="D244" s="27" t="s">
        <v>1069</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1078</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1232</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157</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1108</v>
      </c>
      <c r="B248" s="27" t="s">
        <v>1095</v>
      </c>
      <c r="C248" s="27" t="s">
        <v>1110</v>
      </c>
      <c r="D248" s="27" t="s">
        <v>1069</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1233</v>
      </c>
      <c r="B249" s="27" t="s">
        <v>1090</v>
      </c>
      <c r="C249" s="27" t="s">
        <v>1077</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1087</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1234</v>
      </c>
      <c r="B251" s="27" t="s">
        <v>1092</v>
      </c>
      <c r="C251" s="27" t="s">
        <v>1077</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1087</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1108</v>
      </c>
      <c r="B253" s="27" t="s">
        <v>1235</v>
      </c>
      <c r="C253" s="27" t="s">
        <v>1110</v>
      </c>
      <c r="D253" s="27" t="s">
        <v>1069</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1236</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1237</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1238</v>
      </c>
      <c r="B256" s="27" t="s">
        <v>1235</v>
      </c>
      <c r="C256" s="27" t="s">
        <v>1077</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1239</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1078</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1165</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1153</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1105</v>
      </c>
      <c r="B261" s="27" t="s">
        <v>1107</v>
      </c>
      <c r="C261" s="27" t="s">
        <v>1117</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707</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1080</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row>
    <row r="265" spans="1:12">
      <c r="A265" s="20" t="s">
        <v>1240</v>
      </c>
    </row>
    <row r="266" spans="1:12">
      <c r="A266" s="20" t="s">
        <v>1241</v>
      </c>
      <c r="B266" s="27" t="s">
        <v>1067</v>
      </c>
      <c r="C266" s="27" t="s">
        <v>1110</v>
      </c>
      <c r="D266" s="27" t="s">
        <v>1069</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74</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1242</v>
      </c>
      <c r="B268" s="27" t="s">
        <v>1074</v>
      </c>
      <c r="C268" s="27" t="s">
        <v>1110</v>
      </c>
      <c r="D268" s="27" t="s">
        <v>1069</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1243</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1224</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1200</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1244</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1245</v>
      </c>
      <c r="B273" s="27" t="s">
        <v>1074</v>
      </c>
      <c r="C273" s="27" t="s">
        <v>1120</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1246</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1247</v>
      </c>
      <c r="B275" s="27" t="s">
        <v>1071</v>
      </c>
      <c r="C275" s="27" t="s">
        <v>1077</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1224</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1097</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256</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1248</v>
      </c>
      <c r="B279" s="27" t="s">
        <v>1092</v>
      </c>
      <c r="C279" s="27" t="s">
        <v>1086</v>
      </c>
      <c r="D279" s="27" t="s">
        <v>1069</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1080</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row>
    <row r="282" spans="1:12">
      <c r="A282" s="20" t="s">
        <v>1249</v>
      </c>
    </row>
    <row r="283" spans="1:12">
      <c r="A283" s="20" t="s">
        <v>1123</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1087</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1196</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1108</v>
      </c>
      <c r="B286" s="27" t="s">
        <v>1235</v>
      </c>
      <c r="C286" s="27" t="s">
        <v>1110</v>
      </c>
      <c r="D286" s="27" t="s">
        <v>1069</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1113</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1201</v>
      </c>
      <c r="B288" s="27" t="s">
        <v>1250</v>
      </c>
      <c r="C288" s="27" t="s">
        <v>1086</v>
      </c>
      <c r="D288" s="27" t="s">
        <v>1069</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1202</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12</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233</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1108</v>
      </c>
      <c r="B292" s="27" t="s">
        <v>1133</v>
      </c>
      <c r="C292" s="27" t="s">
        <v>1110</v>
      </c>
      <c r="D292" s="27" t="s">
        <v>1069</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1242</v>
      </c>
      <c r="B293" s="27" t="s">
        <v>1106</v>
      </c>
      <c r="C293" s="27" t="s">
        <v>1110</v>
      </c>
      <c r="D293" s="27" t="s">
        <v>1069</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1113</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1201</v>
      </c>
      <c r="B295" s="27" t="s">
        <v>1250</v>
      </c>
      <c r="C295" s="27" t="s">
        <v>1086</v>
      </c>
      <c r="D295" s="27" t="s">
        <v>1069</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1251</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12</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1252</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1108</v>
      </c>
      <c r="B299" s="27" t="s">
        <v>1095</v>
      </c>
      <c r="C299" s="27" t="s">
        <v>1110</v>
      </c>
      <c r="D299" s="27" t="s">
        <v>1069</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1142</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1185</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1253</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1254</v>
      </c>
      <c r="B303" s="27" t="s">
        <v>1074</v>
      </c>
      <c r="C303" s="27" t="s">
        <v>1120</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1078</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1128</v>
      </c>
      <c r="B305" s="27" t="s">
        <v>1092</v>
      </c>
      <c r="C305" s="27" t="s">
        <v>1129</v>
      </c>
      <c r="D305" s="27" t="s">
        <v>1069</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1254</v>
      </c>
      <c r="B306" s="27" t="s">
        <v>1071</v>
      </c>
      <c r="C306" s="27" t="s">
        <v>1131</v>
      </c>
      <c r="D306" s="27" t="s">
        <v>1069</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1255</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1246</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1256</v>
      </c>
      <c r="B309" s="27" t="s">
        <v>1074</v>
      </c>
      <c r="C309" s="27" t="s">
        <v>1134</v>
      </c>
      <c r="D309" s="27" t="s">
        <v>1069</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1257</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1080</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row>
    <row r="313" spans="1:12">
      <c r="A313" s="20" t="s">
        <v>1258</v>
      </c>
    </row>
    <row r="314" spans="1:12">
      <c r="A314" s="20" t="s">
        <v>1256</v>
      </c>
      <c r="B314" s="27" t="s">
        <v>1067</v>
      </c>
      <c r="C314" s="27" t="s">
        <v>1134</v>
      </c>
      <c r="D314" s="27" t="s">
        <v>1069</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1259</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1113</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1144</v>
      </c>
      <c r="B317" s="27" t="s">
        <v>1160</v>
      </c>
      <c r="C317" s="27" t="s">
        <v>1086</v>
      </c>
      <c r="D317" s="27" t="s">
        <v>1069</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1078</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1104</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1260</v>
      </c>
      <c r="B320" s="27" t="s">
        <v>1071</v>
      </c>
      <c r="C320" s="27" t="s">
        <v>1086</v>
      </c>
      <c r="D320" s="27" t="s">
        <v>1069</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1127</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1256</v>
      </c>
      <c r="B322" s="27" t="s">
        <v>1092</v>
      </c>
      <c r="C322" s="27" t="s">
        <v>1134</v>
      </c>
      <c r="D322" s="27" t="s">
        <v>1069</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1191</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1261</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1262</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1263</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1080</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row>
    <row r="329" spans="1:12">
      <c r="A329" s="20" t="s">
        <v>1264</v>
      </c>
    </row>
    <row r="330" spans="1:12">
      <c r="A330" s="20" t="s">
        <v>1197</v>
      </c>
      <c r="B330" s="27" t="s">
        <v>1067</v>
      </c>
      <c r="C330" s="27" t="s">
        <v>1068</v>
      </c>
      <c r="D330" s="27" t="s">
        <v>1069</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87</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1083</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1265</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1256</v>
      </c>
      <c r="B334" s="27" t="s">
        <v>1160</v>
      </c>
      <c r="C334" s="27" t="s">
        <v>1134</v>
      </c>
      <c r="D334" s="27" t="s">
        <v>1069</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1087</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1266</v>
      </c>
      <c r="B336" s="27" t="s">
        <v>1133</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1070</v>
      </c>
      <c r="B337" s="27" t="s">
        <v>1141</v>
      </c>
      <c r="C337" s="27" t="s">
        <v>1072</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1097</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1267</v>
      </c>
      <c r="B339" s="27" t="s">
        <v>1092</v>
      </c>
      <c r="C339" s="27" t="s">
        <v>1086</v>
      </c>
      <c r="D339" s="27" t="s">
        <v>1069</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1176</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1078</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1128</v>
      </c>
      <c r="B342" s="27" t="s">
        <v>1116</v>
      </c>
      <c r="C342" s="27" t="s">
        <v>1129</v>
      </c>
      <c r="D342" s="27" t="s">
        <v>1069</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1267</v>
      </c>
      <c r="B343" s="27" t="s">
        <v>1235</v>
      </c>
      <c r="C343" s="27" t="s">
        <v>1131</v>
      </c>
      <c r="D343" s="27" t="s">
        <v>1069</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1268</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1269</v>
      </c>
      <c r="B345" s="27" t="s">
        <v>1116</v>
      </c>
      <c r="C345" s="27" t="s">
        <v>1072</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1193</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1270</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1271</v>
      </c>
      <c r="B348" s="27" t="s">
        <v>1250</v>
      </c>
      <c r="C348" s="27" t="s">
        <v>1117</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1080</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row>
    <row r="351" spans="1:12">
      <c r="A351" s="20" t="s">
        <v>1272</v>
      </c>
    </row>
    <row r="352" spans="1:12">
      <c r="A352" s="20" t="s">
        <v>1273</v>
      </c>
      <c r="B352" s="27" t="s">
        <v>1074</v>
      </c>
      <c r="C352" s="27" t="s">
        <v>1077</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1142</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1083</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1274</v>
      </c>
      <c r="B355" s="27" t="s">
        <v>1074</v>
      </c>
      <c r="C355" s="27" t="s">
        <v>1086</v>
      </c>
      <c r="D355" s="27" t="s">
        <v>1069</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1078</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1085</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1275</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1087</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1104</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1276</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1277</v>
      </c>
      <c r="B362" s="27" t="s">
        <v>1074</v>
      </c>
      <c r="C362" s="27" t="s">
        <v>1086</v>
      </c>
      <c r="D362" s="27" t="s">
        <v>1069</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1087</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1149</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1104</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1278</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1279</v>
      </c>
      <c r="B367" s="27" t="s">
        <v>1133</v>
      </c>
      <c r="C367" s="27" t="s">
        <v>1086</v>
      </c>
      <c r="D367" s="27" t="s">
        <v>1069</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1089</v>
      </c>
      <c r="B368" s="27" t="s">
        <v>1106</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1280</v>
      </c>
      <c r="B369" s="27" t="s">
        <v>1141</v>
      </c>
      <c r="C369" s="27" t="s">
        <v>1110</v>
      </c>
      <c r="D369" s="27" t="s">
        <v>1069</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1229</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1281</v>
      </c>
      <c r="B371" s="27" t="s">
        <v>1133</v>
      </c>
      <c r="C371" s="27" t="s">
        <v>1129</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1155</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1282</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1236</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1078</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1283</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1284</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1285</v>
      </c>
      <c r="B378" s="27" t="s">
        <v>1250</v>
      </c>
      <c r="C378" s="27" t="s">
        <v>1077</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1286</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1080</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row>
    <row r="382" spans="1:12">
      <c r="A382" s="20" t="s">
        <v>1287</v>
      </c>
    </row>
    <row r="383" spans="1:12">
      <c r="A383" s="20" t="s">
        <v>1210</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1087</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1097</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1288</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1289</v>
      </c>
      <c r="B387" s="27" t="s">
        <v>1067</v>
      </c>
      <c r="C387" s="27" t="s">
        <v>1086</v>
      </c>
      <c r="D387" s="27" t="s">
        <v>1069</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1290</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1291</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1256</v>
      </c>
      <c r="B390" s="27" t="s">
        <v>1074</v>
      </c>
      <c r="C390" s="27" t="s">
        <v>1134</v>
      </c>
      <c r="D390" s="27" t="s">
        <v>1069</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12</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1292</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1078</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1097</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1293</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1294</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1295</v>
      </c>
      <c r="B397" s="27" t="s">
        <v>1074</v>
      </c>
      <c r="C397" s="27" t="s">
        <v>1086</v>
      </c>
      <c r="D397" s="27" t="s">
        <v>1069</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1078</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1296</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1150</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1297</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1271</v>
      </c>
      <c r="B402" s="27" t="s">
        <v>1067</v>
      </c>
      <c r="C402" s="27" t="s">
        <v>1131</v>
      </c>
      <c r="D402" s="27" t="s">
        <v>1069</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95</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1087</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1298</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1299</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1167</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1269</v>
      </c>
      <c r="B408" s="27" t="s">
        <v>1092</v>
      </c>
      <c r="C408" s="27" t="s">
        <v>1072</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1300</v>
      </c>
      <c r="B409" s="27" t="s">
        <v>1095</v>
      </c>
      <c r="C409" s="27" t="s">
        <v>1117</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1087</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1301</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1155</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1193</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1153</v>
      </c>
      <c r="B414" s="27" t="s">
        <v>1071</v>
      </c>
      <c r="C414" s="27" t="s">
        <v>1110</v>
      </c>
      <c r="D414" s="27" t="s">
        <v>1069</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1080</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row>
    <row r="417" spans="1:12">
      <c r="A417" s="20" t="s">
        <v>1302</v>
      </c>
    </row>
    <row r="418" spans="1:12">
      <c r="A418" s="20" t="s">
        <v>1082</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1167</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1299</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1303</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1304</v>
      </c>
      <c r="B422" s="27" t="s">
        <v>1067</v>
      </c>
      <c r="C422" s="27" t="s">
        <v>1077</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1305</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1087</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1166</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1306</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1128</v>
      </c>
      <c r="B427" s="27" t="s">
        <v>1092</v>
      </c>
      <c r="C427" s="27" t="s">
        <v>1129</v>
      </c>
      <c r="D427" s="27" t="s">
        <v>1069</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1271</v>
      </c>
      <c r="B428" s="27" t="s">
        <v>1095</v>
      </c>
      <c r="C428" s="27" t="s">
        <v>1131</v>
      </c>
      <c r="D428" s="27" t="s">
        <v>1069</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46</v>
      </c>
      <c r="B429" s="27" t="s">
        <v>1160</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1080</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row>
    <row r="432" spans="1:12">
      <c r="A432" s="20" t="s">
        <v>1307</v>
      </c>
    </row>
    <row r="433" spans="1:12">
      <c r="A433" s="20" t="s">
        <v>1123</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1188</v>
      </c>
      <c r="B434" s="27" t="s">
        <v>1067</v>
      </c>
      <c r="C434" s="27" t="s">
        <v>1110</v>
      </c>
      <c r="D434" s="27" t="s">
        <v>1069</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46</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1125</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1306</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841</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1308</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row>
    <row r="441" spans="1:12">
      <c r="A441" s="20" t="s">
        <v>1309</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1310</v>
      </c>
    </row>
    <row r="443" spans="1:12">
      <c r="A443" s="20" t="s">
        <v>1311</v>
      </c>
      <c r="B443" s="27" t="s">
        <v>1067</v>
      </c>
      <c r="C443" s="27" t="s">
        <v>1068</v>
      </c>
      <c r="D443" s="27" t="s">
        <v>1069</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1312</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1104</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1313</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12</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1314</v>
      </c>
      <c r="B448" s="27" t="s">
        <v>1160</v>
      </c>
      <c r="C448" s="27" t="s">
        <v>1086</v>
      </c>
      <c r="D448" s="27" t="s">
        <v>1069</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1315</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1316</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1317</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1318</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1319</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1108</v>
      </c>
      <c r="B454" s="27" t="s">
        <v>1095</v>
      </c>
      <c r="C454" s="27" t="s">
        <v>1110</v>
      </c>
      <c r="D454" s="27" t="s">
        <v>1069</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1320</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1321</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1142</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1322</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1323</v>
      </c>
      <c r="B459" s="27" t="s">
        <v>1071</v>
      </c>
      <c r="C459" s="27" t="s">
        <v>1077</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173</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1324</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row>
    <row r="463" spans="1:12">
      <c r="A463" s="20" t="s">
        <v>1309</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1325</v>
      </c>
    </row>
    <row r="465" spans="1:12">
      <c r="A465" s="20" t="s">
        <v>109</v>
      </c>
      <c r="B465" s="27" t="s">
        <v>1074</v>
      </c>
      <c r="C465" s="27" t="s">
        <v>1077</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1155</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1104</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1326</v>
      </c>
      <c r="B468" s="27" t="s">
        <v>1074</v>
      </c>
      <c r="C468" s="27" t="s">
        <v>1086</v>
      </c>
      <c r="D468" s="27" t="s">
        <v>1069</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1161</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141</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1327</v>
      </c>
      <c r="B471" s="27" t="s">
        <v>1071</v>
      </c>
      <c r="C471" s="27" t="s">
        <v>1120</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1324</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1318</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row>
    <row r="475" spans="1:12">
      <c r="A475" s="20" t="s">
        <v>1328</v>
      </c>
    </row>
    <row r="476" spans="1:12">
      <c r="A476" s="20" t="s">
        <v>1164</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1329</v>
      </c>
      <c r="B477" s="27" t="s">
        <v>1067</v>
      </c>
      <c r="C477" s="27" t="s">
        <v>1086</v>
      </c>
      <c r="D477" s="27" t="s">
        <v>1069</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1191</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1317</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1330</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1108</v>
      </c>
      <c r="B481" s="27" t="s">
        <v>1095</v>
      </c>
      <c r="C481" s="27" t="s">
        <v>1110</v>
      </c>
      <c r="D481" s="27" t="s">
        <v>1069</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1322</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1323</v>
      </c>
      <c r="B483" s="27" t="s">
        <v>1074</v>
      </c>
      <c r="C483" s="27" t="s">
        <v>1077</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173</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1087</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1184</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1104</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1331</v>
      </c>
      <c r="B488" s="27" t="s">
        <v>1095</v>
      </c>
      <c r="C488" s="27" t="s">
        <v>1086</v>
      </c>
      <c r="D488" s="27" t="s">
        <v>1069</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1332</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1333</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1080</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row>
    <row r="493" spans="1:12">
      <c r="A493" s="20" t="s">
        <v>1334</v>
      </c>
    </row>
    <row r="494" spans="1:12">
      <c r="A494" s="20" t="s">
        <v>1335</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1191</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1167</v>
      </c>
      <c r="B496" s="27" t="s">
        <v>1067</v>
      </c>
      <c r="C496" s="27" t="s">
        <v>1068</v>
      </c>
      <c r="D496" s="27" t="s">
        <v>1069</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1185</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1336</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1337</v>
      </c>
      <c r="B499" s="27" t="s">
        <v>1074</v>
      </c>
      <c r="C499" s="27" t="s">
        <v>1120</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1080</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row>
    <row r="502" spans="1:12">
      <c r="A502" s="20" t="s">
        <v>1338</v>
      </c>
    </row>
    <row r="503" spans="1:12">
      <c r="A503" s="20" t="s">
        <v>1158</v>
      </c>
      <c r="B503" s="27" t="s">
        <v>1067</v>
      </c>
      <c r="C503" s="27" t="s">
        <v>1068</v>
      </c>
      <c r="D503" s="27" t="s">
        <v>1069</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1191</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1339</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1340</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1138</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1070</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121</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1087</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1108</v>
      </c>
      <c r="B511" s="27" t="s">
        <v>1095</v>
      </c>
      <c r="C511" s="27" t="s">
        <v>1110</v>
      </c>
      <c r="D511" s="27" t="s">
        <v>1069</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157</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141</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1341</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1342</v>
      </c>
      <c r="B515" s="27" t="s">
        <v>1141</v>
      </c>
      <c r="C515" s="27" t="s">
        <v>1117</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1343</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1344</v>
      </c>
      <c r="B517" s="27" t="s">
        <v>1090</v>
      </c>
      <c r="C517" s="27" t="s">
        <v>1120</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1087</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1097</v>
      </c>
      <c r="B519" s="27" t="s">
        <v>1235</v>
      </c>
      <c r="C519" s="27" t="s">
        <v>1110</v>
      </c>
      <c r="D519" s="27" t="s">
        <v>1069</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1345</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1200</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20</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1342</v>
      </c>
      <c r="B523" s="27" t="s">
        <v>1116</v>
      </c>
      <c r="C523" s="27" t="s">
        <v>1117</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1346</v>
      </c>
      <c r="B524" s="27" t="s">
        <v>1141</v>
      </c>
      <c r="C524" s="27" t="s">
        <v>1120</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1347</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1348</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1080</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row>
    <row r="529" spans="1:12">
      <c r="A529" s="20" t="s">
        <v>1349</v>
      </c>
    </row>
    <row r="530" spans="1:12">
      <c r="A530" s="20" t="s">
        <v>1350</v>
      </c>
      <c r="B530" s="27" t="s">
        <v>1160</v>
      </c>
      <c r="C530" s="27" t="s">
        <v>1110</v>
      </c>
      <c r="D530" s="27" t="s">
        <v>1069</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1173</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1351</v>
      </c>
      <c r="B532" s="27" t="s">
        <v>1067</v>
      </c>
      <c r="C532" s="27" t="s">
        <v>1072</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1352</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1353</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1354</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1347</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125</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1080</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row>
    <row r="540" spans="1:12">
      <c r="A540" s="20" t="s">
        <v>1355</v>
      </c>
    </row>
    <row r="541" spans="1:12">
      <c r="A541" s="20" t="s">
        <v>1175</v>
      </c>
      <c r="B541" s="27" t="s">
        <v>1067</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1356</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1348</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1339</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1357</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1358</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1087</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1142</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1323</v>
      </c>
      <c r="B549" s="27" t="s">
        <v>1074</v>
      </c>
      <c r="C549" s="27" t="s">
        <v>1077</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1080</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row>
    <row r="552" spans="1:12">
      <c r="A552" s="20" t="s">
        <v>1359</v>
      </c>
    </row>
    <row r="553" spans="1:12">
      <c r="A553" s="20" t="s">
        <v>1210</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1087</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1108</v>
      </c>
      <c r="B555" s="27" t="s">
        <v>1067</v>
      </c>
      <c r="C555" s="27" t="s">
        <v>1110</v>
      </c>
      <c r="D555" s="27" t="s">
        <v>1069</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133</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1360</v>
      </c>
      <c r="B557" s="27" t="s">
        <v>1071</v>
      </c>
      <c r="C557" s="27" t="s">
        <v>1072</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1361</v>
      </c>
      <c r="B558" s="27" t="s">
        <v>1074</v>
      </c>
      <c r="C558" s="27" t="s">
        <v>1077</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1185</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1362</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1363</v>
      </c>
      <c r="B561" s="27" t="s">
        <v>1160</v>
      </c>
      <c r="C561" s="27" t="s">
        <v>1120</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1364</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1087</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1075</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108</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1115</v>
      </c>
      <c r="B566" s="27" t="s">
        <v>1071</v>
      </c>
      <c r="C566" s="27" t="s">
        <v>1117</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1365</v>
      </c>
      <c r="B567" s="27" t="s">
        <v>1074</v>
      </c>
      <c r="C567" s="27" t="s">
        <v>1077</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1080</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row>
    <row r="570" spans="1:12">
      <c r="A570" s="20" t="s">
        <v>1366</v>
      </c>
    </row>
    <row r="571" spans="1:12">
      <c r="A571" s="20" t="s">
        <v>1367</v>
      </c>
      <c r="B571" s="27" t="s">
        <v>1071</v>
      </c>
      <c r="C571" s="27" t="s">
        <v>1072</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1368</v>
      </c>
      <c r="B572" s="27" t="s">
        <v>1067</v>
      </c>
      <c r="C572" s="27" t="s">
        <v>1077</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1369</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86</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1365</v>
      </c>
      <c r="B575" s="27" t="s">
        <v>1074</v>
      </c>
      <c r="C575" s="27" t="s">
        <v>1117</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1080</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row>
    <row r="578" spans="1:12">
      <c r="A578" s="20" t="s">
        <v>1370</v>
      </c>
    </row>
    <row r="579" spans="1:12">
      <c r="A579" s="20" t="s">
        <v>1130</v>
      </c>
      <c r="B579" s="27" t="s">
        <v>1067</v>
      </c>
      <c r="C579" s="27" t="s">
        <v>1077</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1364</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1371</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1372</v>
      </c>
      <c r="B582" s="27" t="s">
        <v>1074</v>
      </c>
      <c r="C582" s="27" t="s">
        <v>1117</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1087</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1373</v>
      </c>
      <c r="B584" s="27" t="s">
        <v>1071</v>
      </c>
      <c r="C584" s="27" t="s">
        <v>1110</v>
      </c>
      <c r="D584" s="27" t="s">
        <v>1069</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1138</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1185</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1080</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row>
    <row r="589" spans="1:12">
      <c r="A589" s="20" t="s">
        <v>1374</v>
      </c>
    </row>
    <row r="590" spans="1:12">
      <c r="A590" s="20" t="s">
        <v>1375</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1143</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1376</v>
      </c>
      <c r="B592" s="27" t="s">
        <v>1074</v>
      </c>
      <c r="C592" s="27" t="s">
        <v>1086</v>
      </c>
      <c r="D592" s="27" t="s">
        <v>1069</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1124</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1167</v>
      </c>
      <c r="B594" s="27" t="s">
        <v>1067</v>
      </c>
      <c r="C594" s="27" t="s">
        <v>1068</v>
      </c>
      <c r="D594" s="27" t="s">
        <v>1069</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1369</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16</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1365</v>
      </c>
      <c r="B597" s="27" t="s">
        <v>1074</v>
      </c>
      <c r="C597" s="27" t="s">
        <v>1117</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1127</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1139</v>
      </c>
      <c r="B599" s="27" t="s">
        <v>1074</v>
      </c>
      <c r="C599" s="27" t="s">
        <v>1072</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1142</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1143</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1144</v>
      </c>
      <c r="B602" s="27" t="s">
        <v>1071</v>
      </c>
      <c r="C602" s="27" t="s">
        <v>1086</v>
      </c>
      <c r="D602" s="27" t="s">
        <v>1069</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1080</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row>
    <row r="605" spans="1:12">
      <c r="A605" s="20" t="s">
        <v>1377</v>
      </c>
    </row>
    <row r="606" spans="1:12">
      <c r="A606" s="20" t="s">
        <v>1082</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1378</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129</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1108</v>
      </c>
      <c r="B609" s="27" t="s">
        <v>1067</v>
      </c>
      <c r="C609" s="27" t="s">
        <v>1110</v>
      </c>
      <c r="D609" s="27" t="s">
        <v>1069</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1281</v>
      </c>
      <c r="B610" s="27" t="s">
        <v>1160</v>
      </c>
      <c r="C610" s="27" t="s">
        <v>1077</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145</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1087</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1104</v>
      </c>
      <c r="B613" s="27" t="s">
        <v>1095</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1083</v>
      </c>
      <c r="B614" s="27" t="s">
        <v>1090</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1142</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1323</v>
      </c>
      <c r="B616" s="27" t="s">
        <v>1071</v>
      </c>
      <c r="C616" s="27" t="s">
        <v>1077</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193</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1080</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row>
    <row r="620" spans="1:12">
      <c r="A620" s="20" t="s">
        <v>1379</v>
      </c>
    </row>
    <row r="621" spans="1:12">
      <c r="A621" s="20" t="s">
        <v>1158</v>
      </c>
      <c r="B621" s="27" t="s">
        <v>1067</v>
      </c>
      <c r="C621" s="27" t="s">
        <v>1068</v>
      </c>
      <c r="D621" s="27" t="s">
        <v>1069</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1191</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1380</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1381</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1382</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1080</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row>
    <row r="628" spans="1:12">
      <c r="A628" s="20" t="s">
        <v>1383</v>
      </c>
    </row>
    <row r="629" spans="1:12">
      <c r="A629" s="20" t="s">
        <v>1384</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1385</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1386</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1281</v>
      </c>
      <c r="B632" s="27" t="s">
        <v>1067</v>
      </c>
      <c r="C632" s="27" t="s">
        <v>1077</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157</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1167</v>
      </c>
      <c r="B634" s="27" t="s">
        <v>1067</v>
      </c>
      <c r="C634" s="27" t="s">
        <v>1068</v>
      </c>
      <c r="D634" s="27" t="s">
        <v>1069</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1387</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1388</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1078</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1108</v>
      </c>
      <c r="B638" s="27" t="s">
        <v>1095</v>
      </c>
      <c r="C638" s="27" t="s">
        <v>1110</v>
      </c>
      <c r="D638" s="27" t="s">
        <v>1069</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129</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1199</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1389</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1292</v>
      </c>
      <c r="B642" s="27" t="s">
        <v>1071</v>
      </c>
      <c r="C642" s="27" t="s">
        <v>1077</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1070</v>
      </c>
      <c r="B643" s="27" t="s">
        <v>1092</v>
      </c>
      <c r="C643" s="27" t="s">
        <v>1072</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1390</v>
      </c>
      <c r="B644" s="27" t="s">
        <v>1071</v>
      </c>
      <c r="C644" s="27" t="s">
        <v>1077</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223</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1078</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1070</v>
      </c>
      <c r="B647" s="27" t="s">
        <v>1071</v>
      </c>
      <c r="C647" s="27" t="s">
        <v>1072</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1200</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1390</v>
      </c>
      <c r="B649" s="27" t="s">
        <v>1074</v>
      </c>
      <c r="C649" s="27" t="s">
        <v>1120</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1391</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1142</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1323</v>
      </c>
      <c r="B652" s="27" t="s">
        <v>1071</v>
      </c>
      <c r="C652" s="27" t="s">
        <v>1077</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1080</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row>
    <row r="655" spans="1:12">
      <c r="A655" s="20" t="s">
        <v>1392</v>
      </c>
    </row>
    <row r="656" spans="1:12">
      <c r="A656" s="20" t="s">
        <v>1393</v>
      </c>
      <c r="B656" s="27" t="s">
        <v>1071</v>
      </c>
      <c r="C656" s="27" t="s">
        <v>1129</v>
      </c>
      <c r="D656" s="27" t="s">
        <v>1069</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1260</v>
      </c>
      <c r="B657" s="27" t="s">
        <v>1067</v>
      </c>
      <c r="C657" s="27" t="s">
        <v>1131</v>
      </c>
      <c r="D657" s="27" t="s">
        <v>1069</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1268</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1394</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1395</v>
      </c>
      <c r="B660" s="27" t="s">
        <v>1160</v>
      </c>
      <c r="C660" s="27" t="s">
        <v>1117</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1080</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row>
    <row r="663" spans="1:12">
      <c r="A663" s="20" t="s">
        <v>1396</v>
      </c>
    </row>
    <row r="664" spans="1:12">
      <c r="A664" s="20" t="s">
        <v>1397</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1398</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161</v>
      </c>
      <c r="B666" s="27" t="s">
        <v>1074</v>
      </c>
      <c r="C666" s="27" t="s">
        <v>1120</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1080</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row>
    <row r="669" spans="1:12">
      <c r="A669" s="20" t="s">
        <v>1399</v>
      </c>
    </row>
    <row r="670" spans="1:12">
      <c r="A670" s="20" t="s">
        <v>1197</v>
      </c>
      <c r="B670" s="27" t="s">
        <v>1067</v>
      </c>
      <c r="C670" s="27" t="s">
        <v>1068</v>
      </c>
      <c r="D670" s="27" t="s">
        <v>1069</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157</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1400</v>
      </c>
      <c r="B672" s="27" t="s">
        <v>1071</v>
      </c>
      <c r="C672" s="27" t="s">
        <v>1129</v>
      </c>
      <c r="D672" s="27" t="s">
        <v>1069</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793</v>
      </c>
      <c r="B673" s="27" t="s">
        <v>1067</v>
      </c>
      <c r="C673" s="27" t="s">
        <v>1131</v>
      </c>
      <c r="D673" s="27" t="s">
        <v>1069</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1401</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12</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1256</v>
      </c>
      <c r="B676" s="27" t="s">
        <v>1071</v>
      </c>
      <c r="C676" s="27" t="s">
        <v>1134</v>
      </c>
      <c r="D676" s="27" t="s">
        <v>1069</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12</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1087</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1083</v>
      </c>
      <c r="B679" s="27" t="s">
        <v>1235</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1197</v>
      </c>
      <c r="B680" s="27" t="s">
        <v>1235</v>
      </c>
      <c r="C680" s="27" t="s">
        <v>1068</v>
      </c>
      <c r="D680" s="27" t="s">
        <v>1069</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1402</v>
      </c>
      <c r="B681" s="27" t="s">
        <v>1250</v>
      </c>
      <c r="C681" s="27" t="s">
        <v>1077</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1323</v>
      </c>
      <c r="B682" s="27" t="s">
        <v>1116</v>
      </c>
      <c r="C682" s="27" t="s">
        <v>1077</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1403</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165</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1078</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1083</v>
      </c>
      <c r="B686" s="27" t="s">
        <v>1095</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1184</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1199</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1097</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1404</v>
      </c>
      <c r="B690" s="27" t="s">
        <v>1071</v>
      </c>
      <c r="C690" s="27" t="s">
        <v>1086</v>
      </c>
      <c r="D690" s="27" t="s">
        <v>1069</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1097</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1130</v>
      </c>
      <c r="B692" s="27" t="s">
        <v>1092</v>
      </c>
      <c r="C692" s="27" t="s">
        <v>1086</v>
      </c>
      <c r="D692" s="27" t="s">
        <v>1069</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1405</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1087</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1199</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1113</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1406</v>
      </c>
      <c r="B697" s="27" t="s">
        <v>1074</v>
      </c>
      <c r="C697" s="27" t="s">
        <v>1086</v>
      </c>
      <c r="D697" s="27" t="s">
        <v>1069</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1087</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1104</v>
      </c>
      <c r="B699" s="27" t="s">
        <v>1133</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1407</v>
      </c>
      <c r="B700" s="27" t="s">
        <v>1141</v>
      </c>
      <c r="C700" s="27" t="s">
        <v>1072</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1408</v>
      </c>
      <c r="B701" s="27" t="s">
        <v>1106</v>
      </c>
      <c r="C701" s="27" t="s">
        <v>1077</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1224</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1143</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1376</v>
      </c>
      <c r="B704" s="27" t="s">
        <v>1092</v>
      </c>
      <c r="C704" s="27" t="s">
        <v>1086</v>
      </c>
      <c r="D704" s="27" t="s">
        <v>1069</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1409</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1087</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1097</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1410</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1076</v>
      </c>
      <c r="B709" s="27" t="s">
        <v>1074</v>
      </c>
      <c r="C709" s="27" t="s">
        <v>1086</v>
      </c>
      <c r="D709" s="27" t="s">
        <v>1069</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1127</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1139</v>
      </c>
      <c r="B711" s="27" t="s">
        <v>1092</v>
      </c>
      <c r="C711" s="27" t="s">
        <v>1072</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1411</v>
      </c>
      <c r="B712" s="27" t="s">
        <v>1071</v>
      </c>
      <c r="C712" s="27" t="s">
        <v>1077</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1078</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1143</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1256</v>
      </c>
      <c r="B715" s="27" t="s">
        <v>1092</v>
      </c>
      <c r="C715" s="27" t="s">
        <v>1134</v>
      </c>
      <c r="D715" s="27" t="s">
        <v>1069</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1087</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1083</v>
      </c>
      <c r="B717" s="27" t="s">
        <v>1133</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1412</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1413</v>
      </c>
      <c r="B719" s="27" t="s">
        <v>1092</v>
      </c>
      <c r="C719" s="27" t="s">
        <v>1077</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1414</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1184</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1080</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row>
    <row r="724" spans="1:12">
      <c r="A724" s="20" t="s">
        <v>1415</v>
      </c>
    </row>
    <row r="725" spans="1:12">
      <c r="A725" s="20" t="s">
        <v>1416</v>
      </c>
      <c r="B725" s="27" t="s">
        <v>1160</v>
      </c>
      <c r="C725" s="27" t="s">
        <v>1077</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1197</v>
      </c>
      <c r="B726" s="27" t="s">
        <v>1095</v>
      </c>
      <c r="C726" s="27" t="s">
        <v>1068</v>
      </c>
      <c r="D726" s="27" t="s">
        <v>1069</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1242</v>
      </c>
      <c r="B727" s="27" t="s">
        <v>1090</v>
      </c>
      <c r="C727" s="27" t="s">
        <v>1110</v>
      </c>
      <c r="D727" s="27" t="s">
        <v>1069</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1243</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1139</v>
      </c>
      <c r="B729" s="27" t="s">
        <v>1071</v>
      </c>
      <c r="C729" s="27" t="s">
        <v>1072</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1417</v>
      </c>
      <c r="B730" s="27" t="s">
        <v>1160</v>
      </c>
      <c r="C730" s="27" t="s">
        <v>1077</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1418</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169</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1078</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609</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1108</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1087</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1166</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1108</v>
      </c>
      <c r="B738" s="27" t="s">
        <v>1095</v>
      </c>
      <c r="C738" s="27" t="s">
        <v>1110</v>
      </c>
      <c r="D738" s="27" t="s">
        <v>1069</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1083</v>
      </c>
      <c r="B739" s="27" t="s">
        <v>1090</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1142</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1323</v>
      </c>
      <c r="B741" s="27" t="s">
        <v>1071</v>
      </c>
      <c r="C741" s="27" t="s">
        <v>1077</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248</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1080</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row>
    <row r="745" spans="1:12">
      <c r="A745" s="20" t="s">
        <v>1419</v>
      </c>
    </row>
    <row r="746" spans="1:12">
      <c r="A746" s="20" t="s">
        <v>1420</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1348</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1185</v>
      </c>
      <c r="B748" s="27" t="s">
        <v>1067</v>
      </c>
      <c r="C748" s="27" t="s">
        <v>1072</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1421</v>
      </c>
      <c r="B749" s="27" t="s">
        <v>1092</v>
      </c>
      <c r="C749" s="27" t="s">
        <v>1129</v>
      </c>
      <c r="D749" s="27" t="s">
        <v>1069</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1422</v>
      </c>
      <c r="B750" s="27" t="s">
        <v>1071</v>
      </c>
      <c r="C750" s="27" t="s">
        <v>1131</v>
      </c>
      <c r="D750" s="27" t="s">
        <v>1069</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1193</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404</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1207</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1323</v>
      </c>
      <c r="B754" s="27" t="s">
        <v>1071</v>
      </c>
      <c r="C754" s="27" t="s">
        <v>1077</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173</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1080</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row>
    <row r="758" spans="1:12">
      <c r="A758" s="20" t="s">
        <v>1423</v>
      </c>
    </row>
    <row r="759" spans="1:12">
      <c r="A759" s="20" t="s">
        <v>1210</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1083</v>
      </c>
      <c r="B760" s="27" t="s">
        <v>1067</v>
      </c>
      <c r="C760" s="27" t="s">
        <v>1129</v>
      </c>
      <c r="D760" s="27" t="s">
        <v>1069</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1191</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1424</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1425</v>
      </c>
      <c r="B763" s="27" t="s">
        <v>1074</v>
      </c>
      <c r="C763" s="27" t="s">
        <v>1077</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1087</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1301</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223</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1108</v>
      </c>
      <c r="B767" s="27" t="s">
        <v>1095</v>
      </c>
      <c r="C767" s="27" t="s">
        <v>1110</v>
      </c>
      <c r="D767" s="27" t="s">
        <v>1069</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1167</v>
      </c>
      <c r="B768" s="27" t="s">
        <v>1095</v>
      </c>
      <c r="C768" s="27" t="s">
        <v>1068</v>
      </c>
      <c r="D768" s="27" t="s">
        <v>1069</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1426</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1427</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1080</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row>
    <row r="773" spans="1:12">
      <c r="A773" s="20" t="s">
        <v>1428</v>
      </c>
    </row>
    <row r="774" spans="1:12">
      <c r="A774" s="20" t="s">
        <v>1429</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157</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1108</v>
      </c>
      <c r="B776" s="27" t="s">
        <v>1067</v>
      </c>
      <c r="C776" s="27" t="s">
        <v>1110</v>
      </c>
      <c r="D776" s="27" t="s">
        <v>1069</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1104</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1430</v>
      </c>
      <c r="B778" s="27" t="s">
        <v>1160</v>
      </c>
      <c r="C778" s="27" t="s">
        <v>1086</v>
      </c>
      <c r="D778" s="27" t="s">
        <v>1069</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1080</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row>
    <row r="781" spans="1:12">
      <c r="A781" s="20" t="s">
        <v>1431</v>
      </c>
    </row>
    <row r="782" spans="1:12">
      <c r="A782" s="20" t="s">
        <v>1064</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185</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1432</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1115</v>
      </c>
      <c r="B785" s="27" t="s">
        <v>1071</v>
      </c>
      <c r="C785" s="27" t="s">
        <v>1117</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1130</v>
      </c>
      <c r="B786" s="27" t="s">
        <v>1067</v>
      </c>
      <c r="C786" s="27" t="s">
        <v>1077</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1087</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1078</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1167</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1433</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1142</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42</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1115</v>
      </c>
      <c r="B793" s="27" t="s">
        <v>1071</v>
      </c>
      <c r="C793" s="27" t="s">
        <v>1117</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1070</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1080</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row>
    <row r="797" spans="1:12">
      <c r="A797" s="20" t="s">
        <v>1434</v>
      </c>
    </row>
    <row r="798" spans="1:12">
      <c r="A798" s="20" t="s">
        <v>1104</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1089</v>
      </c>
      <c r="B799" s="27" t="s">
        <v>1160</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1142</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42</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1115</v>
      </c>
      <c r="B802" s="27" t="s">
        <v>1074</v>
      </c>
      <c r="C802" s="27" t="s">
        <v>1117</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1070</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189</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1080</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row>
    <row r="807" spans="1:12">
      <c r="A807" s="20" t="s">
        <v>1435</v>
      </c>
    </row>
    <row r="808" spans="1:12">
      <c r="A808" s="20" t="s">
        <v>1436</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1108</v>
      </c>
      <c r="B809" s="27" t="s">
        <v>1095</v>
      </c>
      <c r="C809" s="27" t="s">
        <v>1110</v>
      </c>
      <c r="D809" s="27" t="s">
        <v>1069</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1193</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1437</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1246</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1438</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1439</v>
      </c>
      <c r="B814" s="27" t="s">
        <v>1092</v>
      </c>
      <c r="C814" s="27" t="s">
        <v>1077</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1087</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1097</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1440</v>
      </c>
      <c r="B817" s="27" t="s">
        <v>1141</v>
      </c>
      <c r="C817" s="27" t="s">
        <v>1086</v>
      </c>
      <c r="D817" s="27" t="s">
        <v>1069</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1078</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1441</v>
      </c>
      <c r="B819" s="27" t="s">
        <v>1141</v>
      </c>
      <c r="C819" s="27" t="s">
        <v>1077</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1124</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1203</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1108</v>
      </c>
      <c r="B822" s="27" t="s">
        <v>1067</v>
      </c>
      <c r="C822" s="27" t="s">
        <v>1110</v>
      </c>
      <c r="D822" s="27" t="s">
        <v>1069</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1083</v>
      </c>
      <c r="B823" s="27" t="s">
        <v>1160</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1442</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1100</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1443</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1391</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1444</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193</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1087</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1301</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1070</v>
      </c>
      <c r="B832" s="27" t="s">
        <v>1092</v>
      </c>
      <c r="C832" s="27" t="s">
        <v>1072</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1097</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1211</v>
      </c>
      <c r="B834" s="27" t="s">
        <v>1071</v>
      </c>
      <c r="C834" s="27" t="s">
        <v>1086</v>
      </c>
      <c r="D834" s="27" t="s">
        <v>1069</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216</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1108</v>
      </c>
      <c r="B836" s="27" t="s">
        <v>1095</v>
      </c>
      <c r="C836" s="27" t="s">
        <v>1110</v>
      </c>
      <c r="D836" s="27" t="s">
        <v>1069</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1185</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1445</v>
      </c>
      <c r="B838" s="27" t="s">
        <v>1090</v>
      </c>
      <c r="C838" s="27" t="s">
        <v>1120</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1100</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1446</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1080</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row>
    <row r="843" spans="1:12">
      <c r="A843" s="20" t="s">
        <v>1447</v>
      </c>
    </row>
    <row r="844" spans="1:12">
      <c r="A844" s="20" t="s">
        <v>1448</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1449</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1417</v>
      </c>
      <c r="B846" s="27" t="s">
        <v>1067</v>
      </c>
      <c r="C846" s="27" t="s">
        <v>1086</v>
      </c>
      <c r="D846" s="27" t="s">
        <v>1069</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1124</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1104</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1450</v>
      </c>
      <c r="B849" s="27" t="s">
        <v>1074</v>
      </c>
      <c r="C849" s="27" t="s">
        <v>1086</v>
      </c>
      <c r="D849" s="27" t="s">
        <v>1069</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1087</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1104</v>
      </c>
      <c r="B851" s="27" t="s">
        <v>1090</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1108</v>
      </c>
      <c r="B852" s="27" t="s">
        <v>1095</v>
      </c>
      <c r="C852" s="27" t="s">
        <v>1110</v>
      </c>
      <c r="D852" s="27" t="s">
        <v>1069</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655</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1080</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row>
    <row r="856" spans="1:12">
      <c r="A856" s="20" t="s">
        <v>1451</v>
      </c>
    </row>
    <row r="857" spans="1:12">
      <c r="A857" s="20" t="s">
        <v>1175</v>
      </c>
      <c r="B857" s="27" t="s">
        <v>1067</v>
      </c>
      <c r="C857" s="27" t="s">
        <v>1129</v>
      </c>
      <c r="D857" s="27" t="s">
        <v>1069</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1452</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1453</v>
      </c>
      <c r="B859" s="27" t="s">
        <v>1160</v>
      </c>
      <c r="C859" s="27" t="s">
        <v>1072</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1087</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1104</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1454</v>
      </c>
      <c r="B862" s="27" t="s">
        <v>1160</v>
      </c>
      <c r="C862" s="27" t="s">
        <v>1086</v>
      </c>
      <c r="D862" s="27" t="s">
        <v>1069</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1087</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1104</v>
      </c>
      <c r="B864" s="27" t="s">
        <v>1106</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1108</v>
      </c>
      <c r="B865" s="27" t="s">
        <v>1133</v>
      </c>
      <c r="C865" s="27" t="s">
        <v>1110</v>
      </c>
      <c r="D865" s="27" t="s">
        <v>1069</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917</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1087</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1455</v>
      </c>
      <c r="B868" s="27" t="s">
        <v>1071</v>
      </c>
      <c r="C868" s="27" t="s">
        <v>1077</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1087</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1456</v>
      </c>
      <c r="B870" s="27" t="s">
        <v>1071</v>
      </c>
      <c r="C870" s="27" t="s">
        <v>1077</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1087</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1457</v>
      </c>
      <c r="B872" s="27" t="s">
        <v>1071</v>
      </c>
      <c r="C872" s="27" t="s">
        <v>1077</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1080</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row>
    <row r="875" spans="1:12">
      <c r="A875" s="20" t="s">
        <v>1458</v>
      </c>
    </row>
    <row r="876" spans="1:12">
      <c r="A876" s="20" t="s">
        <v>1175</v>
      </c>
      <c r="B876" s="27" t="s">
        <v>1095</v>
      </c>
      <c r="C876" s="27" t="s">
        <v>1110</v>
      </c>
      <c r="D876" s="27" t="s">
        <v>1069</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1124</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1193</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1459</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1105</v>
      </c>
      <c r="B880" s="27" t="s">
        <v>1067</v>
      </c>
      <c r="C880" s="27" t="s">
        <v>1077</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1078</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1204</v>
      </c>
      <c r="B882" s="27" t="s">
        <v>1071</v>
      </c>
      <c r="C882" s="27" t="s">
        <v>1077</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1148</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1087</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1128</v>
      </c>
      <c r="B885" s="27" t="s">
        <v>1092</v>
      </c>
      <c r="C885" s="27" t="s">
        <v>1129</v>
      </c>
      <c r="D885" s="27" t="s">
        <v>1069</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1450</v>
      </c>
      <c r="B886" s="27" t="s">
        <v>1090</v>
      </c>
      <c r="C886" s="27" t="s">
        <v>1131</v>
      </c>
      <c r="D886" s="27" t="s">
        <v>1069</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1460</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1461</v>
      </c>
      <c r="B888" s="27" t="s">
        <v>1090</v>
      </c>
      <c r="C888" s="27" t="s">
        <v>1072</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1142</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1143</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1144</v>
      </c>
      <c r="B891" s="27" t="s">
        <v>1071</v>
      </c>
      <c r="C891" s="27" t="s">
        <v>1086</v>
      </c>
      <c r="D891" s="27" t="s">
        <v>1069</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1462</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1070</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212</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1080</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row>
    <row r="897" spans="1:12">
      <c r="A897" s="20" t="s">
        <v>1463</v>
      </c>
    </row>
    <row r="898" spans="1:12">
      <c r="A898" s="20" t="s">
        <v>1158</v>
      </c>
      <c r="B898" s="27" t="s">
        <v>1067</v>
      </c>
      <c r="C898" s="27" t="s">
        <v>1068</v>
      </c>
      <c r="D898" s="27" t="s">
        <v>1069</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1191</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1464</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1087</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1149</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1128</v>
      </c>
      <c r="B903" s="27" t="s">
        <v>1092</v>
      </c>
      <c r="C903" s="27" t="s">
        <v>1129</v>
      </c>
      <c r="D903" s="27" t="s">
        <v>1069</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1465</v>
      </c>
      <c r="B904" s="27" t="s">
        <v>1095</v>
      </c>
      <c r="C904" s="27" t="s">
        <v>1131</v>
      </c>
      <c r="D904" s="27" t="s">
        <v>1069</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1466</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1080</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row>
    <row r="908" spans="1:12">
      <c r="A908" s="20" t="s">
        <v>1467</v>
      </c>
    </row>
    <row r="909" spans="1:12">
      <c r="A909" s="20" t="s">
        <v>1375</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1097</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256</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1248</v>
      </c>
      <c r="B912" s="27" t="s">
        <v>1074</v>
      </c>
      <c r="C912" s="27" t="s">
        <v>1086</v>
      </c>
      <c r="D912" s="27" t="s">
        <v>1069</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1087</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1224</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1097</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1468</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1469</v>
      </c>
      <c r="B917" s="27" t="s">
        <v>1071</v>
      </c>
      <c r="C917" s="27" t="s">
        <v>1086</v>
      </c>
      <c r="D917" s="27" t="s">
        <v>1069</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1087</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1203</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1108</v>
      </c>
      <c r="B920" s="27" t="s">
        <v>1067</v>
      </c>
      <c r="C920" s="27" t="s">
        <v>1110</v>
      </c>
      <c r="D920" s="27" t="s">
        <v>1069</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1442</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1470</v>
      </c>
      <c r="B922" s="27" t="s">
        <v>1160</v>
      </c>
      <c r="C922" s="27" t="s">
        <v>1077</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212</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1078</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1373</v>
      </c>
      <c r="B925" s="27" t="s">
        <v>1090</v>
      </c>
      <c r="C925" s="27" t="s">
        <v>1072</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655</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1087</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1301</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1224</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1143</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1376</v>
      </c>
      <c r="B931" s="27" t="s">
        <v>1071</v>
      </c>
      <c r="C931" s="27" t="s">
        <v>1086</v>
      </c>
      <c r="D931" s="27" t="s">
        <v>1069</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1184</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1128</v>
      </c>
      <c r="B933" s="27" t="s">
        <v>1092</v>
      </c>
      <c r="C933" s="27" t="s">
        <v>1129</v>
      </c>
      <c r="D933" s="27" t="s">
        <v>1069</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1471</v>
      </c>
      <c r="B934" s="27" t="s">
        <v>1095</v>
      </c>
      <c r="C934" s="27" t="s">
        <v>1131</v>
      </c>
      <c r="D934" s="27" t="s">
        <v>1069</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1360</v>
      </c>
      <c r="B935" s="27" t="s">
        <v>1092</v>
      </c>
      <c r="C935" s="27" t="s">
        <v>1072</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1361</v>
      </c>
      <c r="B936" s="27" t="s">
        <v>1071</v>
      </c>
      <c r="C936" s="27" t="s">
        <v>1077</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1333</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1078</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1089</v>
      </c>
      <c r="B939" s="27" t="s">
        <v>1106</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1283</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1472</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1473</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1138</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1474</v>
      </c>
      <c r="B944" s="27" t="s">
        <v>1092</v>
      </c>
      <c r="C944" s="27" t="s">
        <v>1077</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1087</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1104</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1471</v>
      </c>
      <c r="B947" s="27" t="s">
        <v>1133</v>
      </c>
      <c r="C947" s="27" t="s">
        <v>1086</v>
      </c>
      <c r="D947" s="27" t="s">
        <v>1069</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1097</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1450</v>
      </c>
      <c r="B949" s="27" t="s">
        <v>1141</v>
      </c>
      <c r="C949" s="27" t="s">
        <v>1086</v>
      </c>
      <c r="D949" s="27" t="s">
        <v>1069</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1104</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1412</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1475</v>
      </c>
      <c r="B952" s="27" t="s">
        <v>1141</v>
      </c>
      <c r="C952" s="27" t="s">
        <v>1086</v>
      </c>
      <c r="D952" s="27" t="s">
        <v>1069</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1476</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46</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1080</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row>
    <row r="957" spans="1:12">
      <c r="A957" s="20" t="s">
        <v>1477</v>
      </c>
    </row>
    <row r="958" spans="1:12">
      <c r="A958" s="20" t="s">
        <v>1478</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216</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1108</v>
      </c>
      <c r="B960" s="27" t="s">
        <v>1067</v>
      </c>
      <c r="C960" s="27" t="s">
        <v>1110</v>
      </c>
      <c r="D960" s="27" t="s">
        <v>1069</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1228</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1193</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1479</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1411</v>
      </c>
      <c r="B964" s="27" t="s">
        <v>1160</v>
      </c>
      <c r="C964" s="27" t="s">
        <v>1120</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1080</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row>
    <row r="967" spans="1:12">
      <c r="A967" s="20" t="s">
        <v>1480</v>
      </c>
    </row>
    <row r="968" spans="1:12">
      <c r="A968" s="20" t="s">
        <v>1481</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1167</v>
      </c>
      <c r="B969" s="27" t="s">
        <v>1067</v>
      </c>
      <c r="C969" s="27" t="s">
        <v>1068</v>
      </c>
      <c r="D969" s="27" t="s">
        <v>1069</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1070</v>
      </c>
      <c r="B970" s="27" t="s">
        <v>1071</v>
      </c>
      <c r="C970" s="27" t="s">
        <v>1072</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1482</v>
      </c>
      <c r="B971" s="27" t="s">
        <v>1071</v>
      </c>
      <c r="C971" s="27" t="s">
        <v>1077</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1483</v>
      </c>
      <c r="B972" s="27" t="s">
        <v>1074</v>
      </c>
      <c r="C972" s="27" t="s">
        <v>1077</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1087</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1484</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1351</v>
      </c>
      <c r="B975" s="27" t="s">
        <v>1095</v>
      </c>
      <c r="C975" s="27" t="s">
        <v>1072</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1104</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1485</v>
      </c>
      <c r="B977" s="27" t="s">
        <v>1090</v>
      </c>
      <c r="C977" s="27" t="s">
        <v>1086</v>
      </c>
      <c r="D977" s="27" t="s">
        <v>1069</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1486</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1173</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1324</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row>
    <row r="982" spans="1:12">
      <c r="A982" s="20" t="s">
        <v>1487</v>
      </c>
    </row>
    <row r="983" spans="1:12">
      <c r="A983" s="20" t="s">
        <v>1082</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1128</v>
      </c>
      <c r="B984" s="27" t="s">
        <v>1071</v>
      </c>
      <c r="C984" s="27" t="s">
        <v>1129</v>
      </c>
      <c r="D984" s="27" t="s">
        <v>1069</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1488</v>
      </c>
      <c r="B985" s="27" t="s">
        <v>1067</v>
      </c>
      <c r="C985" s="27" t="s">
        <v>1131</v>
      </c>
      <c r="D985" s="27" t="s">
        <v>1069</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157</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1167</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1155</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1087</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1243</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223</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1188</v>
      </c>
      <c r="B992" s="27" t="s">
        <v>1067</v>
      </c>
      <c r="C992" s="27" t="s">
        <v>1110</v>
      </c>
      <c r="D992" s="27" t="s">
        <v>1069</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1489</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1078</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1486</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1168</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1490</v>
      </c>
      <c r="B997" s="27" t="s">
        <v>1090</v>
      </c>
      <c r="C997" s="27" t="s">
        <v>1171</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1345</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1143</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1491</v>
      </c>
      <c r="B1000" s="27" t="s">
        <v>1071</v>
      </c>
      <c r="C1000" s="27" t="s">
        <v>1086</v>
      </c>
      <c r="D1000" s="27" t="s">
        <v>1069</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1080</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row>
    <row r="1003" spans="1:12">
      <c r="A1003" s="20" t="s">
        <v>1492</v>
      </c>
    </row>
    <row r="1004" spans="1:12">
      <c r="A1004" s="20" t="s">
        <v>1210</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1087</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1096</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1493</v>
      </c>
      <c r="B1007" s="27" t="s">
        <v>1074</v>
      </c>
      <c r="C1007" s="27" t="s">
        <v>1077</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1087</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1143</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1494</v>
      </c>
      <c r="B1010" s="27" t="s">
        <v>1071</v>
      </c>
      <c r="C1010" s="27" t="s">
        <v>1086</v>
      </c>
      <c r="D1010" s="27" t="s">
        <v>1069</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1087</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1104</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1076</v>
      </c>
      <c r="B1013" s="27" t="s">
        <v>1092</v>
      </c>
      <c r="C1013" s="27" t="s">
        <v>1086</v>
      </c>
      <c r="D1013" s="27" t="s">
        <v>1069</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1412</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1411</v>
      </c>
      <c r="B1015" s="27" t="s">
        <v>1141</v>
      </c>
      <c r="C1015" s="27" t="s">
        <v>1077</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1087</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1299</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1167</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1495</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1459</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1496</v>
      </c>
      <c r="B1021" s="27" t="s">
        <v>1160</v>
      </c>
      <c r="C1021" s="27" t="s">
        <v>1077</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1080</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row>
    <row r="1024" spans="1:12">
      <c r="A1024" s="20" t="s">
        <v>1497</v>
      </c>
    </row>
    <row r="1025" spans="1:12">
      <c r="A1025" s="20" t="s">
        <v>1241</v>
      </c>
      <c r="B1025" s="27" t="s">
        <v>1067</v>
      </c>
      <c r="C1025" s="27" t="s">
        <v>1110</v>
      </c>
      <c r="D1025" s="27" t="s">
        <v>1069</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157</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17</v>
      </c>
      <c r="B1027" s="27" t="s">
        <v>1095</v>
      </c>
      <c r="C1027" s="27" t="s">
        <v>1072</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1087</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1083</v>
      </c>
      <c r="B1029" s="27" t="s">
        <v>1235</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1155</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1466</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1087</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1498</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1499</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1500</v>
      </c>
      <c r="B1035" s="27" t="s">
        <v>1074</v>
      </c>
      <c r="C1035" s="27" t="s">
        <v>1117</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1224</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1143</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1501</v>
      </c>
      <c r="B1038" s="27" t="s">
        <v>1071</v>
      </c>
      <c r="C1038" s="27" t="s">
        <v>1086</v>
      </c>
      <c r="D1038" s="27" t="s">
        <v>1069</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1087</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1427</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1502</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1503</v>
      </c>
      <c r="B1042" s="27" t="s">
        <v>1074</v>
      </c>
      <c r="C1042" s="27" t="s">
        <v>1077</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1087</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1427</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1253</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1504</v>
      </c>
      <c r="B1046" s="27" t="s">
        <v>1071</v>
      </c>
      <c r="C1046" s="27" t="s">
        <v>1077</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1224</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1143</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1505</v>
      </c>
      <c r="B1049" s="27" t="s">
        <v>1092</v>
      </c>
      <c r="C1049" s="27" t="s">
        <v>1086</v>
      </c>
      <c r="D1049" s="27" t="s">
        <v>1069</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1087</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1158</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1299</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1153</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1450</v>
      </c>
      <c r="B1054" s="27" t="s">
        <v>1250</v>
      </c>
      <c r="C1054" s="27" t="s">
        <v>1117</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1087</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1150</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1506</v>
      </c>
      <c r="B1057" s="27" t="s">
        <v>1507</v>
      </c>
      <c r="C1057" s="27" t="s">
        <v>1152</v>
      </c>
      <c r="D1057" s="27" t="s">
        <v>1069</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1197</v>
      </c>
      <c r="B1058" s="27" t="s">
        <v>1508</v>
      </c>
      <c r="C1058" s="27" t="s">
        <v>1068</v>
      </c>
      <c r="D1058" s="27" t="s">
        <v>1069</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1509</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193</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1236</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1087</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1509</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1510</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46</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1173</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1087</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395</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1511</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12</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12</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1512</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1513</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row>
    <row r="1075" spans="1:12">
      <c r="A1075" s="20" t="s">
        <v>1514</v>
      </c>
    </row>
    <row r="1076" spans="1:12">
      <c r="A1076" s="20" t="s">
        <v>1515</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1516</v>
      </c>
      <c r="B1077" s="27" t="s">
        <v>1071</v>
      </c>
      <c r="C1077" s="27" t="s">
        <v>1072</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1450</v>
      </c>
      <c r="B1078" s="27" t="s">
        <v>1067</v>
      </c>
      <c r="C1078" s="27" t="s">
        <v>1117</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233</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1089</v>
      </c>
      <c r="B1080" s="27" t="s">
        <v>1160</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1100</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1517</v>
      </c>
      <c r="B1082" s="27" t="s">
        <v>1090</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1518</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1080</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row>
    <row r="1086" spans="1:12">
      <c r="A1086" s="20" t="s">
        <v>1519</v>
      </c>
    </row>
    <row r="1087" spans="1:12">
      <c r="A1087" s="20" t="s">
        <v>1516</v>
      </c>
      <c r="B1087" s="27" t="s">
        <v>1071</v>
      </c>
      <c r="C1087" s="27" t="s">
        <v>1072</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1520</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1450</v>
      </c>
      <c r="B1089" s="27" t="s">
        <v>1067</v>
      </c>
      <c r="C1089" s="27" t="s">
        <v>1117</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233</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1089</v>
      </c>
      <c r="B1091" s="27" t="s">
        <v>1160</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1100</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1517</v>
      </c>
      <c r="B1093" s="27" t="s">
        <v>1090</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1518</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1080</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row>
    <row r="1097" spans="1:12">
      <c r="A1097" s="20" t="s">
        <v>1521</v>
      </c>
    </row>
    <row r="1098" spans="1:12">
      <c r="A1098" s="20" t="s">
        <v>1375</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1140</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1406</v>
      </c>
      <c r="B1100" s="27" t="s">
        <v>1074</v>
      </c>
      <c r="C1100" s="27" t="s">
        <v>1077</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1087</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1166</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1097</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1522</v>
      </c>
      <c r="B1104" s="27" t="s">
        <v>1074</v>
      </c>
      <c r="C1104" s="27" t="s">
        <v>1086</v>
      </c>
      <c r="D1104" s="27" t="s">
        <v>1069</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1199</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1523</v>
      </c>
      <c r="B1106" s="27" t="s">
        <v>1071</v>
      </c>
      <c r="C1106" s="27" t="s">
        <v>1077</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1087</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403</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1524</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12</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12</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1512</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1513</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row>
    <row r="1115" spans="1:12">
      <c r="A1115" s="20" t="s">
        <v>1525</v>
      </c>
    </row>
    <row r="1116" spans="1:12">
      <c r="A1116" s="20" t="s">
        <v>1526</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1161</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1143</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1527</v>
      </c>
      <c r="B1119" s="27" t="s">
        <v>1071</v>
      </c>
      <c r="C1119" s="27" t="s">
        <v>1086</v>
      </c>
      <c r="D1119" s="27" t="s">
        <v>1069</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1161</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1527</v>
      </c>
      <c r="B1121" s="27" t="s">
        <v>1092</v>
      </c>
      <c r="C1121" s="27" t="s">
        <v>1077</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1087</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1191</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1097</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1528</v>
      </c>
      <c r="B1125" s="27" t="s">
        <v>1067</v>
      </c>
      <c r="C1125" s="27" t="s">
        <v>1086</v>
      </c>
      <c r="D1125" s="27" t="s">
        <v>1069</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1127</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1529</v>
      </c>
      <c r="B1127" s="27" t="s">
        <v>1071</v>
      </c>
      <c r="C1127" s="27" t="s">
        <v>1077</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1193</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1159</v>
      </c>
      <c r="B1129" s="27" t="s">
        <v>1160</v>
      </c>
      <c r="C1129" s="27" t="s">
        <v>1110</v>
      </c>
      <c r="D1129" s="27" t="s">
        <v>1069</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1530</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1080</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row>
    <row r="1133" spans="1:12">
      <c r="A1133" s="20" t="s">
        <v>1531</v>
      </c>
    </row>
    <row r="1134" spans="1:12">
      <c r="A1134" s="20" t="s">
        <v>1532</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1087</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1196</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1108</v>
      </c>
      <c r="B1137" s="27" t="s">
        <v>1095</v>
      </c>
      <c r="C1137" s="27" t="s">
        <v>1110</v>
      </c>
      <c r="D1137" s="27" t="s">
        <v>1069</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1533</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1124</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1087</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248</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1108</v>
      </c>
      <c r="B1142" s="27" t="s">
        <v>1067</v>
      </c>
      <c r="C1142" s="27" t="s">
        <v>1110</v>
      </c>
      <c r="D1142" s="27" t="s">
        <v>1069</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1085</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1185</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1534</v>
      </c>
      <c r="B1145" s="27" t="s">
        <v>1160</v>
      </c>
      <c r="C1145" s="27" t="s">
        <v>1120</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1100</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1228</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1417</v>
      </c>
      <c r="B1148" s="27" t="s">
        <v>1071</v>
      </c>
      <c r="C1148" s="27" t="s">
        <v>1120</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20</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1161</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1085</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1136</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1100</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1228</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1417</v>
      </c>
      <c r="B1155" s="27" t="s">
        <v>1074</v>
      </c>
      <c r="C1155" s="27" t="s">
        <v>1120</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32</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1080</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row>
    <row r="1159" spans="1:12">
      <c r="A1159" s="20" t="s">
        <v>1535</v>
      </c>
    </row>
    <row r="1160" spans="1:12">
      <c r="A1160" s="20" t="s">
        <v>1123</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1096</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1113</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1536</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1537</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1395</v>
      </c>
      <c r="B1165" s="27" t="s">
        <v>1074</v>
      </c>
      <c r="C1165" s="27" t="s">
        <v>1538</v>
      </c>
      <c r="D1165" s="27" t="s">
        <v>1069</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1087</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1124</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1108</v>
      </c>
      <c r="B1168" s="27" t="s">
        <v>1067</v>
      </c>
      <c r="C1168" s="27" t="s">
        <v>1110</v>
      </c>
      <c r="D1168" s="27" t="s">
        <v>1069</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1539</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1199</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108</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1115</v>
      </c>
      <c r="B1172" s="27" t="s">
        <v>1074</v>
      </c>
      <c r="C1172" s="27" t="s">
        <v>1117</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1142</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1085</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1540</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56</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1115</v>
      </c>
      <c r="B1177" s="27" t="s">
        <v>1071</v>
      </c>
      <c r="C1177" s="27" t="s">
        <v>1117</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1365</v>
      </c>
      <c r="B1178" s="27" t="s">
        <v>1160</v>
      </c>
      <c r="C1178" s="27" t="s">
        <v>1077</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1541</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1080</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row>
    <row r="1182" spans="1:12">
      <c r="A1182" s="20" t="s">
        <v>1542</v>
      </c>
    </row>
    <row r="1183" spans="1:12">
      <c r="A1183" s="20" t="s">
        <v>1082</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1083</v>
      </c>
      <c r="B1184" s="27" t="s">
        <v>1067</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1543</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1544</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1155</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1364</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1308</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row>
    <row r="1191" spans="1:12">
      <c r="A1191" s="20" t="s">
        <v>1545</v>
      </c>
    </row>
    <row r="1192" spans="1:12">
      <c r="A1192" s="20" t="s">
        <v>1546</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1108</v>
      </c>
      <c r="B1193" s="27" t="s">
        <v>1067</v>
      </c>
      <c r="C1193" s="27" t="s">
        <v>1110</v>
      </c>
      <c r="D1193" s="27" t="s">
        <v>1069</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1242</v>
      </c>
      <c r="B1194" s="27" t="s">
        <v>1160</v>
      </c>
      <c r="C1194" s="27" t="s">
        <v>1110</v>
      </c>
      <c r="D1194" s="27" t="s">
        <v>1069</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1243</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1113</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1547</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1417</v>
      </c>
      <c r="B1198" s="27" t="s">
        <v>1160</v>
      </c>
      <c r="C1198" s="27" t="s">
        <v>1086</v>
      </c>
      <c r="D1198" s="27" t="s">
        <v>1069</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1207</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12</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1078</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1421</v>
      </c>
      <c r="B1202" s="27" t="s">
        <v>1095</v>
      </c>
      <c r="C1202" s="27" t="s">
        <v>1129</v>
      </c>
      <c r="D1202" s="27" t="s">
        <v>1069</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1184</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141</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1548</v>
      </c>
      <c r="B1205" s="27" t="s">
        <v>1074</v>
      </c>
      <c r="C1205" s="27" t="s">
        <v>1120</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841</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12</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1175</v>
      </c>
      <c r="B1208" s="27" t="s">
        <v>1095</v>
      </c>
      <c r="C1208" s="27" t="s">
        <v>1129</v>
      </c>
      <c r="D1208" s="27" t="s">
        <v>1069</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1191</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1104</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1549</v>
      </c>
      <c r="B1211" s="27" t="s">
        <v>1074</v>
      </c>
      <c r="C1211" s="27" t="s">
        <v>1086</v>
      </c>
      <c r="D1211" s="27" t="s">
        <v>1069</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1207</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1256</v>
      </c>
      <c r="B1213" s="27" t="s">
        <v>1071</v>
      </c>
      <c r="C1213" s="27" t="s">
        <v>1134</v>
      </c>
      <c r="D1213" s="27" t="s">
        <v>1069</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1087</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1104</v>
      </c>
      <c r="B1215" s="27" t="s">
        <v>1133</v>
      </c>
      <c r="C1215" s="27" t="s">
        <v>1110</v>
      </c>
      <c r="D1215" s="27" t="s">
        <v>1069</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1412</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1413</v>
      </c>
      <c r="B1217" s="27" t="s">
        <v>1092</v>
      </c>
      <c r="C1217" s="27" t="s">
        <v>1077</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1414</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1184</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1080</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row>
    <row r="1222" spans="1:12">
      <c r="A1222" s="20" t="s">
        <v>1550</v>
      </c>
    </row>
    <row r="1223" spans="1:12">
      <c r="A1223" s="20" t="s">
        <v>1158</v>
      </c>
      <c r="B1223" s="27" t="s">
        <v>1067</v>
      </c>
      <c r="C1223" s="27" t="s">
        <v>1068</v>
      </c>
      <c r="D1223" s="27" t="s">
        <v>1069</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1551</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1089</v>
      </c>
      <c r="B1225" s="27" t="s">
        <v>1160</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1104</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415</v>
      </c>
      <c r="B1227" s="27" t="s">
        <v>1067</v>
      </c>
      <c r="C1227" s="27" t="s">
        <v>1086</v>
      </c>
      <c r="D1227" s="27" t="s">
        <v>1069</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1087</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1552</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1351</v>
      </c>
      <c r="B1230" s="27" t="s">
        <v>1133</v>
      </c>
      <c r="C1230" s="27" t="s">
        <v>1072</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1083</v>
      </c>
      <c r="B1231" s="27" t="s">
        <v>1106</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1142</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1323</v>
      </c>
      <c r="B1233" s="27" t="s">
        <v>1092</v>
      </c>
      <c r="C1233" s="27" t="s">
        <v>1077</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248</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1173</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1080</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row>
    <row r="1238" spans="1:12">
      <c r="A1238" s="20" t="s">
        <v>1553</v>
      </c>
    </row>
    <row r="1239" spans="1:12">
      <c r="A1239" s="20" t="s">
        <v>1436</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1197</v>
      </c>
      <c r="B1240" s="27" t="s">
        <v>1095</v>
      </c>
      <c r="C1240" s="27" t="s">
        <v>1068</v>
      </c>
      <c r="D1240" s="27" t="s">
        <v>1069</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1554</v>
      </c>
      <c r="B1241" s="27" t="s">
        <v>1090</v>
      </c>
      <c r="C1241" s="27" t="s">
        <v>1077</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563</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1317</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1555</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1080</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row>
    <row r="1247" spans="1:12">
      <c r="A1247" s="20" t="s">
        <v>1556</v>
      </c>
    </row>
    <row r="1248" spans="1:12">
      <c r="A1248" s="20" t="s">
        <v>1436</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1197</v>
      </c>
      <c r="B1249" s="27" t="s">
        <v>1095</v>
      </c>
      <c r="C1249" s="27" t="s">
        <v>1068</v>
      </c>
      <c r="D1249" s="27" t="s">
        <v>1069</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1557</v>
      </c>
      <c r="B1250" s="27" t="s">
        <v>1090</v>
      </c>
      <c r="C1250" s="27" t="s">
        <v>1077</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563</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1317</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1555</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1080</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row>
    <row r="1256" spans="1:12">
      <c r="A1256" s="20" t="s">
        <v>1558</v>
      </c>
    </row>
    <row r="1257" spans="1:12">
      <c r="A1257" s="20" t="s">
        <v>1559</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1560</v>
      </c>
      <c r="B1258" s="27" t="s">
        <v>1071</v>
      </c>
      <c r="C1258" s="27" t="s">
        <v>1072</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1561</v>
      </c>
      <c r="B1259" s="27" t="s">
        <v>1067</v>
      </c>
      <c r="C1259" s="27" t="s">
        <v>1077</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1127</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1247</v>
      </c>
      <c r="B1261" s="27" t="s">
        <v>1071</v>
      </c>
      <c r="C1261" s="27" t="s">
        <v>1077</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1414</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1562</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1256</v>
      </c>
      <c r="B1264" s="27" t="s">
        <v>1160</v>
      </c>
      <c r="C1264" s="27" t="s">
        <v>1134</v>
      </c>
      <c r="D1264" s="27" t="s">
        <v>1069</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1087</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1563</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1104</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1564</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1565</v>
      </c>
      <c r="B1269" s="27" t="s">
        <v>1074</v>
      </c>
      <c r="C1269" s="27" t="s">
        <v>1086</v>
      </c>
      <c r="D1269" s="27" t="s">
        <v>1069</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1078</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1566</v>
      </c>
      <c r="B1271" s="27" t="s">
        <v>1071</v>
      </c>
      <c r="C1271" s="27" t="s">
        <v>1077</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1080</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row>
    <row r="1274" spans="1:12">
      <c r="A1274" s="20" t="s">
        <v>1567</v>
      </c>
    </row>
    <row r="1275" spans="1:12">
      <c r="A1275" s="20" t="s">
        <v>1183</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1087</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1568</v>
      </c>
      <c r="B1277" s="27" t="s">
        <v>1106</v>
      </c>
      <c r="C1277" s="27" t="s">
        <v>1110</v>
      </c>
      <c r="D1277" s="27" t="s">
        <v>1069</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1108</v>
      </c>
      <c r="B1278" s="27" t="s">
        <v>1133</v>
      </c>
      <c r="C1278" s="27" t="s">
        <v>1110</v>
      </c>
      <c r="D1278" s="27" t="s">
        <v>1069</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1142</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1291</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1569</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1570</v>
      </c>
      <c r="B1282" s="27" t="s">
        <v>1092</v>
      </c>
      <c r="C1282" s="27" t="s">
        <v>1120</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212</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129</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1087</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1191</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1087</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141</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1571</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1572</v>
      </c>
      <c r="B1290" s="27" t="s">
        <v>1160</v>
      </c>
      <c r="C1290" s="27" t="s">
        <v>1120</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1070</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278</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1080</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row>
    <row r="1295" spans="1:12">
      <c r="A1295" s="20" t="s">
        <v>1573</v>
      </c>
    </row>
    <row r="1296" spans="1:12">
      <c r="A1296" s="20" t="s">
        <v>1241</v>
      </c>
      <c r="B1296" s="27" t="s">
        <v>1067</v>
      </c>
      <c r="C1296" s="27" t="s">
        <v>1110</v>
      </c>
      <c r="D1296" s="27" t="s">
        <v>1069</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282</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1574</v>
      </c>
      <c r="B1298" s="27" t="s">
        <v>1160</v>
      </c>
      <c r="C1298" s="27" t="s">
        <v>1077</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1080</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row>
    <row r="1301" spans="1:12">
      <c r="A1301" s="20" t="s">
        <v>1309</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1575</v>
      </c>
    </row>
    <row r="1303" spans="1:12">
      <c r="A1303" s="20" t="s">
        <v>1436</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1066</v>
      </c>
      <c r="B1304" s="27" t="s">
        <v>1095</v>
      </c>
      <c r="C1304" s="27" t="s">
        <v>1068</v>
      </c>
      <c r="D1304" s="27" t="s">
        <v>1069</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1576</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1113</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1577</v>
      </c>
      <c r="B1307" s="27" t="s">
        <v>1090</v>
      </c>
      <c r="C1307" s="27" t="s">
        <v>1086</v>
      </c>
      <c r="D1307" s="27" t="s">
        <v>1069</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1318</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1578</v>
      </c>
      <c r="B1309" s="27" t="s">
        <v>1092</v>
      </c>
      <c r="C1309" s="27" t="s">
        <v>1077</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1318</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1579</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1087</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1091</v>
      </c>
      <c r="B1313" s="27" t="s">
        <v>1074</v>
      </c>
      <c r="C1313" s="27" t="s">
        <v>1110</v>
      </c>
      <c r="D1313" s="27" t="s">
        <v>1069</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1066</v>
      </c>
      <c r="B1314" s="27" t="s">
        <v>1067</v>
      </c>
      <c r="C1314" s="27" t="s">
        <v>1068</v>
      </c>
      <c r="D1314" s="27" t="s">
        <v>1069</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1155</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1083</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1580</v>
      </c>
      <c r="B1317" s="27" t="s">
        <v>1160</v>
      </c>
      <c r="C1317" s="27" t="s">
        <v>1086</v>
      </c>
      <c r="D1317" s="27" t="s">
        <v>1069</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1080</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row>
    <row r="1320" spans="1:12">
      <c r="A1320" s="20" t="s">
        <v>1581</v>
      </c>
    </row>
    <row r="1321" spans="1:12">
      <c r="A1321" s="20" t="s">
        <v>1448</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1582</v>
      </c>
      <c r="B1322" s="27" t="s">
        <v>1067</v>
      </c>
      <c r="C1322" s="27" t="s">
        <v>1086</v>
      </c>
      <c r="D1322" s="27" t="s">
        <v>1069</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1191</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141</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1578</v>
      </c>
      <c r="B1325" s="27" t="s">
        <v>1074</v>
      </c>
      <c r="C1325" s="27" t="s">
        <v>1120</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1080</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row>
    <row r="1328" spans="1:12">
      <c r="A1328" s="20" t="s">
        <v>1583</v>
      </c>
    </row>
    <row r="1329" spans="1:12">
      <c r="A1329" s="20" t="s">
        <v>1448</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1584</v>
      </c>
      <c r="B1330" s="27" t="s">
        <v>1067</v>
      </c>
      <c r="C1330" s="27" t="s">
        <v>1086</v>
      </c>
      <c r="D1330" s="27" t="s">
        <v>1069</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1191</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141</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1578</v>
      </c>
      <c r="B1333" s="27" t="s">
        <v>1074</v>
      </c>
      <c r="C1333" s="27" t="s">
        <v>1120</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1080</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row>
    <row r="1336" spans="1:12">
      <c r="A1336" s="20" t="s">
        <v>1585</v>
      </c>
    </row>
    <row r="1337" spans="1:12">
      <c r="A1337" s="20" t="s">
        <v>1175</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1586</v>
      </c>
      <c r="B1338" s="27" t="s">
        <v>1067</v>
      </c>
      <c r="C1338" s="27" t="s">
        <v>1086</v>
      </c>
      <c r="D1338" s="27" t="s">
        <v>1069</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1078</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1587</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1450</v>
      </c>
      <c r="B1341" s="27" t="s">
        <v>1071</v>
      </c>
      <c r="C1341" s="27" t="s">
        <v>1131</v>
      </c>
      <c r="D1341" s="27" t="s">
        <v>1069</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1191</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141</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1578</v>
      </c>
      <c r="B1344" s="27" t="s">
        <v>1074</v>
      </c>
      <c r="C1344" s="27" t="s">
        <v>1120</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1080</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row>
    <row r="1347" spans="1:12">
      <c r="A1347" s="20" t="s">
        <v>1588</v>
      </c>
    </row>
    <row r="1348" spans="1:12">
      <c r="A1348" s="20" t="s">
        <v>1164</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1130</v>
      </c>
      <c r="B1349" s="27" t="s">
        <v>1067</v>
      </c>
      <c r="C1349" s="27" t="s">
        <v>1086</v>
      </c>
      <c r="D1349" s="27" t="s">
        <v>1069</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1356</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157</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1070</v>
      </c>
      <c r="B1352" s="27" t="s">
        <v>1071</v>
      </c>
      <c r="C1352" s="27" t="s">
        <v>1072</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1097</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1589</v>
      </c>
      <c r="B1354" s="27" t="s">
        <v>1074</v>
      </c>
      <c r="C1354" s="27" t="s">
        <v>1086</v>
      </c>
      <c r="D1354" s="27" t="s">
        <v>1069</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1590</v>
      </c>
      <c r="B1355" s="27" t="s">
        <v>1071</v>
      </c>
      <c r="C1355" s="27" t="s">
        <v>1072</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1421</v>
      </c>
      <c r="B1356" s="27" t="s">
        <v>1071</v>
      </c>
      <c r="C1356" s="27" t="s">
        <v>1129</v>
      </c>
      <c r="D1356" s="27" t="s">
        <v>1069</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1578</v>
      </c>
      <c r="B1357" s="27" t="s">
        <v>1160</v>
      </c>
      <c r="C1357" s="27" t="s">
        <v>1131</v>
      </c>
      <c r="D1357" s="27" t="s">
        <v>1069</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1591</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1080</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row>
    <row r="1361" spans="1:12">
      <c r="A1361" s="20" t="s">
        <v>1592</v>
      </c>
    </row>
    <row r="1362" spans="1:12">
      <c r="A1362" s="20" t="s">
        <v>1593</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1299</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1167</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1594</v>
      </c>
      <c r="B1365" s="27" t="s">
        <v>1071</v>
      </c>
      <c r="C1365" s="27" t="s">
        <v>1110</v>
      </c>
      <c r="D1365" s="27" t="s">
        <v>1069</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1595</v>
      </c>
      <c r="B1366" s="27" t="s">
        <v>1067</v>
      </c>
      <c r="C1366" s="27" t="s">
        <v>1117</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1087</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1149</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1351</v>
      </c>
      <c r="B1369" s="27" t="s">
        <v>1095</v>
      </c>
      <c r="C1369" s="27" t="s">
        <v>1072</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141</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1578</v>
      </c>
      <c r="B1371" s="27" t="s">
        <v>1090</v>
      </c>
      <c r="C1371" s="27" t="s">
        <v>1120</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1391</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1070</v>
      </c>
      <c r="B1373" s="27" t="s">
        <v>1141</v>
      </c>
      <c r="C1373" s="27" t="s">
        <v>1072</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1291</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1596</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1597</v>
      </c>
      <c r="B1376" s="27" t="s">
        <v>1092</v>
      </c>
      <c r="C1376" s="27" t="s">
        <v>1120</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1598</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1080</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row>
    <row r="1380" spans="1:12">
      <c r="A1380" s="20" t="s">
        <v>1599</v>
      </c>
    </row>
    <row r="1381" spans="1:12">
      <c r="A1381" s="20" t="s">
        <v>1593</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1600</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1351</v>
      </c>
      <c r="B1383" s="27" t="s">
        <v>1067</v>
      </c>
      <c r="C1383" s="27" t="s">
        <v>1072</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1353</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1198</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1601</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1078</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1516</v>
      </c>
      <c r="B1388" s="27" t="s">
        <v>1095</v>
      </c>
      <c r="C1388" s="27" t="s">
        <v>1072</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173</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1087</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1502</v>
      </c>
      <c r="B1391" s="27" t="s">
        <v>1074</v>
      </c>
      <c r="C1391" s="27" t="s">
        <v>1072</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1155</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1080</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row>
    <row r="1395" spans="1:12">
      <c r="A1395" s="20" t="s">
        <v>1602</v>
      </c>
    </row>
    <row r="1396" spans="1:12">
      <c r="A1396" s="20" t="s">
        <v>1375</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1603</v>
      </c>
      <c r="B1397" s="27" t="s">
        <v>1071</v>
      </c>
      <c r="C1397" s="27" t="s">
        <v>1129</v>
      </c>
      <c r="D1397" s="27" t="s">
        <v>1069</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1230</v>
      </c>
      <c r="B1398" s="27" t="s">
        <v>1074</v>
      </c>
      <c r="C1398" s="27" t="s">
        <v>1131</v>
      </c>
      <c r="D1398" s="27" t="s">
        <v>1069</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129</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1108</v>
      </c>
      <c r="B1400" s="27" t="s">
        <v>1067</v>
      </c>
      <c r="C1400" s="27" t="s">
        <v>1110</v>
      </c>
      <c r="D1400" s="27" t="s">
        <v>1069</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1301</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1604</v>
      </c>
      <c r="B1402" s="27" t="s">
        <v>1160</v>
      </c>
      <c r="C1402" s="27" t="s">
        <v>1077</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70</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1078</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141</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1578</v>
      </c>
      <c r="B1406" s="27" t="s">
        <v>1090</v>
      </c>
      <c r="C1406" s="27" t="s">
        <v>1120</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1224</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1193</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1605</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1211</v>
      </c>
      <c r="B1410" s="27" t="s">
        <v>1092</v>
      </c>
      <c r="C1410" s="27" t="s">
        <v>1077</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248</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1080</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row>
    <row r="1414" spans="1:12">
      <c r="A1414" s="20" t="s">
        <v>1606</v>
      </c>
    </row>
    <row r="1415" spans="1:12">
      <c r="A1415" s="20" t="s">
        <v>1210</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1087</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1066</v>
      </c>
      <c r="B1417" s="27" t="s">
        <v>1067</v>
      </c>
      <c r="C1417" s="27" t="s">
        <v>1068</v>
      </c>
      <c r="D1417" s="27" t="s">
        <v>1069</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1607</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1608</v>
      </c>
      <c r="B1419" s="27" t="s">
        <v>1160</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1087</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1166</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1173</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1066</v>
      </c>
      <c r="B1423" s="27" t="s">
        <v>1095</v>
      </c>
      <c r="C1423" s="27" t="s">
        <v>1068</v>
      </c>
      <c r="D1423" s="27" t="s">
        <v>1069</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1083</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t="s">
        <v>1320</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1609</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1324</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row>
    <row r="1429" spans="1:12">
      <c r="A1429" s="20" t="s">
        <v>1610</v>
      </c>
    </row>
    <row r="1430" spans="1:12">
      <c r="A1430" s="20" t="s">
        <v>1481</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1167</v>
      </c>
      <c r="B1431" s="27" t="s">
        <v>1067</v>
      </c>
      <c r="C1431" s="27" t="s">
        <v>1068</v>
      </c>
      <c r="D1431" s="27" t="s">
        <v>1069</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1185</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1611</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1612</v>
      </c>
      <c r="B1434" s="27" t="s">
        <v>1067</v>
      </c>
      <c r="C1434" s="27" t="s">
        <v>1120</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1087</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1185</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1613</v>
      </c>
      <c r="B1437" s="27" t="s">
        <v>1071</v>
      </c>
      <c r="C1437" s="27" t="s">
        <v>1120</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1087</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1104</v>
      </c>
      <c r="B1439" s="27" t="s">
        <v>1235</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1104</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1614</v>
      </c>
      <c r="B1441" s="27" t="s">
        <v>1250</v>
      </c>
      <c r="C1441" s="27" t="s">
        <v>1086</v>
      </c>
      <c r="D1441" s="27" t="s">
        <v>1069</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1097</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1130</v>
      </c>
      <c r="B1443" s="27" t="s">
        <v>1116</v>
      </c>
      <c r="C1443" s="27" t="s">
        <v>1086</v>
      </c>
      <c r="D1443" s="27" t="s">
        <v>1069</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1356</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1615</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1324</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row>
    <row r="1448" spans="1:12">
      <c r="A1448" s="20" t="s">
        <v>1616</v>
      </c>
    </row>
    <row r="1449" spans="1:12">
      <c r="A1449" s="20" t="s">
        <v>1311</v>
      </c>
      <c r="B1449" s="27" t="s">
        <v>1067</v>
      </c>
      <c r="C1449" s="27" t="s">
        <v>1068</v>
      </c>
      <c r="D1449" s="27" t="s">
        <v>1069</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1617</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1608</v>
      </c>
      <c r="B1451" s="27" t="s">
        <v>1160</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1207</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1618</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1361</v>
      </c>
      <c r="B1454" s="27" t="s">
        <v>1074</v>
      </c>
      <c r="C1454" s="27" t="s">
        <v>1077</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1087</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1138</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1066</v>
      </c>
      <c r="B1457" s="27" t="s">
        <v>1095</v>
      </c>
      <c r="C1457" s="27" t="s">
        <v>1068</v>
      </c>
      <c r="D1457" s="27" t="s">
        <v>1069</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1619</v>
      </c>
      <c r="B1458" s="27" t="s">
        <v>1090</v>
      </c>
      <c r="C1458" s="27" t="s">
        <v>1134</v>
      </c>
      <c r="D1458" s="27" t="s">
        <v>1069</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1620</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1078</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1378</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1621</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1104</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1622</v>
      </c>
      <c r="B1464" s="27" t="s">
        <v>1133</v>
      </c>
      <c r="C1464" s="27" t="s">
        <v>1086</v>
      </c>
      <c r="D1464" s="27" t="s">
        <v>1069</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1083</v>
      </c>
      <c r="B1465" s="27" t="s">
        <v>1106</v>
      </c>
      <c r="C1465" s="27" t="s">
        <v>1129</v>
      </c>
      <c r="D1465" s="27" t="s">
        <v>1069</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1080</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row>
    <row r="1468" spans="1:12">
      <c r="A1468" s="20" t="s">
        <v>1623</v>
      </c>
    </row>
    <row r="1469" spans="1:12">
      <c r="A1469" s="20" t="s">
        <v>1624</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1625</v>
      </c>
      <c r="B1470" s="27" t="s">
        <v>1071</v>
      </c>
      <c r="C1470" s="27" t="s">
        <v>1077</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1626</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1164</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1627</v>
      </c>
      <c r="B1473" s="27" t="s">
        <v>1067</v>
      </c>
      <c r="C1473" s="27" t="s">
        <v>1086</v>
      </c>
      <c r="D1473" s="27" t="s">
        <v>1069</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1628</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1127</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1188</v>
      </c>
      <c r="B1476" s="27" t="s">
        <v>1074</v>
      </c>
      <c r="C1476" s="27" t="s">
        <v>1110</v>
      </c>
      <c r="D1476" s="27" t="s">
        <v>1069</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1320</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1629</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1087</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605</v>
      </c>
      <c r="B1480" s="27" t="s">
        <v>1074</v>
      </c>
      <c r="C1480" s="27" t="s">
        <v>1077</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1197</v>
      </c>
      <c r="B1481" s="27" t="s">
        <v>1095</v>
      </c>
      <c r="C1481" s="27" t="s">
        <v>1068</v>
      </c>
      <c r="D1481" s="27" t="s">
        <v>1069</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1087</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1149</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1167</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1130</v>
      </c>
      <c r="B1485" s="27" t="s">
        <v>1133</v>
      </c>
      <c r="C1485" s="27" t="s">
        <v>1077</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1299</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1087</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1104</v>
      </c>
      <c r="B1488" s="27" t="s">
        <v>1235</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1246</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1619</v>
      </c>
      <c r="B1490" s="27" t="s">
        <v>1141</v>
      </c>
      <c r="C1490" s="27" t="s">
        <v>1134</v>
      </c>
      <c r="D1490" s="27" t="s">
        <v>1069</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185</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1080</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row>
    <row r="1494" spans="1:12">
      <c r="A1494" s="20" t="s">
        <v>1630</v>
      </c>
    </row>
    <row r="1495" spans="1:12">
      <c r="A1495" s="20" t="s">
        <v>1631</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1076</v>
      </c>
      <c r="B1496" s="27" t="s">
        <v>1074</v>
      </c>
      <c r="C1496" s="27" t="s">
        <v>1134</v>
      </c>
      <c r="D1496" s="27" t="s">
        <v>1069</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1632</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1633</v>
      </c>
      <c r="B1498" s="27" t="s">
        <v>1160</v>
      </c>
      <c r="C1498" s="27" t="s">
        <v>1068</v>
      </c>
      <c r="D1498" s="27" t="s">
        <v>1069</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1083</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1356</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141</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1080</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row>
    <row r="1504" spans="1:12">
      <c r="A1504" s="20" t="s">
        <v>1634</v>
      </c>
    </row>
    <row r="1505" spans="1:12">
      <c r="A1505" s="20" t="s">
        <v>1311</v>
      </c>
      <c r="B1505" s="27" t="s">
        <v>1067</v>
      </c>
      <c r="C1505" s="27" t="s">
        <v>1068</v>
      </c>
      <c r="D1505" s="27" t="s">
        <v>1069</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1635</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1087</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1149</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1083</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1636</v>
      </c>
      <c r="B1510" s="27" t="s">
        <v>1095</v>
      </c>
      <c r="C1510" s="27" t="s">
        <v>1086</v>
      </c>
      <c r="D1510" s="27" t="s">
        <v>1069</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1199</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1637</v>
      </c>
      <c r="B1512" s="27" t="s">
        <v>1071</v>
      </c>
      <c r="C1512" s="27" t="s">
        <v>1077</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286</v>
      </c>
      <c r="B1513" s="27" t="s">
        <v>1071</v>
      </c>
      <c r="C1513" s="27" t="s">
        <v>1093</v>
      </c>
      <c r="D1513" s="27" t="s">
        <v>1069</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1638</v>
      </c>
      <c r="B1514" s="27" t="s">
        <v>1071</v>
      </c>
      <c r="C1514" s="27" t="s">
        <v>1110</v>
      </c>
      <c r="D1514" s="27" t="s">
        <v>1069</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1639</v>
      </c>
      <c r="B1515" s="27" t="s">
        <v>1074</v>
      </c>
      <c r="C1515" s="27" t="s">
        <v>1077</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1070</v>
      </c>
      <c r="B1516" s="27" t="s">
        <v>1092</v>
      </c>
      <c r="C1516" s="27" t="s">
        <v>1072</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1097</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1170</v>
      </c>
      <c r="B1518" s="27" t="s">
        <v>1071</v>
      </c>
      <c r="C1518" s="27" t="s">
        <v>1086</v>
      </c>
      <c r="D1518" s="27" t="s">
        <v>1069</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1356</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841</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1640</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1080</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row>
    <row r="1524" spans="1:12">
      <c r="A1524" s="20" t="s">
        <v>1641</v>
      </c>
    </row>
    <row r="1525" spans="1:12">
      <c r="A1525" s="20" t="s">
        <v>1478</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1124</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1243</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141</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1642</v>
      </c>
      <c r="B1529" s="27" t="s">
        <v>1074</v>
      </c>
      <c r="C1529" s="27" t="s">
        <v>1072</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1611</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1637</v>
      </c>
      <c r="B1531" s="27" t="s">
        <v>1074</v>
      </c>
      <c r="C1531" s="27" t="s">
        <v>1120</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1080</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row>
    <row r="1534" spans="1:12">
      <c r="A1534" s="20" t="s">
        <v>1643</v>
      </c>
    </row>
    <row r="1535" spans="1:12">
      <c r="A1535" s="20" t="s">
        <v>1644</v>
      </c>
      <c r="B1535" s="27" t="s">
        <v>1067</v>
      </c>
      <c r="C1535" s="27" t="s">
        <v>1072</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1268</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1633</v>
      </c>
      <c r="B1537" s="27" t="s">
        <v>1160</v>
      </c>
      <c r="C1537" s="27" t="s">
        <v>1068</v>
      </c>
      <c r="D1537" s="27" t="s">
        <v>1069</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1645</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1087</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1149</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1188</v>
      </c>
      <c r="B1541" s="27" t="s">
        <v>1095</v>
      </c>
      <c r="C1541" s="27" t="s">
        <v>1110</v>
      </c>
      <c r="D1541" s="27" t="s">
        <v>1069</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1155</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1646</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1080</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row>
    <row r="1546" spans="1:12">
      <c r="A1546" s="20" t="s">
        <v>1647</v>
      </c>
    </row>
    <row r="1547" spans="1:12">
      <c r="A1547" s="20" t="s">
        <v>1214</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46</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1188</v>
      </c>
      <c r="B1549" s="27" t="s">
        <v>1067</v>
      </c>
      <c r="C1549" s="27" t="s">
        <v>1110</v>
      </c>
      <c r="D1549" s="27" t="s">
        <v>1069</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1442</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1155</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1426</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1083</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1648</v>
      </c>
      <c r="B1554" s="27" t="s">
        <v>1160</v>
      </c>
      <c r="C1554" s="27" t="s">
        <v>1086</v>
      </c>
      <c r="D1554" s="27" t="s">
        <v>1069</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344</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1080</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row>
    <row r="1558" spans="1:12">
      <c r="A1558" s="20" t="s">
        <v>1649</v>
      </c>
    </row>
    <row r="1559" spans="1:12">
      <c r="A1559" s="20" t="s">
        <v>1210</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1087</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1167</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1299</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1650</v>
      </c>
      <c r="B1563" s="27" t="s">
        <v>1071</v>
      </c>
      <c r="C1563" s="27" t="s">
        <v>1072</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1651</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1652</v>
      </c>
      <c r="B1565" s="27" t="s">
        <v>1067</v>
      </c>
      <c r="C1565" s="27" t="s">
        <v>1117</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1166</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1128</v>
      </c>
      <c r="B1567" s="27" t="s">
        <v>1071</v>
      </c>
      <c r="C1567" s="27" t="s">
        <v>1129</v>
      </c>
      <c r="D1567" s="27" t="s">
        <v>1069</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1087</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1301</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1188</v>
      </c>
      <c r="B1570" s="27" t="s">
        <v>1095</v>
      </c>
      <c r="C1570" s="27" t="s">
        <v>1110</v>
      </c>
      <c r="D1570" s="27" t="s">
        <v>1069</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1403</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1650</v>
      </c>
      <c r="B1572" s="27" t="s">
        <v>1090</v>
      </c>
      <c r="C1572" s="27" t="s">
        <v>1072</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1155</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1159</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1080</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row>
    <row r="1577" spans="1:12">
      <c r="A1577" s="20" t="s">
        <v>1653</v>
      </c>
    </row>
    <row r="1578" spans="1:12">
      <c r="A1578" s="20" t="s">
        <v>1241</v>
      </c>
      <c r="B1578" s="27" t="s">
        <v>1067</v>
      </c>
      <c r="C1578" s="27" t="s">
        <v>1110</v>
      </c>
      <c r="D1578" s="27" t="s">
        <v>1069</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282</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1654</v>
      </c>
      <c r="B1580" s="27" t="s">
        <v>1160</v>
      </c>
      <c r="C1580" s="27" t="s">
        <v>1171</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1087</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1655</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1185</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1161</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1656</v>
      </c>
      <c r="B1585" s="27" t="s">
        <v>1141</v>
      </c>
      <c r="C1585" s="27" t="s">
        <v>1072</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1104</v>
      </c>
      <c r="B1586" s="27" t="s">
        <v>1235</v>
      </c>
      <c r="C1586" s="27" t="s">
        <v>1110</v>
      </c>
      <c r="D1586" s="27" t="s">
        <v>1069</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1185</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1657</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1658</v>
      </c>
      <c r="B1589" s="27" t="s">
        <v>1250</v>
      </c>
      <c r="C1589" s="27" t="s">
        <v>1120</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1078</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1657</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1659</v>
      </c>
      <c r="B1592" s="27" t="s">
        <v>1116</v>
      </c>
      <c r="C1592" s="27" t="s">
        <v>1077</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157</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1080</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row>
    <row r="1596" spans="1:12">
      <c r="A1596" s="20" t="s">
        <v>1660</v>
      </c>
    </row>
    <row r="1597" spans="1:12">
      <c r="A1597" s="20" t="s">
        <v>1082</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1661</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1167</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1153</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1662</v>
      </c>
      <c r="B1601" s="27" t="s">
        <v>1067</v>
      </c>
      <c r="C1601" s="27" t="s">
        <v>1117</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1299</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1087</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1224</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1663</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1130</v>
      </c>
      <c r="B1606" s="27" t="s">
        <v>1095</v>
      </c>
      <c r="C1606" s="27" t="s">
        <v>1077</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1664</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1665</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1087</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1666</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1066</v>
      </c>
      <c r="B1611" s="27" t="s">
        <v>1095</v>
      </c>
      <c r="C1611" s="27" t="s">
        <v>1068</v>
      </c>
      <c r="D1611" s="27" t="s">
        <v>1069</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1320</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1198</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1667</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1087</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1104</v>
      </c>
      <c r="B1616" s="27" t="s">
        <v>1133</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1128</v>
      </c>
      <c r="B1617" s="27" t="s">
        <v>1141</v>
      </c>
      <c r="C1617" s="27" t="s">
        <v>1129</v>
      </c>
      <c r="D1617" s="27" t="s">
        <v>1069</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1668</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1669</v>
      </c>
      <c r="B1619" s="27" t="s">
        <v>1106</v>
      </c>
      <c r="C1619" s="27" t="s">
        <v>1131</v>
      </c>
      <c r="D1619" s="27" t="s">
        <v>1069</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361</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1236</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1080</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row>
    <row r="1624" spans="1:12">
      <c r="A1624" s="20" t="s">
        <v>1670</v>
      </c>
    </row>
    <row r="1625" spans="1:12">
      <c r="A1625" s="20" t="s">
        <v>1311</v>
      </c>
      <c r="B1625" s="27" t="s">
        <v>1067</v>
      </c>
      <c r="C1625" s="27" t="s">
        <v>1068</v>
      </c>
      <c r="D1625" s="27" t="s">
        <v>1069</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1312</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1671</v>
      </c>
      <c r="B1627" s="27" t="s">
        <v>1160</v>
      </c>
      <c r="C1627" s="27" t="s">
        <v>1077</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1087</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1672</v>
      </c>
      <c r="B1629" s="27" t="s">
        <v>1071</v>
      </c>
      <c r="C1629" s="27" t="s">
        <v>1077</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1087</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1673</v>
      </c>
      <c r="B1631" s="27" t="s">
        <v>1071</v>
      </c>
      <c r="C1631" s="27" t="s">
        <v>1077</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1078</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1674</v>
      </c>
      <c r="B1633" s="27" t="s">
        <v>1071</v>
      </c>
      <c r="C1633" s="27" t="s">
        <v>1077</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357</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1080</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row>
    <row r="1637" spans="1:12">
      <c r="A1637" s="20" t="s">
        <v>1675</v>
      </c>
    </row>
    <row r="1638" spans="1:12">
      <c r="A1638" s="20" t="s">
        <v>1393</v>
      </c>
      <c r="B1638" s="27" t="s">
        <v>1067</v>
      </c>
      <c r="C1638" s="27" t="s">
        <v>1129</v>
      </c>
      <c r="D1638" s="27" t="s">
        <v>1069</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361</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1085</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1228</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1676</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1639</v>
      </c>
      <c r="B1643" s="27" t="s">
        <v>1160</v>
      </c>
      <c r="C1643" s="27" t="s">
        <v>1120</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1078</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1196</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1188</v>
      </c>
      <c r="B1646" s="27" t="s">
        <v>1095</v>
      </c>
      <c r="C1646" s="27" t="s">
        <v>1110</v>
      </c>
      <c r="D1646" s="27" t="s">
        <v>1069</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1118</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361</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1138</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1066</v>
      </c>
      <c r="B1650" s="27" t="s">
        <v>1133</v>
      </c>
      <c r="C1650" s="27" t="s">
        <v>1068</v>
      </c>
      <c r="D1650" s="27" t="s">
        <v>1069</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1677</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1087</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1205</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1083</v>
      </c>
      <c r="B1654" s="27" t="s">
        <v>1235</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1464</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1087</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1301</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1091</v>
      </c>
      <c r="B1658" s="27" t="s">
        <v>1678</v>
      </c>
      <c r="C1658" s="27" t="s">
        <v>1093</v>
      </c>
      <c r="D1658" s="27" t="s">
        <v>1069</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1679</v>
      </c>
      <c r="B1659" s="27" t="s">
        <v>1109</v>
      </c>
      <c r="C1659" s="27" t="s">
        <v>1077</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1356</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1191</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1087</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1149</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1108</v>
      </c>
      <c r="B1664" s="27" t="s">
        <v>1508</v>
      </c>
      <c r="C1664" s="27" t="s">
        <v>1110</v>
      </c>
      <c r="D1664" s="27" t="s">
        <v>1069</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1207</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1680</v>
      </c>
      <c r="B1666" s="27" t="s">
        <v>1681</v>
      </c>
      <c r="C1666" s="27" t="s">
        <v>1072</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1682</v>
      </c>
      <c r="B1667" s="27" t="s">
        <v>1678</v>
      </c>
      <c r="C1667" s="27" t="s">
        <v>1129</v>
      </c>
      <c r="D1667" s="27" t="s">
        <v>1069</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1667</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432</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129</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1087</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1078</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1108</v>
      </c>
      <c r="B1673" s="27" t="s">
        <v>1683</v>
      </c>
      <c r="C1673" s="27" t="s">
        <v>1110</v>
      </c>
      <c r="D1673" s="27" t="s">
        <v>1069</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1236</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1594</v>
      </c>
      <c r="B1675" s="27" t="s">
        <v>1681</v>
      </c>
      <c r="C1675" s="27" t="s">
        <v>1110</v>
      </c>
      <c r="D1675" s="27" t="s">
        <v>1069</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1199</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1684</v>
      </c>
      <c r="B1677" s="27" t="s">
        <v>1681</v>
      </c>
      <c r="C1677" s="27" t="s">
        <v>1068</v>
      </c>
      <c r="D1677" s="27" t="s">
        <v>1069</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1685</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1087</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1088</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1188</v>
      </c>
      <c r="B1681" s="27" t="s">
        <v>1686</v>
      </c>
      <c r="C1681" s="27" t="s">
        <v>1110</v>
      </c>
      <c r="D1681" s="27" t="s">
        <v>1069</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1242</v>
      </c>
      <c r="B1682" s="27" t="s">
        <v>1687</v>
      </c>
      <c r="C1682" s="27" t="s">
        <v>1110</v>
      </c>
      <c r="D1682" s="27" t="s">
        <v>1069</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1688</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1087</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1689</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1650</v>
      </c>
      <c r="B1686" s="27" t="s">
        <v>1690</v>
      </c>
      <c r="C1686" s="27" t="s">
        <v>1072</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157</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1691</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1692</v>
      </c>
      <c r="B1689" s="27" t="s">
        <v>1693</v>
      </c>
      <c r="C1689" s="27" t="s">
        <v>1077</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1080</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row>
    <row r="1692" spans="1:12">
      <c r="A1692" s="20" t="s">
        <v>1694</v>
      </c>
    </row>
    <row r="1693" spans="1:12">
      <c r="A1693" s="20" t="s">
        <v>1695</v>
      </c>
      <c r="B1693" s="27" t="s">
        <v>1074</v>
      </c>
      <c r="C1693" s="27" t="s">
        <v>1077</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1108</v>
      </c>
      <c r="B1694" s="27" t="s">
        <v>1095</v>
      </c>
      <c r="C1694" s="27" t="s">
        <v>1110</v>
      </c>
      <c r="D1694" s="27" t="s">
        <v>1069</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1242</v>
      </c>
      <c r="B1695" s="27" t="s">
        <v>1090</v>
      </c>
      <c r="C1695" s="27" t="s">
        <v>1110</v>
      </c>
      <c r="D1695" s="27" t="s">
        <v>1069</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1696</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1083</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1697</v>
      </c>
      <c r="B1698" s="27" t="s">
        <v>1160</v>
      </c>
      <c r="C1698" s="27" t="s">
        <v>1086</v>
      </c>
      <c r="D1698" s="27" t="s">
        <v>1069</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1698</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1699</v>
      </c>
      <c r="B1700" s="27" t="s">
        <v>1071</v>
      </c>
      <c r="C1700" s="27" t="s">
        <v>1077</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1207</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1087</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1700</v>
      </c>
      <c r="B1703" s="27" t="s">
        <v>1071</v>
      </c>
      <c r="C1703" s="27" t="s">
        <v>1077</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1199</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1655</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1554</v>
      </c>
      <c r="B1706" s="27" t="s">
        <v>1092</v>
      </c>
      <c r="C1706" s="27" t="s">
        <v>1077</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1161</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1557</v>
      </c>
      <c r="B1708" s="27" t="s">
        <v>1141</v>
      </c>
      <c r="C1708" s="27" t="s">
        <v>1077</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1080</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row>
    <row r="1711" spans="1:12">
      <c r="A1711" s="20" t="s">
        <v>1701</v>
      </c>
    </row>
    <row r="1712" spans="1:12">
      <c r="A1712" s="20" t="s">
        <v>1702</v>
      </c>
      <c r="B1712" s="27" t="s">
        <v>1090</v>
      </c>
      <c r="C1712" s="27" t="s">
        <v>1110</v>
      </c>
      <c r="D1712" s="27" t="s">
        <v>1069</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1351</v>
      </c>
      <c r="B1713" s="27" t="s">
        <v>1095</v>
      </c>
      <c r="C1713" s="27" t="s">
        <v>1072</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1703</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212</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1348</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1087</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1704</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1085</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1544</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1087</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1301</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1083</v>
      </c>
      <c r="B1723" s="27" t="s">
        <v>1095</v>
      </c>
      <c r="C1723" s="27" t="s">
        <v>1129</v>
      </c>
      <c r="D1723" s="27" t="s">
        <v>1069</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1191</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1167</v>
      </c>
      <c r="B1725" s="27" t="s">
        <v>1095</v>
      </c>
      <c r="C1725" s="27" t="s">
        <v>1068</v>
      </c>
      <c r="D1725" s="27" t="s">
        <v>1069</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1155</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1080</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row>
    <row r="1729" spans="1:12">
      <c r="A1729" s="20" t="s">
        <v>1705</v>
      </c>
    </row>
    <row r="1730" spans="1:12">
      <c r="A1730" s="20" t="s">
        <v>1644</v>
      </c>
      <c r="B1730" s="27" t="s">
        <v>1067</v>
      </c>
      <c r="C1730" s="27" t="s">
        <v>1072</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1706</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1680</v>
      </c>
      <c r="B1732" s="27" t="s">
        <v>1071</v>
      </c>
      <c r="C1732" s="27" t="s">
        <v>1072</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1083</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1256</v>
      </c>
      <c r="B1734" s="27" t="s">
        <v>1067</v>
      </c>
      <c r="C1734" s="27" t="s">
        <v>1134</v>
      </c>
      <c r="D1734" s="27" t="s">
        <v>1069</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1087</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1083</v>
      </c>
      <c r="B1736" s="27" t="s">
        <v>1133</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1357</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1143</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1697</v>
      </c>
      <c r="B1739" s="27" t="s">
        <v>1092</v>
      </c>
      <c r="C1739" s="27" t="s">
        <v>1086</v>
      </c>
      <c r="D1739" s="27" t="s">
        <v>1069</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1364</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1143</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1707</v>
      </c>
      <c r="B1742" s="27" t="s">
        <v>1092</v>
      </c>
      <c r="C1742" s="27" t="s">
        <v>1086</v>
      </c>
      <c r="D1742" s="27" t="s">
        <v>1069</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1708</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1087</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1709</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1087</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1345</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1710</v>
      </c>
      <c r="B1748" s="27" t="s">
        <v>1071</v>
      </c>
      <c r="C1748" s="27" t="s">
        <v>1077</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1711</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1078</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1352</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1712</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1713</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1078</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934</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1087</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1149</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1167</v>
      </c>
      <c r="B1758" s="27" t="s">
        <v>1133</v>
      </c>
      <c r="C1758" s="27" t="s">
        <v>1068</v>
      </c>
      <c r="D1758" s="27" t="s">
        <v>1069</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1703</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1714</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1080</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row>
    <row r="1763" spans="1:12">
      <c r="A1763" s="20" t="s">
        <v>1715</v>
      </c>
    </row>
    <row r="1764" spans="1:12">
      <c r="A1764" s="20" t="s">
        <v>1158</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1299</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1269</v>
      </c>
      <c r="B1766" s="27" t="s">
        <v>1071</v>
      </c>
      <c r="C1766" s="27" t="s">
        <v>1072</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1716</v>
      </c>
      <c r="B1767" s="27" t="s">
        <v>1067</v>
      </c>
      <c r="C1767" s="27" t="s">
        <v>1117</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1087</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1104</v>
      </c>
      <c r="B1769" s="27" t="s">
        <v>1133</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1083</v>
      </c>
      <c r="B1770" s="27" t="s">
        <v>1106</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1142</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1291</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1717</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12</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1718</v>
      </c>
      <c r="B1775" s="27" t="s">
        <v>1092</v>
      </c>
      <c r="C1775" s="27" t="s">
        <v>1120</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1719</v>
      </c>
      <c r="B1776" s="27" t="s">
        <v>1141</v>
      </c>
      <c r="C1776" s="27" t="s">
        <v>1134</v>
      </c>
      <c r="D1776" s="27" t="s">
        <v>1069</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278</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1087</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1301</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1167</v>
      </c>
      <c r="B1780" s="27" t="s">
        <v>1235</v>
      </c>
      <c r="C1780" s="27" t="s">
        <v>1068</v>
      </c>
      <c r="D1780" s="27" t="s">
        <v>1069</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1142</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1720</v>
      </c>
      <c r="B1782" s="27" t="s">
        <v>1141</v>
      </c>
      <c r="C1782" s="27" t="s">
        <v>1077</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1070</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248</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1184</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1193</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1721</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46</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1080</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row>
    <row r="1791" spans="1:12">
      <c r="A1791" s="20" t="s">
        <v>1722</v>
      </c>
    </row>
    <row r="1792" spans="1:12">
      <c r="A1792" s="20" t="s">
        <v>1082</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1185</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1723</v>
      </c>
      <c r="B1794" s="27" t="s">
        <v>1090</v>
      </c>
      <c r="C1794" s="27" t="s">
        <v>1120</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1127</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1104</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1724</v>
      </c>
      <c r="B1797" s="27" t="s">
        <v>1092</v>
      </c>
      <c r="C1797" s="27" t="s">
        <v>1086</v>
      </c>
      <c r="D1797" s="27" t="s">
        <v>1069</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1725</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1256</v>
      </c>
      <c r="B1799" s="27" t="s">
        <v>1141</v>
      </c>
      <c r="C1799" s="27" t="s">
        <v>1134</v>
      </c>
      <c r="D1799" s="27" t="s">
        <v>1069</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1070</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1726</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1087</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1191</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1185</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1336</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1337</v>
      </c>
      <c r="B1806" s="27" t="s">
        <v>1074</v>
      </c>
      <c r="C1806" s="27" t="s">
        <v>1120</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1080</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row>
    <row r="1809" spans="1:12">
      <c r="A1809" s="20" t="s">
        <v>1727</v>
      </c>
    </row>
    <row r="1810" spans="1:12">
      <c r="A1810" s="20" t="s">
        <v>1123</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1083</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1728</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1729</v>
      </c>
      <c r="B1813" s="27" t="s">
        <v>1067</v>
      </c>
      <c r="C1813" s="27" t="s">
        <v>1086</v>
      </c>
      <c r="D1813" s="27" t="s">
        <v>1069</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1356</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1191</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1104</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1730</v>
      </c>
      <c r="B1817" s="27" t="s">
        <v>1074</v>
      </c>
      <c r="C1817" s="27" t="s">
        <v>1086</v>
      </c>
      <c r="D1817" s="27" t="s">
        <v>1069</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1080</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row>
    <row r="1820" spans="1:12">
      <c r="A1820" s="20" t="s">
        <v>1731</v>
      </c>
    </row>
    <row r="1821" spans="1:12">
      <c r="A1821" s="20" t="s">
        <v>1732</v>
      </c>
      <c r="B1821" s="27" t="s">
        <v>1067</v>
      </c>
      <c r="C1821" s="27" t="s">
        <v>1733</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1184</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1167</v>
      </c>
      <c r="B1823" s="27" t="s">
        <v>1067</v>
      </c>
      <c r="C1823" s="27" t="s">
        <v>1068</v>
      </c>
      <c r="D1823" s="27" t="s">
        <v>1069</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388</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1324</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row>
    <row r="1827" spans="1:12">
      <c r="A1827" s="20" t="s">
        <v>1734</v>
      </c>
    </row>
    <row r="1828" spans="1:12">
      <c r="A1828" s="20" t="s">
        <v>1732</v>
      </c>
      <c r="B1828" s="27" t="s">
        <v>1067</v>
      </c>
      <c r="C1828" s="27" t="s">
        <v>1733</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1173</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17</v>
      </c>
      <c r="B1830" s="27" t="s">
        <v>1160</v>
      </c>
      <c r="C1830" s="27" t="s">
        <v>1072</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392</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1087</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1568</v>
      </c>
      <c r="B1833" s="27" t="s">
        <v>1095</v>
      </c>
      <c r="C1833" s="27" t="s">
        <v>1110</v>
      </c>
      <c r="D1833" s="27" t="s">
        <v>1069</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1735</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1153</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1115</v>
      </c>
      <c r="B1836" s="27" t="s">
        <v>1071</v>
      </c>
      <c r="C1836" s="27" t="s">
        <v>1117</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1426</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1736</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1138</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1560</v>
      </c>
      <c r="B1840" s="27" t="s">
        <v>1092</v>
      </c>
      <c r="C1840" s="27" t="s">
        <v>1072</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1737</v>
      </c>
      <c r="B1841" s="27" t="s">
        <v>1071</v>
      </c>
      <c r="C1841" s="27" t="s">
        <v>1077</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1199</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1738</v>
      </c>
      <c r="B1843" s="27" t="s">
        <v>1092</v>
      </c>
      <c r="C1843" s="27" t="s">
        <v>1134</v>
      </c>
      <c r="D1843" s="27" t="s">
        <v>1069</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1087</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1113</v>
      </c>
      <c r="B1845" s="27" t="s">
        <v>1107</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1351</v>
      </c>
      <c r="B1846" s="27" t="s">
        <v>1109</v>
      </c>
      <c r="C1846" s="27" t="s">
        <v>1072</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1089</v>
      </c>
      <c r="B1847" s="27" t="s">
        <v>1107</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1199</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1739</v>
      </c>
      <c r="B1849" s="27" t="s">
        <v>1116</v>
      </c>
      <c r="C1849" s="27" t="s">
        <v>1077</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12</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1078</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1140</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1740</v>
      </c>
      <c r="B1853" s="27" t="s">
        <v>1678</v>
      </c>
      <c r="C1853" s="27" t="s">
        <v>1077</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1741</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1173</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1324</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row>
    <row r="1858" spans="1:12">
      <c r="A1858" s="20" t="s">
        <v>1742</v>
      </c>
    </row>
    <row r="1859" spans="1:12">
      <c r="A1859" s="20" t="s">
        <v>1175</v>
      </c>
      <c r="B1859" s="27" t="s">
        <v>1067</v>
      </c>
      <c r="C1859" s="27" t="s">
        <v>1129</v>
      </c>
      <c r="D1859" s="27" t="s">
        <v>1069</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1191</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1185</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1549</v>
      </c>
      <c r="B1862" s="27" t="s">
        <v>1074</v>
      </c>
      <c r="C1862" s="27" t="s">
        <v>1120</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1743</v>
      </c>
      <c r="B1863" s="27" t="s">
        <v>1074</v>
      </c>
      <c r="C1863" s="27" t="s">
        <v>1077</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1080</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row>
    <row r="1866" spans="1:12">
      <c r="A1866" s="20" t="s">
        <v>1744</v>
      </c>
    </row>
    <row r="1867" spans="1:12">
      <c r="A1867" s="20" t="s">
        <v>1175</v>
      </c>
      <c r="B1867" s="27" t="s">
        <v>1067</v>
      </c>
      <c r="C1867" s="27" t="s">
        <v>1129</v>
      </c>
      <c r="D1867" s="27" t="s">
        <v>1069</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1191</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1243</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1185</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1745</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1746</v>
      </c>
      <c r="B1872" s="27" t="s">
        <v>1074</v>
      </c>
      <c r="C1872" s="27" t="s">
        <v>1120</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1080</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row>
    <row r="1875" spans="1:12">
      <c r="A1875" s="20" t="s">
        <v>1747</v>
      </c>
    </row>
    <row r="1876" spans="1:12">
      <c r="A1876" s="20" t="s">
        <v>1748</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1749</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1317</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1566</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1080</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row>
    <row r="1882" spans="1:12">
      <c r="A1882" s="20" t="s">
        <v>1750</v>
      </c>
    </row>
    <row r="1883" spans="1:12">
      <c r="A1883" s="20" t="s">
        <v>1164</v>
      </c>
      <c r="B1883" s="27" t="s">
        <v>1067</v>
      </c>
      <c r="C1883" s="27" t="s">
        <v>1129</v>
      </c>
      <c r="D1883" s="27" t="s">
        <v>1069</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1268</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1751</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1537</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1336</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1692</v>
      </c>
      <c r="B1888" s="27" t="s">
        <v>1160</v>
      </c>
      <c r="C1888" s="27" t="s">
        <v>1117</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1080</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row>
    <row r="1891" spans="1:12">
      <c r="A1891" s="20" t="s">
        <v>1752</v>
      </c>
    </row>
    <row r="1892" spans="1:12">
      <c r="A1892" s="20" t="s">
        <v>1164</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411</v>
      </c>
      <c r="B1893" s="27" t="s">
        <v>1074</v>
      </c>
      <c r="C1893" s="27" t="s">
        <v>1086</v>
      </c>
      <c r="D1893" s="27" t="s">
        <v>1069</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1087</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1753</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1754</v>
      </c>
      <c r="B1896" s="27" t="s">
        <v>1071</v>
      </c>
      <c r="C1896" s="27" t="s">
        <v>1072</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1224</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1755</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1372</v>
      </c>
      <c r="B1899" s="27" t="s">
        <v>1071</v>
      </c>
      <c r="C1899" s="27" t="s">
        <v>1077</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1124</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1756</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1080</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row>
    <row r="1904" spans="1:12">
      <c r="A1904" s="20" t="s">
        <v>1757</v>
      </c>
    </row>
    <row r="1905" spans="1:12">
      <c r="A1905" s="20" t="s">
        <v>1164</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415</v>
      </c>
      <c r="B1906" s="27" t="s">
        <v>1074</v>
      </c>
      <c r="C1906" s="27" t="s">
        <v>1086</v>
      </c>
      <c r="D1906" s="27" t="s">
        <v>1069</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1357</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1758</v>
      </c>
      <c r="B1908" s="27" t="s">
        <v>1074</v>
      </c>
      <c r="C1908" s="27" t="s">
        <v>1077</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1087</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1149</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1351</v>
      </c>
      <c r="B1911" s="27" t="s">
        <v>1133</v>
      </c>
      <c r="C1911" s="27" t="s">
        <v>1072</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1320</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1759</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1087</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1149</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1760</v>
      </c>
      <c r="B1916" s="27" t="s">
        <v>1235</v>
      </c>
      <c r="C1916" s="27" t="s">
        <v>1110</v>
      </c>
      <c r="D1916" s="27" t="s">
        <v>1069</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1761</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223</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1173</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1087</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1762</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1097</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1763</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1764</v>
      </c>
      <c r="B1924" s="27" t="s">
        <v>1092</v>
      </c>
      <c r="C1924" s="27" t="s">
        <v>1086</v>
      </c>
      <c r="D1924" s="27" t="s">
        <v>1069</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1087</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1149</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1097</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1765</v>
      </c>
      <c r="B1928" s="27" t="s">
        <v>1235</v>
      </c>
      <c r="C1928" s="27" t="s">
        <v>1086</v>
      </c>
      <c r="D1928" s="27" t="s">
        <v>1069</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1155</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1127</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1766</v>
      </c>
      <c r="B1931" s="27" t="s">
        <v>1141</v>
      </c>
      <c r="C1931" s="27" t="s">
        <v>1077</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1767</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1184</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1080</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row>
    <row r="1936" spans="1:12">
      <c r="A1936" s="20" t="s">
        <v>1768</v>
      </c>
    </row>
    <row r="1937" spans="1:12">
      <c r="A1937" s="20" t="s">
        <v>1082</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1568</v>
      </c>
      <c r="B1938" s="27" t="s">
        <v>1160</v>
      </c>
      <c r="C1938" s="27" t="s">
        <v>1110</v>
      </c>
      <c r="D1938" s="27" t="s">
        <v>1069</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1769</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1351</v>
      </c>
      <c r="B1940" s="27" t="s">
        <v>1067</v>
      </c>
      <c r="C1940" s="27" t="s">
        <v>1072</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1352</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1246</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1143</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1738</v>
      </c>
      <c r="B1944" s="27" t="s">
        <v>1074</v>
      </c>
      <c r="C1944" s="27" t="s">
        <v>1134</v>
      </c>
      <c r="D1944" s="27" t="s">
        <v>1069</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1324</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row>
    <row r="1947" spans="1:12">
      <c r="A1947" s="20" t="s">
        <v>1770</v>
      </c>
    </row>
    <row r="1948" spans="1:12">
      <c r="A1948" s="20" t="s">
        <v>1771</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1661</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1772</v>
      </c>
      <c r="B1950" s="27" t="s">
        <v>1095</v>
      </c>
      <c r="C1950" s="27" t="s">
        <v>1068</v>
      </c>
      <c r="D1950" s="27" t="s">
        <v>1069</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1155</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1193</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1773</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1191</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1087</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1299</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1167</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1185</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1549</v>
      </c>
      <c r="B1959" s="27" t="s">
        <v>1067</v>
      </c>
      <c r="C1959" s="27" t="s">
        <v>1120</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1774</v>
      </c>
      <c r="B1960" s="27" t="s">
        <v>1071</v>
      </c>
      <c r="C1960" s="27" t="s">
        <v>1077</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1080</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row>
    <row r="1963" spans="1:12">
      <c r="A1963" s="20" t="s">
        <v>1775</v>
      </c>
    </row>
    <row r="1964" spans="1:12">
      <c r="A1964" s="20" t="s">
        <v>1164</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1130</v>
      </c>
      <c r="B1965" s="27" t="s">
        <v>1067</v>
      </c>
      <c r="C1965" s="27" t="s">
        <v>1086</v>
      </c>
      <c r="D1965" s="27" t="s">
        <v>1069</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129</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1089</v>
      </c>
      <c r="B1967" s="27" t="s">
        <v>1160</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1776</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1777</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425</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1080</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row>
    <row r="1973" spans="1:12">
      <c r="A1973" s="20" t="s">
        <v>1778</v>
      </c>
    </row>
    <row r="1974" spans="1:12">
      <c r="A1974" s="20" t="s">
        <v>681</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1779</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12</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12</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1512</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1513</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row>
    <row r="1981" spans="1:12">
      <c r="A1981" s="20" t="s">
        <v>1780</v>
      </c>
    </row>
    <row r="1982" spans="1:12">
      <c r="A1982" s="20" t="s">
        <v>1781</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1183</v>
      </c>
      <c r="B1983" s="27" t="s">
        <v>1067</v>
      </c>
      <c r="C1983" s="27" t="s">
        <v>1134</v>
      </c>
      <c r="D1983" s="27" t="s">
        <v>1069</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1537</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1193</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1782</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1692</v>
      </c>
      <c r="B1987" s="27" t="s">
        <v>1160</v>
      </c>
      <c r="C1987" s="27" t="s">
        <v>1117</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1087</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1104</v>
      </c>
      <c r="B1989" s="27" t="s">
        <v>1095</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1085</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1783</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1124</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1183</v>
      </c>
      <c r="B1993" s="27" t="s">
        <v>1067</v>
      </c>
      <c r="C1993" s="27" t="s">
        <v>1134</v>
      </c>
      <c r="D1993" s="27" t="s">
        <v>1069</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1537</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1193</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1782</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1692</v>
      </c>
      <c r="B1997" s="27" t="s">
        <v>1160</v>
      </c>
      <c r="C1997" s="27" t="s">
        <v>1117</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1087</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1104</v>
      </c>
      <c r="B1999" s="27" t="s">
        <v>1095</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1085</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1783</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1124</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1087</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1078</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1207</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1663</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1351</v>
      </c>
      <c r="B2007" s="27" t="s">
        <v>1067</v>
      </c>
      <c r="C2007" s="27" t="s">
        <v>1072</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1232</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432</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1784</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1080</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row>
    <row r="2013" spans="1:12">
      <c r="A2013" s="20" t="s">
        <v>1785</v>
      </c>
    </row>
    <row r="2014" spans="1:12">
      <c r="A2014" s="20" t="s">
        <v>1164</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1786</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1537</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1097</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1667</v>
      </c>
      <c r="B2018" s="27" t="s">
        <v>1160</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1312</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1066</v>
      </c>
      <c r="B2020" s="27" t="s">
        <v>1067</v>
      </c>
      <c r="C2020" s="27" t="s">
        <v>1068</v>
      </c>
      <c r="D2020" s="27" t="s">
        <v>1069</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1787</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1080</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row>
    <row r="2024" spans="1:12">
      <c r="A2024" s="20" t="s">
        <v>1788</v>
      </c>
    </row>
    <row r="2025" spans="1:12">
      <c r="A2025" s="20" t="s">
        <v>1158</v>
      </c>
      <c r="B2025" s="27" t="s">
        <v>1067</v>
      </c>
      <c r="C2025" s="27" t="s">
        <v>1068</v>
      </c>
      <c r="D2025" s="27" t="s">
        <v>1069</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1124</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1104</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1789</v>
      </c>
      <c r="B2028" s="27" t="s">
        <v>1067</v>
      </c>
      <c r="C2028" s="27" t="s">
        <v>1086</v>
      </c>
      <c r="D2028" s="27" t="s">
        <v>1069</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1565</v>
      </c>
      <c r="B2029" s="27" t="s">
        <v>1074</v>
      </c>
      <c r="C2029" s="27" t="s">
        <v>1077</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1087</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1166</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1188</v>
      </c>
      <c r="B2032" s="27" t="s">
        <v>1095</v>
      </c>
      <c r="C2032" s="27" t="s">
        <v>1110</v>
      </c>
      <c r="D2032" s="27" t="s">
        <v>1069</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1790</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1791</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46</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1080</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row>
    <row r="2038" spans="1:12">
      <c r="A2038" s="20" t="s">
        <v>1792</v>
      </c>
    </row>
    <row r="2039" spans="1:12">
      <c r="A2039" s="20" t="s">
        <v>1082</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1751</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1104</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157</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12</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1661</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1167</v>
      </c>
      <c r="B2045" s="27" t="s">
        <v>1095</v>
      </c>
      <c r="C2045" s="27" t="s">
        <v>1068</v>
      </c>
      <c r="D2045" s="27" t="s">
        <v>1069</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1464</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1191</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1087</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1149</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1188</v>
      </c>
      <c r="B2050" s="27" t="s">
        <v>1133</v>
      </c>
      <c r="C2050" s="27" t="s">
        <v>1110</v>
      </c>
      <c r="D2050" s="27" t="s">
        <v>1069</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1793</v>
      </c>
      <c r="B2051" s="27" t="s">
        <v>1141</v>
      </c>
      <c r="C2051" s="27" t="s">
        <v>1110</v>
      </c>
      <c r="D2051" s="27" t="s">
        <v>1069</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1794</v>
      </c>
      <c r="B2052" s="27" t="s">
        <v>1106</v>
      </c>
      <c r="C2052" s="27" t="s">
        <v>1117</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282</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12</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1188</v>
      </c>
      <c r="B2055" s="27" t="s">
        <v>1235</v>
      </c>
      <c r="C2055" s="27" t="s">
        <v>1110</v>
      </c>
      <c r="D2055" s="27" t="s">
        <v>1069</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157</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1269</v>
      </c>
      <c r="B2057" s="27" t="s">
        <v>1116</v>
      </c>
      <c r="C2057" s="27" t="s">
        <v>1072</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1795</v>
      </c>
      <c r="B2058" s="27" t="s">
        <v>1250</v>
      </c>
      <c r="C2058" s="27" t="s">
        <v>1117</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1080</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row>
    <row r="2061" spans="1:12">
      <c r="A2061" s="20" t="s">
        <v>1796</v>
      </c>
    </row>
    <row r="2062" spans="1:12">
      <c r="A2062" s="20" t="s">
        <v>1797</v>
      </c>
      <c r="B2062" s="27" t="s">
        <v>1071</v>
      </c>
      <c r="C2062" s="27" t="s">
        <v>1072</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1143</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1228</v>
      </c>
      <c r="B2064" s="27" t="s">
        <v>1074</v>
      </c>
      <c r="C2064" s="27" t="s">
        <v>1072</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1191</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1104</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1798</v>
      </c>
      <c r="B2067" s="27" t="s">
        <v>1067</v>
      </c>
      <c r="C2067" s="27" t="s">
        <v>1086</v>
      </c>
      <c r="D2067" s="27" t="s">
        <v>1069</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1087</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1104</v>
      </c>
      <c r="B2069" s="27" t="s">
        <v>1133</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1128</v>
      </c>
      <c r="B2070" s="27" t="s">
        <v>1141</v>
      </c>
      <c r="C2070" s="27" t="s">
        <v>1129</v>
      </c>
      <c r="D2070" s="27" t="s">
        <v>1069</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1799</v>
      </c>
      <c r="B2071" s="27" t="s">
        <v>1106</v>
      </c>
      <c r="C2071" s="27" t="s">
        <v>1131</v>
      </c>
      <c r="D2071" s="27" t="s">
        <v>1069</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626</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1800</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1801</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1138</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1104</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1199</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1802</v>
      </c>
      <c r="B2078" s="27" t="s">
        <v>1074</v>
      </c>
      <c r="C2078" s="27" t="s">
        <v>1086</v>
      </c>
      <c r="D2078" s="27" t="s">
        <v>1069</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1080</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row>
    <row r="2081" spans="1:12">
      <c r="A2081" s="20" t="s">
        <v>1803</v>
      </c>
    </row>
    <row r="2082" spans="1:12">
      <c r="A2082" s="20" t="s">
        <v>1175</v>
      </c>
      <c r="B2082" s="27" t="s">
        <v>1067</v>
      </c>
      <c r="C2082" s="27" t="s">
        <v>1110</v>
      </c>
      <c r="D2082" s="27" t="s">
        <v>1069</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1124</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1804</v>
      </c>
      <c r="B2084" s="27" t="s">
        <v>1074</v>
      </c>
      <c r="C2084" s="27" t="s">
        <v>1077</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1087</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1351</v>
      </c>
      <c r="B2086" s="27" t="s">
        <v>1095</v>
      </c>
      <c r="C2086" s="27" t="s">
        <v>1072</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1805</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1199</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1806</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1807</v>
      </c>
      <c r="B2090" s="27" t="s">
        <v>1071</v>
      </c>
      <c r="C2090" s="27" t="s">
        <v>1117</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1087</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1808</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1473</v>
      </c>
      <c r="B2093" s="27" t="s">
        <v>1141</v>
      </c>
      <c r="C2093" s="27" t="s">
        <v>1072</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1809</v>
      </c>
      <c r="B2094" s="27" t="s">
        <v>1133</v>
      </c>
      <c r="C2094" s="27" t="s">
        <v>1077</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1138</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141</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1810</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1811</v>
      </c>
      <c r="B2098" s="27" t="s">
        <v>1092</v>
      </c>
      <c r="C2098" s="27" t="s">
        <v>1120</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1080</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row>
    <row r="2101" spans="1:12">
      <c r="A2101" s="20" t="s">
        <v>1812</v>
      </c>
    </row>
    <row r="2102" spans="1:12">
      <c r="A2102" s="20" t="s">
        <v>1190</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451</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1128</v>
      </c>
      <c r="B2104" s="27" t="s">
        <v>1071</v>
      </c>
      <c r="C2104" s="27" t="s">
        <v>1129</v>
      </c>
      <c r="D2104" s="27" t="s">
        <v>1069</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1813</v>
      </c>
      <c r="B2105" s="27" t="s">
        <v>1067</v>
      </c>
      <c r="C2105" s="27" t="s">
        <v>1131</v>
      </c>
      <c r="D2105" s="27" t="s">
        <v>1069</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1814</v>
      </c>
      <c r="B2106" s="27" t="s">
        <v>1160</v>
      </c>
      <c r="C2106" s="27" t="s">
        <v>1077</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1317</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1164</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1815</v>
      </c>
      <c r="B2109" s="27" t="s">
        <v>1095</v>
      </c>
      <c r="C2109" s="27" t="s">
        <v>1086</v>
      </c>
      <c r="D2109" s="27" t="s">
        <v>1069</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1704</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1155</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1113</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1816</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t="s">
        <v>1817</v>
      </c>
      <c r="B2114" s="27" t="s">
        <v>1071</v>
      </c>
      <c r="C2114" s="27" t="s">
        <v>1086</v>
      </c>
      <c r="D2114" s="27" t="s">
        <v>1069</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1087</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1188</v>
      </c>
      <c r="B2116" s="27" t="s">
        <v>1095</v>
      </c>
      <c r="C2116" s="27" t="s">
        <v>1110</v>
      </c>
      <c r="D2116" s="27" t="s">
        <v>1069</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1704</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1751</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1155</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1139</v>
      </c>
      <c r="B2120" s="27" t="s">
        <v>1092</v>
      </c>
      <c r="C2120" s="27" t="s">
        <v>1072</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1817</v>
      </c>
      <c r="B2121" s="27" t="s">
        <v>1071</v>
      </c>
      <c r="C2121" s="27" t="s">
        <v>1077</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1078</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1818</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1819</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1751</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1097</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1820</v>
      </c>
      <c r="B2127" s="27" t="s">
        <v>1133</v>
      </c>
      <c r="C2127" s="27" t="s">
        <v>1086</v>
      </c>
      <c r="D2127" s="27" t="s">
        <v>1069</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1155</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1821</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1080</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row>
    <row r="2132" spans="1:12">
      <c r="A2132" s="20" t="s">
        <v>1822</v>
      </c>
    </row>
    <row r="2133" spans="1:12">
      <c r="A2133" s="20" t="s">
        <v>1335</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1348</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1351</v>
      </c>
      <c r="B2135" s="27" t="s">
        <v>1067</v>
      </c>
      <c r="C2135" s="27" t="s">
        <v>1072</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1087</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1196</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1351</v>
      </c>
      <c r="B2138" s="27" t="s">
        <v>1095</v>
      </c>
      <c r="C2138" s="27" t="s">
        <v>1072</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1199</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1823</v>
      </c>
      <c r="B2140" s="27" t="s">
        <v>1092</v>
      </c>
      <c r="C2140" s="27" t="s">
        <v>1129</v>
      </c>
      <c r="D2140" s="27" t="s">
        <v>1069</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1813</v>
      </c>
      <c r="B2141" s="27" t="s">
        <v>1071</v>
      </c>
      <c r="C2141" s="27" t="s">
        <v>1131</v>
      </c>
      <c r="D2141" s="27" t="s">
        <v>1069</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1824</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1191</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1087</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1228</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1825</v>
      </c>
      <c r="B2146" s="27" t="s">
        <v>1106</v>
      </c>
      <c r="C2146" s="27" t="s">
        <v>1120</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157</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1087</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1104</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1076</v>
      </c>
      <c r="B2150" s="27" t="s">
        <v>1095</v>
      </c>
      <c r="C2150" s="27" t="s">
        <v>1086</v>
      </c>
      <c r="D2150" s="27" t="s">
        <v>1069</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1751</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1224</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1826</v>
      </c>
      <c r="B2153" s="27" t="s">
        <v>1071</v>
      </c>
      <c r="C2153" s="27" t="s">
        <v>1077</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1196</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1197</v>
      </c>
      <c r="B2155" s="27" t="s">
        <v>1095</v>
      </c>
      <c r="C2155" s="27" t="s">
        <v>1068</v>
      </c>
      <c r="D2155" s="27" t="s">
        <v>1069</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1155</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1827</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1191</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1087</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1070</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248</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1080</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row>
    <row r="2164" spans="1:12">
      <c r="A2164" s="20" t="s">
        <v>1828</v>
      </c>
    </row>
    <row r="2165" spans="1:12">
      <c r="A2165" s="20" t="s">
        <v>1158</v>
      </c>
      <c r="B2165" s="27" t="s">
        <v>1067</v>
      </c>
      <c r="C2165" s="27" t="s">
        <v>1068</v>
      </c>
      <c r="D2165" s="27" t="s">
        <v>1069</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1299</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1356</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1243</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1336</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1829</v>
      </c>
      <c r="B2170" s="27" t="s">
        <v>1160</v>
      </c>
      <c r="C2170" s="27" t="s">
        <v>1077</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t="s">
        <v>1080</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row>
    <row r="2173" spans="1:12">
      <c r="A2173" s="20" t="s">
        <v>1830</v>
      </c>
    </row>
    <row r="2174" spans="1:12">
      <c r="A2174" s="20" t="s">
        <v>1158</v>
      </c>
      <c r="B2174" s="27" t="s">
        <v>1067</v>
      </c>
      <c r="C2174" s="27" t="s">
        <v>1068</v>
      </c>
      <c r="D2174" s="27" t="s">
        <v>1069</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1299</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1831</v>
      </c>
      <c r="B2176" s="27" t="s">
        <v>1160</v>
      </c>
      <c r="C2176" s="27" t="s">
        <v>1077</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1096</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1097</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1832</v>
      </c>
      <c r="B2179" s="27" t="s">
        <v>1071</v>
      </c>
      <c r="C2179" s="27" t="s">
        <v>1086</v>
      </c>
      <c r="D2179" s="27" t="s">
        <v>1069</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1080</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row>
    <row r="2182" spans="1:12">
      <c r="A2182" s="20" t="s">
        <v>1833</v>
      </c>
    </row>
    <row r="2183" spans="1:12">
      <c r="A2183" s="20" t="s">
        <v>1436</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1108</v>
      </c>
      <c r="B2184" s="27" t="s">
        <v>1133</v>
      </c>
      <c r="C2184" s="27" t="s">
        <v>1110</v>
      </c>
      <c r="D2184" s="27" t="s">
        <v>1069</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1834</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121</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1087</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1149</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1104</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1835</v>
      </c>
      <c r="B2190" s="27" t="s">
        <v>1235</v>
      </c>
      <c r="C2190" s="27" t="s">
        <v>1086</v>
      </c>
      <c r="D2190" s="27" t="s">
        <v>1069</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1836</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1725</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1837</v>
      </c>
      <c r="B2193" s="27" t="s">
        <v>1141</v>
      </c>
      <c r="C2193" s="27" t="s">
        <v>1086</v>
      </c>
      <c r="D2193" s="27" t="s">
        <v>1069</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1838</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1087</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282</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1197</v>
      </c>
      <c r="B2197" s="27" t="s">
        <v>1095</v>
      </c>
      <c r="C2197" s="27" t="s">
        <v>1068</v>
      </c>
      <c r="D2197" s="27" t="s">
        <v>1069</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1155</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t="s">
        <v>1198</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1104</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1839</v>
      </c>
      <c r="B2201" s="27" t="s">
        <v>1090</v>
      </c>
      <c r="C2201" s="27" t="s">
        <v>1086</v>
      </c>
      <c r="D2201" s="27" t="s">
        <v>1069</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1087</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1197</v>
      </c>
      <c r="B2203" s="27" t="s">
        <v>1092</v>
      </c>
      <c r="C2203" s="27" t="s">
        <v>1068</v>
      </c>
      <c r="D2203" s="27" t="s">
        <v>1069</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129</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1751</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1246</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1143</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1840</v>
      </c>
      <c r="B2208" s="27" t="s">
        <v>1074</v>
      </c>
      <c r="C2208" s="27" t="s">
        <v>1086</v>
      </c>
      <c r="D2208" s="27" t="s">
        <v>1069</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464</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1087</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1149</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1104</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t="s">
        <v>1076</v>
      </c>
      <c r="B2213" s="27" t="s">
        <v>1095</v>
      </c>
      <c r="C2213" s="27" t="s">
        <v>1086</v>
      </c>
      <c r="D2213" s="27" t="s">
        <v>1069</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1199</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1296</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1340</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1841</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1080</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row>
    <row r="2220" spans="1:12">
      <c r="A2220" s="20" t="s">
        <v>1842</v>
      </c>
    </row>
    <row r="2221" spans="1:12">
      <c r="A2221" s="20" t="s">
        <v>1082</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1167</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1299</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1083</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t="s">
        <v>1843</v>
      </c>
      <c r="B2225" s="27" t="s">
        <v>1067</v>
      </c>
      <c r="C2225" s="27" t="s">
        <v>1086</v>
      </c>
      <c r="D2225" s="27" t="s">
        <v>1069</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t="s">
        <v>1080</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row>
    <row r="2228" spans="1:12">
      <c r="A2228" s="20" t="s">
        <v>1844</v>
      </c>
    </row>
    <row r="2229" spans="1:12">
      <c r="A2229" s="20" t="s">
        <v>1082</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1100</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1104</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1845</v>
      </c>
      <c r="B2232" s="27" t="s">
        <v>1090</v>
      </c>
      <c r="C2232" s="27" t="s">
        <v>1086</v>
      </c>
      <c r="D2232" s="27" t="s">
        <v>1069</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1070</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1846</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1087</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1312</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1066</v>
      </c>
      <c r="B2237" s="27" t="s">
        <v>1067</v>
      </c>
      <c r="C2237" s="27" t="s">
        <v>1068</v>
      </c>
      <c r="D2237" s="27" t="s">
        <v>1069</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1633</v>
      </c>
      <c r="B2238" s="27" t="s">
        <v>1160</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1650</v>
      </c>
      <c r="B2239" s="27" t="s">
        <v>1071</v>
      </c>
      <c r="C2239" s="27" t="s">
        <v>1072</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1847</v>
      </c>
      <c r="B2240" s="27" t="s">
        <v>1160</v>
      </c>
      <c r="C2240" s="27" t="s">
        <v>1117</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1199</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1848</v>
      </c>
      <c r="B2242" s="27" t="s">
        <v>1071</v>
      </c>
      <c r="C2242" s="27" t="s">
        <v>1077</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1087</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1104</v>
      </c>
      <c r="B2244" s="27" t="s">
        <v>1235</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1849</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46</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1087</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1850</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1317</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1164</v>
      </c>
      <c r="B2250" s="27" t="s">
        <v>1074</v>
      </c>
      <c r="C2250" s="27" t="s">
        <v>1110</v>
      </c>
      <c r="D2250" s="27" t="s">
        <v>1069</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1127</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1851</v>
      </c>
      <c r="B2252" s="27" t="s">
        <v>1071</v>
      </c>
      <c r="C2252" s="27" t="s">
        <v>1117</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1087</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1852</v>
      </c>
      <c r="B2254" s="27" t="s">
        <v>1092</v>
      </c>
      <c r="C2254" s="27" t="s">
        <v>1077</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t="s">
        <v>1087</v>
      </c>
      <c r="E2255" s="21">
        <f>IF(D2255="?OLD","!!!","")</f>
        <v/>
      </c>
      <c r="F2255" s="22" t="str">
        <f>IF(OR(E2255="",E2255="!!!"),"",IF(NOT(ISNA(VLOOKUP(E2255,E$1:E2254,1,FALSE()))),"OLD",IF(AND(E2255&lt;&gt;"",E2255&lt;&gt;"!!!"),"NEW","")))</f>
        <v> </v>
      </c>
      <c r="G2255" s="23" t="str">
        <f>IF(OR(E2255="",E2255="!!!"),"",IF(OR(J2255=0,AND(J2255=1,K2255=1),AND(J2255=1,I2255="SBJ"),AND(J2255=1,I2255=0)),"?IN_FOCUS",IF(J2255&lt;=2,"?ACTIVATED",IF(J2255&lt;&gt;"","?FAMILIAR",IF(F2255="NEW",IF(ISNA(VLOOKUP(E2255,#REF!,1,FALSE())),"?TYPE_IDENTIFIABLE","?REFERENTIAL"),"_")))))</f>
        <v> </v>
      </c>
      <c r="H2255" s="24" t="str">
        <f>IF(J2255&lt;&gt;1,"",IF(I2255="SBJ","CB","?"))</f>
        <v> </v>
      </c>
      <c r="I2255" s="25" t="str">
        <f>IF(OR(E2255="",E2255="!!!",F2255="NEW"),"",INDEX(B2254:B$2,-1+SUMPRODUCT(MAX(ROW(E2254:E$2)*(E2255=E2254:E$2)))))</f>
        <v> </v>
      </c>
      <c r="J2255" s="25" t="str">
        <f>IF(OR(E2255="",E2255="!!!",F2255="NEW"),"",COUNTBLANK(OFFSET(A$1,,,SUMPRODUCT(MAX(ROW(E$2:E2255)*(E2255=E$2:E2255)))))-COUNTBLANK(OFFSET(A$1,,,SUMPRODUCT(MAX(ROW(E$1:E2254)*(E2=E$1:E2254))))))</f>
        <v> </v>
      </c>
      <c r="K2255" s="25" t="str">
        <f>IF(OR(E2255="",E2255="!!!",F2255="NEW"),"",INDEX(J$1:J2254,SUMPRODUCT(MAX(ROW(E$1:E2254)*(E2255=E$1:E2254)))))</f>
        <v> </v>
      </c>
      <c r="L2255" s="26"/>
    </row>
    <row r="2256" spans="1:12">
      <c r="A2256" s="20" t="s">
        <v>1853</v>
      </c>
      <c r="B2256" s="27" t="s">
        <v>1092</v>
      </c>
      <c r="C2256" s="27" t="s">
        <v>1077</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1087</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1854</v>
      </c>
      <c r="B2258" s="27" t="s">
        <v>1092</v>
      </c>
      <c r="C2258" s="27" t="s">
        <v>1077</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1087</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1127</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t="s">
        <v>1453</v>
      </c>
      <c r="B2261" s="27" t="s">
        <v>1092</v>
      </c>
      <c r="C2261" s="27" t="s">
        <v>1072</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t="s">
        <v>1080</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row>
    <row r="2264" spans="1:12">
      <c r="A2264" s="20" t="s">
        <v>1855</v>
      </c>
    </row>
    <row r="2265" spans="1:12">
      <c r="A2265" s="20" t="s">
        <v>1082</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1083</v>
      </c>
      <c r="B2266" s="27" t="s">
        <v>1160</v>
      </c>
      <c r="C2266" s="27" t="s">
        <v>1129</v>
      </c>
      <c r="D2266" s="27" t="s">
        <v>1069</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1312</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1066</v>
      </c>
      <c r="B2268" s="27" t="s">
        <v>1067</v>
      </c>
      <c r="C2268" s="27" t="s">
        <v>1068</v>
      </c>
      <c r="D2268" s="27" t="s">
        <v>1069</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1246</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1097</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1549</v>
      </c>
      <c r="B2271" s="27" t="s">
        <v>1074</v>
      </c>
      <c r="C2271" s="27" t="s">
        <v>1086</v>
      </c>
      <c r="D2271" s="27" t="s">
        <v>1069</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1097</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t="s">
        <v>1856</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1076</v>
      </c>
      <c r="B2274" s="27" t="s">
        <v>1071</v>
      </c>
      <c r="C2274" s="27" t="s">
        <v>1086</v>
      </c>
      <c r="D2274" s="27" t="s">
        <v>1069</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1087</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1857</v>
      </c>
      <c r="B2276" s="27" t="s">
        <v>1133</v>
      </c>
      <c r="C2276" s="27" t="s">
        <v>1110</v>
      </c>
      <c r="D2276" s="27" t="s">
        <v>1069</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1104</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1248</v>
      </c>
      <c r="B2278" s="27" t="s">
        <v>1106</v>
      </c>
      <c r="C2278" s="27" t="s">
        <v>1086</v>
      </c>
      <c r="D2278" s="27" t="s">
        <v>1069</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1409</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1087</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1858</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t="s">
        <v>1080</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row>
    <row r="2284" spans="1:12">
      <c r="A2284" s="20" t="s">
        <v>1859</v>
      </c>
    </row>
    <row r="2285" spans="1:12">
      <c r="A2285" s="20" t="s">
        <v>1311</v>
      </c>
      <c r="B2285" s="27" t="s">
        <v>1067</v>
      </c>
      <c r="C2285" s="27" t="s">
        <v>1068</v>
      </c>
      <c r="D2285" s="27" t="s">
        <v>1069</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1860</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1489</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1087</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1149</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1650</v>
      </c>
      <c r="B2290" s="27" t="s">
        <v>1092</v>
      </c>
      <c r="C2290" s="27" t="s">
        <v>1072</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1848</v>
      </c>
      <c r="B2291" s="27" t="s">
        <v>1095</v>
      </c>
      <c r="C2291" s="27" t="s">
        <v>1117</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1087</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1104</v>
      </c>
      <c r="B2293" s="27" t="s">
        <v>1250</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1108</v>
      </c>
      <c r="B2294" s="27" t="s">
        <v>1235</v>
      </c>
      <c r="C2294" s="27" t="s">
        <v>1110</v>
      </c>
      <c r="D2294" s="27" t="s">
        <v>1069</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1539</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1861</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1087</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1373</v>
      </c>
      <c r="B2298" s="27" t="s">
        <v>1141</v>
      </c>
      <c r="C2298" s="27" t="s">
        <v>1110</v>
      </c>
      <c r="D2298" s="27" t="s">
        <v>1069</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1138</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t="s">
        <v>45</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t="s">
        <v>1862</v>
      </c>
      <c r="B2301" s="27" t="s">
        <v>1116</v>
      </c>
      <c r="C2301" s="27" t="s">
        <v>1117</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1097</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t="s">
        <v>1863</v>
      </c>
      <c r="B2303" s="27" t="s">
        <v>1678</v>
      </c>
      <c r="C2303" s="27" t="s">
        <v>1086</v>
      </c>
      <c r="D2303" s="27" t="s">
        <v>1069</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1713</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1203</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1080</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row>
    <row r="2308" spans="1:12">
      <c r="A2308" s="20" t="s">
        <v>1864</v>
      </c>
    </row>
    <row r="2309" spans="1:12">
      <c r="A2309" s="20" t="s">
        <v>1241</v>
      </c>
      <c r="B2309" s="27" t="s">
        <v>1067</v>
      </c>
      <c r="C2309" s="27" t="s">
        <v>1110</v>
      </c>
      <c r="D2309" s="27" t="s">
        <v>1069</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282</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t="s">
        <v>1356</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t="s">
        <v>1243</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t="s">
        <v>1228</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1668</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1865</v>
      </c>
      <c r="B2315" s="27" t="s">
        <v>1160</v>
      </c>
      <c r="C2315" s="27" t="s">
        <v>1120</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1087</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17</v>
      </c>
      <c r="B2317" s="27" t="s">
        <v>1092</v>
      </c>
      <c r="C2317" s="27" t="s">
        <v>1072</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1087</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1149</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1100</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1228</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1417</v>
      </c>
      <c r="B2322" s="27" t="s">
        <v>1092</v>
      </c>
      <c r="C2322" s="27" t="s">
        <v>1120</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383</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1866</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841</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1184</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1087</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1138</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1104</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1867</v>
      </c>
      <c r="B2330" s="27" t="s">
        <v>1235</v>
      </c>
      <c r="C2330" s="27" t="s">
        <v>1086</v>
      </c>
      <c r="D2330" s="27" t="s">
        <v>1069</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1070</v>
      </c>
      <c r="B2331" s="27" t="s">
        <v>1141</v>
      </c>
      <c r="C2331" s="27" t="s">
        <v>1072</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1097</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1211</v>
      </c>
      <c r="B2333" s="27" t="s">
        <v>1092</v>
      </c>
      <c r="C2333" s="27" t="s">
        <v>1086</v>
      </c>
      <c r="D2333" s="27" t="s">
        <v>1069</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1080</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row>
    <row r="2336" spans="1:12">
      <c r="A2336" s="20" t="s">
        <v>1868</v>
      </c>
    </row>
    <row r="2337" spans="1:12">
      <c r="A2337" s="20" t="s">
        <v>1175</v>
      </c>
      <c r="B2337" s="27" t="s">
        <v>1067</v>
      </c>
      <c r="C2337" s="27" t="s">
        <v>1110</v>
      </c>
      <c r="D2337" s="27" t="s">
        <v>1069</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1191</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1155</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1869</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1087</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1301</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1167</v>
      </c>
      <c r="B2343" s="27" t="s">
        <v>1095</v>
      </c>
      <c r="C2343" s="27" t="s">
        <v>1068</v>
      </c>
      <c r="D2343" s="27" t="s">
        <v>1069</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1191</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1155</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1165</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1870</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1080</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row>
    <row r="2350" spans="1:12">
      <c r="A2350" s="20" t="s">
        <v>1871</v>
      </c>
    </row>
    <row r="2351" spans="1:12">
      <c r="A2351" s="20" t="s">
        <v>1175</v>
      </c>
      <c r="B2351" s="27" t="s">
        <v>1067</v>
      </c>
      <c r="C2351" s="27" t="s">
        <v>1129</v>
      </c>
      <c r="D2351" s="27" t="s">
        <v>1069</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t="s">
        <v>1872</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t="s">
        <v>1087</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1196</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1351</v>
      </c>
      <c r="B2355" s="27" t="s">
        <v>1095</v>
      </c>
      <c r="C2355" s="27" t="s">
        <v>1072</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1873</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1087</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1128</v>
      </c>
      <c r="B2358" s="27" t="s">
        <v>1141</v>
      </c>
      <c r="C2358" s="27" t="s">
        <v>1129</v>
      </c>
      <c r="D2358" s="27" t="s">
        <v>1069</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1874</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1813</v>
      </c>
      <c r="B2360" s="27" t="s">
        <v>1106</v>
      </c>
      <c r="C2360" s="27" t="s">
        <v>1131</v>
      </c>
      <c r="D2360" s="27" t="s">
        <v>1069</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1075</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121</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t="s">
        <v>1108</v>
      </c>
      <c r="B2363" s="27" t="s">
        <v>1133</v>
      </c>
      <c r="C2363" s="27" t="s">
        <v>1110</v>
      </c>
      <c r="D2363" s="27" t="s">
        <v>1069</v>
      </c>
      <c r="E2363" s="21">
        <f>IF(D2363="?OLD","!!!","")</f>
        <v/>
      </c>
      <c r="F2363" s="22" t="str">
        <f>IF(OR(E2363="",E2363="!!!"),"",IF(NOT(ISNA(VLOOKUP(E2363,E$1:E2362,1,FALSE()))),"OLD",IF(AND(E2363&lt;&gt;"",E2363&lt;&gt;"!!!"),"NEW","")))</f>
        <v> </v>
      </c>
      <c r="G2363" s="23" t="str">
        <f>IF(OR(E2363="",E2363="!!!"),"",IF(OR(J2363=0,AND(J2363=1,K2363=1),AND(J2363=1,I2363="SBJ"),AND(J2363=1,I2363=0)),"?IN_FOCUS",IF(J2363&lt;=2,"?ACTIVATED",IF(J2363&lt;&gt;"","?FAMILIAR",IF(F2363="NEW",IF(ISNA(VLOOKUP(E2363,#REF!,1,FALSE())),"?TYPE_IDENTIFIABLE","?REFERENTIAL"),"_")))))</f>
        <v> </v>
      </c>
      <c r="H2363" s="24" t="str">
        <f>IF(J2363&lt;&gt;1,"",IF(I2363="SBJ","CB","?"))</f>
        <v> </v>
      </c>
      <c r="I2363" s="25" t="str">
        <f>IF(OR(E2363="",E2363="!!!",F2363="NEW"),"",INDEX(B2362:B$2,-1+SUMPRODUCT(MAX(ROW(E2362:E$2)*(E2363=E2362:E$2)))))</f>
        <v> </v>
      </c>
      <c r="J2363" s="25" t="str">
        <f>IF(OR(E2363="",E2363="!!!",F2363="NEW"),"",COUNTBLANK(OFFSET(A$1,,,SUMPRODUCT(MAX(ROW(E$2:E2363)*(E2363=E$2:E2363)))))-COUNTBLANK(OFFSET(A$1,,,SUMPRODUCT(MAX(ROW(E$1:E2362)*(E2=E$1:E2362))))))</f>
        <v> </v>
      </c>
      <c r="K2363" s="25" t="str">
        <f>IF(OR(E2363="",E2363="!!!",F2363="NEW"),"",INDEX(J$1:J2362,SUMPRODUCT(MAX(ROW(E$1:E2362)*(E2363=E$1:E2362)))))</f>
        <v> </v>
      </c>
      <c r="L2363" s="26"/>
    </row>
    <row r="2364" spans="1:12">
      <c r="A2364" s="20" t="s">
        <v>1875</v>
      </c>
      <c r="E2364" s="21">
        <f>IF(D2364="?OLD","!!!","")</f>
        <v/>
      </c>
      <c r="F2364" s="22" t="str">
        <f>IF(OR(E2364="",E2364="!!!"),"",IF(NOT(ISNA(VLOOKUP(E2364,E$1:E2363,1,FALSE()))),"OLD",IF(AND(E2364&lt;&gt;"",E2364&lt;&gt;"!!!"),"NEW","")))</f>
        <v> </v>
      </c>
      <c r="G2364" s="23" t="str">
        <f>IF(OR(E2364="",E2364="!!!"),"",IF(OR(J2364=0,AND(J2364=1,K2364=1),AND(J2364=1,I2364="SBJ"),AND(J2364=1,I2364=0)),"?IN_FOCUS",IF(J2364&lt;=2,"?ACTIVATED",IF(J2364&lt;&gt;"","?FAMILIAR",IF(F2364="NEW",IF(ISNA(VLOOKUP(E2364,#REF!,1,FALSE())),"?TYPE_IDENTIFIABLE","?REFERENTIAL"),"_")))))</f>
        <v> </v>
      </c>
      <c r="H2364" s="24" t="str">
        <f>IF(J2364&lt;&gt;1,"",IF(I2364="SBJ","CB","?"))</f>
        <v> </v>
      </c>
      <c r="I2364" s="25" t="str">
        <f>IF(OR(E2364="",E2364="!!!",F2364="NEW"),"",INDEX(B2363:B$2,-1+SUMPRODUCT(MAX(ROW(E2363:E$2)*(E2364=E2363:E$2)))))</f>
        <v> </v>
      </c>
      <c r="J2364" s="25" t="str">
        <f>IF(OR(E2364="",E2364="!!!",F2364="NEW"),"",COUNTBLANK(OFFSET(A$1,,,SUMPRODUCT(MAX(ROW(E$2:E2364)*(E2364=E$2:E2364)))))-COUNTBLANK(OFFSET(A$1,,,SUMPRODUCT(MAX(ROW(E$1:E2363)*(E2=E$1:E2363))))))</f>
        <v> </v>
      </c>
      <c r="K2364" s="25" t="str">
        <f>IF(OR(E2364="",E2364="!!!",F2364="NEW"),"",INDEX(J$1:J2363,SUMPRODUCT(MAX(ROW(E$1:E2363)*(E2364=E$1:E2363)))))</f>
        <v> </v>
      </c>
      <c r="L2364" s="26"/>
    </row>
    <row r="2365" spans="1:12">
      <c r="A2365" s="20" t="s">
        <v>12</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1876</v>
      </c>
      <c r="B2366" s="27" t="s">
        <v>1235</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1725</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1877</v>
      </c>
      <c r="B2368" s="27" t="s">
        <v>1116</v>
      </c>
      <c r="C2368" s="27" t="s">
        <v>1086</v>
      </c>
      <c r="D2368" s="27" t="s">
        <v>1069</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1070</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1403</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1080</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row>
    <row r="2373" spans="1:12">
      <c r="A2373" s="20" t="s">
        <v>1878</v>
      </c>
    </row>
    <row r="2374" spans="1:12">
      <c r="A2374" s="20" t="s">
        <v>1436</v>
      </c>
      <c r="E2374" s="21">
        <f>IF(D2374="?OLD","!!!","")</f>
        <v/>
      </c>
      <c r="F2374" s="22" t="str">
        <f>IF(OR(E2374="",E2374="!!!"),"",IF(NOT(ISNA(VLOOKUP(E2374,E$1:E2373,1,FALSE()))),"OLD",IF(AND(E2374&lt;&gt;"",E2374&lt;&gt;"!!!"),"NEW","")))</f>
        <v> </v>
      </c>
      <c r="G2374" s="23" t="str">
        <f>IF(OR(E2374="",E2374="!!!"),"",IF(OR(J2374=0,AND(J2374=1,K2374=1),AND(J2374=1,I2374="SBJ"),AND(J2374=1,I2374=0)),"?IN_FOCUS",IF(J2374&lt;=2,"?ACTIVATED",IF(J2374&lt;&gt;"","?FAMILIAR",IF(F2374="NEW",IF(ISNA(VLOOKUP(E2374,#REF!,1,FALSE())),"?TYPE_IDENTIFIABLE","?REFERENTIAL"),"_")))))</f>
        <v> </v>
      </c>
      <c r="H2374" s="24" t="str">
        <f>IF(J2374&lt;&gt;1,"",IF(I2374="SBJ","CB","?"))</f>
        <v> </v>
      </c>
      <c r="I2374" s="25" t="str">
        <f>IF(OR(E2374="",E2374="!!!",F2374="NEW"),"",INDEX(B2373:B$2,-1+SUMPRODUCT(MAX(ROW(E2373:E$2)*(E2374=E2373:E$2)))))</f>
        <v> </v>
      </c>
      <c r="J2374" s="25" t="str">
        <f>IF(OR(E2374="",E2374="!!!",F2374="NEW"),"",COUNTBLANK(OFFSET(A$1,,,SUMPRODUCT(MAX(ROW(E$2:E2374)*(E2374=E$2:E2374)))))-COUNTBLANK(OFFSET(A$1,,,SUMPRODUCT(MAX(ROW(E$1:E2373)*(E2=E$1:E2373))))))</f>
        <v> </v>
      </c>
      <c r="K2374" s="25" t="str">
        <f>IF(OR(E2374="",E2374="!!!",F2374="NEW"),"",INDEX(J$1:J2373,SUMPRODUCT(MAX(ROW(E$1:E2373)*(E2374=E$1:E2373)))))</f>
        <v> </v>
      </c>
      <c r="L2374" s="26"/>
    </row>
    <row r="2375" spans="1:12">
      <c r="A2375" s="20" t="s">
        <v>1197</v>
      </c>
      <c r="B2375" s="27" t="s">
        <v>1095</v>
      </c>
      <c r="C2375" s="27" t="s">
        <v>1068</v>
      </c>
      <c r="D2375" s="27" t="s">
        <v>1069</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t="s">
        <v>1089</v>
      </c>
      <c r="B2376" s="27" t="s">
        <v>1090</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1100</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1720</v>
      </c>
      <c r="B2378" s="27" t="s">
        <v>1090</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1879</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1880</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165</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1087</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t="s">
        <v>282</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1197</v>
      </c>
      <c r="B2384" s="27" t="s">
        <v>1067</v>
      </c>
      <c r="C2384" s="27" t="s">
        <v>1068</v>
      </c>
      <c r="D2384" s="27" t="s">
        <v>1069</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1185</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1881</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1882</v>
      </c>
      <c r="B2387" s="27" t="s">
        <v>1160</v>
      </c>
      <c r="C2387" s="27" t="s">
        <v>1120</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t="s">
        <v>1080</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row>
    <row r="2390" spans="1:12">
      <c r="A2390" s="20" t="s">
        <v>1883</v>
      </c>
    </row>
    <row r="2391" spans="1:12">
      <c r="A2391" s="20" t="s">
        <v>1210</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1087</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1884</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1885</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1108</v>
      </c>
      <c r="B2395" s="27" t="s">
        <v>1067</v>
      </c>
      <c r="C2395" s="27" t="s">
        <v>1110</v>
      </c>
      <c r="D2395" s="27" t="s">
        <v>1069</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223</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1317</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1702</v>
      </c>
      <c r="B2398" s="27" t="s">
        <v>1095</v>
      </c>
      <c r="C2398" s="27" t="s">
        <v>1110</v>
      </c>
      <c r="D2398" s="27" t="s">
        <v>1069</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1191</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1097</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t="s">
        <v>1886</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1887</v>
      </c>
      <c r="B2402" s="27" t="s">
        <v>1074</v>
      </c>
      <c r="C2402" s="27" t="s">
        <v>1086</v>
      </c>
      <c r="D2402" s="27" t="s">
        <v>1069</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t="s">
        <v>1324</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row>
    <row r="2405" spans="1:12">
      <c r="A2405" s="20" t="s">
        <v>1309</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1888</v>
      </c>
    </row>
    <row r="2407" spans="1:12">
      <c r="A2407" s="20" t="s">
        <v>1397</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t="s">
        <v>1318</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500</v>
      </c>
      <c r="B2409" s="27" t="s">
        <v>1074</v>
      </c>
      <c r="C2409" s="27" t="s">
        <v>1134</v>
      </c>
      <c r="D2409" s="27" t="s">
        <v>1069</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t="s">
        <v>1889</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1318</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1324</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row>
    <row r="2414" spans="1:12">
      <c r="A2414" s="20" t="s">
        <v>1890</v>
      </c>
    </row>
    <row r="2415" spans="1:12">
      <c r="A2415" s="20" t="s">
        <v>1891</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173</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1108</v>
      </c>
      <c r="B2417" s="27" t="s">
        <v>1067</v>
      </c>
      <c r="C2417" s="27" t="s">
        <v>1110</v>
      </c>
      <c r="D2417" s="27" t="s">
        <v>1069</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1207</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1083</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1892</v>
      </c>
      <c r="B2420" s="27" t="s">
        <v>1074</v>
      </c>
      <c r="C2420" s="27" t="s">
        <v>1086</v>
      </c>
      <c r="D2420" s="27" t="s">
        <v>1069</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1324</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row>
    <row r="2423" spans="1:12">
      <c r="A2423" s="20" t="s">
        <v>1893</v>
      </c>
    </row>
    <row r="2424" spans="1:12">
      <c r="A2424" s="20" t="s">
        <v>1702</v>
      </c>
      <c r="B2424" s="27" t="s">
        <v>1160</v>
      </c>
      <c r="C2424" s="27" t="s">
        <v>1110</v>
      </c>
      <c r="D2424" s="27" t="s">
        <v>1069</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1108</v>
      </c>
      <c r="B2425" s="27" t="s">
        <v>1067</v>
      </c>
      <c r="C2425" s="27" t="s">
        <v>1110</v>
      </c>
      <c r="D2425" s="27" t="s">
        <v>1069</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282</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1124</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1153</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1894</v>
      </c>
      <c r="B2429" s="27" t="s">
        <v>1160</v>
      </c>
      <c r="C2429" s="27" t="s">
        <v>1117</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1087</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1104</v>
      </c>
      <c r="B2431" s="27" t="s">
        <v>1133</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t="s">
        <v>1895</v>
      </c>
      <c r="B2432" s="27" t="s">
        <v>1092</v>
      </c>
      <c r="C2432" s="27" t="s">
        <v>1896</v>
      </c>
      <c r="D2432" s="27" t="s">
        <v>1069</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432</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t="s">
        <v>1080</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row>
    <row r="2436" spans="1:12">
      <c r="A2436" s="20" t="s">
        <v>1897</v>
      </c>
    </row>
    <row r="2437" spans="1:12">
      <c r="A2437" s="20" t="s">
        <v>1898</v>
      </c>
      <c r="B2437" s="27" t="s">
        <v>1074</v>
      </c>
      <c r="C2437" s="27" t="s">
        <v>1077</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1080</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row>
    <row r="2440" spans="1:12">
      <c r="A2440" s="20" t="s">
        <v>1899</v>
      </c>
    </row>
    <row r="2441" spans="1:12">
      <c r="A2441" s="20" t="s">
        <v>1375</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t="s">
        <v>1139</v>
      </c>
      <c r="B2442" s="27" t="s">
        <v>1071</v>
      </c>
      <c r="C2442" s="27" t="s">
        <v>1072</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t="s">
        <v>1421</v>
      </c>
      <c r="B2443" s="27" t="s">
        <v>1071</v>
      </c>
      <c r="C2443" s="27" t="s">
        <v>1129</v>
      </c>
      <c r="D2443" s="27" t="s">
        <v>1069</v>
      </c>
      <c r="E2443" s="21">
        <f>IF(D2443="?OLD","!!!","")</f>
        <v/>
      </c>
      <c r="F2443" s="22" t="str">
        <f>IF(OR(E2443="",E2443="!!!"),"",IF(NOT(ISNA(VLOOKUP(E2443,E$1:E2442,1,FALSE()))),"OLD",IF(AND(E2443&lt;&gt;"",E2443&lt;&gt;"!!!"),"NEW","")))</f>
        <v> </v>
      </c>
      <c r="G2443" s="23" t="str">
        <f>IF(OR(E2443="",E2443="!!!"),"",IF(OR(J2443=0,AND(J2443=1,K2443=1),AND(J2443=1,I2443="SBJ"),AND(J2443=1,I2443=0)),"?IN_FOCUS",IF(J2443&lt;=2,"?ACTIVATED",IF(J2443&lt;&gt;"","?FAMILIAR",IF(F2443="NEW",IF(ISNA(VLOOKUP(E2443,#REF!,1,FALSE())),"?TYPE_IDENTIFIABLE","?REFERENTIAL"),"_")))))</f>
        <v> </v>
      </c>
      <c r="H2443" s="24" t="str">
        <f>IF(J2443&lt;&gt;1,"",IF(I2443="SBJ","CB","?"))</f>
        <v> </v>
      </c>
      <c r="I2443" s="25" t="str">
        <f>IF(OR(E2443="",E2443="!!!",F2443="NEW"),"",INDEX(B2442:B$2,-1+SUMPRODUCT(MAX(ROW(E2442:E$2)*(E2443=E2442:E$2)))))</f>
        <v> </v>
      </c>
      <c r="J2443" s="25" t="str">
        <f>IF(OR(E2443="",E2443="!!!",F2443="NEW"),"",COUNTBLANK(OFFSET(A$1,,,SUMPRODUCT(MAX(ROW(E$2:E2443)*(E2443=E$2:E2443)))))-COUNTBLANK(OFFSET(A$1,,,SUMPRODUCT(MAX(ROW(E$1:E2442)*(E2=E$1:E2442))))))</f>
        <v> </v>
      </c>
      <c r="K2443" s="25" t="str">
        <f>IF(OR(E2443="",E2443="!!!",F2443="NEW"),"",INDEX(J$1:J2442,SUMPRODUCT(MAX(ROW(E$1:E2442)*(E2443=E$1:E2442)))))</f>
        <v> </v>
      </c>
      <c r="L2443" s="26"/>
    </row>
    <row r="2444" spans="1:12">
      <c r="A2444" s="20" t="s">
        <v>1667</v>
      </c>
      <c r="E2444" s="21">
        <f>IF(D2444="?OLD","!!!","")</f>
        <v/>
      </c>
      <c r="F2444" s="22" t="str">
        <f>IF(OR(E2444="",E2444="!!!"),"",IF(NOT(ISNA(VLOOKUP(E2444,E$1:E2443,1,FALSE()))),"OLD",IF(AND(E2444&lt;&gt;"",E2444&lt;&gt;"!!!"),"NEW","")))</f>
        <v> </v>
      </c>
      <c r="G2444" s="23" t="str">
        <f>IF(OR(E2444="",E2444="!!!"),"",IF(OR(J2444=0,AND(J2444=1,K2444=1),AND(J2444=1,I2444="SBJ"),AND(J2444=1,I2444=0)),"?IN_FOCUS",IF(J2444&lt;=2,"?ACTIVATED",IF(J2444&lt;&gt;"","?FAMILIAR",IF(F2444="NEW",IF(ISNA(VLOOKUP(E2444,#REF!,1,FALSE())),"?TYPE_IDENTIFIABLE","?REFERENTIAL"),"_")))))</f>
        <v> </v>
      </c>
      <c r="H2444" s="24" t="str">
        <f>IF(J2444&lt;&gt;1,"",IF(I2444="SBJ","CB","?"))</f>
        <v> </v>
      </c>
      <c r="I2444" s="25" t="str">
        <f>IF(OR(E2444="",E2444="!!!",F2444="NEW"),"",INDEX(B2443:B$2,-1+SUMPRODUCT(MAX(ROW(E2443:E$2)*(E2444=E2443:E$2)))))</f>
        <v> </v>
      </c>
      <c r="J2444" s="25" t="str">
        <f>IF(OR(E2444="",E2444="!!!",F2444="NEW"),"",COUNTBLANK(OFFSET(A$1,,,SUMPRODUCT(MAX(ROW(E$2:E2444)*(E2444=E$2:E2444)))))-COUNTBLANK(OFFSET(A$1,,,SUMPRODUCT(MAX(ROW(E$1:E2443)*(E2=E$1:E2443))))))</f>
        <v> </v>
      </c>
      <c r="K2444" s="25" t="str">
        <f>IF(OR(E2444="",E2444="!!!",F2444="NEW"),"",INDEX(J$1:J2443,SUMPRODUCT(MAX(ROW(E$1:E2443)*(E2444=E$1:E2443)))))</f>
        <v> </v>
      </c>
      <c r="L2444" s="26"/>
    </row>
    <row r="2445" spans="1:12">
      <c r="A2445" s="20" t="s">
        <v>1900</v>
      </c>
      <c r="B2445" s="27" t="s">
        <v>1074</v>
      </c>
      <c r="C2445" s="27" t="s">
        <v>1131</v>
      </c>
      <c r="D2445" s="27" t="s">
        <v>1069</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282</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1108</v>
      </c>
      <c r="B2447" s="27" t="s">
        <v>1067</v>
      </c>
      <c r="C2447" s="27" t="s">
        <v>1110</v>
      </c>
      <c r="D2447" s="27" t="s">
        <v>1069</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t="s">
        <v>1901</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t="s">
        <v>383</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t="s">
        <v>1130</v>
      </c>
      <c r="B2450" s="27" t="s">
        <v>1160</v>
      </c>
      <c r="C2450" s="27" t="s">
        <v>1117</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1080</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row>
    <row r="2453" spans="1:12">
      <c r="A2453" s="20" t="s">
        <v>1902</v>
      </c>
    </row>
    <row r="2454" spans="1:12">
      <c r="A2454" s="20" t="s">
        <v>1903</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1806</v>
      </c>
      <c r="B2455" s="27" t="s">
        <v>1074</v>
      </c>
      <c r="C2455" s="27" t="s">
        <v>1072</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46</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1197</v>
      </c>
      <c r="B2457" s="27" t="s">
        <v>1067</v>
      </c>
      <c r="C2457" s="27" t="s">
        <v>1068</v>
      </c>
      <c r="D2457" s="27" t="s">
        <v>1069</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121</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1317</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1164</v>
      </c>
      <c r="B2460" s="27" t="s">
        <v>1095</v>
      </c>
      <c r="C2460" s="27" t="s">
        <v>1129</v>
      </c>
      <c r="D2460" s="27" t="s">
        <v>1069</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t="s">
        <v>1124</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1904</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1308</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row>
    <row r="2465" spans="1:12">
      <c r="A2465" s="20" t="s">
        <v>1905</v>
      </c>
    </row>
    <row r="2466" spans="1:12">
      <c r="A2466" s="20" t="s">
        <v>1175</v>
      </c>
      <c r="B2466" s="27" t="s">
        <v>1067</v>
      </c>
      <c r="C2466" s="27" t="s">
        <v>1129</v>
      </c>
      <c r="D2466" s="27" t="s">
        <v>1069</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1191</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1777</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1080</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row>
    <row r="2471" spans="1:12">
      <c r="A2471" s="20" t="s">
        <v>1906</v>
      </c>
    </row>
    <row r="2472" spans="1:12">
      <c r="A2472" s="20" t="s">
        <v>1311</v>
      </c>
      <c r="B2472" s="27" t="s">
        <v>1067</v>
      </c>
      <c r="C2472" s="27" t="s">
        <v>1068</v>
      </c>
      <c r="D2472" s="27" t="s">
        <v>1069</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1907</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t="s">
        <v>1087</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t="s">
        <v>1356</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1224</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1097</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1908</v>
      </c>
      <c r="B2478" s="27" t="s">
        <v>1071</v>
      </c>
      <c r="C2478" s="27" t="s">
        <v>1134</v>
      </c>
      <c r="D2478" s="27" t="s">
        <v>1069</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1909</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1299</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1167</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1153</v>
      </c>
      <c r="B2482" s="27" t="s">
        <v>1095</v>
      </c>
      <c r="C2482" s="27" t="s">
        <v>1110</v>
      </c>
      <c r="D2482" s="27" t="s">
        <v>1069</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1087</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1104</v>
      </c>
      <c r="B2484" s="27" t="s">
        <v>1235</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1089</v>
      </c>
      <c r="B2485" s="27" t="s">
        <v>1250</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1703</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1910</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1911</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1080</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row>
    <row r="2491" spans="1:12">
      <c r="A2491" s="20" t="s">
        <v>1912</v>
      </c>
    </row>
    <row r="2492" spans="1:12">
      <c r="A2492" s="20" t="s">
        <v>760</v>
      </c>
      <c r="B2492" s="27" t="s">
        <v>1067</v>
      </c>
      <c r="C2492" s="27" t="s">
        <v>1134</v>
      </c>
      <c r="D2492" s="27" t="s">
        <v>1069</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1913</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1268</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1656</v>
      </c>
      <c r="B2495" s="27" t="s">
        <v>1071</v>
      </c>
      <c r="C2495" s="27" t="s">
        <v>1072</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t="s">
        <v>1894</v>
      </c>
      <c r="B2496" s="27" t="s">
        <v>1160</v>
      </c>
      <c r="C2496" s="27" t="s">
        <v>1077</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1087</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1345</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1914</v>
      </c>
      <c r="B2499" s="27" t="s">
        <v>1074</v>
      </c>
      <c r="C2499" s="27" t="s">
        <v>1072</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1185</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1915</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1916</v>
      </c>
      <c r="B2502" s="27" t="s">
        <v>1071</v>
      </c>
      <c r="C2502" s="27" t="s">
        <v>1134</v>
      </c>
      <c r="D2502" s="27" t="s">
        <v>1069</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1104</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1917</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1918</v>
      </c>
      <c r="B2505" s="27" t="s">
        <v>1160</v>
      </c>
      <c r="C2505" s="27" t="s">
        <v>1086</v>
      </c>
      <c r="D2505" s="27" t="s">
        <v>1069</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1268</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1080</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row>
    <row r="2509" spans="1:12">
      <c r="A2509" s="20" t="s">
        <v>1919</v>
      </c>
    </row>
    <row r="2510" spans="1:12">
      <c r="A2510" s="20" t="s">
        <v>1920</v>
      </c>
      <c r="B2510" s="27" t="s">
        <v>1067</v>
      </c>
      <c r="C2510" s="27" t="s">
        <v>1134</v>
      </c>
      <c r="D2510" s="27" t="s">
        <v>1069</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1921</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1922</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1224</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1923</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1894</v>
      </c>
      <c r="B2515" s="27" t="s">
        <v>1074</v>
      </c>
      <c r="C2515" s="27" t="s">
        <v>1077</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1104</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1924</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1925</v>
      </c>
      <c r="B2518" s="27" t="s">
        <v>1090</v>
      </c>
      <c r="C2518" s="27" t="s">
        <v>1086</v>
      </c>
      <c r="D2518" s="27" t="s">
        <v>1069</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212</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1078</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1926</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1927</v>
      </c>
      <c r="B2522" s="27" t="s">
        <v>1106</v>
      </c>
      <c r="C2522" s="27" t="s">
        <v>1077</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157</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1078</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1066</v>
      </c>
      <c r="B2525" s="27" t="s">
        <v>1095</v>
      </c>
      <c r="C2525" s="27" t="s">
        <v>1068</v>
      </c>
      <c r="D2525" s="27" t="s">
        <v>1069</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1928</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t="s">
        <v>1083</v>
      </c>
      <c r="B2527" s="27" t="s">
        <v>1106</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t="s">
        <v>1070</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1929</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1080</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row>
    <row r="2532" spans="1:12">
      <c r="A2532" s="20" t="s">
        <v>1930</v>
      </c>
    </row>
    <row r="2533" spans="1:12">
      <c r="A2533" s="20" t="s">
        <v>1931</v>
      </c>
      <c r="B2533" s="27" t="s">
        <v>1067</v>
      </c>
      <c r="C2533" s="27" t="s">
        <v>1134</v>
      </c>
      <c r="D2533" s="27" t="s">
        <v>1069</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1932</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1078</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t="s">
        <v>1066</v>
      </c>
      <c r="B2536" s="27" t="s">
        <v>1071</v>
      </c>
      <c r="C2536" s="27" t="s">
        <v>1068</v>
      </c>
      <c r="D2536" s="27" t="s">
        <v>1069</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t="s">
        <v>535</v>
      </c>
      <c r="E2537" s="21">
        <f>IF(D2537="?OLD","!!!","")</f>
        <v/>
      </c>
      <c r="F2537" s="22" t="str">
        <f>IF(OR(E2537="",E2537="!!!"),"",IF(NOT(ISNA(VLOOKUP(E2537,E$1:E2536,1,FALSE()))),"OLD",IF(AND(E2537&lt;&gt;"",E2537&lt;&gt;"!!!"),"NEW","")))</f>
        <v> </v>
      </c>
      <c r="G2537" s="23" t="str">
        <f>IF(OR(E2537="",E2537="!!!"),"",IF(OR(J2537=0,AND(J2537=1,K2537=1),AND(J2537=1,I2537="SBJ"),AND(J2537=1,I2537=0)),"?IN_FOCUS",IF(J2537&lt;=2,"?ACTIVATED",IF(J2537&lt;&gt;"","?FAMILIAR",IF(F2537="NEW",IF(ISNA(VLOOKUP(E2537,#REF!,1,FALSE())),"?TYPE_IDENTIFIABLE","?REFERENTIAL"),"_")))))</f>
        <v> </v>
      </c>
      <c r="H2537" s="24" t="str">
        <f>IF(J2537&lt;&gt;1,"",IF(I2537="SBJ","CB","?"))</f>
        <v> </v>
      </c>
      <c r="I2537" s="25" t="str">
        <f>IF(OR(E2537="",E2537="!!!",F2537="NEW"),"",INDEX(B2536:B$2,-1+SUMPRODUCT(MAX(ROW(E2536:E$2)*(E2537=E2536:E$2)))))</f>
        <v> </v>
      </c>
      <c r="J2537" s="25" t="str">
        <f>IF(OR(E2537="",E2537="!!!",F2537="NEW"),"",COUNTBLANK(OFFSET(A$1,,,SUMPRODUCT(MAX(ROW(E$2:E2537)*(E2537=E$2:E2537)))))-COUNTBLANK(OFFSET(A$1,,,SUMPRODUCT(MAX(ROW(E$1:E2536)*(E2=E$1:E2536))))))</f>
        <v> </v>
      </c>
      <c r="K2537" s="25" t="str">
        <f>IF(OR(E2537="",E2537="!!!",F2537="NEW"),"",INDEX(J$1:J2536,SUMPRODUCT(MAX(ROW(E$1:E2536)*(E2537=E$1:E2536)))))</f>
        <v> </v>
      </c>
      <c r="L2537" s="26"/>
    </row>
    <row r="2538" spans="1:12">
      <c r="A2538" s="20" t="s">
        <v>1185</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1933</v>
      </c>
      <c r="B2539" s="27" t="s">
        <v>1160</v>
      </c>
      <c r="C2539" s="27" t="s">
        <v>1120</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1087</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1104</v>
      </c>
      <c r="B2541" s="27" t="s">
        <v>1133</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1087</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1085</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1934</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t="s">
        <v>1087</v>
      </c>
      <c r="E2545" s="21">
        <f>IF(D2545="?OLD","!!!","")</f>
        <v/>
      </c>
      <c r="F2545" s="22" t="str">
        <f>IF(OR(E2545="",E2545="!!!"),"",IF(NOT(ISNA(VLOOKUP(E2545,E$1:E2544,1,FALSE()))),"OLD",IF(AND(E2545&lt;&gt;"",E2545&lt;&gt;"!!!"),"NEW","")))</f>
        <v> </v>
      </c>
      <c r="G2545" s="23" t="str">
        <f>IF(OR(E2545="",E2545="!!!"),"",IF(OR(J2545=0,AND(J2545=1,K2545=1),AND(J2545=1,I2545="SBJ"),AND(J2545=1,I2545=0)),"?IN_FOCUS",IF(J2545&lt;=2,"?ACTIVATED",IF(J2545&lt;&gt;"","?FAMILIAR",IF(F2545="NEW",IF(ISNA(VLOOKUP(E2545,#REF!,1,FALSE())),"?TYPE_IDENTIFIABLE","?REFERENTIAL"),"_")))))</f>
        <v> </v>
      </c>
      <c r="H2545" s="24" t="str">
        <f>IF(J2545&lt;&gt;1,"",IF(I2545="SBJ","CB","?"))</f>
        <v> </v>
      </c>
      <c r="I2545" s="25" t="str">
        <f>IF(OR(E2545="",E2545="!!!",F2545="NEW"),"",INDEX(B2544:B$2,-1+SUMPRODUCT(MAX(ROW(E2544:E$2)*(E2545=E2544:E$2)))))</f>
        <v> </v>
      </c>
      <c r="J2545" s="25" t="str">
        <f>IF(OR(E2545="",E2545="!!!",F2545="NEW"),"",COUNTBLANK(OFFSET(A$1,,,SUMPRODUCT(MAX(ROW(E$2:E2545)*(E2545=E$2:E2545)))))-COUNTBLANK(OFFSET(A$1,,,SUMPRODUCT(MAX(ROW(E$1:E2544)*(E2=E$1:E2544))))))</f>
        <v> </v>
      </c>
      <c r="K2545" s="25" t="str">
        <f>IF(OR(E2545="",E2545="!!!",F2545="NEW"),"",INDEX(J$1:J2544,SUMPRODUCT(MAX(ROW(E$1:E2544)*(E2545=E$1:E2544)))))</f>
        <v> </v>
      </c>
      <c r="L2545" s="26"/>
    </row>
    <row r="2546" spans="1:12">
      <c r="A2546" s="20" t="s">
        <v>1113</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1935</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1887</v>
      </c>
      <c r="B2548" s="27" t="s">
        <v>1106</v>
      </c>
      <c r="C2548" s="27" t="s">
        <v>1086</v>
      </c>
      <c r="D2548" s="27" t="s">
        <v>1069</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1936</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1080</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row>
    <row r="2552" spans="1:12">
      <c r="A2552" s="20" t="s">
        <v>1937</v>
      </c>
    </row>
    <row r="2553" spans="1:12">
      <c r="A2553" s="20" t="s">
        <v>1158</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t="s">
        <v>1299</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t="s">
        <v>1269</v>
      </c>
      <c r="B2555" s="27" t="s">
        <v>1071</v>
      </c>
      <c r="C2555" s="27" t="s">
        <v>1072</v>
      </c>
      <c r="E2555" s="21">
        <f>IF(D2555="?OLD","!!!","")</f>
        <v/>
      </c>
      <c r="F2555" s="22" t="str">
        <f>IF(OR(E2555="",E2555="!!!"),"",IF(NOT(ISNA(VLOOKUP(E2555,E$1:E2554,1,FALSE()))),"OLD",IF(AND(E2555&lt;&gt;"",E2555&lt;&gt;"!!!"),"NEW","")))</f>
        <v> </v>
      </c>
      <c r="G2555" s="23" t="str">
        <f>IF(OR(E2555="",E2555="!!!"),"",IF(OR(J2555=0,AND(J2555=1,K2555=1),AND(J2555=1,I2555="SBJ"),AND(J2555=1,I2555=0)),"?IN_FOCUS",IF(J2555&lt;=2,"?ACTIVATED",IF(J2555&lt;&gt;"","?FAMILIAR",IF(F2555="NEW",IF(ISNA(VLOOKUP(E2555,#REF!,1,FALSE())),"?TYPE_IDENTIFIABLE","?REFERENTIAL"),"_")))))</f>
        <v> </v>
      </c>
      <c r="H2555" s="24" t="str">
        <f>IF(J2555&lt;&gt;1,"",IF(I2555="SBJ","CB","?"))</f>
        <v> </v>
      </c>
      <c r="I2555" s="25" t="str">
        <f>IF(OR(E2555="",E2555="!!!",F2555="NEW"),"",INDEX(B2554:B$2,-1+SUMPRODUCT(MAX(ROW(E2554:E$2)*(E2555=E2554:E$2)))))</f>
        <v> </v>
      </c>
      <c r="J2555" s="25" t="str">
        <f>IF(OR(E2555="",E2555="!!!",F2555="NEW"),"",COUNTBLANK(OFFSET(A$1,,,SUMPRODUCT(MAX(ROW(E$2:E2555)*(E2555=E$2:E2555)))))-COUNTBLANK(OFFSET(A$1,,,SUMPRODUCT(MAX(ROW(E$1:E2554)*(E2=E$1:E2554))))))</f>
        <v> </v>
      </c>
      <c r="K2555" s="25" t="str">
        <f>IF(OR(E2555="",E2555="!!!",F2555="NEW"),"",INDEX(J$1:J2554,SUMPRODUCT(MAX(ROW(E$1:E2554)*(E2555=E$1:E2554)))))</f>
        <v> </v>
      </c>
      <c r="L2555" s="26"/>
    </row>
    <row r="2556" spans="1:12">
      <c r="A2556" s="20" t="s">
        <v>1938</v>
      </c>
      <c r="B2556" s="27" t="s">
        <v>1067</v>
      </c>
      <c r="C2556" s="27" t="s">
        <v>1117</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t="s">
        <v>1224</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1143</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1939</v>
      </c>
      <c r="B2559" s="27" t="s">
        <v>1071</v>
      </c>
      <c r="C2559" s="27" t="s">
        <v>1086</v>
      </c>
      <c r="D2559" s="27" t="s">
        <v>1069</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1513</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1940</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1087</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1941</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1080</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row>
    <row r="2566" spans="1:12">
      <c r="A2566" s="20" t="s">
        <v>1942</v>
      </c>
    </row>
    <row r="2567" spans="1:12">
      <c r="A2567" s="20" t="s">
        <v>1164</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1589</v>
      </c>
      <c r="B2568" s="27" t="s">
        <v>1095</v>
      </c>
      <c r="C2568" s="27" t="s">
        <v>1086</v>
      </c>
      <c r="D2568" s="27" t="s">
        <v>1069</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1268</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1224</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1421</v>
      </c>
      <c r="B2571" s="27" t="s">
        <v>1092</v>
      </c>
      <c r="C2571" s="27" t="s">
        <v>1129</v>
      </c>
      <c r="D2571" s="27" t="s">
        <v>1069</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1943</v>
      </c>
      <c r="B2572" s="27" t="s">
        <v>1071</v>
      </c>
      <c r="C2572" s="27" t="s">
        <v>1131</v>
      </c>
      <c r="D2572" s="27" t="s">
        <v>1069</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t="s">
        <v>1753</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1944</v>
      </c>
      <c r="B2574" s="27" t="s">
        <v>1071</v>
      </c>
      <c r="C2574" s="27" t="s">
        <v>1072</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1211</v>
      </c>
      <c r="B2575" s="27" t="s">
        <v>1074</v>
      </c>
      <c r="C2575" s="27" t="s">
        <v>1117</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1945</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1087</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1243</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1191</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1167</v>
      </c>
      <c r="B2580" s="27" t="s">
        <v>1095</v>
      </c>
      <c r="C2580" s="27" t="s">
        <v>1068</v>
      </c>
      <c r="D2580" s="27" t="s">
        <v>1069</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1594</v>
      </c>
      <c r="B2581" s="27" t="s">
        <v>1071</v>
      </c>
      <c r="C2581" s="27" t="s">
        <v>1110</v>
      </c>
      <c r="D2581" s="27" t="s">
        <v>1069</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1336</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1946</v>
      </c>
      <c r="B2583" s="27" t="s">
        <v>1074</v>
      </c>
      <c r="C2583" s="27" t="s">
        <v>1117</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1087</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1149</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1269</v>
      </c>
      <c r="B2586" s="27" t="s">
        <v>1092</v>
      </c>
      <c r="C2586" s="27" t="s">
        <v>1072</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1459</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1947</v>
      </c>
      <c r="B2588" s="27" t="s">
        <v>1095</v>
      </c>
      <c r="C2588" s="27" t="s">
        <v>1117</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1948</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1080</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row>
    <row r="2592" spans="1:12">
      <c r="A2592" s="20" t="s">
        <v>1949</v>
      </c>
    </row>
    <row r="2593" spans="1:12">
      <c r="A2593" s="20" t="s">
        <v>1175</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1950</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12</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1951</v>
      </c>
      <c r="B2596" s="27" t="s">
        <v>1067</v>
      </c>
      <c r="C2596" s="27" t="s">
        <v>1086</v>
      </c>
      <c r="D2596" s="27" t="s">
        <v>1069</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1148</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1087</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1149</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1351</v>
      </c>
      <c r="B2600" s="27" t="s">
        <v>1095</v>
      </c>
      <c r="C2600" s="27" t="s">
        <v>1072</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1952</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1953</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1954</v>
      </c>
      <c r="B2603" s="27" t="s">
        <v>1071</v>
      </c>
      <c r="C2603" s="27" t="s">
        <v>1120</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1725</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1955</v>
      </c>
      <c r="B2605" s="27" t="s">
        <v>1092</v>
      </c>
      <c r="C2605" s="27" t="s">
        <v>1086</v>
      </c>
      <c r="D2605" s="27" t="s">
        <v>1069</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1087</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1143</v>
      </c>
      <c r="B2607" s="27" t="s">
        <v>1250</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1228</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1956</v>
      </c>
      <c r="B2609" s="27" t="s">
        <v>1250</v>
      </c>
      <c r="C2609" s="27" t="s">
        <v>1120</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1087</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1083</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1957</v>
      </c>
      <c r="B2612" s="27" t="s">
        <v>1116</v>
      </c>
      <c r="C2612" s="27" t="s">
        <v>1086</v>
      </c>
      <c r="D2612" s="27" t="s">
        <v>1069</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1087</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1108</v>
      </c>
      <c r="B2614" s="27" t="s">
        <v>1235</v>
      </c>
      <c r="C2614" s="27" t="s">
        <v>1110</v>
      </c>
      <c r="D2614" s="27" t="s">
        <v>1069</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1958</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1087</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1104</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1959</v>
      </c>
      <c r="B2618" s="27" t="s">
        <v>1090</v>
      </c>
      <c r="C2618" s="27" t="s">
        <v>1086</v>
      </c>
      <c r="D2618" s="27" t="s">
        <v>1069</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1070</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563</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1087</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1083</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1960</v>
      </c>
      <c r="B2623" s="27" t="s">
        <v>1071</v>
      </c>
      <c r="C2623" s="27" t="s">
        <v>1134</v>
      </c>
      <c r="D2623" s="27" t="s">
        <v>1069</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1080</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row>
    <row r="2626" spans="1:12">
      <c r="A2626" s="20" t="s">
        <v>1961</v>
      </c>
    </row>
    <row r="2627" spans="1:12">
      <c r="A2627" s="20" t="s">
        <v>1175</v>
      </c>
      <c r="B2627" s="27" t="s">
        <v>1067</v>
      </c>
      <c r="C2627" s="27" t="s">
        <v>1129</v>
      </c>
      <c r="D2627" s="27" t="s">
        <v>1069</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1191</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1185</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1262</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1962</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t="s">
        <v>1627</v>
      </c>
      <c r="B2632" s="27" t="s">
        <v>1074</v>
      </c>
      <c r="C2632" s="27" t="s">
        <v>1120</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1080</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row>
    <row r="2635" spans="1:12">
      <c r="A2635" s="20" t="s">
        <v>1963</v>
      </c>
    </row>
    <row r="2636" spans="1:12">
      <c r="A2636" s="20" t="s">
        <v>1123</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1964</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1965</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1351</v>
      </c>
      <c r="B2639" s="27" t="s">
        <v>1095</v>
      </c>
      <c r="C2639" s="27" t="s">
        <v>1072</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1305</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1966</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1967</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1968</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1087</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1301</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1351</v>
      </c>
      <c r="B2646" s="27" t="s">
        <v>1133</v>
      </c>
      <c r="C2646" s="27" t="s">
        <v>1072</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1969</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1970</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1971</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553</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1087</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1552</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1167</v>
      </c>
      <c r="B2653" s="27" t="s">
        <v>1235</v>
      </c>
      <c r="C2653" s="27" t="s">
        <v>1068</v>
      </c>
      <c r="D2653" s="27" t="s">
        <v>1069</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1972</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1640</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1087</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1973</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1974</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1167</v>
      </c>
      <c r="B2659" s="27" t="s">
        <v>1106</v>
      </c>
      <c r="C2659" s="27" t="s">
        <v>1068</v>
      </c>
      <c r="D2659" s="27" t="s">
        <v>1069</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1237</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1975</v>
      </c>
      <c r="B2661" s="27" t="s">
        <v>1133</v>
      </c>
      <c r="C2661" s="27" t="s">
        <v>1077</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t="s">
        <v>1299</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1087</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1173</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1351</v>
      </c>
      <c r="B2665" s="27" t="s">
        <v>1067</v>
      </c>
      <c r="C2665" s="27" t="s">
        <v>1072</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1167</v>
      </c>
      <c r="B2666" s="27" t="s">
        <v>1160</v>
      </c>
      <c r="C2666" s="27" t="s">
        <v>1068</v>
      </c>
      <c r="D2666" s="27" t="s">
        <v>1069</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553</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1078</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216</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1087</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1149</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1317</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t="s">
        <v>1976</v>
      </c>
      <c r="B2673" s="27" t="s">
        <v>1071</v>
      </c>
      <c r="C2673" s="27" t="s">
        <v>1134</v>
      </c>
      <c r="D2673" s="27" t="s">
        <v>1069</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t="s">
        <v>1308</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row>
    <row r="2676" spans="1:12">
      <c r="A2676" s="20" t="s">
        <v>1977</v>
      </c>
    </row>
    <row r="2677" spans="1:12">
      <c r="A2677" s="20" t="s">
        <v>1978</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1097</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1979</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1980</v>
      </c>
      <c r="B2680" s="27" t="s">
        <v>1074</v>
      </c>
      <c r="C2680" s="27" t="s">
        <v>1086</v>
      </c>
      <c r="D2680" s="27" t="s">
        <v>1069</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1087</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1981</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1167</v>
      </c>
      <c r="B2683" s="27" t="s">
        <v>1067</v>
      </c>
      <c r="C2683" s="27" t="s">
        <v>1068</v>
      </c>
      <c r="D2683" s="27" t="s">
        <v>1069</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1165</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1364</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t="s">
        <v>1087</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1149</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1167</v>
      </c>
      <c r="B2688" s="27" t="s">
        <v>1095</v>
      </c>
      <c r="C2688" s="27" t="s">
        <v>1068</v>
      </c>
      <c r="D2688" s="27" t="s">
        <v>1069</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1982</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1080</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row>
    <row r="2692" spans="1:12">
      <c r="A2692" s="20" t="s">
        <v>1983</v>
      </c>
    </row>
    <row r="2693" spans="1:12">
      <c r="A2693" s="20" t="s">
        <v>1082</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t="s">
        <v>1088</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1351</v>
      </c>
      <c r="B2695" s="27" t="s">
        <v>1095</v>
      </c>
      <c r="C2695" s="27" t="s">
        <v>1072</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1128</v>
      </c>
      <c r="B2696" s="27" t="s">
        <v>1092</v>
      </c>
      <c r="C2696" s="27" t="s">
        <v>1129</v>
      </c>
      <c r="D2696" s="27" t="s">
        <v>1069</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1959</v>
      </c>
      <c r="B2697" s="27" t="s">
        <v>1090</v>
      </c>
      <c r="C2697" s="27" t="s">
        <v>1131</v>
      </c>
      <c r="D2697" s="27" t="s">
        <v>1069</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t="s">
        <v>1984</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t="s">
        <v>1087</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1191</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1083</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1985</v>
      </c>
      <c r="B2702" s="27" t="s">
        <v>1067</v>
      </c>
      <c r="C2702" s="27" t="s">
        <v>1086</v>
      </c>
      <c r="D2702" s="27" t="s">
        <v>1069</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1193</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1159</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1866</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1080</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row>
    <row r="2708" spans="1:12">
      <c r="A2708" s="20" t="s">
        <v>1986</v>
      </c>
    </row>
    <row r="2709" spans="1:12">
      <c r="A2709" s="20" t="s">
        <v>1214</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1984</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1351</v>
      </c>
      <c r="B2711" s="27" t="s">
        <v>1067</v>
      </c>
      <c r="C2711" s="27" t="s">
        <v>1072</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1113</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1738</v>
      </c>
      <c r="B2713" s="27" t="s">
        <v>1160</v>
      </c>
      <c r="C2713" s="27" t="s">
        <v>1086</v>
      </c>
      <c r="D2713" s="27" t="s">
        <v>1069</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1087</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1078</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1351</v>
      </c>
      <c r="B2716" s="27" t="s">
        <v>1095</v>
      </c>
      <c r="C2716" s="27" t="s">
        <v>1072</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1173</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1136</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1113</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1987</v>
      </c>
      <c r="B2720" s="27" t="s">
        <v>1090</v>
      </c>
      <c r="C2720" s="27" t="s">
        <v>1086</v>
      </c>
      <c r="D2720" s="27" t="s">
        <v>1069</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1199</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1988</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1989</v>
      </c>
      <c r="B2723" s="27" t="s">
        <v>1092</v>
      </c>
      <c r="C2723" s="27" t="s">
        <v>1077</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1138</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1990</v>
      </c>
      <c r="B2725" s="27" t="s">
        <v>1071</v>
      </c>
      <c r="C2725" s="27" t="s">
        <v>1077</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1991</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1080</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row>
    <row r="2729" spans="1:12">
      <c r="A2729" s="20" t="s">
        <v>1992</v>
      </c>
    </row>
    <row r="2730" spans="1:12">
      <c r="A2730" s="20" t="s">
        <v>1993</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1089</v>
      </c>
      <c r="B2731" s="27" t="s">
        <v>1160</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1305</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1113</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1994</v>
      </c>
      <c r="B2734" s="27" t="s">
        <v>1160</v>
      </c>
      <c r="C2734" s="27" t="s">
        <v>1086</v>
      </c>
      <c r="D2734" s="27" t="s">
        <v>1069</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1070</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567</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1087</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563</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1197</v>
      </c>
      <c r="B2739" s="27" t="s">
        <v>1067</v>
      </c>
      <c r="C2739" s="27" t="s">
        <v>1068</v>
      </c>
      <c r="D2739" s="27" t="s">
        <v>1069</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1167</v>
      </c>
      <c r="B2740" s="27" t="s">
        <v>1067</v>
      </c>
      <c r="C2740" s="27" t="s">
        <v>1068</v>
      </c>
      <c r="D2740" s="27" t="s">
        <v>1069</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1544</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1080</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row>
    <row r="2744" spans="1:12">
      <c r="A2744" s="20" t="s">
        <v>1995</v>
      </c>
    </row>
    <row r="2745" spans="1:12">
      <c r="A2745" s="20" t="s">
        <v>1996</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1924</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571</v>
      </c>
      <c r="B2747" s="27" t="s">
        <v>1074</v>
      </c>
      <c r="C2747" s="27" t="s">
        <v>1120</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1080</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row>
    <row r="2750" spans="1:12">
      <c r="A2750" s="20" t="s">
        <v>1997</v>
      </c>
    </row>
    <row r="2751" spans="1:12">
      <c r="A2751" s="20" t="s">
        <v>1175</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1998</v>
      </c>
      <c r="B2752" s="27" t="s">
        <v>1067</v>
      </c>
      <c r="C2752" s="27" t="s">
        <v>1896</v>
      </c>
      <c r="D2752" s="27" t="s">
        <v>1069</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1184</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1999</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2000</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1087</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141</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1398</v>
      </c>
      <c r="B2758" s="27" t="s">
        <v>1074</v>
      </c>
      <c r="C2758" s="27" t="s">
        <v>1072</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1166</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t="s">
        <v>1185</v>
      </c>
      <c r="E2760" s="21">
        <f>IF(D2760="?OLD","!!!","")</f>
        <v/>
      </c>
      <c r="F2760" s="22" t="str">
        <f>IF(OR(E2760="",E2760="!!!"),"",IF(NOT(ISNA(VLOOKUP(E2760,E$1:E2759,1,FALSE()))),"OLD",IF(AND(E2760&lt;&gt;"",E2760&lt;&gt;"!!!"),"NEW","")))</f>
        <v> </v>
      </c>
      <c r="G2760" s="23" t="str">
        <f>IF(OR(E2760="",E2760="!!!"),"",IF(OR(J2760=0,AND(J2760=1,K2760=1),AND(J2760=1,I2760="SBJ"),AND(J2760=1,I2760=0)),"?IN_FOCUS",IF(J2760&lt;=2,"?ACTIVATED",IF(J2760&lt;&gt;"","?FAMILIAR",IF(F2760="NEW",IF(ISNA(VLOOKUP(E2760,#REF!,1,FALSE())),"?TYPE_IDENTIFIABLE","?REFERENTIAL"),"_")))))</f>
        <v> </v>
      </c>
      <c r="H2760" s="24" t="str">
        <f>IF(J2760&lt;&gt;1,"",IF(I2760="SBJ","CB","?"))</f>
        <v> </v>
      </c>
      <c r="I2760" s="25" t="str">
        <f>IF(OR(E2760="",E2760="!!!",F2760="NEW"),"",INDEX(B2759:B$2,-1+SUMPRODUCT(MAX(ROW(E2759:E$2)*(E2760=E2759:E$2)))))</f>
        <v> </v>
      </c>
      <c r="J2760" s="25" t="str">
        <f>IF(OR(E2760="",E2760="!!!",F2760="NEW"),"",COUNTBLANK(OFFSET(A$1,,,SUMPRODUCT(MAX(ROW(E$2:E2760)*(E2760=E$2:E2760)))))-COUNTBLANK(OFFSET(A$1,,,SUMPRODUCT(MAX(ROW(E$1:E2759)*(E2=E$1:E2759))))))</f>
        <v> </v>
      </c>
      <c r="K2760" s="25" t="str">
        <f>IF(OR(E2760="",E2760="!!!",F2760="NEW"),"",INDEX(J$1:J2759,SUMPRODUCT(MAX(ROW(E$1:E2759)*(E2760=E$1:E2759)))))</f>
        <v> </v>
      </c>
      <c r="L2760" s="26"/>
    </row>
    <row r="2761" spans="1:12">
      <c r="A2761" s="20" t="s">
        <v>2001</v>
      </c>
      <c r="B2761" s="27" t="s">
        <v>1071</v>
      </c>
      <c r="C2761" s="27" t="s">
        <v>1120</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1080</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row>
    <row r="2764" spans="1:12">
      <c r="A2764" s="20" t="s">
        <v>1309</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2002</v>
      </c>
    </row>
    <row r="2766" spans="1:12">
      <c r="A2766" s="20" t="s">
        <v>1197</v>
      </c>
      <c r="B2766" s="27" t="s">
        <v>1067</v>
      </c>
      <c r="C2766" s="27" t="s">
        <v>1068</v>
      </c>
      <c r="D2766" s="27" t="s">
        <v>1069</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216</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t="s">
        <v>1087</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1149</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1167</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1185</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1737</v>
      </c>
      <c r="B2772" s="27" t="s">
        <v>1095</v>
      </c>
      <c r="C2772" s="27" t="s">
        <v>1120</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2003</v>
      </c>
      <c r="B2773" s="27" t="s">
        <v>1074</v>
      </c>
      <c r="C2773" s="27" t="s">
        <v>1077</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1191</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1087</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t="s">
        <v>1790</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1138</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1318</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2004</v>
      </c>
      <c r="B2779" s="27" t="s">
        <v>1092</v>
      </c>
      <c r="C2779" s="27" t="s">
        <v>1077</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2005</v>
      </c>
      <c r="B2780" s="27" t="s">
        <v>1141</v>
      </c>
      <c r="C2780" s="27" t="s">
        <v>1134</v>
      </c>
      <c r="D2780" s="27" t="s">
        <v>1069</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2006</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1318</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2007</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t="s">
        <v>1080</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row>
    <row r="2786" spans="1:12">
      <c r="A2786" s="20" t="s">
        <v>2008</v>
      </c>
    </row>
    <row r="2787" spans="1:12">
      <c r="A2787" s="20" t="s">
        <v>1175</v>
      </c>
      <c r="B2787" s="27" t="s">
        <v>1067</v>
      </c>
      <c r="C2787" s="27" t="s">
        <v>1129</v>
      </c>
      <c r="D2787" s="27" t="s">
        <v>1069</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2009</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1320</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1083</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2010</v>
      </c>
      <c r="B2791" s="27" t="s">
        <v>1160</v>
      </c>
      <c r="C2791" s="27" t="s">
        <v>1086</v>
      </c>
      <c r="D2791" s="27" t="s">
        <v>1069</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1080</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row>
    <row r="2794" spans="1:12">
      <c r="A2794" s="20" t="s">
        <v>2011</v>
      </c>
    </row>
    <row r="2795" spans="1:12">
      <c r="A2795" s="20" t="s">
        <v>1478</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1191</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141</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2012</v>
      </c>
      <c r="B2798" s="27" t="s">
        <v>1074</v>
      </c>
      <c r="C2798" s="27" t="s">
        <v>1120</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t="s">
        <v>1953</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t="s">
        <v>2013</v>
      </c>
      <c r="B2800" s="27" t="s">
        <v>1074</v>
      </c>
      <c r="C2800" s="27" t="s">
        <v>1120</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t="s">
        <v>1224</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2014</v>
      </c>
      <c r="B2802" s="27" t="s">
        <v>1071</v>
      </c>
      <c r="C2802" s="27" t="s">
        <v>1134</v>
      </c>
      <c r="D2802" s="27" t="s">
        <v>1069</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1080</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row>
    <row r="2805" spans="1:12">
      <c r="A2805" s="20" t="s">
        <v>2015</v>
      </c>
    </row>
    <row r="2806" spans="1:12">
      <c r="A2806" s="20" t="s">
        <v>1175</v>
      </c>
      <c r="B2806" s="27" t="s">
        <v>1067</v>
      </c>
      <c r="C2806" s="27" t="s">
        <v>1129</v>
      </c>
      <c r="D2806" s="27" t="s">
        <v>1069</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t="s">
        <v>1191</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t="s">
        <v>1097</v>
      </c>
      <c r="E2808" s="21">
        <f>IF(D2808="?OLD","!!!","")</f>
        <v/>
      </c>
      <c r="F2808" s="22" t="str">
        <f>IF(OR(E2808="",E2808="!!!"),"",IF(NOT(ISNA(VLOOKUP(E2808,E$1:E2807,1,FALSE()))),"OLD",IF(AND(E2808&lt;&gt;"",E2808&lt;&gt;"!!!"),"NEW","")))</f>
        <v> </v>
      </c>
      <c r="G2808" s="23" t="str">
        <f>IF(OR(E2808="",E2808="!!!"),"",IF(OR(J2808=0,AND(J2808=1,K2808=1),AND(J2808=1,I2808="SBJ"),AND(J2808=1,I2808=0)),"?IN_FOCUS",IF(J2808&lt;=2,"?ACTIVATED",IF(J2808&lt;&gt;"","?FAMILIAR",IF(F2808="NEW",IF(ISNA(VLOOKUP(E2808,#REF!,1,FALSE())),"?TYPE_IDENTIFIABLE","?REFERENTIAL"),"_")))))</f>
        <v> </v>
      </c>
      <c r="H2808" s="24" t="str">
        <f>IF(J2808&lt;&gt;1,"",IF(I2808="SBJ","CB","?"))</f>
        <v> </v>
      </c>
      <c r="I2808" s="25" t="str">
        <f>IF(OR(E2808="",E2808="!!!",F2808="NEW"),"",INDEX(B2807:B$2,-1+SUMPRODUCT(MAX(ROW(E2807:E$2)*(E2808=E2807:E$2)))))</f>
        <v> </v>
      </c>
      <c r="J2808" s="25" t="str">
        <f>IF(OR(E2808="",E2808="!!!",F2808="NEW"),"",COUNTBLANK(OFFSET(A$1,,,SUMPRODUCT(MAX(ROW(E$2:E2808)*(E2808=E$2:E2808)))))-COUNTBLANK(OFFSET(A$1,,,SUMPRODUCT(MAX(ROW(E$1:E2807)*(E2=E$1:E2807))))))</f>
        <v> </v>
      </c>
      <c r="K2808" s="25" t="str">
        <f>IF(OR(E2808="",E2808="!!!",F2808="NEW"),"",INDEX(J$1:J2807,SUMPRODUCT(MAX(ROW(E$1:E2807)*(E2808=E$1:E2807)))))</f>
        <v> </v>
      </c>
      <c r="L2808" s="26"/>
    </row>
    <row r="2809" spans="1:12">
      <c r="A2809" s="20" t="s">
        <v>1987</v>
      </c>
      <c r="B2809" s="27" t="s">
        <v>1074</v>
      </c>
      <c r="C2809" s="27" t="s">
        <v>1086</v>
      </c>
      <c r="D2809" s="27" t="s">
        <v>1069</v>
      </c>
      <c r="E2809" s="21">
        <f>IF(D2809="?OLD","!!!","")</f>
        <v/>
      </c>
      <c r="F2809" s="22" t="str">
        <f>IF(OR(E2809="",E2809="!!!"),"",IF(NOT(ISNA(VLOOKUP(E2809,E$1:E2808,1,FALSE()))),"OLD",IF(AND(E2809&lt;&gt;"",E2809&lt;&gt;"!!!"),"NEW","")))</f>
        <v> </v>
      </c>
      <c r="G2809" s="23" t="str">
        <f>IF(OR(E2809="",E2809="!!!"),"",IF(OR(J2809=0,AND(J2809=1,K2809=1),AND(J2809=1,I2809="SBJ"),AND(J2809=1,I2809=0)),"?IN_FOCUS",IF(J2809&lt;=2,"?ACTIVATED",IF(J2809&lt;&gt;"","?FAMILIAR",IF(F2809="NEW",IF(ISNA(VLOOKUP(E2809,#REF!,1,FALSE())),"?TYPE_IDENTIFIABLE","?REFERENTIAL"),"_")))))</f>
        <v> </v>
      </c>
      <c r="H2809" s="24" t="str">
        <f>IF(J2809&lt;&gt;1,"",IF(I2809="SBJ","CB","?"))</f>
        <v> </v>
      </c>
      <c r="I2809" s="25" t="str">
        <f>IF(OR(E2809="",E2809="!!!",F2809="NEW"),"",INDEX(B2808:B$2,-1+SUMPRODUCT(MAX(ROW(E2808:E$2)*(E2809=E2808:E$2)))))</f>
        <v> </v>
      </c>
      <c r="J2809" s="25" t="str">
        <f>IF(OR(E2809="",E2809="!!!",F2809="NEW"),"",COUNTBLANK(OFFSET(A$1,,,SUMPRODUCT(MAX(ROW(E$2:E2809)*(E2809=E$2:E2809)))))-COUNTBLANK(OFFSET(A$1,,,SUMPRODUCT(MAX(ROW(E$1:E2808)*(E2=E$1:E2808))))))</f>
        <v> </v>
      </c>
      <c r="K2809" s="25" t="str">
        <f>IF(OR(E2809="",E2809="!!!",F2809="NEW"),"",INDEX(J$1:J2808,SUMPRODUCT(MAX(ROW(E$1:E2808)*(E2809=E$1:E2808)))))</f>
        <v> </v>
      </c>
      <c r="L2809" s="26"/>
    </row>
    <row r="2810" spans="1:12">
      <c r="A2810" s="20" t="s">
        <v>1087</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1104</v>
      </c>
      <c r="B2811" s="27" t="s">
        <v>1074</v>
      </c>
      <c r="C2811" s="27" t="s">
        <v>1110</v>
      </c>
      <c r="D2811" s="27" t="s">
        <v>1069</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1959</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1080</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row>
    <row r="2815" spans="1:12">
      <c r="A2815" s="20" t="s">
        <v>2016</v>
      </c>
    </row>
    <row r="2816" spans="1:12">
      <c r="A2816" s="20" t="s">
        <v>1644</v>
      </c>
      <c r="B2816" s="27" t="s">
        <v>1067</v>
      </c>
      <c r="C2816" s="27" t="s">
        <v>1072</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1268</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1113</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t="s">
        <v>2017</v>
      </c>
      <c r="B2819" s="27" t="s">
        <v>1160</v>
      </c>
      <c r="C2819" s="27" t="s">
        <v>1086</v>
      </c>
      <c r="D2819" s="27" t="s">
        <v>1069</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1087</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1097</v>
      </c>
      <c r="B2821" s="27" t="s">
        <v>1133</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2018</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2019</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t="s">
        <v>1184</v>
      </c>
      <c r="E2824" s="21">
        <f>IF(D2824="?OLD","!!!","")</f>
        <v/>
      </c>
      <c r="F2824" s="22" t="str">
        <f>IF(OR(E2824="",E2824="!!!"),"",IF(NOT(ISNA(VLOOKUP(E2824,E$1:E2823,1,FALSE()))),"OLD",IF(AND(E2824&lt;&gt;"",E2824&lt;&gt;"!!!"),"NEW","")))</f>
        <v> </v>
      </c>
      <c r="G2824" s="23" t="str">
        <f>IF(OR(E2824="",E2824="!!!"),"",IF(OR(J2824=0,AND(J2824=1,K2824=1),AND(J2824=1,I2824="SBJ"),AND(J2824=1,I2824=0)),"?IN_FOCUS",IF(J2824&lt;=2,"?ACTIVATED",IF(J2824&lt;&gt;"","?FAMILIAR",IF(F2824="NEW",IF(ISNA(VLOOKUP(E2824,#REF!,1,FALSE())),"?TYPE_IDENTIFIABLE","?REFERENTIAL"),"_")))))</f>
        <v> </v>
      </c>
      <c r="H2824" s="24" t="str">
        <f>IF(J2824&lt;&gt;1,"",IF(I2824="SBJ","CB","?"))</f>
        <v> </v>
      </c>
      <c r="I2824" s="25" t="str">
        <f>IF(OR(E2824="",E2824="!!!",F2824="NEW"),"",INDEX(B2823:B$2,-1+SUMPRODUCT(MAX(ROW(E2823:E$2)*(E2824=E2823:E$2)))))</f>
        <v> </v>
      </c>
      <c r="J2824" s="25" t="str">
        <f>IF(OR(E2824="",E2824="!!!",F2824="NEW"),"",COUNTBLANK(OFFSET(A$1,,,SUMPRODUCT(MAX(ROW(E$2:E2824)*(E2824=E$2:E2824)))))-COUNTBLANK(OFFSET(A$1,,,SUMPRODUCT(MAX(ROW(E$1:E2823)*(E2=E$1:E2823))))))</f>
        <v> </v>
      </c>
      <c r="K2824" s="25" t="str">
        <f>IF(OR(E2824="",E2824="!!!",F2824="NEW"),"",INDEX(J$1:J2823,SUMPRODUCT(MAX(ROW(E$1:E2823)*(E2824=E$1:E2823)))))</f>
        <v> </v>
      </c>
      <c r="L2824" s="26"/>
    </row>
    <row r="2825" spans="1:12">
      <c r="A2825" s="20" t="s">
        <v>1087</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594</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1243</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2020</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1167</v>
      </c>
      <c r="B2829" s="27" t="s">
        <v>1095</v>
      </c>
      <c r="C2829" s="27" t="s">
        <v>1068</v>
      </c>
      <c r="D2829" s="27" t="s">
        <v>1069</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2021</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1998</v>
      </c>
      <c r="B2831" s="27" t="s">
        <v>1071</v>
      </c>
      <c r="C2831" s="27" t="s">
        <v>1077</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1080</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row>
    <row r="2834" spans="1:12">
      <c r="A2834" s="20" t="s">
        <v>2022</v>
      </c>
    </row>
    <row r="2835" spans="1:12">
      <c r="A2835" s="20" t="s">
        <v>1175</v>
      </c>
      <c r="B2835" s="27" t="s">
        <v>1067</v>
      </c>
      <c r="C2835" s="27" t="s">
        <v>1110</v>
      </c>
      <c r="D2835" s="27" t="s">
        <v>1069</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2023</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1104</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2024</v>
      </c>
      <c r="B2838" s="27" t="s">
        <v>1160</v>
      </c>
      <c r="C2838" s="27" t="s">
        <v>1086</v>
      </c>
      <c r="D2838" s="27" t="s">
        <v>1069</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1127</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2025</v>
      </c>
      <c r="B2840" s="27" t="s">
        <v>1071</v>
      </c>
      <c r="C2840" s="27" t="s">
        <v>1077</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1199</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2026</v>
      </c>
      <c r="B2842" s="27" t="s">
        <v>1092</v>
      </c>
      <c r="C2842" s="27" t="s">
        <v>1077</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1207</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1080</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row>
    <row r="2846" spans="1:12">
      <c r="A2846" s="20" t="s">
        <v>2027</v>
      </c>
    </row>
    <row r="2847" spans="1:12">
      <c r="A2847" s="20" t="s">
        <v>1082</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1196</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1351</v>
      </c>
      <c r="B2849" s="27" t="s">
        <v>1095</v>
      </c>
      <c r="C2849" s="27" t="s">
        <v>1072</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2028</v>
      </c>
      <c r="B2850" s="27" t="s">
        <v>1090</v>
      </c>
      <c r="C2850" s="27" t="s">
        <v>1077</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2029</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1078</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1544</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2030</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1087</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2031</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t="s">
        <v>1351</v>
      </c>
      <c r="B2857" s="27" t="s">
        <v>1067</v>
      </c>
      <c r="C2857" s="27" t="s">
        <v>1072</v>
      </c>
      <c r="E2857" s="21">
        <f>IF(D2857="?OLD","!!!","")</f>
        <v/>
      </c>
      <c r="F2857" s="22" t="str">
        <f>IF(OR(E2857="",E2857="!!!"),"",IF(NOT(ISNA(VLOOKUP(E2857,E$1:E2856,1,FALSE()))),"OLD",IF(AND(E2857&lt;&gt;"",E2857&lt;&gt;"!!!"),"NEW","")))</f>
        <v> </v>
      </c>
      <c r="G2857" s="23" t="str">
        <f>IF(OR(E2857="",E2857="!!!"),"",IF(OR(J2857=0,AND(J2857=1,K2857=1),AND(J2857=1,I2857="SBJ"),AND(J2857=1,I2857=0)),"?IN_FOCUS",IF(J2857&lt;=2,"?ACTIVATED",IF(J2857&lt;&gt;"","?FAMILIAR",IF(F2857="NEW",IF(ISNA(VLOOKUP(E2857,#REF!,1,FALSE())),"?TYPE_IDENTIFIABLE","?REFERENTIAL"),"_")))))</f>
        <v> </v>
      </c>
      <c r="H2857" s="24" t="str">
        <f>IF(J2857&lt;&gt;1,"",IF(I2857="SBJ","CB","?"))</f>
        <v> </v>
      </c>
      <c r="I2857" s="25" t="str">
        <f>IF(OR(E2857="",E2857="!!!",F2857="NEW"),"",INDEX(B2856:B$2,-1+SUMPRODUCT(MAX(ROW(E2856:E$2)*(E2857=E2856:E$2)))))</f>
        <v> </v>
      </c>
      <c r="J2857" s="25" t="str">
        <f>IF(OR(E2857="",E2857="!!!",F2857="NEW"),"",COUNTBLANK(OFFSET(A$1,,,SUMPRODUCT(MAX(ROW(E$2:E2857)*(E2857=E$2:E2857)))))-COUNTBLANK(OFFSET(A$1,,,SUMPRODUCT(MAX(ROW(E$1:E2856)*(E2=E$1:E2856))))))</f>
        <v> </v>
      </c>
      <c r="K2857" s="25" t="str">
        <f>IF(OR(E2857="",E2857="!!!",F2857="NEW"),"",INDEX(J$1:J2856,SUMPRODUCT(MAX(ROW(E$1:E2856)*(E2857=E$1:E2856)))))</f>
        <v> </v>
      </c>
      <c r="L2857" s="26"/>
    </row>
    <row r="2858" spans="1:12">
      <c r="A2858" s="20" t="s">
        <v>2032</v>
      </c>
      <c r="E2858" s="21">
        <f>IF(D2858="?OLD","!!!","")</f>
        <v/>
      </c>
      <c r="F2858" s="22" t="str">
        <f>IF(OR(E2858="",E2858="!!!"),"",IF(NOT(ISNA(VLOOKUP(E2858,E$1:E2857,1,FALSE()))),"OLD",IF(AND(E2858&lt;&gt;"",E2858&lt;&gt;"!!!"),"NEW","")))</f>
        <v> </v>
      </c>
      <c r="G2858" s="23" t="str">
        <f>IF(OR(E2858="",E2858="!!!"),"",IF(OR(J2858=0,AND(J2858=1,K2858=1),AND(J2858=1,I2858="SBJ"),AND(J2858=1,I2858=0)),"?IN_FOCUS",IF(J2858&lt;=2,"?ACTIVATED",IF(J2858&lt;&gt;"","?FAMILIAR",IF(F2858="NEW",IF(ISNA(VLOOKUP(E2858,#REF!,1,FALSE())),"?TYPE_IDENTIFIABLE","?REFERENTIAL"),"_")))))</f>
        <v> </v>
      </c>
      <c r="H2858" s="24" t="str">
        <f>IF(J2858&lt;&gt;1,"",IF(I2858="SBJ","CB","?"))</f>
        <v> </v>
      </c>
      <c r="I2858" s="25" t="str">
        <f>IF(OR(E2858="",E2858="!!!",F2858="NEW"),"",INDEX(B2857:B$2,-1+SUMPRODUCT(MAX(ROW(E2857:E$2)*(E2858=E2857:E$2)))))</f>
        <v> </v>
      </c>
      <c r="J2858" s="25" t="str">
        <f>IF(OR(E2858="",E2858="!!!",F2858="NEW"),"",COUNTBLANK(OFFSET(A$1,,,SUMPRODUCT(MAX(ROW(E$2:E2858)*(E2858=E$2:E2858)))))-COUNTBLANK(OFFSET(A$1,,,SUMPRODUCT(MAX(ROW(E$1:E2857)*(E2=E$1:E2857))))))</f>
        <v> </v>
      </c>
      <c r="K2858" s="25" t="str">
        <f>IF(OR(E2858="",E2858="!!!",F2858="NEW"),"",INDEX(J$1:J2857,SUMPRODUCT(MAX(ROW(E$1:E2857)*(E2858=E$1:E2857)))))</f>
        <v> </v>
      </c>
      <c r="L2858" s="26"/>
    </row>
    <row r="2859" spans="1:12">
      <c r="A2859" s="20" t="s">
        <v>1765</v>
      </c>
      <c r="B2859" s="27" t="s">
        <v>1160</v>
      </c>
      <c r="C2859" s="27" t="s">
        <v>1117</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1127</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1104</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t="s">
        <v>2033</v>
      </c>
      <c r="E2862" s="21">
        <f>IF(D2862="?OLD","!!!","")</f>
        <v/>
      </c>
      <c r="F2862" s="22" t="str">
        <f>IF(OR(E2862="",E2862="!!!"),"",IF(NOT(ISNA(VLOOKUP(E2862,E$1:E2861,1,FALSE()))),"OLD",IF(AND(E2862&lt;&gt;"",E2862&lt;&gt;"!!!"),"NEW","")))</f>
        <v> </v>
      </c>
      <c r="G2862" s="23" t="str">
        <f>IF(OR(E2862="",E2862="!!!"),"",IF(OR(J2862=0,AND(J2862=1,K2862=1),AND(J2862=1,I2862="SBJ"),AND(J2862=1,I2862=0)),"?IN_FOCUS",IF(J2862&lt;=2,"?ACTIVATED",IF(J2862&lt;&gt;"","?FAMILIAR",IF(F2862="NEW",IF(ISNA(VLOOKUP(E2862,#REF!,1,FALSE())),"?TYPE_IDENTIFIABLE","?REFERENTIAL"),"_")))))</f>
        <v> </v>
      </c>
      <c r="H2862" s="24" t="str">
        <f>IF(J2862&lt;&gt;1,"",IF(I2862="SBJ","CB","?"))</f>
        <v> </v>
      </c>
      <c r="I2862" s="25" t="str">
        <f>IF(OR(E2862="",E2862="!!!",F2862="NEW"),"",INDEX(B2861:B$2,-1+SUMPRODUCT(MAX(ROW(E2861:E$2)*(E2862=E2861:E$2)))))</f>
        <v> </v>
      </c>
      <c r="J2862" s="25" t="str">
        <f>IF(OR(E2862="",E2862="!!!",F2862="NEW"),"",COUNTBLANK(OFFSET(A$1,,,SUMPRODUCT(MAX(ROW(E$2:E2862)*(E2862=E$2:E2862)))))-COUNTBLANK(OFFSET(A$1,,,SUMPRODUCT(MAX(ROW(E$1:E2861)*(E2=E$1:E2861))))))</f>
        <v> </v>
      </c>
      <c r="K2862" s="25" t="str">
        <f>IF(OR(E2862="",E2862="!!!",F2862="NEW"),"",INDEX(J$1:J2861,SUMPRODUCT(MAX(ROW(E$1:E2861)*(E2862=E$1:E2861)))))</f>
        <v> </v>
      </c>
      <c r="L2862" s="26"/>
    </row>
    <row r="2863" spans="1:12">
      <c r="A2863" s="20" t="s">
        <v>2034</v>
      </c>
      <c r="B2863" s="27" t="s">
        <v>1074</v>
      </c>
      <c r="C2863" s="27" t="s">
        <v>1086</v>
      </c>
      <c r="D2863" s="27" t="s">
        <v>1069</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1725</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1144</v>
      </c>
      <c r="B2865" s="27" t="s">
        <v>1071</v>
      </c>
      <c r="C2865" s="27" t="s">
        <v>1086</v>
      </c>
      <c r="D2865" s="27" t="s">
        <v>1069</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1080</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row>
    <row r="2868" spans="1:12">
      <c r="A2868" s="20" t="s">
        <v>2035</v>
      </c>
    </row>
    <row r="2869" spans="1:12">
      <c r="A2869" s="20" t="s">
        <v>2036</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1197</v>
      </c>
      <c r="B2870" s="27" t="s">
        <v>1067</v>
      </c>
      <c r="C2870" s="27" t="s">
        <v>1068</v>
      </c>
      <c r="D2870" s="27" t="s">
        <v>1069</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1087</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1167</v>
      </c>
      <c r="B2872" s="27" t="s">
        <v>1095</v>
      </c>
      <c r="C2872" s="27" t="s">
        <v>1068</v>
      </c>
      <c r="D2872" s="27" t="s">
        <v>1069</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1299</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t="s">
        <v>1298</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2037</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1153</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t="s">
        <v>1831</v>
      </c>
      <c r="B2877" s="27" t="s">
        <v>1090</v>
      </c>
      <c r="C2877" s="27" t="s">
        <v>1117</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t="s">
        <v>1087</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1301</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1167</v>
      </c>
      <c r="B2880" s="27" t="s">
        <v>1095</v>
      </c>
      <c r="C2880" s="27" t="s">
        <v>1068</v>
      </c>
      <c r="D2880" s="27" t="s">
        <v>1069</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1191</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141</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2038</v>
      </c>
      <c r="B2883" s="27" t="s">
        <v>1074</v>
      </c>
      <c r="C2883" s="27" t="s">
        <v>1120</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1199</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1806</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2039</v>
      </c>
      <c r="B2886" s="27" t="s">
        <v>1071</v>
      </c>
      <c r="C2886" s="27" t="s">
        <v>1117</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1199</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2040</v>
      </c>
      <c r="B2888" s="27" t="s">
        <v>1092</v>
      </c>
      <c r="C2888" s="27" t="s">
        <v>1077</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1087</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1104</v>
      </c>
      <c r="B2890" s="27" t="s">
        <v>1107</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1108</v>
      </c>
      <c r="B2891" s="27" t="s">
        <v>1109</v>
      </c>
      <c r="C2891" s="27" t="s">
        <v>1110</v>
      </c>
      <c r="D2891" s="27" t="s">
        <v>1069</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282</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1087</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1100</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2041</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1070</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173</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1080</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row>
    <row r="2900" spans="1:12">
      <c r="A2900" s="20" t="s">
        <v>2042</v>
      </c>
    </row>
    <row r="2901" spans="1:12">
      <c r="A2901" s="20" t="s">
        <v>2043</v>
      </c>
      <c r="B2901" s="27" t="s">
        <v>1074</v>
      </c>
      <c r="C2901" s="27" t="s">
        <v>1077</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1108</v>
      </c>
      <c r="B2902" s="27" t="s">
        <v>1067</v>
      </c>
      <c r="C2902" s="27" t="s">
        <v>1110</v>
      </c>
      <c r="D2902" s="27" t="s">
        <v>1069</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1242</v>
      </c>
      <c r="B2903" s="27" t="s">
        <v>1160</v>
      </c>
      <c r="C2903" s="27" t="s">
        <v>1110</v>
      </c>
      <c r="D2903" s="27" t="s">
        <v>1069</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1087</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1166</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1108</v>
      </c>
      <c r="B2906" s="27" t="s">
        <v>1095</v>
      </c>
      <c r="C2906" s="27" t="s">
        <v>1110</v>
      </c>
      <c r="D2906" s="27" t="s">
        <v>1069</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2044</v>
      </c>
      <c r="B2907" s="27" t="s">
        <v>1092</v>
      </c>
      <c r="C2907" s="27" t="s">
        <v>1093</v>
      </c>
      <c r="D2907" s="27" t="s">
        <v>1069</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2045</v>
      </c>
      <c r="B2908" s="27" t="s">
        <v>1090</v>
      </c>
      <c r="C2908" s="27" t="s">
        <v>1077</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2046</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2047</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1080</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row>
    <row r="2913" spans="1:12">
      <c r="A2913" s="20" t="s">
        <v>2048</v>
      </c>
    </row>
    <row r="2914" spans="1:12">
      <c r="A2914" s="20" t="s">
        <v>1891</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1784</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2049</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2050</v>
      </c>
      <c r="B2917" s="27" t="s">
        <v>1160</v>
      </c>
      <c r="C2917" s="27" t="s">
        <v>1171</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613</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1324</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row>
    <row r="2921" spans="1:12">
      <c r="A2921" s="20" t="s">
        <v>2051</v>
      </c>
    </row>
    <row r="2922" spans="1:12">
      <c r="A2922" s="20" t="s">
        <v>1210</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t="s">
        <v>1087</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223</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1108</v>
      </c>
      <c r="B2925" s="27" t="s">
        <v>1067</v>
      </c>
      <c r="C2925" s="27" t="s">
        <v>1110</v>
      </c>
      <c r="D2925" s="27" t="s">
        <v>1069</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1391</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1207</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t="s">
        <v>1083</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1892</v>
      </c>
      <c r="B2929" s="27" t="s">
        <v>1074</v>
      </c>
      <c r="C2929" s="27" t="s">
        <v>1086</v>
      </c>
      <c r="D2929" s="27" t="s">
        <v>1069</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1087</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1083</v>
      </c>
      <c r="B2931" s="27" t="s">
        <v>1106</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t="s">
        <v>1108</v>
      </c>
      <c r="B2932" s="27" t="s">
        <v>1133</v>
      </c>
      <c r="C2932" s="27" t="s">
        <v>1110</v>
      </c>
      <c r="D2932" s="27" t="s">
        <v>1069</v>
      </c>
      <c r="E2932" s="21">
        <f>IF(D2932="?OLD","!!!","")</f>
        <v/>
      </c>
      <c r="F2932" s="22" t="str">
        <f>IF(OR(E2932="",E2932="!!!"),"",IF(NOT(ISNA(VLOOKUP(E2932,E$1:E2931,1,FALSE()))),"OLD",IF(AND(E2932&lt;&gt;"",E2932&lt;&gt;"!!!"),"NEW","")))</f>
        <v> </v>
      </c>
      <c r="G2932" s="23" t="str">
        <f>IF(OR(E2932="",E2932="!!!"),"",IF(OR(J2932=0,AND(J2932=1,K2932=1),AND(J2932=1,I2932="SBJ"),AND(J2932=1,I2932=0)),"?IN_FOCUS",IF(J2932&lt;=2,"?ACTIVATED",IF(J2932&lt;&gt;"","?FAMILIAR",IF(F2932="NEW",IF(ISNA(VLOOKUP(E2932,#REF!,1,FALSE())),"?TYPE_IDENTIFIABLE","?REFERENTIAL"),"_")))))</f>
        <v> </v>
      </c>
      <c r="H2932" s="24" t="str">
        <f>IF(J2932&lt;&gt;1,"",IF(I2932="SBJ","CB","?"))</f>
        <v> </v>
      </c>
      <c r="I2932" s="25" t="str">
        <f>IF(OR(E2932="",E2932="!!!",F2932="NEW"),"",INDEX(B2931:B$2,-1+SUMPRODUCT(MAX(ROW(E2931:E$2)*(E2932=E2931:E$2)))))</f>
        <v> </v>
      </c>
      <c r="J2932" s="25" t="str">
        <f>IF(OR(E2932="",E2932="!!!",F2932="NEW"),"",COUNTBLANK(OFFSET(A$1,,,SUMPRODUCT(MAX(ROW(E$2:E2932)*(E2932=E$2:E2932)))))-COUNTBLANK(OFFSET(A$1,,,SUMPRODUCT(MAX(ROW(E$1:E2931)*(E2=E$1:E2931))))))</f>
        <v> </v>
      </c>
      <c r="K2932" s="25" t="str">
        <f>IF(OR(E2932="",E2932="!!!",F2932="NEW"),"",INDEX(J$1:J2931,SUMPRODUCT(MAX(ROW(E$1:E2931)*(E2932=E$1:E2931)))))</f>
        <v> </v>
      </c>
      <c r="L2932" s="26"/>
    </row>
    <row r="2933" spans="1:12">
      <c r="A2933" s="20" t="s">
        <v>2052</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t="s">
        <v>129</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t="s">
        <v>1078</v>
      </c>
      <c r="E2935" s="21">
        <f>IF(D2935="?OLD","!!!","")</f>
        <v/>
      </c>
      <c r="F2935" s="22" t="str">
        <f>IF(OR(E2935="",E2935="!!!"),"",IF(NOT(ISNA(VLOOKUP(E2935,E$1:E2934,1,FALSE()))),"OLD",IF(AND(E2935&lt;&gt;"",E2935&lt;&gt;"!!!"),"NEW","")))</f>
        <v> </v>
      </c>
      <c r="G2935" s="23" t="str">
        <f>IF(OR(E2935="",E2935="!!!"),"",IF(OR(J2935=0,AND(J2935=1,K2935=1),AND(J2935=1,I2935="SBJ"),AND(J2935=1,I2935=0)),"?IN_FOCUS",IF(J2935&lt;=2,"?ACTIVATED",IF(J2935&lt;&gt;"","?FAMILIAR",IF(F2935="NEW",IF(ISNA(VLOOKUP(E2935,#REF!,1,FALSE())),"?TYPE_IDENTIFIABLE","?REFERENTIAL"),"_")))))</f>
        <v> </v>
      </c>
      <c r="H2935" s="24" t="str">
        <f>IF(J2935&lt;&gt;1,"",IF(I2935="SBJ","CB","?"))</f>
        <v> </v>
      </c>
      <c r="I2935" s="25" t="str">
        <f>IF(OR(E2935="",E2935="!!!",F2935="NEW"),"",INDEX(B2934:B$2,-1+SUMPRODUCT(MAX(ROW(E2934:E$2)*(E2935=E2934:E$2)))))</f>
        <v> </v>
      </c>
      <c r="J2935" s="25" t="str">
        <f>IF(OR(E2935="",E2935="!!!",F2935="NEW"),"",COUNTBLANK(OFFSET(A$1,,,SUMPRODUCT(MAX(ROW(E$2:E2935)*(E2935=E$2:E2935)))))-COUNTBLANK(OFFSET(A$1,,,SUMPRODUCT(MAX(ROW(E$1:E2934)*(E2=E$1:E2934))))))</f>
        <v> </v>
      </c>
      <c r="K2935" s="25" t="str">
        <f>IF(OR(E2935="",E2935="!!!",F2935="NEW"),"",INDEX(J$1:J2934,SUMPRODUCT(MAX(ROW(E$1:E2934)*(E2935=E$1:E2934)))))</f>
        <v> </v>
      </c>
      <c r="L2935" s="26"/>
    </row>
    <row r="2936" spans="1:12">
      <c r="A2936" s="20" t="s">
        <v>1352</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t="s">
        <v>2053</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t="s">
        <v>1108</v>
      </c>
      <c r="B2938" s="27" t="s">
        <v>1095</v>
      </c>
      <c r="C2938" s="27" t="s">
        <v>1110</v>
      </c>
      <c r="D2938" s="27" t="s">
        <v>1069</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t="s">
        <v>1075</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1113</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2054</v>
      </c>
      <c r="B2941" s="27" t="s">
        <v>1071</v>
      </c>
      <c r="C2941" s="27" t="s">
        <v>1086</v>
      </c>
      <c r="D2941" s="27" t="s">
        <v>1069</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1080</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row>
    <row r="2944" spans="1:12">
      <c r="A2944" s="20" t="s">
        <v>2055</v>
      </c>
    </row>
    <row r="2945" spans="1:12">
      <c r="A2945" s="20" t="s">
        <v>2056</v>
      </c>
      <c r="B2945" s="27" t="s">
        <v>1067</v>
      </c>
      <c r="C2945" s="27" t="s">
        <v>1110</v>
      </c>
      <c r="D2945" s="27" t="s">
        <v>1069</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t="s">
        <v>13</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1199</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1200</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1718</v>
      </c>
      <c r="B2949" s="27" t="s">
        <v>1074</v>
      </c>
      <c r="C2949" s="27" t="s">
        <v>1120</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2057</v>
      </c>
      <c r="B2950" s="27" t="s">
        <v>1071</v>
      </c>
      <c r="C2950" s="27" t="s">
        <v>1077</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1391</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2058</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1080</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row>
    <row r="2955" spans="1:12">
      <c r="A2955" s="20" t="s">
        <v>2059</v>
      </c>
    </row>
    <row r="2956" spans="1:12">
      <c r="A2956" s="20" t="s">
        <v>1158</v>
      </c>
      <c r="B2956" s="27" t="s">
        <v>1067</v>
      </c>
      <c r="C2956" s="27" t="s">
        <v>1068</v>
      </c>
      <c r="D2956" s="27" t="s">
        <v>1069</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1191</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t="s">
        <v>1320</v>
      </c>
      <c r="E2958" s="21">
        <f>IF(D2958="?OLD","!!!","")</f>
        <v/>
      </c>
      <c r="F2958" s="22" t="str">
        <f>IF(OR(E2958="",E2958="!!!"),"",IF(NOT(ISNA(VLOOKUP(E2958,E$1:E2957,1,FALSE()))),"OLD",IF(AND(E2958&lt;&gt;"",E2958&lt;&gt;"!!!"),"NEW","")))</f>
        <v> </v>
      </c>
      <c r="G2958" s="23" t="str">
        <f>IF(OR(E2958="",E2958="!!!"),"",IF(OR(J2958=0,AND(J2958=1,K2958=1),AND(J2958=1,I2958="SBJ"),AND(J2958=1,I2958=0)),"?IN_FOCUS",IF(J2958&lt;=2,"?ACTIVATED",IF(J2958&lt;&gt;"","?FAMILIAR",IF(F2958="NEW",IF(ISNA(VLOOKUP(E2958,#REF!,1,FALSE())),"?TYPE_IDENTIFIABLE","?REFERENTIAL"),"_")))))</f>
        <v> </v>
      </c>
      <c r="H2958" s="24" t="str">
        <f>IF(J2958&lt;&gt;1,"",IF(I2958="SBJ","CB","?"))</f>
        <v> </v>
      </c>
      <c r="I2958" s="25" t="str">
        <f>IF(OR(E2958="",E2958="!!!",F2958="NEW"),"",INDEX(B2957:B$2,-1+SUMPRODUCT(MAX(ROW(E2957:E$2)*(E2958=E2957:E$2)))))</f>
        <v> </v>
      </c>
      <c r="J2958" s="25" t="str">
        <f>IF(OR(E2958="",E2958="!!!",F2958="NEW"),"",COUNTBLANK(OFFSET(A$1,,,SUMPRODUCT(MAX(ROW(E$2:E2958)*(E2958=E$2:E2958)))))-COUNTBLANK(OFFSET(A$1,,,SUMPRODUCT(MAX(ROW(E$1:E2957)*(E2=E$1:E2957))))))</f>
        <v> </v>
      </c>
      <c r="K2958" s="25" t="str">
        <f>IF(OR(E2958="",E2958="!!!",F2958="NEW"),"",INDEX(J$1:J2957,SUMPRODUCT(MAX(ROW(E$1:E2957)*(E2958=E$1:E2957)))))</f>
        <v> </v>
      </c>
      <c r="L2958" s="26"/>
    </row>
    <row r="2959" spans="1:12">
      <c r="A2959" s="20" t="s">
        <v>1193</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t="s">
        <v>1126</v>
      </c>
      <c r="E2960" s="21">
        <f>IF(D2960="?OLD","!!!","")</f>
        <v/>
      </c>
      <c r="F2960" s="22" t="str">
        <f>IF(OR(E2960="",E2960="!!!"),"",IF(NOT(ISNA(VLOOKUP(E2960,E$1:E2959,1,FALSE()))),"OLD",IF(AND(E2960&lt;&gt;"",E2960&lt;&gt;"!!!"),"NEW","")))</f>
        <v> </v>
      </c>
      <c r="G2960" s="23" t="str">
        <f>IF(OR(E2960="",E2960="!!!"),"",IF(OR(J2960=0,AND(J2960=1,K2960=1),AND(J2960=1,I2960="SBJ"),AND(J2960=1,I2960=0)),"?IN_FOCUS",IF(J2960&lt;=2,"?ACTIVATED",IF(J2960&lt;&gt;"","?FAMILIAR",IF(F2960="NEW",IF(ISNA(VLOOKUP(E2960,#REF!,1,FALSE())),"?TYPE_IDENTIFIABLE","?REFERENTIAL"),"_")))))</f>
        <v> </v>
      </c>
      <c r="H2960" s="24" t="str">
        <f>IF(J2960&lt;&gt;1,"",IF(I2960="SBJ","CB","?"))</f>
        <v> </v>
      </c>
      <c r="I2960" s="25" t="str">
        <f>IF(OR(E2960="",E2960="!!!",F2960="NEW"),"",INDEX(B2959:B$2,-1+SUMPRODUCT(MAX(ROW(E2959:E$2)*(E2960=E2959:E$2)))))</f>
        <v> </v>
      </c>
      <c r="J2960" s="25" t="str">
        <f>IF(OR(E2960="",E2960="!!!",F2960="NEW"),"",COUNTBLANK(OFFSET(A$1,,,SUMPRODUCT(MAX(ROW(E$2:E2960)*(E2960=E$2:E2960)))))-COUNTBLANK(OFFSET(A$1,,,SUMPRODUCT(MAX(ROW(E$1:E2959)*(E2=E$1:E2959))))))</f>
        <v> </v>
      </c>
      <c r="K2960" s="25" t="str">
        <f>IF(OR(E2960="",E2960="!!!",F2960="NEW"),"",INDEX(J$1:J2959,SUMPRODUCT(MAX(ROW(E$1:E2959)*(E2960=E$1:E2959)))))</f>
        <v> </v>
      </c>
      <c r="L2960" s="26"/>
    </row>
    <row r="2961" spans="1:12">
      <c r="A2961" s="20" t="s">
        <v>1087</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1149</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1108</v>
      </c>
      <c r="B2963" s="27" t="s">
        <v>1095</v>
      </c>
      <c r="C2963" s="27" t="s">
        <v>1110</v>
      </c>
      <c r="D2963" s="27" t="s">
        <v>1069</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2060</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2061</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1080</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row>
    <row r="2968" spans="1:12">
      <c r="A2968" s="20" t="s">
        <v>2062</v>
      </c>
    </row>
    <row r="2969" spans="1:12">
      <c r="A2969" s="20" t="s">
        <v>1164</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2063</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1875</v>
      </c>
      <c r="B2971" s="27" t="s">
        <v>1067</v>
      </c>
      <c r="C2971" s="27" t="s">
        <v>1086</v>
      </c>
      <c r="D2971" s="27" t="s">
        <v>1069</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46</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t="s">
        <v>1224</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1371</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1372</v>
      </c>
      <c r="B2975" s="27" t="s">
        <v>1074</v>
      </c>
      <c r="C2975" s="27" t="s">
        <v>1077</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2064</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46</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1087</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2065</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2066</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2037</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t="s">
        <v>17</v>
      </c>
      <c r="B2982" s="27" t="s">
        <v>1071</v>
      </c>
      <c r="C2982" s="27" t="s">
        <v>1110</v>
      </c>
      <c r="D2982" s="27" t="s">
        <v>1069</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t="s">
        <v>2067</v>
      </c>
      <c r="B2983" s="27" t="s">
        <v>1074</v>
      </c>
      <c r="C2983" s="27" t="s">
        <v>1117</v>
      </c>
      <c r="E2983" s="21">
        <f>IF(D2983="?OLD","!!!","")</f>
        <v/>
      </c>
      <c r="F2983" s="22" t="str">
        <f>IF(OR(E2983="",E2983="!!!"),"",IF(NOT(ISNA(VLOOKUP(E2983,E$1:E2982,1,FALSE()))),"OLD",IF(AND(E2983&lt;&gt;"",E2983&lt;&gt;"!!!"),"NEW","")))</f>
        <v> </v>
      </c>
      <c r="G2983" s="23" t="str">
        <f>IF(OR(E2983="",E2983="!!!"),"",IF(OR(J2983=0,AND(J2983=1,K2983=1),AND(J2983=1,I2983="SBJ"),AND(J2983=1,I2983=0)),"?IN_FOCUS",IF(J2983&lt;=2,"?ACTIVATED",IF(J2983&lt;&gt;"","?FAMILIAR",IF(F2983="NEW",IF(ISNA(VLOOKUP(E2983,#REF!,1,FALSE())),"?TYPE_IDENTIFIABLE","?REFERENTIAL"),"_")))))</f>
        <v> </v>
      </c>
      <c r="H2983" s="24" t="str">
        <f>IF(J2983&lt;&gt;1,"",IF(I2983="SBJ","CB","?"))</f>
        <v> </v>
      </c>
      <c r="I2983" s="25" t="str">
        <f>IF(OR(E2983="",E2983="!!!",F2983="NEW"),"",INDEX(B2982:B$2,-1+SUMPRODUCT(MAX(ROW(E2982:E$2)*(E2983=E2982:E$2)))))</f>
        <v> </v>
      </c>
      <c r="J2983" s="25" t="str">
        <f>IF(OR(E2983="",E2983="!!!",F2983="NEW"),"",COUNTBLANK(OFFSET(A$1,,,SUMPRODUCT(MAX(ROW(E$2:E2983)*(E2983=E$2:E2983)))))-COUNTBLANK(OFFSET(A$1,,,SUMPRODUCT(MAX(ROW(E$1:E2982)*(E2=E$1:E2982))))))</f>
        <v> </v>
      </c>
      <c r="K2983" s="25" t="str">
        <f>IF(OR(E2983="",E2983="!!!",F2983="NEW"),"",INDEX(J$1:J2982,SUMPRODUCT(MAX(ROW(E$1:E2982)*(E2983=E$1:E2982)))))</f>
        <v> </v>
      </c>
      <c r="L2983" s="26"/>
    </row>
    <row r="2984" spans="1:12">
      <c r="A2984" s="20" t="s">
        <v>1080</v>
      </c>
      <c r="E2984" s="21">
        <f>IF(D2984="?OLD","!!!","")</f>
        <v/>
      </c>
      <c r="F2984" s="22" t="str">
        <f>IF(OR(E2984="",E2984="!!!"),"",IF(NOT(ISNA(VLOOKUP(E2984,E$1:E2983,1,FALSE()))),"OLD",IF(AND(E2984&lt;&gt;"",E2984&lt;&gt;"!!!"),"NEW","")))</f>
        <v> </v>
      </c>
      <c r="G2984" s="23" t="str">
        <f>IF(OR(E2984="",E2984="!!!"),"",IF(OR(J2984=0,AND(J2984=1,K2984=1),AND(J2984=1,I2984="SBJ"),AND(J2984=1,I2984=0)),"?IN_FOCUS",IF(J2984&lt;=2,"?ACTIVATED",IF(J2984&lt;&gt;"","?FAMILIAR",IF(F2984="NEW",IF(ISNA(VLOOKUP(E2984,#REF!,1,FALSE())),"?TYPE_IDENTIFIABLE","?REFERENTIAL"),"_")))))</f>
        <v> </v>
      </c>
      <c r="H2984" s="24" t="str">
        <f>IF(J2984&lt;&gt;1,"",IF(I2984="SBJ","CB","?"))</f>
        <v> </v>
      </c>
      <c r="I2984" s="25" t="str">
        <f>IF(OR(E2984="",E2984="!!!",F2984="NEW"),"",INDEX(B2983:B$2,-1+SUMPRODUCT(MAX(ROW(E2983:E$2)*(E2984=E2983:E$2)))))</f>
        <v> </v>
      </c>
      <c r="J2984" s="25" t="str">
        <f>IF(OR(E2984="",E2984="!!!",F2984="NEW"),"",COUNTBLANK(OFFSET(A$1,,,SUMPRODUCT(MAX(ROW(E$2:E2984)*(E2984=E$2:E2984)))))-COUNTBLANK(OFFSET(A$1,,,SUMPRODUCT(MAX(ROW(E$1:E2983)*(E2=E$1:E2983))))))</f>
        <v> </v>
      </c>
      <c r="K2984" s="25" t="str">
        <f>IF(OR(E2984="",E2984="!!!",F2984="NEW"),"",INDEX(J$1:J2983,SUMPRODUCT(MAX(ROW(E$1:E2983)*(E2984=E$1:E2983)))))</f>
        <v> </v>
      </c>
      <c r="L2984" s="26"/>
    </row>
    <row r="2985" spans="1:12">
      <c r="A2985" s="20"/>
    </row>
    <row r="2986" spans="1:12">
      <c r="A2986" s="20" t="s">
        <v>2068</v>
      </c>
    </row>
    <row r="2987" spans="1:12">
      <c r="A2987" s="20" t="s">
        <v>2069</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1184</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2070</v>
      </c>
      <c r="B2989" s="27" t="s">
        <v>1067</v>
      </c>
      <c r="C2989" s="27" t="s">
        <v>1077</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1078</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2071</v>
      </c>
      <c r="B2991" s="27" t="s">
        <v>1071</v>
      </c>
      <c r="C2991" s="27" t="s">
        <v>1077</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1391</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2072</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2073</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841</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1080</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row>
    <row r="2998" spans="1:12">
      <c r="A2998" s="20" t="s">
        <v>2074</v>
      </c>
    </row>
    <row r="2999" spans="1:12">
      <c r="A2999" s="20" t="s">
        <v>1183</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1087</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1100</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1128</v>
      </c>
      <c r="B3002" s="27" t="s">
        <v>1141</v>
      </c>
      <c r="C3002" s="27" t="s">
        <v>1129</v>
      </c>
      <c r="D3002" s="27" t="s">
        <v>1069</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1718</v>
      </c>
      <c r="B3003" s="27" t="s">
        <v>1106</v>
      </c>
      <c r="C3003" s="27" t="s">
        <v>1131</v>
      </c>
      <c r="D3003" s="27" t="s">
        <v>1069</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1070</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t="s">
        <v>2052</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1087</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129</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1104</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2075</v>
      </c>
      <c r="B3009" s="27" t="s">
        <v>1067</v>
      </c>
      <c r="C3009" s="27" t="s">
        <v>1086</v>
      </c>
      <c r="D3009" s="27" t="s">
        <v>1069</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1087</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2076</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1372</v>
      </c>
      <c r="B3012" s="27" t="s">
        <v>1071</v>
      </c>
      <c r="C3012" s="27" t="s">
        <v>1152</v>
      </c>
      <c r="D3012" s="27" t="s">
        <v>1069</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1166</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2077</v>
      </c>
      <c r="B3014" s="27" t="s">
        <v>1092</v>
      </c>
      <c r="C3014" s="27" t="s">
        <v>1134</v>
      </c>
      <c r="D3014" s="27" t="s">
        <v>1069</v>
      </c>
      <c r="E3014" s="21">
        <f>IF(D3014="?OLD","!!!","")</f>
        <v/>
      </c>
      <c r="F3014" s="22" t="str">
        <f>IF(OR(E3014="",E3014="!!!"),"",IF(NOT(ISNA(VLOOKUP(E3014,E$1:E3013,1,FALSE()))),"OLD",IF(AND(E3014&lt;&gt;"",E3014&lt;&gt;"!!!"),"NEW","")))</f>
        <v> </v>
      </c>
      <c r="G3014" s="23" t="str">
        <f>IF(OR(E3014="",E3014="!!!"),"",IF(OR(J3014=0,AND(J3014=1,K3014=1),AND(J3014=1,I3014="SBJ"),AND(J3014=1,I3014=0)),"?IN_FOCUS",IF(J3014&lt;=2,"?ACTIVATED",IF(J3014&lt;&gt;"","?FAMILIAR",IF(F3014="NEW",IF(ISNA(VLOOKUP(E3014,#REF!,1,FALSE())),"?TYPE_IDENTIFIABLE","?REFERENTIAL"),"_")))))</f>
        <v> </v>
      </c>
      <c r="H3014" s="24" t="str">
        <f>IF(J3014&lt;&gt;1,"",IF(I3014="SBJ","CB","?"))</f>
        <v> </v>
      </c>
      <c r="I3014" s="25" t="str">
        <f>IF(OR(E3014="",E3014="!!!",F3014="NEW"),"",INDEX(B3013:B$2,-1+SUMPRODUCT(MAX(ROW(E3013:E$2)*(E3014=E3013:E$2)))))</f>
        <v> </v>
      </c>
      <c r="J3014" s="25" t="str">
        <f>IF(OR(E3014="",E3014="!!!",F3014="NEW"),"",COUNTBLANK(OFFSET(A$1,,,SUMPRODUCT(MAX(ROW(E$2:E3014)*(E3014=E$2:E3014)))))-COUNTBLANK(OFFSET(A$1,,,SUMPRODUCT(MAX(ROW(E$1:E3013)*(E2=E$1:E3013))))))</f>
        <v> </v>
      </c>
      <c r="K3014" s="25" t="str">
        <f>IF(OR(E3014="",E3014="!!!",F3014="NEW"),"",INDEX(J$1:J3013,SUMPRODUCT(MAX(ROW(E$1:E3013)*(E3014=E$1:E3013)))))</f>
        <v> </v>
      </c>
      <c r="L3014" s="26"/>
    </row>
    <row r="3015" spans="1:12">
      <c r="A3015" s="20" t="s">
        <v>1087</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1168</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t="s">
        <v>2078</v>
      </c>
      <c r="B3017" s="27" t="s">
        <v>1160</v>
      </c>
      <c r="C3017" s="27" t="s">
        <v>1171</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2079</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t="s">
        <v>634</v>
      </c>
      <c r="E3019" s="21">
        <f>IF(D3019="?OLD","!!!","")</f>
        <v/>
      </c>
      <c r="F3019" s="22" t="str">
        <f>IF(OR(E3019="",E3019="!!!"),"",IF(NOT(ISNA(VLOOKUP(E3019,E$1:E3018,1,FALSE()))),"OLD",IF(AND(E3019&lt;&gt;"",E3019&lt;&gt;"!!!"),"NEW","")))</f>
        <v> </v>
      </c>
      <c r="G3019" s="23" t="str">
        <f>IF(OR(E3019="",E3019="!!!"),"",IF(OR(J3019=0,AND(J3019=1,K3019=1),AND(J3019=1,I3019="SBJ"),AND(J3019=1,I3019=0)),"?IN_FOCUS",IF(J3019&lt;=2,"?ACTIVATED",IF(J3019&lt;&gt;"","?FAMILIAR",IF(F3019="NEW",IF(ISNA(VLOOKUP(E3019,#REF!,1,FALSE())),"?TYPE_IDENTIFIABLE","?REFERENTIAL"),"_")))))</f>
        <v> </v>
      </c>
      <c r="H3019" s="24" t="str">
        <f>IF(J3019&lt;&gt;1,"",IF(I3019="SBJ","CB","?"))</f>
        <v> </v>
      </c>
      <c r="I3019" s="25" t="str">
        <f>IF(OR(E3019="",E3019="!!!",F3019="NEW"),"",INDEX(B3018:B$2,-1+SUMPRODUCT(MAX(ROW(E3018:E$2)*(E3019=E3018:E$2)))))</f>
        <v> </v>
      </c>
      <c r="J3019" s="25" t="str">
        <f>IF(OR(E3019="",E3019="!!!",F3019="NEW"),"",COUNTBLANK(OFFSET(A$1,,,SUMPRODUCT(MAX(ROW(E$2:E3019)*(E3019=E$2:E3019)))))-COUNTBLANK(OFFSET(A$1,,,SUMPRODUCT(MAX(ROW(E$1:E3018)*(E2=E$1:E3018))))))</f>
        <v> </v>
      </c>
      <c r="K3019" s="25" t="str">
        <f>IF(OR(E3019="",E3019="!!!",F3019="NEW"),"",INDEX(J$1:J3018,SUMPRODUCT(MAX(ROW(E$1:E3018)*(E3019=E$1:E3018)))))</f>
        <v> </v>
      </c>
      <c r="L3019" s="26"/>
    </row>
    <row r="3020" spans="1:12">
      <c r="A3020" s="20" t="s">
        <v>1080</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row>
    <row r="3022" spans="1:12">
      <c r="A3022" s="20" t="s">
        <v>2080</v>
      </c>
    </row>
    <row r="3023" spans="1:12">
      <c r="A3023" s="20" t="s">
        <v>1164</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1502</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2081</v>
      </c>
      <c r="B3025" s="27" t="s">
        <v>1067</v>
      </c>
      <c r="C3025" s="27" t="s">
        <v>1145</v>
      </c>
      <c r="D3025" s="27" t="s">
        <v>1069</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2082</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1087</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1552</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1108</v>
      </c>
      <c r="B3029" s="27" t="s">
        <v>1095</v>
      </c>
      <c r="C3029" s="27" t="s">
        <v>1110</v>
      </c>
      <c r="D3029" s="27" t="s">
        <v>1069</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1104</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1323</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12</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2083</v>
      </c>
      <c r="B3033" s="27" t="s">
        <v>1090</v>
      </c>
      <c r="C3033" s="27" t="s">
        <v>1086</v>
      </c>
      <c r="D3033" s="27" t="s">
        <v>1069</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t="s">
        <v>1839</v>
      </c>
      <c r="B3034" s="27" t="s">
        <v>1090</v>
      </c>
      <c r="C3034" s="27" t="s">
        <v>1077</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715</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t="s">
        <v>1087</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1552</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t="s">
        <v>1188</v>
      </c>
      <c r="B3038" s="27" t="s">
        <v>1133</v>
      </c>
      <c r="C3038" s="27" t="s">
        <v>1110</v>
      </c>
      <c r="D3038" s="27" t="s">
        <v>1069</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1224</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t="s">
        <v>2084</v>
      </c>
      <c r="B3040" s="27" t="s">
        <v>1141</v>
      </c>
      <c r="C3040" s="27" t="s">
        <v>1072</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t="s">
        <v>2085</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1372</v>
      </c>
      <c r="B3042" s="27" t="s">
        <v>1092</v>
      </c>
      <c r="C3042" s="27" t="s">
        <v>1117</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2086</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1191</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1078</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1108</v>
      </c>
      <c r="B3046" s="27" t="s">
        <v>1235</v>
      </c>
      <c r="C3046" s="27" t="s">
        <v>1110</v>
      </c>
      <c r="D3046" s="27" t="s">
        <v>1069</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t="s">
        <v>1142</v>
      </c>
      <c r="E3047" s="21">
        <f>IF(D3047="?OLD","!!!","")</f>
        <v/>
      </c>
      <c r="F3047" s="22" t="str">
        <f>IF(OR(E3047="",E3047="!!!"),"",IF(NOT(ISNA(VLOOKUP(E3047,E$1:E3046,1,FALSE()))),"OLD",IF(AND(E3047&lt;&gt;"",E3047&lt;&gt;"!!!"),"NEW","")))</f>
        <v> </v>
      </c>
      <c r="G3047" s="23" t="str">
        <f>IF(OR(E3047="",E3047="!!!"),"",IF(OR(J3047=0,AND(J3047=1,K3047=1),AND(J3047=1,I3047="SBJ"),AND(J3047=1,I3047=0)),"?IN_FOCUS",IF(J3047&lt;=2,"?ACTIVATED",IF(J3047&lt;&gt;"","?FAMILIAR",IF(F3047="NEW",IF(ISNA(VLOOKUP(E3047,#REF!,1,FALSE())),"?TYPE_IDENTIFIABLE","?REFERENTIAL"),"_")))))</f>
        <v> </v>
      </c>
      <c r="H3047" s="24" t="str">
        <f>IF(J3047&lt;&gt;1,"",IF(I3047="SBJ","CB","?"))</f>
        <v> </v>
      </c>
      <c r="I3047" s="25" t="str">
        <f>IF(OR(E3047="",E3047="!!!",F3047="NEW"),"",INDEX(B3046:B$2,-1+SUMPRODUCT(MAX(ROW(E3046:E$2)*(E3047=E3046:E$2)))))</f>
        <v> </v>
      </c>
      <c r="J3047" s="25" t="str">
        <f>IF(OR(E3047="",E3047="!!!",F3047="NEW"),"",COUNTBLANK(OFFSET(A$1,,,SUMPRODUCT(MAX(ROW(E$2:E3047)*(E3047=E$2:E3047)))))-COUNTBLANK(OFFSET(A$1,,,SUMPRODUCT(MAX(ROW(E$1:E3046)*(E2=E$1:E3046))))))</f>
        <v> </v>
      </c>
      <c r="K3047" s="25" t="str">
        <f>IF(OR(E3047="",E3047="!!!",F3047="NEW"),"",INDEX(J$1:J3046,SUMPRODUCT(MAX(ROW(E$1:E3046)*(E3047=E$1:E3046)))))</f>
        <v> </v>
      </c>
      <c r="L3047" s="26"/>
    </row>
    <row r="3048" spans="1:12">
      <c r="A3048" s="20" t="s">
        <v>1143</v>
      </c>
      <c r="E3048" s="21">
        <f>IF(D3048="?OLD","!!!","")</f>
        <v/>
      </c>
      <c r="F3048" s="22" t="str">
        <f>IF(OR(E3048="",E3048="!!!"),"",IF(NOT(ISNA(VLOOKUP(E3048,E$1:E3047,1,FALSE()))),"OLD",IF(AND(E3048&lt;&gt;"",E3048&lt;&gt;"!!!"),"NEW","")))</f>
        <v> </v>
      </c>
      <c r="G3048" s="23" t="str">
        <f>IF(OR(E3048="",E3048="!!!"),"",IF(OR(J3048=0,AND(J3048=1,K3048=1),AND(J3048=1,I3048="SBJ"),AND(J3048=1,I3048=0)),"?IN_FOCUS",IF(J3048&lt;=2,"?ACTIVATED",IF(J3048&lt;&gt;"","?FAMILIAR",IF(F3048="NEW",IF(ISNA(VLOOKUP(E3048,#REF!,1,FALSE())),"?TYPE_IDENTIFIABLE","?REFERENTIAL"),"_")))))</f>
        <v> </v>
      </c>
      <c r="H3048" s="24" t="str">
        <f>IF(J3048&lt;&gt;1,"",IF(I3048="SBJ","CB","?"))</f>
        <v> </v>
      </c>
      <c r="I3048" s="25" t="str">
        <f>IF(OR(E3048="",E3048="!!!",F3048="NEW"),"",INDEX(B3047:B$2,-1+SUMPRODUCT(MAX(ROW(E3047:E$2)*(E3048=E3047:E$2)))))</f>
        <v> </v>
      </c>
      <c r="J3048" s="25" t="str">
        <f>IF(OR(E3048="",E3048="!!!",F3048="NEW"),"",COUNTBLANK(OFFSET(A$1,,,SUMPRODUCT(MAX(ROW(E$2:E3048)*(E3048=E$2:E3048)))))-COUNTBLANK(OFFSET(A$1,,,SUMPRODUCT(MAX(ROW(E$1:E3047)*(E2=E$1:E3047))))))</f>
        <v> </v>
      </c>
      <c r="K3048" s="25" t="str">
        <f>IF(OR(E3048="",E3048="!!!",F3048="NEW"),"",INDEX(J$1:J3047,SUMPRODUCT(MAX(ROW(E$1:E3047)*(E3048=E$1:E3047)))))</f>
        <v> </v>
      </c>
      <c r="L3048" s="26"/>
    </row>
    <row r="3049" spans="1:12">
      <c r="A3049" s="20" t="s">
        <v>1825</v>
      </c>
      <c r="B3049" s="27" t="s">
        <v>1141</v>
      </c>
      <c r="C3049" s="27" t="s">
        <v>1086</v>
      </c>
      <c r="D3049" s="27" t="s">
        <v>1069</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1124</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1087</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1188</v>
      </c>
      <c r="B3052" s="27" t="s">
        <v>1090</v>
      </c>
      <c r="C3052" s="27" t="s">
        <v>1110</v>
      </c>
      <c r="D3052" s="27" t="s">
        <v>1069</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1070</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t="s">
        <v>1143</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t="s">
        <v>2087</v>
      </c>
      <c r="B3055" s="27" t="s">
        <v>1071</v>
      </c>
      <c r="C3055" s="27" t="s">
        <v>1086</v>
      </c>
      <c r="D3055" s="27" t="s">
        <v>1069</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t="s">
        <v>1070</v>
      </c>
      <c r="E3056" s="21">
        <f>IF(D3056="?OLD","!!!","")</f>
        <v/>
      </c>
      <c r="F3056" s="22" t="str">
        <f>IF(OR(E3056="",E3056="!!!"),"",IF(NOT(ISNA(VLOOKUP(E3056,E$1:E3055,1,FALSE()))),"OLD",IF(AND(E3056&lt;&gt;"",E3056&lt;&gt;"!!!"),"NEW","")))</f>
        <v> </v>
      </c>
      <c r="G3056" s="23" t="str">
        <f>IF(OR(E3056="",E3056="!!!"),"",IF(OR(J3056=0,AND(J3056=1,K3056=1),AND(J3056=1,I3056="SBJ"),AND(J3056=1,I3056=0)),"?IN_FOCUS",IF(J3056&lt;=2,"?ACTIVATED",IF(J3056&lt;&gt;"","?FAMILIAR",IF(F3056="NEW",IF(ISNA(VLOOKUP(E3056,#REF!,1,FALSE())),"?TYPE_IDENTIFIABLE","?REFERENTIAL"),"_")))))</f>
        <v> </v>
      </c>
      <c r="H3056" s="24" t="str">
        <f>IF(J3056&lt;&gt;1,"",IF(I3056="SBJ","CB","?"))</f>
        <v> </v>
      </c>
      <c r="I3056" s="25" t="str">
        <f>IF(OR(E3056="",E3056="!!!",F3056="NEW"),"",INDEX(B3055:B$2,-1+SUMPRODUCT(MAX(ROW(E3055:E$2)*(E3056=E3055:E$2)))))</f>
        <v> </v>
      </c>
      <c r="J3056" s="25" t="str">
        <f>IF(OR(E3056="",E3056="!!!",F3056="NEW"),"",COUNTBLANK(OFFSET(A$1,,,SUMPRODUCT(MAX(ROW(E$2:E3056)*(E3056=E$2:E3056)))))-COUNTBLANK(OFFSET(A$1,,,SUMPRODUCT(MAX(ROW(E$1:E3055)*(E2=E$1:E3055))))))</f>
        <v> </v>
      </c>
      <c r="K3056" s="25" t="str">
        <f>IF(OR(E3056="",E3056="!!!",F3056="NEW"),"",INDEX(J$1:J3055,SUMPRODUCT(MAX(ROW(E$1:E3055)*(E3056=E$1:E3055)))))</f>
        <v> </v>
      </c>
      <c r="L3056" s="26"/>
    </row>
    <row r="3057" spans="1:12">
      <c r="A3057" s="20" t="s">
        <v>248</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t="s">
        <v>1080</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row>
    <row r="3060" spans="1:12">
      <c r="A3060" s="20" t="s">
        <v>2088</v>
      </c>
    </row>
    <row r="3061" spans="1:12">
      <c r="A3061" s="20" t="s">
        <v>1175</v>
      </c>
      <c r="B3061" s="27" t="s">
        <v>1067</v>
      </c>
      <c r="C3061" s="27" t="s">
        <v>1110</v>
      </c>
      <c r="D3061" s="27" t="s">
        <v>1069</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1191</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t="s">
        <v>2089</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t="s">
        <v>1126</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1080</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row>
    <row r="3067" spans="1:12">
      <c r="A3067" s="20" t="s">
        <v>2090</v>
      </c>
    </row>
    <row r="3068" spans="1:12">
      <c r="A3068" s="20" t="s">
        <v>1175</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1184</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141</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2091</v>
      </c>
      <c r="B3071" s="27" t="s">
        <v>1074</v>
      </c>
      <c r="C3071" s="27" t="s">
        <v>1152</v>
      </c>
      <c r="D3071" s="27" t="s">
        <v>1069</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1400</v>
      </c>
      <c r="B3072" s="27" t="s">
        <v>1092</v>
      </c>
      <c r="C3072" s="27" t="s">
        <v>1129</v>
      </c>
      <c r="D3072" s="27" t="s">
        <v>1069</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t="s">
        <v>2092</v>
      </c>
      <c r="B3073" s="27" t="s">
        <v>1071</v>
      </c>
      <c r="C3073" s="27" t="s">
        <v>1131</v>
      </c>
      <c r="D3073" s="27" t="s">
        <v>1069</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1080</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row>
    <row r="3076" spans="1:12">
      <c r="A3076" s="20" t="s">
        <v>2093</v>
      </c>
    </row>
    <row r="3077" spans="1:12">
      <c r="A3077" s="20" t="s">
        <v>1436</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1108</v>
      </c>
      <c r="B3078" s="27" t="s">
        <v>1067</v>
      </c>
      <c r="C3078" s="27" t="s">
        <v>1110</v>
      </c>
      <c r="D3078" s="27" t="s">
        <v>1069</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1199</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t="s">
        <v>1703</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647</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1087</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1166</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1784</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1083</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2094</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t="s">
        <v>2050</v>
      </c>
      <c r="B3087" s="27" t="s">
        <v>1090</v>
      </c>
      <c r="C3087" s="27" t="s">
        <v>1538</v>
      </c>
      <c r="D3087" s="27" t="s">
        <v>1069</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t="s">
        <v>613</v>
      </c>
      <c r="E3088" s="21">
        <f>IF(D3088="?OLD","!!!","")</f>
        <v/>
      </c>
      <c r="F3088" s="22" t="str">
        <f>IF(OR(E3088="",E3088="!!!"),"",IF(NOT(ISNA(VLOOKUP(E3088,E$1:E3087,1,FALSE()))),"OLD",IF(AND(E3088&lt;&gt;"",E3088&lt;&gt;"!!!"),"NEW","")))</f>
        <v> </v>
      </c>
      <c r="G3088" s="23" t="str">
        <f>IF(OR(E3088="",E3088="!!!"),"",IF(OR(J3088=0,AND(J3088=1,K3088=1),AND(J3088=1,I3088="SBJ"),AND(J3088=1,I3088=0)),"?IN_FOCUS",IF(J3088&lt;=2,"?ACTIVATED",IF(J3088&lt;&gt;"","?FAMILIAR",IF(F3088="NEW",IF(ISNA(VLOOKUP(E3088,#REF!,1,FALSE())),"?TYPE_IDENTIFIABLE","?REFERENTIAL"),"_")))))</f>
        <v> </v>
      </c>
      <c r="H3088" s="24" t="str">
        <f>IF(J3088&lt;&gt;1,"",IF(I3088="SBJ","CB","?"))</f>
        <v> </v>
      </c>
      <c r="I3088" s="25" t="str">
        <f>IF(OR(E3088="",E3088="!!!",F3088="NEW"),"",INDEX(B3087:B$2,-1+SUMPRODUCT(MAX(ROW(E3087:E$2)*(E3088=E3087:E$2)))))</f>
        <v> </v>
      </c>
      <c r="J3088" s="25" t="str">
        <f>IF(OR(E3088="",E3088="!!!",F3088="NEW"),"",COUNTBLANK(OFFSET(A$1,,,SUMPRODUCT(MAX(ROW(E$2:E3088)*(E3088=E$2:E3088)))))-COUNTBLANK(OFFSET(A$1,,,SUMPRODUCT(MAX(ROW(E$1:E3087)*(E2=E$1:E3087))))))</f>
        <v> </v>
      </c>
      <c r="K3088" s="25" t="str">
        <f>IF(OR(E3088="",E3088="!!!",F3088="NEW"),"",INDEX(J$1:J3087,SUMPRODUCT(MAX(ROW(E$1:E3087)*(E3088=E$1:E3087)))))</f>
        <v> </v>
      </c>
      <c r="L3088" s="26"/>
    </row>
    <row r="3089" spans="1:12">
      <c r="A3089" s="20" t="s">
        <v>1324</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row>
    <row r="3091" spans="1:12">
      <c r="A3091" s="20" t="s">
        <v>2095</v>
      </c>
    </row>
    <row r="3092" spans="1:12">
      <c r="A3092" s="20" t="s">
        <v>1158</v>
      </c>
      <c r="B3092" s="27" t="s">
        <v>1067</v>
      </c>
      <c r="C3092" s="27" t="s">
        <v>1068</v>
      </c>
      <c r="D3092" s="27" t="s">
        <v>1069</v>
      </c>
      <c r="E3092" s="21">
        <f>IF(D3092="?OLD","!!!","")</f>
        <v/>
      </c>
      <c r="F3092" s="22" t="str">
        <f>IF(OR(E3092="",E3092="!!!"),"",IF(NOT(ISNA(VLOOKUP(E3092,E$1:E3091,1,FALSE()))),"OLD",IF(AND(E3092&lt;&gt;"",E3092&lt;&gt;"!!!"),"NEW","")))</f>
        <v> </v>
      </c>
      <c r="G3092" s="23" t="str">
        <f>IF(OR(E3092="",E3092="!!!"),"",IF(OR(J3092=0,AND(J3092=1,K3092=1),AND(J3092=1,I3092="SBJ"),AND(J3092=1,I3092=0)),"?IN_FOCUS",IF(J3092&lt;=2,"?ACTIVATED",IF(J3092&lt;&gt;"","?FAMILIAR",IF(F3092="NEW",IF(ISNA(VLOOKUP(E3092,#REF!,1,FALSE())),"?TYPE_IDENTIFIABLE","?REFERENTIAL"),"_")))))</f>
        <v> </v>
      </c>
      <c r="H3092" s="24" t="str">
        <f>IF(J3092&lt;&gt;1,"",IF(I3092="SBJ","CB","?"))</f>
        <v> </v>
      </c>
      <c r="I3092" s="25" t="str">
        <f>IF(OR(E3092="",E3092="!!!",F3092="NEW"),"",INDEX(B3091:B$2,-1+SUMPRODUCT(MAX(ROW(E3091:E$2)*(E3092=E3091:E$2)))))</f>
        <v> </v>
      </c>
      <c r="J3092" s="25" t="str">
        <f>IF(OR(E3092="",E3092="!!!",F3092="NEW"),"",COUNTBLANK(OFFSET(A$1,,,SUMPRODUCT(MAX(ROW(E$2:E3092)*(E3092=E$2:E3092)))))-COUNTBLANK(OFFSET(A$1,,,SUMPRODUCT(MAX(ROW(E$1:E3091)*(E2=E$1:E3091))))))</f>
        <v> </v>
      </c>
      <c r="K3092" s="25" t="str">
        <f>IF(OR(E3092="",E3092="!!!",F3092="NEW"),"",INDEX(J$1:J3091,SUMPRODUCT(MAX(ROW(E$1:E3091)*(E3092=E$1:E3091)))))</f>
        <v> </v>
      </c>
      <c r="L3092" s="26"/>
    </row>
    <row r="3093" spans="1:12">
      <c r="A3093" s="20" t="s">
        <v>1784</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t="s">
        <v>2096</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1104</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2097</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2098</v>
      </c>
      <c r="B3097" s="27" t="s">
        <v>1160</v>
      </c>
      <c r="C3097" s="27" t="s">
        <v>1538</v>
      </c>
      <c r="D3097" s="27" t="s">
        <v>1069</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651</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1080</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row>
    <row r="3101" spans="1:12">
      <c r="A3101" s="20" t="s">
        <v>2099</v>
      </c>
    </row>
    <row r="3102" spans="1:12">
      <c r="A3102" s="20" t="s">
        <v>1241</v>
      </c>
      <c r="B3102" s="27" t="s">
        <v>1067</v>
      </c>
      <c r="C3102" s="27" t="s">
        <v>1110</v>
      </c>
      <c r="D3102" s="27" t="s">
        <v>1069</v>
      </c>
      <c r="E3102" s="21">
        <f>IF(D3102="?OLD","!!!","")</f>
        <v/>
      </c>
      <c r="F3102" s="22" t="str">
        <f>IF(OR(E3102="",E3102="!!!"),"",IF(NOT(ISNA(VLOOKUP(E3102,E$1:E3101,1,FALSE()))),"OLD",IF(AND(E3102&lt;&gt;"",E3102&lt;&gt;"!!!"),"NEW","")))</f>
        <v> </v>
      </c>
      <c r="G3102" s="23" t="str">
        <f>IF(OR(E3102="",E3102="!!!"),"",IF(OR(J3102=0,AND(J3102=1,K3102=1),AND(J3102=1,I3102="SBJ"),AND(J3102=1,I3102=0)),"?IN_FOCUS",IF(J3102&lt;=2,"?ACTIVATED",IF(J3102&lt;&gt;"","?FAMILIAR",IF(F3102="NEW",IF(ISNA(VLOOKUP(E3102,#REF!,1,FALSE())),"?TYPE_IDENTIFIABLE","?REFERENTIAL"),"_")))))</f>
        <v> </v>
      </c>
      <c r="H3102" s="24" t="str">
        <f>IF(J3102&lt;&gt;1,"",IF(I3102="SBJ","CB","?"))</f>
        <v> </v>
      </c>
      <c r="I3102" s="25" t="str">
        <f>IF(OR(E3102="",E3102="!!!",F3102="NEW"),"",INDEX(B3101:B$2,-1+SUMPRODUCT(MAX(ROW(E3101:E$2)*(E3102=E3101:E$2)))))</f>
        <v> </v>
      </c>
      <c r="J3102" s="25" t="str">
        <f>IF(OR(E3102="",E3102="!!!",F3102="NEW"),"",COUNTBLANK(OFFSET(A$1,,,SUMPRODUCT(MAX(ROW(E$2:E3102)*(E3102=E$2:E3102)))))-COUNTBLANK(OFFSET(A$1,,,SUMPRODUCT(MAX(ROW(E$1:E3101)*(E2=E$1:E3101))))))</f>
        <v> </v>
      </c>
      <c r="K3102" s="25" t="str">
        <f>IF(OR(E3102="",E3102="!!!",F3102="NEW"),"",INDEX(J$1:J3101,SUMPRODUCT(MAX(ROW(E$1:E3101)*(E3102=E$1:E3101)))))</f>
        <v> </v>
      </c>
      <c r="L3102" s="26"/>
    </row>
    <row r="3103" spans="1:12">
      <c r="A3103" s="20" t="s">
        <v>2047</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t="s">
        <v>1104</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2100</v>
      </c>
      <c r="B3105" s="27" t="s">
        <v>1160</v>
      </c>
      <c r="C3105" s="27" t="s">
        <v>1086</v>
      </c>
      <c r="D3105" s="27" t="s">
        <v>1069</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t="s">
        <v>655</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1087</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t="s">
        <v>1100</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2057</v>
      </c>
      <c r="B3109" s="27" t="s">
        <v>1090</v>
      </c>
      <c r="C3109" s="27" t="s">
        <v>1077</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1142</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t="s">
        <v>1113</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1825</v>
      </c>
      <c r="B3112" s="27" t="s">
        <v>1071</v>
      </c>
      <c r="C3112" s="27" t="s">
        <v>1086</v>
      </c>
      <c r="D3112" s="27" t="s">
        <v>1069</v>
      </c>
      <c r="E3112" s="21">
        <f>IF(D3112="?OLD","!!!","")</f>
        <v/>
      </c>
      <c r="F3112" s="22" t="str">
        <f>IF(OR(E3112="",E3112="!!!"),"",IF(NOT(ISNA(VLOOKUP(E3112,E$1:E3111,1,FALSE()))),"OLD",IF(AND(E3112&lt;&gt;"",E3112&lt;&gt;"!!!"),"NEW","")))</f>
        <v> </v>
      </c>
      <c r="G3112" s="23" t="str">
        <f>IF(OR(E3112="",E3112="!!!"),"",IF(OR(J3112=0,AND(J3112=1,K3112=1),AND(J3112=1,I3112="SBJ"),AND(J3112=1,I3112=0)),"?IN_FOCUS",IF(J3112&lt;=2,"?ACTIVATED",IF(J3112&lt;&gt;"","?FAMILIAR",IF(F3112="NEW",IF(ISNA(VLOOKUP(E3112,#REF!,1,FALSE())),"?TYPE_IDENTIFIABLE","?REFERENTIAL"),"_")))))</f>
        <v> </v>
      </c>
      <c r="H3112" s="24" t="str">
        <f>IF(J3112&lt;&gt;1,"",IF(I3112="SBJ","CB","?"))</f>
        <v> </v>
      </c>
      <c r="I3112" s="25" t="str">
        <f>IF(OR(E3112="",E3112="!!!",F3112="NEW"),"",INDEX(B3111:B$2,-1+SUMPRODUCT(MAX(ROW(E3111:E$2)*(E3112=E3111:E$2)))))</f>
        <v> </v>
      </c>
      <c r="J3112" s="25" t="str">
        <f>IF(OR(E3112="",E3112="!!!",F3112="NEW"),"",COUNTBLANK(OFFSET(A$1,,,SUMPRODUCT(MAX(ROW(E$2:E3112)*(E3112=E$2:E3112)))))-COUNTBLANK(OFFSET(A$1,,,SUMPRODUCT(MAX(ROW(E$1:E3111)*(E2=E$1:E3111))))))</f>
        <v> </v>
      </c>
      <c r="K3112" s="25" t="str">
        <f>IF(OR(E3112="",E3112="!!!",F3112="NEW"),"",INDEX(J$1:J3111,SUMPRODUCT(MAX(ROW(E$1:E3111)*(E3112=E$1:E3111)))))</f>
        <v> </v>
      </c>
      <c r="L3112" s="26"/>
    </row>
    <row r="3113" spans="1:12">
      <c r="A3113" s="20" t="s">
        <v>1070</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1403</v>
      </c>
      <c r="E3114" s="21">
        <f>IF(D3114="?OLD","!!!","")</f>
        <v/>
      </c>
      <c r="F3114" s="22" t="str">
        <f>IF(OR(E3114="",E3114="!!!"),"",IF(NOT(ISNA(VLOOKUP(E3114,E$1:E3113,1,FALSE()))),"OLD",IF(AND(E3114&lt;&gt;"",E3114&lt;&gt;"!!!"),"NEW","")))</f>
        <v> </v>
      </c>
      <c r="G3114" s="23" t="str">
        <f>IF(OR(E3114="",E3114="!!!"),"",IF(OR(J3114=0,AND(J3114=1,K3114=1),AND(J3114=1,I3114="SBJ"),AND(J3114=1,I3114=0)),"?IN_FOCUS",IF(J3114&lt;=2,"?ACTIVATED",IF(J3114&lt;&gt;"","?FAMILIAR",IF(F3114="NEW",IF(ISNA(VLOOKUP(E3114,#REF!,1,FALSE())),"?TYPE_IDENTIFIABLE","?REFERENTIAL"),"_")))))</f>
        <v> </v>
      </c>
      <c r="H3114" s="24" t="str">
        <f>IF(J3114&lt;&gt;1,"",IF(I3114="SBJ","CB","?"))</f>
        <v> </v>
      </c>
      <c r="I3114" s="25" t="str">
        <f>IF(OR(E3114="",E3114="!!!",F3114="NEW"),"",INDEX(B3113:B$2,-1+SUMPRODUCT(MAX(ROW(E3113:E$2)*(E3114=E3113:E$2)))))</f>
        <v> </v>
      </c>
      <c r="J3114" s="25" t="str">
        <f>IF(OR(E3114="",E3114="!!!",F3114="NEW"),"",COUNTBLANK(OFFSET(A$1,,,SUMPRODUCT(MAX(ROW(E$2:E3114)*(E3114=E$2:E3114)))))-COUNTBLANK(OFFSET(A$1,,,SUMPRODUCT(MAX(ROW(E$1:E3113)*(E2=E$1:E3113))))))</f>
        <v> </v>
      </c>
      <c r="K3114" s="25" t="str">
        <f>IF(OR(E3114="",E3114="!!!",F3114="NEW"),"",INDEX(J$1:J3113,SUMPRODUCT(MAX(ROW(E$1:E3113)*(E3114=E$1:E3113)))))</f>
        <v> </v>
      </c>
      <c r="L3114" s="26"/>
    </row>
    <row r="3115" spans="1:12">
      <c r="A3115" s="20" t="s">
        <v>1080</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row>
    <row r="3117" spans="1:12">
      <c r="A3117" s="20" t="s">
        <v>2101</v>
      </c>
    </row>
    <row r="3118" spans="1:12">
      <c r="A3118" s="20" t="s">
        <v>2102</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1373</v>
      </c>
      <c r="B3119" s="27" t="s">
        <v>1074</v>
      </c>
      <c r="C3119" s="27" t="s">
        <v>1110</v>
      </c>
      <c r="D3119" s="27" t="s">
        <v>1069</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1108</v>
      </c>
      <c r="B3120" s="27" t="s">
        <v>1067</v>
      </c>
      <c r="C3120" s="27" t="s">
        <v>1110</v>
      </c>
      <c r="D3120" s="27" t="s">
        <v>1069</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274</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1087</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2103</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1801</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1184</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1104</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1256</v>
      </c>
      <c r="B3127" s="27" t="s">
        <v>1095</v>
      </c>
      <c r="C3127" s="27" t="s">
        <v>1134</v>
      </c>
      <c r="D3127" s="27" t="s">
        <v>1069</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12</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t="s">
        <v>2104</v>
      </c>
      <c r="E3129" s="21">
        <f>IF(D3129="?OLD","!!!","")</f>
        <v/>
      </c>
      <c r="F3129" s="22" t="str">
        <f>IF(OR(E3129="",E3129="!!!"),"",IF(NOT(ISNA(VLOOKUP(E3129,E$1:E3128,1,FALSE()))),"OLD",IF(AND(E3129&lt;&gt;"",E3129&lt;&gt;"!!!"),"NEW","")))</f>
        <v> </v>
      </c>
      <c r="G3129" s="23" t="str">
        <f>IF(OR(E3129="",E3129="!!!"),"",IF(OR(J3129=0,AND(J3129=1,K3129=1),AND(J3129=1,I3129="SBJ"),AND(J3129=1,I3129=0)),"?IN_FOCUS",IF(J3129&lt;=2,"?ACTIVATED",IF(J3129&lt;&gt;"","?FAMILIAR",IF(F3129="NEW",IF(ISNA(VLOOKUP(E3129,#REF!,1,FALSE())),"?TYPE_IDENTIFIABLE","?REFERENTIAL"),"_")))))</f>
        <v> </v>
      </c>
      <c r="H3129" s="24" t="str">
        <f>IF(J3129&lt;&gt;1,"",IF(I3129="SBJ","CB","?"))</f>
        <v> </v>
      </c>
      <c r="I3129" s="25" t="str">
        <f>IF(OR(E3129="",E3129="!!!",F3129="NEW"),"",INDEX(B3128:B$2,-1+SUMPRODUCT(MAX(ROW(E3128:E$2)*(E3129=E3128:E$2)))))</f>
        <v> </v>
      </c>
      <c r="J3129" s="25" t="str">
        <f>IF(OR(E3129="",E3129="!!!",F3129="NEW"),"",COUNTBLANK(OFFSET(A$1,,,SUMPRODUCT(MAX(ROW(E$2:E3129)*(E3129=E$2:E3129)))))-COUNTBLANK(OFFSET(A$1,,,SUMPRODUCT(MAX(ROW(E$1:E3128)*(E2=E$1:E3128))))))</f>
        <v> </v>
      </c>
      <c r="K3129" s="25" t="str">
        <f>IF(OR(E3129="",E3129="!!!",F3129="NEW"),"",INDEX(J$1:J3128,SUMPRODUCT(MAX(ROW(E$1:E3128)*(E3129=E$1:E3128)))))</f>
        <v> </v>
      </c>
      <c r="L3129" s="26"/>
    </row>
    <row r="3130" spans="1:12">
      <c r="A3130" s="20" t="s">
        <v>841</v>
      </c>
      <c r="E3130" s="21">
        <f>IF(D3130="?OLD","!!!","")</f>
        <v/>
      </c>
      <c r="F3130" s="22" t="str">
        <f>IF(OR(E3130="",E3130="!!!"),"",IF(NOT(ISNA(VLOOKUP(E3130,E$1:E3129,1,FALSE()))),"OLD",IF(AND(E3130&lt;&gt;"",E3130&lt;&gt;"!!!"),"NEW","")))</f>
        <v> </v>
      </c>
      <c r="G3130" s="23" t="str">
        <f>IF(OR(E3130="",E3130="!!!"),"",IF(OR(J3130=0,AND(J3130=1,K3130=1),AND(J3130=1,I3130="SBJ"),AND(J3130=1,I3130=0)),"?IN_FOCUS",IF(J3130&lt;=2,"?ACTIVATED",IF(J3130&lt;&gt;"","?FAMILIAR",IF(F3130="NEW",IF(ISNA(VLOOKUP(E3130,#REF!,1,FALSE())),"?TYPE_IDENTIFIABLE","?REFERENTIAL"),"_")))))</f>
        <v> </v>
      </c>
      <c r="H3130" s="24" t="str">
        <f>IF(J3130&lt;&gt;1,"",IF(I3130="SBJ","CB","?"))</f>
        <v> </v>
      </c>
      <c r="I3130" s="25" t="str">
        <f>IF(OR(E3130="",E3130="!!!",F3130="NEW"),"",INDEX(B3129:B$2,-1+SUMPRODUCT(MAX(ROW(E3129:E$2)*(E3130=E3129:E$2)))))</f>
        <v> </v>
      </c>
      <c r="J3130" s="25" t="str">
        <f>IF(OR(E3130="",E3130="!!!",F3130="NEW"),"",COUNTBLANK(OFFSET(A$1,,,SUMPRODUCT(MAX(ROW(E$2:E3130)*(E3130=E$2:E3130)))))-COUNTBLANK(OFFSET(A$1,,,SUMPRODUCT(MAX(ROW(E$1:E3129)*(E2=E$1:E3129))))))</f>
        <v> </v>
      </c>
      <c r="K3130" s="25" t="str">
        <f>IF(OR(E3130="",E3130="!!!",F3130="NEW"),"",INDEX(J$1:J3129,SUMPRODUCT(MAX(ROW(E$1:E3129)*(E3130=E$1:E3129)))))</f>
        <v> </v>
      </c>
      <c r="L3130" s="26"/>
    </row>
    <row r="3131" spans="1:12">
      <c r="A3131" s="20" t="s">
        <v>1078</v>
      </c>
      <c r="E3131" s="21">
        <f>IF(D3131="?OLD","!!!","")</f>
        <v/>
      </c>
      <c r="F3131" s="22" t="str">
        <f>IF(OR(E3131="",E3131="!!!"),"",IF(NOT(ISNA(VLOOKUP(E3131,E$1:E3130,1,FALSE()))),"OLD",IF(AND(E3131&lt;&gt;"",E3131&lt;&gt;"!!!"),"NEW","")))</f>
        <v> </v>
      </c>
      <c r="G3131" s="23" t="str">
        <f>IF(OR(E3131="",E3131="!!!"),"",IF(OR(J3131=0,AND(J3131=1,K3131=1),AND(J3131=1,I3131="SBJ"),AND(J3131=1,I3131=0)),"?IN_FOCUS",IF(J3131&lt;=2,"?ACTIVATED",IF(J3131&lt;&gt;"","?FAMILIAR",IF(F3131="NEW",IF(ISNA(VLOOKUP(E3131,#REF!,1,FALSE())),"?TYPE_IDENTIFIABLE","?REFERENTIAL"),"_")))))</f>
        <v> </v>
      </c>
      <c r="H3131" s="24" t="str">
        <f>IF(J3131&lt;&gt;1,"",IF(I3131="SBJ","CB","?"))</f>
        <v> </v>
      </c>
      <c r="I3131" s="25" t="str">
        <f>IF(OR(E3131="",E3131="!!!",F3131="NEW"),"",INDEX(B3130:B$2,-1+SUMPRODUCT(MAX(ROW(E3130:E$2)*(E3131=E3130:E$2)))))</f>
        <v> </v>
      </c>
      <c r="J3131" s="25" t="str">
        <f>IF(OR(E3131="",E3131="!!!",F3131="NEW"),"",COUNTBLANK(OFFSET(A$1,,,SUMPRODUCT(MAX(ROW(E$2:E3131)*(E3131=E$2:E3131)))))-COUNTBLANK(OFFSET(A$1,,,SUMPRODUCT(MAX(ROW(E$1:E3130)*(E2=E$1:E3130))))))</f>
        <v> </v>
      </c>
      <c r="K3131" s="25" t="str">
        <f>IF(OR(E3131="",E3131="!!!",F3131="NEW"),"",INDEX(J$1:J3130,SUMPRODUCT(MAX(ROW(E$1:E3130)*(E3131=E$1:E3130)))))</f>
        <v> </v>
      </c>
      <c r="L3131" s="26"/>
    </row>
    <row r="3132" spans="1:12">
      <c r="A3132" s="20" t="s">
        <v>1484</v>
      </c>
      <c r="E3132" s="21">
        <f>IF(D3132="?OLD","!!!","")</f>
        <v/>
      </c>
      <c r="F3132" s="22" t="str">
        <f>IF(OR(E3132="",E3132="!!!"),"",IF(NOT(ISNA(VLOOKUP(E3132,E$1:E3131,1,FALSE()))),"OLD",IF(AND(E3132&lt;&gt;"",E3132&lt;&gt;"!!!"),"NEW","")))</f>
        <v> </v>
      </c>
      <c r="G3132" s="23" t="str">
        <f>IF(OR(E3132="",E3132="!!!"),"",IF(OR(J3132=0,AND(J3132=1,K3132=1),AND(J3132=1,I3132="SBJ"),AND(J3132=1,I3132=0)),"?IN_FOCUS",IF(J3132&lt;=2,"?ACTIVATED",IF(J3132&lt;&gt;"","?FAMILIAR",IF(F3132="NEW",IF(ISNA(VLOOKUP(E3132,#REF!,1,FALSE())),"?TYPE_IDENTIFIABLE","?REFERENTIAL"),"_")))))</f>
        <v> </v>
      </c>
      <c r="H3132" s="24" t="str">
        <f>IF(J3132&lt;&gt;1,"",IF(I3132="SBJ","CB","?"))</f>
        <v> </v>
      </c>
      <c r="I3132" s="25" t="str">
        <f>IF(OR(E3132="",E3132="!!!",F3132="NEW"),"",INDEX(B3131:B$2,-1+SUMPRODUCT(MAX(ROW(E3131:E$2)*(E3132=E3131:E$2)))))</f>
        <v> </v>
      </c>
      <c r="J3132" s="25" t="str">
        <f>IF(OR(E3132="",E3132="!!!",F3132="NEW"),"",COUNTBLANK(OFFSET(A$1,,,SUMPRODUCT(MAX(ROW(E$2:E3132)*(E3132=E$2:E3132)))))-COUNTBLANK(OFFSET(A$1,,,SUMPRODUCT(MAX(ROW(E$1:E3131)*(E2=E$1:E3131))))))</f>
        <v> </v>
      </c>
      <c r="K3132" s="25" t="str">
        <f>IF(OR(E3132="",E3132="!!!",F3132="NEW"),"",INDEX(J$1:J3131,SUMPRODUCT(MAX(ROW(E$1:E3131)*(E3132=E$1:E3131)))))</f>
        <v> </v>
      </c>
      <c r="L3132" s="26"/>
    </row>
    <row r="3133" spans="1:12">
      <c r="A3133" s="20" t="s">
        <v>1751</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1104</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1331</v>
      </c>
      <c r="B3135" s="27" t="s">
        <v>1074</v>
      </c>
      <c r="C3135" s="27" t="s">
        <v>1086</v>
      </c>
      <c r="D3135" s="27" t="s">
        <v>1069</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1080</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row>
    <row r="3138" spans="1:12">
      <c r="A3138" s="20" t="s">
        <v>2105</v>
      </c>
    </row>
    <row r="3139" spans="1:12">
      <c r="A3139" s="20" t="s">
        <v>1123</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1261</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t="s">
        <v>1191</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t="s">
        <v>1128</v>
      </c>
      <c r="B3142" s="27" t="s">
        <v>1071</v>
      </c>
      <c r="C3142" s="27" t="s">
        <v>1129</v>
      </c>
      <c r="D3142" s="27" t="s">
        <v>1069</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t="s">
        <v>2081</v>
      </c>
      <c r="B3143" s="27" t="s">
        <v>1067</v>
      </c>
      <c r="C3143" s="27" t="s">
        <v>1131</v>
      </c>
      <c r="D3143" s="27" t="s">
        <v>1069</v>
      </c>
      <c r="E3143" s="21">
        <f>IF(D3143="?OLD","!!!","")</f>
        <v/>
      </c>
      <c r="F3143" s="22" t="str">
        <f>IF(OR(E3143="",E3143="!!!"),"",IF(NOT(ISNA(VLOOKUP(E3143,E$1:E3142,1,FALSE()))),"OLD",IF(AND(E3143&lt;&gt;"",E3143&lt;&gt;"!!!"),"NEW","")))</f>
        <v> </v>
      </c>
      <c r="G3143" s="23" t="str">
        <f>IF(OR(E3143="",E3143="!!!"),"",IF(OR(J3143=0,AND(J3143=1,K3143=1),AND(J3143=1,I3143="SBJ"),AND(J3143=1,I3143=0)),"?IN_FOCUS",IF(J3143&lt;=2,"?ACTIVATED",IF(J3143&lt;&gt;"","?FAMILIAR",IF(F3143="NEW",IF(ISNA(VLOOKUP(E3143,#REF!,1,FALSE())),"?TYPE_IDENTIFIABLE","?REFERENTIAL"),"_")))))</f>
        <v> </v>
      </c>
      <c r="H3143" s="24" t="str">
        <f>IF(J3143&lt;&gt;1,"",IF(I3143="SBJ","CB","?"))</f>
        <v> </v>
      </c>
      <c r="I3143" s="25" t="str">
        <f>IF(OR(E3143="",E3143="!!!",F3143="NEW"),"",INDEX(B3142:B$2,-1+SUMPRODUCT(MAX(ROW(E3142:E$2)*(E3143=E3142:E$2)))))</f>
        <v> </v>
      </c>
      <c r="J3143" s="25" t="str">
        <f>IF(OR(E3143="",E3143="!!!",F3143="NEW"),"",COUNTBLANK(OFFSET(A$1,,,SUMPRODUCT(MAX(ROW(E$2:E3143)*(E3143=E$2:E3143)))))-COUNTBLANK(OFFSET(A$1,,,SUMPRODUCT(MAX(ROW(E$1:E3142)*(E2=E$1:E3142))))))</f>
        <v> </v>
      </c>
      <c r="K3143" s="25" t="str">
        <f>IF(OR(E3143="",E3143="!!!",F3143="NEW"),"",INDEX(J$1:J3142,SUMPRODUCT(MAX(ROW(E$1:E3142)*(E3143=E$1:E3142)))))</f>
        <v> </v>
      </c>
      <c r="L3143" s="26"/>
    </row>
    <row r="3144" spans="1:12">
      <c r="A3144" s="20" t="s">
        <v>1127</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1104</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t="s">
        <v>1105</v>
      </c>
      <c r="B3146" s="27" t="s">
        <v>1074</v>
      </c>
      <c r="C3146" s="27" t="s">
        <v>1086</v>
      </c>
      <c r="D3146" s="27" t="s">
        <v>1069</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1104</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t="s">
        <v>1108</v>
      </c>
      <c r="B3148" s="27" t="s">
        <v>1067</v>
      </c>
      <c r="C3148" s="27" t="s">
        <v>1110</v>
      </c>
      <c r="D3148" s="27" t="s">
        <v>1069</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t="s">
        <v>2106</v>
      </c>
      <c r="E3149" s="21">
        <f>IF(D3149="?OLD","!!!","")</f>
        <v/>
      </c>
      <c r="F3149" s="22" t="str">
        <f>IF(OR(E3149="",E3149="!!!"),"",IF(NOT(ISNA(VLOOKUP(E3149,E$1:E3148,1,FALSE()))),"OLD",IF(AND(E3149&lt;&gt;"",E3149&lt;&gt;"!!!"),"NEW","")))</f>
        <v> </v>
      </c>
      <c r="G3149" s="23" t="str">
        <f>IF(OR(E3149="",E3149="!!!"),"",IF(OR(J3149=0,AND(J3149=1,K3149=1),AND(J3149=1,I3149="SBJ"),AND(J3149=1,I3149=0)),"?IN_FOCUS",IF(J3149&lt;=2,"?ACTIVATED",IF(J3149&lt;&gt;"","?FAMILIAR",IF(F3149="NEW",IF(ISNA(VLOOKUP(E3149,#REF!,1,FALSE())),"?TYPE_IDENTIFIABLE","?REFERENTIAL"),"_")))))</f>
        <v> </v>
      </c>
      <c r="H3149" s="24" t="str">
        <f>IF(J3149&lt;&gt;1,"",IF(I3149="SBJ","CB","?"))</f>
        <v> </v>
      </c>
      <c r="I3149" s="25" t="str">
        <f>IF(OR(E3149="",E3149="!!!",F3149="NEW"),"",INDEX(B3148:B$2,-1+SUMPRODUCT(MAX(ROW(E3148:E$2)*(E3149=E3148:E$2)))))</f>
        <v> </v>
      </c>
      <c r="J3149" s="25" t="str">
        <f>IF(OR(E3149="",E3149="!!!",F3149="NEW"),"",COUNTBLANK(OFFSET(A$1,,,SUMPRODUCT(MAX(ROW(E$2:E3149)*(E3149=E$2:E3149)))))-COUNTBLANK(OFFSET(A$1,,,SUMPRODUCT(MAX(ROW(E$1:E3148)*(E2=E$1:E3148))))))</f>
        <v> </v>
      </c>
      <c r="K3149" s="25" t="str">
        <f>IF(OR(E3149="",E3149="!!!",F3149="NEW"),"",INDEX(J$1:J3148,SUMPRODUCT(MAX(ROW(E$1:E3148)*(E3149=E$1:E3148)))))</f>
        <v> </v>
      </c>
      <c r="L3149" s="26"/>
    </row>
    <row r="3150" spans="1:12">
      <c r="A3150" s="20" t="s">
        <v>1087</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t="s">
        <v>1104</v>
      </c>
      <c r="B3151" s="27" t="s">
        <v>1095</v>
      </c>
      <c r="E3151" s="21">
        <f>IF(D3151="?OLD","!!!","")</f>
        <v/>
      </c>
      <c r="F3151" s="22" t="str">
        <f>IF(OR(E3151="",E3151="!!!"),"",IF(NOT(ISNA(VLOOKUP(E3151,E$1:E3150,1,FALSE()))),"OLD",IF(AND(E3151&lt;&gt;"",E3151&lt;&gt;"!!!"),"NEW","")))</f>
        <v> </v>
      </c>
      <c r="G3151" s="23" t="str">
        <f>IF(OR(E3151="",E3151="!!!"),"",IF(OR(J3151=0,AND(J3151=1,K3151=1),AND(J3151=1,I3151="SBJ"),AND(J3151=1,I3151=0)),"?IN_FOCUS",IF(J3151&lt;=2,"?ACTIVATED",IF(J3151&lt;&gt;"","?FAMILIAR",IF(F3151="NEW",IF(ISNA(VLOOKUP(E3151,#REF!,1,FALSE())),"?TYPE_IDENTIFIABLE","?REFERENTIAL"),"_")))))</f>
        <v> </v>
      </c>
      <c r="H3151" s="24" t="str">
        <f>IF(J3151&lt;&gt;1,"",IF(I3151="SBJ","CB","?"))</f>
        <v> </v>
      </c>
      <c r="I3151" s="25" t="str">
        <f>IF(OR(E3151="",E3151="!!!",F3151="NEW"),"",INDEX(B3150:B$2,-1+SUMPRODUCT(MAX(ROW(E3150:E$2)*(E3151=E3150:E$2)))))</f>
        <v> </v>
      </c>
      <c r="J3151" s="25" t="str">
        <f>IF(OR(E3151="",E3151="!!!",F3151="NEW"),"",COUNTBLANK(OFFSET(A$1,,,SUMPRODUCT(MAX(ROW(E$2:E3151)*(E3151=E$2:E3151)))))-COUNTBLANK(OFFSET(A$1,,,SUMPRODUCT(MAX(ROW(E$1:E3150)*(E2=E$1:E3150))))))</f>
        <v> </v>
      </c>
      <c r="K3151" s="25" t="str">
        <f>IF(OR(E3151="",E3151="!!!",F3151="NEW"),"",INDEX(J$1:J3150,SUMPRODUCT(MAX(ROW(E$1:E3150)*(E3151=E$1:E3150)))))</f>
        <v> </v>
      </c>
      <c r="L3151" s="26"/>
    </row>
    <row r="3152" spans="1:12">
      <c r="A3152" s="20" t="s">
        <v>1155</v>
      </c>
      <c r="E3152" s="21">
        <f>IF(D3152="?OLD","!!!","")</f>
        <v/>
      </c>
      <c r="F3152" s="22" t="str">
        <f>IF(OR(E3152="",E3152="!!!"),"",IF(NOT(ISNA(VLOOKUP(E3152,E$1:E3151,1,FALSE()))),"OLD",IF(AND(E3152&lt;&gt;"",E3152&lt;&gt;"!!!"),"NEW","")))</f>
        <v> </v>
      </c>
      <c r="G3152" s="23" t="str">
        <f>IF(OR(E3152="",E3152="!!!"),"",IF(OR(J3152=0,AND(J3152=1,K3152=1),AND(J3152=1,I3152="SBJ"),AND(J3152=1,I3152=0)),"?IN_FOCUS",IF(J3152&lt;=2,"?ACTIVATED",IF(J3152&lt;&gt;"","?FAMILIAR",IF(F3152="NEW",IF(ISNA(VLOOKUP(E3152,#REF!,1,FALSE())),"?TYPE_IDENTIFIABLE","?REFERENTIAL"),"_")))))</f>
        <v> </v>
      </c>
      <c r="H3152" s="24" t="str">
        <f>IF(J3152&lt;&gt;1,"",IF(I3152="SBJ","CB","?"))</f>
        <v> </v>
      </c>
      <c r="I3152" s="25" t="str">
        <f>IF(OR(E3152="",E3152="!!!",F3152="NEW"),"",INDEX(B3151:B$2,-1+SUMPRODUCT(MAX(ROW(E3151:E$2)*(E3152=E3151:E$2)))))</f>
        <v> </v>
      </c>
      <c r="J3152" s="25" t="str">
        <f>IF(OR(E3152="",E3152="!!!",F3152="NEW"),"",COUNTBLANK(OFFSET(A$1,,,SUMPRODUCT(MAX(ROW(E$2:E3152)*(E3152=E$2:E3152)))))-COUNTBLANK(OFFSET(A$1,,,SUMPRODUCT(MAX(ROW(E$1:E3151)*(E2=E$1:E3151))))))</f>
        <v> </v>
      </c>
      <c r="K3152" s="25" t="str">
        <f>IF(OR(E3152="",E3152="!!!",F3152="NEW"),"",INDEX(J$1:J3151,SUMPRODUCT(MAX(ROW(E$1:E3151)*(E3152=E$1:E3151)))))</f>
        <v> </v>
      </c>
      <c r="L3152" s="26"/>
    </row>
    <row r="3153" spans="1:12">
      <c r="A3153" s="20" t="s">
        <v>2079</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1070</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1113</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1668</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2107</v>
      </c>
      <c r="B3157" s="27" t="s">
        <v>1071</v>
      </c>
      <c r="C3157" s="27" t="s">
        <v>1086</v>
      </c>
      <c r="D3157" s="27" t="s">
        <v>1069</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37</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1087</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t="s">
        <v>1198</v>
      </c>
      <c r="E3160" s="21">
        <f>IF(D3160="?OLD","!!!","")</f>
        <v/>
      </c>
      <c r="F3160" s="22" t="str">
        <f>IF(OR(E3160="",E3160="!!!"),"",IF(NOT(ISNA(VLOOKUP(E3160,E$1:E3159,1,FALSE()))),"OLD",IF(AND(E3160&lt;&gt;"",E3160&lt;&gt;"!!!"),"NEW","")))</f>
        <v> </v>
      </c>
      <c r="G3160" s="23" t="str">
        <f>IF(OR(E3160="",E3160="!!!"),"",IF(OR(J3160=0,AND(J3160=1,K3160=1),AND(J3160=1,I3160="SBJ"),AND(J3160=1,I3160=0)),"?IN_FOCUS",IF(J3160&lt;=2,"?ACTIVATED",IF(J3160&lt;&gt;"","?FAMILIAR",IF(F3160="NEW",IF(ISNA(VLOOKUP(E3160,#REF!,1,FALSE())),"?TYPE_IDENTIFIABLE","?REFERENTIAL"),"_")))))</f>
        <v> </v>
      </c>
      <c r="H3160" s="24" t="str">
        <f>IF(J3160&lt;&gt;1,"",IF(I3160="SBJ","CB","?"))</f>
        <v> </v>
      </c>
      <c r="I3160" s="25" t="str">
        <f>IF(OR(E3160="",E3160="!!!",F3160="NEW"),"",INDEX(B3159:B$2,-1+SUMPRODUCT(MAX(ROW(E3159:E$2)*(E3160=E3159:E$2)))))</f>
        <v> </v>
      </c>
      <c r="J3160" s="25" t="str">
        <f>IF(OR(E3160="",E3160="!!!",F3160="NEW"),"",COUNTBLANK(OFFSET(A$1,,,SUMPRODUCT(MAX(ROW(E$2:E3160)*(E3160=E$2:E3160)))))-COUNTBLANK(OFFSET(A$1,,,SUMPRODUCT(MAX(ROW(E$1:E3159)*(E2=E$1:E3159))))))</f>
        <v> </v>
      </c>
      <c r="K3160" s="25" t="str">
        <f>IF(OR(E3160="",E3160="!!!",F3160="NEW"),"",INDEX(J$1:J3159,SUMPRODUCT(MAX(ROW(E$1:E3159)*(E3160=E$1:E3159)))))</f>
        <v> </v>
      </c>
      <c r="L3160" s="26"/>
    </row>
    <row r="3161" spans="1:12">
      <c r="A3161" s="20" t="s">
        <v>2108</v>
      </c>
      <c r="E3161" s="21">
        <f>IF(D3161="?OLD","!!!","")</f>
        <v/>
      </c>
      <c r="F3161" s="22" t="str">
        <f>IF(OR(E3161="",E3161="!!!"),"",IF(NOT(ISNA(VLOOKUP(E3161,E$1:E3160,1,FALSE()))),"OLD",IF(AND(E3161&lt;&gt;"",E3161&lt;&gt;"!!!"),"NEW","")))</f>
        <v> </v>
      </c>
      <c r="G3161" s="23" t="str">
        <f>IF(OR(E3161="",E3161="!!!"),"",IF(OR(J3161=0,AND(J3161=1,K3161=1),AND(J3161=1,I3161="SBJ"),AND(J3161=1,I3161=0)),"?IN_FOCUS",IF(J3161&lt;=2,"?ACTIVATED",IF(J3161&lt;&gt;"","?FAMILIAR",IF(F3161="NEW",IF(ISNA(VLOOKUP(E3161,#REF!,1,FALSE())),"?TYPE_IDENTIFIABLE","?REFERENTIAL"),"_")))))</f>
        <v> </v>
      </c>
      <c r="H3161" s="24" t="str">
        <f>IF(J3161&lt;&gt;1,"",IF(I3161="SBJ","CB","?"))</f>
        <v> </v>
      </c>
      <c r="I3161" s="25" t="str">
        <f>IF(OR(E3161="",E3161="!!!",F3161="NEW"),"",INDEX(B3160:B$2,-1+SUMPRODUCT(MAX(ROW(E3160:E$2)*(E3161=E3160:E$2)))))</f>
        <v> </v>
      </c>
      <c r="J3161" s="25" t="str">
        <f>IF(OR(E3161="",E3161="!!!",F3161="NEW"),"",COUNTBLANK(OFFSET(A$1,,,SUMPRODUCT(MAX(ROW(E$2:E3161)*(E3161=E$2:E3161)))))-COUNTBLANK(OFFSET(A$1,,,SUMPRODUCT(MAX(ROW(E$1:E3160)*(E2=E$1:E3160))))))</f>
        <v> </v>
      </c>
      <c r="K3161" s="25" t="str">
        <f>IF(OR(E3161="",E3161="!!!",F3161="NEW"),"",INDEX(J$1:J3160,SUMPRODUCT(MAX(ROW(E$1:E3160)*(E3161=E$1:E3160)))))</f>
        <v> </v>
      </c>
      <c r="L3161" s="26"/>
    </row>
    <row r="3162" spans="1:12">
      <c r="A3162" s="20" t="s">
        <v>1087</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1161</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t="s">
        <v>1136</v>
      </c>
      <c r="E3164" s="21">
        <f>IF(D3164="?OLD","!!!","")</f>
        <v/>
      </c>
      <c r="F3164" s="22" t="str">
        <f>IF(OR(E3164="",E3164="!!!"),"",IF(NOT(ISNA(VLOOKUP(E3164,E$1:E3163,1,FALSE()))),"OLD",IF(AND(E3164&lt;&gt;"",E3164&lt;&gt;"!!!"),"NEW","")))</f>
        <v> </v>
      </c>
      <c r="G3164" s="23" t="str">
        <f>IF(OR(E3164="",E3164="!!!"),"",IF(OR(J3164=0,AND(J3164=1,K3164=1),AND(J3164=1,I3164="SBJ"),AND(J3164=1,I3164=0)),"?IN_FOCUS",IF(J3164&lt;=2,"?ACTIVATED",IF(J3164&lt;&gt;"","?FAMILIAR",IF(F3164="NEW",IF(ISNA(VLOOKUP(E3164,#REF!,1,FALSE())),"?TYPE_IDENTIFIABLE","?REFERENTIAL"),"_")))))</f>
        <v> </v>
      </c>
      <c r="H3164" s="24" t="str">
        <f>IF(J3164&lt;&gt;1,"",IF(I3164="SBJ","CB","?"))</f>
        <v> </v>
      </c>
      <c r="I3164" s="25" t="str">
        <f>IF(OR(E3164="",E3164="!!!",F3164="NEW"),"",INDEX(B3163:B$2,-1+SUMPRODUCT(MAX(ROW(E3163:E$2)*(E3164=E3163:E$2)))))</f>
        <v> </v>
      </c>
      <c r="J3164" s="25" t="str">
        <f>IF(OR(E3164="",E3164="!!!",F3164="NEW"),"",COUNTBLANK(OFFSET(A$1,,,SUMPRODUCT(MAX(ROW(E$2:E3164)*(E3164=E$2:E3164)))))-COUNTBLANK(OFFSET(A$1,,,SUMPRODUCT(MAX(ROW(E$1:E3163)*(E2=E$1:E3163))))))</f>
        <v> </v>
      </c>
      <c r="K3164" s="25" t="str">
        <f>IF(OR(E3164="",E3164="!!!",F3164="NEW"),"",INDEX(J$1:J3163,SUMPRODUCT(MAX(ROW(E$1:E3163)*(E3164=E$1:E3163)))))</f>
        <v> </v>
      </c>
      <c r="L3164" s="26"/>
    </row>
    <row r="3165" spans="1:12">
      <c r="A3165" s="20" t="s">
        <v>17</v>
      </c>
      <c r="E3165" s="21">
        <f>IF(D3165="?OLD","!!!","")</f>
        <v/>
      </c>
      <c r="F3165" s="22" t="str">
        <f>IF(OR(E3165="",E3165="!!!"),"",IF(NOT(ISNA(VLOOKUP(E3165,E$1:E3164,1,FALSE()))),"OLD",IF(AND(E3165&lt;&gt;"",E3165&lt;&gt;"!!!"),"NEW","")))</f>
        <v> </v>
      </c>
      <c r="G3165" s="23" t="str">
        <f>IF(OR(E3165="",E3165="!!!"),"",IF(OR(J3165=0,AND(J3165=1,K3165=1),AND(J3165=1,I3165="SBJ"),AND(J3165=1,I3165=0)),"?IN_FOCUS",IF(J3165&lt;=2,"?ACTIVATED",IF(J3165&lt;&gt;"","?FAMILIAR",IF(F3165="NEW",IF(ISNA(VLOOKUP(E3165,#REF!,1,FALSE())),"?TYPE_IDENTIFIABLE","?REFERENTIAL"),"_")))))</f>
        <v> </v>
      </c>
      <c r="H3165" s="24" t="str">
        <f>IF(J3165&lt;&gt;1,"",IF(I3165="SBJ","CB","?"))</f>
        <v> </v>
      </c>
      <c r="I3165" s="25" t="str">
        <f>IF(OR(E3165="",E3165="!!!",F3165="NEW"),"",INDEX(B3164:B$2,-1+SUMPRODUCT(MAX(ROW(E3164:E$2)*(E3165=E3164:E$2)))))</f>
        <v> </v>
      </c>
      <c r="J3165" s="25" t="str">
        <f>IF(OR(E3165="",E3165="!!!",F3165="NEW"),"",COUNTBLANK(OFFSET(A$1,,,SUMPRODUCT(MAX(ROW(E$2:E3165)*(E3165=E$2:E3165)))))-COUNTBLANK(OFFSET(A$1,,,SUMPRODUCT(MAX(ROW(E$1:E3164)*(E2=E$1:E3164))))))</f>
        <v> </v>
      </c>
      <c r="K3165" s="25" t="str">
        <f>IF(OR(E3165="",E3165="!!!",F3165="NEW"),"",INDEX(J$1:J3164,SUMPRODUCT(MAX(ROW(E$1:E3164)*(E3165=E$1:E3164)))))</f>
        <v> </v>
      </c>
      <c r="L3165" s="26"/>
    </row>
    <row r="3166" spans="1:12">
      <c r="A3166" s="20" t="s">
        <v>1373</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1126</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1166</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1104</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1502</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t="s">
        <v>1087</v>
      </c>
      <c r="E3171" s="21">
        <f>IF(D3171="?OLD","!!!","")</f>
        <v/>
      </c>
      <c r="F3171" s="22" t="str">
        <f>IF(OR(E3171="",E3171="!!!"),"",IF(NOT(ISNA(VLOOKUP(E3171,E$1:E3170,1,FALSE()))),"OLD",IF(AND(E3171&lt;&gt;"",E3171&lt;&gt;"!!!"),"NEW","")))</f>
        <v> </v>
      </c>
      <c r="G3171" s="23" t="str">
        <f>IF(OR(E3171="",E3171="!!!"),"",IF(OR(J3171=0,AND(J3171=1,K3171=1),AND(J3171=1,I3171="SBJ"),AND(J3171=1,I3171=0)),"?IN_FOCUS",IF(J3171&lt;=2,"?ACTIVATED",IF(J3171&lt;&gt;"","?FAMILIAR",IF(F3171="NEW",IF(ISNA(VLOOKUP(E3171,#REF!,1,FALSE())),"?TYPE_IDENTIFIABLE","?REFERENTIAL"),"_")))))</f>
        <v> </v>
      </c>
      <c r="H3171" s="24" t="str">
        <f>IF(J3171&lt;&gt;1,"",IF(I3171="SBJ","CB","?"))</f>
        <v> </v>
      </c>
      <c r="I3171" s="25" t="str">
        <f>IF(OR(E3171="",E3171="!!!",F3171="NEW"),"",INDEX(B3170:B$2,-1+SUMPRODUCT(MAX(ROW(E3170:E$2)*(E3171=E3170:E$2)))))</f>
        <v> </v>
      </c>
      <c r="J3171" s="25" t="str">
        <f>IF(OR(E3171="",E3171="!!!",F3171="NEW"),"",COUNTBLANK(OFFSET(A$1,,,SUMPRODUCT(MAX(ROW(E$2:E3171)*(E3171=E$2:E3171)))))-COUNTBLANK(OFFSET(A$1,,,SUMPRODUCT(MAX(ROW(E$1:E3170)*(E2=E$1:E3170))))))</f>
        <v> </v>
      </c>
      <c r="K3171" s="25" t="str">
        <f>IF(OR(E3171="",E3171="!!!",F3171="NEW"),"",INDEX(J$1:J3170,SUMPRODUCT(MAX(ROW(E$1:E3170)*(E3171=E$1:E3170)))))</f>
        <v> </v>
      </c>
      <c r="L3171" s="26"/>
    </row>
    <row r="3172" spans="1:12">
      <c r="A3172" s="20" t="s">
        <v>1857</v>
      </c>
      <c r="B3172" s="27" t="s">
        <v>1235</v>
      </c>
      <c r="C3172" s="27" t="s">
        <v>1110</v>
      </c>
      <c r="D3172" s="27" t="s">
        <v>1069</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t="s">
        <v>1104</v>
      </c>
      <c r="E3173" s="21">
        <f>IF(D3173="?OLD","!!!","")</f>
        <v/>
      </c>
      <c r="F3173" s="22" t="str">
        <f>IF(OR(E3173="",E3173="!!!"),"",IF(NOT(ISNA(VLOOKUP(E3173,E$1:E3172,1,FALSE()))),"OLD",IF(AND(E3173&lt;&gt;"",E3173&lt;&gt;"!!!"),"NEW","")))</f>
        <v> </v>
      </c>
      <c r="G3173" s="23" t="str">
        <f>IF(OR(E3173="",E3173="!!!"),"",IF(OR(J3173=0,AND(J3173=1,K3173=1),AND(J3173=1,I3173="SBJ"),AND(J3173=1,I3173=0)),"?IN_FOCUS",IF(J3173&lt;=2,"?ACTIVATED",IF(J3173&lt;&gt;"","?FAMILIAR",IF(F3173="NEW",IF(ISNA(VLOOKUP(E3173,#REF!,1,FALSE())),"?TYPE_IDENTIFIABLE","?REFERENTIAL"),"_")))))</f>
        <v> </v>
      </c>
      <c r="H3173" s="24" t="str">
        <f>IF(J3173&lt;&gt;1,"",IF(I3173="SBJ","CB","?"))</f>
        <v> </v>
      </c>
      <c r="I3173" s="25" t="str">
        <f>IF(OR(E3173="",E3173="!!!",F3173="NEW"),"",INDEX(B3172:B$2,-1+SUMPRODUCT(MAX(ROW(E3172:E$2)*(E3173=E3172:E$2)))))</f>
        <v> </v>
      </c>
      <c r="J3173" s="25" t="str">
        <f>IF(OR(E3173="",E3173="!!!",F3173="NEW"),"",COUNTBLANK(OFFSET(A$1,,,SUMPRODUCT(MAX(ROW(E$2:E3173)*(E3173=E$2:E3173)))))-COUNTBLANK(OFFSET(A$1,,,SUMPRODUCT(MAX(ROW(E$1:E3172)*(E2=E$1:E3172))))))</f>
        <v> </v>
      </c>
      <c r="K3173" s="25" t="str">
        <f>IF(OR(E3173="",E3173="!!!",F3173="NEW"),"",INDEX(J$1:J3172,SUMPRODUCT(MAX(ROW(E$1:E3172)*(E3173=E$1:E3172)))))</f>
        <v> </v>
      </c>
      <c r="L3173" s="26"/>
    </row>
    <row r="3174" spans="1:12">
      <c r="A3174" s="20" t="s">
        <v>2109</v>
      </c>
      <c r="B3174" s="27" t="s">
        <v>1250</v>
      </c>
      <c r="C3174" s="27" t="s">
        <v>1086</v>
      </c>
      <c r="D3174" s="27" t="s">
        <v>1069</v>
      </c>
      <c r="E3174" s="21">
        <f>IF(D3174="?OLD","!!!","")</f>
        <v/>
      </c>
      <c r="F3174" s="22" t="str">
        <f>IF(OR(E3174="",E3174="!!!"),"",IF(NOT(ISNA(VLOOKUP(E3174,E$1:E3173,1,FALSE()))),"OLD",IF(AND(E3174&lt;&gt;"",E3174&lt;&gt;"!!!"),"NEW","")))</f>
        <v> </v>
      </c>
      <c r="G3174" s="23" t="str">
        <f>IF(OR(E3174="",E3174="!!!"),"",IF(OR(J3174=0,AND(J3174=1,K3174=1),AND(J3174=1,I3174="SBJ"),AND(J3174=1,I3174=0)),"?IN_FOCUS",IF(J3174&lt;=2,"?ACTIVATED",IF(J3174&lt;&gt;"","?FAMILIAR",IF(F3174="NEW",IF(ISNA(VLOOKUP(E3174,#REF!,1,FALSE())),"?TYPE_IDENTIFIABLE","?REFERENTIAL"),"_")))))</f>
        <v> </v>
      </c>
      <c r="H3174" s="24" t="str">
        <f>IF(J3174&lt;&gt;1,"",IF(I3174="SBJ","CB","?"))</f>
        <v> </v>
      </c>
      <c r="I3174" s="25" t="str">
        <f>IF(OR(E3174="",E3174="!!!",F3174="NEW"),"",INDEX(B3173:B$2,-1+SUMPRODUCT(MAX(ROW(E3173:E$2)*(E3174=E3173:E$2)))))</f>
        <v> </v>
      </c>
      <c r="J3174" s="25" t="str">
        <f>IF(OR(E3174="",E3174="!!!",F3174="NEW"),"",COUNTBLANK(OFFSET(A$1,,,SUMPRODUCT(MAX(ROW(E$2:E3174)*(E3174=E$2:E3174)))))-COUNTBLANK(OFFSET(A$1,,,SUMPRODUCT(MAX(ROW(E$1:E3173)*(E2=E$1:E3173))))))</f>
        <v> </v>
      </c>
      <c r="K3174" s="25" t="str">
        <f>IF(OR(E3174="",E3174="!!!",F3174="NEW"),"",INDEX(J$1:J3173,SUMPRODUCT(MAX(ROW(E$1:E3173)*(E3174=E$1:E3173)))))</f>
        <v> </v>
      </c>
      <c r="L3174" s="26"/>
    </row>
    <row r="3175" spans="1:12">
      <c r="A3175" s="20" t="s">
        <v>1097</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t="s">
        <v>2110</v>
      </c>
      <c r="B3176" s="27" t="s">
        <v>1116</v>
      </c>
      <c r="C3176" s="27" t="s">
        <v>1086</v>
      </c>
      <c r="D3176" s="27" t="s">
        <v>1069</v>
      </c>
      <c r="E3176" s="21">
        <f>IF(D3176="?OLD","!!!","")</f>
        <v/>
      </c>
      <c r="F3176" s="22" t="str">
        <f>IF(OR(E3176="",E3176="!!!"),"",IF(NOT(ISNA(VLOOKUP(E3176,E$1:E3175,1,FALSE()))),"OLD",IF(AND(E3176&lt;&gt;"",E3176&lt;&gt;"!!!"),"NEW","")))</f>
        <v> </v>
      </c>
      <c r="G3176" s="23" t="str">
        <f>IF(OR(E3176="",E3176="!!!"),"",IF(OR(J3176=0,AND(J3176=1,K3176=1),AND(J3176=1,I3176="SBJ"),AND(J3176=1,I3176=0)),"?IN_FOCUS",IF(J3176&lt;=2,"?ACTIVATED",IF(J3176&lt;&gt;"","?FAMILIAR",IF(F3176="NEW",IF(ISNA(VLOOKUP(E3176,#REF!,1,FALSE())),"?TYPE_IDENTIFIABLE","?REFERENTIAL"),"_")))))</f>
        <v> </v>
      </c>
      <c r="H3176" s="24" t="str">
        <f>IF(J3176&lt;&gt;1,"",IF(I3176="SBJ","CB","?"))</f>
        <v> </v>
      </c>
      <c r="I3176" s="25" t="str">
        <f>IF(OR(E3176="",E3176="!!!",F3176="NEW"),"",INDEX(B3175:B$2,-1+SUMPRODUCT(MAX(ROW(E3175:E$2)*(E3176=E3175:E$2)))))</f>
        <v> </v>
      </c>
      <c r="J3176" s="25" t="str">
        <f>IF(OR(E3176="",E3176="!!!",F3176="NEW"),"",COUNTBLANK(OFFSET(A$1,,,SUMPRODUCT(MAX(ROW(E$2:E3176)*(E3176=E$2:E3176)))))-COUNTBLANK(OFFSET(A$1,,,SUMPRODUCT(MAX(ROW(E$1:E3175)*(E2=E$1:E3175))))))</f>
        <v> </v>
      </c>
      <c r="K3176" s="25" t="str">
        <f>IF(OR(E3176="",E3176="!!!",F3176="NEW"),"",INDEX(J$1:J3175,SUMPRODUCT(MAX(ROW(E$1:E3175)*(E3176=E$1:E3175)))))</f>
        <v> </v>
      </c>
      <c r="L3176" s="26"/>
    </row>
    <row r="3177" spans="1:12">
      <c r="A3177" s="20" t="s">
        <v>1127</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t="s">
        <v>1128</v>
      </c>
      <c r="B3178" s="27" t="s">
        <v>1116</v>
      </c>
      <c r="C3178" s="27" t="s">
        <v>1129</v>
      </c>
      <c r="D3178" s="27" t="s">
        <v>1069</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2111</v>
      </c>
      <c r="B3179" s="27" t="s">
        <v>1141</v>
      </c>
      <c r="C3179" s="27" t="s">
        <v>1131</v>
      </c>
      <c r="D3179" s="27" t="s">
        <v>1069</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2112</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t="s">
        <v>1080</v>
      </c>
      <c r="E3181" s="21">
        <f>IF(D3181="?OLD","!!!","")</f>
        <v/>
      </c>
      <c r="F3181" s="22" t="str">
        <f>IF(OR(E3181="",E3181="!!!"),"",IF(NOT(ISNA(VLOOKUP(E3181,E$1:E3180,1,FALSE()))),"OLD",IF(AND(E3181&lt;&gt;"",E3181&lt;&gt;"!!!"),"NEW","")))</f>
        <v> </v>
      </c>
      <c r="G3181" s="23" t="str">
        <f>IF(OR(E3181="",E3181="!!!"),"",IF(OR(J3181=0,AND(J3181=1,K3181=1),AND(J3181=1,I3181="SBJ"),AND(J3181=1,I3181=0)),"?IN_FOCUS",IF(J3181&lt;=2,"?ACTIVATED",IF(J3181&lt;&gt;"","?FAMILIAR",IF(F3181="NEW",IF(ISNA(VLOOKUP(E3181,#REF!,1,FALSE())),"?TYPE_IDENTIFIABLE","?REFERENTIAL"),"_")))))</f>
        <v> </v>
      </c>
      <c r="H3181" s="24" t="str">
        <f>IF(J3181&lt;&gt;1,"",IF(I3181="SBJ","CB","?"))</f>
        <v> </v>
      </c>
      <c r="I3181" s="25" t="str">
        <f>IF(OR(E3181="",E3181="!!!",F3181="NEW"),"",INDEX(B3180:B$2,-1+SUMPRODUCT(MAX(ROW(E3180:E$2)*(E3181=E3180:E$2)))))</f>
        <v> </v>
      </c>
      <c r="J3181" s="25" t="str">
        <f>IF(OR(E3181="",E3181="!!!",F3181="NEW"),"",COUNTBLANK(OFFSET(A$1,,,SUMPRODUCT(MAX(ROW(E$2:E3181)*(E3181=E$2:E3181)))))-COUNTBLANK(OFFSET(A$1,,,SUMPRODUCT(MAX(ROW(E$1:E3180)*(E2=E$1:E3180))))))</f>
        <v> </v>
      </c>
      <c r="K3181" s="25" t="str">
        <f>IF(OR(E3181="",E3181="!!!",F3181="NEW"),"",INDEX(J$1:J3180,SUMPRODUCT(MAX(ROW(E$1:E3180)*(E3181=E$1:E3180)))))</f>
        <v> </v>
      </c>
      <c r="L3181" s="26"/>
    </row>
    <row r="3182" spans="1:12">
      <c r="A3182" s="20"/>
    </row>
    <row r="3183" spans="1:12">
      <c r="A3183" s="20" t="s">
        <v>2113</v>
      </c>
    </row>
    <row r="3184" spans="1:12">
      <c r="A3184" s="20" t="s">
        <v>1393</v>
      </c>
      <c r="B3184" s="27" t="s">
        <v>1071</v>
      </c>
      <c r="C3184" s="27" t="s">
        <v>1129</v>
      </c>
      <c r="D3184" s="27" t="s">
        <v>1069</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2111</v>
      </c>
      <c r="B3185" s="27" t="s">
        <v>1067</v>
      </c>
      <c r="C3185" s="27" t="s">
        <v>1131</v>
      </c>
      <c r="D3185" s="27" t="s">
        <v>1069</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129</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1108</v>
      </c>
      <c r="B3187" s="27" t="s">
        <v>1067</v>
      </c>
      <c r="C3187" s="27" t="s">
        <v>1110</v>
      </c>
      <c r="D3187" s="27" t="s">
        <v>1069</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t="s">
        <v>1246</v>
      </c>
      <c r="E3188" s="21">
        <f>IF(D3188="?OLD","!!!","")</f>
        <v/>
      </c>
      <c r="F3188" s="22" t="str">
        <f>IF(OR(E3188="",E3188="!!!"),"",IF(NOT(ISNA(VLOOKUP(E3188,E$1:E3187,1,FALSE()))),"OLD",IF(AND(E3188&lt;&gt;"",E3188&lt;&gt;"!!!"),"NEW","")))</f>
        <v> </v>
      </c>
      <c r="G3188" s="23" t="str">
        <f>IF(OR(E3188="",E3188="!!!"),"",IF(OR(J3188=0,AND(J3188=1,K3188=1),AND(J3188=1,I3188="SBJ"),AND(J3188=1,I3188=0)),"?IN_FOCUS",IF(J3188&lt;=2,"?ACTIVATED",IF(J3188&lt;&gt;"","?FAMILIAR",IF(F3188="NEW",IF(ISNA(VLOOKUP(E3188,#REF!,1,FALSE())),"?TYPE_IDENTIFIABLE","?REFERENTIAL"),"_")))))</f>
        <v> </v>
      </c>
      <c r="H3188" s="24" t="str">
        <f>IF(J3188&lt;&gt;1,"",IF(I3188="SBJ","CB","?"))</f>
        <v> </v>
      </c>
      <c r="I3188" s="25" t="str">
        <f>IF(OR(E3188="",E3188="!!!",F3188="NEW"),"",INDEX(B3187:B$2,-1+SUMPRODUCT(MAX(ROW(E3187:E$2)*(E3188=E3187:E$2)))))</f>
        <v> </v>
      </c>
      <c r="J3188" s="25" t="str">
        <f>IF(OR(E3188="",E3188="!!!",F3188="NEW"),"",COUNTBLANK(OFFSET(A$1,,,SUMPRODUCT(MAX(ROW(E$2:E3188)*(E3188=E$2:E3188)))))-COUNTBLANK(OFFSET(A$1,,,SUMPRODUCT(MAX(ROW(E$1:E3187)*(E2=E$1:E3187))))))</f>
        <v> </v>
      </c>
      <c r="K3188" s="25" t="str">
        <f>IF(OR(E3188="",E3188="!!!",F3188="NEW"),"",INDEX(J$1:J3187,SUMPRODUCT(MAX(ROW(E$1:E3187)*(E3188=E$1:E3187)))))</f>
        <v> </v>
      </c>
      <c r="L3188" s="26"/>
    </row>
    <row r="3189" spans="1:12">
      <c r="A3189" s="20" t="s">
        <v>1604</v>
      </c>
      <c r="B3189" s="27" t="s">
        <v>1074</v>
      </c>
      <c r="C3189" s="27" t="s">
        <v>1077</v>
      </c>
      <c r="E3189" s="21">
        <f>IF(D3189="?OLD","!!!","")</f>
        <v/>
      </c>
      <c r="F3189" s="22" t="str">
        <f>IF(OR(E3189="",E3189="!!!"),"",IF(NOT(ISNA(VLOOKUP(E3189,E$1:E3188,1,FALSE()))),"OLD",IF(AND(E3189&lt;&gt;"",E3189&lt;&gt;"!!!"),"NEW","")))</f>
        <v> </v>
      </c>
      <c r="G3189" s="23" t="str">
        <f>IF(OR(E3189="",E3189="!!!"),"",IF(OR(J3189=0,AND(J3189=1,K3189=1),AND(J3189=1,I3189="SBJ"),AND(J3189=1,I3189=0)),"?IN_FOCUS",IF(J3189&lt;=2,"?ACTIVATED",IF(J3189&lt;&gt;"","?FAMILIAR",IF(F3189="NEW",IF(ISNA(VLOOKUP(E3189,#REF!,1,FALSE())),"?TYPE_IDENTIFIABLE","?REFERENTIAL"),"_")))))</f>
        <v> </v>
      </c>
      <c r="H3189" s="24" t="str">
        <f>IF(J3189&lt;&gt;1,"",IF(I3189="SBJ","CB","?"))</f>
        <v> </v>
      </c>
      <c r="I3189" s="25" t="str">
        <f>IF(OR(E3189="",E3189="!!!",F3189="NEW"),"",INDEX(B3188:B$2,-1+SUMPRODUCT(MAX(ROW(E3188:E$2)*(E3189=E3188:E$2)))))</f>
        <v> </v>
      </c>
      <c r="J3189" s="25" t="str">
        <f>IF(OR(E3189="",E3189="!!!",F3189="NEW"),"",COUNTBLANK(OFFSET(A$1,,,SUMPRODUCT(MAX(ROW(E$2:E3189)*(E3189=E$2:E3189)))))-COUNTBLANK(OFFSET(A$1,,,SUMPRODUCT(MAX(ROW(E$1:E3188)*(E2=E$1:E3188))))))</f>
        <v> </v>
      </c>
      <c r="K3189" s="25" t="str">
        <f>IF(OR(E3189="",E3189="!!!",F3189="NEW"),"",INDEX(J$1:J3188,SUMPRODUCT(MAX(ROW(E$1:E3188)*(E3189=E$1:E3188)))))</f>
        <v> </v>
      </c>
      <c r="L3189" s="26"/>
    </row>
    <row r="3190" spans="1:12">
      <c r="A3190" s="20" t="s">
        <v>666</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t="s">
        <v>1078</v>
      </c>
      <c r="E3191" s="21">
        <f>IF(D3191="?OLD","!!!","")</f>
        <v/>
      </c>
      <c r="F3191" s="22" t="str">
        <f>IF(OR(E3191="",E3191="!!!"),"",IF(NOT(ISNA(VLOOKUP(E3191,E$1:E3190,1,FALSE()))),"OLD",IF(AND(E3191&lt;&gt;"",E3191&lt;&gt;"!!!"),"NEW","")))</f>
        <v> </v>
      </c>
      <c r="G3191" s="23" t="str">
        <f>IF(OR(E3191="",E3191="!!!"),"",IF(OR(J3191=0,AND(J3191=1,K3191=1),AND(J3191=1,I3191="SBJ"),AND(J3191=1,I3191=0)),"?IN_FOCUS",IF(J3191&lt;=2,"?ACTIVATED",IF(J3191&lt;&gt;"","?FAMILIAR",IF(F3191="NEW",IF(ISNA(VLOOKUP(E3191,#REF!,1,FALSE())),"?TYPE_IDENTIFIABLE","?REFERENTIAL"),"_")))))</f>
        <v> </v>
      </c>
      <c r="H3191" s="24" t="str">
        <f>IF(J3191&lt;&gt;1,"",IF(I3191="SBJ","CB","?"))</f>
        <v> </v>
      </c>
      <c r="I3191" s="25" t="str">
        <f>IF(OR(E3191="",E3191="!!!",F3191="NEW"),"",INDEX(B3190:B$2,-1+SUMPRODUCT(MAX(ROW(E3190:E$2)*(E3191=E3190:E$2)))))</f>
        <v> </v>
      </c>
      <c r="J3191" s="25" t="str">
        <f>IF(OR(E3191="",E3191="!!!",F3191="NEW"),"",COUNTBLANK(OFFSET(A$1,,,SUMPRODUCT(MAX(ROW(E$2:E3191)*(E3191=E$2:E3191)))))-COUNTBLANK(OFFSET(A$1,,,SUMPRODUCT(MAX(ROW(E$1:E3190)*(E2=E$1:E3190))))))</f>
        <v> </v>
      </c>
      <c r="K3191" s="25" t="str">
        <f>IF(OR(E3191="",E3191="!!!",F3191="NEW"),"",INDEX(J$1:J3190,SUMPRODUCT(MAX(ROW(E$1:E3190)*(E3191=E$1:E3190)))))</f>
        <v> </v>
      </c>
      <c r="L3191" s="26"/>
    </row>
    <row r="3192" spans="1:12">
      <c r="A3192" s="20" t="s">
        <v>1083</v>
      </c>
      <c r="B3192" s="27" t="s">
        <v>1090</v>
      </c>
      <c r="E3192" s="21">
        <f>IF(D3192="?OLD","!!!","")</f>
        <v/>
      </c>
      <c r="F3192" s="22" t="str">
        <f>IF(OR(E3192="",E3192="!!!"),"",IF(NOT(ISNA(VLOOKUP(E3192,E$1:E3191,1,FALSE()))),"OLD",IF(AND(E3192&lt;&gt;"",E3192&lt;&gt;"!!!"),"NEW","")))</f>
        <v> </v>
      </c>
      <c r="G3192" s="23" t="str">
        <f>IF(OR(E3192="",E3192="!!!"),"",IF(OR(J3192=0,AND(J3192=1,K3192=1),AND(J3192=1,I3192="SBJ"),AND(J3192=1,I3192=0)),"?IN_FOCUS",IF(J3192&lt;=2,"?ACTIVATED",IF(J3192&lt;&gt;"","?FAMILIAR",IF(F3192="NEW",IF(ISNA(VLOOKUP(E3192,#REF!,1,FALSE())),"?TYPE_IDENTIFIABLE","?REFERENTIAL"),"_")))))</f>
        <v> </v>
      </c>
      <c r="H3192" s="24" t="str">
        <f>IF(J3192&lt;&gt;1,"",IF(I3192="SBJ","CB","?"))</f>
        <v> </v>
      </c>
      <c r="I3192" s="25" t="str">
        <f>IF(OR(E3192="",E3192="!!!",F3192="NEW"),"",INDEX(B3191:B$2,-1+SUMPRODUCT(MAX(ROW(E3191:E$2)*(E3192=E3191:E$2)))))</f>
        <v> </v>
      </c>
      <c r="J3192" s="25" t="str">
        <f>IF(OR(E3192="",E3192="!!!",F3192="NEW"),"",COUNTBLANK(OFFSET(A$1,,,SUMPRODUCT(MAX(ROW(E$2:E3192)*(E3192=E$2:E3192)))))-COUNTBLANK(OFFSET(A$1,,,SUMPRODUCT(MAX(ROW(E$1:E3191)*(E2=E$1:E3191))))))</f>
        <v> </v>
      </c>
      <c r="K3192" s="25" t="str">
        <f>IF(OR(E3192="",E3192="!!!",F3192="NEW"),"",INDEX(J$1:J3191,SUMPRODUCT(MAX(ROW(E$1:E3191)*(E3192=E$1:E3191)))))</f>
        <v> </v>
      </c>
      <c r="L3192" s="26"/>
    </row>
    <row r="3193" spans="1:12">
      <c r="A3193" s="20" t="s">
        <v>1236</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1108</v>
      </c>
      <c r="B3194" s="27" t="s">
        <v>1095</v>
      </c>
      <c r="C3194" s="27" t="s">
        <v>1110</v>
      </c>
      <c r="D3194" s="27" t="s">
        <v>1069</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2046</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1317</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t="s">
        <v>1224</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t="s">
        <v>2114</v>
      </c>
      <c r="B3198" s="27" t="s">
        <v>1071</v>
      </c>
      <c r="C3198" s="27" t="s">
        <v>1077</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t="s">
        <v>1087</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t="s">
        <v>1224</v>
      </c>
      <c r="E3200" s="21">
        <f>IF(D3200="?OLD","!!!","")</f>
        <v/>
      </c>
      <c r="F3200" s="22" t="str">
        <f>IF(OR(E3200="",E3200="!!!"),"",IF(NOT(ISNA(VLOOKUP(E3200,E$1:E3199,1,FALSE()))),"OLD",IF(AND(E3200&lt;&gt;"",E3200&lt;&gt;"!!!"),"NEW","")))</f>
        <v> </v>
      </c>
      <c r="G3200" s="23" t="str">
        <f>IF(OR(E3200="",E3200="!!!"),"",IF(OR(J3200=0,AND(J3200=1,K3200=1),AND(J3200=1,I3200="SBJ"),AND(J3200=1,I3200=0)),"?IN_FOCUS",IF(J3200&lt;=2,"?ACTIVATED",IF(J3200&lt;&gt;"","?FAMILIAR",IF(F3200="NEW",IF(ISNA(VLOOKUP(E3200,#REF!,1,FALSE())),"?TYPE_IDENTIFIABLE","?REFERENTIAL"),"_")))))</f>
        <v> </v>
      </c>
      <c r="H3200" s="24" t="str">
        <f>IF(J3200&lt;&gt;1,"",IF(I3200="SBJ","CB","?"))</f>
        <v> </v>
      </c>
      <c r="I3200" s="25" t="str">
        <f>IF(OR(E3200="",E3200="!!!",F3200="NEW"),"",INDEX(B3199:B$2,-1+SUMPRODUCT(MAX(ROW(E3199:E$2)*(E3200=E3199:E$2)))))</f>
        <v> </v>
      </c>
      <c r="J3200" s="25" t="str">
        <f>IF(OR(E3200="",E3200="!!!",F3200="NEW"),"",COUNTBLANK(OFFSET(A$1,,,SUMPRODUCT(MAX(ROW(E$2:E3200)*(E3200=E$2:E3200)))))-COUNTBLANK(OFFSET(A$1,,,SUMPRODUCT(MAX(ROW(E$1:E3199)*(E2=E$1:E3199))))))</f>
        <v> </v>
      </c>
      <c r="K3200" s="25" t="str">
        <f>IF(OR(E3200="",E3200="!!!",F3200="NEW"),"",INDEX(J$1:J3199,SUMPRODUCT(MAX(ROW(E$1:E3199)*(E3200=E$1:E3199)))))</f>
        <v> </v>
      </c>
      <c r="L3200" s="26"/>
    </row>
    <row r="3201" spans="1:12">
      <c r="A3201" s="20" t="s">
        <v>2115</v>
      </c>
      <c r="B3201" s="27" t="s">
        <v>1092</v>
      </c>
      <c r="C3201" s="27" t="s">
        <v>1077</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t="s">
        <v>1078</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2116</v>
      </c>
      <c r="B3203" s="27" t="s">
        <v>1141</v>
      </c>
      <c r="C3203" s="27" t="s">
        <v>1077</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1080</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row>
    <row r="3206" spans="1:12">
      <c r="A3206" s="20" t="s">
        <v>2117</v>
      </c>
    </row>
    <row r="3207" spans="1:12">
      <c r="A3207" s="20" t="s">
        <v>1158</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t="s">
        <v>1299</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1153</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1917</v>
      </c>
      <c r="E3210" s="21">
        <f>IF(D3210="?OLD","!!!","")</f>
        <v/>
      </c>
      <c r="F3210" s="22" t="str">
        <f>IF(OR(E3210="",E3210="!!!"),"",IF(NOT(ISNA(VLOOKUP(E3210,E$1:E3209,1,FALSE()))),"OLD",IF(AND(E3210&lt;&gt;"",E3210&lt;&gt;"!!!"),"NEW","")))</f>
        <v> </v>
      </c>
      <c r="G3210" s="23" t="str">
        <f>IF(OR(E3210="",E3210="!!!"),"",IF(OR(J3210=0,AND(J3210=1,K3210=1),AND(J3210=1,I3210="SBJ"),AND(J3210=1,I3210=0)),"?IN_FOCUS",IF(J3210&lt;=2,"?ACTIVATED",IF(J3210&lt;&gt;"","?FAMILIAR",IF(F3210="NEW",IF(ISNA(VLOOKUP(E3210,#REF!,1,FALSE())),"?TYPE_IDENTIFIABLE","?REFERENTIAL"),"_")))))</f>
        <v> </v>
      </c>
      <c r="H3210" s="24" t="str">
        <f>IF(J3210&lt;&gt;1,"",IF(I3210="SBJ","CB","?"))</f>
        <v> </v>
      </c>
      <c r="I3210" s="25" t="str">
        <f>IF(OR(E3210="",E3210="!!!",F3210="NEW"),"",INDEX(B3209:B$2,-1+SUMPRODUCT(MAX(ROW(E3209:E$2)*(E3210=E3209:E$2)))))</f>
        <v> </v>
      </c>
      <c r="J3210" s="25" t="str">
        <f>IF(OR(E3210="",E3210="!!!",F3210="NEW"),"",COUNTBLANK(OFFSET(A$1,,,SUMPRODUCT(MAX(ROW(E$2:E3210)*(E3210=E$2:E3210)))))-COUNTBLANK(OFFSET(A$1,,,SUMPRODUCT(MAX(ROW(E$1:E3209)*(E2=E$1:E3209))))))</f>
        <v> </v>
      </c>
      <c r="K3210" s="25" t="str">
        <f>IF(OR(E3210="",E3210="!!!",F3210="NEW"),"",INDEX(J$1:J3209,SUMPRODUCT(MAX(ROW(E$1:E3209)*(E3210=E$1:E3209)))))</f>
        <v> </v>
      </c>
      <c r="L3210" s="26"/>
    </row>
    <row r="3211" spans="1:12">
      <c r="A3211" s="20" t="s">
        <v>2118</v>
      </c>
      <c r="B3211" s="27" t="s">
        <v>1067</v>
      </c>
      <c r="C3211" s="27" t="s">
        <v>1117</v>
      </c>
      <c r="E3211" s="21">
        <f>IF(D3211="?OLD","!!!","")</f>
        <v/>
      </c>
      <c r="F3211" s="22" t="str">
        <f>IF(OR(E3211="",E3211="!!!"),"",IF(NOT(ISNA(VLOOKUP(E3211,E$1:E3210,1,FALSE()))),"OLD",IF(AND(E3211&lt;&gt;"",E3211&lt;&gt;"!!!"),"NEW","")))</f>
        <v> </v>
      </c>
      <c r="G3211" s="23" t="str">
        <f>IF(OR(E3211="",E3211="!!!"),"",IF(OR(J3211=0,AND(J3211=1,K3211=1),AND(J3211=1,I3211="SBJ"),AND(J3211=1,I3211=0)),"?IN_FOCUS",IF(J3211&lt;=2,"?ACTIVATED",IF(J3211&lt;&gt;"","?FAMILIAR",IF(F3211="NEW",IF(ISNA(VLOOKUP(E3211,#REF!,1,FALSE())),"?TYPE_IDENTIFIABLE","?REFERENTIAL"),"_")))))</f>
        <v> </v>
      </c>
      <c r="H3211" s="24" t="str">
        <f>IF(J3211&lt;&gt;1,"",IF(I3211="SBJ","CB","?"))</f>
        <v> </v>
      </c>
      <c r="I3211" s="25" t="str">
        <f>IF(OR(E3211="",E3211="!!!",F3211="NEW"),"",INDEX(B3210:B$2,-1+SUMPRODUCT(MAX(ROW(E3210:E$2)*(E3211=E3210:E$2)))))</f>
        <v> </v>
      </c>
      <c r="J3211" s="25" t="str">
        <f>IF(OR(E3211="",E3211="!!!",F3211="NEW"),"",COUNTBLANK(OFFSET(A$1,,,SUMPRODUCT(MAX(ROW(E$2:E3211)*(E3211=E$2:E3211)))))-COUNTBLANK(OFFSET(A$1,,,SUMPRODUCT(MAX(ROW(E$1:E3210)*(E2=E$1:E3210))))))</f>
        <v> </v>
      </c>
      <c r="K3211" s="25" t="str">
        <f>IF(OR(E3211="",E3211="!!!",F3211="NEW"),"",INDEX(J$1:J3210,SUMPRODUCT(MAX(ROW(E$1:E3210)*(E3211=E$1:E3210)))))</f>
        <v> </v>
      </c>
      <c r="L3211" s="26"/>
    </row>
    <row r="3212" spans="1:12">
      <c r="A3212" s="20" t="s">
        <v>1070</v>
      </c>
      <c r="B3212" s="27" t="s">
        <v>1071</v>
      </c>
      <c r="C3212" s="27" t="s">
        <v>1072</v>
      </c>
      <c r="E3212" s="21">
        <f>IF(D3212="?OLD","!!!","")</f>
        <v/>
      </c>
      <c r="F3212" s="22" t="str">
        <f>IF(OR(E3212="",E3212="!!!"),"",IF(NOT(ISNA(VLOOKUP(E3212,E$1:E3211,1,FALSE()))),"OLD",IF(AND(E3212&lt;&gt;"",E3212&lt;&gt;"!!!"),"NEW","")))</f>
        <v> </v>
      </c>
      <c r="G3212" s="23" t="str">
        <f>IF(OR(E3212="",E3212="!!!"),"",IF(OR(J3212=0,AND(J3212=1,K3212=1),AND(J3212=1,I3212="SBJ"),AND(J3212=1,I3212=0)),"?IN_FOCUS",IF(J3212&lt;=2,"?ACTIVATED",IF(J3212&lt;&gt;"","?FAMILIAR",IF(F3212="NEW",IF(ISNA(VLOOKUP(E3212,#REF!,1,FALSE())),"?TYPE_IDENTIFIABLE","?REFERENTIAL"),"_")))))</f>
        <v> </v>
      </c>
      <c r="H3212" s="24" t="str">
        <f>IF(J3212&lt;&gt;1,"",IF(I3212="SBJ","CB","?"))</f>
        <v> </v>
      </c>
      <c r="I3212" s="25" t="str">
        <f>IF(OR(E3212="",E3212="!!!",F3212="NEW"),"",INDEX(B3211:B$2,-1+SUMPRODUCT(MAX(ROW(E3211:E$2)*(E3212=E3211:E$2)))))</f>
        <v> </v>
      </c>
      <c r="J3212" s="25" t="str">
        <f>IF(OR(E3212="",E3212="!!!",F3212="NEW"),"",COUNTBLANK(OFFSET(A$1,,,SUMPRODUCT(MAX(ROW(E$2:E3212)*(E3212=E$2:E3212)))))-COUNTBLANK(OFFSET(A$1,,,SUMPRODUCT(MAX(ROW(E$1:E3211)*(E2=E$1:E3211))))))</f>
        <v> </v>
      </c>
      <c r="K3212" s="25" t="str">
        <f>IF(OR(E3212="",E3212="!!!",F3212="NEW"),"",INDEX(J$1:J3211,SUMPRODUCT(MAX(ROW(E$1:E3211)*(E3212=E$1:E3211)))))</f>
        <v> </v>
      </c>
      <c r="L3212" s="26"/>
    </row>
    <row r="3213" spans="1:12">
      <c r="A3213" s="20" t="s">
        <v>1603</v>
      </c>
      <c r="B3213" s="27" t="s">
        <v>1071</v>
      </c>
      <c r="C3213" s="27" t="s">
        <v>1129</v>
      </c>
      <c r="D3213" s="27" t="s">
        <v>1069</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t="s">
        <v>2119</v>
      </c>
      <c r="B3214" s="27" t="s">
        <v>1074</v>
      </c>
      <c r="C3214" s="27" t="s">
        <v>1131</v>
      </c>
      <c r="D3214" s="27" t="s">
        <v>1069</v>
      </c>
      <c r="E3214" s="21">
        <f>IF(D3214="?OLD","!!!","")</f>
        <v/>
      </c>
      <c r="F3214" s="22" t="str">
        <f>IF(OR(E3214="",E3214="!!!"),"",IF(NOT(ISNA(VLOOKUP(E3214,E$1:E3213,1,FALSE()))),"OLD",IF(AND(E3214&lt;&gt;"",E3214&lt;&gt;"!!!"),"NEW","")))</f>
        <v> </v>
      </c>
      <c r="G3214" s="23" t="str">
        <f>IF(OR(E3214="",E3214="!!!"),"",IF(OR(J3214=0,AND(J3214=1,K3214=1),AND(J3214=1,I3214="SBJ"),AND(J3214=1,I3214=0)),"?IN_FOCUS",IF(J3214&lt;=2,"?ACTIVATED",IF(J3214&lt;&gt;"","?FAMILIAR",IF(F3214="NEW",IF(ISNA(VLOOKUP(E3214,#REF!,1,FALSE())),"?TYPE_IDENTIFIABLE","?REFERENTIAL"),"_")))))</f>
        <v> </v>
      </c>
      <c r="H3214" s="24" t="str">
        <f>IF(J3214&lt;&gt;1,"",IF(I3214="SBJ","CB","?"))</f>
        <v> </v>
      </c>
      <c r="I3214" s="25" t="str">
        <f>IF(OR(E3214="",E3214="!!!",F3214="NEW"),"",INDEX(B3213:B$2,-1+SUMPRODUCT(MAX(ROW(E3213:E$2)*(E3214=E3213:E$2)))))</f>
        <v> </v>
      </c>
      <c r="J3214" s="25" t="str">
        <f>IF(OR(E3214="",E3214="!!!",F3214="NEW"),"",COUNTBLANK(OFFSET(A$1,,,SUMPRODUCT(MAX(ROW(E$2:E3214)*(E3214=E$2:E3214)))))-COUNTBLANK(OFFSET(A$1,,,SUMPRODUCT(MAX(ROW(E$1:E3213)*(E2=E$1:E3213))))))</f>
        <v> </v>
      </c>
      <c r="K3214" s="25" t="str">
        <f>IF(OR(E3214="",E3214="!!!",F3214="NEW"),"",INDEX(J$1:J3213,SUMPRODUCT(MAX(ROW(E$1:E3213)*(E3214=E$1:E3213)))))</f>
        <v> </v>
      </c>
      <c r="L3214" s="26"/>
    </row>
    <row r="3215" spans="1:12">
      <c r="A3215" s="20" t="s">
        <v>1080</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row>
    <row r="3217" spans="1:12">
      <c r="A3217" s="20" t="s">
        <v>1309</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t="s">
        <v>2120</v>
      </c>
    </row>
    <row r="3219" spans="1:12">
      <c r="A3219" s="20" t="s">
        <v>1175</v>
      </c>
      <c r="E3219" s="21">
        <f>IF(D3219="?OLD","!!!","")</f>
        <v/>
      </c>
      <c r="F3219" s="22" t="str">
        <f>IF(OR(E3219="",E3219="!!!"),"",IF(NOT(ISNA(VLOOKUP(E3219,E$1:E3218,1,FALSE()))),"OLD",IF(AND(E3219&lt;&gt;"",E3219&lt;&gt;"!!!"),"NEW","")))</f>
        <v> </v>
      </c>
      <c r="G3219" s="23" t="str">
        <f>IF(OR(E3219="",E3219="!!!"),"",IF(OR(J3219=0,AND(J3219=1,K3219=1),AND(J3219=1,I3219="SBJ"),AND(J3219=1,I3219=0)),"?IN_FOCUS",IF(J3219&lt;=2,"?ACTIVATED",IF(J3219&lt;&gt;"","?FAMILIAR",IF(F3219="NEW",IF(ISNA(VLOOKUP(E3219,#REF!,1,FALSE())),"?TYPE_IDENTIFIABLE","?REFERENTIAL"),"_")))))</f>
        <v> </v>
      </c>
      <c r="H3219" s="24" t="str">
        <f>IF(J3219&lt;&gt;1,"",IF(I3219="SBJ","CB","?"))</f>
        <v> </v>
      </c>
      <c r="I3219" s="25" t="str">
        <f>IF(OR(E3219="",E3219="!!!",F3219="NEW"),"",INDEX(B3218:B$2,-1+SUMPRODUCT(MAX(ROW(E3218:E$2)*(E3219=E3218:E$2)))))</f>
        <v> </v>
      </c>
      <c r="J3219" s="25" t="str">
        <f>IF(OR(E3219="",E3219="!!!",F3219="NEW"),"",COUNTBLANK(OFFSET(A$1,,,SUMPRODUCT(MAX(ROW(E$2:E3219)*(E3219=E$2:E3219)))))-COUNTBLANK(OFFSET(A$1,,,SUMPRODUCT(MAX(ROW(E$1:E3218)*(E2=E$1:E3218))))))</f>
        <v> </v>
      </c>
      <c r="K3219" s="25" t="str">
        <f>IF(OR(E3219="",E3219="!!!",F3219="NEW"),"",INDEX(J$1:J3218,SUMPRODUCT(MAX(ROW(E$1:E3218)*(E3219=E$1:E3218)))))</f>
        <v> </v>
      </c>
      <c r="L3219" s="26"/>
    </row>
    <row r="3220" spans="1:12">
      <c r="A3220" s="20" t="s">
        <v>2121</v>
      </c>
      <c r="B3220" s="27" t="s">
        <v>1067</v>
      </c>
      <c r="C3220" s="27" t="s">
        <v>1134</v>
      </c>
      <c r="D3220" s="27" t="s">
        <v>1069</v>
      </c>
      <c r="E3220" s="21">
        <f>IF(D3220="?OLD","!!!","")</f>
        <v/>
      </c>
      <c r="F3220" s="22" t="str">
        <f>IF(OR(E3220="",E3220="!!!"),"",IF(NOT(ISNA(VLOOKUP(E3220,E$1:E3219,1,FALSE()))),"OLD",IF(AND(E3220&lt;&gt;"",E3220&lt;&gt;"!!!"),"NEW","")))</f>
        <v> </v>
      </c>
      <c r="G3220" s="23" t="str">
        <f>IF(OR(E3220="",E3220="!!!"),"",IF(OR(J3220=0,AND(J3220=1,K3220=1),AND(J3220=1,I3220="SBJ"),AND(J3220=1,I3220=0)),"?IN_FOCUS",IF(J3220&lt;=2,"?ACTIVATED",IF(J3220&lt;&gt;"","?FAMILIAR",IF(F3220="NEW",IF(ISNA(VLOOKUP(E3220,#REF!,1,FALSE())),"?TYPE_IDENTIFIABLE","?REFERENTIAL"),"_")))))</f>
        <v> </v>
      </c>
      <c r="H3220" s="24" t="str">
        <f>IF(J3220&lt;&gt;1,"",IF(I3220="SBJ","CB","?"))</f>
        <v> </v>
      </c>
      <c r="I3220" s="25" t="str">
        <f>IF(OR(E3220="",E3220="!!!",F3220="NEW"),"",INDEX(B3219:B$2,-1+SUMPRODUCT(MAX(ROW(E3219:E$2)*(E3220=E3219:E$2)))))</f>
        <v> </v>
      </c>
      <c r="J3220" s="25" t="str">
        <f>IF(OR(E3220="",E3220="!!!",F3220="NEW"),"",COUNTBLANK(OFFSET(A$1,,,SUMPRODUCT(MAX(ROW(E$2:E3220)*(E3220=E$2:E3220)))))-COUNTBLANK(OFFSET(A$1,,,SUMPRODUCT(MAX(ROW(E$1:E3219)*(E2=E$1:E3219))))))</f>
        <v> </v>
      </c>
      <c r="K3220" s="25" t="str">
        <f>IF(OR(E3220="",E3220="!!!",F3220="NEW"),"",INDEX(J$1:J3219,SUMPRODUCT(MAX(ROW(E$1:E3219)*(E3220=E$1:E3219)))))</f>
        <v> </v>
      </c>
      <c r="L3220" s="26"/>
    </row>
    <row r="3221" spans="1:12">
      <c r="A3221" s="20" t="s">
        <v>2122</v>
      </c>
      <c r="B3221" s="27" t="s">
        <v>1071</v>
      </c>
      <c r="C3221" s="27" t="s">
        <v>1134</v>
      </c>
      <c r="D3221" s="27" t="s">
        <v>1069</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2123</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1318</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1241</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157</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t="s">
        <v>1104</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2124</v>
      </c>
      <c r="B3227" s="27" t="s">
        <v>1160</v>
      </c>
      <c r="C3227" s="27" t="s">
        <v>1152</v>
      </c>
      <c r="D3227" s="27" t="s">
        <v>1069</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1318</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1078</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2125</v>
      </c>
      <c r="B3230" s="27" t="s">
        <v>1071</v>
      </c>
      <c r="C3230" s="27" t="s">
        <v>1134</v>
      </c>
      <c r="D3230" s="27" t="s">
        <v>1069</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2126</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t="s">
        <v>1318</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t="s">
        <v>2127</v>
      </c>
      <c r="E3233" s="21">
        <f>IF(D3233="?OLD","!!!","")</f>
        <v/>
      </c>
      <c r="F3233" s="22" t="str">
        <f>IF(OR(E3233="",E3233="!!!"),"",IF(NOT(ISNA(VLOOKUP(E3233,E$1:E3232,1,FALSE()))),"OLD",IF(AND(E3233&lt;&gt;"",E3233&lt;&gt;"!!!"),"NEW","")))</f>
        <v> </v>
      </c>
      <c r="G3233" s="23" t="str">
        <f>IF(OR(E3233="",E3233="!!!"),"",IF(OR(J3233=0,AND(J3233=1,K3233=1),AND(J3233=1,I3233="SBJ"),AND(J3233=1,I3233=0)),"?IN_FOCUS",IF(J3233&lt;=2,"?ACTIVATED",IF(J3233&lt;&gt;"","?FAMILIAR",IF(F3233="NEW",IF(ISNA(VLOOKUP(E3233,#REF!,1,FALSE())),"?TYPE_IDENTIFIABLE","?REFERENTIAL"),"_")))))</f>
        <v> </v>
      </c>
      <c r="H3233" s="24" t="str">
        <f>IF(J3233&lt;&gt;1,"",IF(I3233="SBJ","CB","?"))</f>
        <v> </v>
      </c>
      <c r="I3233" s="25" t="str">
        <f>IF(OR(E3233="",E3233="!!!",F3233="NEW"),"",INDEX(B3232:B$2,-1+SUMPRODUCT(MAX(ROW(E3232:E$2)*(E3233=E3232:E$2)))))</f>
        <v> </v>
      </c>
      <c r="J3233" s="25" t="str">
        <f>IF(OR(E3233="",E3233="!!!",F3233="NEW"),"",COUNTBLANK(OFFSET(A$1,,,SUMPRODUCT(MAX(ROW(E$2:E3233)*(E3233=E$2:E3233)))))-COUNTBLANK(OFFSET(A$1,,,SUMPRODUCT(MAX(ROW(E$1:E3232)*(E2=E$1:E3232))))))</f>
        <v> </v>
      </c>
      <c r="K3233" s="25" t="str">
        <f>IF(OR(E3233="",E3233="!!!",F3233="NEW"),"",INDEX(J$1:J3232,SUMPRODUCT(MAX(ROW(E$1:E3232)*(E3233=E$1:E3232)))))</f>
        <v> </v>
      </c>
      <c r="L3233" s="26"/>
    </row>
    <row r="3234" spans="1:12">
      <c r="A3234" s="20" t="s">
        <v>2128</v>
      </c>
      <c r="E3234" s="21">
        <f>IF(D3234="?OLD","!!!","")</f>
        <v/>
      </c>
      <c r="F3234" s="22" t="str">
        <f>IF(OR(E3234="",E3234="!!!"),"",IF(NOT(ISNA(VLOOKUP(E3234,E$1:E3233,1,FALSE()))),"OLD",IF(AND(E3234&lt;&gt;"",E3234&lt;&gt;"!!!"),"NEW","")))</f>
        <v> </v>
      </c>
      <c r="G3234" s="23" t="str">
        <f>IF(OR(E3234="",E3234="!!!"),"",IF(OR(J3234=0,AND(J3234=1,K3234=1),AND(J3234=1,I3234="SBJ"),AND(J3234=1,I3234=0)),"?IN_FOCUS",IF(J3234&lt;=2,"?ACTIVATED",IF(J3234&lt;&gt;"","?FAMILIAR",IF(F3234="NEW",IF(ISNA(VLOOKUP(E3234,#REF!,1,FALSE())),"?TYPE_IDENTIFIABLE","?REFERENTIAL"),"_")))))</f>
        <v> </v>
      </c>
      <c r="H3234" s="24" t="str">
        <f>IF(J3234&lt;&gt;1,"",IF(I3234="SBJ","CB","?"))</f>
        <v> </v>
      </c>
      <c r="I3234" s="25" t="str">
        <f>IF(OR(E3234="",E3234="!!!",F3234="NEW"),"",INDEX(B3233:B$2,-1+SUMPRODUCT(MAX(ROW(E3233:E$2)*(E3234=E3233:E$2)))))</f>
        <v> </v>
      </c>
      <c r="J3234" s="25" t="str">
        <f>IF(OR(E3234="",E3234="!!!",F3234="NEW"),"",COUNTBLANK(OFFSET(A$1,,,SUMPRODUCT(MAX(ROW(E$2:E3234)*(E3234=E$2:E3234)))))-COUNTBLANK(OFFSET(A$1,,,SUMPRODUCT(MAX(ROW(E$1:E3233)*(E2=E$1:E3233))))))</f>
        <v> </v>
      </c>
      <c r="K3234" s="25" t="str">
        <f>IF(OR(E3234="",E3234="!!!",F3234="NEW"),"",INDEX(J$1:J3233,SUMPRODUCT(MAX(ROW(E$1:E3233)*(E3234=E$1:E3233)))))</f>
        <v> </v>
      </c>
      <c r="L3234" s="26"/>
    </row>
    <row r="3235" spans="1:12">
      <c r="A3235" s="20" t="s">
        <v>2129</v>
      </c>
      <c r="E3235" s="21">
        <f>IF(D3235="?OLD","!!!","")</f>
        <v/>
      </c>
      <c r="F3235" s="22" t="str">
        <f>IF(OR(E3235="",E3235="!!!"),"",IF(NOT(ISNA(VLOOKUP(E3235,E$1:E3234,1,FALSE()))),"OLD",IF(AND(E3235&lt;&gt;"",E3235&lt;&gt;"!!!"),"NEW","")))</f>
        <v> </v>
      </c>
      <c r="G3235" s="23" t="str">
        <f>IF(OR(E3235="",E3235="!!!"),"",IF(OR(J3235=0,AND(J3235=1,K3235=1),AND(J3235=1,I3235="SBJ"),AND(J3235=1,I3235=0)),"?IN_FOCUS",IF(J3235&lt;=2,"?ACTIVATED",IF(J3235&lt;&gt;"","?FAMILIAR",IF(F3235="NEW",IF(ISNA(VLOOKUP(E3235,#REF!,1,FALSE())),"?TYPE_IDENTIFIABLE","?REFERENTIAL"),"_")))))</f>
        <v> </v>
      </c>
      <c r="H3235" s="24" t="str">
        <f>IF(J3235&lt;&gt;1,"",IF(I3235="SBJ","CB","?"))</f>
        <v> </v>
      </c>
      <c r="I3235" s="25" t="str">
        <f>IF(OR(E3235="",E3235="!!!",F3235="NEW"),"",INDEX(B3234:B$2,-1+SUMPRODUCT(MAX(ROW(E3234:E$2)*(E3235=E3234:E$2)))))</f>
        <v> </v>
      </c>
      <c r="J3235" s="25" t="str">
        <f>IF(OR(E3235="",E3235="!!!",F3235="NEW"),"",COUNTBLANK(OFFSET(A$1,,,SUMPRODUCT(MAX(ROW(E$2:E3235)*(E3235=E$2:E3235)))))-COUNTBLANK(OFFSET(A$1,,,SUMPRODUCT(MAX(ROW(E$1:E3234)*(E2=E$1:E3234))))))</f>
        <v> </v>
      </c>
      <c r="K3235" s="25" t="str">
        <f>IF(OR(E3235="",E3235="!!!",F3235="NEW"),"",INDEX(J$1:J3234,SUMPRODUCT(MAX(ROW(E$1:E3234)*(E3235=E$1:E3234)))))</f>
        <v> </v>
      </c>
      <c r="L3235" s="26"/>
    </row>
    <row r="3236" spans="1:12">
      <c r="A3236" s="20" t="s">
        <v>2130</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2131</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t="s">
        <v>2132</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t="s">
        <v>1080</v>
      </c>
      <c r="E3239" s="21">
        <f>IF(D3239="?OLD","!!!","")</f>
        <v/>
      </c>
      <c r="F3239" s="22" t="str">
        <f>IF(OR(E3239="",E3239="!!!"),"",IF(NOT(ISNA(VLOOKUP(E3239,E$1:E3238,1,FALSE()))),"OLD",IF(AND(E3239&lt;&gt;"",E3239&lt;&gt;"!!!"),"NEW","")))</f>
        <v> </v>
      </c>
      <c r="G3239" s="23" t="str">
        <f>IF(OR(E3239="",E3239="!!!"),"",IF(OR(J3239=0,AND(J3239=1,K3239=1),AND(J3239=1,I3239="SBJ"),AND(J3239=1,I3239=0)),"?IN_FOCUS",IF(J3239&lt;=2,"?ACTIVATED",IF(J3239&lt;&gt;"","?FAMILIAR",IF(F3239="NEW",IF(ISNA(VLOOKUP(E3239,#REF!,1,FALSE())),"?TYPE_IDENTIFIABLE","?REFERENTIAL"),"_")))))</f>
        <v> </v>
      </c>
      <c r="H3239" s="24" t="str">
        <f>IF(J3239&lt;&gt;1,"",IF(I3239="SBJ","CB","?"))</f>
        <v> </v>
      </c>
      <c r="I3239" s="25" t="str">
        <f>IF(OR(E3239="",E3239="!!!",F3239="NEW"),"",INDEX(B3238:B$2,-1+SUMPRODUCT(MAX(ROW(E3238:E$2)*(E3239=E3238:E$2)))))</f>
        <v> </v>
      </c>
      <c r="J3239" s="25" t="str">
        <f>IF(OR(E3239="",E3239="!!!",F3239="NEW"),"",COUNTBLANK(OFFSET(A$1,,,SUMPRODUCT(MAX(ROW(E$2:E3239)*(E3239=E$2:E3239)))))-COUNTBLANK(OFFSET(A$1,,,SUMPRODUCT(MAX(ROW(E$1:E3238)*(E2=E$1:E3238))))))</f>
        <v> </v>
      </c>
      <c r="K3239" s="25" t="str">
        <f>IF(OR(E3239="",E3239="!!!",F3239="NEW"),"",INDEX(J$1:J3238,SUMPRODUCT(MAX(ROW(E$1:E3238)*(E3239=E$1:E3238)))))</f>
        <v> </v>
      </c>
      <c r="L3239" s="26"/>
    </row>
    <row r="3240" spans="1:12">
      <c r="A3240" s="20" t="s">
        <v>1318</v>
      </c>
      <c r="E3240" s="21">
        <f>IF(D3240="?OLD","!!!","")</f>
        <v/>
      </c>
      <c r="F3240" s="22" t="str">
        <f>IF(OR(E3240="",E3240="!!!"),"",IF(NOT(ISNA(VLOOKUP(E3240,E$1:E3239,1,FALSE()))),"OLD",IF(AND(E3240&lt;&gt;"",E3240&lt;&gt;"!!!"),"NEW","")))</f>
        <v> </v>
      </c>
      <c r="G3240" s="23" t="str">
        <f>IF(OR(E3240="",E3240="!!!"),"",IF(OR(J3240=0,AND(J3240=1,K3240=1),AND(J3240=1,I3240="SBJ"),AND(J3240=1,I3240=0)),"?IN_FOCUS",IF(J3240&lt;=2,"?ACTIVATED",IF(J3240&lt;&gt;"","?FAMILIAR",IF(F3240="NEW",IF(ISNA(VLOOKUP(E3240,#REF!,1,FALSE())),"?TYPE_IDENTIFIABLE","?REFERENTIAL"),"_")))))</f>
        <v> </v>
      </c>
      <c r="H3240" s="24" t="str">
        <f>IF(J3240&lt;&gt;1,"",IF(I3240="SBJ","CB","?"))</f>
        <v> </v>
      </c>
      <c r="I3240" s="25" t="str">
        <f>IF(OR(E3240="",E3240="!!!",F3240="NEW"),"",INDEX(B3239:B$2,-1+SUMPRODUCT(MAX(ROW(E3239:E$2)*(E3240=E3239:E$2)))))</f>
        <v> </v>
      </c>
      <c r="J3240" s="25" t="str">
        <f>IF(OR(E3240="",E3240="!!!",F3240="NEW"),"",COUNTBLANK(OFFSET(A$1,,,SUMPRODUCT(MAX(ROW(E$2:E3240)*(E3240=E$2:E3240)))))-COUNTBLANK(OFFSET(A$1,,,SUMPRODUCT(MAX(ROW(E$1:E3239)*(E2=E$1:E3239))))))</f>
        <v> </v>
      </c>
      <c r="K3240" s="25" t="str">
        <f>IF(OR(E3240="",E3240="!!!",F3240="NEW"),"",INDEX(J$1:J3239,SUMPRODUCT(MAX(ROW(E$1:E3239)*(E3240=E$1:E3239)))))</f>
        <v> </v>
      </c>
      <c r="L3240" s="26"/>
    </row>
    <row r="3241" spans="1:12">
      <c r="A3241" s="20"/>
    </row>
    <row r="3242" spans="1:12">
      <c r="A3242" s="20" t="s">
        <v>2133</v>
      </c>
    </row>
    <row r="3243" spans="1:12">
      <c r="A3243" s="20" t="s">
        <v>1197</v>
      </c>
      <c r="B3243" s="27" t="s">
        <v>1067</v>
      </c>
      <c r="C3243" s="27" t="s">
        <v>1068</v>
      </c>
      <c r="D3243" s="27" t="s">
        <v>1069</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t="s">
        <v>223</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1167</v>
      </c>
      <c r="B3245" s="27" t="s">
        <v>1067</v>
      </c>
      <c r="C3245" s="27" t="s">
        <v>1068</v>
      </c>
      <c r="D3245" s="27" t="s">
        <v>1069</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t="s">
        <v>1320</v>
      </c>
      <c r="E3246" s="21">
        <f>IF(D3246="?OLD","!!!","")</f>
        <v/>
      </c>
      <c r="F3246" s="22" t="str">
        <f>IF(OR(E3246="",E3246="!!!"),"",IF(NOT(ISNA(VLOOKUP(E3246,E$1:E3245,1,FALSE()))),"OLD",IF(AND(E3246&lt;&gt;"",E3246&lt;&gt;"!!!"),"NEW","")))</f>
        <v> </v>
      </c>
      <c r="G3246" s="23" t="str">
        <f>IF(OR(E3246="",E3246="!!!"),"",IF(OR(J3246=0,AND(J3246=1,K3246=1),AND(J3246=1,I3246="SBJ"),AND(J3246=1,I3246=0)),"?IN_FOCUS",IF(J3246&lt;=2,"?ACTIVATED",IF(J3246&lt;&gt;"","?FAMILIAR",IF(F3246="NEW",IF(ISNA(VLOOKUP(E3246,#REF!,1,FALSE())),"?TYPE_IDENTIFIABLE","?REFERENTIAL"),"_")))))</f>
        <v> </v>
      </c>
      <c r="H3246" s="24" t="str">
        <f>IF(J3246&lt;&gt;1,"",IF(I3246="SBJ","CB","?"))</f>
        <v> </v>
      </c>
      <c r="I3246" s="25" t="str">
        <f>IF(OR(E3246="",E3246="!!!",F3246="NEW"),"",INDEX(B3245:B$2,-1+SUMPRODUCT(MAX(ROW(E3245:E$2)*(E3246=E3245:E$2)))))</f>
        <v> </v>
      </c>
      <c r="J3246" s="25" t="str">
        <f>IF(OR(E3246="",E3246="!!!",F3246="NEW"),"",COUNTBLANK(OFFSET(A$1,,,SUMPRODUCT(MAX(ROW(E$2:E3246)*(E3246=E$2:E3246)))))-COUNTBLANK(OFFSET(A$1,,,SUMPRODUCT(MAX(ROW(E$1:E3245)*(E2=E$1:E3245))))))</f>
        <v> </v>
      </c>
      <c r="K3246" s="25" t="str">
        <f>IF(OR(E3246="",E3246="!!!",F3246="NEW"),"",INDEX(J$1:J3245,SUMPRODUCT(MAX(ROW(E$1:E3245)*(E3246=E$1:E3245)))))</f>
        <v> </v>
      </c>
      <c r="L3246" s="26"/>
    </row>
    <row r="3247" spans="1:12">
      <c r="A3247" s="20" t="s">
        <v>1427</v>
      </c>
      <c r="E3247" s="21">
        <f>IF(D3247="?OLD","!!!","")</f>
        <v/>
      </c>
      <c r="F3247" s="22" t="str">
        <f>IF(OR(E3247="",E3247="!!!"),"",IF(NOT(ISNA(VLOOKUP(E3247,E$1:E3246,1,FALSE()))),"OLD",IF(AND(E3247&lt;&gt;"",E3247&lt;&gt;"!!!"),"NEW","")))</f>
        <v> </v>
      </c>
      <c r="G3247" s="23" t="str">
        <f>IF(OR(E3247="",E3247="!!!"),"",IF(OR(J3247=0,AND(J3247=1,K3247=1),AND(J3247=1,I3247="SBJ"),AND(J3247=1,I3247=0)),"?IN_FOCUS",IF(J3247&lt;=2,"?ACTIVATED",IF(J3247&lt;&gt;"","?FAMILIAR",IF(F3247="NEW",IF(ISNA(VLOOKUP(E3247,#REF!,1,FALSE())),"?TYPE_IDENTIFIABLE","?REFERENTIAL"),"_")))))</f>
        <v> </v>
      </c>
      <c r="H3247" s="24" t="str">
        <f>IF(J3247&lt;&gt;1,"",IF(I3247="SBJ","CB","?"))</f>
        <v> </v>
      </c>
      <c r="I3247" s="25" t="str">
        <f>IF(OR(E3247="",E3247="!!!",F3247="NEW"),"",INDEX(B3246:B$2,-1+SUMPRODUCT(MAX(ROW(E3246:E$2)*(E3247=E3246:E$2)))))</f>
        <v> </v>
      </c>
      <c r="J3247" s="25" t="str">
        <f>IF(OR(E3247="",E3247="!!!",F3247="NEW"),"",COUNTBLANK(OFFSET(A$1,,,SUMPRODUCT(MAX(ROW(E$2:E3247)*(E3247=E$2:E3247)))))-COUNTBLANK(OFFSET(A$1,,,SUMPRODUCT(MAX(ROW(E$1:E3246)*(E2=E$1:E3246))))))</f>
        <v> </v>
      </c>
      <c r="K3247" s="25" t="str">
        <f>IF(OR(E3247="",E3247="!!!",F3247="NEW"),"",INDEX(J$1:J3246,SUMPRODUCT(MAX(ROW(E$1:E3246)*(E3247=E$1:E3246)))))</f>
        <v> </v>
      </c>
      <c r="L3247" s="26"/>
    </row>
    <row r="3248" spans="1:12">
      <c r="A3248" s="20" t="s">
        <v>1078</v>
      </c>
      <c r="E3248" s="21">
        <f>IF(D3248="?OLD","!!!","")</f>
        <v/>
      </c>
      <c r="F3248" s="22" t="str">
        <f>IF(OR(E3248="",E3248="!!!"),"",IF(NOT(ISNA(VLOOKUP(E3248,E$1:E3247,1,FALSE()))),"OLD",IF(AND(E3248&lt;&gt;"",E3248&lt;&gt;"!!!"),"NEW","")))</f>
        <v> </v>
      </c>
      <c r="G3248" s="23" t="str">
        <f>IF(OR(E3248="",E3248="!!!"),"",IF(OR(J3248=0,AND(J3248=1,K3248=1),AND(J3248=1,I3248="SBJ"),AND(J3248=1,I3248=0)),"?IN_FOCUS",IF(J3248&lt;=2,"?ACTIVATED",IF(J3248&lt;&gt;"","?FAMILIAR",IF(F3248="NEW",IF(ISNA(VLOOKUP(E3248,#REF!,1,FALSE())),"?TYPE_IDENTIFIABLE","?REFERENTIAL"),"_")))))</f>
        <v> </v>
      </c>
      <c r="H3248" s="24" t="str">
        <f>IF(J3248&lt;&gt;1,"",IF(I3248="SBJ","CB","?"))</f>
        <v> </v>
      </c>
      <c r="I3248" s="25" t="str">
        <f>IF(OR(E3248="",E3248="!!!",F3248="NEW"),"",INDEX(B3247:B$2,-1+SUMPRODUCT(MAX(ROW(E3247:E$2)*(E3248=E3247:E$2)))))</f>
        <v> </v>
      </c>
      <c r="J3248" s="25" t="str">
        <f>IF(OR(E3248="",E3248="!!!",F3248="NEW"),"",COUNTBLANK(OFFSET(A$1,,,SUMPRODUCT(MAX(ROW(E$2:E3248)*(E3248=E$2:E3248)))))-COUNTBLANK(OFFSET(A$1,,,SUMPRODUCT(MAX(ROW(E$1:E3247)*(E2=E$1:E3247))))))</f>
        <v> </v>
      </c>
      <c r="K3248" s="25" t="str">
        <f>IF(OR(E3248="",E3248="!!!",F3248="NEW"),"",INDEX(J$1:J3247,SUMPRODUCT(MAX(ROW(E$1:E3247)*(E3248=E$1:E3247)))))</f>
        <v> </v>
      </c>
      <c r="L3248" s="26"/>
    </row>
    <row r="3249" spans="1:12">
      <c r="A3249" s="20" t="s">
        <v>278</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t="s">
        <v>1228</v>
      </c>
      <c r="E3250" s="21">
        <f>IF(D3250="?OLD","!!!","")</f>
        <v/>
      </c>
      <c r="F3250" s="22" t="str">
        <f>IF(OR(E3250="",E3250="!!!"),"",IF(NOT(ISNA(VLOOKUP(E3250,E$1:E3249,1,FALSE()))),"OLD",IF(AND(E3250&lt;&gt;"",E3250&lt;&gt;"!!!"),"NEW","")))</f>
        <v> </v>
      </c>
      <c r="G3250" s="23" t="str">
        <f>IF(OR(E3250="",E3250="!!!"),"",IF(OR(J3250=0,AND(J3250=1,K3250=1),AND(J3250=1,I3250="SBJ"),AND(J3250=1,I3250=0)),"?IN_FOCUS",IF(J3250&lt;=2,"?ACTIVATED",IF(J3250&lt;&gt;"","?FAMILIAR",IF(F3250="NEW",IF(ISNA(VLOOKUP(E3250,#REF!,1,FALSE())),"?TYPE_IDENTIFIABLE","?REFERENTIAL"),"_")))))</f>
        <v> </v>
      </c>
      <c r="H3250" s="24" t="str">
        <f>IF(J3250&lt;&gt;1,"",IF(I3250="SBJ","CB","?"))</f>
        <v> </v>
      </c>
      <c r="I3250" s="25" t="str">
        <f>IF(OR(E3250="",E3250="!!!",F3250="NEW"),"",INDEX(B3249:B$2,-1+SUMPRODUCT(MAX(ROW(E3249:E$2)*(E3250=E3249:E$2)))))</f>
        <v> </v>
      </c>
      <c r="J3250" s="25" t="str">
        <f>IF(OR(E3250="",E3250="!!!",F3250="NEW"),"",COUNTBLANK(OFFSET(A$1,,,SUMPRODUCT(MAX(ROW(E$2:E3250)*(E3250=E$2:E3250)))))-COUNTBLANK(OFFSET(A$1,,,SUMPRODUCT(MAX(ROW(E$1:E3249)*(E2=E$1:E3249))))))</f>
        <v> </v>
      </c>
      <c r="K3250" s="25" t="str">
        <f>IF(OR(E3250="",E3250="!!!",F3250="NEW"),"",INDEX(J$1:J3249,SUMPRODUCT(MAX(ROW(E$1:E3249)*(E3250=E$1:E3249)))))</f>
        <v> </v>
      </c>
      <c r="L3250" s="26"/>
    </row>
    <row r="3251" spans="1:12">
      <c r="A3251" s="20" t="s">
        <v>2134</v>
      </c>
      <c r="B3251" s="27" t="s">
        <v>1090</v>
      </c>
      <c r="C3251" s="27" t="s">
        <v>1120</v>
      </c>
      <c r="E3251" s="21">
        <f>IF(D3251="?OLD","!!!","")</f>
        <v/>
      </c>
      <c r="F3251" s="22" t="str">
        <f>IF(OR(E3251="",E3251="!!!"),"",IF(NOT(ISNA(VLOOKUP(E3251,E$1:E3250,1,FALSE()))),"OLD",IF(AND(E3251&lt;&gt;"",E3251&lt;&gt;"!!!"),"NEW","")))</f>
        <v> </v>
      </c>
      <c r="G3251" s="23" t="str">
        <f>IF(OR(E3251="",E3251="!!!"),"",IF(OR(J3251=0,AND(J3251=1,K3251=1),AND(J3251=1,I3251="SBJ"),AND(J3251=1,I3251=0)),"?IN_FOCUS",IF(J3251&lt;=2,"?ACTIVATED",IF(J3251&lt;&gt;"","?FAMILIAR",IF(F3251="NEW",IF(ISNA(VLOOKUP(E3251,#REF!,1,FALSE())),"?TYPE_IDENTIFIABLE","?REFERENTIAL"),"_")))))</f>
        <v> </v>
      </c>
      <c r="H3251" s="24" t="str">
        <f>IF(J3251&lt;&gt;1,"",IF(I3251="SBJ","CB","?"))</f>
        <v> </v>
      </c>
      <c r="I3251" s="25" t="str">
        <f>IF(OR(E3251="",E3251="!!!",F3251="NEW"),"",INDEX(B3250:B$2,-1+SUMPRODUCT(MAX(ROW(E3250:E$2)*(E3251=E3250:E$2)))))</f>
        <v> </v>
      </c>
      <c r="J3251" s="25" t="str">
        <f>IF(OR(E3251="",E3251="!!!",F3251="NEW"),"",COUNTBLANK(OFFSET(A$1,,,SUMPRODUCT(MAX(ROW(E$2:E3251)*(E3251=E$2:E3251)))))-COUNTBLANK(OFFSET(A$1,,,SUMPRODUCT(MAX(ROW(E$1:E3250)*(E2=E$1:E3250))))))</f>
        <v> </v>
      </c>
      <c r="K3251" s="25" t="str">
        <f>IF(OR(E3251="",E3251="!!!",F3251="NEW"),"",INDEX(J$1:J3250,SUMPRODUCT(MAX(ROW(E$1:E3250)*(E3251=E$1:E3250)))))</f>
        <v> </v>
      </c>
      <c r="L3251" s="26"/>
    </row>
    <row r="3252" spans="1:12">
      <c r="A3252" s="20" t="s">
        <v>1087</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t="s">
        <v>1224</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t="s">
        <v>1143</v>
      </c>
      <c r="E3254" s="21">
        <f>IF(D3254="?OLD","!!!","")</f>
        <v/>
      </c>
      <c r="F3254" s="22" t="str">
        <f>IF(OR(E3254="",E3254="!!!"),"",IF(NOT(ISNA(VLOOKUP(E3254,E$1:E3253,1,FALSE()))),"OLD",IF(AND(E3254&lt;&gt;"",E3254&lt;&gt;"!!!"),"NEW","")))</f>
        <v> </v>
      </c>
      <c r="G3254" s="23" t="str">
        <f>IF(OR(E3254="",E3254="!!!"),"",IF(OR(J3254=0,AND(J3254=1,K3254=1),AND(J3254=1,I3254="SBJ"),AND(J3254=1,I3254=0)),"?IN_FOCUS",IF(J3254&lt;=2,"?ACTIVATED",IF(J3254&lt;&gt;"","?FAMILIAR",IF(F3254="NEW",IF(ISNA(VLOOKUP(E3254,#REF!,1,FALSE())),"?TYPE_IDENTIFIABLE","?REFERENTIAL"),"_")))))</f>
        <v> </v>
      </c>
      <c r="H3254" s="24" t="str">
        <f>IF(J3254&lt;&gt;1,"",IF(I3254="SBJ","CB","?"))</f>
        <v> </v>
      </c>
      <c r="I3254" s="25" t="str">
        <f>IF(OR(E3254="",E3254="!!!",F3254="NEW"),"",INDEX(B3253:B$2,-1+SUMPRODUCT(MAX(ROW(E3253:E$2)*(E3254=E3253:E$2)))))</f>
        <v> </v>
      </c>
      <c r="J3254" s="25" t="str">
        <f>IF(OR(E3254="",E3254="!!!",F3254="NEW"),"",COUNTBLANK(OFFSET(A$1,,,SUMPRODUCT(MAX(ROW(E$2:E3254)*(E3254=E$2:E3254)))))-COUNTBLANK(OFFSET(A$1,,,SUMPRODUCT(MAX(ROW(E$1:E3253)*(E2=E$1:E3253))))))</f>
        <v> </v>
      </c>
      <c r="K3254" s="25" t="str">
        <f>IF(OR(E3254="",E3254="!!!",F3254="NEW"),"",INDEX(J$1:J3253,SUMPRODUCT(MAX(ROW(E$1:E3253)*(E3254=E$1:E3253)))))</f>
        <v> </v>
      </c>
      <c r="L3254" s="26"/>
    </row>
    <row r="3255" spans="1:12">
      <c r="A3255" s="20" t="s">
        <v>2135</v>
      </c>
      <c r="B3255" s="27" t="s">
        <v>1235</v>
      </c>
      <c r="C3255" s="27" t="s">
        <v>1129</v>
      </c>
      <c r="D3255" s="27" t="s">
        <v>1069</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2136</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2137</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t="s">
        <v>46</v>
      </c>
      <c r="E3258" s="21">
        <f>IF(D3258="?OLD","!!!","")</f>
        <v/>
      </c>
      <c r="F3258" s="22" t="str">
        <f>IF(OR(E3258="",E3258="!!!"),"",IF(NOT(ISNA(VLOOKUP(E3258,E$1:E3257,1,FALSE()))),"OLD",IF(AND(E3258&lt;&gt;"",E3258&lt;&gt;"!!!"),"NEW","")))</f>
        <v> </v>
      </c>
      <c r="G3258" s="23" t="str">
        <f>IF(OR(E3258="",E3258="!!!"),"",IF(OR(J3258=0,AND(J3258=1,K3258=1),AND(J3258=1,I3258="SBJ"),AND(J3258=1,I3258=0)),"?IN_FOCUS",IF(J3258&lt;=2,"?ACTIVATED",IF(J3258&lt;&gt;"","?FAMILIAR",IF(F3258="NEW",IF(ISNA(VLOOKUP(E3258,#REF!,1,FALSE())),"?TYPE_IDENTIFIABLE","?REFERENTIAL"),"_")))))</f>
        <v> </v>
      </c>
      <c r="H3258" s="24" t="str">
        <f>IF(J3258&lt;&gt;1,"",IF(I3258="SBJ","CB","?"))</f>
        <v> </v>
      </c>
      <c r="I3258" s="25" t="str">
        <f>IF(OR(E3258="",E3258="!!!",F3258="NEW"),"",INDEX(B3257:B$2,-1+SUMPRODUCT(MAX(ROW(E3257:E$2)*(E3258=E3257:E$2)))))</f>
        <v> </v>
      </c>
      <c r="J3258" s="25" t="str">
        <f>IF(OR(E3258="",E3258="!!!",F3258="NEW"),"",COUNTBLANK(OFFSET(A$1,,,SUMPRODUCT(MAX(ROW(E$2:E3258)*(E3258=E$2:E3258)))))-COUNTBLANK(OFFSET(A$1,,,SUMPRODUCT(MAX(ROW(E$1:E3257)*(E2=E$1:E3257))))))</f>
        <v> </v>
      </c>
      <c r="K3258" s="25" t="str">
        <f>IF(OR(E3258="",E3258="!!!",F3258="NEW"),"",INDEX(J$1:J3257,SUMPRODUCT(MAX(ROW(E$1:E3257)*(E3258=E$1:E3257)))))</f>
        <v> </v>
      </c>
      <c r="L3258" s="26"/>
    </row>
    <row r="3259" spans="1:12">
      <c r="A3259" s="20" t="s">
        <v>1173</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1087</v>
      </c>
      <c r="E3260" s="21">
        <f>IF(D3260="?OLD","!!!","")</f>
        <v/>
      </c>
      <c r="F3260" s="22" t="str">
        <f>IF(OR(E3260="",E3260="!!!"),"",IF(NOT(ISNA(VLOOKUP(E3260,E$1:E3259,1,FALSE()))),"OLD",IF(AND(E3260&lt;&gt;"",E3260&lt;&gt;"!!!"),"NEW","")))</f>
        <v> </v>
      </c>
      <c r="G3260" s="23" t="str">
        <f>IF(OR(E3260="",E3260="!!!"),"",IF(OR(J3260=0,AND(J3260=1,K3260=1),AND(J3260=1,I3260="SBJ"),AND(J3260=1,I3260=0)),"?IN_FOCUS",IF(J3260&lt;=2,"?ACTIVATED",IF(J3260&lt;&gt;"","?FAMILIAR",IF(F3260="NEW",IF(ISNA(VLOOKUP(E3260,#REF!,1,FALSE())),"?TYPE_IDENTIFIABLE","?REFERENTIAL"),"_")))))</f>
        <v> </v>
      </c>
      <c r="H3260" s="24" t="str">
        <f>IF(J3260&lt;&gt;1,"",IF(I3260="SBJ","CB","?"))</f>
        <v> </v>
      </c>
      <c r="I3260" s="25" t="str">
        <f>IF(OR(E3260="",E3260="!!!",F3260="NEW"),"",INDEX(B3259:B$2,-1+SUMPRODUCT(MAX(ROW(E3259:E$2)*(E3260=E3259:E$2)))))</f>
        <v> </v>
      </c>
      <c r="J3260" s="25" t="str">
        <f>IF(OR(E3260="",E3260="!!!",F3260="NEW"),"",COUNTBLANK(OFFSET(A$1,,,SUMPRODUCT(MAX(ROW(E$2:E3260)*(E3260=E$2:E3260)))))-COUNTBLANK(OFFSET(A$1,,,SUMPRODUCT(MAX(ROW(E$1:E3259)*(E2=E$1:E3259))))))</f>
        <v> </v>
      </c>
      <c r="K3260" s="25" t="str">
        <f>IF(OR(E3260="",E3260="!!!",F3260="NEW"),"",INDEX(J$1:J3259,SUMPRODUCT(MAX(ROW(E$1:E3259)*(E3260=E$1:E3259)))))</f>
        <v> </v>
      </c>
      <c r="L3260" s="26"/>
    </row>
    <row r="3261" spans="1:12">
      <c r="A3261" s="20" t="s">
        <v>1689</v>
      </c>
      <c r="E3261" s="21">
        <f>IF(D3261="?OLD","!!!","")</f>
        <v/>
      </c>
      <c r="F3261" s="22" t="str">
        <f>IF(OR(E3261="",E3261="!!!"),"",IF(NOT(ISNA(VLOOKUP(E3261,E$1:E3260,1,FALSE()))),"OLD",IF(AND(E3261&lt;&gt;"",E3261&lt;&gt;"!!!"),"NEW","")))</f>
        <v> </v>
      </c>
      <c r="G3261" s="23" t="str">
        <f>IF(OR(E3261="",E3261="!!!"),"",IF(OR(J3261=0,AND(J3261=1,K3261=1),AND(J3261=1,I3261="SBJ"),AND(J3261=1,I3261=0)),"?IN_FOCUS",IF(J3261&lt;=2,"?ACTIVATED",IF(J3261&lt;&gt;"","?FAMILIAR",IF(F3261="NEW",IF(ISNA(VLOOKUP(E3261,#REF!,1,FALSE())),"?TYPE_IDENTIFIABLE","?REFERENTIAL"),"_")))))</f>
        <v> </v>
      </c>
      <c r="H3261" s="24" t="str">
        <f>IF(J3261&lt;&gt;1,"",IF(I3261="SBJ","CB","?"))</f>
        <v> </v>
      </c>
      <c r="I3261" s="25" t="str">
        <f>IF(OR(E3261="",E3261="!!!",F3261="NEW"),"",INDEX(B3260:B$2,-1+SUMPRODUCT(MAX(ROW(E3260:E$2)*(E3261=E3260:E$2)))))</f>
        <v> </v>
      </c>
      <c r="J3261" s="25" t="str">
        <f>IF(OR(E3261="",E3261="!!!",F3261="NEW"),"",COUNTBLANK(OFFSET(A$1,,,SUMPRODUCT(MAX(ROW(E$2:E3261)*(E3261=E$2:E3261)))))-COUNTBLANK(OFFSET(A$1,,,SUMPRODUCT(MAX(ROW(E$1:E3260)*(E2=E$1:E3260))))))</f>
        <v> </v>
      </c>
      <c r="K3261" s="25" t="str">
        <f>IF(OR(E3261="",E3261="!!!",F3261="NEW"),"",INDEX(J$1:J3260,SUMPRODUCT(MAX(ROW(E$1:E3260)*(E3261=E$1:E3260)))))</f>
        <v> </v>
      </c>
      <c r="L3261" s="26"/>
    </row>
    <row r="3262" spans="1:12">
      <c r="A3262" s="20" t="s">
        <v>1108</v>
      </c>
      <c r="B3262" s="27" t="s">
        <v>1095</v>
      </c>
      <c r="C3262" s="27" t="s">
        <v>1110</v>
      </c>
      <c r="D3262" s="27" t="s">
        <v>1069</v>
      </c>
      <c r="E3262" s="21">
        <f>IF(D3262="?OLD","!!!","")</f>
        <v/>
      </c>
      <c r="F3262" s="22" t="str">
        <f>IF(OR(E3262="",E3262="!!!"),"",IF(NOT(ISNA(VLOOKUP(E3262,E$1:E3261,1,FALSE()))),"OLD",IF(AND(E3262&lt;&gt;"",E3262&lt;&gt;"!!!"),"NEW","")))</f>
        <v> </v>
      </c>
      <c r="G3262" s="23" t="str">
        <f>IF(OR(E3262="",E3262="!!!"),"",IF(OR(J3262=0,AND(J3262=1,K3262=1),AND(J3262=1,I3262="SBJ"),AND(J3262=1,I3262=0)),"?IN_FOCUS",IF(J3262&lt;=2,"?ACTIVATED",IF(J3262&lt;&gt;"","?FAMILIAR",IF(F3262="NEW",IF(ISNA(VLOOKUP(E3262,#REF!,1,FALSE())),"?TYPE_IDENTIFIABLE","?REFERENTIAL"),"_")))))</f>
        <v> </v>
      </c>
      <c r="H3262" s="24" t="str">
        <f>IF(J3262&lt;&gt;1,"",IF(I3262="SBJ","CB","?"))</f>
        <v> </v>
      </c>
      <c r="I3262" s="25" t="str">
        <f>IF(OR(E3262="",E3262="!!!",F3262="NEW"),"",INDEX(B3261:B$2,-1+SUMPRODUCT(MAX(ROW(E3261:E$2)*(E3262=E3261:E$2)))))</f>
        <v> </v>
      </c>
      <c r="J3262" s="25" t="str">
        <f>IF(OR(E3262="",E3262="!!!",F3262="NEW"),"",COUNTBLANK(OFFSET(A$1,,,SUMPRODUCT(MAX(ROW(E$2:E3262)*(E3262=E$2:E3262)))))-COUNTBLANK(OFFSET(A$1,,,SUMPRODUCT(MAX(ROW(E$1:E3261)*(E2=E$1:E3261))))))</f>
        <v> </v>
      </c>
      <c r="K3262" s="25" t="str">
        <f>IF(OR(E3262="",E3262="!!!",F3262="NEW"),"",INDEX(J$1:J3261,SUMPRODUCT(MAX(ROW(E$1:E3261)*(E3262=E$1:E3261)))))</f>
        <v> </v>
      </c>
      <c r="L3262" s="26"/>
    </row>
    <row r="3263" spans="1:12">
      <c r="A3263" s="20" t="s">
        <v>282</v>
      </c>
      <c r="E3263" s="21">
        <f>IF(D3263="?OLD","!!!","")</f>
        <v/>
      </c>
      <c r="F3263" s="22" t="str">
        <f>IF(OR(E3263="",E3263="!!!"),"",IF(NOT(ISNA(VLOOKUP(E3263,E$1:E3262,1,FALSE()))),"OLD",IF(AND(E3263&lt;&gt;"",E3263&lt;&gt;"!!!"),"NEW","")))</f>
        <v> </v>
      </c>
      <c r="G3263" s="23" t="str">
        <f>IF(OR(E3263="",E3263="!!!"),"",IF(OR(J3263=0,AND(J3263=1,K3263=1),AND(J3263=1,I3263="SBJ"),AND(J3263=1,I3263=0)),"?IN_FOCUS",IF(J3263&lt;=2,"?ACTIVATED",IF(J3263&lt;&gt;"","?FAMILIAR",IF(F3263="NEW",IF(ISNA(VLOOKUP(E3263,#REF!,1,FALSE())),"?TYPE_IDENTIFIABLE","?REFERENTIAL"),"_")))))</f>
        <v> </v>
      </c>
      <c r="H3263" s="24" t="str">
        <f>IF(J3263&lt;&gt;1,"",IF(I3263="SBJ","CB","?"))</f>
        <v> </v>
      </c>
      <c r="I3263" s="25" t="str">
        <f>IF(OR(E3263="",E3263="!!!",F3263="NEW"),"",INDEX(B3262:B$2,-1+SUMPRODUCT(MAX(ROW(E3262:E$2)*(E3263=E3262:E$2)))))</f>
        <v> </v>
      </c>
      <c r="J3263" s="25" t="str">
        <f>IF(OR(E3263="",E3263="!!!",F3263="NEW"),"",COUNTBLANK(OFFSET(A$1,,,SUMPRODUCT(MAX(ROW(E$2:E3263)*(E3263=E$2:E3263)))))-COUNTBLANK(OFFSET(A$1,,,SUMPRODUCT(MAX(ROW(E$1:E3262)*(E2=E$1:E3262))))))</f>
        <v> </v>
      </c>
      <c r="K3263" s="25" t="str">
        <f>IF(OR(E3263="",E3263="!!!",F3263="NEW"),"",INDEX(J$1:J3262,SUMPRODUCT(MAX(ROW(E$1:E3262)*(E3263=E$1:E3262)))))</f>
        <v> </v>
      </c>
      <c r="L3263" s="26"/>
    </row>
    <row r="3264" spans="1:12">
      <c r="A3264" s="20" t="s">
        <v>2138</v>
      </c>
      <c r="B3264" s="27" t="s">
        <v>1071</v>
      </c>
      <c r="C3264" s="27" t="s">
        <v>1896</v>
      </c>
      <c r="D3264" s="27" t="s">
        <v>1069</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2139</v>
      </c>
      <c r="B3265" s="27" t="s">
        <v>1090</v>
      </c>
      <c r="C3265" s="27" t="s">
        <v>1077</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t="s">
        <v>1199</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2084</v>
      </c>
      <c r="B3267" s="27" t="s">
        <v>1141</v>
      </c>
      <c r="C3267" s="27" t="s">
        <v>1072</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2140</v>
      </c>
      <c r="B3268" s="27" t="s">
        <v>1092</v>
      </c>
      <c r="C3268" s="27" t="s">
        <v>1117</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1080</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row>
    <row r="3271" spans="1:12">
      <c r="A3271" s="20" t="s">
        <v>2141</v>
      </c>
    </row>
    <row r="3272" spans="1:12">
      <c r="A3272" s="20" t="s">
        <v>1158</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t="s">
        <v>1299</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t="s">
        <v>2142</v>
      </c>
      <c r="B3274" s="27" t="s">
        <v>1067</v>
      </c>
      <c r="C3274" s="27" t="s">
        <v>1072</v>
      </c>
      <c r="E3274" s="21">
        <f>IF(D3274="?OLD","!!!","")</f>
        <v/>
      </c>
      <c r="F3274" s="22" t="str">
        <f>IF(OR(E3274="",E3274="!!!"),"",IF(NOT(ISNA(VLOOKUP(E3274,E$1:E3273,1,FALSE()))),"OLD",IF(AND(E3274&lt;&gt;"",E3274&lt;&gt;"!!!"),"NEW","")))</f>
        <v> </v>
      </c>
      <c r="G3274" s="23" t="str">
        <f>IF(OR(E3274="",E3274="!!!"),"",IF(OR(J3274=0,AND(J3274=1,K3274=1),AND(J3274=1,I3274="SBJ"),AND(J3274=1,I3274=0)),"?IN_FOCUS",IF(J3274&lt;=2,"?ACTIVATED",IF(J3274&lt;&gt;"","?FAMILIAR",IF(F3274="NEW",IF(ISNA(VLOOKUP(E3274,#REF!,1,FALSE())),"?TYPE_IDENTIFIABLE","?REFERENTIAL"),"_")))))</f>
        <v> </v>
      </c>
      <c r="H3274" s="24" t="str">
        <f>IF(J3274&lt;&gt;1,"",IF(I3274="SBJ","CB","?"))</f>
        <v> </v>
      </c>
      <c r="I3274" s="25" t="str">
        <f>IF(OR(E3274="",E3274="!!!",F3274="NEW"),"",INDEX(B3273:B$2,-1+SUMPRODUCT(MAX(ROW(E3273:E$2)*(E3274=E3273:E$2)))))</f>
        <v> </v>
      </c>
      <c r="J3274" s="25" t="str">
        <f>IF(OR(E3274="",E3274="!!!",F3274="NEW"),"",COUNTBLANK(OFFSET(A$1,,,SUMPRODUCT(MAX(ROW(E$2:E3274)*(E3274=E$2:E3274)))))-COUNTBLANK(OFFSET(A$1,,,SUMPRODUCT(MAX(ROW(E$1:E3273)*(E2=E$1:E3273))))))</f>
        <v> </v>
      </c>
      <c r="K3274" s="25" t="str">
        <f>IF(OR(E3274="",E3274="!!!",F3274="NEW"),"",INDEX(J$1:J3273,SUMPRODUCT(MAX(ROW(E$1:E3273)*(E3274=E$1:E3273)))))</f>
        <v> </v>
      </c>
      <c r="L3274" s="26"/>
    </row>
    <row r="3275" spans="1:12">
      <c r="A3275" s="20" t="s">
        <v>1087</v>
      </c>
      <c r="E3275" s="21">
        <f>IF(D3275="?OLD","!!!","")</f>
        <v/>
      </c>
      <c r="F3275" s="22" t="str">
        <f>IF(OR(E3275="",E3275="!!!"),"",IF(NOT(ISNA(VLOOKUP(E3275,E$1:E3274,1,FALSE()))),"OLD",IF(AND(E3275&lt;&gt;"",E3275&lt;&gt;"!!!"),"NEW","")))</f>
        <v> </v>
      </c>
      <c r="G3275" s="23" t="str">
        <f>IF(OR(E3275="",E3275="!!!"),"",IF(OR(J3275=0,AND(J3275=1,K3275=1),AND(J3275=1,I3275="SBJ"),AND(J3275=1,I3275=0)),"?IN_FOCUS",IF(J3275&lt;=2,"?ACTIVATED",IF(J3275&lt;&gt;"","?FAMILIAR",IF(F3275="NEW",IF(ISNA(VLOOKUP(E3275,#REF!,1,FALSE())),"?TYPE_IDENTIFIABLE","?REFERENTIAL"),"_")))))</f>
        <v> </v>
      </c>
      <c r="H3275" s="24" t="str">
        <f>IF(J3275&lt;&gt;1,"",IF(I3275="SBJ","CB","?"))</f>
        <v> </v>
      </c>
      <c r="I3275" s="25" t="str">
        <f>IF(OR(E3275="",E3275="!!!",F3275="NEW"),"",INDEX(B3274:B$2,-1+SUMPRODUCT(MAX(ROW(E3274:E$2)*(E3275=E3274:E$2)))))</f>
        <v> </v>
      </c>
      <c r="J3275" s="25" t="str">
        <f>IF(OR(E3275="",E3275="!!!",F3275="NEW"),"",COUNTBLANK(OFFSET(A$1,,,SUMPRODUCT(MAX(ROW(E$2:E3275)*(E3275=E$2:E3275)))))-COUNTBLANK(OFFSET(A$1,,,SUMPRODUCT(MAX(ROW(E$1:E3274)*(E2=E$1:E3274))))))</f>
        <v> </v>
      </c>
      <c r="K3275" s="25" t="str">
        <f>IF(OR(E3275="",E3275="!!!",F3275="NEW"),"",INDEX(J$1:J3274,SUMPRODUCT(MAX(ROW(E$1:E3274)*(E3275=E$1:E3274)))))</f>
        <v> </v>
      </c>
      <c r="L3275" s="26"/>
    </row>
    <row r="3276" spans="1:12">
      <c r="A3276" s="20" t="s">
        <v>1083</v>
      </c>
      <c r="B3276" s="27" t="s">
        <v>1133</v>
      </c>
      <c r="C3276" s="27" t="s">
        <v>1110</v>
      </c>
      <c r="D3276" s="27" t="s">
        <v>1069</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t="s">
        <v>2143</v>
      </c>
      <c r="E3277" s="21">
        <f>IF(D3277="?OLD","!!!","")</f>
        <v/>
      </c>
      <c r="F3277" s="22" t="str">
        <f>IF(OR(E3277="",E3277="!!!"),"",IF(NOT(ISNA(VLOOKUP(E3277,E$1:E3276,1,FALSE()))),"OLD",IF(AND(E3277&lt;&gt;"",E3277&lt;&gt;"!!!"),"NEW","")))</f>
        <v> </v>
      </c>
      <c r="G3277" s="23" t="str">
        <f>IF(OR(E3277="",E3277="!!!"),"",IF(OR(J3277=0,AND(J3277=1,K3277=1),AND(J3277=1,I3277="SBJ"),AND(J3277=1,I3277=0)),"?IN_FOCUS",IF(J3277&lt;=2,"?ACTIVATED",IF(J3277&lt;&gt;"","?FAMILIAR",IF(F3277="NEW",IF(ISNA(VLOOKUP(E3277,#REF!,1,FALSE())),"?TYPE_IDENTIFIABLE","?REFERENTIAL"),"_")))))</f>
        <v> </v>
      </c>
      <c r="H3277" s="24" t="str">
        <f>IF(J3277&lt;&gt;1,"",IF(I3277="SBJ","CB","?"))</f>
        <v> </v>
      </c>
      <c r="I3277" s="25" t="str">
        <f>IF(OR(E3277="",E3277="!!!",F3277="NEW"),"",INDEX(B3276:B$2,-1+SUMPRODUCT(MAX(ROW(E3276:E$2)*(E3277=E3276:E$2)))))</f>
        <v> </v>
      </c>
      <c r="J3277" s="25" t="str">
        <f>IF(OR(E3277="",E3277="!!!",F3277="NEW"),"",COUNTBLANK(OFFSET(A$1,,,SUMPRODUCT(MAX(ROW(E$2:E3277)*(E3277=E$2:E3277)))))-COUNTBLANK(OFFSET(A$1,,,SUMPRODUCT(MAX(ROW(E$1:E3276)*(E2=E$1:E3276))))))</f>
        <v> </v>
      </c>
      <c r="K3277" s="25" t="str">
        <f>IF(OR(E3277="",E3277="!!!",F3277="NEW"),"",INDEX(J$1:J3276,SUMPRODUCT(MAX(ROW(E$1:E3276)*(E3277=E$1:E3276)))))</f>
        <v> </v>
      </c>
      <c r="L3277" s="26"/>
    </row>
    <row r="3278" spans="1:12">
      <c r="A3278" s="20" t="s">
        <v>1348</v>
      </c>
      <c r="E3278" s="21">
        <f>IF(D3278="?OLD","!!!","")</f>
        <v/>
      </c>
      <c r="F3278" s="22" t="str">
        <f>IF(OR(E3278="",E3278="!!!"),"",IF(NOT(ISNA(VLOOKUP(E3278,E$1:E3277,1,FALSE()))),"OLD",IF(AND(E3278&lt;&gt;"",E3278&lt;&gt;"!!!"),"NEW","")))</f>
        <v> </v>
      </c>
      <c r="G3278" s="23" t="str">
        <f>IF(OR(E3278="",E3278="!!!"),"",IF(OR(J3278=0,AND(J3278=1,K3278=1),AND(J3278=1,I3278="SBJ"),AND(J3278=1,I3278=0)),"?IN_FOCUS",IF(J3278&lt;=2,"?ACTIVATED",IF(J3278&lt;&gt;"","?FAMILIAR",IF(F3278="NEW",IF(ISNA(VLOOKUP(E3278,#REF!,1,FALSE())),"?TYPE_IDENTIFIABLE","?REFERENTIAL"),"_")))))</f>
        <v> </v>
      </c>
      <c r="H3278" s="24" t="str">
        <f>IF(J3278&lt;&gt;1,"",IF(I3278="SBJ","CB","?"))</f>
        <v> </v>
      </c>
      <c r="I3278" s="25" t="str">
        <f>IF(OR(E3278="",E3278="!!!",F3278="NEW"),"",INDEX(B3277:B$2,-1+SUMPRODUCT(MAX(ROW(E3277:E$2)*(E3278=E3277:E$2)))))</f>
        <v> </v>
      </c>
      <c r="J3278" s="25" t="str">
        <f>IF(OR(E3278="",E3278="!!!",F3278="NEW"),"",COUNTBLANK(OFFSET(A$1,,,SUMPRODUCT(MAX(ROW(E$2:E3278)*(E3278=E$2:E3278)))))-COUNTBLANK(OFFSET(A$1,,,SUMPRODUCT(MAX(ROW(E$1:E3277)*(E2=E$1:E3277))))))</f>
        <v> </v>
      </c>
      <c r="K3278" s="25" t="str">
        <f>IF(OR(E3278="",E3278="!!!",F3278="NEW"),"",INDEX(J$1:J3277,SUMPRODUCT(MAX(ROW(E$1:E3277)*(E3278=E$1:E3277)))))</f>
        <v> </v>
      </c>
      <c r="L3278" s="26"/>
    </row>
    <row r="3279" spans="1:12">
      <c r="A3279" s="20" t="s">
        <v>1080</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row>
    <row r="3281" spans="1:12">
      <c r="A3281" s="20" t="s">
        <v>2144</v>
      </c>
    </row>
    <row r="3282" spans="1:12">
      <c r="A3282" s="20" t="s">
        <v>1175</v>
      </c>
      <c r="B3282" s="27" t="s">
        <v>1067</v>
      </c>
      <c r="C3282" s="27" t="s">
        <v>1129</v>
      </c>
      <c r="D3282" s="27" t="s">
        <v>1069</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t="s">
        <v>1191</v>
      </c>
      <c r="E3283" s="21">
        <f>IF(D3283="?OLD","!!!","")</f>
        <v/>
      </c>
      <c r="F3283" s="22" t="str">
        <f>IF(OR(E3283="",E3283="!!!"),"",IF(NOT(ISNA(VLOOKUP(E3283,E$1:E3282,1,FALSE()))),"OLD",IF(AND(E3283&lt;&gt;"",E3283&lt;&gt;"!!!"),"NEW","")))</f>
        <v> </v>
      </c>
      <c r="G3283" s="23" t="str">
        <f>IF(OR(E3283="",E3283="!!!"),"",IF(OR(J3283=0,AND(J3283=1,K3283=1),AND(J3283=1,I3283="SBJ"),AND(J3283=1,I3283=0)),"?IN_FOCUS",IF(J3283&lt;=2,"?ACTIVATED",IF(J3283&lt;&gt;"","?FAMILIAR",IF(F3283="NEW",IF(ISNA(VLOOKUP(E3283,#REF!,1,FALSE())),"?TYPE_IDENTIFIABLE","?REFERENTIAL"),"_")))))</f>
        <v> </v>
      </c>
      <c r="H3283" s="24" t="str">
        <f>IF(J3283&lt;&gt;1,"",IF(I3283="SBJ","CB","?"))</f>
        <v> </v>
      </c>
      <c r="I3283" s="25" t="str">
        <f>IF(OR(E3283="",E3283="!!!",F3283="NEW"),"",INDEX(B3282:B$2,-1+SUMPRODUCT(MAX(ROW(E3282:E$2)*(E3283=E3282:E$2)))))</f>
        <v> </v>
      </c>
      <c r="J3283" s="25" t="str">
        <f>IF(OR(E3283="",E3283="!!!",F3283="NEW"),"",COUNTBLANK(OFFSET(A$1,,,SUMPRODUCT(MAX(ROW(E$2:E3283)*(E3283=E$2:E3283)))))-COUNTBLANK(OFFSET(A$1,,,SUMPRODUCT(MAX(ROW(E$1:E3282)*(E2=E$1:E3282))))))</f>
        <v> </v>
      </c>
      <c r="K3283" s="25" t="str">
        <f>IF(OR(E3283="",E3283="!!!",F3283="NEW"),"",INDEX(J$1:J3282,SUMPRODUCT(MAX(ROW(E$1:E3282)*(E3283=E$1:E3282)))))</f>
        <v> </v>
      </c>
      <c r="L3283" s="26"/>
    </row>
    <row r="3284" spans="1:12">
      <c r="A3284" s="20" t="s">
        <v>141</v>
      </c>
      <c r="E3284" s="21">
        <f>IF(D3284="?OLD","!!!","")</f>
        <v/>
      </c>
      <c r="F3284" s="22" t="str">
        <f>IF(OR(E3284="",E3284="!!!"),"",IF(NOT(ISNA(VLOOKUP(E3284,E$1:E3283,1,FALSE()))),"OLD",IF(AND(E3284&lt;&gt;"",E3284&lt;&gt;"!!!"),"NEW","")))</f>
        <v> </v>
      </c>
      <c r="G3284" s="23" t="str">
        <f>IF(OR(E3284="",E3284="!!!"),"",IF(OR(J3284=0,AND(J3284=1,K3284=1),AND(J3284=1,I3284="SBJ"),AND(J3284=1,I3284=0)),"?IN_FOCUS",IF(J3284&lt;=2,"?ACTIVATED",IF(J3284&lt;&gt;"","?FAMILIAR",IF(F3284="NEW",IF(ISNA(VLOOKUP(E3284,#REF!,1,FALSE())),"?TYPE_IDENTIFIABLE","?REFERENTIAL"),"_")))))</f>
        <v> </v>
      </c>
      <c r="H3284" s="24" t="str">
        <f>IF(J3284&lt;&gt;1,"",IF(I3284="SBJ","CB","?"))</f>
        <v> </v>
      </c>
      <c r="I3284" s="25" t="str">
        <f>IF(OR(E3284="",E3284="!!!",F3284="NEW"),"",INDEX(B3283:B$2,-1+SUMPRODUCT(MAX(ROW(E3283:E$2)*(E3284=E3283:E$2)))))</f>
        <v> </v>
      </c>
      <c r="J3284" s="25" t="str">
        <f>IF(OR(E3284="",E3284="!!!",F3284="NEW"),"",COUNTBLANK(OFFSET(A$1,,,SUMPRODUCT(MAX(ROW(E$2:E3284)*(E3284=E$2:E3284)))))-COUNTBLANK(OFFSET(A$1,,,SUMPRODUCT(MAX(ROW(E$1:E3283)*(E2=E$1:E3283))))))</f>
        <v> </v>
      </c>
      <c r="K3284" s="25" t="str">
        <f>IF(OR(E3284="",E3284="!!!",F3284="NEW"),"",INDEX(J$1:J3283,SUMPRODUCT(MAX(ROW(E$1:E3283)*(E3284=E$1:E3283)))))</f>
        <v> </v>
      </c>
      <c r="L3284" s="26"/>
    </row>
    <row r="3285" spans="1:12">
      <c r="A3285" s="20" t="s">
        <v>686</v>
      </c>
      <c r="B3285" s="27" t="s">
        <v>1074</v>
      </c>
      <c r="C3285" s="27" t="s">
        <v>1120</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1080</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row>
    <row r="3288" spans="1:12">
      <c r="A3288" s="20" t="s">
        <v>2145</v>
      </c>
    </row>
    <row r="3289" spans="1:12">
      <c r="A3289" s="20" t="s">
        <v>1397</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t="s">
        <v>1193</v>
      </c>
      <c r="E3290" s="21">
        <f>IF(D3290="?OLD","!!!","")</f>
        <v/>
      </c>
      <c r="F3290" s="22" t="str">
        <f>IF(OR(E3290="",E3290="!!!"),"",IF(NOT(ISNA(VLOOKUP(E3290,E$1:E3289,1,FALSE()))),"OLD",IF(AND(E3290&lt;&gt;"",E3290&lt;&gt;"!!!"),"NEW","")))</f>
        <v> </v>
      </c>
      <c r="G3290" s="23" t="str">
        <f>IF(OR(E3290="",E3290="!!!"),"",IF(OR(J3290=0,AND(J3290=1,K3290=1),AND(J3290=1,I3290="SBJ"),AND(J3290=1,I3290=0)),"?IN_FOCUS",IF(J3290&lt;=2,"?ACTIVATED",IF(J3290&lt;&gt;"","?FAMILIAR",IF(F3290="NEW",IF(ISNA(VLOOKUP(E3290,#REF!,1,FALSE())),"?TYPE_IDENTIFIABLE","?REFERENTIAL"),"_")))))</f>
        <v> </v>
      </c>
      <c r="H3290" s="24" t="str">
        <f>IF(J3290&lt;&gt;1,"",IF(I3290="SBJ","CB","?"))</f>
        <v> </v>
      </c>
      <c r="I3290" s="25" t="str">
        <f>IF(OR(E3290="",E3290="!!!",F3290="NEW"),"",INDEX(B3289:B$2,-1+SUMPRODUCT(MAX(ROW(E3289:E$2)*(E3290=E3289:E$2)))))</f>
        <v> </v>
      </c>
      <c r="J3290" s="25" t="str">
        <f>IF(OR(E3290="",E3290="!!!",F3290="NEW"),"",COUNTBLANK(OFFSET(A$1,,,SUMPRODUCT(MAX(ROW(E$2:E3290)*(E3290=E$2:E3290)))))-COUNTBLANK(OFFSET(A$1,,,SUMPRODUCT(MAX(ROW(E$1:E3289)*(E2=E$1:E3289))))))</f>
        <v> </v>
      </c>
      <c r="K3290" s="25" t="str">
        <f>IF(OR(E3290="",E3290="!!!",F3290="NEW"),"",INDEX(J$1:J3289,SUMPRODUCT(MAX(ROW(E$1:E3289)*(E3290=E$1:E3289)))))</f>
        <v> </v>
      </c>
      <c r="L3290" s="26"/>
    </row>
    <row r="3291" spans="1:12">
      <c r="A3291" s="20" t="s">
        <v>2146</v>
      </c>
      <c r="E3291" s="21">
        <f>IF(D3291="?OLD","!!!","")</f>
        <v/>
      </c>
      <c r="F3291" s="22" t="str">
        <f>IF(OR(E3291="",E3291="!!!"),"",IF(NOT(ISNA(VLOOKUP(E3291,E$1:E3290,1,FALSE()))),"OLD",IF(AND(E3291&lt;&gt;"",E3291&lt;&gt;"!!!"),"NEW","")))</f>
        <v> </v>
      </c>
      <c r="G3291" s="23" t="str">
        <f>IF(OR(E3291="",E3291="!!!"),"",IF(OR(J3291=0,AND(J3291=1,K3291=1),AND(J3291=1,I3291="SBJ"),AND(J3291=1,I3291=0)),"?IN_FOCUS",IF(J3291&lt;=2,"?ACTIVATED",IF(J3291&lt;&gt;"","?FAMILIAR",IF(F3291="NEW",IF(ISNA(VLOOKUP(E3291,#REF!,1,FALSE())),"?TYPE_IDENTIFIABLE","?REFERENTIAL"),"_")))))</f>
        <v> </v>
      </c>
      <c r="H3291" s="24" t="str">
        <f>IF(J3291&lt;&gt;1,"",IF(I3291="SBJ","CB","?"))</f>
        <v> </v>
      </c>
      <c r="I3291" s="25" t="str">
        <f>IF(OR(E3291="",E3291="!!!",F3291="NEW"),"",INDEX(B3290:B$2,-1+SUMPRODUCT(MAX(ROW(E3290:E$2)*(E3291=E3290:E$2)))))</f>
        <v> </v>
      </c>
      <c r="J3291" s="25" t="str">
        <f>IF(OR(E3291="",E3291="!!!",F3291="NEW"),"",COUNTBLANK(OFFSET(A$1,,,SUMPRODUCT(MAX(ROW(E$2:E3291)*(E3291=E$2:E3291)))))-COUNTBLANK(OFFSET(A$1,,,SUMPRODUCT(MAX(ROW(E$1:E3290)*(E2=E$1:E3290))))))</f>
        <v> </v>
      </c>
      <c r="K3291" s="25" t="str">
        <f>IF(OR(E3291="",E3291="!!!",F3291="NEW"),"",INDEX(J$1:J3290,SUMPRODUCT(MAX(ROW(E$1:E3290)*(E3291=E$1:E3290)))))</f>
        <v> </v>
      </c>
      <c r="L3291" s="26"/>
    </row>
    <row r="3292" spans="1:12">
      <c r="A3292" s="20" t="s">
        <v>686</v>
      </c>
      <c r="B3292" s="27" t="s">
        <v>1074</v>
      </c>
      <c r="C3292" s="27" t="s">
        <v>1120</v>
      </c>
      <c r="E3292" s="21">
        <f>IF(D3292="?OLD","!!!","")</f>
        <v/>
      </c>
      <c r="F3292" s="22" t="str">
        <f>IF(OR(E3292="",E3292="!!!"),"",IF(NOT(ISNA(VLOOKUP(E3292,E$1:E3291,1,FALSE()))),"OLD",IF(AND(E3292&lt;&gt;"",E3292&lt;&gt;"!!!"),"NEW","")))</f>
        <v> </v>
      </c>
      <c r="G3292" s="23" t="str">
        <f>IF(OR(E3292="",E3292="!!!"),"",IF(OR(J3292=0,AND(J3292=1,K3292=1),AND(J3292=1,I3292="SBJ"),AND(J3292=1,I3292=0)),"?IN_FOCUS",IF(J3292&lt;=2,"?ACTIVATED",IF(J3292&lt;&gt;"","?FAMILIAR",IF(F3292="NEW",IF(ISNA(VLOOKUP(E3292,#REF!,1,FALSE())),"?TYPE_IDENTIFIABLE","?REFERENTIAL"),"_")))))</f>
        <v> </v>
      </c>
      <c r="H3292" s="24" t="str">
        <f>IF(J3292&lt;&gt;1,"",IF(I3292="SBJ","CB","?"))</f>
        <v> </v>
      </c>
      <c r="I3292" s="25" t="str">
        <f>IF(OR(E3292="",E3292="!!!",F3292="NEW"),"",INDEX(B3291:B$2,-1+SUMPRODUCT(MAX(ROW(E3291:E$2)*(E3292=E3291:E$2)))))</f>
        <v> </v>
      </c>
      <c r="J3292" s="25" t="str">
        <f>IF(OR(E3292="",E3292="!!!",F3292="NEW"),"",COUNTBLANK(OFFSET(A$1,,,SUMPRODUCT(MAX(ROW(E$2:E3292)*(E3292=E$2:E3292)))))-COUNTBLANK(OFFSET(A$1,,,SUMPRODUCT(MAX(ROW(E$1:E3291)*(E2=E$1:E3291))))))</f>
        <v> </v>
      </c>
      <c r="K3292" s="25" t="str">
        <f>IF(OR(E3292="",E3292="!!!",F3292="NEW"),"",INDEX(J$1:J3291,SUMPRODUCT(MAX(ROW(E$1:E3291)*(E3292=E$1:E3291)))))</f>
        <v> </v>
      </c>
      <c r="L3292" s="26"/>
    </row>
    <row r="3293" spans="1:12">
      <c r="A3293" s="20" t="s">
        <v>1087</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t="s">
        <v>1149</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t="s">
        <v>1108</v>
      </c>
      <c r="B3295" s="27" t="s">
        <v>1095</v>
      </c>
      <c r="C3295" s="27" t="s">
        <v>1110</v>
      </c>
      <c r="D3295" s="27" t="s">
        <v>1069</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t="s">
        <v>1128</v>
      </c>
      <c r="B3296" s="27" t="s">
        <v>1092</v>
      </c>
      <c r="C3296" s="27" t="s">
        <v>1129</v>
      </c>
      <c r="D3296" s="27" t="s">
        <v>1069</v>
      </c>
      <c r="E3296" s="21">
        <f>IF(D3296="?OLD","!!!","")</f>
        <v/>
      </c>
      <c r="F3296" s="22" t="str">
        <f>IF(OR(E3296="",E3296="!!!"),"",IF(NOT(ISNA(VLOOKUP(E3296,E$1:E3295,1,FALSE()))),"OLD",IF(AND(E3296&lt;&gt;"",E3296&lt;&gt;"!!!"),"NEW","")))</f>
        <v> </v>
      </c>
      <c r="G3296" s="23" t="str">
        <f>IF(OR(E3296="",E3296="!!!"),"",IF(OR(J3296=0,AND(J3296=1,K3296=1),AND(J3296=1,I3296="SBJ"),AND(J3296=1,I3296=0)),"?IN_FOCUS",IF(J3296&lt;=2,"?ACTIVATED",IF(J3296&lt;&gt;"","?FAMILIAR",IF(F3296="NEW",IF(ISNA(VLOOKUP(E3296,#REF!,1,FALSE())),"?TYPE_IDENTIFIABLE","?REFERENTIAL"),"_")))))</f>
        <v> </v>
      </c>
      <c r="H3296" s="24" t="str">
        <f>IF(J3296&lt;&gt;1,"",IF(I3296="SBJ","CB","?"))</f>
        <v> </v>
      </c>
      <c r="I3296" s="25" t="str">
        <f>IF(OR(E3296="",E3296="!!!",F3296="NEW"),"",INDEX(B3295:B$2,-1+SUMPRODUCT(MAX(ROW(E3295:E$2)*(E3296=E3295:E$2)))))</f>
        <v> </v>
      </c>
      <c r="J3296" s="25" t="str">
        <f>IF(OR(E3296="",E3296="!!!",F3296="NEW"),"",COUNTBLANK(OFFSET(A$1,,,SUMPRODUCT(MAX(ROW(E$2:E3296)*(E3296=E$2:E3296)))))-COUNTBLANK(OFFSET(A$1,,,SUMPRODUCT(MAX(ROW(E$1:E3295)*(E2=E$1:E3295))))))</f>
        <v> </v>
      </c>
      <c r="K3296" s="25" t="str">
        <f>IF(OR(E3296="",E3296="!!!",F3296="NEW"),"",INDEX(J$1:J3295,SUMPRODUCT(MAX(ROW(E$1:E3295)*(E3296=E$1:E3295)))))</f>
        <v> </v>
      </c>
      <c r="L3296" s="26"/>
    </row>
    <row r="3297" spans="1:12">
      <c r="A3297" s="20" t="s">
        <v>1839</v>
      </c>
      <c r="B3297" s="27" t="s">
        <v>1090</v>
      </c>
      <c r="C3297" s="27" t="s">
        <v>1131</v>
      </c>
      <c r="D3297" s="27" t="s">
        <v>1069</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1111</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t="s">
        <v>1080</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row>
    <row r="3301" spans="1:12">
      <c r="A3301" s="20" t="s">
        <v>2147</v>
      </c>
    </row>
    <row r="3302" spans="1:12">
      <c r="A3302" s="20" t="s">
        <v>1436</v>
      </c>
      <c r="E3302" s="21">
        <f>IF(D3302="?OLD","!!!","")</f>
        <v/>
      </c>
      <c r="F3302" s="22" t="str">
        <f>IF(OR(E3302="",E3302="!!!"),"",IF(NOT(ISNA(VLOOKUP(E3302,E$1:E3301,1,FALSE()))),"OLD",IF(AND(E3302&lt;&gt;"",E3302&lt;&gt;"!!!"),"NEW","")))</f>
        <v> </v>
      </c>
      <c r="G3302" s="23" t="str">
        <f>IF(OR(E3302="",E3302="!!!"),"",IF(OR(J3302=0,AND(J3302=1,K3302=1),AND(J3302=1,I3302="SBJ"),AND(J3302=1,I3302=0)),"?IN_FOCUS",IF(J3302&lt;=2,"?ACTIVATED",IF(J3302&lt;&gt;"","?FAMILIAR",IF(F3302="NEW",IF(ISNA(VLOOKUP(E3302,#REF!,1,FALSE())),"?TYPE_IDENTIFIABLE","?REFERENTIAL"),"_")))))</f>
        <v> </v>
      </c>
      <c r="H3302" s="24" t="str">
        <f>IF(J3302&lt;&gt;1,"",IF(I3302="SBJ","CB","?"))</f>
        <v> </v>
      </c>
      <c r="I3302" s="25" t="str">
        <f>IF(OR(E3302="",E3302="!!!",F3302="NEW"),"",INDEX(B3301:B$2,-1+SUMPRODUCT(MAX(ROW(E3301:E$2)*(E3302=E3301:E$2)))))</f>
        <v> </v>
      </c>
      <c r="J3302" s="25" t="str">
        <f>IF(OR(E3302="",E3302="!!!",F3302="NEW"),"",COUNTBLANK(OFFSET(A$1,,,SUMPRODUCT(MAX(ROW(E$2:E3302)*(E3302=E$2:E3302)))))-COUNTBLANK(OFFSET(A$1,,,SUMPRODUCT(MAX(ROW(E$1:E3301)*(E2=E$1:E3301))))))</f>
        <v> </v>
      </c>
      <c r="K3302" s="25" t="str">
        <f>IF(OR(E3302="",E3302="!!!",F3302="NEW"),"",INDEX(J$1:J3301,SUMPRODUCT(MAX(ROW(E$1:E3301)*(E3302=E$1:E3301)))))</f>
        <v> </v>
      </c>
      <c r="L3302" s="26"/>
    </row>
    <row r="3303" spans="1:12">
      <c r="A3303" s="20" t="s">
        <v>1197</v>
      </c>
      <c r="B3303" s="27" t="s">
        <v>1133</v>
      </c>
      <c r="C3303" s="27" t="s">
        <v>1068</v>
      </c>
      <c r="D3303" s="27" t="s">
        <v>1069</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1633</v>
      </c>
      <c r="B3304" s="27" t="s">
        <v>1106</v>
      </c>
      <c r="C3304" s="27" t="s">
        <v>1068</v>
      </c>
      <c r="D3304" s="27" t="s">
        <v>1069</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t="s">
        <v>1198</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1228</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686</v>
      </c>
      <c r="B3307" s="27" t="s">
        <v>1106</v>
      </c>
      <c r="C3307" s="27" t="s">
        <v>1120</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1127</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t="s">
        <v>1104</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t="s">
        <v>2148</v>
      </c>
      <c r="E3310" s="21">
        <f>IF(D3310="?OLD","!!!","")</f>
        <v/>
      </c>
      <c r="F3310" s="22" t="str">
        <f>IF(OR(E3310="",E3310="!!!"),"",IF(NOT(ISNA(VLOOKUP(E3310,E$1:E3309,1,FALSE()))),"OLD",IF(AND(E3310&lt;&gt;"",E3310&lt;&gt;"!!!"),"NEW","")))</f>
        <v> </v>
      </c>
      <c r="G3310" s="23" t="str">
        <f>IF(OR(E3310="",E3310="!!!"),"",IF(OR(J3310=0,AND(J3310=1,K3310=1),AND(J3310=1,I3310="SBJ"),AND(J3310=1,I3310=0)),"?IN_FOCUS",IF(J3310&lt;=2,"?ACTIVATED",IF(J3310&lt;&gt;"","?FAMILIAR",IF(F3310="NEW",IF(ISNA(VLOOKUP(E3310,#REF!,1,FALSE())),"?TYPE_IDENTIFIABLE","?REFERENTIAL"),"_")))))</f>
        <v> </v>
      </c>
      <c r="H3310" s="24" t="str">
        <f>IF(J3310&lt;&gt;1,"",IF(I3310="SBJ","CB","?"))</f>
        <v> </v>
      </c>
      <c r="I3310" s="25" t="str">
        <f>IF(OR(E3310="",E3310="!!!",F3310="NEW"),"",INDEX(B3309:B$2,-1+SUMPRODUCT(MAX(ROW(E3309:E$2)*(E3310=E3309:E$2)))))</f>
        <v> </v>
      </c>
      <c r="J3310" s="25" t="str">
        <f>IF(OR(E3310="",E3310="!!!",F3310="NEW"),"",COUNTBLANK(OFFSET(A$1,,,SUMPRODUCT(MAX(ROW(E$2:E3310)*(E3310=E$2:E3310)))))-COUNTBLANK(OFFSET(A$1,,,SUMPRODUCT(MAX(ROW(E$1:E3309)*(E2=E$1:E3309))))))</f>
        <v> </v>
      </c>
      <c r="K3310" s="25" t="str">
        <f>IF(OR(E3310="",E3310="!!!",F3310="NEW"),"",INDEX(J$1:J3309,SUMPRODUCT(MAX(ROW(E$1:E3309)*(E3310=E$1:E3309)))))</f>
        <v> </v>
      </c>
      <c r="L3310" s="26"/>
    </row>
    <row r="3311" spans="1:12">
      <c r="A3311" s="20" t="s">
        <v>200</v>
      </c>
      <c r="E3311" s="21">
        <f>IF(D3311="?OLD","!!!","")</f>
        <v/>
      </c>
      <c r="F3311" s="22" t="str">
        <f>IF(OR(E3311="",E3311="!!!"),"",IF(NOT(ISNA(VLOOKUP(E3311,E$1:E3310,1,FALSE()))),"OLD",IF(AND(E3311&lt;&gt;"",E3311&lt;&gt;"!!!"),"NEW","")))</f>
        <v> </v>
      </c>
      <c r="G3311" s="23" t="str">
        <f>IF(OR(E3311="",E3311="!!!"),"",IF(OR(J3311=0,AND(J3311=1,K3311=1),AND(J3311=1,I3311="SBJ"),AND(J3311=1,I3311=0)),"?IN_FOCUS",IF(J3311&lt;=2,"?ACTIVATED",IF(J3311&lt;&gt;"","?FAMILIAR",IF(F3311="NEW",IF(ISNA(VLOOKUP(E3311,#REF!,1,FALSE())),"?TYPE_IDENTIFIABLE","?REFERENTIAL"),"_")))))</f>
        <v> </v>
      </c>
      <c r="H3311" s="24" t="str">
        <f>IF(J3311&lt;&gt;1,"",IF(I3311="SBJ","CB","?"))</f>
        <v> </v>
      </c>
      <c r="I3311" s="25" t="str">
        <f>IF(OR(E3311="",E3311="!!!",F3311="NEW"),"",INDEX(B3310:B$2,-1+SUMPRODUCT(MAX(ROW(E3310:E$2)*(E3311=E3310:E$2)))))</f>
        <v> </v>
      </c>
      <c r="J3311" s="25" t="str">
        <f>IF(OR(E3311="",E3311="!!!",F3311="NEW"),"",COUNTBLANK(OFFSET(A$1,,,SUMPRODUCT(MAX(ROW(E$2:E3311)*(E3311=E$2:E3311)))))-COUNTBLANK(OFFSET(A$1,,,SUMPRODUCT(MAX(ROW(E$1:E3310)*(E2=E$1:E3310))))))</f>
        <v> </v>
      </c>
      <c r="K3311" s="25" t="str">
        <f>IF(OR(E3311="",E3311="!!!",F3311="NEW"),"",INDEX(J$1:J3310,SUMPRODUCT(MAX(ROW(E$1:E3310)*(E3311=E$1:E3310)))))</f>
        <v> </v>
      </c>
      <c r="L3311" s="26"/>
    </row>
    <row r="3312" spans="1:12">
      <c r="A3312" s="20" t="s">
        <v>1154</v>
      </c>
      <c r="B3312" s="27" t="s">
        <v>1141</v>
      </c>
      <c r="C3312" s="27" t="s">
        <v>1538</v>
      </c>
      <c r="D3312" s="27" t="s">
        <v>1069</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2149</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1087</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1066</v>
      </c>
      <c r="B3315" s="27" t="s">
        <v>1067</v>
      </c>
      <c r="C3315" s="27" t="s">
        <v>1068</v>
      </c>
      <c r="D3315" s="27" t="s">
        <v>1069</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t="s">
        <v>2150</v>
      </c>
      <c r="E3316" s="21">
        <f>IF(D3316="?OLD","!!!","")</f>
        <v/>
      </c>
      <c r="F3316" s="22" t="str">
        <f>IF(OR(E3316="",E3316="!!!"),"",IF(NOT(ISNA(VLOOKUP(E3316,E$1:E3315,1,FALSE()))),"OLD",IF(AND(E3316&lt;&gt;"",E3316&lt;&gt;"!!!"),"NEW","")))</f>
        <v> </v>
      </c>
      <c r="G3316" s="23" t="str">
        <f>IF(OR(E3316="",E3316="!!!"),"",IF(OR(J3316=0,AND(J3316=1,K3316=1),AND(J3316=1,I3316="SBJ"),AND(J3316=1,I3316=0)),"?IN_FOCUS",IF(J3316&lt;=2,"?ACTIVATED",IF(J3316&lt;&gt;"","?FAMILIAR",IF(F3316="NEW",IF(ISNA(VLOOKUP(E3316,#REF!,1,FALSE())),"?TYPE_IDENTIFIABLE","?REFERENTIAL"),"_")))))</f>
        <v> </v>
      </c>
      <c r="H3316" s="24" t="str">
        <f>IF(J3316&lt;&gt;1,"",IF(I3316="SBJ","CB","?"))</f>
        <v> </v>
      </c>
      <c r="I3316" s="25" t="str">
        <f>IF(OR(E3316="",E3316="!!!",F3316="NEW"),"",INDEX(B3315:B$2,-1+SUMPRODUCT(MAX(ROW(E3315:E$2)*(E3316=E3315:E$2)))))</f>
        <v> </v>
      </c>
      <c r="J3316" s="25" t="str">
        <f>IF(OR(E3316="",E3316="!!!",F3316="NEW"),"",COUNTBLANK(OFFSET(A$1,,,SUMPRODUCT(MAX(ROW(E$2:E3316)*(E3316=E$2:E3316)))))-COUNTBLANK(OFFSET(A$1,,,SUMPRODUCT(MAX(ROW(E$1:E3315)*(E2=E$1:E3315))))))</f>
        <v> </v>
      </c>
      <c r="K3316" s="25" t="str">
        <f>IF(OR(E3316="",E3316="!!!",F3316="NEW"),"",INDEX(J$1:J3315,SUMPRODUCT(MAX(ROW(E$1:E3315)*(E3316=E$1:E3315)))))</f>
        <v> </v>
      </c>
      <c r="L3316" s="26"/>
    </row>
    <row r="3317" spans="1:12">
      <c r="A3317" s="20" t="s">
        <v>1113</v>
      </c>
      <c r="E3317" s="21">
        <f>IF(D3317="?OLD","!!!","")</f>
        <v/>
      </c>
      <c r="F3317" s="22" t="str">
        <f>IF(OR(E3317="",E3317="!!!"),"",IF(NOT(ISNA(VLOOKUP(E3317,E$1:E3316,1,FALSE()))),"OLD",IF(AND(E3317&lt;&gt;"",E3317&lt;&gt;"!!!"),"NEW","")))</f>
        <v> </v>
      </c>
      <c r="G3317" s="23" t="str">
        <f>IF(OR(E3317="",E3317="!!!"),"",IF(OR(J3317=0,AND(J3317=1,K3317=1),AND(J3317=1,I3317="SBJ"),AND(J3317=1,I3317=0)),"?IN_FOCUS",IF(J3317&lt;=2,"?ACTIVATED",IF(J3317&lt;&gt;"","?FAMILIAR",IF(F3317="NEW",IF(ISNA(VLOOKUP(E3317,#REF!,1,FALSE())),"?TYPE_IDENTIFIABLE","?REFERENTIAL"),"_")))))</f>
        <v> </v>
      </c>
      <c r="H3317" s="24" t="str">
        <f>IF(J3317&lt;&gt;1,"",IF(I3317="SBJ","CB","?"))</f>
        <v> </v>
      </c>
      <c r="I3317" s="25" t="str">
        <f>IF(OR(E3317="",E3317="!!!",F3317="NEW"),"",INDEX(B3316:B$2,-1+SUMPRODUCT(MAX(ROW(E3316:E$2)*(E3317=E3316:E$2)))))</f>
        <v> </v>
      </c>
      <c r="J3317" s="25" t="str">
        <f>IF(OR(E3317="",E3317="!!!",F3317="NEW"),"",COUNTBLANK(OFFSET(A$1,,,SUMPRODUCT(MAX(ROW(E$2:E3317)*(E3317=E$2:E3317)))))-COUNTBLANK(OFFSET(A$1,,,SUMPRODUCT(MAX(ROW(E$1:E3316)*(E2=E$1:E3316))))))</f>
        <v> </v>
      </c>
      <c r="K3317" s="25" t="str">
        <f>IF(OR(E3317="",E3317="!!!",F3317="NEW"),"",INDEX(J$1:J3316,SUMPRODUCT(MAX(ROW(E$1:E3316)*(E3317=E$1:E3316)))))</f>
        <v> </v>
      </c>
      <c r="L3317" s="26"/>
    </row>
    <row r="3318" spans="1:12">
      <c r="A3318" s="20" t="s">
        <v>2151</v>
      </c>
      <c r="B3318" s="27" t="s">
        <v>1160</v>
      </c>
      <c r="C3318" s="27" t="s">
        <v>1086</v>
      </c>
      <c r="D3318" s="27" t="s">
        <v>1069</v>
      </c>
      <c r="E3318" s="21">
        <f>IF(D3318="?OLD","!!!","")</f>
        <v/>
      </c>
      <c r="F3318" s="22" t="str">
        <f>IF(OR(E3318="",E3318="!!!"),"",IF(NOT(ISNA(VLOOKUP(E3318,E$1:E3317,1,FALSE()))),"OLD",IF(AND(E3318&lt;&gt;"",E3318&lt;&gt;"!!!"),"NEW","")))</f>
        <v> </v>
      </c>
      <c r="G3318" s="23" t="str">
        <f>IF(OR(E3318="",E3318="!!!"),"",IF(OR(J3318=0,AND(J3318=1,K3318=1),AND(J3318=1,I3318="SBJ"),AND(J3318=1,I3318=0)),"?IN_FOCUS",IF(J3318&lt;=2,"?ACTIVATED",IF(J3318&lt;&gt;"","?FAMILIAR",IF(F3318="NEW",IF(ISNA(VLOOKUP(E3318,#REF!,1,FALSE())),"?TYPE_IDENTIFIABLE","?REFERENTIAL"),"_")))))</f>
        <v> </v>
      </c>
      <c r="H3318" s="24" t="str">
        <f>IF(J3318&lt;&gt;1,"",IF(I3318="SBJ","CB","?"))</f>
        <v> </v>
      </c>
      <c r="I3318" s="25" t="str">
        <f>IF(OR(E3318="",E3318="!!!",F3318="NEW"),"",INDEX(B3317:B$2,-1+SUMPRODUCT(MAX(ROW(E3317:E$2)*(E3318=E3317:E$2)))))</f>
        <v> </v>
      </c>
      <c r="J3318" s="25" t="str">
        <f>IF(OR(E3318="",E3318="!!!",F3318="NEW"),"",COUNTBLANK(OFFSET(A$1,,,SUMPRODUCT(MAX(ROW(E$2:E3318)*(E3318=E$2:E3318)))))-COUNTBLANK(OFFSET(A$1,,,SUMPRODUCT(MAX(ROW(E$1:E3317)*(E2=E$1:E3317))))))</f>
        <v> </v>
      </c>
      <c r="K3318" s="25" t="str">
        <f>IF(OR(E3318="",E3318="!!!",F3318="NEW"),"",INDEX(J$1:J3317,SUMPRODUCT(MAX(ROW(E$1:E3317)*(E3318=E$1:E3317)))))</f>
        <v> </v>
      </c>
      <c r="L3318" s="26"/>
    </row>
    <row r="3319" spans="1:12">
      <c r="A3319" s="20" t="s">
        <v>690</v>
      </c>
      <c r="E3319" s="21">
        <f>IF(D3319="?OLD","!!!","")</f>
        <v/>
      </c>
      <c r="F3319" s="22" t="str">
        <f>IF(OR(E3319="",E3319="!!!"),"",IF(NOT(ISNA(VLOOKUP(E3319,E$1:E3318,1,FALSE()))),"OLD",IF(AND(E3319&lt;&gt;"",E3319&lt;&gt;"!!!"),"NEW","")))</f>
        <v> </v>
      </c>
      <c r="G3319" s="23" t="str">
        <f>IF(OR(E3319="",E3319="!!!"),"",IF(OR(J3319=0,AND(J3319=1,K3319=1),AND(J3319=1,I3319="SBJ"),AND(J3319=1,I3319=0)),"?IN_FOCUS",IF(J3319&lt;=2,"?ACTIVATED",IF(J3319&lt;&gt;"","?FAMILIAR",IF(F3319="NEW",IF(ISNA(VLOOKUP(E3319,#REF!,1,FALSE())),"?TYPE_IDENTIFIABLE","?REFERENTIAL"),"_")))))</f>
        <v> </v>
      </c>
      <c r="H3319" s="24" t="str">
        <f>IF(J3319&lt;&gt;1,"",IF(I3319="SBJ","CB","?"))</f>
        <v> </v>
      </c>
      <c r="I3319" s="25" t="str">
        <f>IF(OR(E3319="",E3319="!!!",F3319="NEW"),"",INDEX(B3318:B$2,-1+SUMPRODUCT(MAX(ROW(E3318:E$2)*(E3319=E3318:E$2)))))</f>
        <v> </v>
      </c>
      <c r="J3319" s="25" t="str">
        <f>IF(OR(E3319="",E3319="!!!",F3319="NEW"),"",COUNTBLANK(OFFSET(A$1,,,SUMPRODUCT(MAX(ROW(E$2:E3319)*(E3319=E$2:E3319)))))-COUNTBLANK(OFFSET(A$1,,,SUMPRODUCT(MAX(ROW(E$1:E3318)*(E2=E$1:E3318))))))</f>
        <v> </v>
      </c>
      <c r="K3319" s="25" t="str">
        <f>IF(OR(E3319="",E3319="!!!",F3319="NEW"),"",INDEX(J$1:J3318,SUMPRODUCT(MAX(ROW(E$1:E3318)*(E3319=E$1:E3318)))))</f>
        <v> </v>
      </c>
      <c r="L3319" s="26"/>
    </row>
    <row r="3320" spans="1:12">
      <c r="A3320" s="20" t="s">
        <v>1087</v>
      </c>
      <c r="E3320" s="21">
        <f>IF(D3320="?OLD","!!!","")</f>
        <v/>
      </c>
      <c r="F3320" s="22" t="str">
        <f>IF(OR(E3320="",E3320="!!!"),"",IF(NOT(ISNA(VLOOKUP(E3320,E$1:E3319,1,FALSE()))),"OLD",IF(AND(E3320&lt;&gt;"",E3320&lt;&gt;"!!!"),"NEW","")))</f>
        <v> </v>
      </c>
      <c r="G3320" s="23" t="str">
        <f>IF(OR(E3320="",E3320="!!!"),"",IF(OR(J3320=0,AND(J3320=1,K3320=1),AND(J3320=1,I3320="SBJ"),AND(J3320=1,I3320=0)),"?IN_FOCUS",IF(J3320&lt;=2,"?ACTIVATED",IF(J3320&lt;&gt;"","?FAMILIAR",IF(F3320="NEW",IF(ISNA(VLOOKUP(E3320,#REF!,1,FALSE())),"?TYPE_IDENTIFIABLE","?REFERENTIAL"),"_")))))</f>
        <v> </v>
      </c>
      <c r="H3320" s="24" t="str">
        <f>IF(J3320&lt;&gt;1,"",IF(I3320="SBJ","CB","?"))</f>
        <v> </v>
      </c>
      <c r="I3320" s="25" t="str">
        <f>IF(OR(E3320="",E3320="!!!",F3320="NEW"),"",INDEX(B3319:B$2,-1+SUMPRODUCT(MAX(ROW(E3319:E$2)*(E3320=E3319:E$2)))))</f>
        <v> </v>
      </c>
      <c r="J3320" s="25" t="str">
        <f>IF(OR(E3320="",E3320="!!!",F3320="NEW"),"",COUNTBLANK(OFFSET(A$1,,,SUMPRODUCT(MAX(ROW(E$2:E3320)*(E3320=E$2:E3320)))))-COUNTBLANK(OFFSET(A$1,,,SUMPRODUCT(MAX(ROW(E$1:E3319)*(E2=E$1:E3319))))))</f>
        <v> </v>
      </c>
      <c r="K3320" s="25" t="str">
        <f>IF(OR(E3320="",E3320="!!!",F3320="NEW"),"",INDEX(J$1:J3319,SUMPRODUCT(MAX(ROW(E$1:E3319)*(E3320=E$1:E3319)))))</f>
        <v> </v>
      </c>
      <c r="L3320" s="26"/>
    </row>
    <row r="3321" spans="1:12">
      <c r="A3321" s="20" t="s">
        <v>1228</v>
      </c>
      <c r="E3321" s="21">
        <f>IF(D3321="?OLD","!!!","")</f>
        <v/>
      </c>
      <c r="F3321" s="22" t="str">
        <f>IF(OR(E3321="",E3321="!!!"),"",IF(NOT(ISNA(VLOOKUP(E3321,E$1:E3320,1,FALSE()))),"OLD",IF(AND(E3321&lt;&gt;"",E3321&lt;&gt;"!!!"),"NEW","")))</f>
        <v> </v>
      </c>
      <c r="G3321" s="23" t="str">
        <f>IF(OR(E3321="",E3321="!!!"),"",IF(OR(J3321=0,AND(J3321=1,K3321=1),AND(J3321=1,I3321="SBJ"),AND(J3321=1,I3321=0)),"?IN_FOCUS",IF(J3321&lt;=2,"?ACTIVATED",IF(J3321&lt;&gt;"","?FAMILIAR",IF(F3321="NEW",IF(ISNA(VLOOKUP(E3321,#REF!,1,FALSE())),"?TYPE_IDENTIFIABLE","?REFERENTIAL"),"_")))))</f>
        <v> </v>
      </c>
      <c r="H3321" s="24" t="str">
        <f>IF(J3321&lt;&gt;1,"",IF(I3321="SBJ","CB","?"))</f>
        <v> </v>
      </c>
      <c r="I3321" s="25" t="str">
        <f>IF(OR(E3321="",E3321="!!!",F3321="NEW"),"",INDEX(B3320:B$2,-1+SUMPRODUCT(MAX(ROW(E3320:E$2)*(E3321=E3320:E$2)))))</f>
        <v> </v>
      </c>
      <c r="J3321" s="25" t="str">
        <f>IF(OR(E3321="",E3321="!!!",F3321="NEW"),"",COUNTBLANK(OFFSET(A$1,,,SUMPRODUCT(MAX(ROW(E$2:E3321)*(E3321=E$2:E3321)))))-COUNTBLANK(OFFSET(A$1,,,SUMPRODUCT(MAX(ROW(E$1:E3320)*(E2=E$1:E3320))))))</f>
        <v> </v>
      </c>
      <c r="K3321" s="25" t="str">
        <f>IF(OR(E3321="",E3321="!!!",F3321="NEW"),"",INDEX(J$1:J3320,SUMPRODUCT(MAX(ROW(E$1:E3320)*(E3321=E$1:E3320)))))</f>
        <v> </v>
      </c>
      <c r="L3321" s="26"/>
    </row>
    <row r="3322" spans="1:12">
      <c r="A3322" s="20" t="s">
        <v>2152</v>
      </c>
      <c r="B3322" s="27" t="s">
        <v>1090</v>
      </c>
      <c r="C3322" s="27" t="s">
        <v>1120</v>
      </c>
      <c r="E3322" s="21">
        <f>IF(D3322="?OLD","!!!","")</f>
        <v/>
      </c>
      <c r="F3322" s="22" t="str">
        <f>IF(OR(E3322="",E3322="!!!"),"",IF(NOT(ISNA(VLOOKUP(E3322,E$1:E3321,1,FALSE()))),"OLD",IF(AND(E3322&lt;&gt;"",E3322&lt;&gt;"!!!"),"NEW","")))</f>
        <v> </v>
      </c>
      <c r="G3322" s="23" t="str">
        <f>IF(OR(E3322="",E3322="!!!"),"",IF(OR(J3322=0,AND(J3322=1,K3322=1),AND(J3322=1,I3322="SBJ"),AND(J3322=1,I3322=0)),"?IN_FOCUS",IF(J3322&lt;=2,"?ACTIVATED",IF(J3322&lt;&gt;"","?FAMILIAR",IF(F3322="NEW",IF(ISNA(VLOOKUP(E3322,#REF!,1,FALSE())),"?TYPE_IDENTIFIABLE","?REFERENTIAL"),"_")))))</f>
        <v> </v>
      </c>
      <c r="H3322" s="24" t="str">
        <f>IF(J3322&lt;&gt;1,"",IF(I3322="SBJ","CB","?"))</f>
        <v> </v>
      </c>
      <c r="I3322" s="25" t="str">
        <f>IF(OR(E3322="",E3322="!!!",F3322="NEW"),"",INDEX(B3321:B$2,-1+SUMPRODUCT(MAX(ROW(E3321:E$2)*(E3322=E3321:E$2)))))</f>
        <v> </v>
      </c>
      <c r="J3322" s="25" t="str">
        <f>IF(OR(E3322="",E3322="!!!",F3322="NEW"),"",COUNTBLANK(OFFSET(A$1,,,SUMPRODUCT(MAX(ROW(E$2:E3322)*(E3322=E$2:E3322)))))-COUNTBLANK(OFFSET(A$1,,,SUMPRODUCT(MAX(ROW(E$1:E3321)*(E2=E$1:E3321))))))</f>
        <v> </v>
      </c>
      <c r="K3322" s="25" t="str">
        <f>IF(OR(E3322="",E3322="!!!",F3322="NEW"),"",INDEX(J$1:J3321,SUMPRODUCT(MAX(ROW(E$1:E3321)*(E3322=E$1:E3321)))))</f>
        <v> </v>
      </c>
      <c r="L3322" s="26"/>
    </row>
    <row r="3323" spans="1:12">
      <c r="A3323" s="20" t="s">
        <v>1087</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1078</v>
      </c>
      <c r="E3324" s="21">
        <f>IF(D3324="?OLD","!!!","")</f>
        <v/>
      </c>
      <c r="F3324" s="22" t="str">
        <f>IF(OR(E3324="",E3324="!!!"),"",IF(NOT(ISNA(VLOOKUP(E3324,E$1:E3323,1,FALSE()))),"OLD",IF(AND(E3324&lt;&gt;"",E3324&lt;&gt;"!!!"),"NEW","")))</f>
        <v> </v>
      </c>
      <c r="G3324" s="23" t="str">
        <f>IF(OR(E3324="",E3324="!!!"),"",IF(OR(J3324=0,AND(J3324=1,K3324=1),AND(J3324=1,I3324="SBJ"),AND(J3324=1,I3324=0)),"?IN_FOCUS",IF(J3324&lt;=2,"?ACTIVATED",IF(J3324&lt;&gt;"","?FAMILIAR",IF(F3324="NEW",IF(ISNA(VLOOKUP(E3324,#REF!,1,FALSE())),"?TYPE_IDENTIFIABLE","?REFERENTIAL"),"_")))))</f>
        <v> </v>
      </c>
      <c r="H3324" s="24" t="str">
        <f>IF(J3324&lt;&gt;1,"",IF(I3324="SBJ","CB","?"))</f>
        <v> </v>
      </c>
      <c r="I3324" s="25" t="str">
        <f>IF(OR(E3324="",E3324="!!!",F3324="NEW"),"",INDEX(B3323:B$2,-1+SUMPRODUCT(MAX(ROW(E3323:E$2)*(E3324=E3323:E$2)))))</f>
        <v> </v>
      </c>
      <c r="J3324" s="25" t="str">
        <f>IF(OR(E3324="",E3324="!!!",F3324="NEW"),"",COUNTBLANK(OFFSET(A$1,,,SUMPRODUCT(MAX(ROW(E$2:E3324)*(E3324=E$2:E3324)))))-COUNTBLANK(OFFSET(A$1,,,SUMPRODUCT(MAX(ROW(E$1:E3323)*(E2=E$1:E3323))))))</f>
        <v> </v>
      </c>
      <c r="K3324" s="25" t="str">
        <f>IF(OR(E3324="",E3324="!!!",F3324="NEW"),"",INDEX(J$1:J3323,SUMPRODUCT(MAX(ROW(E$1:E3323)*(E3324=E$1:E3323)))))</f>
        <v> </v>
      </c>
      <c r="L3324" s="26"/>
    </row>
    <row r="3325" spans="1:12">
      <c r="A3325" s="20" t="s">
        <v>1083</v>
      </c>
      <c r="B3325" s="27" t="s">
        <v>1090</v>
      </c>
      <c r="C3325" s="27" t="s">
        <v>1110</v>
      </c>
      <c r="D3325" s="27" t="s">
        <v>1069</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2153</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1066</v>
      </c>
      <c r="B3327" s="27" t="s">
        <v>1095</v>
      </c>
      <c r="C3327" s="27" t="s">
        <v>1068</v>
      </c>
      <c r="D3327" s="27" t="s">
        <v>1069</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1087</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t="s">
        <v>1161</v>
      </c>
      <c r="E3329" s="21">
        <f>IF(D3329="?OLD","!!!","")</f>
        <v/>
      </c>
      <c r="F3329" s="22" t="str">
        <f>IF(OR(E3329="",E3329="!!!"),"",IF(NOT(ISNA(VLOOKUP(E3329,E$1:E3328,1,FALSE()))),"OLD",IF(AND(E3329&lt;&gt;"",E3329&lt;&gt;"!!!"),"NEW","")))</f>
        <v> </v>
      </c>
      <c r="G3329" s="23" t="str">
        <f>IF(OR(E3329="",E3329="!!!"),"",IF(OR(J3329=0,AND(J3329=1,K3329=1),AND(J3329=1,I3329="SBJ"),AND(J3329=1,I3329=0)),"?IN_FOCUS",IF(J3329&lt;=2,"?ACTIVATED",IF(J3329&lt;&gt;"","?FAMILIAR",IF(F3329="NEW",IF(ISNA(VLOOKUP(E3329,#REF!,1,FALSE())),"?TYPE_IDENTIFIABLE","?REFERENTIAL"),"_")))))</f>
        <v> </v>
      </c>
      <c r="H3329" s="24" t="str">
        <f>IF(J3329&lt;&gt;1,"",IF(I3329="SBJ","CB","?"))</f>
        <v> </v>
      </c>
      <c r="I3329" s="25" t="str">
        <f>IF(OR(E3329="",E3329="!!!",F3329="NEW"),"",INDEX(B3328:B$2,-1+SUMPRODUCT(MAX(ROW(E3328:E$2)*(E3329=E3328:E$2)))))</f>
        <v> </v>
      </c>
      <c r="J3329" s="25" t="str">
        <f>IF(OR(E3329="",E3329="!!!",F3329="NEW"),"",COUNTBLANK(OFFSET(A$1,,,SUMPRODUCT(MAX(ROW(E$2:E3329)*(E3329=E$2:E3329)))))-COUNTBLANK(OFFSET(A$1,,,SUMPRODUCT(MAX(ROW(E$1:E3328)*(E2=E$1:E3328))))))</f>
        <v> </v>
      </c>
      <c r="K3329" s="25" t="str">
        <f>IF(OR(E3329="",E3329="!!!",F3329="NEW"),"",INDEX(J$1:J3328,SUMPRODUCT(MAX(ROW(E$1:E3328)*(E3329=E$1:E3328)))))</f>
        <v> </v>
      </c>
      <c r="L3329" s="26"/>
    </row>
    <row r="3330" spans="1:12">
      <c r="A3330" s="20" t="s">
        <v>1066</v>
      </c>
      <c r="B3330" s="27" t="s">
        <v>1095</v>
      </c>
      <c r="C3330" s="27" t="s">
        <v>1068</v>
      </c>
      <c r="D3330" s="27" t="s">
        <v>1069</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t="s">
        <v>2150</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1823</v>
      </c>
      <c r="B3332" s="27" t="s">
        <v>1141</v>
      </c>
      <c r="C3332" s="27" t="s">
        <v>1129</v>
      </c>
      <c r="D3332" s="27" t="s">
        <v>1069</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t="s">
        <v>686</v>
      </c>
      <c r="B3333" s="27" t="s">
        <v>1106</v>
      </c>
      <c r="C3333" s="27" t="s">
        <v>1131</v>
      </c>
      <c r="D3333" s="27" t="s">
        <v>1069</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t="s">
        <v>2154</v>
      </c>
      <c r="E3334" s="21">
        <f>IF(D3334="?OLD","!!!","")</f>
        <v/>
      </c>
      <c r="F3334" s="22" t="str">
        <f>IF(OR(E3334="",E3334="!!!"),"",IF(NOT(ISNA(VLOOKUP(E3334,E$1:E3333,1,FALSE()))),"OLD",IF(AND(E3334&lt;&gt;"",E3334&lt;&gt;"!!!"),"NEW","")))</f>
        <v> </v>
      </c>
      <c r="G3334" s="23" t="str">
        <f>IF(OR(E3334="",E3334="!!!"),"",IF(OR(J3334=0,AND(J3334=1,K3334=1),AND(J3334=1,I3334="SBJ"),AND(J3334=1,I3334=0)),"?IN_FOCUS",IF(J3334&lt;=2,"?ACTIVATED",IF(J3334&lt;&gt;"","?FAMILIAR",IF(F3334="NEW",IF(ISNA(VLOOKUP(E3334,#REF!,1,FALSE())),"?TYPE_IDENTIFIABLE","?REFERENTIAL"),"_")))))</f>
        <v> </v>
      </c>
      <c r="H3334" s="24" t="str">
        <f>IF(J3334&lt;&gt;1,"",IF(I3334="SBJ","CB","?"))</f>
        <v> </v>
      </c>
      <c r="I3334" s="25" t="str">
        <f>IF(OR(E3334="",E3334="!!!",F3334="NEW"),"",INDEX(B3333:B$2,-1+SUMPRODUCT(MAX(ROW(E3333:E$2)*(E3334=E3333:E$2)))))</f>
        <v> </v>
      </c>
      <c r="J3334" s="25" t="str">
        <f>IF(OR(E3334="",E3334="!!!",F3334="NEW"),"",COUNTBLANK(OFFSET(A$1,,,SUMPRODUCT(MAX(ROW(E$2:E3334)*(E3334=E$2:E3334)))))-COUNTBLANK(OFFSET(A$1,,,SUMPRODUCT(MAX(ROW(E$1:E3333)*(E2=E$1:E3333))))))</f>
        <v> </v>
      </c>
      <c r="K3334" s="25" t="str">
        <f>IF(OR(E3334="",E3334="!!!",F3334="NEW"),"",INDEX(J$1:J3333,SUMPRODUCT(MAX(ROW(E$1:E3333)*(E3334=E$1:E3333)))))</f>
        <v> </v>
      </c>
      <c r="L3334" s="26"/>
    </row>
    <row r="3335" spans="1:12">
      <c r="A3335" s="20" t="s">
        <v>1087</v>
      </c>
      <c r="E3335" s="21">
        <f>IF(D3335="?OLD","!!!","")</f>
        <v/>
      </c>
      <c r="F3335" s="22" t="str">
        <f>IF(OR(E3335="",E3335="!!!"),"",IF(NOT(ISNA(VLOOKUP(E3335,E$1:E3334,1,FALSE()))),"OLD",IF(AND(E3335&lt;&gt;"",E3335&lt;&gt;"!!!"),"NEW","")))</f>
        <v> </v>
      </c>
      <c r="G3335" s="23" t="str">
        <f>IF(OR(E3335="",E3335="!!!"),"",IF(OR(J3335=0,AND(J3335=1,K3335=1),AND(J3335=1,I3335="SBJ"),AND(J3335=1,I3335=0)),"?IN_FOCUS",IF(J3335&lt;=2,"?ACTIVATED",IF(J3335&lt;&gt;"","?FAMILIAR",IF(F3335="NEW",IF(ISNA(VLOOKUP(E3335,#REF!,1,FALSE())),"?TYPE_IDENTIFIABLE","?REFERENTIAL"),"_")))))</f>
        <v> </v>
      </c>
      <c r="H3335" s="24" t="str">
        <f>IF(J3335&lt;&gt;1,"",IF(I3335="SBJ","CB","?"))</f>
        <v> </v>
      </c>
      <c r="I3335" s="25" t="str">
        <f>IF(OR(E3335="",E3335="!!!",F3335="NEW"),"",INDEX(B3334:B$2,-1+SUMPRODUCT(MAX(ROW(E3334:E$2)*(E3335=E3334:E$2)))))</f>
        <v> </v>
      </c>
      <c r="J3335" s="25" t="str">
        <f>IF(OR(E3335="",E3335="!!!",F3335="NEW"),"",COUNTBLANK(OFFSET(A$1,,,SUMPRODUCT(MAX(ROW(E$2:E3335)*(E3335=E$2:E3335)))))-COUNTBLANK(OFFSET(A$1,,,SUMPRODUCT(MAX(ROW(E$1:E3334)*(E2=E$1:E3334))))))</f>
        <v> </v>
      </c>
      <c r="K3335" s="25" t="str">
        <f>IF(OR(E3335="",E3335="!!!",F3335="NEW"),"",INDEX(J$1:J3334,SUMPRODUCT(MAX(ROW(E$1:E3334)*(E3335=E$1:E3334)))))</f>
        <v> </v>
      </c>
      <c r="L3335" s="26"/>
    </row>
    <row r="3336" spans="1:12">
      <c r="A3336" s="20" t="s">
        <v>1097</v>
      </c>
      <c r="B3336" s="27" t="s">
        <v>1235</v>
      </c>
      <c r="E3336" s="21">
        <f>IF(D3336="?OLD","!!!","")</f>
        <v/>
      </c>
      <c r="F3336" s="22" t="str">
        <f>IF(OR(E3336="",E3336="!!!"),"",IF(NOT(ISNA(VLOOKUP(E3336,E$1:E3335,1,FALSE()))),"OLD",IF(AND(E3336&lt;&gt;"",E3336&lt;&gt;"!!!"),"NEW","")))</f>
        <v> </v>
      </c>
      <c r="G3336" s="23" t="str">
        <f>IF(OR(E3336="",E3336="!!!"),"",IF(OR(J3336=0,AND(J3336=1,K3336=1),AND(J3336=1,I3336="SBJ"),AND(J3336=1,I3336=0)),"?IN_FOCUS",IF(J3336&lt;=2,"?ACTIVATED",IF(J3336&lt;&gt;"","?FAMILIAR",IF(F3336="NEW",IF(ISNA(VLOOKUP(E3336,#REF!,1,FALSE())),"?TYPE_IDENTIFIABLE","?REFERENTIAL"),"_")))))</f>
        <v> </v>
      </c>
      <c r="H3336" s="24" t="str">
        <f>IF(J3336&lt;&gt;1,"",IF(I3336="SBJ","CB","?"))</f>
        <v> </v>
      </c>
      <c r="I3336" s="25" t="str">
        <f>IF(OR(E3336="",E3336="!!!",F3336="NEW"),"",INDEX(B3335:B$2,-1+SUMPRODUCT(MAX(ROW(E3335:E$2)*(E3336=E3335:E$2)))))</f>
        <v> </v>
      </c>
      <c r="J3336" s="25" t="str">
        <f>IF(OR(E3336="",E3336="!!!",F3336="NEW"),"",COUNTBLANK(OFFSET(A$1,,,SUMPRODUCT(MAX(ROW(E$2:E3336)*(E3336=E$2:E3336)))))-COUNTBLANK(OFFSET(A$1,,,SUMPRODUCT(MAX(ROW(E$1:E3335)*(E2=E$1:E3335))))))</f>
        <v> </v>
      </c>
      <c r="K3336" s="25" t="str">
        <f>IF(OR(E3336="",E3336="!!!",F3336="NEW"),"",INDEX(J$1:J3335,SUMPRODUCT(MAX(ROW(E$1:E3335)*(E3336=E$1:E3335)))))</f>
        <v> </v>
      </c>
      <c r="L3336" s="26"/>
    </row>
    <row r="3337" spans="1:12">
      <c r="A3337" s="20" t="s">
        <v>2155</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1087</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t="s">
        <v>2156</v>
      </c>
      <c r="E3339" s="21">
        <f>IF(D3339="?OLD","!!!","")</f>
        <v/>
      </c>
      <c r="F3339" s="22" t="str">
        <f>IF(OR(E3339="",E3339="!!!"),"",IF(NOT(ISNA(VLOOKUP(E3339,E$1:E3338,1,FALSE()))),"OLD",IF(AND(E3339&lt;&gt;"",E3339&lt;&gt;"!!!"),"NEW","")))</f>
        <v> </v>
      </c>
      <c r="G3339" s="23" t="str">
        <f>IF(OR(E3339="",E3339="!!!"),"",IF(OR(J3339=0,AND(J3339=1,K3339=1),AND(J3339=1,I3339="SBJ"),AND(J3339=1,I3339=0)),"?IN_FOCUS",IF(J3339&lt;=2,"?ACTIVATED",IF(J3339&lt;&gt;"","?FAMILIAR",IF(F3339="NEW",IF(ISNA(VLOOKUP(E3339,#REF!,1,FALSE())),"?TYPE_IDENTIFIABLE","?REFERENTIAL"),"_")))))</f>
        <v> </v>
      </c>
      <c r="H3339" s="24" t="str">
        <f>IF(J3339&lt;&gt;1,"",IF(I3339="SBJ","CB","?"))</f>
        <v> </v>
      </c>
      <c r="I3339" s="25" t="str">
        <f>IF(OR(E3339="",E3339="!!!",F3339="NEW"),"",INDEX(B3338:B$2,-1+SUMPRODUCT(MAX(ROW(E3338:E$2)*(E3339=E3338:E$2)))))</f>
        <v> </v>
      </c>
      <c r="J3339" s="25" t="str">
        <f>IF(OR(E3339="",E3339="!!!",F3339="NEW"),"",COUNTBLANK(OFFSET(A$1,,,SUMPRODUCT(MAX(ROW(E$2:E3339)*(E3339=E$2:E3339)))))-COUNTBLANK(OFFSET(A$1,,,SUMPRODUCT(MAX(ROW(E$1:E3338)*(E2=E$1:E3338))))))</f>
        <v> </v>
      </c>
      <c r="K3339" s="25" t="str">
        <f>IF(OR(E3339="",E3339="!!!",F3339="NEW"),"",INDEX(J$1:J3338,SUMPRODUCT(MAX(ROW(E$1:E3338)*(E3339=E$1:E3338)))))</f>
        <v> </v>
      </c>
      <c r="L3339" s="26"/>
    </row>
    <row r="3340" spans="1:12">
      <c r="A3340" s="20" t="s">
        <v>1192</v>
      </c>
      <c r="B3340" s="27" t="s">
        <v>1095</v>
      </c>
      <c r="C3340" s="27" t="s">
        <v>1077</v>
      </c>
      <c r="E3340" s="21">
        <f>IF(D3340="?OLD","!!!","")</f>
        <v/>
      </c>
      <c r="F3340" s="22" t="str">
        <f>IF(OR(E3340="",E3340="!!!"),"",IF(NOT(ISNA(VLOOKUP(E3340,E$1:E3339,1,FALSE()))),"OLD",IF(AND(E3340&lt;&gt;"",E3340&lt;&gt;"!!!"),"NEW","")))</f>
        <v> </v>
      </c>
      <c r="G3340" s="23" t="str">
        <f>IF(OR(E3340="",E3340="!!!"),"",IF(OR(J3340=0,AND(J3340=1,K3340=1),AND(J3340=1,I3340="SBJ"),AND(J3340=1,I3340=0)),"?IN_FOCUS",IF(J3340&lt;=2,"?ACTIVATED",IF(J3340&lt;&gt;"","?FAMILIAR",IF(F3340="NEW",IF(ISNA(VLOOKUP(E3340,#REF!,1,FALSE())),"?TYPE_IDENTIFIABLE","?REFERENTIAL"),"_")))))</f>
        <v> </v>
      </c>
      <c r="H3340" s="24" t="str">
        <f>IF(J3340&lt;&gt;1,"",IF(I3340="SBJ","CB","?"))</f>
        <v> </v>
      </c>
      <c r="I3340" s="25" t="str">
        <f>IF(OR(E3340="",E3340="!!!",F3340="NEW"),"",INDEX(B3339:B$2,-1+SUMPRODUCT(MAX(ROW(E3339:E$2)*(E3340=E3339:E$2)))))</f>
        <v> </v>
      </c>
      <c r="J3340" s="25" t="str">
        <f>IF(OR(E3340="",E3340="!!!",F3340="NEW"),"",COUNTBLANK(OFFSET(A$1,,,SUMPRODUCT(MAX(ROW(E$2:E3340)*(E3340=E$2:E3340)))))-COUNTBLANK(OFFSET(A$1,,,SUMPRODUCT(MAX(ROW(E$1:E3339)*(E2=E$1:E3339))))))</f>
        <v> </v>
      </c>
      <c r="K3340" s="25" t="str">
        <f>IF(OR(E3340="",E3340="!!!",F3340="NEW"),"",INDEX(J$1:J3339,SUMPRODUCT(MAX(ROW(E$1:E3339)*(E3340=E$1:E3339)))))</f>
        <v> </v>
      </c>
      <c r="L3340" s="26"/>
    </row>
    <row r="3341" spans="1:12">
      <c r="A3341" s="20" t="s">
        <v>2157</v>
      </c>
      <c r="E3341" s="21">
        <f>IF(D3341="?OLD","!!!","")</f>
        <v/>
      </c>
      <c r="F3341" s="22" t="str">
        <f>IF(OR(E3341="",E3341="!!!"),"",IF(NOT(ISNA(VLOOKUP(E3341,E$1:E3340,1,FALSE()))),"OLD",IF(AND(E3341&lt;&gt;"",E3341&lt;&gt;"!!!"),"NEW","")))</f>
        <v> </v>
      </c>
      <c r="G3341" s="23" t="str">
        <f>IF(OR(E3341="",E3341="!!!"),"",IF(OR(J3341=0,AND(J3341=1,K3341=1),AND(J3341=1,I3341="SBJ"),AND(J3341=1,I3341=0)),"?IN_FOCUS",IF(J3341&lt;=2,"?ACTIVATED",IF(J3341&lt;&gt;"","?FAMILIAR",IF(F3341="NEW",IF(ISNA(VLOOKUP(E3341,#REF!,1,FALSE())),"?TYPE_IDENTIFIABLE","?REFERENTIAL"),"_")))))</f>
        <v> </v>
      </c>
      <c r="H3341" s="24" t="str">
        <f>IF(J3341&lt;&gt;1,"",IF(I3341="SBJ","CB","?"))</f>
        <v> </v>
      </c>
      <c r="I3341" s="25" t="str">
        <f>IF(OR(E3341="",E3341="!!!",F3341="NEW"),"",INDEX(B3340:B$2,-1+SUMPRODUCT(MAX(ROW(E3340:E$2)*(E3341=E3340:E$2)))))</f>
        <v> </v>
      </c>
      <c r="J3341" s="25" t="str">
        <f>IF(OR(E3341="",E3341="!!!",F3341="NEW"),"",COUNTBLANK(OFFSET(A$1,,,SUMPRODUCT(MAX(ROW(E$2:E3341)*(E3341=E$2:E3341)))))-COUNTBLANK(OFFSET(A$1,,,SUMPRODUCT(MAX(ROW(E$1:E3340)*(E2=E$1:E3340))))))</f>
        <v> </v>
      </c>
      <c r="K3341" s="25" t="str">
        <f>IF(OR(E3341="",E3341="!!!",F3341="NEW"),"",INDEX(J$1:J3340,SUMPRODUCT(MAX(ROW(E$1:E3340)*(E3341=E$1:E3340)))))</f>
        <v> </v>
      </c>
      <c r="L3341" s="26"/>
    </row>
    <row r="3342" spans="1:12">
      <c r="A3342" s="20" t="s">
        <v>1256</v>
      </c>
      <c r="B3342" s="27" t="s">
        <v>1092</v>
      </c>
      <c r="C3342" s="27" t="s">
        <v>1134</v>
      </c>
      <c r="D3342" s="27" t="s">
        <v>1069</v>
      </c>
      <c r="E3342" s="21">
        <f>IF(D3342="?OLD","!!!","")</f>
        <v/>
      </c>
      <c r="F3342" s="22" t="str">
        <f>IF(OR(E3342="",E3342="!!!"),"",IF(NOT(ISNA(VLOOKUP(E3342,E$1:E3341,1,FALSE()))),"OLD",IF(AND(E3342&lt;&gt;"",E3342&lt;&gt;"!!!"),"NEW","")))</f>
        <v> </v>
      </c>
      <c r="G3342" s="23" t="str">
        <f>IF(OR(E3342="",E3342="!!!"),"",IF(OR(J3342=0,AND(J3342=1,K3342=1),AND(J3342=1,I3342="SBJ"),AND(J3342=1,I3342=0)),"?IN_FOCUS",IF(J3342&lt;=2,"?ACTIVATED",IF(J3342&lt;&gt;"","?FAMILIAR",IF(F3342="NEW",IF(ISNA(VLOOKUP(E3342,#REF!,1,FALSE())),"?TYPE_IDENTIFIABLE","?REFERENTIAL"),"_")))))</f>
        <v> </v>
      </c>
      <c r="H3342" s="24" t="str">
        <f>IF(J3342&lt;&gt;1,"",IF(I3342="SBJ","CB","?"))</f>
        <v> </v>
      </c>
      <c r="I3342" s="25" t="str">
        <f>IF(OR(E3342="",E3342="!!!",F3342="NEW"),"",INDEX(B3341:B$2,-1+SUMPRODUCT(MAX(ROW(E3341:E$2)*(E3342=E3341:E$2)))))</f>
        <v> </v>
      </c>
      <c r="J3342" s="25" t="str">
        <f>IF(OR(E3342="",E3342="!!!",F3342="NEW"),"",COUNTBLANK(OFFSET(A$1,,,SUMPRODUCT(MAX(ROW(E$2:E3342)*(E3342=E$2:E3342)))))-COUNTBLANK(OFFSET(A$1,,,SUMPRODUCT(MAX(ROW(E$1:E3341)*(E2=E$1:E3341))))))</f>
        <v> </v>
      </c>
      <c r="K3342" s="25" t="str">
        <f>IF(OR(E3342="",E3342="!!!",F3342="NEW"),"",INDEX(J$1:J3341,SUMPRODUCT(MAX(ROW(E$1:E3341)*(E3342=E$1:E3341)))))</f>
        <v> </v>
      </c>
      <c r="L3342" s="26"/>
    </row>
    <row r="3343" spans="1:12">
      <c r="A3343" s="20" t="s">
        <v>1184</v>
      </c>
      <c r="E3343" s="21">
        <f>IF(D3343="?OLD","!!!","")</f>
        <v/>
      </c>
      <c r="F3343" s="22" t="str">
        <f>IF(OR(E3343="",E3343="!!!"),"",IF(NOT(ISNA(VLOOKUP(E3343,E$1:E3342,1,FALSE()))),"OLD",IF(AND(E3343&lt;&gt;"",E3343&lt;&gt;"!!!"),"NEW","")))</f>
        <v> </v>
      </c>
      <c r="G3343" s="23" t="str">
        <f>IF(OR(E3343="",E3343="!!!"),"",IF(OR(J3343=0,AND(J3343=1,K3343=1),AND(J3343=1,I3343="SBJ"),AND(J3343=1,I3343=0)),"?IN_FOCUS",IF(J3343&lt;=2,"?ACTIVATED",IF(J3343&lt;&gt;"","?FAMILIAR",IF(F3343="NEW",IF(ISNA(VLOOKUP(E3343,#REF!,1,FALSE())),"?TYPE_IDENTIFIABLE","?REFERENTIAL"),"_")))))</f>
        <v> </v>
      </c>
      <c r="H3343" s="24" t="str">
        <f>IF(J3343&lt;&gt;1,"",IF(I3343="SBJ","CB","?"))</f>
        <v> </v>
      </c>
      <c r="I3343" s="25" t="str">
        <f>IF(OR(E3343="",E3343="!!!",F3343="NEW"),"",INDEX(B3342:B$2,-1+SUMPRODUCT(MAX(ROW(E3342:E$2)*(E3343=E3342:E$2)))))</f>
        <v> </v>
      </c>
      <c r="J3343" s="25" t="str">
        <f>IF(OR(E3343="",E3343="!!!",F3343="NEW"),"",COUNTBLANK(OFFSET(A$1,,,SUMPRODUCT(MAX(ROW(E$2:E3343)*(E3343=E$2:E3343)))))-COUNTBLANK(OFFSET(A$1,,,SUMPRODUCT(MAX(ROW(E$1:E3342)*(E2=E$1:E3342))))))</f>
        <v> </v>
      </c>
      <c r="K3343" s="25" t="str">
        <f>IF(OR(E3343="",E3343="!!!",F3343="NEW"),"",INDEX(J$1:J3342,SUMPRODUCT(MAX(ROW(E$1:E3342)*(E3343=E$1:E3342)))))</f>
        <v> </v>
      </c>
      <c r="L3343" s="26"/>
    </row>
    <row r="3344" spans="1:12">
      <c r="A3344" s="20" t="s">
        <v>2158</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t="s">
        <v>1080</v>
      </c>
      <c r="E3345" s="21">
        <f>IF(D3345="?OLD","!!!","")</f>
        <v/>
      </c>
      <c r="F3345" s="22" t="str">
        <f>IF(OR(E3345="",E3345="!!!"),"",IF(NOT(ISNA(VLOOKUP(E3345,E$1:E3344,1,FALSE()))),"OLD",IF(AND(E3345&lt;&gt;"",E3345&lt;&gt;"!!!"),"NEW","")))</f>
        <v> </v>
      </c>
      <c r="G3345" s="23" t="str">
        <f>IF(OR(E3345="",E3345="!!!"),"",IF(OR(J3345=0,AND(J3345=1,K3345=1),AND(J3345=1,I3345="SBJ"),AND(J3345=1,I3345=0)),"?IN_FOCUS",IF(J3345&lt;=2,"?ACTIVATED",IF(J3345&lt;&gt;"","?FAMILIAR",IF(F3345="NEW",IF(ISNA(VLOOKUP(E3345,#REF!,1,FALSE())),"?TYPE_IDENTIFIABLE","?REFERENTIAL"),"_")))))</f>
        <v> </v>
      </c>
      <c r="H3345" s="24" t="str">
        <f>IF(J3345&lt;&gt;1,"",IF(I3345="SBJ","CB","?"))</f>
        <v> </v>
      </c>
      <c r="I3345" s="25" t="str">
        <f>IF(OR(E3345="",E3345="!!!",F3345="NEW"),"",INDEX(B3344:B$2,-1+SUMPRODUCT(MAX(ROW(E3344:E$2)*(E3345=E3344:E$2)))))</f>
        <v> </v>
      </c>
      <c r="J3345" s="25" t="str">
        <f>IF(OR(E3345="",E3345="!!!",F3345="NEW"),"",COUNTBLANK(OFFSET(A$1,,,SUMPRODUCT(MAX(ROW(E$2:E3345)*(E3345=E$2:E3345)))))-COUNTBLANK(OFFSET(A$1,,,SUMPRODUCT(MAX(ROW(E$1:E3344)*(E2=E$1:E3344))))))</f>
        <v> </v>
      </c>
      <c r="K3345" s="25" t="str">
        <f>IF(OR(E3345="",E3345="!!!",F3345="NEW"),"",INDEX(J$1:J3344,SUMPRODUCT(MAX(ROW(E$1:E3344)*(E3345=E$1:E3344)))))</f>
        <v> </v>
      </c>
      <c r="L3345" s="26"/>
    </row>
    <row r="3346" spans="1:12">
      <c r="A3346" s="20"/>
    </row>
    <row r="3347" spans="1:12">
      <c r="A3347" s="20" t="s">
        <v>2159</v>
      </c>
    </row>
    <row r="3348" spans="1:12">
      <c r="A3348" s="20" t="s">
        <v>1823</v>
      </c>
      <c r="B3348" s="27" t="s">
        <v>1071</v>
      </c>
      <c r="C3348" s="27" t="s">
        <v>1129</v>
      </c>
      <c r="D3348" s="27" t="s">
        <v>1069</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t="s">
        <v>686</v>
      </c>
      <c r="B3349" s="27" t="s">
        <v>1160</v>
      </c>
      <c r="C3349" s="27" t="s">
        <v>1131</v>
      </c>
      <c r="D3349" s="27" t="s">
        <v>1069</v>
      </c>
      <c r="E3349" s="21">
        <f>IF(D3349="?OLD","!!!","")</f>
        <v/>
      </c>
      <c r="F3349" s="22" t="str">
        <f>IF(OR(E3349="",E3349="!!!"),"",IF(NOT(ISNA(VLOOKUP(E3349,E$1:E3348,1,FALSE()))),"OLD",IF(AND(E3349&lt;&gt;"",E3349&lt;&gt;"!!!"),"NEW","")))</f>
        <v> </v>
      </c>
      <c r="G3349" s="23" t="str">
        <f>IF(OR(E3349="",E3349="!!!"),"",IF(OR(J3349=0,AND(J3349=1,K3349=1),AND(J3349=1,I3349="SBJ"),AND(J3349=1,I3349=0)),"?IN_FOCUS",IF(J3349&lt;=2,"?ACTIVATED",IF(J3349&lt;&gt;"","?FAMILIAR",IF(F3349="NEW",IF(ISNA(VLOOKUP(E3349,#REF!,1,FALSE())),"?TYPE_IDENTIFIABLE","?REFERENTIAL"),"_")))))</f>
        <v> </v>
      </c>
      <c r="H3349" s="24" t="str">
        <f>IF(J3349&lt;&gt;1,"",IF(I3349="SBJ","CB","?"))</f>
        <v> </v>
      </c>
      <c r="I3349" s="25" t="str">
        <f>IF(OR(E3349="",E3349="!!!",F3349="NEW"),"",INDEX(B3348:B$2,-1+SUMPRODUCT(MAX(ROW(E3348:E$2)*(E3349=E3348:E$2)))))</f>
        <v> </v>
      </c>
      <c r="J3349" s="25" t="str">
        <f>IF(OR(E3349="",E3349="!!!",F3349="NEW"),"",COUNTBLANK(OFFSET(A$1,,,SUMPRODUCT(MAX(ROW(E$2:E3349)*(E3349=E$2:E3349)))))-COUNTBLANK(OFFSET(A$1,,,SUMPRODUCT(MAX(ROW(E$1:E3348)*(E2=E$1:E3348))))))</f>
        <v> </v>
      </c>
      <c r="K3349" s="25" t="str">
        <f>IF(OR(E3349="",E3349="!!!",F3349="NEW"),"",INDEX(J$1:J3348,SUMPRODUCT(MAX(ROW(E$1:E3348)*(E3349=E$1:E3348)))))</f>
        <v> </v>
      </c>
      <c r="L3349" s="26"/>
    </row>
    <row r="3350" spans="1:12">
      <c r="A3350" s="20" t="s">
        <v>2160</v>
      </c>
      <c r="E3350" s="21">
        <f>IF(D3350="?OLD","!!!","")</f>
        <v/>
      </c>
      <c r="F3350" s="22" t="str">
        <f>IF(OR(E3350="",E3350="!!!"),"",IF(NOT(ISNA(VLOOKUP(E3350,E$1:E3349,1,FALSE()))),"OLD",IF(AND(E3350&lt;&gt;"",E3350&lt;&gt;"!!!"),"NEW","")))</f>
        <v> </v>
      </c>
      <c r="G3350" s="23" t="str">
        <f>IF(OR(E3350="",E3350="!!!"),"",IF(OR(J3350=0,AND(J3350=1,K3350=1),AND(J3350=1,I3350="SBJ"),AND(J3350=1,I3350=0)),"?IN_FOCUS",IF(J3350&lt;=2,"?ACTIVATED",IF(J3350&lt;&gt;"","?FAMILIAR",IF(F3350="NEW",IF(ISNA(VLOOKUP(E3350,#REF!,1,FALSE())),"?TYPE_IDENTIFIABLE","?REFERENTIAL"),"_")))))</f>
        <v> </v>
      </c>
      <c r="H3350" s="24" t="str">
        <f>IF(J3350&lt;&gt;1,"",IF(I3350="SBJ","CB","?"))</f>
        <v> </v>
      </c>
      <c r="I3350" s="25" t="str">
        <f>IF(OR(E3350="",E3350="!!!",F3350="NEW"),"",INDEX(B3349:B$2,-1+SUMPRODUCT(MAX(ROW(E3349:E$2)*(E3350=E3349:E$2)))))</f>
        <v> </v>
      </c>
      <c r="J3350" s="25" t="str">
        <f>IF(OR(E3350="",E3350="!!!",F3350="NEW"),"",COUNTBLANK(OFFSET(A$1,,,SUMPRODUCT(MAX(ROW(E$2:E3350)*(E3350=E$2:E3350)))))-COUNTBLANK(OFFSET(A$1,,,SUMPRODUCT(MAX(ROW(E$1:E3349)*(E2=E$1:E3349))))))</f>
        <v> </v>
      </c>
      <c r="K3350" s="25" t="str">
        <f>IF(OR(E3350="",E3350="!!!",F3350="NEW"),"",INDEX(J$1:J3349,SUMPRODUCT(MAX(ROW(E$1:E3349)*(E3350=E$1:E3349)))))</f>
        <v> </v>
      </c>
      <c r="L3350" s="26"/>
    </row>
    <row r="3351" spans="1:12">
      <c r="A3351" s="20" t="s">
        <v>1066</v>
      </c>
      <c r="B3351" s="27" t="s">
        <v>1067</v>
      </c>
      <c r="C3351" s="27" t="s">
        <v>1068</v>
      </c>
      <c r="D3351" s="27" t="s">
        <v>1069</v>
      </c>
      <c r="E3351" s="21">
        <f>IF(D3351="?OLD","!!!","")</f>
        <v/>
      </c>
      <c r="F3351" s="22" t="str">
        <f>IF(OR(E3351="",E3351="!!!"),"",IF(NOT(ISNA(VLOOKUP(E3351,E$1:E3350,1,FALSE()))),"OLD",IF(AND(E3351&lt;&gt;"",E3351&lt;&gt;"!!!"),"NEW","")))</f>
        <v> </v>
      </c>
      <c r="G3351" s="23" t="str">
        <f>IF(OR(E3351="",E3351="!!!"),"",IF(OR(J3351=0,AND(J3351=1,K3351=1),AND(J3351=1,I3351="SBJ"),AND(J3351=1,I3351=0)),"?IN_FOCUS",IF(J3351&lt;=2,"?ACTIVATED",IF(J3351&lt;&gt;"","?FAMILIAR",IF(F3351="NEW",IF(ISNA(VLOOKUP(E3351,#REF!,1,FALSE())),"?TYPE_IDENTIFIABLE","?REFERENTIAL"),"_")))))</f>
        <v> </v>
      </c>
      <c r="H3351" s="24" t="str">
        <f>IF(J3351&lt;&gt;1,"",IF(I3351="SBJ","CB","?"))</f>
        <v> </v>
      </c>
      <c r="I3351" s="25" t="str">
        <f>IF(OR(E3351="",E3351="!!!",F3351="NEW"),"",INDEX(B3350:B$2,-1+SUMPRODUCT(MAX(ROW(E3350:E$2)*(E3351=E3350:E$2)))))</f>
        <v> </v>
      </c>
      <c r="J3351" s="25" t="str">
        <f>IF(OR(E3351="",E3351="!!!",F3351="NEW"),"",COUNTBLANK(OFFSET(A$1,,,SUMPRODUCT(MAX(ROW(E$2:E3351)*(E3351=E$2:E3351)))))-COUNTBLANK(OFFSET(A$1,,,SUMPRODUCT(MAX(ROW(E$1:E3350)*(E2=E$1:E3350))))))</f>
        <v> </v>
      </c>
      <c r="K3351" s="25" t="str">
        <f>IF(OR(E3351="",E3351="!!!",F3351="NEW"),"",INDEX(J$1:J3350,SUMPRODUCT(MAX(ROW(E$1:E3350)*(E3351=E$1:E3350)))))</f>
        <v> </v>
      </c>
      <c r="L3351" s="26"/>
    </row>
    <row r="3352" spans="1:12">
      <c r="A3352" s="20" t="s">
        <v>1080</v>
      </c>
      <c r="E3352" s="21">
        <f>IF(D3352="?OLD","!!!","")</f>
        <v/>
      </c>
      <c r="F3352" s="22" t="str">
        <f>IF(OR(E3352="",E3352="!!!"),"",IF(NOT(ISNA(VLOOKUP(E3352,E$1:E3351,1,FALSE()))),"OLD",IF(AND(E3352&lt;&gt;"",E3352&lt;&gt;"!!!"),"NEW","")))</f>
        <v> </v>
      </c>
      <c r="G3352" s="23" t="str">
        <f>IF(OR(E3352="",E3352="!!!"),"",IF(OR(J3352=0,AND(J3352=1,K3352=1),AND(J3352=1,I3352="SBJ"),AND(J3352=1,I3352=0)),"?IN_FOCUS",IF(J3352&lt;=2,"?ACTIVATED",IF(J3352&lt;&gt;"","?FAMILIAR",IF(F3352="NEW",IF(ISNA(VLOOKUP(E3352,#REF!,1,FALSE())),"?TYPE_IDENTIFIABLE","?REFERENTIAL"),"_")))))</f>
        <v> </v>
      </c>
      <c r="H3352" s="24" t="str">
        <f>IF(J3352&lt;&gt;1,"",IF(I3352="SBJ","CB","?"))</f>
        <v> </v>
      </c>
      <c r="I3352" s="25" t="str">
        <f>IF(OR(E3352="",E3352="!!!",F3352="NEW"),"",INDEX(B3351:B$2,-1+SUMPRODUCT(MAX(ROW(E3351:E$2)*(E3352=E3351:E$2)))))</f>
        <v> </v>
      </c>
      <c r="J3352" s="25" t="str">
        <f>IF(OR(E3352="",E3352="!!!",F3352="NEW"),"",COUNTBLANK(OFFSET(A$1,,,SUMPRODUCT(MAX(ROW(E$2:E3352)*(E3352=E$2:E3352)))))-COUNTBLANK(OFFSET(A$1,,,SUMPRODUCT(MAX(ROW(E$1:E3351)*(E2=E$1:E3351))))))</f>
        <v> </v>
      </c>
      <c r="K3352" s="25" t="str">
        <f>IF(OR(E3352="",E3352="!!!",F3352="NEW"),"",INDEX(J$1:J3351,SUMPRODUCT(MAX(ROW(E$1:E3351)*(E3352=E$1:E3351)))))</f>
        <v> </v>
      </c>
      <c r="L3352" s="26"/>
    </row>
    <row r="3353" spans="1:12">
      <c r="A3353" s="20"/>
    </row>
    <row r="3354" spans="1:12">
      <c r="A3354" s="20" t="s">
        <v>2161</v>
      </c>
    </row>
    <row r="3355" spans="1:12">
      <c r="A3355" s="20" t="s">
        <v>2162</v>
      </c>
      <c r="B3355" s="27" t="s">
        <v>1067</v>
      </c>
      <c r="C3355" s="27" t="s">
        <v>1129</v>
      </c>
      <c r="D3355" s="27" t="s">
        <v>1069</v>
      </c>
      <c r="E3355" s="21">
        <f>IF(D3355="?OLD","!!!","")</f>
        <v/>
      </c>
      <c r="F3355" s="22" t="str">
        <f>IF(OR(E3355="",E3355="!!!"),"",IF(NOT(ISNA(VLOOKUP(E3355,E$1:E3354,1,FALSE()))),"OLD",IF(AND(E3355&lt;&gt;"",E3355&lt;&gt;"!!!"),"NEW","")))</f>
        <v> </v>
      </c>
      <c r="G3355" s="23" t="str">
        <f>IF(OR(E3355="",E3355="!!!"),"",IF(OR(J3355=0,AND(J3355=1,K3355=1),AND(J3355=1,I3355="SBJ"),AND(J3355=1,I3355=0)),"?IN_FOCUS",IF(J3355&lt;=2,"?ACTIVATED",IF(J3355&lt;&gt;"","?FAMILIAR",IF(F3355="NEW",IF(ISNA(VLOOKUP(E3355,#REF!,1,FALSE())),"?TYPE_IDENTIFIABLE","?REFERENTIAL"),"_")))))</f>
        <v> </v>
      </c>
      <c r="H3355" s="24" t="str">
        <f>IF(J3355&lt;&gt;1,"",IF(I3355="SBJ","CB","?"))</f>
        <v> </v>
      </c>
      <c r="I3355" s="25" t="str">
        <f>IF(OR(E3355="",E3355="!!!",F3355="NEW"),"",INDEX(B3354:B$2,-1+SUMPRODUCT(MAX(ROW(E3354:E$2)*(E3355=E3354:E$2)))))</f>
        <v> </v>
      </c>
      <c r="J3355" s="25" t="str">
        <f>IF(OR(E3355="",E3355="!!!",F3355="NEW"),"",COUNTBLANK(OFFSET(A$1,,,SUMPRODUCT(MAX(ROW(E$2:E3355)*(E3355=E$2:E3355)))))-COUNTBLANK(OFFSET(A$1,,,SUMPRODUCT(MAX(ROW(E$1:E3354)*(E2=E$1:E3354))))))</f>
        <v> </v>
      </c>
      <c r="K3355" s="25" t="str">
        <f>IF(OR(E3355="",E3355="!!!",F3355="NEW"),"",INDEX(J$1:J3354,SUMPRODUCT(MAX(ROW(E$1:E3354)*(E3355=E$1:E3354)))))</f>
        <v> </v>
      </c>
      <c r="L3355" s="26"/>
    </row>
    <row r="3356" spans="1:12">
      <c r="A3356" s="20" t="s">
        <v>1268</v>
      </c>
      <c r="E3356" s="21">
        <f>IF(D3356="?OLD","!!!","")</f>
        <v/>
      </c>
      <c r="F3356" s="22" t="str">
        <f>IF(OR(E3356="",E3356="!!!"),"",IF(NOT(ISNA(VLOOKUP(E3356,E$1:E3355,1,FALSE()))),"OLD",IF(AND(E3356&lt;&gt;"",E3356&lt;&gt;"!!!"),"NEW","")))</f>
        <v> </v>
      </c>
      <c r="G3356" s="23" t="str">
        <f>IF(OR(E3356="",E3356="!!!"),"",IF(OR(J3356=0,AND(J3356=1,K3356=1),AND(J3356=1,I3356="SBJ"),AND(J3356=1,I3356=0)),"?IN_FOCUS",IF(J3356&lt;=2,"?ACTIVATED",IF(J3356&lt;&gt;"","?FAMILIAR",IF(F3356="NEW",IF(ISNA(VLOOKUP(E3356,#REF!,1,FALSE())),"?TYPE_IDENTIFIABLE","?REFERENTIAL"),"_")))))</f>
        <v> </v>
      </c>
      <c r="H3356" s="24" t="str">
        <f>IF(J3356&lt;&gt;1,"",IF(I3356="SBJ","CB","?"))</f>
        <v> </v>
      </c>
      <c r="I3356" s="25" t="str">
        <f>IF(OR(E3356="",E3356="!!!",F3356="NEW"),"",INDEX(B3355:B$2,-1+SUMPRODUCT(MAX(ROW(E3355:E$2)*(E3356=E3355:E$2)))))</f>
        <v> </v>
      </c>
      <c r="J3356" s="25" t="str">
        <f>IF(OR(E3356="",E3356="!!!",F3356="NEW"),"",COUNTBLANK(OFFSET(A$1,,,SUMPRODUCT(MAX(ROW(E$2:E3356)*(E3356=E$2:E3356)))))-COUNTBLANK(OFFSET(A$1,,,SUMPRODUCT(MAX(ROW(E$1:E3355)*(E2=E$1:E3355))))))</f>
        <v> </v>
      </c>
      <c r="K3356" s="25" t="str">
        <f>IF(OR(E3356="",E3356="!!!",F3356="NEW"),"",INDEX(J$1:J3355,SUMPRODUCT(MAX(ROW(E$1:E3355)*(E3356=E$1:E3355)))))</f>
        <v> </v>
      </c>
      <c r="L3356" s="26"/>
    </row>
    <row r="3357" spans="1:12">
      <c r="A3357" s="20" t="s">
        <v>1104</v>
      </c>
      <c r="E3357" s="21">
        <f>IF(D3357="?OLD","!!!","")</f>
        <v/>
      </c>
      <c r="F3357" s="22" t="str">
        <f>IF(OR(E3357="",E3357="!!!"),"",IF(NOT(ISNA(VLOOKUP(E3357,E$1:E3356,1,FALSE()))),"OLD",IF(AND(E3357&lt;&gt;"",E3357&lt;&gt;"!!!"),"NEW","")))</f>
        <v> </v>
      </c>
      <c r="G3357" s="23" t="str">
        <f>IF(OR(E3357="",E3357="!!!"),"",IF(OR(J3357=0,AND(J3357=1,K3357=1),AND(J3357=1,I3357="SBJ"),AND(J3357=1,I3357=0)),"?IN_FOCUS",IF(J3357&lt;=2,"?ACTIVATED",IF(J3357&lt;&gt;"","?FAMILIAR",IF(F3357="NEW",IF(ISNA(VLOOKUP(E3357,#REF!,1,FALSE())),"?TYPE_IDENTIFIABLE","?REFERENTIAL"),"_")))))</f>
        <v> </v>
      </c>
      <c r="H3357" s="24" t="str">
        <f>IF(J3357&lt;&gt;1,"",IF(I3357="SBJ","CB","?"))</f>
        <v> </v>
      </c>
      <c r="I3357" s="25" t="str">
        <f>IF(OR(E3357="",E3357="!!!",F3357="NEW"),"",INDEX(B3356:B$2,-1+SUMPRODUCT(MAX(ROW(E3356:E$2)*(E3357=E3356:E$2)))))</f>
        <v> </v>
      </c>
      <c r="J3357" s="25" t="str">
        <f>IF(OR(E3357="",E3357="!!!",F3357="NEW"),"",COUNTBLANK(OFFSET(A$1,,,SUMPRODUCT(MAX(ROW(E$2:E3357)*(E3357=E$2:E3357)))))-COUNTBLANK(OFFSET(A$1,,,SUMPRODUCT(MAX(ROW(E$1:E3356)*(E2=E$1:E3356))))))</f>
        <v> </v>
      </c>
      <c r="K3357" s="25" t="str">
        <f>IF(OR(E3357="",E3357="!!!",F3357="NEW"),"",INDEX(J$1:J3356,SUMPRODUCT(MAX(ROW(E$1:E3356)*(E3357=E$1:E3356)))))</f>
        <v> </v>
      </c>
      <c r="L3357" s="26"/>
    </row>
    <row r="3358" spans="1:12">
      <c r="A3358" s="20" t="s">
        <v>1728</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t="s">
        <v>2163</v>
      </c>
      <c r="B3359" s="27" t="s">
        <v>1160</v>
      </c>
      <c r="C3359" s="27" t="s">
        <v>1086</v>
      </c>
      <c r="D3359" s="27" t="s">
        <v>1069</v>
      </c>
      <c r="E3359" s="21">
        <f>IF(D3359="?OLD","!!!","")</f>
        <v/>
      </c>
      <c r="F3359" s="22" t="str">
        <f>IF(OR(E3359="",E3359="!!!"),"",IF(NOT(ISNA(VLOOKUP(E3359,E$1:E3358,1,FALSE()))),"OLD",IF(AND(E3359&lt;&gt;"",E3359&lt;&gt;"!!!"),"NEW","")))</f>
        <v> </v>
      </c>
      <c r="G3359" s="23" t="str">
        <f>IF(OR(E3359="",E3359="!!!"),"",IF(OR(J3359=0,AND(J3359=1,K3359=1),AND(J3359=1,I3359="SBJ"),AND(J3359=1,I3359=0)),"?IN_FOCUS",IF(J3359&lt;=2,"?ACTIVATED",IF(J3359&lt;&gt;"","?FAMILIAR",IF(F3359="NEW",IF(ISNA(VLOOKUP(E3359,#REF!,1,FALSE())),"?TYPE_IDENTIFIABLE","?REFERENTIAL"),"_")))))</f>
        <v> </v>
      </c>
      <c r="H3359" s="24" t="str">
        <f>IF(J3359&lt;&gt;1,"",IF(I3359="SBJ","CB","?"))</f>
        <v> </v>
      </c>
      <c r="I3359" s="25" t="str">
        <f>IF(OR(E3359="",E3359="!!!",F3359="NEW"),"",INDEX(B3358:B$2,-1+SUMPRODUCT(MAX(ROW(E3358:E$2)*(E3359=E3358:E$2)))))</f>
        <v> </v>
      </c>
      <c r="J3359" s="25" t="str">
        <f>IF(OR(E3359="",E3359="!!!",F3359="NEW"),"",COUNTBLANK(OFFSET(A$1,,,SUMPRODUCT(MAX(ROW(E$2:E3359)*(E3359=E$2:E3359)))))-COUNTBLANK(OFFSET(A$1,,,SUMPRODUCT(MAX(ROW(E$1:E3358)*(E2=E$1:E3358))))))</f>
        <v> </v>
      </c>
      <c r="K3359" s="25" t="str">
        <f>IF(OR(E3359="",E3359="!!!",F3359="NEW"),"",INDEX(J$1:J3358,SUMPRODUCT(MAX(ROW(E$1:E3358)*(E3359=E$1:E3358)))))</f>
        <v> </v>
      </c>
      <c r="L3359" s="26"/>
    </row>
    <row r="3360" spans="1:12">
      <c r="A3360" s="20" t="s">
        <v>1080</v>
      </c>
      <c r="E3360" s="21">
        <f>IF(D3360="?OLD","!!!","")</f>
        <v/>
      </c>
      <c r="F3360" s="22" t="str">
        <f>IF(OR(E3360="",E3360="!!!"),"",IF(NOT(ISNA(VLOOKUP(E3360,E$1:E3359,1,FALSE()))),"OLD",IF(AND(E3360&lt;&gt;"",E3360&lt;&gt;"!!!"),"NEW","")))</f>
        <v> </v>
      </c>
      <c r="G3360" s="23" t="str">
        <f>IF(OR(E3360="",E3360="!!!"),"",IF(OR(J3360=0,AND(J3360=1,K3360=1),AND(J3360=1,I3360="SBJ"),AND(J3360=1,I3360=0)),"?IN_FOCUS",IF(J3360&lt;=2,"?ACTIVATED",IF(J3360&lt;&gt;"","?FAMILIAR",IF(F3360="NEW",IF(ISNA(VLOOKUP(E3360,#REF!,1,FALSE())),"?TYPE_IDENTIFIABLE","?REFERENTIAL"),"_")))))</f>
        <v> </v>
      </c>
      <c r="H3360" s="24" t="str">
        <f>IF(J3360&lt;&gt;1,"",IF(I3360="SBJ","CB","?"))</f>
        <v> </v>
      </c>
      <c r="I3360" s="25" t="str">
        <f>IF(OR(E3360="",E3360="!!!",F3360="NEW"),"",INDEX(B3359:B$2,-1+SUMPRODUCT(MAX(ROW(E3359:E$2)*(E3360=E3359:E$2)))))</f>
        <v> </v>
      </c>
      <c r="J3360" s="25" t="str">
        <f>IF(OR(E3360="",E3360="!!!",F3360="NEW"),"",COUNTBLANK(OFFSET(A$1,,,SUMPRODUCT(MAX(ROW(E$2:E3360)*(E3360=E$2:E3360)))))-COUNTBLANK(OFFSET(A$1,,,SUMPRODUCT(MAX(ROW(E$1:E3359)*(E2=E$1:E3359))))))</f>
        <v> </v>
      </c>
      <c r="K3360" s="25" t="str">
        <f>IF(OR(E3360="",E3360="!!!",F3360="NEW"),"",INDEX(J$1:J3359,SUMPRODUCT(MAX(ROW(E$1:E3359)*(E3360=E$1:E3359)))))</f>
        <v> </v>
      </c>
      <c r="L3360" s="26"/>
    </row>
    <row r="3361" spans="1:12">
      <c r="A3361" s="20"/>
    </row>
    <row r="3362" spans="1:12">
      <c r="A3362" s="20" t="s">
        <v>2164</v>
      </c>
    </row>
    <row r="3363" spans="1:12">
      <c r="A3363" s="20" t="s">
        <v>1436</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1108</v>
      </c>
      <c r="B3364" s="27" t="s">
        <v>1095</v>
      </c>
      <c r="C3364" s="27" t="s">
        <v>1110</v>
      </c>
      <c r="D3364" s="27" t="s">
        <v>1069</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t="s">
        <v>1823</v>
      </c>
      <c r="B3365" s="27" t="s">
        <v>1092</v>
      </c>
      <c r="C3365" s="27" t="s">
        <v>1129</v>
      </c>
      <c r="D3365" s="27" t="s">
        <v>1069</v>
      </c>
      <c r="E3365" s="21">
        <f>IF(D3365="?OLD","!!!","")</f>
        <v/>
      </c>
      <c r="F3365" s="22" t="str">
        <f>IF(OR(E3365="",E3365="!!!"),"",IF(NOT(ISNA(VLOOKUP(E3365,E$1:E3364,1,FALSE()))),"OLD",IF(AND(E3365&lt;&gt;"",E3365&lt;&gt;"!!!"),"NEW","")))</f>
        <v> </v>
      </c>
      <c r="G3365" s="23" t="str">
        <f>IF(OR(E3365="",E3365="!!!"),"",IF(OR(J3365=0,AND(J3365=1,K3365=1),AND(J3365=1,I3365="SBJ"),AND(J3365=1,I3365=0)),"?IN_FOCUS",IF(J3365&lt;=2,"?ACTIVATED",IF(J3365&lt;&gt;"","?FAMILIAR",IF(F3365="NEW",IF(ISNA(VLOOKUP(E3365,#REF!,1,FALSE())),"?TYPE_IDENTIFIABLE","?REFERENTIAL"),"_")))))</f>
        <v> </v>
      </c>
      <c r="H3365" s="24" t="str">
        <f>IF(J3365&lt;&gt;1,"",IF(I3365="SBJ","CB","?"))</f>
        <v> </v>
      </c>
      <c r="I3365" s="25" t="str">
        <f>IF(OR(E3365="",E3365="!!!",F3365="NEW"),"",INDEX(B3364:B$2,-1+SUMPRODUCT(MAX(ROW(E3364:E$2)*(E3365=E3364:E$2)))))</f>
        <v> </v>
      </c>
      <c r="J3365" s="25" t="str">
        <f>IF(OR(E3365="",E3365="!!!",F3365="NEW"),"",COUNTBLANK(OFFSET(A$1,,,SUMPRODUCT(MAX(ROW(E$2:E3365)*(E3365=E$2:E3365)))))-COUNTBLANK(OFFSET(A$1,,,SUMPRODUCT(MAX(ROW(E$1:E3364)*(E2=E$1:E3364))))))</f>
        <v> </v>
      </c>
      <c r="K3365" s="25" t="str">
        <f>IF(OR(E3365="",E3365="!!!",F3365="NEW"),"",INDEX(J$1:J3364,SUMPRODUCT(MAX(ROW(E$1:E3364)*(E3365=E$1:E3364)))))</f>
        <v> </v>
      </c>
      <c r="L3365" s="26"/>
    </row>
    <row r="3366" spans="1:12">
      <c r="A3366" s="20" t="s">
        <v>686</v>
      </c>
      <c r="B3366" s="27" t="s">
        <v>1090</v>
      </c>
      <c r="C3366" s="27" t="s">
        <v>1131</v>
      </c>
      <c r="D3366" s="27" t="s">
        <v>1069</v>
      </c>
      <c r="E3366" s="21">
        <f>IF(D3366="?OLD","!!!","")</f>
        <v/>
      </c>
      <c r="F3366" s="22" t="str">
        <f>IF(OR(E3366="",E3366="!!!"),"",IF(NOT(ISNA(VLOOKUP(E3366,E$1:E3365,1,FALSE()))),"OLD",IF(AND(E3366&lt;&gt;"",E3366&lt;&gt;"!!!"),"NEW","")))</f>
        <v> </v>
      </c>
      <c r="G3366" s="23" t="str">
        <f>IF(OR(E3366="",E3366="!!!"),"",IF(OR(J3366=0,AND(J3366=1,K3366=1),AND(J3366=1,I3366="SBJ"),AND(J3366=1,I3366=0)),"?IN_FOCUS",IF(J3366&lt;=2,"?ACTIVATED",IF(J3366&lt;&gt;"","?FAMILIAR",IF(F3366="NEW",IF(ISNA(VLOOKUP(E3366,#REF!,1,FALSE())),"?TYPE_IDENTIFIABLE","?REFERENTIAL"),"_")))))</f>
        <v> </v>
      </c>
      <c r="H3366" s="24" t="str">
        <f>IF(J3366&lt;&gt;1,"",IF(I3366="SBJ","CB","?"))</f>
        <v> </v>
      </c>
      <c r="I3366" s="25" t="str">
        <f>IF(OR(E3366="",E3366="!!!",F3366="NEW"),"",INDEX(B3365:B$2,-1+SUMPRODUCT(MAX(ROW(E3365:E$2)*(E3366=E3365:E$2)))))</f>
        <v> </v>
      </c>
      <c r="J3366" s="25" t="str">
        <f>IF(OR(E3366="",E3366="!!!",F3366="NEW"),"",COUNTBLANK(OFFSET(A$1,,,SUMPRODUCT(MAX(ROW(E$2:E3366)*(E3366=E$2:E3366)))))-COUNTBLANK(OFFSET(A$1,,,SUMPRODUCT(MAX(ROW(E$1:E3365)*(E2=E$1:E3365))))))</f>
        <v> </v>
      </c>
      <c r="K3366" s="25" t="str">
        <f>IF(OR(E3366="",E3366="!!!",F3366="NEW"),"",INDEX(J$1:J3365,SUMPRODUCT(MAX(ROW(E$1:E3365)*(E3366=E$1:E3365)))))</f>
        <v> </v>
      </c>
      <c r="L3366" s="26"/>
    </row>
    <row r="3367" spans="1:12">
      <c r="A3367" s="20" t="s">
        <v>1155</v>
      </c>
      <c r="E3367" s="21">
        <f>IF(D3367="?OLD","!!!","")</f>
        <v/>
      </c>
      <c r="F3367" s="22" t="str">
        <f>IF(OR(E3367="",E3367="!!!"),"",IF(NOT(ISNA(VLOOKUP(E3367,E$1:E3366,1,FALSE()))),"OLD",IF(AND(E3367&lt;&gt;"",E3367&lt;&gt;"!!!"),"NEW","")))</f>
        <v> </v>
      </c>
      <c r="G3367" s="23" t="str">
        <f>IF(OR(E3367="",E3367="!!!"),"",IF(OR(J3367=0,AND(J3367=1,K3367=1),AND(J3367=1,I3367="SBJ"),AND(J3367=1,I3367=0)),"?IN_FOCUS",IF(J3367&lt;=2,"?ACTIVATED",IF(J3367&lt;&gt;"","?FAMILIAR",IF(F3367="NEW",IF(ISNA(VLOOKUP(E3367,#REF!,1,FALSE())),"?TYPE_IDENTIFIABLE","?REFERENTIAL"),"_")))))</f>
        <v> </v>
      </c>
      <c r="H3367" s="24" t="str">
        <f>IF(J3367&lt;&gt;1,"",IF(I3367="SBJ","CB","?"))</f>
        <v> </v>
      </c>
      <c r="I3367" s="25" t="str">
        <f>IF(OR(E3367="",E3367="!!!",F3367="NEW"),"",INDEX(B3366:B$2,-1+SUMPRODUCT(MAX(ROW(E3366:E$2)*(E3367=E3366:E$2)))))</f>
        <v> </v>
      </c>
      <c r="J3367" s="25" t="str">
        <f>IF(OR(E3367="",E3367="!!!",F3367="NEW"),"",COUNTBLANK(OFFSET(A$1,,,SUMPRODUCT(MAX(ROW(E$2:E3367)*(E3367=E$2:E3367)))))-COUNTBLANK(OFFSET(A$1,,,SUMPRODUCT(MAX(ROW(E$1:E3366)*(E2=E$1:E3366))))))</f>
        <v> </v>
      </c>
      <c r="K3367" s="25" t="str">
        <f>IF(OR(E3367="",E3367="!!!",F3367="NEW"),"",INDEX(J$1:J3366,SUMPRODUCT(MAX(ROW(E$1:E3366)*(E3367=E$1:E3366)))))</f>
        <v> </v>
      </c>
      <c r="L3367" s="26"/>
    </row>
    <row r="3368" spans="1:12">
      <c r="A3368" s="20" t="s">
        <v>2165</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t="s">
        <v>1087</v>
      </c>
      <c r="E3369" s="21">
        <f>IF(D3369="?OLD","!!!","")</f>
        <v/>
      </c>
      <c r="F3369" s="22" t="str">
        <f>IF(OR(E3369="",E3369="!!!"),"",IF(NOT(ISNA(VLOOKUP(E3369,E$1:E3368,1,FALSE()))),"OLD",IF(AND(E3369&lt;&gt;"",E3369&lt;&gt;"!!!"),"NEW","")))</f>
        <v> </v>
      </c>
      <c r="G3369" s="23" t="str">
        <f>IF(OR(E3369="",E3369="!!!"),"",IF(OR(J3369=0,AND(J3369=1,K3369=1),AND(J3369=1,I3369="SBJ"),AND(J3369=1,I3369=0)),"?IN_FOCUS",IF(J3369&lt;=2,"?ACTIVATED",IF(J3369&lt;&gt;"","?FAMILIAR",IF(F3369="NEW",IF(ISNA(VLOOKUP(E3369,#REF!,1,FALSE())),"?TYPE_IDENTIFIABLE","?REFERENTIAL"),"_")))))</f>
        <v> </v>
      </c>
      <c r="H3369" s="24" t="str">
        <f>IF(J3369&lt;&gt;1,"",IF(I3369="SBJ","CB","?"))</f>
        <v> </v>
      </c>
      <c r="I3369" s="25" t="str">
        <f>IF(OR(E3369="",E3369="!!!",F3369="NEW"),"",INDEX(B3368:B$2,-1+SUMPRODUCT(MAX(ROW(E3368:E$2)*(E3369=E3368:E$2)))))</f>
        <v> </v>
      </c>
      <c r="J3369" s="25" t="str">
        <f>IF(OR(E3369="",E3369="!!!",F3369="NEW"),"",COUNTBLANK(OFFSET(A$1,,,SUMPRODUCT(MAX(ROW(E$2:E3369)*(E3369=E$2:E3369)))))-COUNTBLANK(OFFSET(A$1,,,SUMPRODUCT(MAX(ROW(E$1:E3368)*(E2=E$1:E3368))))))</f>
        <v> </v>
      </c>
      <c r="K3369" s="25" t="str">
        <f>IF(OR(E3369="",E3369="!!!",F3369="NEW"),"",INDEX(J$1:J3368,SUMPRODUCT(MAX(ROW(E$1:E3368)*(E3369=E$1:E3368)))))</f>
        <v> </v>
      </c>
      <c r="L3369" s="26"/>
    </row>
    <row r="3370" spans="1:12">
      <c r="A3370" s="20" t="s">
        <v>1184</v>
      </c>
      <c r="E3370" s="21">
        <f>IF(D3370="?OLD","!!!","")</f>
        <v/>
      </c>
      <c r="F3370" s="22" t="str">
        <f>IF(OR(E3370="",E3370="!!!"),"",IF(NOT(ISNA(VLOOKUP(E3370,E$1:E3369,1,FALSE()))),"OLD",IF(AND(E3370&lt;&gt;"",E3370&lt;&gt;"!!!"),"NEW","")))</f>
        <v> </v>
      </c>
      <c r="G3370" s="23" t="str">
        <f>IF(OR(E3370="",E3370="!!!"),"",IF(OR(J3370=0,AND(J3370=1,K3370=1),AND(J3370=1,I3370="SBJ"),AND(J3370=1,I3370=0)),"?IN_FOCUS",IF(J3370&lt;=2,"?ACTIVATED",IF(J3370&lt;&gt;"","?FAMILIAR",IF(F3370="NEW",IF(ISNA(VLOOKUP(E3370,#REF!,1,FALSE())),"?TYPE_IDENTIFIABLE","?REFERENTIAL"),"_")))))</f>
        <v> </v>
      </c>
      <c r="H3370" s="24" t="str">
        <f>IF(J3370&lt;&gt;1,"",IF(I3370="SBJ","CB","?"))</f>
        <v> </v>
      </c>
      <c r="I3370" s="25" t="str">
        <f>IF(OR(E3370="",E3370="!!!",F3370="NEW"),"",INDEX(B3369:B$2,-1+SUMPRODUCT(MAX(ROW(E3369:E$2)*(E3370=E3369:E$2)))))</f>
        <v> </v>
      </c>
      <c r="J3370" s="25" t="str">
        <f>IF(OR(E3370="",E3370="!!!",F3370="NEW"),"",COUNTBLANK(OFFSET(A$1,,,SUMPRODUCT(MAX(ROW(E$2:E3370)*(E3370=E$2:E3370)))))-COUNTBLANK(OFFSET(A$1,,,SUMPRODUCT(MAX(ROW(E$1:E3369)*(E2=E$1:E3369))))))</f>
        <v> </v>
      </c>
      <c r="K3370" s="25" t="str">
        <f>IF(OR(E3370="",E3370="!!!",F3370="NEW"),"",INDEX(J$1:J3369,SUMPRODUCT(MAX(ROW(E$1:E3369)*(E3370=E$1:E3369)))))</f>
        <v> </v>
      </c>
      <c r="L3370" s="26"/>
    </row>
    <row r="3371" spans="1:12">
      <c r="A3371" s="20" t="s">
        <v>1097</v>
      </c>
      <c r="E3371" s="21">
        <f>IF(D3371="?OLD","!!!","")</f>
        <v/>
      </c>
      <c r="F3371" s="22" t="str">
        <f>IF(OR(E3371="",E3371="!!!"),"",IF(NOT(ISNA(VLOOKUP(E3371,E$1:E3370,1,FALSE()))),"OLD",IF(AND(E3371&lt;&gt;"",E3371&lt;&gt;"!!!"),"NEW","")))</f>
        <v> </v>
      </c>
      <c r="G3371" s="23" t="str">
        <f>IF(OR(E3371="",E3371="!!!"),"",IF(OR(J3371=0,AND(J3371=1,K3371=1),AND(J3371=1,I3371="SBJ"),AND(J3371=1,I3371=0)),"?IN_FOCUS",IF(J3371&lt;=2,"?ACTIVATED",IF(J3371&lt;&gt;"","?FAMILIAR",IF(F3371="NEW",IF(ISNA(VLOOKUP(E3371,#REF!,1,FALSE())),"?TYPE_IDENTIFIABLE","?REFERENTIAL"),"_")))))</f>
        <v> </v>
      </c>
      <c r="H3371" s="24" t="str">
        <f>IF(J3371&lt;&gt;1,"",IF(I3371="SBJ","CB","?"))</f>
        <v> </v>
      </c>
      <c r="I3371" s="25" t="str">
        <f>IF(OR(E3371="",E3371="!!!",F3371="NEW"),"",INDEX(B3370:B$2,-1+SUMPRODUCT(MAX(ROW(E3370:E$2)*(E3371=E3370:E$2)))))</f>
        <v> </v>
      </c>
      <c r="J3371" s="25" t="str">
        <f>IF(OR(E3371="",E3371="!!!",F3371="NEW"),"",COUNTBLANK(OFFSET(A$1,,,SUMPRODUCT(MAX(ROW(E$2:E3371)*(E3371=E$2:E3371)))))-COUNTBLANK(OFFSET(A$1,,,SUMPRODUCT(MAX(ROW(E$1:E3370)*(E2=E$1:E3370))))))</f>
        <v> </v>
      </c>
      <c r="K3371" s="25" t="str">
        <f>IF(OR(E3371="",E3371="!!!",F3371="NEW"),"",INDEX(J$1:J3370,SUMPRODUCT(MAX(ROW(E$1:E3370)*(E3371=E$1:E3370)))))</f>
        <v> </v>
      </c>
      <c r="L3371" s="26"/>
    </row>
    <row r="3372" spans="1:12">
      <c r="A3372" s="20" t="s">
        <v>2166</v>
      </c>
      <c r="B3372" s="27" t="s">
        <v>1067</v>
      </c>
      <c r="C3372" s="27" t="s">
        <v>1086</v>
      </c>
      <c r="D3372" s="27" t="s">
        <v>1069</v>
      </c>
      <c r="E3372" s="21">
        <f>IF(D3372="?OLD","!!!","")</f>
        <v/>
      </c>
      <c r="F3372" s="22" t="str">
        <f>IF(OR(E3372="",E3372="!!!"),"",IF(NOT(ISNA(VLOOKUP(E3372,E$1:E3371,1,FALSE()))),"OLD",IF(AND(E3372&lt;&gt;"",E3372&lt;&gt;"!!!"),"NEW","")))</f>
        <v> </v>
      </c>
      <c r="G3372" s="23" t="str">
        <f>IF(OR(E3372="",E3372="!!!"),"",IF(OR(J3372=0,AND(J3372=1,K3372=1),AND(J3372=1,I3372="SBJ"),AND(J3372=1,I3372=0)),"?IN_FOCUS",IF(J3372&lt;=2,"?ACTIVATED",IF(J3372&lt;&gt;"","?FAMILIAR",IF(F3372="NEW",IF(ISNA(VLOOKUP(E3372,#REF!,1,FALSE())),"?TYPE_IDENTIFIABLE","?REFERENTIAL"),"_")))))</f>
        <v> </v>
      </c>
      <c r="H3372" s="24" t="str">
        <f>IF(J3372&lt;&gt;1,"",IF(I3372="SBJ","CB","?"))</f>
        <v> </v>
      </c>
      <c r="I3372" s="25" t="str">
        <f>IF(OR(E3372="",E3372="!!!",F3372="NEW"),"",INDEX(B3371:B$2,-1+SUMPRODUCT(MAX(ROW(E3371:E$2)*(E3372=E3371:E$2)))))</f>
        <v> </v>
      </c>
      <c r="J3372" s="25" t="str">
        <f>IF(OR(E3372="",E3372="!!!",F3372="NEW"),"",COUNTBLANK(OFFSET(A$1,,,SUMPRODUCT(MAX(ROW(E$2:E3372)*(E3372=E$2:E3372)))))-COUNTBLANK(OFFSET(A$1,,,SUMPRODUCT(MAX(ROW(E$1:E3371)*(E2=E$1:E3371))))))</f>
        <v> </v>
      </c>
      <c r="K3372" s="25" t="str">
        <f>IF(OR(E3372="",E3372="!!!",F3372="NEW"),"",INDEX(J$1:J3371,SUMPRODUCT(MAX(ROW(E$1:E3371)*(E3372=E$1:E3371)))))</f>
        <v> </v>
      </c>
      <c r="L3372" s="26"/>
    </row>
    <row r="3373" spans="1:12">
      <c r="A3373" s="20" t="s">
        <v>1290</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t="s">
        <v>2167</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t="s">
        <v>1078</v>
      </c>
      <c r="E3375" s="21">
        <f>IF(D3375="?OLD","!!!","")</f>
        <v/>
      </c>
      <c r="F3375" s="22" t="str">
        <f>IF(OR(E3375="",E3375="!!!"),"",IF(NOT(ISNA(VLOOKUP(E3375,E$1:E3374,1,FALSE()))),"OLD",IF(AND(E3375&lt;&gt;"",E3375&lt;&gt;"!!!"),"NEW","")))</f>
        <v> </v>
      </c>
      <c r="G3375" s="23" t="str">
        <f>IF(OR(E3375="",E3375="!!!"),"",IF(OR(J3375=0,AND(J3375=1,K3375=1),AND(J3375=1,I3375="SBJ"),AND(J3375=1,I3375=0)),"?IN_FOCUS",IF(J3375&lt;=2,"?ACTIVATED",IF(J3375&lt;&gt;"","?FAMILIAR",IF(F3375="NEW",IF(ISNA(VLOOKUP(E3375,#REF!,1,FALSE())),"?TYPE_IDENTIFIABLE","?REFERENTIAL"),"_")))))</f>
        <v> </v>
      </c>
      <c r="H3375" s="24" t="str">
        <f>IF(J3375&lt;&gt;1,"",IF(I3375="SBJ","CB","?"))</f>
        <v> </v>
      </c>
      <c r="I3375" s="25" t="str">
        <f>IF(OR(E3375="",E3375="!!!",F3375="NEW"),"",INDEX(B3374:B$2,-1+SUMPRODUCT(MAX(ROW(E3374:E$2)*(E3375=E3374:E$2)))))</f>
        <v> </v>
      </c>
      <c r="J3375" s="25" t="str">
        <f>IF(OR(E3375="",E3375="!!!",F3375="NEW"),"",COUNTBLANK(OFFSET(A$1,,,SUMPRODUCT(MAX(ROW(E$2:E3375)*(E3375=E$2:E3375)))))-COUNTBLANK(OFFSET(A$1,,,SUMPRODUCT(MAX(ROW(E$1:E3374)*(E2=E$1:E3374))))))</f>
        <v> </v>
      </c>
      <c r="K3375" s="25" t="str">
        <f>IF(OR(E3375="",E3375="!!!",F3375="NEW"),"",INDEX(J$1:J3374,SUMPRODUCT(MAX(ROW(E$1:E3374)*(E3375=E$1:E3374)))))</f>
        <v> </v>
      </c>
      <c r="L3375" s="26"/>
    </row>
    <row r="3376" spans="1:12">
      <c r="A3376" s="20" t="s">
        <v>2168</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t="s">
        <v>2169</v>
      </c>
      <c r="E3377" s="21">
        <f>IF(D3377="?OLD","!!!","")</f>
        <v/>
      </c>
      <c r="F3377" s="22" t="str">
        <f>IF(OR(E3377="",E3377="!!!"),"",IF(NOT(ISNA(VLOOKUP(E3377,E$1:E3376,1,FALSE()))),"OLD",IF(AND(E3377&lt;&gt;"",E3377&lt;&gt;"!!!"),"NEW","")))</f>
        <v> </v>
      </c>
      <c r="G3377" s="23" t="str">
        <f>IF(OR(E3377="",E3377="!!!"),"",IF(OR(J3377=0,AND(J3377=1,K3377=1),AND(J3377=1,I3377="SBJ"),AND(J3377=1,I3377=0)),"?IN_FOCUS",IF(J3377&lt;=2,"?ACTIVATED",IF(J3377&lt;&gt;"","?FAMILIAR",IF(F3377="NEW",IF(ISNA(VLOOKUP(E3377,#REF!,1,FALSE())),"?TYPE_IDENTIFIABLE","?REFERENTIAL"),"_")))))</f>
        <v> </v>
      </c>
      <c r="H3377" s="24" t="str">
        <f>IF(J3377&lt;&gt;1,"",IF(I3377="SBJ","CB","?"))</f>
        <v> </v>
      </c>
      <c r="I3377" s="25" t="str">
        <f>IF(OR(E3377="",E3377="!!!",F3377="NEW"),"",INDEX(B3376:B$2,-1+SUMPRODUCT(MAX(ROW(E3376:E$2)*(E3377=E3376:E$2)))))</f>
        <v> </v>
      </c>
      <c r="J3377" s="25" t="str">
        <f>IF(OR(E3377="",E3377="!!!",F3377="NEW"),"",COUNTBLANK(OFFSET(A$1,,,SUMPRODUCT(MAX(ROW(E$2:E3377)*(E3377=E$2:E3377)))))-COUNTBLANK(OFFSET(A$1,,,SUMPRODUCT(MAX(ROW(E$1:E3376)*(E2=E$1:E3376))))))</f>
        <v> </v>
      </c>
      <c r="K3377" s="25" t="str">
        <f>IF(OR(E3377="",E3377="!!!",F3377="NEW"),"",INDEX(J$1:J3376,SUMPRODUCT(MAX(ROW(E$1:E3376)*(E3377=E$1:E3376)))))</f>
        <v> </v>
      </c>
      <c r="L3377" s="26"/>
    </row>
    <row r="3378" spans="1:12">
      <c r="A3378" s="20" t="s">
        <v>1130</v>
      </c>
      <c r="B3378" s="27" t="s">
        <v>1074</v>
      </c>
      <c r="C3378" s="27" t="s">
        <v>1077</v>
      </c>
      <c r="E3378" s="21">
        <f>IF(D3378="?OLD","!!!","")</f>
        <v/>
      </c>
      <c r="F3378" s="22" t="str">
        <f>IF(OR(E3378="",E3378="!!!"),"",IF(NOT(ISNA(VLOOKUP(E3378,E$1:E3377,1,FALSE()))),"OLD",IF(AND(E3378&lt;&gt;"",E3378&lt;&gt;"!!!"),"NEW","")))</f>
        <v> </v>
      </c>
      <c r="G3378" s="23" t="str">
        <f>IF(OR(E3378="",E3378="!!!"),"",IF(OR(J3378=0,AND(J3378=1,K3378=1),AND(J3378=1,I3378="SBJ"),AND(J3378=1,I3378=0)),"?IN_FOCUS",IF(J3378&lt;=2,"?ACTIVATED",IF(J3378&lt;&gt;"","?FAMILIAR",IF(F3378="NEW",IF(ISNA(VLOOKUP(E3378,#REF!,1,FALSE())),"?TYPE_IDENTIFIABLE","?REFERENTIAL"),"_")))))</f>
        <v> </v>
      </c>
      <c r="H3378" s="24" t="str">
        <f>IF(J3378&lt;&gt;1,"",IF(I3378="SBJ","CB","?"))</f>
        <v> </v>
      </c>
      <c r="I3378" s="25" t="str">
        <f>IF(OR(E3378="",E3378="!!!",F3378="NEW"),"",INDEX(B3377:B$2,-1+SUMPRODUCT(MAX(ROW(E3377:E$2)*(E3378=E3377:E$2)))))</f>
        <v> </v>
      </c>
      <c r="J3378" s="25" t="str">
        <f>IF(OR(E3378="",E3378="!!!",F3378="NEW"),"",COUNTBLANK(OFFSET(A$1,,,SUMPRODUCT(MAX(ROW(E$2:E3378)*(E3378=E$2:E3378)))))-COUNTBLANK(OFFSET(A$1,,,SUMPRODUCT(MAX(ROW(E$1:E3377)*(E2=E$1:E3377))))))</f>
        <v> </v>
      </c>
      <c r="K3378" s="25" t="str">
        <f>IF(OR(E3378="",E3378="!!!",F3378="NEW"),"",INDEX(J$1:J3377,SUMPRODUCT(MAX(ROW(E$1:E3377)*(E3378=E$1:E3377)))))</f>
        <v> </v>
      </c>
      <c r="L3378" s="26"/>
    </row>
    <row r="3379" spans="1:12">
      <c r="A3379" s="20" t="s">
        <v>2170</v>
      </c>
      <c r="E3379" s="21">
        <f>IF(D3379="?OLD","!!!","")</f>
        <v/>
      </c>
      <c r="F3379" s="22" t="str">
        <f>IF(OR(E3379="",E3379="!!!"),"",IF(NOT(ISNA(VLOOKUP(E3379,E$1:E3378,1,FALSE()))),"OLD",IF(AND(E3379&lt;&gt;"",E3379&lt;&gt;"!!!"),"NEW","")))</f>
        <v> </v>
      </c>
      <c r="G3379" s="23" t="str">
        <f>IF(OR(E3379="",E3379="!!!"),"",IF(OR(J3379=0,AND(J3379=1,K3379=1),AND(J3379=1,I3379="SBJ"),AND(J3379=1,I3379=0)),"?IN_FOCUS",IF(J3379&lt;=2,"?ACTIVATED",IF(J3379&lt;&gt;"","?FAMILIAR",IF(F3379="NEW",IF(ISNA(VLOOKUP(E3379,#REF!,1,FALSE())),"?TYPE_IDENTIFIABLE","?REFERENTIAL"),"_")))))</f>
        <v> </v>
      </c>
      <c r="H3379" s="24" t="str">
        <f>IF(J3379&lt;&gt;1,"",IF(I3379="SBJ","CB","?"))</f>
        <v> </v>
      </c>
      <c r="I3379" s="25" t="str">
        <f>IF(OR(E3379="",E3379="!!!",F3379="NEW"),"",INDEX(B3378:B$2,-1+SUMPRODUCT(MAX(ROW(E3378:E$2)*(E3379=E3378:E$2)))))</f>
        <v> </v>
      </c>
      <c r="J3379" s="25" t="str">
        <f>IF(OR(E3379="",E3379="!!!",F3379="NEW"),"",COUNTBLANK(OFFSET(A$1,,,SUMPRODUCT(MAX(ROW(E$2:E3379)*(E3379=E$2:E3379)))))-COUNTBLANK(OFFSET(A$1,,,SUMPRODUCT(MAX(ROW(E$1:E3378)*(E2=E$1:E3378))))))</f>
        <v> </v>
      </c>
      <c r="K3379" s="25" t="str">
        <f>IF(OR(E3379="",E3379="!!!",F3379="NEW"),"",INDEX(J$1:J3378,SUMPRODUCT(MAX(ROW(E$1:E3378)*(E3379=E$1:E3378)))))</f>
        <v> </v>
      </c>
      <c r="L3379" s="26"/>
    </row>
    <row r="3380" spans="1:12">
      <c r="A3380" s="20" t="s">
        <v>46</v>
      </c>
      <c r="E3380" s="21">
        <f>IF(D3380="?OLD","!!!","")</f>
        <v/>
      </c>
      <c r="F3380" s="22" t="str">
        <f>IF(OR(E3380="",E3380="!!!"),"",IF(NOT(ISNA(VLOOKUP(E3380,E$1:E3379,1,FALSE()))),"OLD",IF(AND(E3380&lt;&gt;"",E3380&lt;&gt;"!!!"),"NEW","")))</f>
        <v> </v>
      </c>
      <c r="G3380" s="23" t="str">
        <f>IF(OR(E3380="",E3380="!!!"),"",IF(OR(J3380=0,AND(J3380=1,K3380=1),AND(J3380=1,I3380="SBJ"),AND(J3380=1,I3380=0)),"?IN_FOCUS",IF(J3380&lt;=2,"?ACTIVATED",IF(J3380&lt;&gt;"","?FAMILIAR",IF(F3380="NEW",IF(ISNA(VLOOKUP(E3380,#REF!,1,FALSE())),"?TYPE_IDENTIFIABLE","?REFERENTIAL"),"_")))))</f>
        <v> </v>
      </c>
      <c r="H3380" s="24" t="str">
        <f>IF(J3380&lt;&gt;1,"",IF(I3380="SBJ","CB","?"))</f>
        <v> </v>
      </c>
      <c r="I3380" s="25" t="str">
        <f>IF(OR(E3380="",E3380="!!!",F3380="NEW"),"",INDEX(B3379:B$2,-1+SUMPRODUCT(MAX(ROW(E3379:E$2)*(E3380=E3379:E$2)))))</f>
        <v> </v>
      </c>
      <c r="J3380" s="25" t="str">
        <f>IF(OR(E3380="",E3380="!!!",F3380="NEW"),"",COUNTBLANK(OFFSET(A$1,,,SUMPRODUCT(MAX(ROW(E$2:E3380)*(E3380=E$2:E3380)))))-COUNTBLANK(OFFSET(A$1,,,SUMPRODUCT(MAX(ROW(E$1:E3379)*(E2=E$1:E3379))))))</f>
        <v> </v>
      </c>
      <c r="K3380" s="25" t="str">
        <f>IF(OR(E3380="",E3380="!!!",F3380="NEW"),"",INDEX(J$1:J3379,SUMPRODUCT(MAX(ROW(E$1:E3379)*(E3380=E$1:E3379)))))</f>
        <v> </v>
      </c>
      <c r="L3380" s="26"/>
    </row>
    <row r="3381" spans="1:12">
      <c r="A3381" s="20" t="s">
        <v>1087</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t="s">
        <v>1290</v>
      </c>
      <c r="E3382" s="21">
        <f>IF(D3382="?OLD","!!!","")</f>
        <v/>
      </c>
      <c r="F3382" s="22" t="str">
        <f>IF(OR(E3382="",E3382="!!!"),"",IF(NOT(ISNA(VLOOKUP(E3382,E$1:E3381,1,FALSE()))),"OLD",IF(AND(E3382&lt;&gt;"",E3382&lt;&gt;"!!!"),"NEW","")))</f>
        <v> </v>
      </c>
      <c r="G3382" s="23" t="str">
        <f>IF(OR(E3382="",E3382="!!!"),"",IF(OR(J3382=0,AND(J3382=1,K3382=1),AND(J3382=1,I3382="SBJ"),AND(J3382=1,I3382=0)),"?IN_FOCUS",IF(J3382&lt;=2,"?ACTIVATED",IF(J3382&lt;&gt;"","?FAMILIAR",IF(F3382="NEW",IF(ISNA(VLOOKUP(E3382,#REF!,1,FALSE())),"?TYPE_IDENTIFIABLE","?REFERENTIAL"),"_")))))</f>
        <v> </v>
      </c>
      <c r="H3382" s="24" t="str">
        <f>IF(J3382&lt;&gt;1,"",IF(I3382="SBJ","CB","?"))</f>
        <v> </v>
      </c>
      <c r="I3382" s="25" t="str">
        <f>IF(OR(E3382="",E3382="!!!",F3382="NEW"),"",INDEX(B3381:B$2,-1+SUMPRODUCT(MAX(ROW(E3381:E$2)*(E3382=E3381:E$2)))))</f>
        <v> </v>
      </c>
      <c r="J3382" s="25" t="str">
        <f>IF(OR(E3382="",E3382="!!!",F3382="NEW"),"",COUNTBLANK(OFFSET(A$1,,,SUMPRODUCT(MAX(ROW(E$2:E3382)*(E3382=E$2:E3382)))))-COUNTBLANK(OFFSET(A$1,,,SUMPRODUCT(MAX(ROW(E$1:E3381)*(E2=E$1:E3381))))))</f>
        <v> </v>
      </c>
      <c r="K3382" s="25" t="str">
        <f>IF(OR(E3382="",E3382="!!!",F3382="NEW"),"",INDEX(J$1:J3381,SUMPRODUCT(MAX(ROW(E$1:E3381)*(E3382=E$1:E3381)))))</f>
        <v> </v>
      </c>
      <c r="L3382" s="26"/>
    </row>
    <row r="3383" spans="1:12">
      <c r="A3383" s="20" t="s">
        <v>1113</v>
      </c>
      <c r="E3383" s="21">
        <f>IF(D3383="?OLD","!!!","")</f>
        <v/>
      </c>
      <c r="F3383" s="22" t="str">
        <f>IF(OR(E3383="",E3383="!!!"),"",IF(NOT(ISNA(VLOOKUP(E3383,E$1:E3382,1,FALSE()))),"OLD",IF(AND(E3383&lt;&gt;"",E3383&lt;&gt;"!!!"),"NEW","")))</f>
        <v> </v>
      </c>
      <c r="G3383" s="23" t="str">
        <f>IF(OR(E3383="",E3383="!!!"),"",IF(OR(J3383=0,AND(J3383=1,K3383=1),AND(J3383=1,I3383="SBJ"),AND(J3383=1,I3383=0)),"?IN_FOCUS",IF(J3383&lt;=2,"?ACTIVATED",IF(J3383&lt;&gt;"","?FAMILIAR",IF(F3383="NEW",IF(ISNA(VLOOKUP(E3383,#REF!,1,FALSE())),"?TYPE_IDENTIFIABLE","?REFERENTIAL"),"_")))))</f>
        <v> </v>
      </c>
      <c r="H3383" s="24" t="str">
        <f>IF(J3383&lt;&gt;1,"",IF(I3383="SBJ","CB","?"))</f>
        <v> </v>
      </c>
      <c r="I3383" s="25" t="str">
        <f>IF(OR(E3383="",E3383="!!!",F3383="NEW"),"",INDEX(B3382:B$2,-1+SUMPRODUCT(MAX(ROW(E3382:E$2)*(E3383=E3382:E$2)))))</f>
        <v> </v>
      </c>
      <c r="J3383" s="25" t="str">
        <f>IF(OR(E3383="",E3383="!!!",F3383="NEW"),"",COUNTBLANK(OFFSET(A$1,,,SUMPRODUCT(MAX(ROW(E$2:E3383)*(E3383=E$2:E3383)))))-COUNTBLANK(OFFSET(A$1,,,SUMPRODUCT(MAX(ROW(E$1:E3382)*(E2=E$1:E3382))))))</f>
        <v> </v>
      </c>
      <c r="K3383" s="25" t="str">
        <f>IF(OR(E3383="",E3383="!!!",F3383="NEW"),"",INDEX(J$1:J3382,SUMPRODUCT(MAX(ROW(E$1:E3382)*(E3383=E$1:E3382)))))</f>
        <v> </v>
      </c>
      <c r="L3383" s="26"/>
    </row>
    <row r="3384" spans="1:12">
      <c r="A3384" s="20" t="s">
        <v>2171</v>
      </c>
      <c r="B3384" s="27" t="s">
        <v>1074</v>
      </c>
      <c r="C3384" s="27" t="s">
        <v>1134</v>
      </c>
      <c r="D3384" s="27" t="s">
        <v>1069</v>
      </c>
      <c r="E3384" s="21">
        <f>IF(D3384="?OLD","!!!","")</f>
        <v/>
      </c>
      <c r="F3384" s="22" t="str">
        <f>IF(OR(E3384="",E3384="!!!"),"",IF(NOT(ISNA(VLOOKUP(E3384,E$1:E3383,1,FALSE()))),"OLD",IF(AND(E3384&lt;&gt;"",E3384&lt;&gt;"!!!"),"NEW","")))</f>
        <v> </v>
      </c>
      <c r="G3384" s="23" t="str">
        <f>IF(OR(E3384="",E3384="!!!"),"",IF(OR(J3384=0,AND(J3384=1,K3384=1),AND(J3384=1,I3384="SBJ"),AND(J3384=1,I3384=0)),"?IN_FOCUS",IF(J3384&lt;=2,"?ACTIVATED",IF(J3384&lt;&gt;"","?FAMILIAR",IF(F3384="NEW",IF(ISNA(VLOOKUP(E3384,#REF!,1,FALSE())),"?TYPE_IDENTIFIABLE","?REFERENTIAL"),"_")))))</f>
        <v> </v>
      </c>
      <c r="H3384" s="24" t="str">
        <f>IF(J3384&lt;&gt;1,"",IF(I3384="SBJ","CB","?"))</f>
        <v> </v>
      </c>
      <c r="I3384" s="25" t="str">
        <f>IF(OR(E3384="",E3384="!!!",F3384="NEW"),"",INDEX(B3383:B$2,-1+SUMPRODUCT(MAX(ROW(E3383:E$2)*(E3384=E3383:E$2)))))</f>
        <v> </v>
      </c>
      <c r="J3384" s="25" t="str">
        <f>IF(OR(E3384="",E3384="!!!",F3384="NEW"),"",COUNTBLANK(OFFSET(A$1,,,SUMPRODUCT(MAX(ROW(E$2:E3384)*(E3384=E$2:E3384)))))-COUNTBLANK(OFFSET(A$1,,,SUMPRODUCT(MAX(ROW(E$1:E3383)*(E2=E$1:E3383))))))</f>
        <v> </v>
      </c>
      <c r="K3384" s="25" t="str">
        <f>IF(OR(E3384="",E3384="!!!",F3384="NEW"),"",INDEX(J$1:J3383,SUMPRODUCT(MAX(ROW(E$1:E3383)*(E3384=E$1:E3383)))))</f>
        <v> </v>
      </c>
      <c r="L3384" s="26"/>
    </row>
    <row r="3385" spans="1:12">
      <c r="A3385" s="20" t="s">
        <v>1078</v>
      </c>
      <c r="E3385" s="21">
        <f>IF(D3385="?OLD","!!!","")</f>
        <v/>
      </c>
      <c r="F3385" s="22" t="str">
        <f>IF(OR(E3385="",E3385="!!!"),"",IF(NOT(ISNA(VLOOKUP(E3385,E$1:E3384,1,FALSE()))),"OLD",IF(AND(E3385&lt;&gt;"",E3385&lt;&gt;"!!!"),"NEW","")))</f>
        <v> </v>
      </c>
      <c r="G3385" s="23" t="str">
        <f>IF(OR(E3385="",E3385="!!!"),"",IF(OR(J3385=0,AND(J3385=1,K3385=1),AND(J3385=1,I3385="SBJ"),AND(J3385=1,I3385=0)),"?IN_FOCUS",IF(J3385&lt;=2,"?ACTIVATED",IF(J3385&lt;&gt;"","?FAMILIAR",IF(F3385="NEW",IF(ISNA(VLOOKUP(E3385,#REF!,1,FALSE())),"?TYPE_IDENTIFIABLE","?REFERENTIAL"),"_")))))</f>
        <v> </v>
      </c>
      <c r="H3385" s="24" t="str">
        <f>IF(J3385&lt;&gt;1,"",IF(I3385="SBJ","CB","?"))</f>
        <v> </v>
      </c>
      <c r="I3385" s="25" t="str">
        <f>IF(OR(E3385="",E3385="!!!",F3385="NEW"),"",INDEX(B3384:B$2,-1+SUMPRODUCT(MAX(ROW(E3384:E$2)*(E3385=E3384:E$2)))))</f>
        <v> </v>
      </c>
      <c r="J3385" s="25" t="str">
        <f>IF(OR(E3385="",E3385="!!!",F3385="NEW"),"",COUNTBLANK(OFFSET(A$1,,,SUMPRODUCT(MAX(ROW(E$2:E3385)*(E3385=E$2:E3385)))))-COUNTBLANK(OFFSET(A$1,,,SUMPRODUCT(MAX(ROW(E$1:E3384)*(E2=E$1:E3384))))))</f>
        <v> </v>
      </c>
      <c r="K3385" s="25" t="str">
        <f>IF(OR(E3385="",E3385="!!!",F3385="NEW"),"",INDEX(J$1:J3384,SUMPRODUCT(MAX(ROW(E$1:E3384)*(E3385=E$1:E3384)))))</f>
        <v> </v>
      </c>
      <c r="L3385" s="26"/>
    </row>
    <row r="3386" spans="1:12">
      <c r="A3386" s="20" t="s">
        <v>2077</v>
      </c>
      <c r="B3386" s="27" t="s">
        <v>1071</v>
      </c>
      <c r="C3386" s="27" t="s">
        <v>1134</v>
      </c>
      <c r="D3386" s="27" t="s">
        <v>1069</v>
      </c>
      <c r="E3386" s="21">
        <f>IF(D3386="?OLD","!!!","")</f>
        <v/>
      </c>
      <c r="F3386" s="22" t="str">
        <f>IF(OR(E3386="",E3386="!!!"),"",IF(NOT(ISNA(VLOOKUP(E3386,E$1:E3385,1,FALSE()))),"OLD",IF(AND(E3386&lt;&gt;"",E3386&lt;&gt;"!!!"),"NEW","")))</f>
        <v> </v>
      </c>
      <c r="G3386" s="23" t="str">
        <f>IF(OR(E3386="",E3386="!!!"),"",IF(OR(J3386=0,AND(J3386=1,K3386=1),AND(J3386=1,I3386="SBJ"),AND(J3386=1,I3386=0)),"?IN_FOCUS",IF(J3386&lt;=2,"?ACTIVATED",IF(J3386&lt;&gt;"","?FAMILIAR",IF(F3386="NEW",IF(ISNA(VLOOKUP(E3386,#REF!,1,FALSE())),"?TYPE_IDENTIFIABLE","?REFERENTIAL"),"_")))))</f>
        <v> </v>
      </c>
      <c r="H3386" s="24" t="str">
        <f>IF(J3386&lt;&gt;1,"",IF(I3386="SBJ","CB","?"))</f>
        <v> </v>
      </c>
      <c r="I3386" s="25" t="str">
        <f>IF(OR(E3386="",E3386="!!!",F3386="NEW"),"",INDEX(B3385:B$2,-1+SUMPRODUCT(MAX(ROW(E3385:E$2)*(E3386=E3385:E$2)))))</f>
        <v> </v>
      </c>
      <c r="J3386" s="25" t="str">
        <f>IF(OR(E3386="",E3386="!!!",F3386="NEW"),"",COUNTBLANK(OFFSET(A$1,,,SUMPRODUCT(MAX(ROW(E$2:E3386)*(E3386=E$2:E3386)))))-COUNTBLANK(OFFSET(A$1,,,SUMPRODUCT(MAX(ROW(E$1:E3385)*(E2=E$1:E3385))))))</f>
        <v> </v>
      </c>
      <c r="K3386" s="25" t="str">
        <f>IF(OR(E3386="",E3386="!!!",F3386="NEW"),"",INDEX(J$1:J3385,SUMPRODUCT(MAX(ROW(E$1:E3385)*(E3386=E$1:E3385)))))</f>
        <v> </v>
      </c>
      <c r="L3386" s="26"/>
    </row>
    <row r="3387" spans="1:12">
      <c r="A3387" s="20" t="s">
        <v>1087</v>
      </c>
      <c r="E3387" s="21">
        <f>IF(D3387="?OLD","!!!","")</f>
        <v/>
      </c>
      <c r="F3387" s="22" t="str">
        <f>IF(OR(E3387="",E3387="!!!"),"",IF(NOT(ISNA(VLOOKUP(E3387,E$1:E3386,1,FALSE()))),"OLD",IF(AND(E3387&lt;&gt;"",E3387&lt;&gt;"!!!"),"NEW","")))</f>
        <v> </v>
      </c>
      <c r="G3387" s="23" t="str">
        <f>IF(OR(E3387="",E3387="!!!"),"",IF(OR(J3387=0,AND(J3387=1,K3387=1),AND(J3387=1,I3387="SBJ"),AND(J3387=1,I3387=0)),"?IN_FOCUS",IF(J3387&lt;=2,"?ACTIVATED",IF(J3387&lt;&gt;"","?FAMILIAR",IF(F3387="NEW",IF(ISNA(VLOOKUP(E3387,#REF!,1,FALSE())),"?TYPE_IDENTIFIABLE","?REFERENTIAL"),"_")))))</f>
        <v> </v>
      </c>
      <c r="H3387" s="24" t="str">
        <f>IF(J3387&lt;&gt;1,"",IF(I3387="SBJ","CB","?"))</f>
        <v> </v>
      </c>
      <c r="I3387" s="25" t="str">
        <f>IF(OR(E3387="",E3387="!!!",F3387="NEW"),"",INDEX(B3386:B$2,-1+SUMPRODUCT(MAX(ROW(E3386:E$2)*(E3387=E3386:E$2)))))</f>
        <v> </v>
      </c>
      <c r="J3387" s="25" t="str">
        <f>IF(OR(E3387="",E3387="!!!",F3387="NEW"),"",COUNTBLANK(OFFSET(A$1,,,SUMPRODUCT(MAX(ROW(E$2:E3387)*(E3387=E$2:E3387)))))-COUNTBLANK(OFFSET(A$1,,,SUMPRODUCT(MAX(ROW(E$1:E3386)*(E2=E$1:E3386))))))</f>
        <v> </v>
      </c>
      <c r="K3387" s="25" t="str">
        <f>IF(OR(E3387="",E3387="!!!",F3387="NEW"),"",INDEX(J$1:J3386,SUMPRODUCT(MAX(ROW(E$1:E3386)*(E3387=E$1:E3386)))))</f>
        <v> </v>
      </c>
      <c r="L3387" s="26"/>
    </row>
    <row r="3388" spans="1:12">
      <c r="A3388" s="20" t="s">
        <v>1290</v>
      </c>
      <c r="E3388" s="21">
        <f>IF(D3388="?OLD","!!!","")</f>
        <v/>
      </c>
      <c r="F3388" s="22" t="str">
        <f>IF(OR(E3388="",E3388="!!!"),"",IF(NOT(ISNA(VLOOKUP(E3388,E$1:E3387,1,FALSE()))),"OLD",IF(AND(E3388&lt;&gt;"",E3388&lt;&gt;"!!!"),"NEW","")))</f>
        <v> </v>
      </c>
      <c r="G3388" s="23" t="str">
        <f>IF(OR(E3388="",E3388="!!!"),"",IF(OR(J3388=0,AND(J3388=1,K3388=1),AND(J3388=1,I3388="SBJ"),AND(J3388=1,I3388=0)),"?IN_FOCUS",IF(J3388&lt;=2,"?ACTIVATED",IF(J3388&lt;&gt;"","?FAMILIAR",IF(F3388="NEW",IF(ISNA(VLOOKUP(E3388,#REF!,1,FALSE())),"?TYPE_IDENTIFIABLE","?REFERENTIAL"),"_")))))</f>
        <v> </v>
      </c>
      <c r="H3388" s="24" t="str">
        <f>IF(J3388&lt;&gt;1,"",IF(I3388="SBJ","CB","?"))</f>
        <v> </v>
      </c>
      <c r="I3388" s="25" t="str">
        <f>IF(OR(E3388="",E3388="!!!",F3388="NEW"),"",INDEX(B3387:B$2,-1+SUMPRODUCT(MAX(ROW(E3387:E$2)*(E3388=E3387:E$2)))))</f>
        <v> </v>
      </c>
      <c r="J3388" s="25" t="str">
        <f>IF(OR(E3388="",E3388="!!!",F3388="NEW"),"",COUNTBLANK(OFFSET(A$1,,,SUMPRODUCT(MAX(ROW(E$2:E3388)*(E3388=E$2:E3388)))))-COUNTBLANK(OFFSET(A$1,,,SUMPRODUCT(MAX(ROW(E$1:E3387)*(E2=E$1:E3387))))))</f>
        <v> </v>
      </c>
      <c r="K3388" s="25" t="str">
        <f>IF(OR(E3388="",E3388="!!!",F3388="NEW"),"",INDEX(J$1:J3387,SUMPRODUCT(MAX(ROW(E$1:E3387)*(E3388=E$1:E3387)))))</f>
        <v> </v>
      </c>
      <c r="L3388" s="26"/>
    </row>
    <row r="3389" spans="1:12">
      <c r="A3389" s="20" t="s">
        <v>1371</v>
      </c>
      <c r="E3389" s="21">
        <f>IF(D3389="?OLD","!!!","")</f>
        <v/>
      </c>
      <c r="F3389" s="22" t="str">
        <f>IF(OR(E3389="",E3389="!!!"),"",IF(NOT(ISNA(VLOOKUP(E3389,E$1:E3388,1,FALSE()))),"OLD",IF(AND(E3389&lt;&gt;"",E3389&lt;&gt;"!!!"),"NEW","")))</f>
        <v> </v>
      </c>
      <c r="G3389" s="23" t="str">
        <f>IF(OR(E3389="",E3389="!!!"),"",IF(OR(J3389=0,AND(J3389=1,K3389=1),AND(J3389=1,I3389="SBJ"),AND(J3389=1,I3389=0)),"?IN_FOCUS",IF(J3389&lt;=2,"?ACTIVATED",IF(J3389&lt;&gt;"","?FAMILIAR",IF(F3389="NEW",IF(ISNA(VLOOKUP(E3389,#REF!,1,FALSE())),"?TYPE_IDENTIFIABLE","?REFERENTIAL"),"_")))))</f>
        <v> </v>
      </c>
      <c r="H3389" s="24" t="str">
        <f>IF(J3389&lt;&gt;1,"",IF(I3389="SBJ","CB","?"))</f>
        <v> </v>
      </c>
      <c r="I3389" s="25" t="str">
        <f>IF(OR(E3389="",E3389="!!!",F3389="NEW"),"",INDEX(B3388:B$2,-1+SUMPRODUCT(MAX(ROW(E3388:E$2)*(E3389=E3388:E$2)))))</f>
        <v> </v>
      </c>
      <c r="J3389" s="25" t="str">
        <f>IF(OR(E3389="",E3389="!!!",F3389="NEW"),"",COUNTBLANK(OFFSET(A$1,,,SUMPRODUCT(MAX(ROW(E$2:E3389)*(E3389=E$2:E3389)))))-COUNTBLANK(OFFSET(A$1,,,SUMPRODUCT(MAX(ROW(E$1:E3388)*(E2=E$1:E3388))))))</f>
        <v> </v>
      </c>
      <c r="K3389" s="25" t="str">
        <f>IF(OR(E3389="",E3389="!!!",F3389="NEW"),"",INDEX(J$1:J3388,SUMPRODUCT(MAX(ROW(E$1:E3388)*(E3389=E$1:E3388)))))</f>
        <v> </v>
      </c>
      <c r="L3389" s="26"/>
    </row>
    <row r="3390" spans="1:12">
      <c r="A3390" s="20" t="s">
        <v>1078</v>
      </c>
      <c r="E3390" s="21">
        <f>IF(D3390="?OLD","!!!","")</f>
        <v/>
      </c>
      <c r="F3390" s="22" t="str">
        <f>IF(OR(E3390="",E3390="!!!"),"",IF(NOT(ISNA(VLOOKUP(E3390,E$1:E3389,1,FALSE()))),"OLD",IF(AND(E3390&lt;&gt;"",E3390&lt;&gt;"!!!"),"NEW","")))</f>
        <v> </v>
      </c>
      <c r="G3390" s="23" t="str">
        <f>IF(OR(E3390="",E3390="!!!"),"",IF(OR(J3390=0,AND(J3390=1,K3390=1),AND(J3390=1,I3390="SBJ"),AND(J3390=1,I3390=0)),"?IN_FOCUS",IF(J3390&lt;=2,"?ACTIVATED",IF(J3390&lt;&gt;"","?FAMILIAR",IF(F3390="NEW",IF(ISNA(VLOOKUP(E3390,#REF!,1,FALSE())),"?TYPE_IDENTIFIABLE","?REFERENTIAL"),"_")))))</f>
        <v> </v>
      </c>
      <c r="H3390" s="24" t="str">
        <f>IF(J3390&lt;&gt;1,"",IF(I3390="SBJ","CB","?"))</f>
        <v> </v>
      </c>
      <c r="I3390" s="25" t="str">
        <f>IF(OR(E3390="",E3390="!!!",F3390="NEW"),"",INDEX(B3389:B$2,-1+SUMPRODUCT(MAX(ROW(E3389:E$2)*(E3390=E3389:E$2)))))</f>
        <v> </v>
      </c>
      <c r="J3390" s="25" t="str">
        <f>IF(OR(E3390="",E3390="!!!",F3390="NEW"),"",COUNTBLANK(OFFSET(A$1,,,SUMPRODUCT(MAX(ROW(E$2:E3390)*(E3390=E$2:E3390)))))-COUNTBLANK(OFFSET(A$1,,,SUMPRODUCT(MAX(ROW(E$1:E3389)*(E2=E$1:E3389))))))</f>
        <v> </v>
      </c>
      <c r="K3390" s="25" t="str">
        <f>IF(OR(E3390="",E3390="!!!",F3390="NEW"),"",INDEX(J$1:J3389,SUMPRODUCT(MAX(ROW(E$1:E3389)*(E3390=E$1:E3389)))))</f>
        <v> </v>
      </c>
      <c r="L3390" s="26"/>
    </row>
    <row r="3391" spans="1:12">
      <c r="A3391" s="20" t="s">
        <v>256</v>
      </c>
      <c r="E3391" s="21">
        <f>IF(D3391="?OLD","!!!","")</f>
        <v/>
      </c>
      <c r="F3391" s="22" t="str">
        <f>IF(OR(E3391="",E3391="!!!"),"",IF(NOT(ISNA(VLOOKUP(E3391,E$1:E3390,1,FALSE()))),"OLD",IF(AND(E3391&lt;&gt;"",E3391&lt;&gt;"!!!"),"NEW","")))</f>
        <v> </v>
      </c>
      <c r="G3391" s="23" t="str">
        <f>IF(OR(E3391="",E3391="!!!"),"",IF(OR(J3391=0,AND(J3391=1,K3391=1),AND(J3391=1,I3391="SBJ"),AND(J3391=1,I3391=0)),"?IN_FOCUS",IF(J3391&lt;=2,"?ACTIVATED",IF(J3391&lt;&gt;"","?FAMILIAR",IF(F3391="NEW",IF(ISNA(VLOOKUP(E3391,#REF!,1,FALSE())),"?TYPE_IDENTIFIABLE","?REFERENTIAL"),"_")))))</f>
        <v> </v>
      </c>
      <c r="H3391" s="24" t="str">
        <f>IF(J3391&lt;&gt;1,"",IF(I3391="SBJ","CB","?"))</f>
        <v> </v>
      </c>
      <c r="I3391" s="25" t="str">
        <f>IF(OR(E3391="",E3391="!!!",F3391="NEW"),"",INDEX(B3390:B$2,-1+SUMPRODUCT(MAX(ROW(E3390:E$2)*(E3391=E3390:E$2)))))</f>
        <v> </v>
      </c>
      <c r="J3391" s="25" t="str">
        <f>IF(OR(E3391="",E3391="!!!",F3391="NEW"),"",COUNTBLANK(OFFSET(A$1,,,SUMPRODUCT(MAX(ROW(E$2:E3391)*(E3391=E$2:E3391)))))-COUNTBLANK(OFFSET(A$1,,,SUMPRODUCT(MAX(ROW(E$1:E3390)*(E2=E$1:E3390))))))</f>
        <v> </v>
      </c>
      <c r="K3391" s="25" t="str">
        <f>IF(OR(E3391="",E3391="!!!",F3391="NEW"),"",INDEX(J$1:J3390,SUMPRODUCT(MAX(ROW(E$1:E3390)*(E3391=E$1:E3390)))))</f>
        <v> </v>
      </c>
      <c r="L3391" s="26"/>
    </row>
    <row r="3392" spans="1:12">
      <c r="A3392" s="20" t="s">
        <v>1372</v>
      </c>
      <c r="B3392" s="27" t="s">
        <v>1071</v>
      </c>
      <c r="C3392" s="27" t="s">
        <v>1077</v>
      </c>
      <c r="E3392" s="21">
        <f>IF(D3392="?OLD","!!!","")</f>
        <v/>
      </c>
      <c r="F3392" s="22" t="str">
        <f>IF(OR(E3392="",E3392="!!!"),"",IF(NOT(ISNA(VLOOKUP(E3392,E$1:E3391,1,FALSE()))),"OLD",IF(AND(E3392&lt;&gt;"",E3392&lt;&gt;"!!!"),"NEW","")))</f>
        <v> </v>
      </c>
      <c r="G3392" s="23" t="str">
        <f>IF(OR(E3392="",E3392="!!!"),"",IF(OR(J3392=0,AND(J3392=1,K3392=1),AND(J3392=1,I3392="SBJ"),AND(J3392=1,I3392=0)),"?IN_FOCUS",IF(J3392&lt;=2,"?ACTIVATED",IF(J3392&lt;&gt;"","?FAMILIAR",IF(F3392="NEW",IF(ISNA(VLOOKUP(E3392,#REF!,1,FALSE())),"?TYPE_IDENTIFIABLE","?REFERENTIAL"),"_")))))</f>
        <v> </v>
      </c>
      <c r="H3392" s="24" t="str">
        <f>IF(J3392&lt;&gt;1,"",IF(I3392="SBJ","CB","?"))</f>
        <v> </v>
      </c>
      <c r="I3392" s="25" t="str">
        <f>IF(OR(E3392="",E3392="!!!",F3392="NEW"),"",INDEX(B3391:B$2,-1+SUMPRODUCT(MAX(ROW(E3391:E$2)*(E3392=E3391:E$2)))))</f>
        <v> </v>
      </c>
      <c r="J3392" s="25" t="str">
        <f>IF(OR(E3392="",E3392="!!!",F3392="NEW"),"",COUNTBLANK(OFFSET(A$1,,,SUMPRODUCT(MAX(ROW(E$2:E3392)*(E3392=E$2:E3392)))))-COUNTBLANK(OFFSET(A$1,,,SUMPRODUCT(MAX(ROW(E$1:E3391)*(E2=E$1:E3391))))))</f>
        <v> </v>
      </c>
      <c r="K3392" s="25" t="str">
        <f>IF(OR(E3392="",E3392="!!!",F3392="NEW"),"",INDEX(J$1:J3391,SUMPRODUCT(MAX(ROW(E$1:E3391)*(E3392=E$1:E3391)))))</f>
        <v> </v>
      </c>
      <c r="L3392" s="26"/>
    </row>
    <row r="3393" spans="1:12">
      <c r="A3393" s="20" t="s">
        <v>1080</v>
      </c>
      <c r="E3393" s="21">
        <f>IF(D3393="?OLD","!!!","")</f>
        <v/>
      </c>
      <c r="F3393" s="22" t="str">
        <f>IF(OR(E3393="",E3393="!!!"),"",IF(NOT(ISNA(VLOOKUP(E3393,E$1:E3392,1,FALSE()))),"OLD",IF(AND(E3393&lt;&gt;"",E3393&lt;&gt;"!!!"),"NEW","")))</f>
        <v> </v>
      </c>
      <c r="G3393" s="23" t="str">
        <f>IF(OR(E3393="",E3393="!!!"),"",IF(OR(J3393=0,AND(J3393=1,K3393=1),AND(J3393=1,I3393="SBJ"),AND(J3393=1,I3393=0)),"?IN_FOCUS",IF(J3393&lt;=2,"?ACTIVATED",IF(J3393&lt;&gt;"","?FAMILIAR",IF(F3393="NEW",IF(ISNA(VLOOKUP(E3393,#REF!,1,FALSE())),"?TYPE_IDENTIFIABLE","?REFERENTIAL"),"_")))))</f>
        <v> </v>
      </c>
      <c r="H3393" s="24" t="str">
        <f>IF(J3393&lt;&gt;1,"",IF(I3393="SBJ","CB","?"))</f>
        <v> </v>
      </c>
      <c r="I3393" s="25" t="str">
        <f>IF(OR(E3393="",E3393="!!!",F3393="NEW"),"",INDEX(B3392:B$2,-1+SUMPRODUCT(MAX(ROW(E3392:E$2)*(E3393=E3392:E$2)))))</f>
        <v> </v>
      </c>
      <c r="J3393" s="25" t="str">
        <f>IF(OR(E3393="",E3393="!!!",F3393="NEW"),"",COUNTBLANK(OFFSET(A$1,,,SUMPRODUCT(MAX(ROW(E$2:E3393)*(E3393=E$2:E3393)))))-COUNTBLANK(OFFSET(A$1,,,SUMPRODUCT(MAX(ROW(E$1:E3392)*(E2=E$1:E3392))))))</f>
        <v> </v>
      </c>
      <c r="K3393" s="25" t="str">
        <f>IF(OR(E3393="",E3393="!!!",F3393="NEW"),"",INDEX(J$1:J3392,SUMPRODUCT(MAX(ROW(E$1:E3392)*(E3393=E$1:E3392)))))</f>
        <v> </v>
      </c>
      <c r="L3393" s="26"/>
    </row>
    <row r="3394" spans="1:12">
      <c r="A3394" s="20"/>
    </row>
    <row r="3395" spans="1:12">
      <c r="A3395" s="20" t="s">
        <v>2172</v>
      </c>
    </row>
    <row r="3396" spans="1:12">
      <c r="A3396" s="20" t="s">
        <v>1078</v>
      </c>
      <c r="E3396" s="21">
        <f>IF(D3396="?OLD","!!!","")</f>
        <v/>
      </c>
      <c r="F3396" s="22" t="str">
        <f>IF(OR(E3396="",E3396="!!!"),"",IF(NOT(ISNA(VLOOKUP(E3396,E$1:E3395,1,FALSE()))),"OLD",IF(AND(E3396&lt;&gt;"",E3396&lt;&gt;"!!!"),"NEW","")))</f>
        <v> </v>
      </c>
      <c r="G3396" s="23" t="str">
        <f>IF(OR(E3396="",E3396="!!!"),"",IF(OR(J3396=0,AND(J3396=1,K3396=1),AND(J3396=1,I3396="SBJ"),AND(J3396=1,I3396=0)),"?IN_FOCUS",IF(J3396&lt;=2,"?ACTIVATED",IF(J3396&lt;&gt;"","?FAMILIAR",IF(F3396="NEW",IF(ISNA(VLOOKUP(E3396,#REF!,1,FALSE())),"?TYPE_IDENTIFIABLE","?REFERENTIAL"),"_")))))</f>
        <v> </v>
      </c>
      <c r="H3396" s="24" t="str">
        <f>IF(J3396&lt;&gt;1,"",IF(I3396="SBJ","CB","?"))</f>
        <v> </v>
      </c>
      <c r="I3396" s="25" t="str">
        <f>IF(OR(E3396="",E3396="!!!",F3396="NEW"),"",INDEX(B3395:B$2,-1+SUMPRODUCT(MAX(ROW(E3395:E$2)*(E3396=E3395:E$2)))))</f>
        <v> </v>
      </c>
      <c r="J3396" s="25" t="str">
        <f>IF(OR(E3396="",E3396="!!!",F3396="NEW"),"",COUNTBLANK(OFFSET(A$1,,,SUMPRODUCT(MAX(ROW(E$2:E3396)*(E3396=E$2:E3396)))))-COUNTBLANK(OFFSET(A$1,,,SUMPRODUCT(MAX(ROW(E$1:E3395)*(E2=E$1:E3395))))))</f>
        <v> </v>
      </c>
      <c r="K3396" s="25" t="str">
        <f>IF(OR(E3396="",E3396="!!!",F3396="NEW"),"",INDEX(J$1:J3395,SUMPRODUCT(MAX(ROW(E$1:E3395)*(E3396=E$1:E3395)))))</f>
        <v> </v>
      </c>
      <c r="L3396" s="26"/>
    </row>
    <row r="3397" spans="1:12">
      <c r="A3397" s="20" t="s">
        <v>1460</v>
      </c>
      <c r="E3397" s="21">
        <f>IF(D3397="?OLD","!!!","")</f>
        <v/>
      </c>
      <c r="F3397" s="22" t="str">
        <f>IF(OR(E3397="",E3397="!!!"),"",IF(NOT(ISNA(VLOOKUP(E3397,E$1:E3396,1,FALSE()))),"OLD",IF(AND(E3397&lt;&gt;"",E3397&lt;&gt;"!!!"),"NEW","")))</f>
        <v> </v>
      </c>
      <c r="G3397" s="23" t="str">
        <f>IF(OR(E3397="",E3397="!!!"),"",IF(OR(J3397=0,AND(J3397=1,K3397=1),AND(J3397=1,I3397="SBJ"),AND(J3397=1,I3397=0)),"?IN_FOCUS",IF(J3397&lt;=2,"?ACTIVATED",IF(J3397&lt;&gt;"","?FAMILIAR",IF(F3397="NEW",IF(ISNA(VLOOKUP(E3397,#REF!,1,FALSE())),"?TYPE_IDENTIFIABLE","?REFERENTIAL"),"_")))))</f>
        <v> </v>
      </c>
      <c r="H3397" s="24" t="str">
        <f>IF(J3397&lt;&gt;1,"",IF(I3397="SBJ","CB","?"))</f>
        <v> </v>
      </c>
      <c r="I3397" s="25" t="str">
        <f>IF(OR(E3397="",E3397="!!!",F3397="NEW"),"",INDEX(B3396:B$2,-1+SUMPRODUCT(MAX(ROW(E3396:E$2)*(E3397=E3396:E$2)))))</f>
        <v> </v>
      </c>
      <c r="J3397" s="25" t="str">
        <f>IF(OR(E3397="",E3397="!!!",F3397="NEW"),"",COUNTBLANK(OFFSET(A$1,,,SUMPRODUCT(MAX(ROW(E$2:E3397)*(E3397=E$2:E3397)))))-COUNTBLANK(OFFSET(A$1,,,SUMPRODUCT(MAX(ROW(E$1:E3396)*(E2=E$1:E3396))))))</f>
        <v> </v>
      </c>
      <c r="K3397" s="25" t="str">
        <f>IF(OR(E3397="",E3397="!!!",F3397="NEW"),"",INDEX(J$1:J3396,SUMPRODUCT(MAX(ROW(E$1:E3396)*(E3397=E$1:E3396)))))</f>
        <v> </v>
      </c>
      <c r="L3397" s="26"/>
    </row>
    <row r="3398" spans="1:12">
      <c r="A3398" s="20" t="s">
        <v>1650</v>
      </c>
      <c r="B3398" s="27" t="s">
        <v>1071</v>
      </c>
      <c r="C3398" s="27" t="s">
        <v>1072</v>
      </c>
      <c r="E3398" s="21">
        <f>IF(D3398="?OLD","!!!","")</f>
        <v/>
      </c>
      <c r="F3398" s="22" t="str">
        <f>IF(OR(E3398="",E3398="!!!"),"",IF(NOT(ISNA(VLOOKUP(E3398,E$1:E3397,1,FALSE()))),"OLD",IF(AND(E3398&lt;&gt;"",E3398&lt;&gt;"!!!"),"NEW","")))</f>
        <v> </v>
      </c>
      <c r="G3398" s="23" t="str">
        <f>IF(OR(E3398="",E3398="!!!"),"",IF(OR(J3398=0,AND(J3398=1,K3398=1),AND(J3398=1,I3398="SBJ"),AND(J3398=1,I3398=0)),"?IN_FOCUS",IF(J3398&lt;=2,"?ACTIVATED",IF(J3398&lt;&gt;"","?FAMILIAR",IF(F3398="NEW",IF(ISNA(VLOOKUP(E3398,#REF!,1,FALSE())),"?TYPE_IDENTIFIABLE","?REFERENTIAL"),"_")))))</f>
        <v> </v>
      </c>
      <c r="H3398" s="24" t="str">
        <f>IF(J3398&lt;&gt;1,"",IF(I3398="SBJ","CB","?"))</f>
        <v> </v>
      </c>
      <c r="I3398" s="25" t="str">
        <f>IF(OR(E3398="",E3398="!!!",F3398="NEW"),"",INDEX(B3397:B$2,-1+SUMPRODUCT(MAX(ROW(E3397:E$2)*(E3398=E3397:E$2)))))</f>
        <v> </v>
      </c>
      <c r="J3398" s="25" t="str">
        <f>IF(OR(E3398="",E3398="!!!",F3398="NEW"),"",COUNTBLANK(OFFSET(A$1,,,SUMPRODUCT(MAX(ROW(E$2:E3398)*(E3398=E$2:E3398)))))-COUNTBLANK(OFFSET(A$1,,,SUMPRODUCT(MAX(ROW(E$1:E3397)*(E2=E$1:E3397))))))</f>
        <v> </v>
      </c>
      <c r="K3398" s="25" t="str">
        <f>IF(OR(E3398="",E3398="!!!",F3398="NEW"),"",INDEX(J$1:J3397,SUMPRODUCT(MAX(ROW(E$1:E3397)*(E3398=E$1:E3397)))))</f>
        <v> </v>
      </c>
      <c r="L3398" s="26"/>
    </row>
    <row r="3399" spans="1:12">
      <c r="A3399" s="20" t="s">
        <v>1119</v>
      </c>
      <c r="B3399" s="27" t="s">
        <v>1067</v>
      </c>
      <c r="C3399" s="27" t="s">
        <v>1117</v>
      </c>
      <c r="E3399" s="21">
        <f>IF(D3399="?OLD","!!!","")</f>
        <v/>
      </c>
      <c r="F3399" s="22" t="str">
        <f>IF(OR(E3399="",E3399="!!!"),"",IF(NOT(ISNA(VLOOKUP(E3399,E$1:E3398,1,FALSE()))),"OLD",IF(AND(E3399&lt;&gt;"",E3399&lt;&gt;"!!!"),"NEW","")))</f>
        <v> </v>
      </c>
      <c r="G3399" s="23" t="str">
        <f>IF(OR(E3399="",E3399="!!!"),"",IF(OR(J3399=0,AND(J3399=1,K3399=1),AND(J3399=1,I3399="SBJ"),AND(J3399=1,I3399=0)),"?IN_FOCUS",IF(J3399&lt;=2,"?ACTIVATED",IF(J3399&lt;&gt;"","?FAMILIAR",IF(F3399="NEW",IF(ISNA(VLOOKUP(E3399,#REF!,1,FALSE())),"?TYPE_IDENTIFIABLE","?REFERENTIAL"),"_")))))</f>
        <v> </v>
      </c>
      <c r="H3399" s="24" t="str">
        <f>IF(J3399&lt;&gt;1,"",IF(I3399="SBJ","CB","?"))</f>
        <v> </v>
      </c>
      <c r="I3399" s="25" t="str">
        <f>IF(OR(E3399="",E3399="!!!",F3399="NEW"),"",INDEX(B3398:B$2,-1+SUMPRODUCT(MAX(ROW(E3398:E$2)*(E3399=E3398:E$2)))))</f>
        <v> </v>
      </c>
      <c r="J3399" s="25" t="str">
        <f>IF(OR(E3399="",E3399="!!!",F3399="NEW"),"",COUNTBLANK(OFFSET(A$1,,,SUMPRODUCT(MAX(ROW(E$2:E3399)*(E3399=E$2:E3399)))))-COUNTBLANK(OFFSET(A$1,,,SUMPRODUCT(MAX(ROW(E$1:E3398)*(E2=E$1:E3398))))))</f>
        <v> </v>
      </c>
      <c r="K3399" s="25" t="str">
        <f>IF(OR(E3399="",E3399="!!!",F3399="NEW"),"",INDEX(J$1:J3398,SUMPRODUCT(MAX(ROW(E$1:E3398)*(E3399=E$1:E3398)))))</f>
        <v> </v>
      </c>
      <c r="L3399" s="26"/>
    </row>
    <row r="3400" spans="1:12">
      <c r="A3400" s="20" t="s">
        <v>1421</v>
      </c>
      <c r="B3400" s="27" t="s">
        <v>1092</v>
      </c>
      <c r="C3400" s="27" t="s">
        <v>1129</v>
      </c>
      <c r="D3400" s="27" t="s">
        <v>1069</v>
      </c>
      <c r="E3400" s="21">
        <f>IF(D3400="?OLD","!!!","")</f>
        <v/>
      </c>
      <c r="F3400" s="22" t="str">
        <f>IF(OR(E3400="",E3400="!!!"),"",IF(NOT(ISNA(VLOOKUP(E3400,E$1:E3399,1,FALSE()))),"OLD",IF(AND(E3400&lt;&gt;"",E3400&lt;&gt;"!!!"),"NEW","")))</f>
        <v> </v>
      </c>
      <c r="G3400" s="23" t="str">
        <f>IF(OR(E3400="",E3400="!!!"),"",IF(OR(J3400=0,AND(J3400=1,K3400=1),AND(J3400=1,I3400="SBJ"),AND(J3400=1,I3400=0)),"?IN_FOCUS",IF(J3400&lt;=2,"?ACTIVATED",IF(J3400&lt;&gt;"","?FAMILIAR",IF(F3400="NEW",IF(ISNA(VLOOKUP(E3400,#REF!,1,FALSE())),"?TYPE_IDENTIFIABLE","?REFERENTIAL"),"_")))))</f>
        <v> </v>
      </c>
      <c r="H3400" s="24" t="str">
        <f>IF(J3400&lt;&gt;1,"",IF(I3400="SBJ","CB","?"))</f>
        <v> </v>
      </c>
      <c r="I3400" s="25" t="str">
        <f>IF(OR(E3400="",E3400="!!!",F3400="NEW"),"",INDEX(B3399:B$2,-1+SUMPRODUCT(MAX(ROW(E3399:E$2)*(E3400=E3399:E$2)))))</f>
        <v> </v>
      </c>
      <c r="J3400" s="25" t="str">
        <f>IF(OR(E3400="",E3400="!!!",F3400="NEW"),"",COUNTBLANK(OFFSET(A$1,,,SUMPRODUCT(MAX(ROW(E$2:E3400)*(E3400=E$2:E3400)))))-COUNTBLANK(OFFSET(A$1,,,SUMPRODUCT(MAX(ROW(E$1:E3399)*(E2=E$1:E3399))))))</f>
        <v> </v>
      </c>
      <c r="K3400" s="25" t="str">
        <f>IF(OR(E3400="",E3400="!!!",F3400="NEW"),"",INDEX(J$1:J3399,SUMPRODUCT(MAX(ROW(E$1:E3399)*(E3400=E$1:E3399)))))</f>
        <v> </v>
      </c>
      <c r="L3400" s="26"/>
    </row>
    <row r="3401" spans="1:12">
      <c r="A3401" s="20" t="s">
        <v>11</v>
      </c>
      <c r="E3401" s="21">
        <f>IF(D3401="?OLD","!!!","")</f>
        <v/>
      </c>
      <c r="F3401" s="22" t="str">
        <f>IF(OR(E3401="",E3401="!!!"),"",IF(NOT(ISNA(VLOOKUP(E3401,E$1:E3400,1,FALSE()))),"OLD",IF(AND(E3401&lt;&gt;"",E3401&lt;&gt;"!!!"),"NEW","")))</f>
        <v> </v>
      </c>
      <c r="G3401" s="23" t="str">
        <f>IF(OR(E3401="",E3401="!!!"),"",IF(OR(J3401=0,AND(J3401=1,K3401=1),AND(J3401=1,I3401="SBJ"),AND(J3401=1,I3401=0)),"?IN_FOCUS",IF(J3401&lt;=2,"?ACTIVATED",IF(J3401&lt;&gt;"","?FAMILIAR",IF(F3401="NEW",IF(ISNA(VLOOKUP(E3401,#REF!,1,FALSE())),"?TYPE_IDENTIFIABLE","?REFERENTIAL"),"_")))))</f>
        <v> </v>
      </c>
      <c r="H3401" s="24" t="str">
        <f>IF(J3401&lt;&gt;1,"",IF(I3401="SBJ","CB","?"))</f>
        <v> </v>
      </c>
      <c r="I3401" s="25" t="str">
        <f>IF(OR(E3401="",E3401="!!!",F3401="NEW"),"",INDEX(B3400:B$2,-1+SUMPRODUCT(MAX(ROW(E3400:E$2)*(E3401=E3400:E$2)))))</f>
        <v> </v>
      </c>
      <c r="J3401" s="25" t="str">
        <f>IF(OR(E3401="",E3401="!!!",F3401="NEW"),"",COUNTBLANK(OFFSET(A$1,,,SUMPRODUCT(MAX(ROW(E$2:E3401)*(E3401=E$2:E3401)))))-COUNTBLANK(OFFSET(A$1,,,SUMPRODUCT(MAX(ROW(E$1:E3400)*(E2=E$1:E3400))))))</f>
        <v> </v>
      </c>
      <c r="K3401" s="25" t="str">
        <f>IF(OR(E3401="",E3401="!!!",F3401="NEW"),"",INDEX(J$1:J3400,SUMPRODUCT(MAX(ROW(E$1:E3400)*(E3401=E$1:E3400)))))</f>
        <v> </v>
      </c>
      <c r="L3401" s="26"/>
    </row>
    <row r="3402" spans="1:12">
      <c r="A3402" s="20" t="s">
        <v>1115</v>
      </c>
      <c r="B3402" s="27" t="s">
        <v>1071</v>
      </c>
      <c r="C3402" s="27" t="s">
        <v>1131</v>
      </c>
      <c r="D3402" s="27" t="s">
        <v>1069</v>
      </c>
      <c r="E3402" s="21">
        <f>IF(D3402="?OLD","!!!","")</f>
        <v/>
      </c>
      <c r="F3402" s="22" t="str">
        <f>IF(OR(E3402="",E3402="!!!"),"",IF(NOT(ISNA(VLOOKUP(E3402,E$1:E3401,1,FALSE()))),"OLD",IF(AND(E3402&lt;&gt;"",E3402&lt;&gt;"!!!"),"NEW","")))</f>
        <v> </v>
      </c>
      <c r="G3402" s="23" t="str">
        <f>IF(OR(E3402="",E3402="!!!"),"",IF(OR(J3402=0,AND(J3402=1,K3402=1),AND(J3402=1,I3402="SBJ"),AND(J3402=1,I3402=0)),"?IN_FOCUS",IF(J3402&lt;=2,"?ACTIVATED",IF(J3402&lt;&gt;"","?FAMILIAR",IF(F3402="NEW",IF(ISNA(VLOOKUP(E3402,#REF!,1,FALSE())),"?TYPE_IDENTIFIABLE","?REFERENTIAL"),"_")))))</f>
        <v> </v>
      </c>
      <c r="H3402" s="24" t="str">
        <f>IF(J3402&lt;&gt;1,"",IF(I3402="SBJ","CB","?"))</f>
        <v> </v>
      </c>
      <c r="I3402" s="25" t="str">
        <f>IF(OR(E3402="",E3402="!!!",F3402="NEW"),"",INDEX(B3401:B$2,-1+SUMPRODUCT(MAX(ROW(E3401:E$2)*(E3402=E3401:E$2)))))</f>
        <v> </v>
      </c>
      <c r="J3402" s="25" t="str">
        <f>IF(OR(E3402="",E3402="!!!",F3402="NEW"),"",COUNTBLANK(OFFSET(A$1,,,SUMPRODUCT(MAX(ROW(E$2:E3402)*(E3402=E$2:E3402)))))-COUNTBLANK(OFFSET(A$1,,,SUMPRODUCT(MAX(ROW(E$1:E3401)*(E2=E$1:E3401))))))</f>
        <v> </v>
      </c>
      <c r="K3402" s="25" t="str">
        <f>IF(OR(E3402="",E3402="!!!",F3402="NEW"),"",INDEX(J$1:J3401,SUMPRODUCT(MAX(ROW(E$1:E3401)*(E3402=E$1:E3401)))))</f>
        <v> </v>
      </c>
      <c r="L3402" s="26"/>
    </row>
    <row r="3403" spans="1:12">
      <c r="A3403" s="20" t="s">
        <v>46</v>
      </c>
      <c r="E3403" s="21">
        <f>IF(D3403="?OLD","!!!","")</f>
        <v/>
      </c>
      <c r="F3403" s="22" t="str">
        <f>IF(OR(E3403="",E3403="!!!"),"",IF(NOT(ISNA(VLOOKUP(E3403,E$1:E3402,1,FALSE()))),"OLD",IF(AND(E3403&lt;&gt;"",E3403&lt;&gt;"!!!"),"NEW","")))</f>
        <v> </v>
      </c>
      <c r="G3403" s="23" t="str">
        <f>IF(OR(E3403="",E3403="!!!"),"",IF(OR(J3403=0,AND(J3403=1,K3403=1),AND(J3403=1,I3403="SBJ"),AND(J3403=1,I3403=0)),"?IN_FOCUS",IF(J3403&lt;=2,"?ACTIVATED",IF(J3403&lt;&gt;"","?FAMILIAR",IF(F3403="NEW",IF(ISNA(VLOOKUP(E3403,#REF!,1,FALSE())),"?TYPE_IDENTIFIABLE","?REFERENTIAL"),"_")))))</f>
        <v> </v>
      </c>
      <c r="H3403" s="24" t="str">
        <f>IF(J3403&lt;&gt;1,"",IF(I3403="SBJ","CB","?"))</f>
        <v> </v>
      </c>
      <c r="I3403" s="25" t="str">
        <f>IF(OR(E3403="",E3403="!!!",F3403="NEW"),"",INDEX(B3402:B$2,-1+SUMPRODUCT(MAX(ROW(E3402:E$2)*(E3403=E3402:E$2)))))</f>
        <v> </v>
      </c>
      <c r="J3403" s="25" t="str">
        <f>IF(OR(E3403="",E3403="!!!",F3403="NEW"),"",COUNTBLANK(OFFSET(A$1,,,SUMPRODUCT(MAX(ROW(E$2:E3403)*(E3403=E$2:E3403)))))-COUNTBLANK(OFFSET(A$1,,,SUMPRODUCT(MAX(ROW(E$1:E3402)*(E2=E$1:E3402))))))</f>
        <v> </v>
      </c>
      <c r="K3403" s="25" t="str">
        <f>IF(OR(E3403="",E3403="!!!",F3403="NEW"),"",INDEX(J$1:J3402,SUMPRODUCT(MAX(ROW(E$1:E3402)*(E3403=E$1:E3402)))))</f>
        <v> </v>
      </c>
      <c r="L3403" s="26"/>
    </row>
    <row r="3404" spans="1:12">
      <c r="A3404" s="20" t="s">
        <v>1193</v>
      </c>
      <c r="E3404" s="21">
        <f>IF(D3404="?OLD","!!!","")</f>
        <v/>
      </c>
      <c r="F3404" s="22" t="str">
        <f>IF(OR(E3404="",E3404="!!!"),"",IF(NOT(ISNA(VLOOKUP(E3404,E$1:E3403,1,FALSE()))),"OLD",IF(AND(E3404&lt;&gt;"",E3404&lt;&gt;"!!!"),"NEW","")))</f>
        <v> </v>
      </c>
      <c r="G3404" s="23" t="str">
        <f>IF(OR(E3404="",E3404="!!!"),"",IF(OR(J3404=0,AND(J3404=1,K3404=1),AND(J3404=1,I3404="SBJ"),AND(J3404=1,I3404=0)),"?IN_FOCUS",IF(J3404&lt;=2,"?ACTIVATED",IF(J3404&lt;&gt;"","?FAMILIAR",IF(F3404="NEW",IF(ISNA(VLOOKUP(E3404,#REF!,1,FALSE())),"?TYPE_IDENTIFIABLE","?REFERENTIAL"),"_")))))</f>
        <v> </v>
      </c>
      <c r="H3404" s="24" t="str">
        <f>IF(J3404&lt;&gt;1,"",IF(I3404="SBJ","CB","?"))</f>
        <v> </v>
      </c>
      <c r="I3404" s="25" t="str">
        <f>IF(OR(E3404="",E3404="!!!",F3404="NEW"),"",INDEX(B3403:B$2,-1+SUMPRODUCT(MAX(ROW(E3403:E$2)*(E3404=E3403:E$2)))))</f>
        <v> </v>
      </c>
      <c r="J3404" s="25" t="str">
        <f>IF(OR(E3404="",E3404="!!!",F3404="NEW"),"",COUNTBLANK(OFFSET(A$1,,,SUMPRODUCT(MAX(ROW(E$2:E3404)*(E3404=E$2:E3404)))))-COUNTBLANK(OFFSET(A$1,,,SUMPRODUCT(MAX(ROW(E$1:E3403)*(E2=E$1:E3403))))))</f>
        <v> </v>
      </c>
      <c r="K3404" s="25" t="str">
        <f>IF(OR(E3404="",E3404="!!!",F3404="NEW"),"",INDEX(J$1:J3403,SUMPRODUCT(MAX(ROW(E$1:E3403)*(E3404=E$1:E3403)))))</f>
        <v> </v>
      </c>
      <c r="L3404" s="26"/>
    </row>
    <row r="3405" spans="1:12">
      <c r="A3405" s="20" t="s">
        <v>1159</v>
      </c>
      <c r="E3405" s="21">
        <f>IF(D3405="?OLD","!!!","")</f>
        <v/>
      </c>
      <c r="F3405" s="22" t="str">
        <f>IF(OR(E3405="",E3405="!!!"),"",IF(NOT(ISNA(VLOOKUP(E3405,E$1:E3404,1,FALSE()))),"OLD",IF(AND(E3405&lt;&gt;"",E3405&lt;&gt;"!!!"),"NEW","")))</f>
        <v> </v>
      </c>
      <c r="G3405" s="23" t="str">
        <f>IF(OR(E3405="",E3405="!!!"),"",IF(OR(J3405=0,AND(J3405=1,K3405=1),AND(J3405=1,I3405="SBJ"),AND(J3405=1,I3405=0)),"?IN_FOCUS",IF(J3405&lt;=2,"?ACTIVATED",IF(J3405&lt;&gt;"","?FAMILIAR",IF(F3405="NEW",IF(ISNA(VLOOKUP(E3405,#REF!,1,FALSE())),"?TYPE_IDENTIFIABLE","?REFERENTIAL"),"_")))))</f>
        <v> </v>
      </c>
      <c r="H3405" s="24" t="str">
        <f>IF(J3405&lt;&gt;1,"",IF(I3405="SBJ","CB","?"))</f>
        <v> </v>
      </c>
      <c r="I3405" s="25" t="str">
        <f>IF(OR(E3405="",E3405="!!!",F3405="NEW"),"",INDEX(B3404:B$2,-1+SUMPRODUCT(MAX(ROW(E3404:E$2)*(E3405=E3404:E$2)))))</f>
        <v> </v>
      </c>
      <c r="J3405" s="25" t="str">
        <f>IF(OR(E3405="",E3405="!!!",F3405="NEW"),"",COUNTBLANK(OFFSET(A$1,,,SUMPRODUCT(MAX(ROW(E$2:E3405)*(E3405=E$2:E3405)))))-COUNTBLANK(OFFSET(A$1,,,SUMPRODUCT(MAX(ROW(E$1:E3404)*(E2=E$1:E3404))))))</f>
        <v> </v>
      </c>
      <c r="K3405" s="25" t="str">
        <f>IF(OR(E3405="",E3405="!!!",F3405="NEW"),"",INDEX(J$1:J3404,SUMPRODUCT(MAX(ROW(E$1:E3404)*(E3405=E$1:E3404)))))</f>
        <v> </v>
      </c>
      <c r="L3405" s="26"/>
    </row>
    <row r="3406" spans="1:12">
      <c r="A3406" s="20" t="s">
        <v>2173</v>
      </c>
      <c r="E3406" s="21">
        <f>IF(D3406="?OLD","!!!","")</f>
        <v/>
      </c>
      <c r="F3406" s="22" t="str">
        <f>IF(OR(E3406="",E3406="!!!"),"",IF(NOT(ISNA(VLOOKUP(E3406,E$1:E3405,1,FALSE()))),"OLD",IF(AND(E3406&lt;&gt;"",E3406&lt;&gt;"!!!"),"NEW","")))</f>
        <v> </v>
      </c>
      <c r="G3406" s="23" t="str">
        <f>IF(OR(E3406="",E3406="!!!"),"",IF(OR(J3406=0,AND(J3406=1,K3406=1),AND(J3406=1,I3406="SBJ"),AND(J3406=1,I3406=0)),"?IN_FOCUS",IF(J3406&lt;=2,"?ACTIVATED",IF(J3406&lt;&gt;"","?FAMILIAR",IF(F3406="NEW",IF(ISNA(VLOOKUP(E3406,#REF!,1,FALSE())),"?TYPE_IDENTIFIABLE","?REFERENTIAL"),"_")))))</f>
        <v> </v>
      </c>
      <c r="H3406" s="24" t="str">
        <f>IF(J3406&lt;&gt;1,"",IF(I3406="SBJ","CB","?"))</f>
        <v> </v>
      </c>
      <c r="I3406" s="25" t="str">
        <f>IF(OR(E3406="",E3406="!!!",F3406="NEW"),"",INDEX(B3405:B$2,-1+SUMPRODUCT(MAX(ROW(E3405:E$2)*(E3406=E3405:E$2)))))</f>
        <v> </v>
      </c>
      <c r="J3406" s="25" t="str">
        <f>IF(OR(E3406="",E3406="!!!",F3406="NEW"),"",COUNTBLANK(OFFSET(A$1,,,SUMPRODUCT(MAX(ROW(E$2:E3406)*(E3406=E$2:E3406)))))-COUNTBLANK(OFFSET(A$1,,,SUMPRODUCT(MAX(ROW(E$1:E3405)*(E2=E$1:E3405))))))</f>
        <v> </v>
      </c>
      <c r="K3406" s="25" t="str">
        <f>IF(OR(E3406="",E3406="!!!",F3406="NEW"),"",INDEX(J$1:J3405,SUMPRODUCT(MAX(ROW(E$1:E3405)*(E3406=E$1:E3405)))))</f>
        <v> </v>
      </c>
      <c r="L3406" s="26"/>
    </row>
    <row r="3407" spans="1:12">
      <c r="A3407" s="20" t="s">
        <v>841</v>
      </c>
      <c r="E3407" s="21">
        <f>IF(D3407="?OLD","!!!","")</f>
        <v/>
      </c>
      <c r="F3407" s="22" t="str">
        <f>IF(OR(E3407="",E3407="!!!"),"",IF(NOT(ISNA(VLOOKUP(E3407,E$1:E3406,1,FALSE()))),"OLD",IF(AND(E3407&lt;&gt;"",E3407&lt;&gt;"!!!"),"NEW","")))</f>
        <v> </v>
      </c>
      <c r="G3407" s="23" t="str">
        <f>IF(OR(E3407="",E3407="!!!"),"",IF(OR(J3407=0,AND(J3407=1,K3407=1),AND(J3407=1,I3407="SBJ"),AND(J3407=1,I3407=0)),"?IN_FOCUS",IF(J3407&lt;=2,"?ACTIVATED",IF(J3407&lt;&gt;"","?FAMILIAR",IF(F3407="NEW",IF(ISNA(VLOOKUP(E3407,#REF!,1,FALSE())),"?TYPE_IDENTIFIABLE","?REFERENTIAL"),"_")))))</f>
        <v> </v>
      </c>
      <c r="H3407" s="24" t="str">
        <f>IF(J3407&lt;&gt;1,"",IF(I3407="SBJ","CB","?"))</f>
        <v> </v>
      </c>
      <c r="I3407" s="25" t="str">
        <f>IF(OR(E3407="",E3407="!!!",F3407="NEW"),"",INDEX(B3406:B$2,-1+SUMPRODUCT(MAX(ROW(E3406:E$2)*(E3407=E3406:E$2)))))</f>
        <v> </v>
      </c>
      <c r="J3407" s="25" t="str">
        <f>IF(OR(E3407="",E3407="!!!",F3407="NEW"),"",COUNTBLANK(OFFSET(A$1,,,SUMPRODUCT(MAX(ROW(E$2:E3407)*(E3407=E$2:E3407)))))-COUNTBLANK(OFFSET(A$1,,,SUMPRODUCT(MAX(ROW(E$1:E3406)*(E2=E$1:E3406))))))</f>
        <v> </v>
      </c>
      <c r="K3407" s="25" t="str">
        <f>IF(OR(E3407="",E3407="!!!",F3407="NEW"),"",INDEX(J$1:J3406,SUMPRODUCT(MAX(ROW(E$1:E3406)*(E3407=E$1:E3406)))))</f>
        <v> </v>
      </c>
      <c r="L3407" s="26"/>
    </row>
    <row r="3408" spans="1:12">
      <c r="A3408" s="20" t="s">
        <v>1080</v>
      </c>
      <c r="E3408" s="21">
        <f>IF(D3408="?OLD","!!!","")</f>
        <v/>
      </c>
      <c r="F3408" s="22" t="str">
        <f>IF(OR(E3408="",E3408="!!!"),"",IF(NOT(ISNA(VLOOKUP(E3408,E$1:E3407,1,FALSE()))),"OLD",IF(AND(E3408&lt;&gt;"",E3408&lt;&gt;"!!!"),"NEW","")))</f>
        <v> </v>
      </c>
      <c r="G3408" s="23" t="str">
        <f>IF(OR(E3408="",E3408="!!!"),"",IF(OR(J3408=0,AND(J3408=1,K3408=1),AND(J3408=1,I3408="SBJ"),AND(J3408=1,I3408=0)),"?IN_FOCUS",IF(J3408&lt;=2,"?ACTIVATED",IF(J3408&lt;&gt;"","?FAMILIAR",IF(F3408="NEW",IF(ISNA(VLOOKUP(E3408,#REF!,1,FALSE())),"?TYPE_IDENTIFIABLE","?REFERENTIAL"),"_")))))</f>
        <v> </v>
      </c>
      <c r="H3408" s="24" t="str">
        <f>IF(J3408&lt;&gt;1,"",IF(I3408="SBJ","CB","?"))</f>
        <v> </v>
      </c>
      <c r="I3408" s="25" t="str">
        <f>IF(OR(E3408="",E3408="!!!",F3408="NEW"),"",INDEX(B3407:B$2,-1+SUMPRODUCT(MAX(ROW(E3407:E$2)*(E3408=E3407:E$2)))))</f>
        <v> </v>
      </c>
      <c r="J3408" s="25" t="str">
        <f>IF(OR(E3408="",E3408="!!!",F3408="NEW"),"",COUNTBLANK(OFFSET(A$1,,,SUMPRODUCT(MAX(ROW(E$2:E3408)*(E3408=E$2:E3408)))))-COUNTBLANK(OFFSET(A$1,,,SUMPRODUCT(MAX(ROW(E$1:E3407)*(E2=E$1:E3407))))))</f>
        <v> </v>
      </c>
      <c r="K3408" s="25" t="str">
        <f>IF(OR(E3408="",E3408="!!!",F3408="NEW"),"",INDEX(J$1:J3407,SUMPRODUCT(MAX(ROW(E$1:E3407)*(E3408=E$1:E3407)))))</f>
        <v> </v>
      </c>
      <c r="L3408" s="26"/>
    </row>
    <row r="3409" spans="1:12">
      <c r="A3409" s="20"/>
    </row>
    <row r="3410" spans="1:12">
      <c r="A3410" s="20" t="s">
        <v>2174</v>
      </c>
    </row>
    <row r="3411" spans="1:12">
      <c r="A3411" s="20" t="s">
        <v>1702</v>
      </c>
      <c r="B3411" s="27" t="s">
        <v>1160</v>
      </c>
      <c r="C3411" s="27" t="s">
        <v>1110</v>
      </c>
      <c r="D3411" s="27" t="s">
        <v>1069</v>
      </c>
      <c r="E3411" s="21">
        <f>IF(D3411="?OLD","!!!","")</f>
        <v/>
      </c>
      <c r="F3411" s="22" t="str">
        <f>IF(OR(E3411="",E3411="!!!"),"",IF(NOT(ISNA(VLOOKUP(E3411,E$1:E3410,1,FALSE()))),"OLD",IF(AND(E3411&lt;&gt;"",E3411&lt;&gt;"!!!"),"NEW","")))</f>
        <v> </v>
      </c>
      <c r="G3411" s="23" t="str">
        <f>IF(OR(E3411="",E3411="!!!"),"",IF(OR(J3411=0,AND(J3411=1,K3411=1),AND(J3411=1,I3411="SBJ"),AND(J3411=1,I3411=0)),"?IN_FOCUS",IF(J3411&lt;=2,"?ACTIVATED",IF(J3411&lt;&gt;"","?FAMILIAR",IF(F3411="NEW",IF(ISNA(VLOOKUP(E3411,#REF!,1,FALSE())),"?TYPE_IDENTIFIABLE","?REFERENTIAL"),"_")))))</f>
        <v> </v>
      </c>
      <c r="H3411" s="24" t="str">
        <f>IF(J3411&lt;&gt;1,"",IF(I3411="SBJ","CB","?"))</f>
        <v> </v>
      </c>
      <c r="I3411" s="25" t="str">
        <f>IF(OR(E3411="",E3411="!!!",F3411="NEW"),"",INDEX(B3410:B$2,-1+SUMPRODUCT(MAX(ROW(E3410:E$2)*(E3411=E3410:E$2)))))</f>
        <v> </v>
      </c>
      <c r="J3411" s="25" t="str">
        <f>IF(OR(E3411="",E3411="!!!",F3411="NEW"),"",COUNTBLANK(OFFSET(A$1,,,SUMPRODUCT(MAX(ROW(E$2:E3411)*(E3411=E$2:E3411)))))-COUNTBLANK(OFFSET(A$1,,,SUMPRODUCT(MAX(ROW(E$1:E3410)*(E2=E$1:E3410))))))</f>
        <v> </v>
      </c>
      <c r="K3411" s="25" t="str">
        <f>IF(OR(E3411="",E3411="!!!",F3411="NEW"),"",INDEX(J$1:J3410,SUMPRODUCT(MAX(ROW(E$1:E3410)*(E3411=E$1:E3410)))))</f>
        <v> </v>
      </c>
      <c r="L3411" s="26"/>
    </row>
    <row r="3412" spans="1:12">
      <c r="A3412" s="20" t="s">
        <v>129</v>
      </c>
      <c r="E3412" s="21">
        <f>IF(D3412="?OLD","!!!","")</f>
        <v/>
      </c>
      <c r="F3412" s="22" t="str">
        <f>IF(OR(E3412="",E3412="!!!"),"",IF(NOT(ISNA(VLOOKUP(E3412,E$1:E3411,1,FALSE()))),"OLD",IF(AND(E3412&lt;&gt;"",E3412&lt;&gt;"!!!"),"NEW","")))</f>
        <v> </v>
      </c>
      <c r="G3412" s="23" t="str">
        <f>IF(OR(E3412="",E3412="!!!"),"",IF(OR(J3412=0,AND(J3412=1,K3412=1),AND(J3412=1,I3412="SBJ"),AND(J3412=1,I3412=0)),"?IN_FOCUS",IF(J3412&lt;=2,"?ACTIVATED",IF(J3412&lt;&gt;"","?FAMILIAR",IF(F3412="NEW",IF(ISNA(VLOOKUP(E3412,#REF!,1,FALSE())),"?TYPE_IDENTIFIABLE","?REFERENTIAL"),"_")))))</f>
        <v> </v>
      </c>
      <c r="H3412" s="24" t="str">
        <f>IF(J3412&lt;&gt;1,"",IF(I3412="SBJ","CB","?"))</f>
        <v> </v>
      </c>
      <c r="I3412" s="25" t="str">
        <f>IF(OR(E3412="",E3412="!!!",F3412="NEW"),"",INDEX(B3411:B$2,-1+SUMPRODUCT(MAX(ROW(E3411:E$2)*(E3412=E3411:E$2)))))</f>
        <v> </v>
      </c>
      <c r="J3412" s="25" t="str">
        <f>IF(OR(E3412="",E3412="!!!",F3412="NEW"),"",COUNTBLANK(OFFSET(A$1,,,SUMPRODUCT(MAX(ROW(E$2:E3412)*(E3412=E$2:E3412)))))-COUNTBLANK(OFFSET(A$1,,,SUMPRODUCT(MAX(ROW(E$1:E3411)*(E2=E$1:E3411))))))</f>
        <v> </v>
      </c>
      <c r="K3412" s="25" t="str">
        <f>IF(OR(E3412="",E3412="!!!",F3412="NEW"),"",INDEX(J$1:J3411,SUMPRODUCT(MAX(ROW(E$1:E3411)*(E3412=E$1:E3411)))))</f>
        <v> </v>
      </c>
      <c r="L3412" s="26"/>
    </row>
    <row r="3413" spans="1:12">
      <c r="A3413" s="20" t="s">
        <v>1108</v>
      </c>
      <c r="B3413" s="27" t="s">
        <v>1067</v>
      </c>
      <c r="C3413" s="27" t="s">
        <v>1110</v>
      </c>
      <c r="D3413" s="27" t="s">
        <v>1069</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t="s">
        <v>1243</v>
      </c>
      <c r="E3414" s="21">
        <f>IF(D3414="?OLD","!!!","")</f>
        <v/>
      </c>
      <c r="F3414" s="22" t="str">
        <f>IF(OR(E3414="",E3414="!!!"),"",IF(NOT(ISNA(VLOOKUP(E3414,E$1:E3413,1,FALSE()))),"OLD",IF(AND(E3414&lt;&gt;"",E3414&lt;&gt;"!!!"),"NEW","")))</f>
        <v> </v>
      </c>
      <c r="G3414" s="23" t="str">
        <f>IF(OR(E3414="",E3414="!!!"),"",IF(OR(J3414=0,AND(J3414=1,K3414=1),AND(J3414=1,I3414="SBJ"),AND(J3414=1,I3414=0)),"?IN_FOCUS",IF(J3414&lt;=2,"?ACTIVATED",IF(J3414&lt;&gt;"","?FAMILIAR",IF(F3414="NEW",IF(ISNA(VLOOKUP(E3414,#REF!,1,FALSE())),"?TYPE_IDENTIFIABLE","?REFERENTIAL"),"_")))))</f>
        <v> </v>
      </c>
      <c r="H3414" s="24" t="str">
        <f>IF(J3414&lt;&gt;1,"",IF(I3414="SBJ","CB","?"))</f>
        <v> </v>
      </c>
      <c r="I3414" s="25" t="str">
        <f>IF(OR(E3414="",E3414="!!!",F3414="NEW"),"",INDEX(B3413:B$2,-1+SUMPRODUCT(MAX(ROW(E3413:E$2)*(E3414=E3413:E$2)))))</f>
        <v> </v>
      </c>
      <c r="J3414" s="25" t="str">
        <f>IF(OR(E3414="",E3414="!!!",F3414="NEW"),"",COUNTBLANK(OFFSET(A$1,,,SUMPRODUCT(MAX(ROW(E$2:E3414)*(E3414=E$2:E3414)))))-COUNTBLANK(OFFSET(A$1,,,SUMPRODUCT(MAX(ROW(E$1:E3413)*(E2=E$1:E3413))))))</f>
        <v> </v>
      </c>
      <c r="K3414" s="25" t="str">
        <f>IF(OR(E3414="",E3414="!!!",F3414="NEW"),"",INDEX(J$1:J3413,SUMPRODUCT(MAX(ROW(E$1:E3413)*(E3414=E$1:E3413)))))</f>
        <v> </v>
      </c>
      <c r="L3414" s="26"/>
    </row>
    <row r="3415" spans="1:12">
      <c r="A3415" s="20" t="s">
        <v>707</v>
      </c>
      <c r="E3415" s="21">
        <f>IF(D3415="?OLD","!!!","")</f>
        <v/>
      </c>
      <c r="F3415" s="22" t="str">
        <f>IF(OR(E3415="",E3415="!!!"),"",IF(NOT(ISNA(VLOOKUP(E3415,E$1:E3414,1,FALSE()))),"OLD",IF(AND(E3415&lt;&gt;"",E3415&lt;&gt;"!!!"),"NEW","")))</f>
        <v> </v>
      </c>
      <c r="G3415" s="23" t="str">
        <f>IF(OR(E3415="",E3415="!!!"),"",IF(OR(J3415=0,AND(J3415=1,K3415=1),AND(J3415=1,I3415="SBJ"),AND(J3415=1,I3415=0)),"?IN_FOCUS",IF(J3415&lt;=2,"?ACTIVATED",IF(J3415&lt;&gt;"","?FAMILIAR",IF(F3415="NEW",IF(ISNA(VLOOKUP(E3415,#REF!,1,FALSE())),"?TYPE_IDENTIFIABLE","?REFERENTIAL"),"_")))))</f>
        <v> </v>
      </c>
      <c r="H3415" s="24" t="str">
        <f>IF(J3415&lt;&gt;1,"",IF(I3415="SBJ","CB","?"))</f>
        <v> </v>
      </c>
      <c r="I3415" s="25" t="str">
        <f>IF(OR(E3415="",E3415="!!!",F3415="NEW"),"",INDEX(B3414:B$2,-1+SUMPRODUCT(MAX(ROW(E3414:E$2)*(E3415=E3414:E$2)))))</f>
        <v> </v>
      </c>
      <c r="J3415" s="25" t="str">
        <f>IF(OR(E3415="",E3415="!!!",F3415="NEW"),"",COUNTBLANK(OFFSET(A$1,,,SUMPRODUCT(MAX(ROW(E$2:E3415)*(E3415=E$2:E3415)))))-COUNTBLANK(OFFSET(A$1,,,SUMPRODUCT(MAX(ROW(E$1:E3414)*(E2=E$1:E3414))))))</f>
        <v> </v>
      </c>
      <c r="K3415" s="25" t="str">
        <f>IF(OR(E3415="",E3415="!!!",F3415="NEW"),"",INDEX(J$1:J3414,SUMPRODUCT(MAX(ROW(E$1:E3414)*(E3415=E$1:E3414)))))</f>
        <v> </v>
      </c>
      <c r="L3415" s="26"/>
    </row>
    <row r="3416" spans="1:12">
      <c r="A3416" s="20" t="s">
        <v>1324</v>
      </c>
      <c r="E3416" s="21">
        <f>IF(D3416="?OLD","!!!","")</f>
        <v/>
      </c>
      <c r="F3416" s="22" t="str">
        <f>IF(OR(E3416="",E3416="!!!"),"",IF(NOT(ISNA(VLOOKUP(E3416,E$1:E3415,1,FALSE()))),"OLD",IF(AND(E3416&lt;&gt;"",E3416&lt;&gt;"!!!"),"NEW","")))</f>
        <v> </v>
      </c>
      <c r="G3416" s="23" t="str">
        <f>IF(OR(E3416="",E3416="!!!"),"",IF(OR(J3416=0,AND(J3416=1,K3416=1),AND(J3416=1,I3416="SBJ"),AND(J3416=1,I3416=0)),"?IN_FOCUS",IF(J3416&lt;=2,"?ACTIVATED",IF(J3416&lt;&gt;"","?FAMILIAR",IF(F3416="NEW",IF(ISNA(VLOOKUP(E3416,#REF!,1,FALSE())),"?TYPE_IDENTIFIABLE","?REFERENTIAL"),"_")))))</f>
        <v> </v>
      </c>
      <c r="H3416" s="24" t="str">
        <f>IF(J3416&lt;&gt;1,"",IF(I3416="SBJ","CB","?"))</f>
        <v> </v>
      </c>
      <c r="I3416" s="25" t="str">
        <f>IF(OR(E3416="",E3416="!!!",F3416="NEW"),"",INDEX(B3415:B$2,-1+SUMPRODUCT(MAX(ROW(E3415:E$2)*(E3416=E3415:E$2)))))</f>
        <v> </v>
      </c>
      <c r="J3416" s="25" t="str">
        <f>IF(OR(E3416="",E3416="!!!",F3416="NEW"),"",COUNTBLANK(OFFSET(A$1,,,SUMPRODUCT(MAX(ROW(E$2:E3416)*(E3416=E$2:E3416)))))-COUNTBLANK(OFFSET(A$1,,,SUMPRODUCT(MAX(ROW(E$1:E3415)*(E2=E$1:E3415))))))</f>
        <v> </v>
      </c>
      <c r="K3416" s="25" t="str">
        <f>IF(OR(E3416="",E3416="!!!",F3416="NEW"),"",INDEX(J$1:J3415,SUMPRODUCT(MAX(ROW(E$1:E3415)*(E3416=E$1:E3415)))))</f>
        <v> </v>
      </c>
      <c r="L3416" s="26"/>
    </row>
    <row r="3417" spans="1:12">
      <c r="A3417" s="20"/>
    </row>
    <row r="3418" spans="1:12">
      <c r="A3418" s="20" t="s">
        <v>2175</v>
      </c>
    </row>
    <row r="3419" spans="1:12">
      <c r="A3419" s="20" t="s">
        <v>1631</v>
      </c>
      <c r="E3419" s="21">
        <f>IF(D3419="?OLD","!!!","")</f>
        <v/>
      </c>
      <c r="F3419" s="22" t="str">
        <f>IF(OR(E3419="",E3419="!!!"),"",IF(NOT(ISNA(VLOOKUP(E3419,E$1:E3418,1,FALSE()))),"OLD",IF(AND(E3419&lt;&gt;"",E3419&lt;&gt;"!!!"),"NEW","")))</f>
        <v> </v>
      </c>
      <c r="G3419" s="23" t="str">
        <f>IF(OR(E3419="",E3419="!!!"),"",IF(OR(J3419=0,AND(J3419=1,K3419=1),AND(J3419=1,I3419="SBJ"),AND(J3419=1,I3419=0)),"?IN_FOCUS",IF(J3419&lt;=2,"?ACTIVATED",IF(J3419&lt;&gt;"","?FAMILIAR",IF(F3419="NEW",IF(ISNA(VLOOKUP(E3419,#REF!,1,FALSE())),"?TYPE_IDENTIFIABLE","?REFERENTIAL"),"_")))))</f>
        <v> </v>
      </c>
      <c r="H3419" s="24" t="str">
        <f>IF(J3419&lt;&gt;1,"",IF(I3419="SBJ","CB","?"))</f>
        <v> </v>
      </c>
      <c r="I3419" s="25" t="str">
        <f>IF(OR(E3419="",E3419="!!!",F3419="NEW"),"",INDEX(B3418:B$2,-1+SUMPRODUCT(MAX(ROW(E3418:E$2)*(E3419=E3418:E$2)))))</f>
        <v> </v>
      </c>
      <c r="J3419" s="25" t="str">
        <f>IF(OR(E3419="",E3419="!!!",F3419="NEW"),"",COUNTBLANK(OFFSET(A$1,,,SUMPRODUCT(MAX(ROW(E$2:E3419)*(E3419=E$2:E3419)))))-COUNTBLANK(OFFSET(A$1,,,SUMPRODUCT(MAX(ROW(E$1:E3418)*(E2=E$1:E3418))))))</f>
        <v> </v>
      </c>
      <c r="K3419" s="25" t="str">
        <f>IF(OR(E3419="",E3419="!!!",F3419="NEW"),"",INDEX(J$1:J3418,SUMPRODUCT(MAX(ROW(E$1:E3418)*(E3419=E$1:E3418)))))</f>
        <v> </v>
      </c>
      <c r="L3419" s="26"/>
    </row>
    <row r="3420" spans="1:12">
      <c r="A3420" s="20" t="s">
        <v>1857</v>
      </c>
      <c r="B3420" s="27" t="s">
        <v>1071</v>
      </c>
      <c r="C3420" s="27" t="s">
        <v>1110</v>
      </c>
      <c r="D3420" s="27" t="s">
        <v>1069</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t="s">
        <v>2176</v>
      </c>
      <c r="B3421" s="27" t="s">
        <v>1074</v>
      </c>
      <c r="C3421" s="27" t="s">
        <v>1077</v>
      </c>
      <c r="E3421" s="21">
        <f>IF(D3421="?OLD","!!!","")</f>
        <v/>
      </c>
      <c r="F3421" s="22" t="str">
        <f>IF(OR(E3421="",E3421="!!!"),"",IF(NOT(ISNA(VLOOKUP(E3421,E$1:E3420,1,FALSE()))),"OLD",IF(AND(E3421&lt;&gt;"",E3421&lt;&gt;"!!!"),"NEW","")))</f>
        <v> </v>
      </c>
      <c r="G3421" s="23" t="str">
        <f>IF(OR(E3421="",E3421="!!!"),"",IF(OR(J3421=0,AND(J3421=1,K3421=1),AND(J3421=1,I3421="SBJ"),AND(J3421=1,I3421=0)),"?IN_FOCUS",IF(J3421&lt;=2,"?ACTIVATED",IF(J3421&lt;&gt;"","?FAMILIAR",IF(F3421="NEW",IF(ISNA(VLOOKUP(E3421,#REF!,1,FALSE())),"?TYPE_IDENTIFIABLE","?REFERENTIAL"),"_")))))</f>
        <v> </v>
      </c>
      <c r="H3421" s="24" t="str">
        <f>IF(J3421&lt;&gt;1,"",IF(I3421="SBJ","CB","?"))</f>
        <v> </v>
      </c>
      <c r="I3421" s="25" t="str">
        <f>IF(OR(E3421="",E3421="!!!",F3421="NEW"),"",INDEX(B3420:B$2,-1+SUMPRODUCT(MAX(ROW(E3420:E$2)*(E3421=E3420:E$2)))))</f>
        <v> </v>
      </c>
      <c r="J3421" s="25" t="str">
        <f>IF(OR(E3421="",E3421="!!!",F3421="NEW"),"",COUNTBLANK(OFFSET(A$1,,,SUMPRODUCT(MAX(ROW(E$2:E3421)*(E3421=E$2:E3421)))))-COUNTBLANK(OFFSET(A$1,,,SUMPRODUCT(MAX(ROW(E$1:E3420)*(E2=E$1:E3420))))))</f>
        <v> </v>
      </c>
      <c r="K3421" s="25" t="str">
        <f>IF(OR(E3421="",E3421="!!!",F3421="NEW"),"",INDEX(J$1:J3420,SUMPRODUCT(MAX(ROW(E$1:E3420)*(E3421=E$1:E3420)))))</f>
        <v> </v>
      </c>
      <c r="L3421" s="26"/>
    </row>
    <row r="3422" spans="1:12">
      <c r="A3422" s="20" t="s">
        <v>2177</v>
      </c>
      <c r="E3422" s="21">
        <f>IF(D3422="?OLD","!!!","")</f>
        <v/>
      </c>
      <c r="F3422" s="22" t="str">
        <f>IF(OR(E3422="",E3422="!!!"),"",IF(NOT(ISNA(VLOOKUP(E3422,E$1:E3421,1,FALSE()))),"OLD",IF(AND(E3422&lt;&gt;"",E3422&lt;&gt;"!!!"),"NEW","")))</f>
        <v> </v>
      </c>
      <c r="G3422" s="23" t="str">
        <f>IF(OR(E3422="",E3422="!!!"),"",IF(OR(J3422=0,AND(J3422=1,K3422=1),AND(J3422=1,I3422="SBJ"),AND(J3422=1,I3422=0)),"?IN_FOCUS",IF(J3422&lt;=2,"?ACTIVATED",IF(J3422&lt;&gt;"","?FAMILIAR",IF(F3422="NEW",IF(ISNA(VLOOKUP(E3422,#REF!,1,FALSE())),"?TYPE_IDENTIFIABLE","?REFERENTIAL"),"_")))))</f>
        <v> </v>
      </c>
      <c r="H3422" s="24" t="str">
        <f>IF(J3422&lt;&gt;1,"",IF(I3422="SBJ","CB","?"))</f>
        <v> </v>
      </c>
      <c r="I3422" s="25" t="str">
        <f>IF(OR(E3422="",E3422="!!!",F3422="NEW"),"",INDEX(B3421:B$2,-1+SUMPRODUCT(MAX(ROW(E3421:E$2)*(E3422=E3421:E$2)))))</f>
        <v> </v>
      </c>
      <c r="J3422" s="25" t="str">
        <f>IF(OR(E3422="",E3422="!!!",F3422="NEW"),"",COUNTBLANK(OFFSET(A$1,,,SUMPRODUCT(MAX(ROW(E$2:E3422)*(E3422=E$2:E3422)))))-COUNTBLANK(OFFSET(A$1,,,SUMPRODUCT(MAX(ROW(E$1:E3421)*(E2=E$1:E3421))))))</f>
        <v> </v>
      </c>
      <c r="K3422" s="25" t="str">
        <f>IF(OR(E3422="",E3422="!!!",F3422="NEW"),"",INDEX(J$1:J3421,SUMPRODUCT(MAX(ROW(E$1:E3421)*(E3422=E$1:E3421)))))</f>
        <v> </v>
      </c>
      <c r="L3422" s="26"/>
    </row>
    <row r="3423" spans="1:12">
      <c r="A3423" s="20" t="s">
        <v>1066</v>
      </c>
      <c r="B3423" s="27" t="s">
        <v>1067</v>
      </c>
      <c r="C3423" s="27" t="s">
        <v>1068</v>
      </c>
      <c r="D3423" s="27" t="s">
        <v>1069</v>
      </c>
      <c r="E3423" s="21">
        <f>IF(D3423="?OLD","!!!","")</f>
        <v/>
      </c>
      <c r="F3423" s="22" t="str">
        <f>IF(OR(E3423="",E3423="!!!"),"",IF(NOT(ISNA(VLOOKUP(E3423,E$1:E3422,1,FALSE()))),"OLD",IF(AND(E3423&lt;&gt;"",E3423&lt;&gt;"!!!"),"NEW","")))</f>
        <v> </v>
      </c>
      <c r="G3423" s="23" t="str">
        <f>IF(OR(E3423="",E3423="!!!"),"",IF(OR(J3423=0,AND(J3423=1,K3423=1),AND(J3423=1,I3423="SBJ"),AND(J3423=1,I3423=0)),"?IN_FOCUS",IF(J3423&lt;=2,"?ACTIVATED",IF(J3423&lt;&gt;"","?FAMILIAR",IF(F3423="NEW",IF(ISNA(VLOOKUP(E3423,#REF!,1,FALSE())),"?TYPE_IDENTIFIABLE","?REFERENTIAL"),"_")))))</f>
        <v> </v>
      </c>
      <c r="H3423" s="24" t="str">
        <f>IF(J3423&lt;&gt;1,"",IF(I3423="SBJ","CB","?"))</f>
        <v> </v>
      </c>
      <c r="I3423" s="25" t="str">
        <f>IF(OR(E3423="",E3423="!!!",F3423="NEW"),"",INDEX(B3422:B$2,-1+SUMPRODUCT(MAX(ROW(E3422:E$2)*(E3423=E3422:E$2)))))</f>
        <v> </v>
      </c>
      <c r="J3423" s="25" t="str">
        <f>IF(OR(E3423="",E3423="!!!",F3423="NEW"),"",COUNTBLANK(OFFSET(A$1,,,SUMPRODUCT(MAX(ROW(E$2:E3423)*(E3423=E$2:E3423)))))-COUNTBLANK(OFFSET(A$1,,,SUMPRODUCT(MAX(ROW(E$1:E3422)*(E2=E$1:E3422))))))</f>
        <v> </v>
      </c>
      <c r="K3423" s="25" t="str">
        <f>IF(OR(E3423="",E3423="!!!",F3423="NEW"),"",INDEX(J$1:J3422,SUMPRODUCT(MAX(ROW(E$1:E3422)*(E3423=E$1:E3422)))))</f>
        <v> </v>
      </c>
      <c r="L3423" s="26"/>
    </row>
    <row r="3424" spans="1:12">
      <c r="A3424" s="20" t="s">
        <v>1324</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row>
    <row r="3426" spans="1:12">
      <c r="A3426" s="20" t="s">
        <v>2178</v>
      </c>
    </row>
    <row r="3427" spans="1:12">
      <c r="A3427" s="20" t="s">
        <v>1241</v>
      </c>
      <c r="B3427" s="27" t="s">
        <v>1067</v>
      </c>
      <c r="C3427" s="27" t="s">
        <v>1110</v>
      </c>
      <c r="D3427" s="27" t="s">
        <v>1069</v>
      </c>
      <c r="E3427" s="21">
        <f>IF(D3427="?OLD","!!!","")</f>
        <v/>
      </c>
      <c r="F3427" s="22" t="str">
        <f>IF(OR(E3427="",E3427="!!!"),"",IF(NOT(ISNA(VLOOKUP(E3427,E$1:E3426,1,FALSE()))),"OLD",IF(AND(E3427&lt;&gt;"",E3427&lt;&gt;"!!!"),"NEW","")))</f>
        <v> </v>
      </c>
      <c r="G3427" s="23" t="str">
        <f>IF(OR(E3427="",E3427="!!!"),"",IF(OR(J3427=0,AND(J3427=1,K3427=1),AND(J3427=1,I3427="SBJ"),AND(J3427=1,I3427=0)),"?IN_FOCUS",IF(J3427&lt;=2,"?ACTIVATED",IF(J3427&lt;&gt;"","?FAMILIAR",IF(F3427="NEW",IF(ISNA(VLOOKUP(E3427,#REF!,1,FALSE())),"?TYPE_IDENTIFIABLE","?REFERENTIAL"),"_")))))</f>
        <v> </v>
      </c>
      <c r="H3427" s="24" t="str">
        <f>IF(J3427&lt;&gt;1,"",IF(I3427="SBJ","CB","?"))</f>
        <v> </v>
      </c>
      <c r="I3427" s="25" t="str">
        <f>IF(OR(E3427="",E3427="!!!",F3427="NEW"),"",INDEX(B3426:B$2,-1+SUMPRODUCT(MAX(ROW(E3426:E$2)*(E3427=E3426:E$2)))))</f>
        <v> </v>
      </c>
      <c r="J3427" s="25" t="str">
        <f>IF(OR(E3427="",E3427="!!!",F3427="NEW"),"",COUNTBLANK(OFFSET(A$1,,,SUMPRODUCT(MAX(ROW(E$2:E3427)*(E3427=E$2:E3427)))))-COUNTBLANK(OFFSET(A$1,,,SUMPRODUCT(MAX(ROW(E$1:E3426)*(E2=E$1:E3426))))))</f>
        <v> </v>
      </c>
      <c r="K3427" s="25" t="str">
        <f>IF(OR(E3427="",E3427="!!!",F3427="NEW"),"",INDEX(J$1:J3426,SUMPRODUCT(MAX(ROW(E$1:E3426)*(E3427=E$1:E3426)))))</f>
        <v> </v>
      </c>
      <c r="L3427" s="26"/>
    </row>
    <row r="3428" spans="1:12">
      <c r="A3428" s="20" t="s">
        <v>129</v>
      </c>
      <c r="E3428" s="21">
        <f>IF(D3428="?OLD","!!!","")</f>
        <v/>
      </c>
      <c r="F3428" s="22" t="str">
        <f>IF(OR(E3428="",E3428="!!!"),"",IF(NOT(ISNA(VLOOKUP(E3428,E$1:E3427,1,FALSE()))),"OLD",IF(AND(E3428&lt;&gt;"",E3428&lt;&gt;"!!!"),"NEW","")))</f>
        <v> </v>
      </c>
      <c r="G3428" s="23" t="str">
        <f>IF(OR(E3428="",E3428="!!!"),"",IF(OR(J3428=0,AND(J3428=1,K3428=1),AND(J3428=1,I3428="SBJ"),AND(J3428=1,I3428=0)),"?IN_FOCUS",IF(J3428&lt;=2,"?ACTIVATED",IF(J3428&lt;&gt;"","?FAMILIAR",IF(F3428="NEW",IF(ISNA(VLOOKUP(E3428,#REF!,1,FALSE())),"?TYPE_IDENTIFIABLE","?REFERENTIAL"),"_")))))</f>
        <v> </v>
      </c>
      <c r="H3428" s="24" t="str">
        <f>IF(J3428&lt;&gt;1,"",IF(I3428="SBJ","CB","?"))</f>
        <v> </v>
      </c>
      <c r="I3428" s="25" t="str">
        <f>IF(OR(E3428="",E3428="!!!",F3428="NEW"),"",INDEX(B3427:B$2,-1+SUMPRODUCT(MAX(ROW(E3427:E$2)*(E3428=E3427:E$2)))))</f>
        <v> </v>
      </c>
      <c r="J3428" s="25" t="str">
        <f>IF(OR(E3428="",E3428="!!!",F3428="NEW"),"",COUNTBLANK(OFFSET(A$1,,,SUMPRODUCT(MAX(ROW(E$2:E3428)*(E3428=E$2:E3428)))))-COUNTBLANK(OFFSET(A$1,,,SUMPRODUCT(MAX(ROW(E$1:E3427)*(E2=E$1:E3427))))))</f>
        <v> </v>
      </c>
      <c r="K3428" s="25" t="str">
        <f>IF(OR(E3428="",E3428="!!!",F3428="NEW"),"",INDEX(J$1:J3427,SUMPRODUCT(MAX(ROW(E$1:E3427)*(E3428=E$1:E3427)))))</f>
        <v> </v>
      </c>
      <c r="L3428" s="26"/>
    </row>
    <row r="3429" spans="1:12">
      <c r="A3429" s="20" t="s">
        <v>1242</v>
      </c>
      <c r="B3429" s="27" t="s">
        <v>1160</v>
      </c>
      <c r="C3429" s="27" t="s">
        <v>1110</v>
      </c>
      <c r="D3429" s="27" t="s">
        <v>1069</v>
      </c>
      <c r="E3429" s="21">
        <f>IF(D3429="?OLD","!!!","")</f>
        <v/>
      </c>
      <c r="F3429" s="22" t="str">
        <f>IF(OR(E3429="",E3429="!!!"),"",IF(NOT(ISNA(VLOOKUP(E3429,E$1:E3428,1,FALSE()))),"OLD",IF(AND(E3429&lt;&gt;"",E3429&lt;&gt;"!!!"),"NEW","")))</f>
        <v> </v>
      </c>
      <c r="G3429" s="23" t="str">
        <f>IF(OR(E3429="",E3429="!!!"),"",IF(OR(J3429=0,AND(J3429=1,K3429=1),AND(J3429=1,I3429="SBJ"),AND(J3429=1,I3429=0)),"?IN_FOCUS",IF(J3429&lt;=2,"?ACTIVATED",IF(J3429&lt;&gt;"","?FAMILIAR",IF(F3429="NEW",IF(ISNA(VLOOKUP(E3429,#REF!,1,FALSE())),"?TYPE_IDENTIFIABLE","?REFERENTIAL"),"_")))))</f>
        <v> </v>
      </c>
      <c r="H3429" s="24" t="str">
        <f>IF(J3429&lt;&gt;1,"",IF(I3429="SBJ","CB","?"))</f>
        <v> </v>
      </c>
      <c r="I3429" s="25" t="str">
        <f>IF(OR(E3429="",E3429="!!!",F3429="NEW"),"",INDEX(B3428:B$2,-1+SUMPRODUCT(MAX(ROW(E3428:E$2)*(E3429=E3428:E$2)))))</f>
        <v> </v>
      </c>
      <c r="J3429" s="25" t="str">
        <f>IF(OR(E3429="",E3429="!!!",F3429="NEW"),"",COUNTBLANK(OFFSET(A$1,,,SUMPRODUCT(MAX(ROW(E$2:E3429)*(E3429=E$2:E3429)))))-COUNTBLANK(OFFSET(A$1,,,SUMPRODUCT(MAX(ROW(E$1:E3428)*(E2=E$1:E3428))))))</f>
        <v> </v>
      </c>
      <c r="K3429" s="25" t="str">
        <f>IF(OR(E3429="",E3429="!!!",F3429="NEW"),"",INDEX(J$1:J3428,SUMPRODUCT(MAX(ROW(E$1:E3428)*(E3429=E$1:E3428)))))</f>
        <v> </v>
      </c>
      <c r="L3429" s="26"/>
    </row>
    <row r="3430" spans="1:12">
      <c r="A3430" s="20" t="s">
        <v>1127</v>
      </c>
      <c r="E3430" s="21">
        <f>IF(D3430="?OLD","!!!","")</f>
        <v/>
      </c>
      <c r="F3430" s="22" t="str">
        <f>IF(OR(E3430="",E3430="!!!"),"",IF(NOT(ISNA(VLOOKUP(E3430,E$1:E3429,1,FALSE()))),"OLD",IF(AND(E3430&lt;&gt;"",E3430&lt;&gt;"!!!"),"NEW","")))</f>
        <v> </v>
      </c>
      <c r="G3430" s="23" t="str">
        <f>IF(OR(E3430="",E3430="!!!"),"",IF(OR(J3430=0,AND(J3430=1,K3430=1),AND(J3430=1,I3430="SBJ"),AND(J3430=1,I3430=0)),"?IN_FOCUS",IF(J3430&lt;=2,"?ACTIVATED",IF(J3430&lt;&gt;"","?FAMILIAR",IF(F3430="NEW",IF(ISNA(VLOOKUP(E3430,#REF!,1,FALSE())),"?TYPE_IDENTIFIABLE","?REFERENTIAL"),"_")))))</f>
        <v> </v>
      </c>
      <c r="H3430" s="24" t="str">
        <f>IF(J3430&lt;&gt;1,"",IF(I3430="SBJ","CB","?"))</f>
        <v> </v>
      </c>
      <c r="I3430" s="25" t="str">
        <f>IF(OR(E3430="",E3430="!!!",F3430="NEW"),"",INDEX(B3429:B$2,-1+SUMPRODUCT(MAX(ROW(E3429:E$2)*(E3430=E3429:E$2)))))</f>
        <v> </v>
      </c>
      <c r="J3430" s="25" t="str">
        <f>IF(OR(E3430="",E3430="!!!",F3430="NEW"),"",COUNTBLANK(OFFSET(A$1,,,SUMPRODUCT(MAX(ROW(E$2:E3430)*(E3430=E$2:E3430)))))-COUNTBLANK(OFFSET(A$1,,,SUMPRODUCT(MAX(ROW(E$1:E3429)*(E2=E$1:E3429))))))</f>
        <v> </v>
      </c>
      <c r="K3430" s="25" t="str">
        <f>IF(OR(E3430="",E3430="!!!",F3430="NEW"),"",INDEX(J$1:J3429,SUMPRODUCT(MAX(ROW(E$1:E3429)*(E3430=E$1:E3429)))))</f>
        <v> </v>
      </c>
      <c r="L3430" s="26"/>
    </row>
    <row r="3431" spans="1:12">
      <c r="A3431" s="20" t="s">
        <v>1473</v>
      </c>
      <c r="B3431" s="27" t="s">
        <v>1071</v>
      </c>
      <c r="C3431" s="27" t="s">
        <v>1110</v>
      </c>
      <c r="D3431" s="27" t="s">
        <v>1069</v>
      </c>
      <c r="E3431" s="21">
        <f>IF(D3431="?OLD","!!!","")</f>
        <v/>
      </c>
      <c r="F3431" s="22" t="str">
        <f>IF(OR(E3431="",E3431="!!!"),"",IF(NOT(ISNA(VLOOKUP(E3431,E$1:E3430,1,FALSE()))),"OLD",IF(AND(E3431&lt;&gt;"",E3431&lt;&gt;"!!!"),"NEW","")))</f>
        <v> </v>
      </c>
      <c r="G3431" s="23" t="str">
        <f>IF(OR(E3431="",E3431="!!!"),"",IF(OR(J3431=0,AND(J3431=1,K3431=1),AND(J3431=1,I3431="SBJ"),AND(J3431=1,I3431=0)),"?IN_FOCUS",IF(J3431&lt;=2,"?ACTIVATED",IF(J3431&lt;&gt;"","?FAMILIAR",IF(F3431="NEW",IF(ISNA(VLOOKUP(E3431,#REF!,1,FALSE())),"?TYPE_IDENTIFIABLE","?REFERENTIAL"),"_")))))</f>
        <v> </v>
      </c>
      <c r="H3431" s="24" t="str">
        <f>IF(J3431&lt;&gt;1,"",IF(I3431="SBJ","CB","?"))</f>
        <v> </v>
      </c>
      <c r="I3431" s="25" t="str">
        <f>IF(OR(E3431="",E3431="!!!",F3431="NEW"),"",INDEX(B3430:B$2,-1+SUMPRODUCT(MAX(ROW(E3430:E$2)*(E3431=E3430:E$2)))))</f>
        <v> </v>
      </c>
      <c r="J3431" s="25" t="str">
        <f>IF(OR(E3431="",E3431="!!!",F3431="NEW"),"",COUNTBLANK(OFFSET(A$1,,,SUMPRODUCT(MAX(ROW(E$2:E3431)*(E3431=E$2:E3431)))))-COUNTBLANK(OFFSET(A$1,,,SUMPRODUCT(MAX(ROW(E$1:E3430)*(E2=E$1:E3430))))))</f>
        <v> </v>
      </c>
      <c r="K3431" s="25" t="str">
        <f>IF(OR(E3431="",E3431="!!!",F3431="NEW"),"",INDEX(J$1:J3430,SUMPRODUCT(MAX(ROW(E$1:E3430)*(E3431=E$1:E3430)))))</f>
        <v> </v>
      </c>
      <c r="L3431" s="26"/>
    </row>
    <row r="3432" spans="1:12">
      <c r="A3432" s="20" t="s">
        <v>2179</v>
      </c>
      <c r="B3432" s="27" t="s">
        <v>1074</v>
      </c>
      <c r="C3432" s="27" t="s">
        <v>1077</v>
      </c>
      <c r="E3432" s="21">
        <f>IF(D3432="?OLD","!!!","")</f>
        <v/>
      </c>
      <c r="F3432" s="22" t="str">
        <f>IF(OR(E3432="",E3432="!!!"),"",IF(NOT(ISNA(VLOOKUP(E3432,E$1:E3431,1,FALSE()))),"OLD",IF(AND(E3432&lt;&gt;"",E3432&lt;&gt;"!!!"),"NEW","")))</f>
        <v> </v>
      </c>
      <c r="G3432" s="23" t="str">
        <f>IF(OR(E3432="",E3432="!!!"),"",IF(OR(J3432=0,AND(J3432=1,K3432=1),AND(J3432=1,I3432="SBJ"),AND(J3432=1,I3432=0)),"?IN_FOCUS",IF(J3432&lt;=2,"?ACTIVATED",IF(J3432&lt;&gt;"","?FAMILIAR",IF(F3432="NEW",IF(ISNA(VLOOKUP(E3432,#REF!,1,FALSE())),"?TYPE_IDENTIFIABLE","?REFERENTIAL"),"_")))))</f>
        <v> </v>
      </c>
      <c r="H3432" s="24" t="str">
        <f>IF(J3432&lt;&gt;1,"",IF(I3432="SBJ","CB","?"))</f>
        <v> </v>
      </c>
      <c r="I3432" s="25" t="str">
        <f>IF(OR(E3432="",E3432="!!!",F3432="NEW"),"",INDEX(B3431:B$2,-1+SUMPRODUCT(MAX(ROW(E3431:E$2)*(E3432=E3431:E$2)))))</f>
        <v> </v>
      </c>
      <c r="J3432" s="25" t="str">
        <f>IF(OR(E3432="",E3432="!!!",F3432="NEW"),"",COUNTBLANK(OFFSET(A$1,,,SUMPRODUCT(MAX(ROW(E$2:E3432)*(E3432=E$2:E3432)))))-COUNTBLANK(OFFSET(A$1,,,SUMPRODUCT(MAX(ROW(E$1:E3431)*(E2=E$1:E3431))))))</f>
        <v> </v>
      </c>
      <c r="K3432" s="25" t="str">
        <f>IF(OR(E3432="",E3432="!!!",F3432="NEW"),"",INDEX(J$1:J3431,SUMPRODUCT(MAX(ROW(E$1:E3431)*(E3432=E$1:E3431)))))</f>
        <v> </v>
      </c>
      <c r="L3432" s="26"/>
    </row>
    <row r="3433" spans="1:12">
      <c r="A3433" s="20" t="s">
        <v>715</v>
      </c>
      <c r="E3433" s="21">
        <f>IF(D3433="?OLD","!!!","")</f>
        <v/>
      </c>
      <c r="F3433" s="22" t="str">
        <f>IF(OR(E3433="",E3433="!!!"),"",IF(NOT(ISNA(VLOOKUP(E3433,E$1:E3432,1,FALSE()))),"OLD",IF(AND(E3433&lt;&gt;"",E3433&lt;&gt;"!!!"),"NEW","")))</f>
        <v> </v>
      </c>
      <c r="G3433" s="23" t="str">
        <f>IF(OR(E3433="",E3433="!!!"),"",IF(OR(J3433=0,AND(J3433=1,K3433=1),AND(J3433=1,I3433="SBJ"),AND(J3433=1,I3433=0)),"?IN_FOCUS",IF(J3433&lt;=2,"?ACTIVATED",IF(J3433&lt;&gt;"","?FAMILIAR",IF(F3433="NEW",IF(ISNA(VLOOKUP(E3433,#REF!,1,FALSE())),"?TYPE_IDENTIFIABLE","?REFERENTIAL"),"_")))))</f>
        <v> </v>
      </c>
      <c r="H3433" s="24" t="str">
        <f>IF(J3433&lt;&gt;1,"",IF(I3433="SBJ","CB","?"))</f>
        <v> </v>
      </c>
      <c r="I3433" s="25" t="str">
        <f>IF(OR(E3433="",E3433="!!!",F3433="NEW"),"",INDEX(B3432:B$2,-1+SUMPRODUCT(MAX(ROW(E3432:E$2)*(E3433=E3432:E$2)))))</f>
        <v> </v>
      </c>
      <c r="J3433" s="25" t="str">
        <f>IF(OR(E3433="",E3433="!!!",F3433="NEW"),"",COUNTBLANK(OFFSET(A$1,,,SUMPRODUCT(MAX(ROW(E$2:E3433)*(E3433=E$2:E3433)))))-COUNTBLANK(OFFSET(A$1,,,SUMPRODUCT(MAX(ROW(E$1:E3432)*(E2=E$1:E3432))))))</f>
        <v> </v>
      </c>
      <c r="K3433" s="25" t="str">
        <f>IF(OR(E3433="",E3433="!!!",F3433="NEW"),"",INDEX(J$1:J3432,SUMPRODUCT(MAX(ROW(E$1:E3432)*(E3433=E$1:E3432)))))</f>
        <v> </v>
      </c>
      <c r="L3433" s="26"/>
    </row>
    <row r="3434" spans="1:12">
      <c r="A3434" s="20" t="s">
        <v>1080</v>
      </c>
      <c r="E3434" s="21">
        <f>IF(D3434="?OLD","!!!","")</f>
        <v/>
      </c>
      <c r="F3434" s="22" t="str">
        <f>IF(OR(E3434="",E3434="!!!"),"",IF(NOT(ISNA(VLOOKUP(E3434,E$1:E3433,1,FALSE()))),"OLD",IF(AND(E3434&lt;&gt;"",E3434&lt;&gt;"!!!"),"NEW","")))</f>
        <v> </v>
      </c>
      <c r="G3434" s="23" t="str">
        <f>IF(OR(E3434="",E3434="!!!"),"",IF(OR(J3434=0,AND(J3434=1,K3434=1),AND(J3434=1,I3434="SBJ"),AND(J3434=1,I3434=0)),"?IN_FOCUS",IF(J3434&lt;=2,"?ACTIVATED",IF(J3434&lt;&gt;"","?FAMILIAR",IF(F3434="NEW",IF(ISNA(VLOOKUP(E3434,#REF!,1,FALSE())),"?TYPE_IDENTIFIABLE","?REFERENTIAL"),"_")))))</f>
        <v> </v>
      </c>
      <c r="H3434" s="24" t="str">
        <f>IF(J3434&lt;&gt;1,"",IF(I3434="SBJ","CB","?"))</f>
        <v> </v>
      </c>
      <c r="I3434" s="25" t="str">
        <f>IF(OR(E3434="",E3434="!!!",F3434="NEW"),"",INDEX(B3433:B$2,-1+SUMPRODUCT(MAX(ROW(E3433:E$2)*(E3434=E3433:E$2)))))</f>
        <v> </v>
      </c>
      <c r="J3434" s="25" t="str">
        <f>IF(OR(E3434="",E3434="!!!",F3434="NEW"),"",COUNTBLANK(OFFSET(A$1,,,SUMPRODUCT(MAX(ROW(E$2:E3434)*(E3434=E$2:E3434)))))-COUNTBLANK(OFFSET(A$1,,,SUMPRODUCT(MAX(ROW(E$1:E3433)*(E2=E$1:E3433))))))</f>
        <v> </v>
      </c>
      <c r="K3434" s="25" t="str">
        <f>IF(OR(E3434="",E3434="!!!",F3434="NEW"),"",INDEX(J$1:J3433,SUMPRODUCT(MAX(ROW(E$1:E3433)*(E3434=E$1:E3433)))))</f>
        <v> </v>
      </c>
      <c r="L3434" s="26"/>
    </row>
    <row r="3435" spans="1:12">
      <c r="A3435" s="20"/>
    </row>
    <row r="3436" spans="1:12">
      <c r="A3436" s="20" t="s">
        <v>2180</v>
      </c>
    </row>
    <row r="3437" spans="1:12">
      <c r="A3437" s="20" t="s">
        <v>1436</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2181</v>
      </c>
      <c r="B3438" s="27" t="s">
        <v>1095</v>
      </c>
      <c r="C3438" s="27" t="s">
        <v>1077</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t="s">
        <v>1089</v>
      </c>
      <c r="B3439" s="27" t="s">
        <v>1090</v>
      </c>
      <c r="E3439" s="21">
        <f>IF(D3439="?OLD","!!!","")</f>
        <v/>
      </c>
      <c r="F3439" s="22" t="str">
        <f>IF(OR(E3439="",E3439="!!!"),"",IF(NOT(ISNA(VLOOKUP(E3439,E$1:E3438,1,FALSE()))),"OLD",IF(AND(E3439&lt;&gt;"",E3439&lt;&gt;"!!!"),"NEW","")))</f>
        <v> </v>
      </c>
      <c r="G3439" s="23" t="str">
        <f>IF(OR(E3439="",E3439="!!!"),"",IF(OR(J3439=0,AND(J3439=1,K3439=1),AND(J3439=1,I3439="SBJ"),AND(J3439=1,I3439=0)),"?IN_FOCUS",IF(J3439&lt;=2,"?ACTIVATED",IF(J3439&lt;&gt;"","?FAMILIAR",IF(F3439="NEW",IF(ISNA(VLOOKUP(E3439,#REF!,1,FALSE())),"?TYPE_IDENTIFIABLE","?REFERENTIAL"),"_")))))</f>
        <v> </v>
      </c>
      <c r="H3439" s="24" t="str">
        <f>IF(J3439&lt;&gt;1,"",IF(I3439="SBJ","CB","?"))</f>
        <v> </v>
      </c>
      <c r="I3439" s="25" t="str">
        <f>IF(OR(E3439="",E3439="!!!",F3439="NEW"),"",INDEX(B3438:B$2,-1+SUMPRODUCT(MAX(ROW(E3438:E$2)*(E3439=E3438:E$2)))))</f>
        <v> </v>
      </c>
      <c r="J3439" s="25" t="str">
        <f>IF(OR(E3439="",E3439="!!!",F3439="NEW"),"",COUNTBLANK(OFFSET(A$1,,,SUMPRODUCT(MAX(ROW(E$2:E3439)*(E3439=E$2:E3439)))))-COUNTBLANK(OFFSET(A$1,,,SUMPRODUCT(MAX(ROW(E$1:E3438)*(E2=E$1:E3438))))))</f>
        <v> </v>
      </c>
      <c r="K3439" s="25" t="str">
        <f>IF(OR(E3439="",E3439="!!!",F3439="NEW"),"",INDEX(J$1:J3438,SUMPRODUCT(MAX(ROW(E$1:E3438)*(E3439=E$1:E3438)))))</f>
        <v> </v>
      </c>
      <c r="L3439" s="26"/>
    </row>
    <row r="3440" spans="1:12">
      <c r="A3440" s="20" t="s">
        <v>1224</v>
      </c>
      <c r="E3440" s="21">
        <f>IF(D3440="?OLD","!!!","")</f>
        <v/>
      </c>
      <c r="F3440" s="22" t="str">
        <f>IF(OR(E3440="",E3440="!!!"),"",IF(NOT(ISNA(VLOOKUP(E3440,E$1:E3439,1,FALSE()))),"OLD",IF(AND(E3440&lt;&gt;"",E3440&lt;&gt;"!!!"),"NEW","")))</f>
        <v> </v>
      </c>
      <c r="G3440" s="23" t="str">
        <f>IF(OR(E3440="",E3440="!!!"),"",IF(OR(J3440=0,AND(J3440=1,K3440=1),AND(J3440=1,I3440="SBJ"),AND(J3440=1,I3440=0)),"?IN_FOCUS",IF(J3440&lt;=2,"?ACTIVATED",IF(J3440&lt;&gt;"","?FAMILIAR",IF(F3440="NEW",IF(ISNA(VLOOKUP(E3440,#REF!,1,FALSE())),"?TYPE_IDENTIFIABLE","?REFERENTIAL"),"_")))))</f>
        <v> </v>
      </c>
      <c r="H3440" s="24" t="str">
        <f>IF(J3440&lt;&gt;1,"",IF(I3440="SBJ","CB","?"))</f>
        <v> </v>
      </c>
      <c r="I3440" s="25" t="str">
        <f>IF(OR(E3440="",E3440="!!!",F3440="NEW"),"",INDEX(B3439:B$2,-1+SUMPRODUCT(MAX(ROW(E3439:E$2)*(E3440=E3439:E$2)))))</f>
        <v> </v>
      </c>
      <c r="J3440" s="25" t="str">
        <f>IF(OR(E3440="",E3440="!!!",F3440="NEW"),"",COUNTBLANK(OFFSET(A$1,,,SUMPRODUCT(MAX(ROW(E$2:E3440)*(E3440=E$2:E3440)))))-COUNTBLANK(OFFSET(A$1,,,SUMPRODUCT(MAX(ROW(E$1:E3439)*(E2=E$1:E3439))))))</f>
        <v> </v>
      </c>
      <c r="K3440" s="25" t="str">
        <f>IF(OR(E3440="",E3440="!!!",F3440="NEW"),"",INDEX(J$1:J3439,SUMPRODUCT(MAX(ROW(E$1:E3439)*(E3440=E$1:E3439)))))</f>
        <v> </v>
      </c>
      <c r="L3440" s="26"/>
    </row>
    <row r="3441" spans="1:12">
      <c r="A3441" s="20" t="s">
        <v>2182</v>
      </c>
      <c r="B3441" s="27" t="s">
        <v>1071</v>
      </c>
      <c r="C3441" s="27" t="s">
        <v>1077</v>
      </c>
      <c r="E3441" s="21">
        <f>IF(D3441="?OLD","!!!","")</f>
        <v/>
      </c>
      <c r="F3441" s="22" t="str">
        <f>IF(OR(E3441="",E3441="!!!"),"",IF(NOT(ISNA(VLOOKUP(E3441,E$1:E3440,1,FALSE()))),"OLD",IF(AND(E3441&lt;&gt;"",E3441&lt;&gt;"!!!"),"NEW","")))</f>
        <v> </v>
      </c>
      <c r="G3441" s="23" t="str">
        <f>IF(OR(E3441="",E3441="!!!"),"",IF(OR(J3441=0,AND(J3441=1,K3441=1),AND(J3441=1,I3441="SBJ"),AND(J3441=1,I3441=0)),"?IN_FOCUS",IF(J3441&lt;=2,"?ACTIVATED",IF(J3441&lt;&gt;"","?FAMILIAR",IF(F3441="NEW",IF(ISNA(VLOOKUP(E3441,#REF!,1,FALSE())),"?TYPE_IDENTIFIABLE","?REFERENTIAL"),"_")))))</f>
        <v> </v>
      </c>
      <c r="H3441" s="24" t="str">
        <f>IF(J3441&lt;&gt;1,"",IF(I3441="SBJ","CB","?"))</f>
        <v> </v>
      </c>
      <c r="I3441" s="25" t="str">
        <f>IF(OR(E3441="",E3441="!!!",F3441="NEW"),"",INDEX(B3440:B$2,-1+SUMPRODUCT(MAX(ROW(E3440:E$2)*(E3441=E3440:E$2)))))</f>
        <v> </v>
      </c>
      <c r="J3441" s="25" t="str">
        <f>IF(OR(E3441="",E3441="!!!",F3441="NEW"),"",COUNTBLANK(OFFSET(A$1,,,SUMPRODUCT(MAX(ROW(E$2:E3441)*(E3441=E$2:E3441)))))-COUNTBLANK(OFFSET(A$1,,,SUMPRODUCT(MAX(ROW(E$1:E3440)*(E2=E$1:E3440))))))</f>
        <v> </v>
      </c>
      <c r="K3441" s="25" t="str">
        <f>IF(OR(E3441="",E3441="!!!",F3441="NEW"),"",INDEX(J$1:J3440,SUMPRODUCT(MAX(ROW(E$1:E3440)*(E3441=E$1:E3440)))))</f>
        <v> </v>
      </c>
      <c r="L3441" s="26"/>
    </row>
    <row r="3442" spans="1:12">
      <c r="A3442" s="20" t="s">
        <v>1166</v>
      </c>
      <c r="E3442" s="21">
        <f>IF(D3442="?OLD","!!!","")</f>
        <v/>
      </c>
      <c r="F3442" s="22" t="str">
        <f>IF(OR(E3442="",E3442="!!!"),"",IF(NOT(ISNA(VLOOKUP(E3442,E$1:E3441,1,FALSE()))),"OLD",IF(AND(E3442&lt;&gt;"",E3442&lt;&gt;"!!!"),"NEW","")))</f>
        <v> </v>
      </c>
      <c r="G3442" s="23" t="str">
        <f>IF(OR(E3442="",E3442="!!!"),"",IF(OR(J3442=0,AND(J3442=1,K3442=1),AND(J3442=1,I3442="SBJ"),AND(J3442=1,I3442=0)),"?IN_FOCUS",IF(J3442&lt;=2,"?ACTIVATED",IF(J3442&lt;&gt;"","?FAMILIAR",IF(F3442="NEW",IF(ISNA(VLOOKUP(E3442,#REF!,1,FALSE())),"?TYPE_IDENTIFIABLE","?REFERENTIAL"),"_")))))</f>
        <v> </v>
      </c>
      <c r="H3442" s="24" t="str">
        <f>IF(J3442&lt;&gt;1,"",IF(I3442="SBJ","CB","?"))</f>
        <v> </v>
      </c>
      <c r="I3442" s="25" t="str">
        <f>IF(OR(E3442="",E3442="!!!",F3442="NEW"),"",INDEX(B3441:B$2,-1+SUMPRODUCT(MAX(ROW(E3441:E$2)*(E3442=E3441:E$2)))))</f>
        <v> </v>
      </c>
      <c r="J3442" s="25" t="str">
        <f>IF(OR(E3442="",E3442="!!!",F3442="NEW"),"",COUNTBLANK(OFFSET(A$1,,,SUMPRODUCT(MAX(ROW(E$2:E3442)*(E3442=E$2:E3442)))))-COUNTBLANK(OFFSET(A$1,,,SUMPRODUCT(MAX(ROW(E$1:E3441)*(E2=E$1:E3441))))))</f>
        <v> </v>
      </c>
      <c r="K3442" s="25" t="str">
        <f>IF(OR(E3442="",E3442="!!!",F3442="NEW"),"",INDEX(J$1:J3441,SUMPRODUCT(MAX(ROW(E$1:E3441)*(E3442=E$1:E3441)))))</f>
        <v> </v>
      </c>
      <c r="L3442" s="26"/>
    </row>
    <row r="3443" spans="1:12">
      <c r="A3443" s="20" t="s">
        <v>2183</v>
      </c>
      <c r="B3443" s="27" t="s">
        <v>1092</v>
      </c>
      <c r="C3443" s="27" t="s">
        <v>1134</v>
      </c>
      <c r="D3443" s="27" t="s">
        <v>1069</v>
      </c>
      <c r="E3443" s="21">
        <f>IF(D3443="?OLD","!!!","")</f>
        <v/>
      </c>
      <c r="F3443" s="22" t="str">
        <f>IF(OR(E3443="",E3443="!!!"),"",IF(NOT(ISNA(VLOOKUP(E3443,E$1:E3442,1,FALSE()))),"OLD",IF(AND(E3443&lt;&gt;"",E3443&lt;&gt;"!!!"),"NEW","")))</f>
        <v> </v>
      </c>
      <c r="G3443" s="23" t="str">
        <f>IF(OR(E3443="",E3443="!!!"),"",IF(OR(J3443=0,AND(J3443=1,K3443=1),AND(J3443=1,I3443="SBJ"),AND(J3443=1,I3443=0)),"?IN_FOCUS",IF(J3443&lt;=2,"?ACTIVATED",IF(J3443&lt;&gt;"","?FAMILIAR",IF(F3443="NEW",IF(ISNA(VLOOKUP(E3443,#REF!,1,FALSE())),"?TYPE_IDENTIFIABLE","?REFERENTIAL"),"_")))))</f>
        <v> </v>
      </c>
      <c r="H3443" s="24" t="str">
        <f>IF(J3443&lt;&gt;1,"",IF(I3443="SBJ","CB","?"))</f>
        <v> </v>
      </c>
      <c r="I3443" s="25" t="str">
        <f>IF(OR(E3443="",E3443="!!!",F3443="NEW"),"",INDEX(B3442:B$2,-1+SUMPRODUCT(MAX(ROW(E3442:E$2)*(E3443=E3442:E$2)))))</f>
        <v> </v>
      </c>
      <c r="J3443" s="25" t="str">
        <f>IF(OR(E3443="",E3443="!!!",F3443="NEW"),"",COUNTBLANK(OFFSET(A$1,,,SUMPRODUCT(MAX(ROW(E$2:E3443)*(E3443=E$2:E3443)))))-COUNTBLANK(OFFSET(A$1,,,SUMPRODUCT(MAX(ROW(E$1:E3442)*(E2=E$1:E3442))))))</f>
        <v> </v>
      </c>
      <c r="K3443" s="25" t="str">
        <f>IF(OR(E3443="",E3443="!!!",F3443="NEW"),"",INDEX(J$1:J3442,SUMPRODUCT(MAX(ROW(E$1:E3442)*(E3443=E$1:E3442)))))</f>
        <v> </v>
      </c>
      <c r="L3443" s="26"/>
    </row>
    <row r="3444" spans="1:12">
      <c r="A3444" s="20" t="s">
        <v>1252</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t="s">
        <v>1087</v>
      </c>
      <c r="E3445" s="21">
        <f>IF(D3445="?OLD","!!!","")</f>
        <v/>
      </c>
      <c r="F3445" s="22" t="str">
        <f>IF(OR(E3445="",E3445="!!!"),"",IF(NOT(ISNA(VLOOKUP(E3445,E$1:E3444,1,FALSE()))),"OLD",IF(AND(E3445&lt;&gt;"",E3445&lt;&gt;"!!!"),"NEW","")))</f>
        <v> </v>
      </c>
      <c r="G3445" s="23" t="str">
        <f>IF(OR(E3445="",E3445="!!!"),"",IF(OR(J3445=0,AND(J3445=1,K3445=1),AND(J3445=1,I3445="SBJ"),AND(J3445=1,I3445=0)),"?IN_FOCUS",IF(J3445&lt;=2,"?ACTIVATED",IF(J3445&lt;&gt;"","?FAMILIAR",IF(F3445="NEW",IF(ISNA(VLOOKUP(E3445,#REF!,1,FALSE())),"?TYPE_IDENTIFIABLE","?REFERENTIAL"),"_")))))</f>
        <v> </v>
      </c>
      <c r="H3445" s="24" t="str">
        <f>IF(J3445&lt;&gt;1,"",IF(I3445="SBJ","CB","?"))</f>
        <v> </v>
      </c>
      <c r="I3445" s="25" t="str">
        <f>IF(OR(E3445="",E3445="!!!",F3445="NEW"),"",INDEX(B3444:B$2,-1+SUMPRODUCT(MAX(ROW(E3444:E$2)*(E3445=E3444:E$2)))))</f>
        <v> </v>
      </c>
      <c r="J3445" s="25" t="str">
        <f>IF(OR(E3445="",E3445="!!!",F3445="NEW"),"",COUNTBLANK(OFFSET(A$1,,,SUMPRODUCT(MAX(ROW(E$2:E3445)*(E3445=E$2:E3445)))))-COUNTBLANK(OFFSET(A$1,,,SUMPRODUCT(MAX(ROW(E$1:E3444)*(E2=E$1:E3444))))))</f>
        <v> </v>
      </c>
      <c r="K3445" s="25" t="str">
        <f>IF(OR(E3445="",E3445="!!!",F3445="NEW"),"",INDEX(J$1:J3444,SUMPRODUCT(MAX(ROW(E$1:E3444)*(E3445=E$1:E3444)))))</f>
        <v> </v>
      </c>
      <c r="L3445" s="26"/>
    </row>
    <row r="3446" spans="1:12">
      <c r="A3446" s="20" t="s">
        <v>2047</v>
      </c>
      <c r="E3446" s="21">
        <f>IF(D3446="?OLD","!!!","")</f>
        <v/>
      </c>
      <c r="F3446" s="22" t="str">
        <f>IF(OR(E3446="",E3446="!!!"),"",IF(NOT(ISNA(VLOOKUP(E3446,E$1:E3445,1,FALSE()))),"OLD",IF(AND(E3446&lt;&gt;"",E3446&lt;&gt;"!!!"),"NEW","")))</f>
        <v> </v>
      </c>
      <c r="G3446" s="23" t="str">
        <f>IF(OR(E3446="",E3446="!!!"),"",IF(OR(J3446=0,AND(J3446=1,K3446=1),AND(J3446=1,I3446="SBJ"),AND(J3446=1,I3446=0)),"?IN_FOCUS",IF(J3446&lt;=2,"?ACTIVATED",IF(J3446&lt;&gt;"","?FAMILIAR",IF(F3446="NEW",IF(ISNA(VLOOKUP(E3446,#REF!,1,FALSE())),"?TYPE_IDENTIFIABLE","?REFERENTIAL"),"_")))))</f>
        <v> </v>
      </c>
      <c r="H3446" s="24" t="str">
        <f>IF(J3446&lt;&gt;1,"",IF(I3446="SBJ","CB","?"))</f>
        <v> </v>
      </c>
      <c r="I3446" s="25" t="str">
        <f>IF(OR(E3446="",E3446="!!!",F3446="NEW"),"",INDEX(B3445:B$2,-1+SUMPRODUCT(MAX(ROW(E3445:E$2)*(E3446=E3445:E$2)))))</f>
        <v> </v>
      </c>
      <c r="J3446" s="25" t="str">
        <f>IF(OR(E3446="",E3446="!!!",F3446="NEW"),"",COUNTBLANK(OFFSET(A$1,,,SUMPRODUCT(MAX(ROW(E$2:E3446)*(E3446=E$2:E3446)))))-COUNTBLANK(OFFSET(A$1,,,SUMPRODUCT(MAX(ROW(E$1:E3445)*(E2=E$1:E3445))))))</f>
        <v> </v>
      </c>
      <c r="K3446" s="25" t="str">
        <f>IF(OR(E3446="",E3446="!!!",F3446="NEW"),"",INDEX(J$1:J3445,SUMPRODUCT(MAX(ROW(E$1:E3445)*(E3446=E$1:E3445)))))</f>
        <v> </v>
      </c>
      <c r="L3446" s="26"/>
    </row>
    <row r="3447" spans="1:12">
      <c r="A3447" s="20" t="s">
        <v>1188</v>
      </c>
      <c r="B3447" s="27" t="s">
        <v>1067</v>
      </c>
      <c r="C3447" s="27" t="s">
        <v>1110</v>
      </c>
      <c r="D3447" s="27" t="s">
        <v>1069</v>
      </c>
      <c r="E3447" s="21">
        <f>IF(D3447="?OLD","!!!","")</f>
        <v/>
      </c>
      <c r="F3447" s="22" t="str">
        <f>IF(OR(E3447="",E3447="!!!"),"",IF(NOT(ISNA(VLOOKUP(E3447,E$1:E3446,1,FALSE()))),"OLD",IF(AND(E3447&lt;&gt;"",E3447&lt;&gt;"!!!"),"NEW","")))</f>
        <v> </v>
      </c>
      <c r="G3447" s="23" t="str">
        <f>IF(OR(E3447="",E3447="!!!"),"",IF(OR(J3447=0,AND(J3447=1,K3447=1),AND(J3447=1,I3447="SBJ"),AND(J3447=1,I3447=0)),"?IN_FOCUS",IF(J3447&lt;=2,"?ACTIVATED",IF(J3447&lt;&gt;"","?FAMILIAR",IF(F3447="NEW",IF(ISNA(VLOOKUP(E3447,#REF!,1,FALSE())),"?TYPE_IDENTIFIABLE","?REFERENTIAL"),"_")))))</f>
        <v> </v>
      </c>
      <c r="H3447" s="24" t="str">
        <f>IF(J3447&lt;&gt;1,"",IF(I3447="SBJ","CB","?"))</f>
        <v> </v>
      </c>
      <c r="I3447" s="25" t="str">
        <f>IF(OR(E3447="",E3447="!!!",F3447="NEW"),"",INDEX(B3446:B$2,-1+SUMPRODUCT(MAX(ROW(E3446:E$2)*(E3447=E3446:E$2)))))</f>
        <v> </v>
      </c>
      <c r="J3447" s="25" t="str">
        <f>IF(OR(E3447="",E3447="!!!",F3447="NEW"),"",COUNTBLANK(OFFSET(A$1,,,SUMPRODUCT(MAX(ROW(E$2:E3447)*(E3447=E$2:E3447)))))-COUNTBLANK(OFFSET(A$1,,,SUMPRODUCT(MAX(ROW(E$1:E3446)*(E2=E$1:E3446))))))</f>
        <v> </v>
      </c>
      <c r="K3447" s="25" t="str">
        <f>IF(OR(E3447="",E3447="!!!",F3447="NEW"),"",INDEX(J$1:J3446,SUMPRODUCT(MAX(ROW(E$1:E3446)*(E3447=E$1:E3446)))))</f>
        <v> </v>
      </c>
      <c r="L3447" s="26"/>
    </row>
    <row r="3448" spans="1:12">
      <c r="A3448" s="20" t="s">
        <v>1155</v>
      </c>
      <c r="E3448" s="21">
        <f>IF(D3448="?OLD","!!!","")</f>
        <v/>
      </c>
      <c r="F3448" s="22" t="str">
        <f>IF(OR(E3448="",E3448="!!!"),"",IF(NOT(ISNA(VLOOKUP(E3448,E$1:E3447,1,FALSE()))),"OLD",IF(AND(E3448&lt;&gt;"",E3448&lt;&gt;"!!!"),"NEW","")))</f>
        <v> </v>
      </c>
      <c r="G3448" s="23" t="str">
        <f>IF(OR(E3448="",E3448="!!!"),"",IF(OR(J3448=0,AND(J3448=1,K3448=1),AND(J3448=1,I3448="SBJ"),AND(J3448=1,I3448=0)),"?IN_FOCUS",IF(J3448&lt;=2,"?ACTIVATED",IF(J3448&lt;&gt;"","?FAMILIAR",IF(F3448="NEW",IF(ISNA(VLOOKUP(E3448,#REF!,1,FALSE())),"?TYPE_IDENTIFIABLE","?REFERENTIAL"),"_")))))</f>
        <v> </v>
      </c>
      <c r="H3448" s="24" t="str">
        <f>IF(J3448&lt;&gt;1,"",IF(I3448="SBJ","CB","?"))</f>
        <v> </v>
      </c>
      <c r="I3448" s="25" t="str">
        <f>IF(OR(E3448="",E3448="!!!",F3448="NEW"),"",INDEX(B3447:B$2,-1+SUMPRODUCT(MAX(ROW(E3447:E$2)*(E3448=E3447:E$2)))))</f>
        <v> </v>
      </c>
      <c r="J3448" s="25" t="str">
        <f>IF(OR(E3448="",E3448="!!!",F3448="NEW"),"",COUNTBLANK(OFFSET(A$1,,,SUMPRODUCT(MAX(ROW(E$2:E3448)*(E3448=E$2:E3448)))))-COUNTBLANK(OFFSET(A$1,,,SUMPRODUCT(MAX(ROW(E$1:E3447)*(E2=E$1:E3447))))))</f>
        <v> </v>
      </c>
      <c r="K3448" s="25" t="str">
        <f>IF(OR(E3448="",E3448="!!!",F3448="NEW"),"",INDEX(J$1:J3447,SUMPRODUCT(MAX(ROW(E$1:E3447)*(E3448=E$1:E3447)))))</f>
        <v> </v>
      </c>
      <c r="L3448" s="26"/>
    </row>
    <row r="3449" spans="1:12">
      <c r="A3449" s="20" t="s">
        <v>1198</v>
      </c>
      <c r="E3449" s="21">
        <f>IF(D3449="?OLD","!!!","")</f>
        <v/>
      </c>
      <c r="F3449" s="22" t="str">
        <f>IF(OR(E3449="",E3449="!!!"),"",IF(NOT(ISNA(VLOOKUP(E3449,E$1:E3448,1,FALSE()))),"OLD",IF(AND(E3449&lt;&gt;"",E3449&lt;&gt;"!!!"),"NEW","")))</f>
        <v> </v>
      </c>
      <c r="G3449" s="23" t="str">
        <f>IF(OR(E3449="",E3449="!!!"),"",IF(OR(J3449=0,AND(J3449=1,K3449=1),AND(J3449=1,I3449="SBJ"),AND(J3449=1,I3449=0)),"?IN_FOCUS",IF(J3449&lt;=2,"?ACTIVATED",IF(J3449&lt;&gt;"","?FAMILIAR",IF(F3449="NEW",IF(ISNA(VLOOKUP(E3449,#REF!,1,FALSE())),"?TYPE_IDENTIFIABLE","?REFERENTIAL"),"_")))))</f>
        <v> </v>
      </c>
      <c r="H3449" s="24" t="str">
        <f>IF(J3449&lt;&gt;1,"",IF(I3449="SBJ","CB","?"))</f>
        <v> </v>
      </c>
      <c r="I3449" s="25" t="str">
        <f>IF(OR(E3449="",E3449="!!!",F3449="NEW"),"",INDEX(B3448:B$2,-1+SUMPRODUCT(MAX(ROW(E3448:E$2)*(E3449=E3448:E$2)))))</f>
        <v> </v>
      </c>
      <c r="J3449" s="25" t="str">
        <f>IF(OR(E3449="",E3449="!!!",F3449="NEW"),"",COUNTBLANK(OFFSET(A$1,,,SUMPRODUCT(MAX(ROW(E$2:E3449)*(E3449=E$2:E3449)))))-COUNTBLANK(OFFSET(A$1,,,SUMPRODUCT(MAX(ROW(E$1:E3448)*(E2=E$1:E3448))))))</f>
        <v> </v>
      </c>
      <c r="K3449" s="25" t="str">
        <f>IF(OR(E3449="",E3449="!!!",F3449="NEW"),"",INDEX(J$1:J3448,SUMPRODUCT(MAX(ROW(E$1:E3448)*(E3449=E$1:E3448)))))</f>
        <v> </v>
      </c>
      <c r="L3449" s="26"/>
    </row>
    <row r="3450" spans="1:12">
      <c r="A3450" s="20" t="s">
        <v>1075</v>
      </c>
      <c r="E3450" s="21">
        <f>IF(D3450="?OLD","!!!","")</f>
        <v/>
      </c>
      <c r="F3450" s="22" t="str">
        <f>IF(OR(E3450="",E3450="!!!"),"",IF(NOT(ISNA(VLOOKUP(E3450,E$1:E3449,1,FALSE()))),"OLD",IF(AND(E3450&lt;&gt;"",E3450&lt;&gt;"!!!"),"NEW","")))</f>
        <v> </v>
      </c>
      <c r="G3450" s="23" t="str">
        <f>IF(OR(E3450="",E3450="!!!"),"",IF(OR(J3450=0,AND(J3450=1,K3450=1),AND(J3450=1,I3450="SBJ"),AND(J3450=1,I3450=0)),"?IN_FOCUS",IF(J3450&lt;=2,"?ACTIVATED",IF(J3450&lt;&gt;"","?FAMILIAR",IF(F3450="NEW",IF(ISNA(VLOOKUP(E3450,#REF!,1,FALSE())),"?TYPE_IDENTIFIABLE","?REFERENTIAL"),"_")))))</f>
        <v> </v>
      </c>
      <c r="H3450" s="24" t="str">
        <f>IF(J3450&lt;&gt;1,"",IF(I3450="SBJ","CB","?"))</f>
        <v> </v>
      </c>
      <c r="I3450" s="25" t="str">
        <f>IF(OR(E3450="",E3450="!!!",F3450="NEW"),"",INDEX(B3449:B$2,-1+SUMPRODUCT(MAX(ROW(E3449:E$2)*(E3450=E3449:E$2)))))</f>
        <v> </v>
      </c>
      <c r="J3450" s="25" t="str">
        <f>IF(OR(E3450="",E3450="!!!",F3450="NEW"),"",COUNTBLANK(OFFSET(A$1,,,SUMPRODUCT(MAX(ROW(E$2:E3450)*(E3450=E$2:E3450)))))-COUNTBLANK(OFFSET(A$1,,,SUMPRODUCT(MAX(ROW(E$1:E3449)*(E2=E$1:E3449))))))</f>
        <v> </v>
      </c>
      <c r="K3450" s="25" t="str">
        <f>IF(OR(E3450="",E3450="!!!",F3450="NEW"),"",INDEX(J$1:J3449,SUMPRODUCT(MAX(ROW(E$1:E3449)*(E3450=E$1:E3449)))))</f>
        <v> </v>
      </c>
      <c r="L3450" s="26"/>
    </row>
    <row r="3451" spans="1:12">
      <c r="A3451" s="20" t="s">
        <v>1256</v>
      </c>
      <c r="B3451" s="27" t="s">
        <v>1074</v>
      </c>
      <c r="C3451" s="27" t="s">
        <v>1134</v>
      </c>
      <c r="D3451" s="27" t="s">
        <v>1069</v>
      </c>
      <c r="E3451" s="21">
        <f>IF(D3451="?OLD","!!!","")</f>
        <v/>
      </c>
      <c r="F3451" s="22" t="str">
        <f>IF(OR(E3451="",E3451="!!!"),"",IF(NOT(ISNA(VLOOKUP(E3451,E$1:E3450,1,FALSE()))),"OLD",IF(AND(E3451&lt;&gt;"",E3451&lt;&gt;"!!!"),"NEW","")))</f>
        <v> </v>
      </c>
      <c r="G3451" s="23" t="str">
        <f>IF(OR(E3451="",E3451="!!!"),"",IF(OR(J3451=0,AND(J3451=1,K3451=1),AND(J3451=1,I3451="SBJ"),AND(J3451=1,I3451=0)),"?IN_FOCUS",IF(J3451&lt;=2,"?ACTIVATED",IF(J3451&lt;&gt;"","?FAMILIAR",IF(F3451="NEW",IF(ISNA(VLOOKUP(E3451,#REF!,1,FALSE())),"?TYPE_IDENTIFIABLE","?REFERENTIAL"),"_")))))</f>
        <v> </v>
      </c>
      <c r="H3451" s="24" t="str">
        <f>IF(J3451&lt;&gt;1,"",IF(I3451="SBJ","CB","?"))</f>
        <v> </v>
      </c>
      <c r="I3451" s="25" t="str">
        <f>IF(OR(E3451="",E3451="!!!",F3451="NEW"),"",INDEX(B3450:B$2,-1+SUMPRODUCT(MAX(ROW(E3450:E$2)*(E3451=E3450:E$2)))))</f>
        <v> </v>
      </c>
      <c r="J3451" s="25" t="str">
        <f>IF(OR(E3451="",E3451="!!!",F3451="NEW"),"",COUNTBLANK(OFFSET(A$1,,,SUMPRODUCT(MAX(ROW(E$2:E3451)*(E3451=E$2:E3451)))))-COUNTBLANK(OFFSET(A$1,,,SUMPRODUCT(MAX(ROW(E$1:E3450)*(E2=E$1:E3450))))))</f>
        <v> </v>
      </c>
      <c r="K3451" s="25" t="str">
        <f>IF(OR(E3451="",E3451="!!!",F3451="NEW"),"",INDEX(J$1:J3450,SUMPRODUCT(MAX(ROW(E$1:E3450)*(E3451=E$1:E3450)))))</f>
        <v> </v>
      </c>
      <c r="L3451" s="26"/>
    </row>
    <row r="3452" spans="1:12">
      <c r="A3452" s="20" t="s">
        <v>13</v>
      </c>
      <c r="E3452" s="21">
        <f>IF(D3452="?OLD","!!!","")</f>
        <v/>
      </c>
      <c r="F3452" s="22" t="str">
        <f>IF(OR(E3452="",E3452="!!!"),"",IF(NOT(ISNA(VLOOKUP(E3452,E$1:E3451,1,FALSE()))),"OLD",IF(AND(E3452&lt;&gt;"",E3452&lt;&gt;"!!!"),"NEW","")))</f>
        <v> </v>
      </c>
      <c r="G3452" s="23" t="str">
        <f>IF(OR(E3452="",E3452="!!!"),"",IF(OR(J3452=0,AND(J3452=1,K3452=1),AND(J3452=1,I3452="SBJ"),AND(J3452=1,I3452=0)),"?IN_FOCUS",IF(J3452&lt;=2,"?ACTIVATED",IF(J3452&lt;&gt;"","?FAMILIAR",IF(F3452="NEW",IF(ISNA(VLOOKUP(E3452,#REF!,1,FALSE())),"?TYPE_IDENTIFIABLE","?REFERENTIAL"),"_")))))</f>
        <v> </v>
      </c>
      <c r="H3452" s="24" t="str">
        <f>IF(J3452&lt;&gt;1,"",IF(I3452="SBJ","CB","?"))</f>
        <v> </v>
      </c>
      <c r="I3452" s="25" t="str">
        <f>IF(OR(E3452="",E3452="!!!",F3452="NEW"),"",INDEX(B3451:B$2,-1+SUMPRODUCT(MAX(ROW(E3451:E$2)*(E3452=E3451:E$2)))))</f>
        <v> </v>
      </c>
      <c r="J3452" s="25" t="str">
        <f>IF(OR(E3452="",E3452="!!!",F3452="NEW"),"",COUNTBLANK(OFFSET(A$1,,,SUMPRODUCT(MAX(ROW(E$2:E3452)*(E3452=E$2:E3452)))))-COUNTBLANK(OFFSET(A$1,,,SUMPRODUCT(MAX(ROW(E$1:E3451)*(E2=E$1:E3451))))))</f>
        <v> </v>
      </c>
      <c r="K3452" s="25" t="str">
        <f>IF(OR(E3452="",E3452="!!!",F3452="NEW"),"",INDEX(J$1:J3451,SUMPRODUCT(MAX(ROW(E$1:E3451)*(E3452=E$1:E3451)))))</f>
        <v> </v>
      </c>
      <c r="L3452" s="26"/>
    </row>
    <row r="3453" spans="1:12">
      <c r="A3453" s="20" t="s">
        <v>1080</v>
      </c>
      <c r="E3453" s="21">
        <f>IF(D3453="?OLD","!!!","")</f>
        <v/>
      </c>
      <c r="F3453" s="22" t="str">
        <f>IF(OR(E3453="",E3453="!!!"),"",IF(NOT(ISNA(VLOOKUP(E3453,E$1:E3452,1,FALSE()))),"OLD",IF(AND(E3453&lt;&gt;"",E3453&lt;&gt;"!!!"),"NEW","")))</f>
        <v> </v>
      </c>
      <c r="G3453" s="23" t="str">
        <f>IF(OR(E3453="",E3453="!!!"),"",IF(OR(J3453=0,AND(J3453=1,K3453=1),AND(J3453=1,I3453="SBJ"),AND(J3453=1,I3453=0)),"?IN_FOCUS",IF(J3453&lt;=2,"?ACTIVATED",IF(J3453&lt;&gt;"","?FAMILIAR",IF(F3453="NEW",IF(ISNA(VLOOKUP(E3453,#REF!,1,FALSE())),"?TYPE_IDENTIFIABLE","?REFERENTIAL"),"_")))))</f>
        <v> </v>
      </c>
      <c r="H3453" s="24" t="str">
        <f>IF(J3453&lt;&gt;1,"",IF(I3453="SBJ","CB","?"))</f>
        <v> </v>
      </c>
      <c r="I3453" s="25" t="str">
        <f>IF(OR(E3453="",E3453="!!!",F3453="NEW"),"",INDEX(B3452:B$2,-1+SUMPRODUCT(MAX(ROW(E3452:E$2)*(E3453=E3452:E$2)))))</f>
        <v> </v>
      </c>
      <c r="J3453" s="25" t="str">
        <f>IF(OR(E3453="",E3453="!!!",F3453="NEW"),"",COUNTBLANK(OFFSET(A$1,,,SUMPRODUCT(MAX(ROW(E$2:E3453)*(E3453=E$2:E3453)))))-COUNTBLANK(OFFSET(A$1,,,SUMPRODUCT(MAX(ROW(E$1:E3452)*(E2=E$1:E3452))))))</f>
        <v> </v>
      </c>
      <c r="K3453" s="25" t="str">
        <f>IF(OR(E3453="",E3453="!!!",F3453="NEW"),"",INDEX(J$1:J3452,SUMPRODUCT(MAX(ROW(E$1:E3452)*(E3453=E$1:E3452)))))</f>
        <v> </v>
      </c>
      <c r="L3453" s="26"/>
    </row>
    <row r="3454" spans="1:12">
      <c r="A3454" s="20"/>
    </row>
    <row r="3455" spans="1:12">
      <c r="A3455" s="20" t="s">
        <v>2184</v>
      </c>
    </row>
    <row r="3456" spans="1:12">
      <c r="A3456" s="20" t="s">
        <v>1197</v>
      </c>
      <c r="B3456" s="27" t="s">
        <v>1067</v>
      </c>
      <c r="C3456" s="27" t="s">
        <v>1068</v>
      </c>
      <c r="D3456" s="27" t="s">
        <v>1069</v>
      </c>
      <c r="E3456" s="21">
        <f>IF(D3456="?OLD","!!!","")</f>
        <v/>
      </c>
      <c r="F3456" s="22" t="str">
        <f>IF(OR(E3456="",E3456="!!!"),"",IF(NOT(ISNA(VLOOKUP(E3456,E$1:E3455,1,FALSE()))),"OLD",IF(AND(E3456&lt;&gt;"",E3456&lt;&gt;"!!!"),"NEW","")))</f>
        <v> </v>
      </c>
      <c r="G3456" s="23" t="str">
        <f>IF(OR(E3456="",E3456="!!!"),"",IF(OR(J3456=0,AND(J3456=1,K3456=1),AND(J3456=1,I3456="SBJ"),AND(J3456=1,I3456=0)),"?IN_FOCUS",IF(J3456&lt;=2,"?ACTIVATED",IF(J3456&lt;&gt;"","?FAMILIAR",IF(F3456="NEW",IF(ISNA(VLOOKUP(E3456,#REF!,1,FALSE())),"?TYPE_IDENTIFIABLE","?REFERENTIAL"),"_")))))</f>
        <v> </v>
      </c>
      <c r="H3456" s="24" t="str">
        <f>IF(J3456&lt;&gt;1,"",IF(I3456="SBJ","CB","?"))</f>
        <v> </v>
      </c>
      <c r="I3456" s="25" t="str">
        <f>IF(OR(E3456="",E3456="!!!",F3456="NEW"),"",INDEX(B3455:B$2,-1+SUMPRODUCT(MAX(ROW(E3455:E$2)*(E3456=E3455:E$2)))))</f>
        <v> </v>
      </c>
      <c r="J3456" s="25" t="str">
        <f>IF(OR(E3456="",E3456="!!!",F3456="NEW"),"",COUNTBLANK(OFFSET(A$1,,,SUMPRODUCT(MAX(ROW(E$2:E3456)*(E3456=E$2:E3456)))))-COUNTBLANK(OFFSET(A$1,,,SUMPRODUCT(MAX(ROW(E$1:E3455)*(E2=E$1:E3455))))))</f>
        <v> </v>
      </c>
      <c r="K3456" s="25" t="str">
        <f>IF(OR(E3456="",E3456="!!!",F3456="NEW"),"",INDEX(J$1:J3455,SUMPRODUCT(MAX(ROW(E$1:E3455)*(E3456=E$1:E3455)))))</f>
        <v> </v>
      </c>
      <c r="L3456" s="26"/>
    </row>
    <row r="3457" spans="1:12">
      <c r="A3457" s="20" t="s">
        <v>2047</v>
      </c>
      <c r="E3457" s="21">
        <f>IF(D3457="?OLD","!!!","")</f>
        <v/>
      </c>
      <c r="F3457" s="22" t="str">
        <f>IF(OR(E3457="",E3457="!!!"),"",IF(NOT(ISNA(VLOOKUP(E3457,E$1:E3456,1,FALSE()))),"OLD",IF(AND(E3457&lt;&gt;"",E3457&lt;&gt;"!!!"),"NEW","")))</f>
        <v> </v>
      </c>
      <c r="G3457" s="23" t="str">
        <f>IF(OR(E3457="",E3457="!!!"),"",IF(OR(J3457=0,AND(J3457=1,K3457=1),AND(J3457=1,I3457="SBJ"),AND(J3457=1,I3457=0)),"?IN_FOCUS",IF(J3457&lt;=2,"?ACTIVATED",IF(J3457&lt;&gt;"","?FAMILIAR",IF(F3457="NEW",IF(ISNA(VLOOKUP(E3457,#REF!,1,FALSE())),"?TYPE_IDENTIFIABLE","?REFERENTIAL"),"_")))))</f>
        <v> </v>
      </c>
      <c r="H3457" s="24" t="str">
        <f>IF(J3457&lt;&gt;1,"",IF(I3457="SBJ","CB","?"))</f>
        <v> </v>
      </c>
      <c r="I3457" s="25" t="str">
        <f>IF(OR(E3457="",E3457="!!!",F3457="NEW"),"",INDEX(B3456:B$2,-1+SUMPRODUCT(MAX(ROW(E3456:E$2)*(E3457=E3456:E$2)))))</f>
        <v> </v>
      </c>
      <c r="J3457" s="25" t="str">
        <f>IF(OR(E3457="",E3457="!!!",F3457="NEW"),"",COUNTBLANK(OFFSET(A$1,,,SUMPRODUCT(MAX(ROW(E$2:E3457)*(E3457=E$2:E3457)))))-COUNTBLANK(OFFSET(A$1,,,SUMPRODUCT(MAX(ROW(E$1:E3456)*(E2=E$1:E3456))))))</f>
        <v> </v>
      </c>
      <c r="K3457" s="25" t="str">
        <f>IF(OR(E3457="",E3457="!!!",F3457="NEW"),"",INDEX(J$1:J3456,SUMPRODUCT(MAX(ROW(E$1:E3456)*(E3457=E$1:E3456)))))</f>
        <v> </v>
      </c>
      <c r="L3457" s="26"/>
    </row>
    <row r="3458" spans="1:12">
      <c r="A3458" s="20" t="s">
        <v>1128</v>
      </c>
      <c r="B3458" s="27" t="s">
        <v>1071</v>
      </c>
      <c r="C3458" s="27" t="s">
        <v>1129</v>
      </c>
      <c r="D3458" s="27" t="s">
        <v>1069</v>
      </c>
      <c r="E3458" s="21">
        <f>IF(D3458="?OLD","!!!","")</f>
        <v/>
      </c>
      <c r="F3458" s="22" t="str">
        <f>IF(OR(E3458="",E3458="!!!"),"",IF(NOT(ISNA(VLOOKUP(E3458,E$1:E3457,1,FALSE()))),"OLD",IF(AND(E3458&lt;&gt;"",E3458&lt;&gt;"!!!"),"NEW","")))</f>
        <v> </v>
      </c>
      <c r="G3458" s="23" t="str">
        <f>IF(OR(E3458="",E3458="!!!"),"",IF(OR(J3458=0,AND(J3458=1,K3458=1),AND(J3458=1,I3458="SBJ"),AND(J3458=1,I3458=0)),"?IN_FOCUS",IF(J3458&lt;=2,"?ACTIVATED",IF(J3458&lt;&gt;"","?FAMILIAR",IF(F3458="NEW",IF(ISNA(VLOOKUP(E3458,#REF!,1,FALSE())),"?TYPE_IDENTIFIABLE","?REFERENTIAL"),"_")))))</f>
        <v> </v>
      </c>
      <c r="H3458" s="24" t="str">
        <f>IF(J3458&lt;&gt;1,"",IF(I3458="SBJ","CB","?"))</f>
        <v> </v>
      </c>
      <c r="I3458" s="25" t="str">
        <f>IF(OR(E3458="",E3458="!!!",F3458="NEW"),"",INDEX(B3457:B$2,-1+SUMPRODUCT(MAX(ROW(E3457:E$2)*(E3458=E3457:E$2)))))</f>
        <v> </v>
      </c>
      <c r="J3458" s="25" t="str">
        <f>IF(OR(E3458="",E3458="!!!",F3458="NEW"),"",COUNTBLANK(OFFSET(A$1,,,SUMPRODUCT(MAX(ROW(E$2:E3458)*(E3458=E$2:E3458)))))-COUNTBLANK(OFFSET(A$1,,,SUMPRODUCT(MAX(ROW(E$1:E3457)*(E2=E$1:E3457))))))</f>
        <v> </v>
      </c>
      <c r="K3458" s="25" t="str">
        <f>IF(OR(E3458="",E3458="!!!",F3458="NEW"),"",INDEX(J$1:J3457,SUMPRODUCT(MAX(ROW(E$1:E3457)*(E3458=E$1:E3457)))))</f>
        <v> </v>
      </c>
      <c r="L3458" s="26"/>
    </row>
    <row r="3459" spans="1:12">
      <c r="A3459" s="20" t="s">
        <v>2185</v>
      </c>
      <c r="B3459" s="27" t="s">
        <v>1160</v>
      </c>
      <c r="C3459" s="27" t="s">
        <v>1131</v>
      </c>
      <c r="D3459" s="27" t="s">
        <v>1069</v>
      </c>
      <c r="E3459" s="21">
        <f>IF(D3459="?OLD","!!!","")</f>
        <v/>
      </c>
      <c r="F3459" s="22" t="str">
        <f>IF(OR(E3459="",E3459="!!!"),"",IF(NOT(ISNA(VLOOKUP(E3459,E$1:E3458,1,FALSE()))),"OLD",IF(AND(E3459&lt;&gt;"",E3459&lt;&gt;"!!!"),"NEW","")))</f>
        <v> </v>
      </c>
      <c r="G3459" s="23" t="str">
        <f>IF(OR(E3459="",E3459="!!!"),"",IF(OR(J3459=0,AND(J3459=1,K3459=1),AND(J3459=1,I3459="SBJ"),AND(J3459=1,I3459=0)),"?IN_FOCUS",IF(J3459&lt;=2,"?ACTIVATED",IF(J3459&lt;&gt;"","?FAMILIAR",IF(F3459="NEW",IF(ISNA(VLOOKUP(E3459,#REF!,1,FALSE())),"?TYPE_IDENTIFIABLE","?REFERENTIAL"),"_")))))</f>
        <v> </v>
      </c>
      <c r="H3459" s="24" t="str">
        <f>IF(J3459&lt;&gt;1,"",IF(I3459="SBJ","CB","?"))</f>
        <v> </v>
      </c>
      <c r="I3459" s="25" t="str">
        <f>IF(OR(E3459="",E3459="!!!",F3459="NEW"),"",INDEX(B3458:B$2,-1+SUMPRODUCT(MAX(ROW(E3458:E$2)*(E3459=E3458:E$2)))))</f>
        <v> </v>
      </c>
      <c r="J3459" s="25" t="str">
        <f>IF(OR(E3459="",E3459="!!!",F3459="NEW"),"",COUNTBLANK(OFFSET(A$1,,,SUMPRODUCT(MAX(ROW(E$2:E3459)*(E3459=E$2:E3459)))))-COUNTBLANK(OFFSET(A$1,,,SUMPRODUCT(MAX(ROW(E$1:E3458)*(E2=E$1:E3458))))))</f>
        <v> </v>
      </c>
      <c r="K3459" s="25" t="str">
        <f>IF(OR(E3459="",E3459="!!!",F3459="NEW"),"",INDEX(J$1:J3458,SUMPRODUCT(MAX(ROW(E$1:E3458)*(E3459=E$1:E3458)))))</f>
        <v> </v>
      </c>
      <c r="L3459" s="26"/>
    </row>
    <row r="3460" spans="1:12">
      <c r="A3460" s="20" t="s">
        <v>722</v>
      </c>
      <c r="E3460" s="21">
        <f>IF(D3460="?OLD","!!!","")</f>
        <v/>
      </c>
      <c r="F3460" s="22" t="str">
        <f>IF(OR(E3460="",E3460="!!!"),"",IF(NOT(ISNA(VLOOKUP(E3460,E$1:E3459,1,FALSE()))),"OLD",IF(AND(E3460&lt;&gt;"",E3460&lt;&gt;"!!!"),"NEW","")))</f>
        <v> </v>
      </c>
      <c r="G3460" s="23" t="str">
        <f>IF(OR(E3460="",E3460="!!!"),"",IF(OR(J3460=0,AND(J3460=1,K3460=1),AND(J3460=1,I3460="SBJ"),AND(J3460=1,I3460=0)),"?IN_FOCUS",IF(J3460&lt;=2,"?ACTIVATED",IF(J3460&lt;&gt;"","?FAMILIAR",IF(F3460="NEW",IF(ISNA(VLOOKUP(E3460,#REF!,1,FALSE())),"?TYPE_IDENTIFIABLE","?REFERENTIAL"),"_")))))</f>
        <v> </v>
      </c>
      <c r="H3460" s="24" t="str">
        <f>IF(J3460&lt;&gt;1,"",IF(I3460="SBJ","CB","?"))</f>
        <v> </v>
      </c>
      <c r="I3460" s="25" t="str">
        <f>IF(OR(E3460="",E3460="!!!",F3460="NEW"),"",INDEX(B3459:B$2,-1+SUMPRODUCT(MAX(ROW(E3459:E$2)*(E3460=E3459:E$2)))))</f>
        <v> </v>
      </c>
      <c r="J3460" s="25" t="str">
        <f>IF(OR(E3460="",E3460="!!!",F3460="NEW"),"",COUNTBLANK(OFFSET(A$1,,,SUMPRODUCT(MAX(ROW(E$2:E3460)*(E3460=E$2:E3460)))))-COUNTBLANK(OFFSET(A$1,,,SUMPRODUCT(MAX(ROW(E$1:E3459)*(E2=E$1:E3459))))))</f>
        <v> </v>
      </c>
      <c r="K3460" s="25" t="str">
        <f>IF(OR(E3460="",E3460="!!!",F3460="NEW"),"",INDEX(J$1:J3459,SUMPRODUCT(MAX(ROW(E$1:E3459)*(E3460=E$1:E3459)))))</f>
        <v> </v>
      </c>
      <c r="L3460" s="26"/>
    </row>
    <row r="3461" spans="1:12">
      <c r="A3461" s="20" t="s">
        <v>1078</v>
      </c>
      <c r="E3461" s="21">
        <f>IF(D3461="?OLD","!!!","")</f>
        <v/>
      </c>
      <c r="F3461" s="22" t="str">
        <f>IF(OR(E3461="",E3461="!!!"),"",IF(NOT(ISNA(VLOOKUP(E3461,E$1:E3460,1,FALSE()))),"OLD",IF(AND(E3461&lt;&gt;"",E3461&lt;&gt;"!!!"),"NEW","")))</f>
        <v> </v>
      </c>
      <c r="G3461" s="23" t="str">
        <f>IF(OR(E3461="",E3461="!!!"),"",IF(OR(J3461=0,AND(J3461=1,K3461=1),AND(J3461=1,I3461="SBJ"),AND(J3461=1,I3461=0)),"?IN_FOCUS",IF(J3461&lt;=2,"?ACTIVATED",IF(J3461&lt;&gt;"","?FAMILIAR",IF(F3461="NEW",IF(ISNA(VLOOKUP(E3461,#REF!,1,FALSE())),"?TYPE_IDENTIFIABLE","?REFERENTIAL"),"_")))))</f>
        <v> </v>
      </c>
      <c r="H3461" s="24" t="str">
        <f>IF(J3461&lt;&gt;1,"",IF(I3461="SBJ","CB","?"))</f>
        <v> </v>
      </c>
      <c r="I3461" s="25" t="str">
        <f>IF(OR(E3461="",E3461="!!!",F3461="NEW"),"",INDEX(B3460:B$2,-1+SUMPRODUCT(MAX(ROW(E3460:E$2)*(E3461=E3460:E$2)))))</f>
        <v> </v>
      </c>
      <c r="J3461" s="25" t="str">
        <f>IF(OR(E3461="",E3461="!!!",F3461="NEW"),"",COUNTBLANK(OFFSET(A$1,,,SUMPRODUCT(MAX(ROW(E$2:E3461)*(E3461=E$2:E3461)))))-COUNTBLANK(OFFSET(A$1,,,SUMPRODUCT(MAX(ROW(E$1:E3460)*(E2=E$1:E3460))))))</f>
        <v> </v>
      </c>
      <c r="K3461" s="25" t="str">
        <f>IF(OR(E3461="",E3461="!!!",F3461="NEW"),"",INDEX(J$1:J3460,SUMPRODUCT(MAX(ROW(E$1:E3460)*(E3461=E$1:E3460)))))</f>
        <v> </v>
      </c>
      <c r="L3461" s="26"/>
    </row>
    <row r="3462" spans="1:12">
      <c r="A3462" s="20" t="s">
        <v>1197</v>
      </c>
      <c r="B3462" s="27" t="s">
        <v>1095</v>
      </c>
      <c r="C3462" s="27" t="s">
        <v>1068</v>
      </c>
      <c r="D3462" s="27" t="s">
        <v>1069</v>
      </c>
      <c r="E3462" s="21">
        <f>IF(D3462="?OLD","!!!","")</f>
        <v/>
      </c>
      <c r="F3462" s="22" t="str">
        <f>IF(OR(E3462="",E3462="!!!"),"",IF(NOT(ISNA(VLOOKUP(E3462,E$1:E3461,1,FALSE()))),"OLD",IF(AND(E3462&lt;&gt;"",E3462&lt;&gt;"!!!"),"NEW","")))</f>
        <v> </v>
      </c>
      <c r="G3462" s="23" t="str">
        <f>IF(OR(E3462="",E3462="!!!"),"",IF(OR(J3462=0,AND(J3462=1,K3462=1),AND(J3462=1,I3462="SBJ"),AND(J3462=1,I3462=0)),"?IN_FOCUS",IF(J3462&lt;=2,"?ACTIVATED",IF(J3462&lt;&gt;"","?FAMILIAR",IF(F3462="NEW",IF(ISNA(VLOOKUP(E3462,#REF!,1,FALSE())),"?TYPE_IDENTIFIABLE","?REFERENTIAL"),"_")))))</f>
        <v> </v>
      </c>
      <c r="H3462" s="24" t="str">
        <f>IF(J3462&lt;&gt;1,"",IF(I3462="SBJ","CB","?"))</f>
        <v> </v>
      </c>
      <c r="I3462" s="25" t="str">
        <f>IF(OR(E3462="",E3462="!!!",F3462="NEW"),"",INDEX(B3461:B$2,-1+SUMPRODUCT(MAX(ROW(E3461:E$2)*(E3462=E3461:E$2)))))</f>
        <v> </v>
      </c>
      <c r="J3462" s="25" t="str">
        <f>IF(OR(E3462="",E3462="!!!",F3462="NEW"),"",COUNTBLANK(OFFSET(A$1,,,SUMPRODUCT(MAX(ROW(E$2:E3462)*(E3462=E$2:E3462)))))-COUNTBLANK(OFFSET(A$1,,,SUMPRODUCT(MAX(ROW(E$1:E3461)*(E2=E$1:E3461))))))</f>
        <v> </v>
      </c>
      <c r="K3462" s="25" t="str">
        <f>IF(OR(E3462="",E3462="!!!",F3462="NEW"),"",INDEX(J$1:J3461,SUMPRODUCT(MAX(ROW(E$1:E3461)*(E3462=E$1:E3461)))))</f>
        <v> </v>
      </c>
      <c r="L3462" s="26"/>
    </row>
    <row r="3463" spans="1:12">
      <c r="A3463" s="20" t="s">
        <v>2186</v>
      </c>
      <c r="E3463" s="21">
        <f>IF(D3463="?OLD","!!!","")</f>
        <v/>
      </c>
      <c r="F3463" s="22" t="str">
        <f>IF(OR(E3463="",E3463="!!!"),"",IF(NOT(ISNA(VLOOKUP(E3463,E$1:E3462,1,FALSE()))),"OLD",IF(AND(E3463&lt;&gt;"",E3463&lt;&gt;"!!!"),"NEW","")))</f>
        <v> </v>
      </c>
      <c r="G3463" s="23" t="str">
        <f>IF(OR(E3463="",E3463="!!!"),"",IF(OR(J3463=0,AND(J3463=1,K3463=1),AND(J3463=1,I3463="SBJ"),AND(J3463=1,I3463=0)),"?IN_FOCUS",IF(J3463&lt;=2,"?ACTIVATED",IF(J3463&lt;&gt;"","?FAMILIAR",IF(F3463="NEW",IF(ISNA(VLOOKUP(E3463,#REF!,1,FALSE())),"?TYPE_IDENTIFIABLE","?REFERENTIAL"),"_")))))</f>
        <v> </v>
      </c>
      <c r="H3463" s="24" t="str">
        <f>IF(J3463&lt;&gt;1,"",IF(I3463="SBJ","CB","?"))</f>
        <v> </v>
      </c>
      <c r="I3463" s="25" t="str">
        <f>IF(OR(E3463="",E3463="!!!",F3463="NEW"),"",INDEX(B3462:B$2,-1+SUMPRODUCT(MAX(ROW(E3462:E$2)*(E3463=E3462:E$2)))))</f>
        <v> </v>
      </c>
      <c r="J3463" s="25" t="str">
        <f>IF(OR(E3463="",E3463="!!!",F3463="NEW"),"",COUNTBLANK(OFFSET(A$1,,,SUMPRODUCT(MAX(ROW(E$2:E3463)*(E3463=E$2:E3463)))))-COUNTBLANK(OFFSET(A$1,,,SUMPRODUCT(MAX(ROW(E$1:E3462)*(E2=E$1:E3462))))))</f>
        <v> </v>
      </c>
      <c r="K3463" s="25" t="str">
        <f>IF(OR(E3463="",E3463="!!!",F3463="NEW"),"",INDEX(J$1:J3462,SUMPRODUCT(MAX(ROW(E$1:E3462)*(E3463=E$1:E3462)))))</f>
        <v> </v>
      </c>
      <c r="L3463" s="26"/>
    </row>
    <row r="3464" spans="1:12">
      <c r="A3464" s="20" t="s">
        <v>2187</v>
      </c>
      <c r="E3464" s="21">
        <f>IF(D3464="?OLD","!!!","")</f>
        <v/>
      </c>
      <c r="F3464" s="22" t="str">
        <f>IF(OR(E3464="",E3464="!!!"),"",IF(NOT(ISNA(VLOOKUP(E3464,E$1:E3463,1,FALSE()))),"OLD",IF(AND(E3464&lt;&gt;"",E3464&lt;&gt;"!!!"),"NEW","")))</f>
        <v> </v>
      </c>
      <c r="G3464" s="23" t="str">
        <f>IF(OR(E3464="",E3464="!!!"),"",IF(OR(J3464=0,AND(J3464=1,K3464=1),AND(J3464=1,I3464="SBJ"),AND(J3464=1,I3464=0)),"?IN_FOCUS",IF(J3464&lt;=2,"?ACTIVATED",IF(J3464&lt;&gt;"","?FAMILIAR",IF(F3464="NEW",IF(ISNA(VLOOKUP(E3464,#REF!,1,FALSE())),"?TYPE_IDENTIFIABLE","?REFERENTIAL"),"_")))))</f>
        <v> </v>
      </c>
      <c r="H3464" s="24" t="str">
        <f>IF(J3464&lt;&gt;1,"",IF(I3464="SBJ","CB","?"))</f>
        <v> </v>
      </c>
      <c r="I3464" s="25" t="str">
        <f>IF(OR(E3464="",E3464="!!!",F3464="NEW"),"",INDEX(B3463:B$2,-1+SUMPRODUCT(MAX(ROW(E3463:E$2)*(E3464=E3463:E$2)))))</f>
        <v> </v>
      </c>
      <c r="J3464" s="25" t="str">
        <f>IF(OR(E3464="",E3464="!!!",F3464="NEW"),"",COUNTBLANK(OFFSET(A$1,,,SUMPRODUCT(MAX(ROW(E$2:E3464)*(E3464=E$2:E3464)))))-COUNTBLANK(OFFSET(A$1,,,SUMPRODUCT(MAX(ROW(E$1:E3463)*(E2=E$1:E3463))))))</f>
        <v> </v>
      </c>
      <c r="K3464" s="25" t="str">
        <f>IF(OR(E3464="",E3464="!!!",F3464="NEW"),"",INDEX(J$1:J3463,SUMPRODUCT(MAX(ROW(E$1:E3463)*(E3464=E$1:E3463)))))</f>
        <v> </v>
      </c>
      <c r="L3464" s="26"/>
    </row>
    <row r="3465" spans="1:12">
      <c r="A3465" s="20" t="s">
        <v>1199</v>
      </c>
      <c r="E3465" s="21">
        <f>IF(D3465="?OLD","!!!","")</f>
        <v/>
      </c>
      <c r="F3465" s="22" t="str">
        <f>IF(OR(E3465="",E3465="!!!"),"",IF(NOT(ISNA(VLOOKUP(E3465,E$1:E3464,1,FALSE()))),"OLD",IF(AND(E3465&lt;&gt;"",E3465&lt;&gt;"!!!"),"NEW","")))</f>
        <v> </v>
      </c>
      <c r="G3465" s="23" t="str">
        <f>IF(OR(E3465="",E3465="!!!"),"",IF(OR(J3465=0,AND(J3465=1,K3465=1),AND(J3465=1,I3465="SBJ"),AND(J3465=1,I3465=0)),"?IN_FOCUS",IF(J3465&lt;=2,"?ACTIVATED",IF(J3465&lt;&gt;"","?FAMILIAR",IF(F3465="NEW",IF(ISNA(VLOOKUP(E3465,#REF!,1,FALSE())),"?TYPE_IDENTIFIABLE","?REFERENTIAL"),"_")))))</f>
        <v> </v>
      </c>
      <c r="H3465" s="24" t="str">
        <f>IF(J3465&lt;&gt;1,"",IF(I3465="SBJ","CB","?"))</f>
        <v> </v>
      </c>
      <c r="I3465" s="25" t="str">
        <f>IF(OR(E3465="",E3465="!!!",F3465="NEW"),"",INDEX(B3464:B$2,-1+SUMPRODUCT(MAX(ROW(E3464:E$2)*(E3465=E3464:E$2)))))</f>
        <v> </v>
      </c>
      <c r="J3465" s="25" t="str">
        <f>IF(OR(E3465="",E3465="!!!",F3465="NEW"),"",COUNTBLANK(OFFSET(A$1,,,SUMPRODUCT(MAX(ROW(E$2:E3465)*(E3465=E$2:E3465)))))-COUNTBLANK(OFFSET(A$1,,,SUMPRODUCT(MAX(ROW(E$1:E3464)*(E2=E$1:E3464))))))</f>
        <v> </v>
      </c>
      <c r="K3465" s="25" t="str">
        <f>IF(OR(E3465="",E3465="!!!",F3465="NEW"),"",INDEX(J$1:J3464,SUMPRODUCT(MAX(ROW(E$1:E3464)*(E3465=E$1:E3464)))))</f>
        <v> </v>
      </c>
      <c r="L3465" s="26"/>
    </row>
    <row r="3466" spans="1:12">
      <c r="A3466" s="20" t="s">
        <v>1113</v>
      </c>
      <c r="E3466" s="21">
        <f>IF(D3466="?OLD","!!!","")</f>
        <v/>
      </c>
      <c r="F3466" s="22" t="str">
        <f>IF(OR(E3466="",E3466="!!!"),"",IF(NOT(ISNA(VLOOKUP(E3466,E$1:E3465,1,FALSE()))),"OLD",IF(AND(E3466&lt;&gt;"",E3466&lt;&gt;"!!!"),"NEW","")))</f>
        <v> </v>
      </c>
      <c r="G3466" s="23" t="str">
        <f>IF(OR(E3466="",E3466="!!!"),"",IF(OR(J3466=0,AND(J3466=1,K3466=1),AND(J3466=1,I3466="SBJ"),AND(J3466=1,I3466=0)),"?IN_FOCUS",IF(J3466&lt;=2,"?ACTIVATED",IF(J3466&lt;&gt;"","?FAMILIAR",IF(F3466="NEW",IF(ISNA(VLOOKUP(E3466,#REF!,1,FALSE())),"?TYPE_IDENTIFIABLE","?REFERENTIAL"),"_")))))</f>
        <v> </v>
      </c>
      <c r="H3466" s="24" t="str">
        <f>IF(J3466&lt;&gt;1,"",IF(I3466="SBJ","CB","?"))</f>
        <v> </v>
      </c>
      <c r="I3466" s="25" t="str">
        <f>IF(OR(E3466="",E3466="!!!",F3466="NEW"),"",INDEX(B3465:B$2,-1+SUMPRODUCT(MAX(ROW(E3465:E$2)*(E3466=E3465:E$2)))))</f>
        <v> </v>
      </c>
      <c r="J3466" s="25" t="str">
        <f>IF(OR(E3466="",E3466="!!!",F3466="NEW"),"",COUNTBLANK(OFFSET(A$1,,,SUMPRODUCT(MAX(ROW(E$2:E3466)*(E3466=E$2:E3466)))))-COUNTBLANK(OFFSET(A$1,,,SUMPRODUCT(MAX(ROW(E$1:E3465)*(E2=E$1:E3465))))))</f>
        <v> </v>
      </c>
      <c r="K3466" s="25" t="str">
        <f>IF(OR(E3466="",E3466="!!!",F3466="NEW"),"",INDEX(J$1:J3465,SUMPRODUCT(MAX(ROW(E$1:E3465)*(E3466=E$1:E3465)))))</f>
        <v> </v>
      </c>
      <c r="L3466" s="26"/>
    </row>
    <row r="3467" spans="1:12">
      <c r="A3467" s="20" t="s">
        <v>2188</v>
      </c>
      <c r="E3467" s="21">
        <f>IF(D3467="?OLD","!!!","")</f>
        <v/>
      </c>
      <c r="F3467" s="22" t="str">
        <f>IF(OR(E3467="",E3467="!!!"),"",IF(NOT(ISNA(VLOOKUP(E3467,E$1:E3466,1,FALSE()))),"OLD",IF(AND(E3467&lt;&gt;"",E3467&lt;&gt;"!!!"),"NEW","")))</f>
        <v> </v>
      </c>
      <c r="G3467" s="23" t="str">
        <f>IF(OR(E3467="",E3467="!!!"),"",IF(OR(J3467=0,AND(J3467=1,K3467=1),AND(J3467=1,I3467="SBJ"),AND(J3467=1,I3467=0)),"?IN_FOCUS",IF(J3467&lt;=2,"?ACTIVATED",IF(J3467&lt;&gt;"","?FAMILIAR",IF(F3467="NEW",IF(ISNA(VLOOKUP(E3467,#REF!,1,FALSE())),"?TYPE_IDENTIFIABLE","?REFERENTIAL"),"_")))))</f>
        <v> </v>
      </c>
      <c r="H3467" s="24" t="str">
        <f>IF(J3467&lt;&gt;1,"",IF(I3467="SBJ","CB","?"))</f>
        <v> </v>
      </c>
      <c r="I3467" s="25" t="str">
        <f>IF(OR(E3467="",E3467="!!!",F3467="NEW"),"",INDEX(B3466:B$2,-1+SUMPRODUCT(MAX(ROW(E3466:E$2)*(E3467=E3466:E$2)))))</f>
        <v> </v>
      </c>
      <c r="J3467" s="25" t="str">
        <f>IF(OR(E3467="",E3467="!!!",F3467="NEW"),"",COUNTBLANK(OFFSET(A$1,,,SUMPRODUCT(MAX(ROW(E$2:E3467)*(E3467=E$2:E3467)))))-COUNTBLANK(OFFSET(A$1,,,SUMPRODUCT(MAX(ROW(E$1:E3466)*(E2=E$1:E3466))))))</f>
        <v> </v>
      </c>
      <c r="K3467" s="25" t="str">
        <f>IF(OR(E3467="",E3467="!!!",F3467="NEW"),"",INDEX(J$1:J3466,SUMPRODUCT(MAX(ROW(E$1:E3466)*(E3467=E$1:E3466)))))</f>
        <v> </v>
      </c>
      <c r="L3467" s="26"/>
    </row>
    <row r="3468" spans="1:12">
      <c r="A3468" s="20" t="s">
        <v>2189</v>
      </c>
      <c r="E3468" s="21">
        <f>IF(D3468="?OLD","!!!","")</f>
        <v/>
      </c>
      <c r="F3468" s="22" t="str">
        <f>IF(OR(E3468="",E3468="!!!"),"",IF(NOT(ISNA(VLOOKUP(E3468,E$1:E3467,1,FALSE()))),"OLD",IF(AND(E3468&lt;&gt;"",E3468&lt;&gt;"!!!"),"NEW","")))</f>
        <v> </v>
      </c>
      <c r="G3468" s="23" t="str">
        <f>IF(OR(E3468="",E3468="!!!"),"",IF(OR(J3468=0,AND(J3468=1,K3468=1),AND(J3468=1,I3468="SBJ"),AND(J3468=1,I3468=0)),"?IN_FOCUS",IF(J3468&lt;=2,"?ACTIVATED",IF(J3468&lt;&gt;"","?FAMILIAR",IF(F3468="NEW",IF(ISNA(VLOOKUP(E3468,#REF!,1,FALSE())),"?TYPE_IDENTIFIABLE","?REFERENTIAL"),"_")))))</f>
        <v> </v>
      </c>
      <c r="H3468" s="24" t="str">
        <f>IF(J3468&lt;&gt;1,"",IF(I3468="SBJ","CB","?"))</f>
        <v> </v>
      </c>
      <c r="I3468" s="25" t="str">
        <f>IF(OR(E3468="",E3468="!!!",F3468="NEW"),"",INDEX(B3467:B$2,-1+SUMPRODUCT(MAX(ROW(E3467:E$2)*(E3468=E3467:E$2)))))</f>
        <v> </v>
      </c>
      <c r="J3468" s="25" t="str">
        <f>IF(OR(E3468="",E3468="!!!",F3468="NEW"),"",COUNTBLANK(OFFSET(A$1,,,SUMPRODUCT(MAX(ROW(E$2:E3468)*(E3468=E$2:E3468)))))-COUNTBLANK(OFFSET(A$1,,,SUMPRODUCT(MAX(ROW(E$1:E3467)*(E2=E$1:E3467))))))</f>
        <v> </v>
      </c>
      <c r="K3468" s="25" t="str">
        <f>IF(OR(E3468="",E3468="!!!",F3468="NEW"),"",INDEX(J$1:J3467,SUMPRODUCT(MAX(ROW(E$1:E3467)*(E3468=E$1:E3467)))))</f>
        <v> </v>
      </c>
      <c r="L3468" s="26"/>
    </row>
    <row r="3469" spans="1:12">
      <c r="A3469" s="20" t="s">
        <v>2190</v>
      </c>
      <c r="B3469" s="27" t="s">
        <v>1071</v>
      </c>
      <c r="C3469" s="27" t="s">
        <v>1086</v>
      </c>
      <c r="D3469" s="27" t="s">
        <v>1069</v>
      </c>
      <c r="E3469" s="21">
        <f>IF(D3469="?OLD","!!!","")</f>
        <v/>
      </c>
      <c r="F3469" s="22" t="str">
        <f>IF(OR(E3469="",E3469="!!!"),"",IF(NOT(ISNA(VLOOKUP(E3469,E$1:E3468,1,FALSE()))),"OLD",IF(AND(E3469&lt;&gt;"",E3469&lt;&gt;"!!!"),"NEW","")))</f>
        <v> </v>
      </c>
      <c r="G3469" s="23" t="str">
        <f>IF(OR(E3469="",E3469="!!!"),"",IF(OR(J3469=0,AND(J3469=1,K3469=1),AND(J3469=1,I3469="SBJ"),AND(J3469=1,I3469=0)),"?IN_FOCUS",IF(J3469&lt;=2,"?ACTIVATED",IF(J3469&lt;&gt;"","?FAMILIAR",IF(F3469="NEW",IF(ISNA(VLOOKUP(E3469,#REF!,1,FALSE())),"?TYPE_IDENTIFIABLE","?REFERENTIAL"),"_")))))</f>
        <v> </v>
      </c>
      <c r="H3469" s="24" t="str">
        <f>IF(J3469&lt;&gt;1,"",IF(I3469="SBJ","CB","?"))</f>
        <v> </v>
      </c>
      <c r="I3469" s="25" t="str">
        <f>IF(OR(E3469="",E3469="!!!",F3469="NEW"),"",INDEX(B3468:B$2,-1+SUMPRODUCT(MAX(ROW(E3468:E$2)*(E3469=E3468:E$2)))))</f>
        <v> </v>
      </c>
      <c r="J3469" s="25" t="str">
        <f>IF(OR(E3469="",E3469="!!!",F3469="NEW"),"",COUNTBLANK(OFFSET(A$1,,,SUMPRODUCT(MAX(ROW(E$2:E3469)*(E3469=E$2:E3469)))))-COUNTBLANK(OFFSET(A$1,,,SUMPRODUCT(MAX(ROW(E$1:E3468)*(E2=E$1:E3468))))))</f>
        <v> </v>
      </c>
      <c r="K3469" s="25" t="str">
        <f>IF(OR(E3469="",E3469="!!!",F3469="NEW"),"",INDEX(J$1:J3468,SUMPRODUCT(MAX(ROW(E$1:E3468)*(E3469=E$1:E3468)))))</f>
        <v> </v>
      </c>
      <c r="L3469" s="26"/>
    </row>
    <row r="3470" spans="1:12">
      <c r="A3470" s="20" t="s">
        <v>1087</v>
      </c>
      <c r="E3470" s="21">
        <f>IF(D3470="?OLD","!!!","")</f>
        <v/>
      </c>
      <c r="F3470" s="22" t="str">
        <f>IF(OR(E3470="",E3470="!!!"),"",IF(NOT(ISNA(VLOOKUP(E3470,E$1:E3469,1,FALSE()))),"OLD",IF(AND(E3470&lt;&gt;"",E3470&lt;&gt;"!!!"),"NEW","")))</f>
        <v> </v>
      </c>
      <c r="G3470" s="23" t="str">
        <f>IF(OR(E3470="",E3470="!!!"),"",IF(OR(J3470=0,AND(J3470=1,K3470=1),AND(J3470=1,I3470="SBJ"),AND(J3470=1,I3470=0)),"?IN_FOCUS",IF(J3470&lt;=2,"?ACTIVATED",IF(J3470&lt;&gt;"","?FAMILIAR",IF(F3470="NEW",IF(ISNA(VLOOKUP(E3470,#REF!,1,FALSE())),"?TYPE_IDENTIFIABLE","?REFERENTIAL"),"_")))))</f>
        <v> </v>
      </c>
      <c r="H3470" s="24" t="str">
        <f>IF(J3470&lt;&gt;1,"",IF(I3470="SBJ","CB","?"))</f>
        <v> </v>
      </c>
      <c r="I3470" s="25" t="str">
        <f>IF(OR(E3470="",E3470="!!!",F3470="NEW"),"",INDEX(B3469:B$2,-1+SUMPRODUCT(MAX(ROW(E3469:E$2)*(E3470=E3469:E$2)))))</f>
        <v> </v>
      </c>
      <c r="J3470" s="25" t="str">
        <f>IF(OR(E3470="",E3470="!!!",F3470="NEW"),"",COUNTBLANK(OFFSET(A$1,,,SUMPRODUCT(MAX(ROW(E$2:E3470)*(E3470=E$2:E3470)))))-COUNTBLANK(OFFSET(A$1,,,SUMPRODUCT(MAX(ROW(E$1:E3469)*(E2=E$1:E3469))))))</f>
        <v> </v>
      </c>
      <c r="K3470" s="25" t="str">
        <f>IF(OR(E3470="",E3470="!!!",F3470="NEW"),"",INDEX(J$1:J3469,SUMPRODUCT(MAX(ROW(E$1:E3469)*(E3470=E$1:E3469)))))</f>
        <v> </v>
      </c>
      <c r="L3470" s="26"/>
    </row>
    <row r="3471" spans="1:12">
      <c r="A3471" s="20" t="s">
        <v>1104</v>
      </c>
      <c r="B3471" s="27" t="s">
        <v>1235</v>
      </c>
      <c r="E3471" s="21">
        <f>IF(D3471="?OLD","!!!","")</f>
        <v/>
      </c>
      <c r="F3471" s="22" t="str">
        <f>IF(OR(E3471="",E3471="!!!"),"",IF(NOT(ISNA(VLOOKUP(E3471,E$1:E3470,1,FALSE()))),"OLD",IF(AND(E3471&lt;&gt;"",E3471&lt;&gt;"!!!"),"NEW","")))</f>
        <v> </v>
      </c>
      <c r="G3471" s="23" t="str">
        <f>IF(OR(E3471="",E3471="!!!"),"",IF(OR(J3471=0,AND(J3471=1,K3471=1),AND(J3471=1,I3471="SBJ"),AND(J3471=1,I3471=0)),"?IN_FOCUS",IF(J3471&lt;=2,"?ACTIVATED",IF(J3471&lt;&gt;"","?FAMILIAR",IF(F3471="NEW",IF(ISNA(VLOOKUP(E3471,#REF!,1,FALSE())),"?TYPE_IDENTIFIABLE","?REFERENTIAL"),"_")))))</f>
        <v> </v>
      </c>
      <c r="H3471" s="24" t="str">
        <f>IF(J3471&lt;&gt;1,"",IF(I3471="SBJ","CB","?"))</f>
        <v> </v>
      </c>
      <c r="I3471" s="25" t="str">
        <f>IF(OR(E3471="",E3471="!!!",F3471="NEW"),"",INDEX(B3470:B$2,-1+SUMPRODUCT(MAX(ROW(E3470:E$2)*(E3471=E3470:E$2)))))</f>
        <v> </v>
      </c>
      <c r="J3471" s="25" t="str">
        <f>IF(OR(E3471="",E3471="!!!",F3471="NEW"),"",COUNTBLANK(OFFSET(A$1,,,SUMPRODUCT(MAX(ROW(E$2:E3471)*(E3471=E$2:E3471)))))-COUNTBLANK(OFFSET(A$1,,,SUMPRODUCT(MAX(ROW(E$1:E3470)*(E2=E$1:E3470))))))</f>
        <v> </v>
      </c>
      <c r="K3471" s="25" t="str">
        <f>IF(OR(E3471="",E3471="!!!",F3471="NEW"),"",INDEX(J$1:J3470,SUMPRODUCT(MAX(ROW(E$1:E3470)*(E3471=E$1:E3470)))))</f>
        <v> </v>
      </c>
      <c r="L3471" s="26"/>
    </row>
    <row r="3472" spans="1:12">
      <c r="A3472" s="20" t="s">
        <v>1127</v>
      </c>
      <c r="E3472" s="21">
        <f>IF(D3472="?OLD","!!!","")</f>
        <v/>
      </c>
      <c r="F3472" s="22" t="str">
        <f>IF(OR(E3472="",E3472="!!!"),"",IF(NOT(ISNA(VLOOKUP(E3472,E$1:E3471,1,FALSE()))),"OLD",IF(AND(E3472&lt;&gt;"",E3472&lt;&gt;"!!!"),"NEW","")))</f>
        <v> </v>
      </c>
      <c r="G3472" s="23" t="str">
        <f>IF(OR(E3472="",E3472="!!!"),"",IF(OR(J3472=0,AND(J3472=1,K3472=1),AND(J3472=1,I3472="SBJ"),AND(J3472=1,I3472=0)),"?IN_FOCUS",IF(J3472&lt;=2,"?ACTIVATED",IF(J3472&lt;&gt;"","?FAMILIAR",IF(F3472="NEW",IF(ISNA(VLOOKUP(E3472,#REF!,1,FALSE())),"?TYPE_IDENTIFIABLE","?REFERENTIAL"),"_")))))</f>
        <v> </v>
      </c>
      <c r="H3472" s="24" t="str">
        <f>IF(J3472&lt;&gt;1,"",IF(I3472="SBJ","CB","?"))</f>
        <v> </v>
      </c>
      <c r="I3472" s="25" t="str">
        <f>IF(OR(E3472="",E3472="!!!",F3472="NEW"),"",INDEX(B3471:B$2,-1+SUMPRODUCT(MAX(ROW(E3471:E$2)*(E3472=E3471:E$2)))))</f>
        <v> </v>
      </c>
      <c r="J3472" s="25" t="str">
        <f>IF(OR(E3472="",E3472="!!!",F3472="NEW"),"",COUNTBLANK(OFFSET(A$1,,,SUMPRODUCT(MAX(ROW(E$2:E3472)*(E3472=E$2:E3472)))))-COUNTBLANK(OFFSET(A$1,,,SUMPRODUCT(MAX(ROW(E$1:E3471)*(E2=E$1:E3471))))))</f>
        <v> </v>
      </c>
      <c r="K3472" s="25" t="str">
        <f>IF(OR(E3472="",E3472="!!!",F3472="NEW"),"",INDEX(J$1:J3471,SUMPRODUCT(MAX(ROW(E$1:E3471)*(E3472=E$1:E3471)))))</f>
        <v> </v>
      </c>
      <c r="L3472" s="26"/>
    </row>
    <row r="3473" spans="1:12">
      <c r="A3473" s="20" t="s">
        <v>1128</v>
      </c>
      <c r="B3473" s="27" t="s">
        <v>1116</v>
      </c>
      <c r="C3473" s="27" t="s">
        <v>1129</v>
      </c>
      <c r="D3473" s="27" t="s">
        <v>1069</v>
      </c>
      <c r="E3473" s="21">
        <f>IF(D3473="?OLD","!!!","")</f>
        <v/>
      </c>
      <c r="F3473" s="22" t="str">
        <f>IF(OR(E3473="",E3473="!!!"),"",IF(NOT(ISNA(VLOOKUP(E3473,E$1:E3472,1,FALSE()))),"OLD",IF(AND(E3473&lt;&gt;"",E3473&lt;&gt;"!!!"),"NEW","")))</f>
        <v> </v>
      </c>
      <c r="G3473" s="23" t="str">
        <f>IF(OR(E3473="",E3473="!!!"),"",IF(OR(J3473=0,AND(J3473=1,K3473=1),AND(J3473=1,I3473="SBJ"),AND(J3473=1,I3473=0)),"?IN_FOCUS",IF(J3473&lt;=2,"?ACTIVATED",IF(J3473&lt;&gt;"","?FAMILIAR",IF(F3473="NEW",IF(ISNA(VLOOKUP(E3473,#REF!,1,FALSE())),"?TYPE_IDENTIFIABLE","?REFERENTIAL"),"_")))))</f>
        <v> </v>
      </c>
      <c r="H3473" s="24" t="str">
        <f>IF(J3473&lt;&gt;1,"",IF(I3473="SBJ","CB","?"))</f>
        <v> </v>
      </c>
      <c r="I3473" s="25" t="str">
        <f>IF(OR(E3473="",E3473="!!!",F3473="NEW"),"",INDEX(B3472:B$2,-1+SUMPRODUCT(MAX(ROW(E3472:E$2)*(E3473=E3472:E$2)))))</f>
        <v> </v>
      </c>
      <c r="J3473" s="25" t="str">
        <f>IF(OR(E3473="",E3473="!!!",F3473="NEW"),"",COUNTBLANK(OFFSET(A$1,,,SUMPRODUCT(MAX(ROW(E$2:E3473)*(E3473=E$2:E3473)))))-COUNTBLANK(OFFSET(A$1,,,SUMPRODUCT(MAX(ROW(E$1:E3472)*(E2=E$1:E3472))))))</f>
        <v> </v>
      </c>
      <c r="K3473" s="25" t="str">
        <f>IF(OR(E3473="",E3473="!!!",F3473="NEW"),"",INDEX(J$1:J3472,SUMPRODUCT(MAX(ROW(E$1:E3472)*(E3473=E$1:E3472)))))</f>
        <v> </v>
      </c>
      <c r="L3473" s="26"/>
    </row>
    <row r="3474" spans="1:12">
      <c r="A3474" s="20" t="s">
        <v>2191</v>
      </c>
      <c r="E3474" s="21">
        <f>IF(D3474="?OLD","!!!","")</f>
        <v/>
      </c>
      <c r="F3474" s="22" t="str">
        <f>IF(OR(E3474="",E3474="!!!"),"",IF(NOT(ISNA(VLOOKUP(E3474,E$1:E3473,1,FALSE()))),"OLD",IF(AND(E3474&lt;&gt;"",E3474&lt;&gt;"!!!"),"NEW","")))</f>
        <v> </v>
      </c>
      <c r="G3474" s="23" t="str">
        <f>IF(OR(E3474="",E3474="!!!"),"",IF(OR(J3474=0,AND(J3474=1,K3474=1),AND(J3474=1,I3474="SBJ"),AND(J3474=1,I3474=0)),"?IN_FOCUS",IF(J3474&lt;=2,"?ACTIVATED",IF(J3474&lt;&gt;"","?FAMILIAR",IF(F3474="NEW",IF(ISNA(VLOOKUP(E3474,#REF!,1,FALSE())),"?TYPE_IDENTIFIABLE","?REFERENTIAL"),"_")))))</f>
        <v> </v>
      </c>
      <c r="H3474" s="24" t="str">
        <f>IF(J3474&lt;&gt;1,"",IF(I3474="SBJ","CB","?"))</f>
        <v> </v>
      </c>
      <c r="I3474" s="25" t="str">
        <f>IF(OR(E3474="",E3474="!!!",F3474="NEW"),"",INDEX(B3473:B$2,-1+SUMPRODUCT(MAX(ROW(E3473:E$2)*(E3474=E3473:E$2)))))</f>
        <v> </v>
      </c>
      <c r="J3474" s="25" t="str">
        <f>IF(OR(E3474="",E3474="!!!",F3474="NEW"),"",COUNTBLANK(OFFSET(A$1,,,SUMPRODUCT(MAX(ROW(E$2:E3474)*(E3474=E$2:E3474)))))-COUNTBLANK(OFFSET(A$1,,,SUMPRODUCT(MAX(ROW(E$1:E3473)*(E2=E$1:E3473))))))</f>
        <v> </v>
      </c>
      <c r="K3474" s="25" t="str">
        <f>IF(OR(E3474="",E3474="!!!",F3474="NEW"),"",INDEX(J$1:J3473,SUMPRODUCT(MAX(ROW(E$1:E3473)*(E3474=E$1:E3473)))))</f>
        <v> </v>
      </c>
      <c r="L3474" s="26"/>
    </row>
    <row r="3475" spans="1:12">
      <c r="A3475" s="20" t="s">
        <v>1867</v>
      </c>
      <c r="B3475" s="27" t="s">
        <v>1141</v>
      </c>
      <c r="C3475" s="27" t="s">
        <v>1131</v>
      </c>
      <c r="D3475" s="27" t="s">
        <v>1069</v>
      </c>
      <c r="E3475" s="21">
        <f>IF(D3475="?OLD","!!!","")</f>
        <v/>
      </c>
      <c r="F3475" s="22" t="str">
        <f>IF(OR(E3475="",E3475="!!!"),"",IF(NOT(ISNA(VLOOKUP(E3475,E$1:E3474,1,FALSE()))),"OLD",IF(AND(E3475&lt;&gt;"",E3475&lt;&gt;"!!!"),"NEW","")))</f>
        <v> </v>
      </c>
      <c r="G3475" s="23" t="str">
        <f>IF(OR(E3475="",E3475="!!!"),"",IF(OR(J3475=0,AND(J3475=1,K3475=1),AND(J3475=1,I3475="SBJ"),AND(J3475=1,I3475=0)),"?IN_FOCUS",IF(J3475&lt;=2,"?ACTIVATED",IF(J3475&lt;&gt;"","?FAMILIAR",IF(F3475="NEW",IF(ISNA(VLOOKUP(E3475,#REF!,1,FALSE())),"?TYPE_IDENTIFIABLE","?REFERENTIAL"),"_")))))</f>
        <v> </v>
      </c>
      <c r="H3475" s="24" t="str">
        <f>IF(J3475&lt;&gt;1,"",IF(I3475="SBJ","CB","?"))</f>
        <v> </v>
      </c>
      <c r="I3475" s="25" t="str">
        <f>IF(OR(E3475="",E3475="!!!",F3475="NEW"),"",INDEX(B3474:B$2,-1+SUMPRODUCT(MAX(ROW(E3474:E$2)*(E3475=E3474:E$2)))))</f>
        <v> </v>
      </c>
      <c r="J3475" s="25" t="str">
        <f>IF(OR(E3475="",E3475="!!!",F3475="NEW"),"",COUNTBLANK(OFFSET(A$1,,,SUMPRODUCT(MAX(ROW(E$2:E3475)*(E3475=E$2:E3475)))))-COUNTBLANK(OFFSET(A$1,,,SUMPRODUCT(MAX(ROW(E$1:E3474)*(E2=E$1:E3474))))))</f>
        <v> </v>
      </c>
      <c r="K3475" s="25" t="str">
        <f>IF(OR(E3475="",E3475="!!!",F3475="NEW"),"",INDEX(J$1:J3474,SUMPRODUCT(MAX(ROW(E$1:E3474)*(E3475=E$1:E3474)))))</f>
        <v> </v>
      </c>
      <c r="L3475" s="26"/>
    </row>
    <row r="3476" spans="1:12">
      <c r="A3476" s="20" t="s">
        <v>2192</v>
      </c>
      <c r="E3476" s="21">
        <f>IF(D3476="?OLD","!!!","")</f>
        <v/>
      </c>
      <c r="F3476" s="22" t="str">
        <f>IF(OR(E3476="",E3476="!!!"),"",IF(NOT(ISNA(VLOOKUP(E3476,E$1:E3475,1,FALSE()))),"OLD",IF(AND(E3476&lt;&gt;"",E3476&lt;&gt;"!!!"),"NEW","")))</f>
        <v> </v>
      </c>
      <c r="G3476" s="23" t="str">
        <f>IF(OR(E3476="",E3476="!!!"),"",IF(OR(J3476=0,AND(J3476=1,K3476=1),AND(J3476=1,I3476="SBJ"),AND(J3476=1,I3476=0)),"?IN_FOCUS",IF(J3476&lt;=2,"?ACTIVATED",IF(J3476&lt;&gt;"","?FAMILIAR",IF(F3476="NEW",IF(ISNA(VLOOKUP(E3476,#REF!,1,FALSE())),"?TYPE_IDENTIFIABLE","?REFERENTIAL"),"_")))))</f>
        <v> </v>
      </c>
      <c r="H3476" s="24" t="str">
        <f>IF(J3476&lt;&gt;1,"",IF(I3476="SBJ","CB","?"))</f>
        <v> </v>
      </c>
      <c r="I3476" s="25" t="str">
        <f>IF(OR(E3476="",E3476="!!!",F3476="NEW"),"",INDEX(B3475:B$2,-1+SUMPRODUCT(MAX(ROW(E3475:E$2)*(E3476=E3475:E$2)))))</f>
        <v> </v>
      </c>
      <c r="J3476" s="25" t="str">
        <f>IF(OR(E3476="",E3476="!!!",F3476="NEW"),"",COUNTBLANK(OFFSET(A$1,,,SUMPRODUCT(MAX(ROW(E$2:E3476)*(E3476=E$2:E3476)))))-COUNTBLANK(OFFSET(A$1,,,SUMPRODUCT(MAX(ROW(E$1:E3475)*(E2=E$1:E3475))))))</f>
        <v> </v>
      </c>
      <c r="K3476" s="25" t="str">
        <f>IF(OR(E3476="",E3476="!!!",F3476="NEW"),"",INDEX(J$1:J3475,SUMPRODUCT(MAX(ROW(E$1:E3475)*(E3476=E$1:E3475)))))</f>
        <v> </v>
      </c>
      <c r="L3476" s="26"/>
    </row>
    <row r="3477" spans="1:12">
      <c r="A3477" s="20" t="s">
        <v>46</v>
      </c>
      <c r="E3477" s="21">
        <f>IF(D3477="?OLD","!!!","")</f>
        <v/>
      </c>
      <c r="F3477" s="22" t="str">
        <f>IF(OR(E3477="",E3477="!!!"),"",IF(NOT(ISNA(VLOOKUP(E3477,E$1:E3476,1,FALSE()))),"OLD",IF(AND(E3477&lt;&gt;"",E3477&lt;&gt;"!!!"),"NEW","")))</f>
        <v> </v>
      </c>
      <c r="G3477" s="23" t="str">
        <f>IF(OR(E3477="",E3477="!!!"),"",IF(OR(J3477=0,AND(J3477=1,K3477=1),AND(J3477=1,I3477="SBJ"),AND(J3477=1,I3477=0)),"?IN_FOCUS",IF(J3477&lt;=2,"?ACTIVATED",IF(J3477&lt;&gt;"","?FAMILIAR",IF(F3477="NEW",IF(ISNA(VLOOKUP(E3477,#REF!,1,FALSE())),"?TYPE_IDENTIFIABLE","?REFERENTIAL"),"_")))))</f>
        <v> </v>
      </c>
      <c r="H3477" s="24" t="str">
        <f>IF(J3477&lt;&gt;1,"",IF(I3477="SBJ","CB","?"))</f>
        <v> </v>
      </c>
      <c r="I3477" s="25" t="str">
        <f>IF(OR(E3477="",E3477="!!!",F3477="NEW"),"",INDEX(B3476:B$2,-1+SUMPRODUCT(MAX(ROW(E3476:E$2)*(E3477=E3476:E$2)))))</f>
        <v> </v>
      </c>
      <c r="J3477" s="25" t="str">
        <f>IF(OR(E3477="",E3477="!!!",F3477="NEW"),"",COUNTBLANK(OFFSET(A$1,,,SUMPRODUCT(MAX(ROW(E$2:E3477)*(E3477=E$2:E3477)))))-COUNTBLANK(OFFSET(A$1,,,SUMPRODUCT(MAX(ROW(E$1:E3476)*(E2=E$1:E3476))))))</f>
        <v> </v>
      </c>
      <c r="K3477" s="25" t="str">
        <f>IF(OR(E3477="",E3477="!!!",F3477="NEW"),"",INDEX(J$1:J3476,SUMPRODUCT(MAX(ROW(E$1:E3476)*(E3477=E$1:E3476)))))</f>
        <v> </v>
      </c>
      <c r="L3477" s="26"/>
    </row>
    <row r="3478" spans="1:12">
      <c r="A3478" s="20" t="s">
        <v>1080</v>
      </c>
      <c r="E3478" s="21">
        <f>IF(D3478="?OLD","!!!","")</f>
        <v/>
      </c>
      <c r="F3478" s="22" t="str">
        <f>IF(OR(E3478="",E3478="!!!"),"",IF(NOT(ISNA(VLOOKUP(E3478,E$1:E3477,1,FALSE()))),"OLD",IF(AND(E3478&lt;&gt;"",E3478&lt;&gt;"!!!"),"NEW","")))</f>
        <v> </v>
      </c>
      <c r="G3478" s="23" t="str">
        <f>IF(OR(E3478="",E3478="!!!"),"",IF(OR(J3478=0,AND(J3478=1,K3478=1),AND(J3478=1,I3478="SBJ"),AND(J3478=1,I3478=0)),"?IN_FOCUS",IF(J3478&lt;=2,"?ACTIVATED",IF(J3478&lt;&gt;"","?FAMILIAR",IF(F3478="NEW",IF(ISNA(VLOOKUP(E3478,#REF!,1,FALSE())),"?TYPE_IDENTIFIABLE","?REFERENTIAL"),"_")))))</f>
        <v> </v>
      </c>
      <c r="H3478" s="24" t="str">
        <f>IF(J3478&lt;&gt;1,"",IF(I3478="SBJ","CB","?"))</f>
        <v> </v>
      </c>
      <c r="I3478" s="25" t="str">
        <f>IF(OR(E3478="",E3478="!!!",F3478="NEW"),"",INDEX(B3477:B$2,-1+SUMPRODUCT(MAX(ROW(E3477:E$2)*(E3478=E3477:E$2)))))</f>
        <v> </v>
      </c>
      <c r="J3478" s="25" t="str">
        <f>IF(OR(E3478="",E3478="!!!",F3478="NEW"),"",COUNTBLANK(OFFSET(A$1,,,SUMPRODUCT(MAX(ROW(E$2:E3478)*(E3478=E$2:E3478)))))-COUNTBLANK(OFFSET(A$1,,,SUMPRODUCT(MAX(ROW(E$1:E3477)*(E2=E$1:E3477))))))</f>
        <v> </v>
      </c>
      <c r="K3478" s="25" t="str">
        <f>IF(OR(E3478="",E3478="!!!",F3478="NEW"),"",INDEX(J$1:J3477,SUMPRODUCT(MAX(ROW(E$1:E3477)*(E3478=E$1:E3477)))))</f>
        <v> </v>
      </c>
      <c r="L3478" s="26"/>
    </row>
    <row r="3479" spans="1:12">
      <c r="A3479" s="20"/>
    </row>
    <row r="3480" spans="1:12">
      <c r="A3480" s="20" t="s">
        <v>2193</v>
      </c>
    </row>
    <row r="3481" spans="1:12">
      <c r="A3481" s="20" t="s">
        <v>1241</v>
      </c>
      <c r="B3481" s="27" t="s">
        <v>1067</v>
      </c>
      <c r="C3481" s="27" t="s">
        <v>1110</v>
      </c>
      <c r="D3481" s="27" t="s">
        <v>1069</v>
      </c>
      <c r="E3481" s="21">
        <f>IF(D3481="?OLD","!!!","")</f>
        <v/>
      </c>
      <c r="F3481" s="22" t="str">
        <f>IF(OR(E3481="",E3481="!!!"),"",IF(NOT(ISNA(VLOOKUP(E3481,E$1:E3480,1,FALSE()))),"OLD",IF(AND(E3481&lt;&gt;"",E3481&lt;&gt;"!!!"),"NEW","")))</f>
        <v> </v>
      </c>
      <c r="G3481" s="23" t="str">
        <f>IF(OR(E3481="",E3481="!!!"),"",IF(OR(J3481=0,AND(J3481=1,K3481=1),AND(J3481=1,I3481="SBJ"),AND(J3481=1,I3481=0)),"?IN_FOCUS",IF(J3481&lt;=2,"?ACTIVATED",IF(J3481&lt;&gt;"","?FAMILIAR",IF(F3481="NEW",IF(ISNA(VLOOKUP(E3481,#REF!,1,FALSE())),"?TYPE_IDENTIFIABLE","?REFERENTIAL"),"_")))))</f>
        <v> </v>
      </c>
      <c r="H3481" s="24" t="str">
        <f>IF(J3481&lt;&gt;1,"",IF(I3481="SBJ","CB","?"))</f>
        <v> </v>
      </c>
      <c r="I3481" s="25" t="str">
        <f>IF(OR(E3481="",E3481="!!!",F3481="NEW"),"",INDEX(B3480:B$2,-1+SUMPRODUCT(MAX(ROW(E3480:E$2)*(E3481=E3480:E$2)))))</f>
        <v> </v>
      </c>
      <c r="J3481" s="25" t="str">
        <f>IF(OR(E3481="",E3481="!!!",F3481="NEW"),"",COUNTBLANK(OFFSET(A$1,,,SUMPRODUCT(MAX(ROW(E$2:E3481)*(E3481=E$2:E3481)))))-COUNTBLANK(OFFSET(A$1,,,SUMPRODUCT(MAX(ROW(E$1:E3480)*(E2=E$1:E3480))))))</f>
        <v> </v>
      </c>
      <c r="K3481" s="25" t="str">
        <f>IF(OR(E3481="",E3481="!!!",F3481="NEW"),"",INDEX(J$1:J3480,SUMPRODUCT(MAX(ROW(E$1:E3480)*(E3481=E$1:E3480)))))</f>
        <v> </v>
      </c>
      <c r="L3481" s="26"/>
    </row>
    <row r="3482" spans="1:12">
      <c r="A3482" s="20" t="s">
        <v>282</v>
      </c>
      <c r="E3482" s="21">
        <f>IF(D3482="?OLD","!!!","")</f>
        <v/>
      </c>
      <c r="F3482" s="22" t="str">
        <f>IF(OR(E3482="",E3482="!!!"),"",IF(NOT(ISNA(VLOOKUP(E3482,E$1:E3481,1,FALSE()))),"OLD",IF(AND(E3482&lt;&gt;"",E3482&lt;&gt;"!!!"),"NEW","")))</f>
        <v> </v>
      </c>
      <c r="G3482" s="23" t="str">
        <f>IF(OR(E3482="",E3482="!!!"),"",IF(OR(J3482=0,AND(J3482=1,K3482=1),AND(J3482=1,I3482="SBJ"),AND(J3482=1,I3482=0)),"?IN_FOCUS",IF(J3482&lt;=2,"?ACTIVATED",IF(J3482&lt;&gt;"","?FAMILIAR",IF(F3482="NEW",IF(ISNA(VLOOKUP(E3482,#REF!,1,FALSE())),"?TYPE_IDENTIFIABLE","?REFERENTIAL"),"_")))))</f>
        <v> </v>
      </c>
      <c r="H3482" s="24" t="str">
        <f>IF(J3482&lt;&gt;1,"",IF(I3482="SBJ","CB","?"))</f>
        <v> </v>
      </c>
      <c r="I3482" s="25" t="str">
        <f>IF(OR(E3482="",E3482="!!!",F3482="NEW"),"",INDEX(B3481:B$2,-1+SUMPRODUCT(MAX(ROW(E3481:E$2)*(E3482=E3481:E$2)))))</f>
        <v> </v>
      </c>
      <c r="J3482" s="25" t="str">
        <f>IF(OR(E3482="",E3482="!!!",F3482="NEW"),"",COUNTBLANK(OFFSET(A$1,,,SUMPRODUCT(MAX(ROW(E$2:E3482)*(E3482=E$2:E3482)))))-COUNTBLANK(OFFSET(A$1,,,SUMPRODUCT(MAX(ROW(E$1:E3481)*(E2=E$1:E3481))))))</f>
        <v> </v>
      </c>
      <c r="K3482" s="25" t="str">
        <f>IF(OR(E3482="",E3482="!!!",F3482="NEW"),"",INDEX(J$1:J3481,SUMPRODUCT(MAX(ROW(E$1:E3481)*(E3482=E$1:E3481)))))</f>
        <v> </v>
      </c>
      <c r="L3482" s="26"/>
    </row>
    <row r="3483" spans="1:12">
      <c r="A3483" s="20" t="s">
        <v>2194</v>
      </c>
      <c r="B3483" s="27" t="s">
        <v>1160</v>
      </c>
      <c r="C3483" s="27" t="s">
        <v>1077</v>
      </c>
      <c r="E3483" s="21">
        <f>IF(D3483="?OLD","!!!","")</f>
        <v/>
      </c>
      <c r="F3483" s="22" t="str">
        <f>IF(OR(E3483="",E3483="!!!"),"",IF(NOT(ISNA(VLOOKUP(E3483,E$1:E3482,1,FALSE()))),"OLD",IF(AND(E3483&lt;&gt;"",E3483&lt;&gt;"!!!"),"NEW","")))</f>
        <v> </v>
      </c>
      <c r="G3483" s="23" t="str">
        <f>IF(OR(E3483="",E3483="!!!"),"",IF(OR(J3483=0,AND(J3483=1,K3483=1),AND(J3483=1,I3483="SBJ"),AND(J3483=1,I3483=0)),"?IN_FOCUS",IF(J3483&lt;=2,"?ACTIVATED",IF(J3483&lt;&gt;"","?FAMILIAR",IF(F3483="NEW",IF(ISNA(VLOOKUP(E3483,#REF!,1,FALSE())),"?TYPE_IDENTIFIABLE","?REFERENTIAL"),"_")))))</f>
        <v> </v>
      </c>
      <c r="H3483" s="24" t="str">
        <f>IF(J3483&lt;&gt;1,"",IF(I3483="SBJ","CB","?"))</f>
        <v> </v>
      </c>
      <c r="I3483" s="25" t="str">
        <f>IF(OR(E3483="",E3483="!!!",F3483="NEW"),"",INDEX(B3482:B$2,-1+SUMPRODUCT(MAX(ROW(E3482:E$2)*(E3483=E3482:E$2)))))</f>
        <v> </v>
      </c>
      <c r="J3483" s="25" t="str">
        <f>IF(OR(E3483="",E3483="!!!",F3483="NEW"),"",COUNTBLANK(OFFSET(A$1,,,SUMPRODUCT(MAX(ROW(E$2:E3483)*(E3483=E$2:E3483)))))-COUNTBLANK(OFFSET(A$1,,,SUMPRODUCT(MAX(ROW(E$1:E3482)*(E2=E$1:E3482))))))</f>
        <v> </v>
      </c>
      <c r="K3483" s="25" t="str">
        <f>IF(OR(E3483="",E3483="!!!",F3483="NEW"),"",INDEX(J$1:J3482,SUMPRODUCT(MAX(ROW(E$1:E3482)*(E3483=E$1:E3482)))))</f>
        <v> </v>
      </c>
      <c r="L3483" s="26"/>
    </row>
    <row r="3484" spans="1:12">
      <c r="A3484" s="20" t="s">
        <v>1087</v>
      </c>
      <c r="E3484" s="21">
        <f>IF(D3484="?OLD","!!!","")</f>
        <v/>
      </c>
      <c r="F3484" s="22" t="str">
        <f>IF(OR(E3484="",E3484="!!!"),"",IF(NOT(ISNA(VLOOKUP(E3484,E$1:E3483,1,FALSE()))),"OLD",IF(AND(E3484&lt;&gt;"",E3484&lt;&gt;"!!!"),"NEW","")))</f>
        <v> </v>
      </c>
      <c r="G3484" s="23" t="str">
        <f>IF(OR(E3484="",E3484="!!!"),"",IF(OR(J3484=0,AND(J3484=1,K3484=1),AND(J3484=1,I3484="SBJ"),AND(J3484=1,I3484=0)),"?IN_FOCUS",IF(J3484&lt;=2,"?ACTIVATED",IF(J3484&lt;&gt;"","?FAMILIAR",IF(F3484="NEW",IF(ISNA(VLOOKUP(E3484,#REF!,1,FALSE())),"?TYPE_IDENTIFIABLE","?REFERENTIAL"),"_")))))</f>
        <v> </v>
      </c>
      <c r="H3484" s="24" t="str">
        <f>IF(J3484&lt;&gt;1,"",IF(I3484="SBJ","CB","?"))</f>
        <v> </v>
      </c>
      <c r="I3484" s="25" t="str">
        <f>IF(OR(E3484="",E3484="!!!",F3484="NEW"),"",INDEX(B3483:B$2,-1+SUMPRODUCT(MAX(ROW(E3483:E$2)*(E3484=E3483:E$2)))))</f>
        <v> </v>
      </c>
      <c r="J3484" s="25" t="str">
        <f>IF(OR(E3484="",E3484="!!!",F3484="NEW"),"",COUNTBLANK(OFFSET(A$1,,,SUMPRODUCT(MAX(ROW(E$2:E3484)*(E3484=E$2:E3484)))))-COUNTBLANK(OFFSET(A$1,,,SUMPRODUCT(MAX(ROW(E$1:E3483)*(E2=E$1:E3483))))))</f>
        <v> </v>
      </c>
      <c r="K3484" s="25" t="str">
        <f>IF(OR(E3484="",E3484="!!!",F3484="NEW"),"",INDEX(J$1:J3483,SUMPRODUCT(MAX(ROW(E$1:E3483)*(E3484=E$1:E3483)))))</f>
        <v> </v>
      </c>
      <c r="L3484" s="26"/>
    </row>
    <row r="3485" spans="1:12">
      <c r="A3485" s="20" t="s">
        <v>1256</v>
      </c>
      <c r="B3485" s="27" t="s">
        <v>1092</v>
      </c>
      <c r="C3485" s="27" t="s">
        <v>1134</v>
      </c>
      <c r="D3485" s="27" t="s">
        <v>1069</v>
      </c>
      <c r="E3485" s="21">
        <f>IF(D3485="?OLD","!!!","")</f>
        <v/>
      </c>
      <c r="F3485" s="22" t="str">
        <f>IF(OR(E3485="",E3485="!!!"),"",IF(NOT(ISNA(VLOOKUP(E3485,E$1:E3484,1,FALSE()))),"OLD",IF(AND(E3485&lt;&gt;"",E3485&lt;&gt;"!!!"),"NEW","")))</f>
        <v> </v>
      </c>
      <c r="G3485" s="23" t="str">
        <f>IF(OR(E3485="",E3485="!!!"),"",IF(OR(J3485=0,AND(J3485=1,K3485=1),AND(J3485=1,I3485="SBJ"),AND(J3485=1,I3485=0)),"?IN_FOCUS",IF(J3485&lt;=2,"?ACTIVATED",IF(J3485&lt;&gt;"","?FAMILIAR",IF(F3485="NEW",IF(ISNA(VLOOKUP(E3485,#REF!,1,FALSE())),"?TYPE_IDENTIFIABLE","?REFERENTIAL"),"_")))))</f>
        <v> </v>
      </c>
      <c r="H3485" s="24" t="str">
        <f>IF(J3485&lt;&gt;1,"",IF(I3485="SBJ","CB","?"))</f>
        <v> </v>
      </c>
      <c r="I3485" s="25" t="str">
        <f>IF(OR(E3485="",E3485="!!!",F3485="NEW"),"",INDEX(B3484:B$2,-1+SUMPRODUCT(MAX(ROW(E3484:E$2)*(E3485=E3484:E$2)))))</f>
        <v> </v>
      </c>
      <c r="J3485" s="25" t="str">
        <f>IF(OR(E3485="",E3485="!!!",F3485="NEW"),"",COUNTBLANK(OFFSET(A$1,,,SUMPRODUCT(MAX(ROW(E$2:E3485)*(E3485=E$2:E3485)))))-COUNTBLANK(OFFSET(A$1,,,SUMPRODUCT(MAX(ROW(E$1:E3484)*(E2=E$1:E3484))))))</f>
        <v> </v>
      </c>
      <c r="K3485" s="25" t="str">
        <f>IF(OR(E3485="",E3485="!!!",F3485="NEW"),"",INDEX(J$1:J3484,SUMPRODUCT(MAX(ROW(E$1:E3484)*(E3485=E$1:E3484)))))</f>
        <v> </v>
      </c>
      <c r="L3485" s="26"/>
    </row>
    <row r="3486" spans="1:12">
      <c r="A3486" s="20" t="s">
        <v>2195</v>
      </c>
      <c r="B3486" s="27" t="s">
        <v>1071</v>
      </c>
      <c r="C3486" s="27" t="s">
        <v>1077</v>
      </c>
      <c r="E3486" s="21">
        <f>IF(D3486="?OLD","!!!","")</f>
        <v/>
      </c>
      <c r="F3486" s="22" t="str">
        <f>IF(OR(E3486="",E3486="!!!"),"",IF(NOT(ISNA(VLOOKUP(E3486,E$1:E3485,1,FALSE()))),"OLD",IF(AND(E3486&lt;&gt;"",E3486&lt;&gt;"!!!"),"NEW","")))</f>
        <v> </v>
      </c>
      <c r="G3486" s="23" t="str">
        <f>IF(OR(E3486="",E3486="!!!"),"",IF(OR(J3486=0,AND(J3486=1,K3486=1),AND(J3486=1,I3486="SBJ"),AND(J3486=1,I3486=0)),"?IN_FOCUS",IF(J3486&lt;=2,"?ACTIVATED",IF(J3486&lt;&gt;"","?FAMILIAR",IF(F3486="NEW",IF(ISNA(VLOOKUP(E3486,#REF!,1,FALSE())),"?TYPE_IDENTIFIABLE","?REFERENTIAL"),"_")))))</f>
        <v> </v>
      </c>
      <c r="H3486" s="24" t="str">
        <f>IF(J3486&lt;&gt;1,"",IF(I3486="SBJ","CB","?"))</f>
        <v> </v>
      </c>
      <c r="I3486" s="25" t="str">
        <f>IF(OR(E3486="",E3486="!!!",F3486="NEW"),"",INDEX(B3485:B$2,-1+SUMPRODUCT(MAX(ROW(E3485:E$2)*(E3486=E3485:E$2)))))</f>
        <v> </v>
      </c>
      <c r="J3486" s="25" t="str">
        <f>IF(OR(E3486="",E3486="!!!",F3486="NEW"),"",COUNTBLANK(OFFSET(A$1,,,SUMPRODUCT(MAX(ROW(E$2:E3486)*(E3486=E$2:E3486)))))-COUNTBLANK(OFFSET(A$1,,,SUMPRODUCT(MAX(ROW(E$1:E3485)*(E2=E$1:E3485))))))</f>
        <v> </v>
      </c>
      <c r="K3486" s="25" t="str">
        <f>IF(OR(E3486="",E3486="!!!",F3486="NEW"),"",INDEX(J$1:J3485,SUMPRODUCT(MAX(ROW(E$1:E3485)*(E3486=E$1:E3485)))))</f>
        <v> </v>
      </c>
      <c r="L3486" s="26"/>
    </row>
    <row r="3487" spans="1:12">
      <c r="A3487" s="20" t="s">
        <v>1087</v>
      </c>
      <c r="E3487" s="21">
        <f>IF(D3487="?OLD","!!!","")</f>
        <v/>
      </c>
      <c r="F3487" s="22" t="str">
        <f>IF(OR(E3487="",E3487="!!!"),"",IF(NOT(ISNA(VLOOKUP(E3487,E$1:E3486,1,FALSE()))),"OLD",IF(AND(E3487&lt;&gt;"",E3487&lt;&gt;"!!!"),"NEW","")))</f>
        <v> </v>
      </c>
      <c r="G3487" s="23" t="str">
        <f>IF(OR(E3487="",E3487="!!!"),"",IF(OR(J3487=0,AND(J3487=1,K3487=1),AND(J3487=1,I3487="SBJ"),AND(J3487=1,I3487=0)),"?IN_FOCUS",IF(J3487&lt;=2,"?ACTIVATED",IF(J3487&lt;&gt;"","?FAMILIAR",IF(F3487="NEW",IF(ISNA(VLOOKUP(E3487,#REF!,1,FALSE())),"?TYPE_IDENTIFIABLE","?REFERENTIAL"),"_")))))</f>
        <v> </v>
      </c>
      <c r="H3487" s="24" t="str">
        <f>IF(J3487&lt;&gt;1,"",IF(I3487="SBJ","CB","?"))</f>
        <v> </v>
      </c>
      <c r="I3487" s="25" t="str">
        <f>IF(OR(E3487="",E3487="!!!",F3487="NEW"),"",INDEX(B3486:B$2,-1+SUMPRODUCT(MAX(ROW(E3486:E$2)*(E3487=E3486:E$2)))))</f>
        <v> </v>
      </c>
      <c r="J3487" s="25" t="str">
        <f>IF(OR(E3487="",E3487="!!!",F3487="NEW"),"",COUNTBLANK(OFFSET(A$1,,,SUMPRODUCT(MAX(ROW(E$2:E3487)*(E3487=E$2:E3487)))))-COUNTBLANK(OFFSET(A$1,,,SUMPRODUCT(MAX(ROW(E$1:E3486)*(E2=E$1:E3486))))))</f>
        <v> </v>
      </c>
      <c r="K3487" s="25" t="str">
        <f>IF(OR(E3487="",E3487="!!!",F3487="NEW"),"",INDEX(J$1:J3486,SUMPRODUCT(MAX(ROW(E$1:E3486)*(E3487=E$1:E3486)))))</f>
        <v> </v>
      </c>
      <c r="L3487" s="26"/>
    </row>
    <row r="3488" spans="1:12">
      <c r="A3488" s="20" t="s">
        <v>2196</v>
      </c>
      <c r="B3488" s="27" t="s">
        <v>1071</v>
      </c>
      <c r="C3488" s="27" t="s">
        <v>1134</v>
      </c>
      <c r="D3488" s="27" t="s">
        <v>1069</v>
      </c>
      <c r="E3488" s="21">
        <f>IF(D3488="?OLD","!!!","")</f>
        <v/>
      </c>
      <c r="F3488" s="22" t="str">
        <f>IF(OR(E3488="",E3488="!!!"),"",IF(NOT(ISNA(VLOOKUP(E3488,E$1:E3487,1,FALSE()))),"OLD",IF(AND(E3488&lt;&gt;"",E3488&lt;&gt;"!!!"),"NEW","")))</f>
        <v> </v>
      </c>
      <c r="G3488" s="23" t="str">
        <f>IF(OR(E3488="",E3488="!!!"),"",IF(OR(J3488=0,AND(J3488=1,K3488=1),AND(J3488=1,I3488="SBJ"),AND(J3488=1,I3488=0)),"?IN_FOCUS",IF(J3488&lt;=2,"?ACTIVATED",IF(J3488&lt;&gt;"","?FAMILIAR",IF(F3488="NEW",IF(ISNA(VLOOKUP(E3488,#REF!,1,FALSE())),"?TYPE_IDENTIFIABLE","?REFERENTIAL"),"_")))))</f>
        <v> </v>
      </c>
      <c r="H3488" s="24" t="str">
        <f>IF(J3488&lt;&gt;1,"",IF(I3488="SBJ","CB","?"))</f>
        <v> </v>
      </c>
      <c r="I3488" s="25" t="str">
        <f>IF(OR(E3488="",E3488="!!!",F3488="NEW"),"",INDEX(B3487:B$2,-1+SUMPRODUCT(MAX(ROW(E3487:E$2)*(E3488=E3487:E$2)))))</f>
        <v> </v>
      </c>
      <c r="J3488" s="25" t="str">
        <f>IF(OR(E3488="",E3488="!!!",F3488="NEW"),"",COUNTBLANK(OFFSET(A$1,,,SUMPRODUCT(MAX(ROW(E$2:E3488)*(E3488=E$2:E3488)))))-COUNTBLANK(OFFSET(A$1,,,SUMPRODUCT(MAX(ROW(E$1:E3487)*(E2=E$1:E3487))))))</f>
        <v> </v>
      </c>
      <c r="K3488" s="25" t="str">
        <f>IF(OR(E3488="",E3488="!!!",F3488="NEW"),"",INDEX(J$1:J3487,SUMPRODUCT(MAX(ROW(E$1:E3487)*(E3488=E$1:E3487)))))</f>
        <v> </v>
      </c>
      <c r="L3488" s="26"/>
    </row>
    <row r="3489" spans="1:12">
      <c r="A3489" s="20" t="s">
        <v>2197</v>
      </c>
      <c r="E3489" s="21">
        <f>IF(D3489="?OLD","!!!","")</f>
        <v/>
      </c>
      <c r="F3489" s="22" t="str">
        <f>IF(OR(E3489="",E3489="!!!"),"",IF(NOT(ISNA(VLOOKUP(E3489,E$1:E3488,1,FALSE()))),"OLD",IF(AND(E3489&lt;&gt;"",E3489&lt;&gt;"!!!"),"NEW","")))</f>
        <v> </v>
      </c>
      <c r="G3489" s="23" t="str">
        <f>IF(OR(E3489="",E3489="!!!"),"",IF(OR(J3489=0,AND(J3489=1,K3489=1),AND(J3489=1,I3489="SBJ"),AND(J3489=1,I3489=0)),"?IN_FOCUS",IF(J3489&lt;=2,"?ACTIVATED",IF(J3489&lt;&gt;"","?FAMILIAR",IF(F3489="NEW",IF(ISNA(VLOOKUP(E3489,#REF!,1,FALSE())),"?TYPE_IDENTIFIABLE","?REFERENTIAL"),"_")))))</f>
        <v> </v>
      </c>
      <c r="H3489" s="24" t="str">
        <f>IF(J3489&lt;&gt;1,"",IF(I3489="SBJ","CB","?"))</f>
        <v> </v>
      </c>
      <c r="I3489" s="25" t="str">
        <f>IF(OR(E3489="",E3489="!!!",F3489="NEW"),"",INDEX(B3488:B$2,-1+SUMPRODUCT(MAX(ROW(E3488:E$2)*(E3489=E3488:E$2)))))</f>
        <v> </v>
      </c>
      <c r="J3489" s="25" t="str">
        <f>IF(OR(E3489="",E3489="!!!",F3489="NEW"),"",COUNTBLANK(OFFSET(A$1,,,SUMPRODUCT(MAX(ROW(E$2:E3489)*(E3489=E$2:E3489)))))-COUNTBLANK(OFFSET(A$1,,,SUMPRODUCT(MAX(ROW(E$1:E3488)*(E2=E$1:E3488))))))</f>
        <v> </v>
      </c>
      <c r="K3489" s="25" t="str">
        <f>IF(OR(E3489="",E3489="!!!",F3489="NEW"),"",INDEX(J$1:J3488,SUMPRODUCT(MAX(ROW(E$1:E3488)*(E3489=E$1:E3488)))))</f>
        <v> </v>
      </c>
      <c r="L3489" s="26"/>
    </row>
    <row r="3490" spans="1:12">
      <c r="A3490" s="20" t="s">
        <v>1513</v>
      </c>
      <c r="E3490" s="21">
        <f>IF(D3490="?OLD","!!!","")</f>
        <v/>
      </c>
      <c r="F3490" s="22" t="str">
        <f>IF(OR(E3490="",E3490="!!!"),"",IF(NOT(ISNA(VLOOKUP(E3490,E$1:E3489,1,FALSE()))),"OLD",IF(AND(E3490&lt;&gt;"",E3490&lt;&gt;"!!!"),"NEW","")))</f>
        <v> </v>
      </c>
      <c r="G3490" s="23" t="str">
        <f>IF(OR(E3490="",E3490="!!!"),"",IF(OR(J3490=0,AND(J3490=1,K3490=1),AND(J3490=1,I3490="SBJ"),AND(J3490=1,I3490=0)),"?IN_FOCUS",IF(J3490&lt;=2,"?ACTIVATED",IF(J3490&lt;&gt;"","?FAMILIAR",IF(F3490="NEW",IF(ISNA(VLOOKUP(E3490,#REF!,1,FALSE())),"?TYPE_IDENTIFIABLE","?REFERENTIAL"),"_")))))</f>
        <v> </v>
      </c>
      <c r="H3490" s="24" t="str">
        <f>IF(J3490&lt;&gt;1,"",IF(I3490="SBJ","CB","?"))</f>
        <v> </v>
      </c>
      <c r="I3490" s="25" t="str">
        <f>IF(OR(E3490="",E3490="!!!",F3490="NEW"),"",INDEX(B3489:B$2,-1+SUMPRODUCT(MAX(ROW(E3489:E$2)*(E3490=E3489:E$2)))))</f>
        <v> </v>
      </c>
      <c r="J3490" s="25" t="str">
        <f>IF(OR(E3490="",E3490="!!!",F3490="NEW"),"",COUNTBLANK(OFFSET(A$1,,,SUMPRODUCT(MAX(ROW(E$2:E3490)*(E3490=E$2:E3490)))))-COUNTBLANK(OFFSET(A$1,,,SUMPRODUCT(MAX(ROW(E$1:E3489)*(E2=E$1:E3489))))))</f>
        <v> </v>
      </c>
      <c r="K3490" s="25" t="str">
        <f>IF(OR(E3490="",E3490="!!!",F3490="NEW"),"",INDEX(J$1:J3489,SUMPRODUCT(MAX(ROW(E$1:E3489)*(E3490=E$1:E3489)))))</f>
        <v> </v>
      </c>
      <c r="L3490" s="26"/>
    </row>
    <row r="3491" spans="1:12">
      <c r="A3491" s="20"/>
    </row>
    <row r="3492" spans="1:12">
      <c r="A3492" s="20" t="s">
        <v>2198</v>
      </c>
    </row>
    <row r="3493" spans="1:12">
      <c r="A3493" s="20" t="s">
        <v>2199</v>
      </c>
      <c r="B3493" s="27" t="s">
        <v>1067</v>
      </c>
      <c r="C3493" s="27" t="s">
        <v>1077</v>
      </c>
      <c r="E3493" s="21">
        <f>IF(D3493="?OLD","!!!","")</f>
        <v/>
      </c>
      <c r="F3493" s="22" t="str">
        <f>IF(OR(E3493="",E3493="!!!"),"",IF(NOT(ISNA(VLOOKUP(E3493,E$1:E3492,1,FALSE()))),"OLD",IF(AND(E3493&lt;&gt;"",E3493&lt;&gt;"!!!"),"NEW","")))</f>
        <v> </v>
      </c>
      <c r="G3493" s="23" t="str">
        <f>IF(OR(E3493="",E3493="!!!"),"",IF(OR(J3493=0,AND(J3493=1,K3493=1),AND(J3493=1,I3493="SBJ"),AND(J3493=1,I3493=0)),"?IN_FOCUS",IF(J3493&lt;=2,"?ACTIVATED",IF(J3493&lt;&gt;"","?FAMILIAR",IF(F3493="NEW",IF(ISNA(VLOOKUP(E3493,#REF!,1,FALSE())),"?TYPE_IDENTIFIABLE","?REFERENTIAL"),"_")))))</f>
        <v> </v>
      </c>
      <c r="H3493" s="24" t="str">
        <f>IF(J3493&lt;&gt;1,"",IF(I3493="SBJ","CB","?"))</f>
        <v> </v>
      </c>
      <c r="I3493" s="25" t="str">
        <f>IF(OR(E3493="",E3493="!!!",F3493="NEW"),"",INDEX(B3492:B$2,-1+SUMPRODUCT(MAX(ROW(E3492:E$2)*(E3493=E3492:E$2)))))</f>
        <v> </v>
      </c>
      <c r="J3493" s="25" t="str">
        <f>IF(OR(E3493="",E3493="!!!",F3493="NEW"),"",COUNTBLANK(OFFSET(A$1,,,SUMPRODUCT(MAX(ROW(E$2:E3493)*(E3493=E$2:E3493)))))-COUNTBLANK(OFFSET(A$1,,,SUMPRODUCT(MAX(ROW(E$1:E3492)*(E2=E$1:E3492))))))</f>
        <v> </v>
      </c>
      <c r="K3493" s="25" t="str">
        <f>IF(OR(E3493="",E3493="!!!",F3493="NEW"),"",INDEX(J$1:J3492,SUMPRODUCT(MAX(ROW(E$1:E3492)*(E3493=E$1:E3492)))))</f>
        <v> </v>
      </c>
      <c r="L3493" s="26"/>
    </row>
    <row r="3494" spans="1:12">
      <c r="A3494" s="20" t="s">
        <v>17</v>
      </c>
      <c r="E3494" s="21">
        <f>IF(D3494="?OLD","!!!","")</f>
        <v/>
      </c>
      <c r="F3494" s="22" t="str">
        <f>IF(OR(E3494="",E3494="!!!"),"",IF(NOT(ISNA(VLOOKUP(E3494,E$1:E3493,1,FALSE()))),"OLD",IF(AND(E3494&lt;&gt;"",E3494&lt;&gt;"!!!"),"NEW","")))</f>
        <v> </v>
      </c>
      <c r="G3494" s="23" t="str">
        <f>IF(OR(E3494="",E3494="!!!"),"",IF(OR(J3494=0,AND(J3494=1,K3494=1),AND(J3494=1,I3494="SBJ"),AND(J3494=1,I3494=0)),"?IN_FOCUS",IF(J3494&lt;=2,"?ACTIVATED",IF(J3494&lt;&gt;"","?FAMILIAR",IF(F3494="NEW",IF(ISNA(VLOOKUP(E3494,#REF!,1,FALSE())),"?TYPE_IDENTIFIABLE","?REFERENTIAL"),"_")))))</f>
        <v> </v>
      </c>
      <c r="H3494" s="24" t="str">
        <f>IF(J3494&lt;&gt;1,"",IF(I3494="SBJ","CB","?"))</f>
        <v> </v>
      </c>
      <c r="I3494" s="25" t="str">
        <f>IF(OR(E3494="",E3494="!!!",F3494="NEW"),"",INDEX(B3493:B$2,-1+SUMPRODUCT(MAX(ROW(E3493:E$2)*(E3494=E3493:E$2)))))</f>
        <v> </v>
      </c>
      <c r="J3494" s="25" t="str">
        <f>IF(OR(E3494="",E3494="!!!",F3494="NEW"),"",COUNTBLANK(OFFSET(A$1,,,SUMPRODUCT(MAX(ROW(E$2:E3494)*(E3494=E$2:E3494)))))-COUNTBLANK(OFFSET(A$1,,,SUMPRODUCT(MAX(ROW(E$1:E3493)*(E2=E$1:E3493))))))</f>
        <v> </v>
      </c>
      <c r="K3494" s="25" t="str">
        <f>IF(OR(E3494="",E3494="!!!",F3494="NEW"),"",INDEX(J$1:J3493,SUMPRODUCT(MAX(ROW(E$1:E3493)*(E3494=E$1:E3493)))))</f>
        <v> </v>
      </c>
      <c r="L3494" s="26"/>
    </row>
    <row r="3495" spans="1:12">
      <c r="A3495" s="20" t="s">
        <v>1087</v>
      </c>
      <c r="E3495" s="21">
        <f>IF(D3495="?OLD","!!!","")</f>
        <v/>
      </c>
      <c r="F3495" s="22" t="str">
        <f>IF(OR(E3495="",E3495="!!!"),"",IF(NOT(ISNA(VLOOKUP(E3495,E$1:E3494,1,FALSE()))),"OLD",IF(AND(E3495&lt;&gt;"",E3495&lt;&gt;"!!!"),"NEW","")))</f>
        <v> </v>
      </c>
      <c r="G3495" s="23" t="str">
        <f>IF(OR(E3495="",E3495="!!!"),"",IF(OR(J3495=0,AND(J3495=1,K3495=1),AND(J3495=1,I3495="SBJ"),AND(J3495=1,I3495=0)),"?IN_FOCUS",IF(J3495&lt;=2,"?ACTIVATED",IF(J3495&lt;&gt;"","?FAMILIAR",IF(F3495="NEW",IF(ISNA(VLOOKUP(E3495,#REF!,1,FALSE())),"?TYPE_IDENTIFIABLE","?REFERENTIAL"),"_")))))</f>
        <v> </v>
      </c>
      <c r="H3495" s="24" t="str">
        <f>IF(J3495&lt;&gt;1,"",IF(I3495="SBJ","CB","?"))</f>
        <v> </v>
      </c>
      <c r="I3495" s="25" t="str">
        <f>IF(OR(E3495="",E3495="!!!",F3495="NEW"),"",INDEX(B3494:B$2,-1+SUMPRODUCT(MAX(ROW(E3494:E$2)*(E3495=E3494:E$2)))))</f>
        <v> </v>
      </c>
      <c r="J3495" s="25" t="str">
        <f>IF(OR(E3495="",E3495="!!!",F3495="NEW"),"",COUNTBLANK(OFFSET(A$1,,,SUMPRODUCT(MAX(ROW(E$2:E3495)*(E3495=E$2:E3495)))))-COUNTBLANK(OFFSET(A$1,,,SUMPRODUCT(MAX(ROW(E$1:E3494)*(E2=E$1:E3494))))))</f>
        <v> </v>
      </c>
      <c r="K3495" s="25" t="str">
        <f>IF(OR(E3495="",E3495="!!!",F3495="NEW"),"",INDEX(J$1:J3494,SUMPRODUCT(MAX(ROW(E$1:E3494)*(E3495=E$1:E3494)))))</f>
        <v> </v>
      </c>
      <c r="L3495" s="26"/>
    </row>
    <row r="3496" spans="1:12">
      <c r="A3496" s="20" t="s">
        <v>1149</v>
      </c>
      <c r="E3496" s="21">
        <f>IF(D3496="?OLD","!!!","")</f>
        <v/>
      </c>
      <c r="F3496" s="22" t="str">
        <f>IF(OR(E3496="",E3496="!!!"),"",IF(NOT(ISNA(VLOOKUP(E3496,E$1:E3495,1,FALSE()))),"OLD",IF(AND(E3496&lt;&gt;"",E3496&lt;&gt;"!!!"),"NEW","")))</f>
        <v> </v>
      </c>
      <c r="G3496" s="23" t="str">
        <f>IF(OR(E3496="",E3496="!!!"),"",IF(OR(J3496=0,AND(J3496=1,K3496=1),AND(J3496=1,I3496="SBJ"),AND(J3496=1,I3496=0)),"?IN_FOCUS",IF(J3496&lt;=2,"?ACTIVATED",IF(J3496&lt;&gt;"","?FAMILIAR",IF(F3496="NEW",IF(ISNA(VLOOKUP(E3496,#REF!,1,FALSE())),"?TYPE_IDENTIFIABLE","?REFERENTIAL"),"_")))))</f>
        <v> </v>
      </c>
      <c r="H3496" s="24" t="str">
        <f>IF(J3496&lt;&gt;1,"",IF(I3496="SBJ","CB","?"))</f>
        <v> </v>
      </c>
      <c r="I3496" s="25" t="str">
        <f>IF(OR(E3496="",E3496="!!!",F3496="NEW"),"",INDEX(B3495:B$2,-1+SUMPRODUCT(MAX(ROW(E3495:E$2)*(E3496=E3495:E$2)))))</f>
        <v> </v>
      </c>
      <c r="J3496" s="25" t="str">
        <f>IF(OR(E3496="",E3496="!!!",F3496="NEW"),"",COUNTBLANK(OFFSET(A$1,,,SUMPRODUCT(MAX(ROW(E$2:E3496)*(E3496=E$2:E3496)))))-COUNTBLANK(OFFSET(A$1,,,SUMPRODUCT(MAX(ROW(E$1:E3495)*(E2=E$1:E3495))))))</f>
        <v> </v>
      </c>
      <c r="K3496" s="25" t="str">
        <f>IF(OR(E3496="",E3496="!!!",F3496="NEW"),"",INDEX(J$1:J3495,SUMPRODUCT(MAX(ROW(E$1:E3495)*(E3496=E$1:E3495)))))</f>
        <v> </v>
      </c>
      <c r="L3496" s="26"/>
    </row>
    <row r="3497" spans="1:12">
      <c r="A3497" s="20" t="s">
        <v>141</v>
      </c>
      <c r="E3497" s="21">
        <f>IF(D3497="?OLD","!!!","")</f>
        <v/>
      </c>
      <c r="F3497" s="22" t="str">
        <f>IF(OR(E3497="",E3497="!!!"),"",IF(NOT(ISNA(VLOOKUP(E3497,E$1:E3496,1,FALSE()))),"OLD",IF(AND(E3497&lt;&gt;"",E3497&lt;&gt;"!!!"),"NEW","")))</f>
        <v> </v>
      </c>
      <c r="G3497" s="23" t="str">
        <f>IF(OR(E3497="",E3497="!!!"),"",IF(OR(J3497=0,AND(J3497=1,K3497=1),AND(J3497=1,I3497="SBJ"),AND(J3497=1,I3497=0)),"?IN_FOCUS",IF(J3497&lt;=2,"?ACTIVATED",IF(J3497&lt;&gt;"","?FAMILIAR",IF(F3497="NEW",IF(ISNA(VLOOKUP(E3497,#REF!,1,FALSE())),"?TYPE_IDENTIFIABLE","?REFERENTIAL"),"_")))))</f>
        <v> </v>
      </c>
      <c r="H3497" s="24" t="str">
        <f>IF(J3497&lt;&gt;1,"",IF(I3497="SBJ","CB","?"))</f>
        <v> </v>
      </c>
      <c r="I3497" s="25" t="str">
        <f>IF(OR(E3497="",E3497="!!!",F3497="NEW"),"",INDEX(B3496:B$2,-1+SUMPRODUCT(MAX(ROW(E3496:E$2)*(E3497=E3496:E$2)))))</f>
        <v> </v>
      </c>
      <c r="J3497" s="25" t="str">
        <f>IF(OR(E3497="",E3497="!!!",F3497="NEW"),"",COUNTBLANK(OFFSET(A$1,,,SUMPRODUCT(MAX(ROW(E$2:E3497)*(E3497=E$2:E3497)))))-COUNTBLANK(OFFSET(A$1,,,SUMPRODUCT(MAX(ROW(E$1:E3496)*(E2=E$1:E3496))))))</f>
        <v> </v>
      </c>
      <c r="K3497" s="25" t="str">
        <f>IF(OR(E3497="",E3497="!!!",F3497="NEW"),"",INDEX(J$1:J3496,SUMPRODUCT(MAX(ROW(E$1:E3496)*(E3497=E$1:E3496)))))</f>
        <v> </v>
      </c>
      <c r="L3497" s="26"/>
    </row>
    <row r="3498" spans="1:12">
      <c r="A3498" s="20" t="s">
        <v>2200</v>
      </c>
      <c r="B3498" s="27" t="s">
        <v>1095</v>
      </c>
      <c r="C3498" s="27" t="s">
        <v>1120</v>
      </c>
      <c r="E3498" s="21">
        <f>IF(D3498="?OLD","!!!","")</f>
        <v/>
      </c>
      <c r="F3498" s="22" t="str">
        <f>IF(OR(E3498="",E3498="!!!"),"",IF(NOT(ISNA(VLOOKUP(E3498,E$1:E3497,1,FALSE()))),"OLD",IF(AND(E3498&lt;&gt;"",E3498&lt;&gt;"!!!"),"NEW","")))</f>
        <v> </v>
      </c>
      <c r="G3498" s="23" t="str">
        <f>IF(OR(E3498="",E3498="!!!"),"",IF(OR(J3498=0,AND(J3498=1,K3498=1),AND(J3498=1,I3498="SBJ"),AND(J3498=1,I3498=0)),"?IN_FOCUS",IF(J3498&lt;=2,"?ACTIVATED",IF(J3498&lt;&gt;"","?FAMILIAR",IF(F3498="NEW",IF(ISNA(VLOOKUP(E3498,#REF!,1,FALSE())),"?TYPE_IDENTIFIABLE","?REFERENTIAL"),"_")))))</f>
        <v> </v>
      </c>
      <c r="H3498" s="24" t="str">
        <f>IF(J3498&lt;&gt;1,"",IF(I3498="SBJ","CB","?"))</f>
        <v> </v>
      </c>
      <c r="I3498" s="25" t="str">
        <f>IF(OR(E3498="",E3498="!!!",F3498="NEW"),"",INDEX(B3497:B$2,-1+SUMPRODUCT(MAX(ROW(E3497:E$2)*(E3498=E3497:E$2)))))</f>
        <v> </v>
      </c>
      <c r="J3498" s="25" t="str">
        <f>IF(OR(E3498="",E3498="!!!",F3498="NEW"),"",COUNTBLANK(OFFSET(A$1,,,SUMPRODUCT(MAX(ROW(E$2:E3498)*(E3498=E$2:E3498)))))-COUNTBLANK(OFFSET(A$1,,,SUMPRODUCT(MAX(ROW(E$1:E3497)*(E2=E$1:E3497))))))</f>
        <v> </v>
      </c>
      <c r="K3498" s="25" t="str">
        <f>IF(OR(E3498="",E3498="!!!",F3498="NEW"),"",INDEX(J$1:J3497,SUMPRODUCT(MAX(ROW(E$1:E3497)*(E3498=E$1:E3497)))))</f>
        <v> </v>
      </c>
      <c r="L3498" s="26"/>
    </row>
    <row r="3499" spans="1:12">
      <c r="A3499" s="20" t="s">
        <v>2201</v>
      </c>
      <c r="E3499" s="21">
        <f>IF(D3499="?OLD","!!!","")</f>
        <v/>
      </c>
      <c r="F3499" s="22" t="str">
        <f>IF(OR(E3499="",E3499="!!!"),"",IF(NOT(ISNA(VLOOKUP(E3499,E$1:E3498,1,FALSE()))),"OLD",IF(AND(E3499&lt;&gt;"",E3499&lt;&gt;"!!!"),"NEW","")))</f>
        <v> </v>
      </c>
      <c r="G3499" s="23" t="str">
        <f>IF(OR(E3499="",E3499="!!!"),"",IF(OR(J3499=0,AND(J3499=1,K3499=1),AND(J3499=1,I3499="SBJ"),AND(J3499=1,I3499=0)),"?IN_FOCUS",IF(J3499&lt;=2,"?ACTIVATED",IF(J3499&lt;&gt;"","?FAMILIAR",IF(F3499="NEW",IF(ISNA(VLOOKUP(E3499,#REF!,1,FALSE())),"?TYPE_IDENTIFIABLE","?REFERENTIAL"),"_")))))</f>
        <v> </v>
      </c>
      <c r="H3499" s="24" t="str">
        <f>IF(J3499&lt;&gt;1,"",IF(I3499="SBJ","CB","?"))</f>
        <v> </v>
      </c>
      <c r="I3499" s="25" t="str">
        <f>IF(OR(E3499="",E3499="!!!",F3499="NEW"),"",INDEX(B3498:B$2,-1+SUMPRODUCT(MAX(ROW(E3498:E$2)*(E3499=E3498:E$2)))))</f>
        <v> </v>
      </c>
      <c r="J3499" s="25" t="str">
        <f>IF(OR(E3499="",E3499="!!!",F3499="NEW"),"",COUNTBLANK(OFFSET(A$1,,,SUMPRODUCT(MAX(ROW(E$2:E3499)*(E3499=E$2:E3499)))))-COUNTBLANK(OFFSET(A$1,,,SUMPRODUCT(MAX(ROW(E$1:E3498)*(E2=E$1:E3498))))))</f>
        <v> </v>
      </c>
      <c r="K3499" s="25" t="str">
        <f>IF(OR(E3499="",E3499="!!!",F3499="NEW"),"",INDEX(J$1:J3498,SUMPRODUCT(MAX(ROW(E$1:E3498)*(E3499=E$1:E3498)))))</f>
        <v> </v>
      </c>
      <c r="L3499" s="26"/>
    </row>
    <row r="3500" spans="1:12">
      <c r="A3500" s="20" t="s">
        <v>1080</v>
      </c>
      <c r="E3500" s="21">
        <f>IF(D3500="?OLD","!!!","")</f>
        <v/>
      </c>
      <c r="F3500" s="22" t="str">
        <f>IF(OR(E3500="",E3500="!!!"),"",IF(NOT(ISNA(VLOOKUP(E3500,E$1:E3499,1,FALSE()))),"OLD",IF(AND(E3500&lt;&gt;"",E3500&lt;&gt;"!!!"),"NEW","")))</f>
        <v> </v>
      </c>
      <c r="G3500" s="23" t="str">
        <f>IF(OR(E3500="",E3500="!!!"),"",IF(OR(J3500=0,AND(J3500=1,K3500=1),AND(J3500=1,I3500="SBJ"),AND(J3500=1,I3500=0)),"?IN_FOCUS",IF(J3500&lt;=2,"?ACTIVATED",IF(J3500&lt;&gt;"","?FAMILIAR",IF(F3500="NEW",IF(ISNA(VLOOKUP(E3500,#REF!,1,FALSE())),"?TYPE_IDENTIFIABLE","?REFERENTIAL"),"_")))))</f>
        <v> </v>
      </c>
      <c r="H3500" s="24" t="str">
        <f>IF(J3500&lt;&gt;1,"",IF(I3500="SBJ","CB","?"))</f>
        <v> </v>
      </c>
      <c r="I3500" s="25" t="str">
        <f>IF(OR(E3500="",E3500="!!!",F3500="NEW"),"",INDEX(B3499:B$2,-1+SUMPRODUCT(MAX(ROW(E3499:E$2)*(E3500=E3499:E$2)))))</f>
        <v> </v>
      </c>
      <c r="J3500" s="25" t="str">
        <f>IF(OR(E3500="",E3500="!!!",F3500="NEW"),"",COUNTBLANK(OFFSET(A$1,,,SUMPRODUCT(MAX(ROW(E$2:E3500)*(E3500=E$2:E3500)))))-COUNTBLANK(OFFSET(A$1,,,SUMPRODUCT(MAX(ROW(E$1:E3499)*(E2=E$1:E3499))))))</f>
        <v> </v>
      </c>
      <c r="K3500" s="25" t="str">
        <f>IF(OR(E3500="",E3500="!!!",F3500="NEW"),"",INDEX(J$1:J3499,SUMPRODUCT(MAX(ROW(E$1:E3499)*(E3500=E$1:E3499)))))</f>
        <v> </v>
      </c>
      <c r="L3500" s="26"/>
    </row>
    <row r="3501" spans="1:12">
      <c r="A3501" s="20"/>
    </row>
    <row r="3502" spans="1:12">
      <c r="A3502" s="20" t="s">
        <v>2202</v>
      </c>
    </row>
    <row r="3503" spans="1:12">
      <c r="A3503" s="20" t="s">
        <v>1241</v>
      </c>
      <c r="B3503" s="27" t="s">
        <v>1067</v>
      </c>
      <c r="C3503" s="27" t="s">
        <v>1110</v>
      </c>
      <c r="D3503" s="27" t="s">
        <v>1069</v>
      </c>
      <c r="E3503" s="21">
        <f>IF(D3503="?OLD","!!!","")</f>
        <v/>
      </c>
      <c r="F3503" s="22" t="str">
        <f>IF(OR(E3503="",E3503="!!!"),"",IF(NOT(ISNA(VLOOKUP(E3503,E$1:E3502,1,FALSE()))),"OLD",IF(AND(E3503&lt;&gt;"",E3503&lt;&gt;"!!!"),"NEW","")))</f>
        <v> </v>
      </c>
      <c r="G3503" s="23" t="str">
        <f>IF(OR(E3503="",E3503="!!!"),"",IF(OR(J3503=0,AND(J3503=1,K3503=1),AND(J3503=1,I3503="SBJ"),AND(J3503=1,I3503=0)),"?IN_FOCUS",IF(J3503&lt;=2,"?ACTIVATED",IF(J3503&lt;&gt;"","?FAMILIAR",IF(F3503="NEW",IF(ISNA(VLOOKUP(E3503,#REF!,1,FALSE())),"?TYPE_IDENTIFIABLE","?REFERENTIAL"),"_")))))</f>
        <v> </v>
      </c>
      <c r="H3503" s="24" t="str">
        <f>IF(J3503&lt;&gt;1,"",IF(I3503="SBJ","CB","?"))</f>
        <v> </v>
      </c>
      <c r="I3503" s="25" t="str">
        <f>IF(OR(E3503="",E3503="!!!",F3503="NEW"),"",INDEX(B3502:B$2,-1+SUMPRODUCT(MAX(ROW(E3502:E$2)*(E3503=E3502:E$2)))))</f>
        <v> </v>
      </c>
      <c r="J3503" s="25" t="str">
        <f>IF(OR(E3503="",E3503="!!!",F3503="NEW"),"",COUNTBLANK(OFFSET(A$1,,,SUMPRODUCT(MAX(ROW(E$2:E3503)*(E3503=E$2:E3503)))))-COUNTBLANK(OFFSET(A$1,,,SUMPRODUCT(MAX(ROW(E$1:E3502)*(E2=E$1:E3502))))))</f>
        <v> </v>
      </c>
      <c r="K3503" s="25" t="str">
        <f>IF(OR(E3503="",E3503="!!!",F3503="NEW"),"",INDEX(J$1:J3502,SUMPRODUCT(MAX(ROW(E$1:E3502)*(E3503=E$1:E3502)))))</f>
        <v> </v>
      </c>
      <c r="L3503" s="26"/>
    </row>
    <row r="3504" spans="1:12">
      <c r="A3504" s="20" t="s">
        <v>129</v>
      </c>
      <c r="E3504" s="21">
        <f>IF(D3504="?OLD","!!!","")</f>
        <v/>
      </c>
      <c r="F3504" s="22" t="str">
        <f>IF(OR(E3504="",E3504="!!!"),"",IF(NOT(ISNA(VLOOKUP(E3504,E$1:E3503,1,FALSE()))),"OLD",IF(AND(E3504&lt;&gt;"",E3504&lt;&gt;"!!!"),"NEW","")))</f>
        <v> </v>
      </c>
      <c r="G3504" s="23" t="str">
        <f>IF(OR(E3504="",E3504="!!!"),"",IF(OR(J3504=0,AND(J3504=1,K3504=1),AND(J3504=1,I3504="SBJ"),AND(J3504=1,I3504=0)),"?IN_FOCUS",IF(J3504&lt;=2,"?ACTIVATED",IF(J3504&lt;&gt;"","?FAMILIAR",IF(F3504="NEW",IF(ISNA(VLOOKUP(E3504,#REF!,1,FALSE())),"?TYPE_IDENTIFIABLE","?REFERENTIAL"),"_")))))</f>
        <v> </v>
      </c>
      <c r="H3504" s="24" t="str">
        <f>IF(J3504&lt;&gt;1,"",IF(I3504="SBJ","CB","?"))</f>
        <v> </v>
      </c>
      <c r="I3504" s="25" t="str">
        <f>IF(OR(E3504="",E3504="!!!",F3504="NEW"),"",INDEX(B3503:B$2,-1+SUMPRODUCT(MAX(ROW(E3503:E$2)*(E3504=E3503:E$2)))))</f>
        <v> </v>
      </c>
      <c r="J3504" s="25" t="str">
        <f>IF(OR(E3504="",E3504="!!!",F3504="NEW"),"",COUNTBLANK(OFFSET(A$1,,,SUMPRODUCT(MAX(ROW(E$2:E3504)*(E3504=E$2:E3504)))))-COUNTBLANK(OFFSET(A$1,,,SUMPRODUCT(MAX(ROW(E$1:E3503)*(E2=E$1:E3503))))))</f>
        <v> </v>
      </c>
      <c r="K3504" s="25" t="str">
        <f>IF(OR(E3504="",E3504="!!!",F3504="NEW"),"",INDEX(J$1:J3503,SUMPRODUCT(MAX(ROW(E$1:E3503)*(E3504=E$1:E3503)))))</f>
        <v> </v>
      </c>
      <c r="L3504" s="26"/>
    </row>
    <row r="3505" spans="1:12">
      <c r="A3505" s="20" t="s">
        <v>1104</v>
      </c>
      <c r="E3505" s="21">
        <f>IF(D3505="?OLD","!!!","")</f>
        <v/>
      </c>
      <c r="F3505" s="22" t="str">
        <f>IF(OR(E3505="",E3505="!!!"),"",IF(NOT(ISNA(VLOOKUP(E3505,E$1:E3504,1,FALSE()))),"OLD",IF(AND(E3505&lt;&gt;"",E3505&lt;&gt;"!!!"),"NEW","")))</f>
        <v> </v>
      </c>
      <c r="G3505" s="23" t="str">
        <f>IF(OR(E3505="",E3505="!!!"),"",IF(OR(J3505=0,AND(J3505=1,K3505=1),AND(J3505=1,I3505="SBJ"),AND(J3505=1,I3505=0)),"?IN_FOCUS",IF(J3505&lt;=2,"?ACTIVATED",IF(J3505&lt;&gt;"","?FAMILIAR",IF(F3505="NEW",IF(ISNA(VLOOKUP(E3505,#REF!,1,FALSE())),"?TYPE_IDENTIFIABLE","?REFERENTIAL"),"_")))))</f>
        <v> </v>
      </c>
      <c r="H3505" s="24" t="str">
        <f>IF(J3505&lt;&gt;1,"",IF(I3505="SBJ","CB","?"))</f>
        <v> </v>
      </c>
      <c r="I3505" s="25" t="str">
        <f>IF(OR(E3505="",E3505="!!!",F3505="NEW"),"",INDEX(B3504:B$2,-1+SUMPRODUCT(MAX(ROW(E3504:E$2)*(E3505=E3504:E$2)))))</f>
        <v> </v>
      </c>
      <c r="J3505" s="25" t="str">
        <f>IF(OR(E3505="",E3505="!!!",F3505="NEW"),"",COUNTBLANK(OFFSET(A$1,,,SUMPRODUCT(MAX(ROW(E$2:E3505)*(E3505=E$2:E3505)))))-COUNTBLANK(OFFSET(A$1,,,SUMPRODUCT(MAX(ROW(E$1:E3504)*(E2=E$1:E3504))))))</f>
        <v> </v>
      </c>
      <c r="K3505" s="25" t="str">
        <f>IF(OR(E3505="",E3505="!!!",F3505="NEW"),"",INDEX(J$1:J3504,SUMPRODUCT(MAX(ROW(E$1:E3504)*(E3505=E$1:E3504)))))</f>
        <v> </v>
      </c>
      <c r="L3505" s="26"/>
    </row>
    <row r="3506" spans="1:12">
      <c r="A3506" s="20" t="s">
        <v>2203</v>
      </c>
      <c r="B3506" s="27" t="s">
        <v>1160</v>
      </c>
      <c r="C3506" s="27" t="s">
        <v>1086</v>
      </c>
      <c r="D3506" s="27" t="s">
        <v>1069</v>
      </c>
      <c r="E3506" s="21">
        <f>IF(D3506="?OLD","!!!","")</f>
        <v/>
      </c>
      <c r="F3506" s="22" t="str">
        <f>IF(OR(E3506="",E3506="!!!"),"",IF(NOT(ISNA(VLOOKUP(E3506,E$1:E3505,1,FALSE()))),"OLD",IF(AND(E3506&lt;&gt;"",E3506&lt;&gt;"!!!"),"NEW","")))</f>
        <v> </v>
      </c>
      <c r="G3506" s="23" t="str">
        <f>IF(OR(E3506="",E3506="!!!"),"",IF(OR(J3506=0,AND(J3506=1,K3506=1),AND(J3506=1,I3506="SBJ"),AND(J3506=1,I3506=0)),"?IN_FOCUS",IF(J3506&lt;=2,"?ACTIVATED",IF(J3506&lt;&gt;"","?FAMILIAR",IF(F3506="NEW",IF(ISNA(VLOOKUP(E3506,#REF!,1,FALSE())),"?TYPE_IDENTIFIABLE","?REFERENTIAL"),"_")))))</f>
        <v> </v>
      </c>
      <c r="H3506" s="24" t="str">
        <f>IF(J3506&lt;&gt;1,"",IF(I3506="SBJ","CB","?"))</f>
        <v> </v>
      </c>
      <c r="I3506" s="25" t="str">
        <f>IF(OR(E3506="",E3506="!!!",F3506="NEW"),"",INDEX(B3505:B$2,-1+SUMPRODUCT(MAX(ROW(E3505:E$2)*(E3506=E3505:E$2)))))</f>
        <v> </v>
      </c>
      <c r="J3506" s="25" t="str">
        <f>IF(OR(E3506="",E3506="!!!",F3506="NEW"),"",COUNTBLANK(OFFSET(A$1,,,SUMPRODUCT(MAX(ROW(E$2:E3506)*(E3506=E$2:E3506)))))-COUNTBLANK(OFFSET(A$1,,,SUMPRODUCT(MAX(ROW(E$1:E3505)*(E2=E$1:E3505))))))</f>
        <v> </v>
      </c>
      <c r="K3506" s="25" t="str">
        <f>IF(OR(E3506="",E3506="!!!",F3506="NEW"),"",INDEX(J$1:J3505,SUMPRODUCT(MAX(ROW(E$1:E3505)*(E3506=E$1:E3505)))))</f>
        <v> </v>
      </c>
      <c r="L3506" s="26"/>
    </row>
    <row r="3507" spans="1:12">
      <c r="A3507" s="20" t="s">
        <v>732</v>
      </c>
      <c r="E3507" s="21">
        <f>IF(D3507="?OLD","!!!","")</f>
        <v/>
      </c>
      <c r="F3507" s="22" t="str">
        <f>IF(OR(E3507="",E3507="!!!"),"",IF(NOT(ISNA(VLOOKUP(E3507,E$1:E3506,1,FALSE()))),"OLD",IF(AND(E3507&lt;&gt;"",E3507&lt;&gt;"!!!"),"NEW","")))</f>
        <v> </v>
      </c>
      <c r="G3507" s="23" t="str">
        <f>IF(OR(E3507="",E3507="!!!"),"",IF(OR(J3507=0,AND(J3507=1,K3507=1),AND(J3507=1,I3507="SBJ"),AND(J3507=1,I3507=0)),"?IN_FOCUS",IF(J3507&lt;=2,"?ACTIVATED",IF(J3507&lt;&gt;"","?FAMILIAR",IF(F3507="NEW",IF(ISNA(VLOOKUP(E3507,#REF!,1,FALSE())),"?TYPE_IDENTIFIABLE","?REFERENTIAL"),"_")))))</f>
        <v> </v>
      </c>
      <c r="H3507" s="24" t="str">
        <f>IF(J3507&lt;&gt;1,"",IF(I3507="SBJ","CB","?"))</f>
        <v> </v>
      </c>
      <c r="I3507" s="25" t="str">
        <f>IF(OR(E3507="",E3507="!!!",F3507="NEW"),"",INDEX(B3506:B$2,-1+SUMPRODUCT(MAX(ROW(E3506:E$2)*(E3507=E3506:E$2)))))</f>
        <v> </v>
      </c>
      <c r="J3507" s="25" t="str">
        <f>IF(OR(E3507="",E3507="!!!",F3507="NEW"),"",COUNTBLANK(OFFSET(A$1,,,SUMPRODUCT(MAX(ROW(E$2:E3507)*(E3507=E$2:E3507)))))-COUNTBLANK(OFFSET(A$1,,,SUMPRODUCT(MAX(ROW(E$1:E3506)*(E2=E$1:E3506))))))</f>
        <v> </v>
      </c>
      <c r="K3507" s="25" t="str">
        <f>IF(OR(E3507="",E3507="!!!",F3507="NEW"),"",INDEX(J$1:J3506,SUMPRODUCT(MAX(ROW(E$1:E3506)*(E3507=E$1:E3506)))))</f>
        <v> </v>
      </c>
      <c r="L3507" s="26"/>
    </row>
    <row r="3508" spans="1:12">
      <c r="A3508" s="20" t="s">
        <v>1080</v>
      </c>
      <c r="E3508" s="21">
        <f>IF(D3508="?OLD","!!!","")</f>
        <v/>
      </c>
      <c r="F3508" s="22" t="str">
        <f>IF(OR(E3508="",E3508="!!!"),"",IF(NOT(ISNA(VLOOKUP(E3508,E$1:E3507,1,FALSE()))),"OLD",IF(AND(E3508&lt;&gt;"",E3508&lt;&gt;"!!!"),"NEW","")))</f>
        <v> </v>
      </c>
      <c r="G3508" s="23" t="str">
        <f>IF(OR(E3508="",E3508="!!!"),"",IF(OR(J3508=0,AND(J3508=1,K3508=1),AND(J3508=1,I3508="SBJ"),AND(J3508=1,I3508=0)),"?IN_FOCUS",IF(J3508&lt;=2,"?ACTIVATED",IF(J3508&lt;&gt;"","?FAMILIAR",IF(F3508="NEW",IF(ISNA(VLOOKUP(E3508,#REF!,1,FALSE())),"?TYPE_IDENTIFIABLE","?REFERENTIAL"),"_")))))</f>
        <v> </v>
      </c>
      <c r="H3508" s="24" t="str">
        <f>IF(J3508&lt;&gt;1,"",IF(I3508="SBJ","CB","?"))</f>
        <v> </v>
      </c>
      <c r="I3508" s="25" t="str">
        <f>IF(OR(E3508="",E3508="!!!",F3508="NEW"),"",INDEX(B3507:B$2,-1+SUMPRODUCT(MAX(ROW(E3507:E$2)*(E3508=E3507:E$2)))))</f>
        <v> </v>
      </c>
      <c r="J3508" s="25" t="str">
        <f>IF(OR(E3508="",E3508="!!!",F3508="NEW"),"",COUNTBLANK(OFFSET(A$1,,,SUMPRODUCT(MAX(ROW(E$2:E3508)*(E3508=E$2:E3508)))))-COUNTBLANK(OFFSET(A$1,,,SUMPRODUCT(MAX(ROW(E$1:E3507)*(E2=E$1:E3507))))))</f>
        <v> </v>
      </c>
      <c r="K3508" s="25" t="str">
        <f>IF(OR(E3508="",E3508="!!!",F3508="NEW"),"",INDEX(J$1:J3507,SUMPRODUCT(MAX(ROW(E$1:E3507)*(E3508=E$1:E3507)))))</f>
        <v> </v>
      </c>
      <c r="L3508" s="26"/>
    </row>
    <row r="3509" spans="1:12">
      <c r="A3509" s="20"/>
    </row>
    <row r="3510" spans="1:12">
      <c r="A3510" s="20" t="s">
        <v>2204</v>
      </c>
    </row>
    <row r="3511" spans="1:12">
      <c r="A3511" s="20" t="s">
        <v>1241</v>
      </c>
      <c r="B3511" s="27" t="s">
        <v>1067</v>
      </c>
      <c r="C3511" s="27" t="s">
        <v>1110</v>
      </c>
      <c r="D3511" s="27" t="s">
        <v>1069</v>
      </c>
      <c r="E3511" s="21">
        <f>IF(D3511="?OLD","!!!","")</f>
        <v/>
      </c>
      <c r="F3511" s="22" t="str">
        <f>IF(OR(E3511="",E3511="!!!"),"",IF(NOT(ISNA(VLOOKUP(E3511,E$1:E3510,1,FALSE()))),"OLD",IF(AND(E3511&lt;&gt;"",E3511&lt;&gt;"!!!"),"NEW","")))</f>
        <v> </v>
      </c>
      <c r="G3511" s="23" t="str">
        <f>IF(OR(E3511="",E3511="!!!"),"",IF(OR(J3511=0,AND(J3511=1,K3511=1),AND(J3511=1,I3511="SBJ"),AND(J3511=1,I3511=0)),"?IN_FOCUS",IF(J3511&lt;=2,"?ACTIVATED",IF(J3511&lt;&gt;"","?FAMILIAR",IF(F3511="NEW",IF(ISNA(VLOOKUP(E3511,#REF!,1,FALSE())),"?TYPE_IDENTIFIABLE","?REFERENTIAL"),"_")))))</f>
        <v> </v>
      </c>
      <c r="H3511" s="24" t="str">
        <f>IF(J3511&lt;&gt;1,"",IF(I3511="SBJ","CB","?"))</f>
        <v> </v>
      </c>
      <c r="I3511" s="25" t="str">
        <f>IF(OR(E3511="",E3511="!!!",F3511="NEW"),"",INDEX(B3510:B$2,-1+SUMPRODUCT(MAX(ROW(E3510:E$2)*(E3511=E3510:E$2)))))</f>
        <v> </v>
      </c>
      <c r="J3511" s="25" t="str">
        <f>IF(OR(E3511="",E3511="!!!",F3511="NEW"),"",COUNTBLANK(OFFSET(A$1,,,SUMPRODUCT(MAX(ROW(E$2:E3511)*(E3511=E$2:E3511)))))-COUNTBLANK(OFFSET(A$1,,,SUMPRODUCT(MAX(ROW(E$1:E3510)*(E2=E$1:E3510))))))</f>
        <v> </v>
      </c>
      <c r="K3511" s="25" t="str">
        <f>IF(OR(E3511="",E3511="!!!",F3511="NEW"),"",INDEX(J$1:J3510,SUMPRODUCT(MAX(ROW(E$1:E3510)*(E3511=E$1:E3510)))))</f>
        <v> </v>
      </c>
      <c r="L3511" s="26"/>
    </row>
    <row r="3512" spans="1:12">
      <c r="A3512" s="20" t="s">
        <v>129</v>
      </c>
      <c r="E3512" s="21">
        <f>IF(D3512="?OLD","!!!","")</f>
        <v/>
      </c>
      <c r="F3512" s="22" t="str">
        <f>IF(OR(E3512="",E3512="!!!"),"",IF(NOT(ISNA(VLOOKUP(E3512,E$1:E3511,1,FALSE()))),"OLD",IF(AND(E3512&lt;&gt;"",E3512&lt;&gt;"!!!"),"NEW","")))</f>
        <v> </v>
      </c>
      <c r="G3512" s="23" t="str">
        <f>IF(OR(E3512="",E3512="!!!"),"",IF(OR(J3512=0,AND(J3512=1,K3512=1),AND(J3512=1,I3512="SBJ"),AND(J3512=1,I3512=0)),"?IN_FOCUS",IF(J3512&lt;=2,"?ACTIVATED",IF(J3512&lt;&gt;"","?FAMILIAR",IF(F3512="NEW",IF(ISNA(VLOOKUP(E3512,#REF!,1,FALSE())),"?TYPE_IDENTIFIABLE","?REFERENTIAL"),"_")))))</f>
        <v> </v>
      </c>
      <c r="H3512" s="24" t="str">
        <f>IF(J3512&lt;&gt;1,"",IF(I3512="SBJ","CB","?"))</f>
        <v> </v>
      </c>
      <c r="I3512" s="25" t="str">
        <f>IF(OR(E3512="",E3512="!!!",F3512="NEW"),"",INDEX(B3511:B$2,-1+SUMPRODUCT(MAX(ROW(E3511:E$2)*(E3512=E3511:E$2)))))</f>
        <v> </v>
      </c>
      <c r="J3512" s="25" t="str">
        <f>IF(OR(E3512="",E3512="!!!",F3512="NEW"),"",COUNTBLANK(OFFSET(A$1,,,SUMPRODUCT(MAX(ROW(E$2:E3512)*(E3512=E$2:E3512)))))-COUNTBLANK(OFFSET(A$1,,,SUMPRODUCT(MAX(ROW(E$1:E3511)*(E2=E$1:E3511))))))</f>
        <v> </v>
      </c>
      <c r="K3512" s="25" t="str">
        <f>IF(OR(E3512="",E3512="!!!",F3512="NEW"),"",INDEX(J$1:J3511,SUMPRODUCT(MAX(ROW(E$1:E3511)*(E3512=E$1:E3511)))))</f>
        <v> </v>
      </c>
      <c r="L3512" s="26"/>
    </row>
    <row r="3513" spans="1:12">
      <c r="A3513" s="20" t="s">
        <v>2205</v>
      </c>
      <c r="E3513" s="21">
        <f>IF(D3513="?OLD","!!!","")</f>
        <v/>
      </c>
      <c r="F3513" s="22" t="str">
        <f>IF(OR(E3513="",E3513="!!!"),"",IF(NOT(ISNA(VLOOKUP(E3513,E$1:E3512,1,FALSE()))),"OLD",IF(AND(E3513&lt;&gt;"",E3513&lt;&gt;"!!!"),"NEW","")))</f>
        <v> </v>
      </c>
      <c r="G3513" s="23" t="str">
        <f>IF(OR(E3513="",E3513="!!!"),"",IF(OR(J3513=0,AND(J3513=1,K3513=1),AND(J3513=1,I3513="SBJ"),AND(J3513=1,I3513=0)),"?IN_FOCUS",IF(J3513&lt;=2,"?ACTIVATED",IF(J3513&lt;&gt;"","?FAMILIAR",IF(F3513="NEW",IF(ISNA(VLOOKUP(E3513,#REF!,1,FALSE())),"?TYPE_IDENTIFIABLE","?REFERENTIAL"),"_")))))</f>
        <v> </v>
      </c>
      <c r="H3513" s="24" t="str">
        <f>IF(J3513&lt;&gt;1,"",IF(I3513="SBJ","CB","?"))</f>
        <v> </v>
      </c>
      <c r="I3513" s="25" t="str">
        <f>IF(OR(E3513="",E3513="!!!",F3513="NEW"),"",INDEX(B3512:B$2,-1+SUMPRODUCT(MAX(ROW(E3512:E$2)*(E3513=E3512:E$2)))))</f>
        <v> </v>
      </c>
      <c r="J3513" s="25" t="str">
        <f>IF(OR(E3513="",E3513="!!!",F3513="NEW"),"",COUNTBLANK(OFFSET(A$1,,,SUMPRODUCT(MAX(ROW(E$2:E3513)*(E3513=E$2:E3513)))))-COUNTBLANK(OFFSET(A$1,,,SUMPRODUCT(MAX(ROW(E$1:E3512)*(E2=E$1:E3512))))))</f>
        <v> </v>
      </c>
      <c r="K3513" s="25" t="str">
        <f>IF(OR(E3513="",E3513="!!!",F3513="NEW"),"",INDEX(J$1:J3512,SUMPRODUCT(MAX(ROW(E$1:E3512)*(E3513=E$1:E3512)))))</f>
        <v> </v>
      </c>
      <c r="L3513" s="26"/>
    </row>
    <row r="3514" spans="1:12">
      <c r="A3514" s="20" t="s">
        <v>2206</v>
      </c>
      <c r="E3514" s="21">
        <f>IF(D3514="?OLD","!!!","")</f>
        <v/>
      </c>
      <c r="F3514" s="22" t="str">
        <f>IF(OR(E3514="",E3514="!!!"),"",IF(NOT(ISNA(VLOOKUP(E3514,E$1:E3513,1,FALSE()))),"OLD",IF(AND(E3514&lt;&gt;"",E3514&lt;&gt;"!!!"),"NEW","")))</f>
        <v> </v>
      </c>
      <c r="G3514" s="23" t="str">
        <f>IF(OR(E3514="",E3514="!!!"),"",IF(OR(J3514=0,AND(J3514=1,K3514=1),AND(J3514=1,I3514="SBJ"),AND(J3514=1,I3514=0)),"?IN_FOCUS",IF(J3514&lt;=2,"?ACTIVATED",IF(J3514&lt;&gt;"","?FAMILIAR",IF(F3514="NEW",IF(ISNA(VLOOKUP(E3514,#REF!,1,FALSE())),"?TYPE_IDENTIFIABLE","?REFERENTIAL"),"_")))))</f>
        <v> </v>
      </c>
      <c r="H3514" s="24" t="str">
        <f>IF(J3514&lt;&gt;1,"",IF(I3514="SBJ","CB","?"))</f>
        <v> </v>
      </c>
      <c r="I3514" s="25" t="str">
        <f>IF(OR(E3514="",E3514="!!!",F3514="NEW"),"",INDEX(B3513:B$2,-1+SUMPRODUCT(MAX(ROW(E3513:E$2)*(E3514=E3513:E$2)))))</f>
        <v> </v>
      </c>
      <c r="J3514" s="25" t="str">
        <f>IF(OR(E3514="",E3514="!!!",F3514="NEW"),"",COUNTBLANK(OFFSET(A$1,,,SUMPRODUCT(MAX(ROW(E$2:E3514)*(E3514=E$2:E3514)))))-COUNTBLANK(OFFSET(A$1,,,SUMPRODUCT(MAX(ROW(E$1:E3513)*(E2=E$1:E3513))))))</f>
        <v> </v>
      </c>
      <c r="K3514" s="25" t="str">
        <f>IF(OR(E3514="",E3514="!!!",F3514="NEW"),"",INDEX(J$1:J3513,SUMPRODUCT(MAX(ROW(E$1:E3513)*(E3514=E$1:E3513)))))</f>
        <v> </v>
      </c>
      <c r="L3514" s="26"/>
    </row>
    <row r="3515" spans="1:12">
      <c r="A3515" s="20" t="s">
        <v>1078</v>
      </c>
      <c r="E3515" s="21">
        <f>IF(D3515="?OLD","!!!","")</f>
        <v/>
      </c>
      <c r="F3515" s="22" t="str">
        <f>IF(OR(E3515="",E3515="!!!"),"",IF(NOT(ISNA(VLOOKUP(E3515,E$1:E3514,1,FALSE()))),"OLD",IF(AND(E3515&lt;&gt;"",E3515&lt;&gt;"!!!"),"NEW","")))</f>
        <v> </v>
      </c>
      <c r="G3515" s="23" t="str">
        <f>IF(OR(E3515="",E3515="!!!"),"",IF(OR(J3515=0,AND(J3515=1,K3515=1),AND(J3515=1,I3515="SBJ"),AND(J3515=1,I3515=0)),"?IN_FOCUS",IF(J3515&lt;=2,"?ACTIVATED",IF(J3515&lt;&gt;"","?FAMILIAR",IF(F3515="NEW",IF(ISNA(VLOOKUP(E3515,#REF!,1,FALSE())),"?TYPE_IDENTIFIABLE","?REFERENTIAL"),"_")))))</f>
        <v> </v>
      </c>
      <c r="H3515" s="24" t="str">
        <f>IF(J3515&lt;&gt;1,"",IF(I3515="SBJ","CB","?"))</f>
        <v> </v>
      </c>
      <c r="I3515" s="25" t="str">
        <f>IF(OR(E3515="",E3515="!!!",F3515="NEW"),"",INDEX(B3514:B$2,-1+SUMPRODUCT(MAX(ROW(E3514:E$2)*(E3515=E3514:E$2)))))</f>
        <v> </v>
      </c>
      <c r="J3515" s="25" t="str">
        <f>IF(OR(E3515="",E3515="!!!",F3515="NEW"),"",COUNTBLANK(OFFSET(A$1,,,SUMPRODUCT(MAX(ROW(E$2:E3515)*(E3515=E$2:E3515)))))-COUNTBLANK(OFFSET(A$1,,,SUMPRODUCT(MAX(ROW(E$1:E3514)*(E2=E$1:E3514))))))</f>
        <v> </v>
      </c>
      <c r="K3515" s="25" t="str">
        <f>IF(OR(E3515="",E3515="!!!",F3515="NEW"),"",INDEX(J$1:J3514,SUMPRODUCT(MAX(ROW(E$1:E3514)*(E3515=E$1:E3514)))))</f>
        <v> </v>
      </c>
      <c r="L3515" s="26"/>
    </row>
    <row r="3516" spans="1:12">
      <c r="A3516" s="20" t="s">
        <v>2207</v>
      </c>
      <c r="E3516" s="21">
        <f>IF(D3516="?OLD","!!!","")</f>
        <v/>
      </c>
      <c r="F3516" s="22" t="str">
        <f>IF(OR(E3516="",E3516="!!!"),"",IF(NOT(ISNA(VLOOKUP(E3516,E$1:E3515,1,FALSE()))),"OLD",IF(AND(E3516&lt;&gt;"",E3516&lt;&gt;"!!!"),"NEW","")))</f>
        <v> </v>
      </c>
      <c r="G3516" s="23" t="str">
        <f>IF(OR(E3516="",E3516="!!!"),"",IF(OR(J3516=0,AND(J3516=1,K3516=1),AND(J3516=1,I3516="SBJ"),AND(J3516=1,I3516=0)),"?IN_FOCUS",IF(J3516&lt;=2,"?ACTIVATED",IF(J3516&lt;&gt;"","?FAMILIAR",IF(F3516="NEW",IF(ISNA(VLOOKUP(E3516,#REF!,1,FALSE())),"?TYPE_IDENTIFIABLE","?REFERENTIAL"),"_")))))</f>
        <v> </v>
      </c>
      <c r="H3516" s="24" t="str">
        <f>IF(J3516&lt;&gt;1,"",IF(I3516="SBJ","CB","?"))</f>
        <v> </v>
      </c>
      <c r="I3516" s="25" t="str">
        <f>IF(OR(E3516="",E3516="!!!",F3516="NEW"),"",INDEX(B3515:B$2,-1+SUMPRODUCT(MAX(ROW(E3515:E$2)*(E3516=E3515:E$2)))))</f>
        <v> </v>
      </c>
      <c r="J3516" s="25" t="str">
        <f>IF(OR(E3516="",E3516="!!!",F3516="NEW"),"",COUNTBLANK(OFFSET(A$1,,,SUMPRODUCT(MAX(ROW(E$2:E3516)*(E3516=E$2:E3516)))))-COUNTBLANK(OFFSET(A$1,,,SUMPRODUCT(MAX(ROW(E$1:E3515)*(E2=E$1:E3515))))))</f>
        <v> </v>
      </c>
      <c r="K3516" s="25" t="str">
        <f>IF(OR(E3516="",E3516="!!!",F3516="NEW"),"",INDEX(J$1:J3515,SUMPRODUCT(MAX(ROW(E$1:E3515)*(E3516=E$1:E3515)))))</f>
        <v> </v>
      </c>
      <c r="L3516" s="26"/>
    </row>
    <row r="3517" spans="1:12">
      <c r="A3517" s="20" t="s">
        <v>37</v>
      </c>
      <c r="E3517" s="21">
        <f>IF(D3517="?OLD","!!!","")</f>
        <v/>
      </c>
      <c r="F3517" s="22" t="str">
        <f>IF(OR(E3517="",E3517="!!!"),"",IF(NOT(ISNA(VLOOKUP(E3517,E$1:E3516,1,FALSE()))),"OLD",IF(AND(E3517&lt;&gt;"",E3517&lt;&gt;"!!!"),"NEW","")))</f>
        <v> </v>
      </c>
      <c r="G3517" s="23" t="str">
        <f>IF(OR(E3517="",E3517="!!!"),"",IF(OR(J3517=0,AND(J3517=1,K3517=1),AND(J3517=1,I3517="SBJ"),AND(J3517=1,I3517=0)),"?IN_FOCUS",IF(J3517&lt;=2,"?ACTIVATED",IF(J3517&lt;&gt;"","?FAMILIAR",IF(F3517="NEW",IF(ISNA(VLOOKUP(E3517,#REF!,1,FALSE())),"?TYPE_IDENTIFIABLE","?REFERENTIAL"),"_")))))</f>
        <v> </v>
      </c>
      <c r="H3517" s="24" t="str">
        <f>IF(J3517&lt;&gt;1,"",IF(I3517="SBJ","CB","?"))</f>
        <v> </v>
      </c>
      <c r="I3517" s="25" t="str">
        <f>IF(OR(E3517="",E3517="!!!",F3517="NEW"),"",INDEX(B3516:B$2,-1+SUMPRODUCT(MAX(ROW(E3516:E$2)*(E3517=E3516:E$2)))))</f>
        <v> </v>
      </c>
      <c r="J3517" s="25" t="str">
        <f>IF(OR(E3517="",E3517="!!!",F3517="NEW"),"",COUNTBLANK(OFFSET(A$1,,,SUMPRODUCT(MAX(ROW(E$2:E3517)*(E3517=E$2:E3517)))))-COUNTBLANK(OFFSET(A$1,,,SUMPRODUCT(MAX(ROW(E$1:E3516)*(E2=E$1:E3516))))))</f>
        <v> </v>
      </c>
      <c r="K3517" s="25" t="str">
        <f>IF(OR(E3517="",E3517="!!!",F3517="NEW"),"",INDEX(J$1:J3516,SUMPRODUCT(MAX(ROW(E$1:E3516)*(E3517=E$1:E3516)))))</f>
        <v> </v>
      </c>
      <c r="L3517" s="26"/>
    </row>
    <row r="3518" spans="1:12">
      <c r="A3518" s="20" t="s">
        <v>1078</v>
      </c>
      <c r="E3518" s="21">
        <f>IF(D3518="?OLD","!!!","")</f>
        <v/>
      </c>
      <c r="F3518" s="22" t="str">
        <f>IF(OR(E3518="",E3518="!!!"),"",IF(NOT(ISNA(VLOOKUP(E3518,E$1:E3517,1,FALSE()))),"OLD",IF(AND(E3518&lt;&gt;"",E3518&lt;&gt;"!!!"),"NEW","")))</f>
        <v> </v>
      </c>
      <c r="G3518" s="23" t="str">
        <f>IF(OR(E3518="",E3518="!!!"),"",IF(OR(J3518=0,AND(J3518=1,K3518=1),AND(J3518=1,I3518="SBJ"),AND(J3518=1,I3518=0)),"?IN_FOCUS",IF(J3518&lt;=2,"?ACTIVATED",IF(J3518&lt;&gt;"","?FAMILIAR",IF(F3518="NEW",IF(ISNA(VLOOKUP(E3518,#REF!,1,FALSE())),"?TYPE_IDENTIFIABLE","?REFERENTIAL"),"_")))))</f>
        <v> </v>
      </c>
      <c r="H3518" s="24" t="str">
        <f>IF(J3518&lt;&gt;1,"",IF(I3518="SBJ","CB","?"))</f>
        <v> </v>
      </c>
      <c r="I3518" s="25" t="str">
        <f>IF(OR(E3518="",E3518="!!!",F3518="NEW"),"",INDEX(B3517:B$2,-1+SUMPRODUCT(MAX(ROW(E3517:E$2)*(E3518=E3517:E$2)))))</f>
        <v> </v>
      </c>
      <c r="J3518" s="25" t="str">
        <f>IF(OR(E3518="",E3518="!!!",F3518="NEW"),"",COUNTBLANK(OFFSET(A$1,,,SUMPRODUCT(MAX(ROW(E$2:E3518)*(E3518=E$2:E3518)))))-COUNTBLANK(OFFSET(A$1,,,SUMPRODUCT(MAX(ROW(E$1:E3517)*(E2=E$1:E3517))))))</f>
        <v> </v>
      </c>
      <c r="K3518" s="25" t="str">
        <f>IF(OR(E3518="",E3518="!!!",F3518="NEW"),"",INDEX(J$1:J3517,SUMPRODUCT(MAX(ROW(E$1:E3517)*(E3518=E$1:E3517)))))</f>
        <v> </v>
      </c>
      <c r="L3518" s="26"/>
    </row>
    <row r="3519" spans="1:12">
      <c r="A3519" s="20" t="s">
        <v>1751</v>
      </c>
      <c r="E3519" s="21">
        <f>IF(D3519="?OLD","!!!","")</f>
        <v/>
      </c>
      <c r="F3519" s="22" t="str">
        <f>IF(OR(E3519="",E3519="!!!"),"",IF(NOT(ISNA(VLOOKUP(E3519,E$1:E3518,1,FALSE()))),"OLD",IF(AND(E3519&lt;&gt;"",E3519&lt;&gt;"!!!"),"NEW","")))</f>
        <v> </v>
      </c>
      <c r="G3519" s="23" t="str">
        <f>IF(OR(E3519="",E3519="!!!"),"",IF(OR(J3519=0,AND(J3519=1,K3519=1),AND(J3519=1,I3519="SBJ"),AND(J3519=1,I3519=0)),"?IN_FOCUS",IF(J3519&lt;=2,"?ACTIVATED",IF(J3519&lt;&gt;"","?FAMILIAR",IF(F3519="NEW",IF(ISNA(VLOOKUP(E3519,#REF!,1,FALSE())),"?TYPE_IDENTIFIABLE","?REFERENTIAL"),"_")))))</f>
        <v> </v>
      </c>
      <c r="H3519" s="24" t="str">
        <f>IF(J3519&lt;&gt;1,"",IF(I3519="SBJ","CB","?"))</f>
        <v> </v>
      </c>
      <c r="I3519" s="25" t="str">
        <f>IF(OR(E3519="",E3519="!!!",F3519="NEW"),"",INDEX(B3518:B$2,-1+SUMPRODUCT(MAX(ROW(E3518:E$2)*(E3519=E3518:E$2)))))</f>
        <v> </v>
      </c>
      <c r="J3519" s="25" t="str">
        <f>IF(OR(E3519="",E3519="!!!",F3519="NEW"),"",COUNTBLANK(OFFSET(A$1,,,SUMPRODUCT(MAX(ROW(E$2:E3519)*(E3519=E$2:E3519)))))-COUNTBLANK(OFFSET(A$1,,,SUMPRODUCT(MAX(ROW(E$1:E3518)*(E2=E$1:E3518))))))</f>
        <v> </v>
      </c>
      <c r="K3519" s="25" t="str">
        <f>IF(OR(E3519="",E3519="!!!",F3519="NEW"),"",INDEX(J$1:J3518,SUMPRODUCT(MAX(ROW(E$1:E3518)*(E3519=E$1:E3518)))))</f>
        <v> </v>
      </c>
      <c r="L3519" s="26"/>
    </row>
    <row r="3520" spans="1:12">
      <c r="A3520" s="20" t="s">
        <v>1104</v>
      </c>
      <c r="E3520" s="21">
        <f>IF(D3520="?OLD","!!!","")</f>
        <v/>
      </c>
      <c r="F3520" s="22" t="str">
        <f>IF(OR(E3520="",E3520="!!!"),"",IF(NOT(ISNA(VLOOKUP(E3520,E$1:E3519,1,FALSE()))),"OLD",IF(AND(E3520&lt;&gt;"",E3520&lt;&gt;"!!!"),"NEW","")))</f>
        <v> </v>
      </c>
      <c r="G3520" s="23" t="str">
        <f>IF(OR(E3520="",E3520="!!!"),"",IF(OR(J3520=0,AND(J3520=1,K3520=1),AND(J3520=1,I3520="SBJ"),AND(J3520=1,I3520=0)),"?IN_FOCUS",IF(J3520&lt;=2,"?ACTIVATED",IF(J3520&lt;&gt;"","?FAMILIAR",IF(F3520="NEW",IF(ISNA(VLOOKUP(E3520,#REF!,1,FALSE())),"?TYPE_IDENTIFIABLE","?REFERENTIAL"),"_")))))</f>
        <v> </v>
      </c>
      <c r="H3520" s="24" t="str">
        <f>IF(J3520&lt;&gt;1,"",IF(I3520="SBJ","CB","?"))</f>
        <v> </v>
      </c>
      <c r="I3520" s="25" t="str">
        <f>IF(OR(E3520="",E3520="!!!",F3520="NEW"),"",INDEX(B3519:B$2,-1+SUMPRODUCT(MAX(ROW(E3519:E$2)*(E3520=E3519:E$2)))))</f>
        <v> </v>
      </c>
      <c r="J3520" s="25" t="str">
        <f>IF(OR(E3520="",E3520="!!!",F3520="NEW"),"",COUNTBLANK(OFFSET(A$1,,,SUMPRODUCT(MAX(ROW(E$2:E3520)*(E3520=E$2:E3520)))))-COUNTBLANK(OFFSET(A$1,,,SUMPRODUCT(MAX(ROW(E$1:E3519)*(E2=E$1:E3519))))))</f>
        <v> </v>
      </c>
      <c r="K3520" s="25" t="str">
        <f>IF(OR(E3520="",E3520="!!!",F3520="NEW"),"",INDEX(J$1:J3519,SUMPRODUCT(MAX(ROW(E$1:E3519)*(E3520=E$1:E3519)))))</f>
        <v> </v>
      </c>
      <c r="L3520" s="26"/>
    </row>
    <row r="3521" spans="1:12">
      <c r="A3521" s="20" t="s">
        <v>1105</v>
      </c>
      <c r="B3521" s="27" t="s">
        <v>1074</v>
      </c>
      <c r="C3521" s="27" t="s">
        <v>1086</v>
      </c>
      <c r="D3521" s="27" t="s">
        <v>1069</v>
      </c>
      <c r="E3521" s="21">
        <f>IF(D3521="?OLD","!!!","")</f>
        <v/>
      </c>
      <c r="F3521" s="22" t="str">
        <f>IF(OR(E3521="",E3521="!!!"),"",IF(NOT(ISNA(VLOOKUP(E3521,E$1:E3520,1,FALSE()))),"OLD",IF(AND(E3521&lt;&gt;"",E3521&lt;&gt;"!!!"),"NEW","")))</f>
        <v> </v>
      </c>
      <c r="G3521" s="23" t="str">
        <f>IF(OR(E3521="",E3521="!!!"),"",IF(OR(J3521=0,AND(J3521=1,K3521=1),AND(J3521=1,I3521="SBJ"),AND(J3521=1,I3521=0)),"?IN_FOCUS",IF(J3521&lt;=2,"?ACTIVATED",IF(J3521&lt;&gt;"","?FAMILIAR",IF(F3521="NEW",IF(ISNA(VLOOKUP(E3521,#REF!,1,FALSE())),"?TYPE_IDENTIFIABLE","?REFERENTIAL"),"_")))))</f>
        <v> </v>
      </c>
      <c r="H3521" s="24" t="str">
        <f>IF(J3521&lt;&gt;1,"",IF(I3521="SBJ","CB","?"))</f>
        <v> </v>
      </c>
      <c r="I3521" s="25" t="str">
        <f>IF(OR(E3521="",E3521="!!!",F3521="NEW"),"",INDEX(B3520:B$2,-1+SUMPRODUCT(MAX(ROW(E3520:E$2)*(E3521=E3520:E$2)))))</f>
        <v> </v>
      </c>
      <c r="J3521" s="25" t="str">
        <f>IF(OR(E3521="",E3521="!!!",F3521="NEW"),"",COUNTBLANK(OFFSET(A$1,,,SUMPRODUCT(MAX(ROW(E$2:E3521)*(E3521=E$2:E3521)))))-COUNTBLANK(OFFSET(A$1,,,SUMPRODUCT(MAX(ROW(E$1:E3520)*(E2=E$1:E3520))))))</f>
        <v> </v>
      </c>
      <c r="K3521" s="25" t="str">
        <f>IF(OR(E3521="",E3521="!!!",F3521="NEW"),"",INDEX(J$1:J3520,SUMPRODUCT(MAX(ROW(E$1:E3520)*(E3521=E$1:E3520)))))</f>
        <v> </v>
      </c>
      <c r="L3521" s="26"/>
    </row>
    <row r="3522" spans="1:12">
      <c r="A3522" s="20" t="s">
        <v>1087</v>
      </c>
      <c r="E3522" s="21">
        <f>IF(D3522="?OLD","!!!","")</f>
        <v/>
      </c>
      <c r="F3522" s="22" t="str">
        <f>IF(OR(E3522="",E3522="!!!"),"",IF(NOT(ISNA(VLOOKUP(E3522,E$1:E3521,1,FALSE()))),"OLD",IF(AND(E3522&lt;&gt;"",E3522&lt;&gt;"!!!"),"NEW","")))</f>
        <v> </v>
      </c>
      <c r="G3522" s="23" t="str">
        <f>IF(OR(E3522="",E3522="!!!"),"",IF(OR(J3522=0,AND(J3522=1,K3522=1),AND(J3522=1,I3522="SBJ"),AND(J3522=1,I3522=0)),"?IN_FOCUS",IF(J3522&lt;=2,"?ACTIVATED",IF(J3522&lt;&gt;"","?FAMILIAR",IF(F3522="NEW",IF(ISNA(VLOOKUP(E3522,#REF!,1,FALSE())),"?TYPE_IDENTIFIABLE","?REFERENTIAL"),"_")))))</f>
        <v> </v>
      </c>
      <c r="H3522" s="24" t="str">
        <f>IF(J3522&lt;&gt;1,"",IF(I3522="SBJ","CB","?"))</f>
        <v> </v>
      </c>
      <c r="I3522" s="25" t="str">
        <f>IF(OR(E3522="",E3522="!!!",F3522="NEW"),"",INDEX(B3521:B$2,-1+SUMPRODUCT(MAX(ROW(E3521:E$2)*(E3522=E3521:E$2)))))</f>
        <v> </v>
      </c>
      <c r="J3522" s="25" t="str">
        <f>IF(OR(E3522="",E3522="!!!",F3522="NEW"),"",COUNTBLANK(OFFSET(A$1,,,SUMPRODUCT(MAX(ROW(E$2:E3522)*(E3522=E$2:E3522)))))-COUNTBLANK(OFFSET(A$1,,,SUMPRODUCT(MAX(ROW(E$1:E3521)*(E2=E$1:E3521))))))</f>
        <v> </v>
      </c>
      <c r="K3522" s="25" t="str">
        <f>IF(OR(E3522="",E3522="!!!",F3522="NEW"),"",INDEX(J$1:J3521,SUMPRODUCT(MAX(ROW(E$1:E3521)*(E3522=E$1:E3521)))))</f>
        <v> </v>
      </c>
      <c r="L3522" s="26"/>
    </row>
    <row r="3523" spans="1:12">
      <c r="A3523" s="20" t="s">
        <v>1104</v>
      </c>
      <c r="B3523" s="27" t="s">
        <v>1133</v>
      </c>
      <c r="E3523" s="21">
        <f>IF(D3523="?OLD","!!!","")</f>
        <v/>
      </c>
      <c r="F3523" s="22" t="str">
        <f>IF(OR(E3523="",E3523="!!!"),"",IF(NOT(ISNA(VLOOKUP(E3523,E$1:E3522,1,FALSE()))),"OLD",IF(AND(E3523&lt;&gt;"",E3523&lt;&gt;"!!!"),"NEW","")))</f>
        <v> </v>
      </c>
      <c r="G3523" s="23" t="str">
        <f>IF(OR(E3523="",E3523="!!!"),"",IF(OR(J3523=0,AND(J3523=1,K3523=1),AND(J3523=1,I3523="SBJ"),AND(J3523=1,I3523=0)),"?IN_FOCUS",IF(J3523&lt;=2,"?ACTIVATED",IF(J3523&lt;&gt;"","?FAMILIAR",IF(F3523="NEW",IF(ISNA(VLOOKUP(E3523,#REF!,1,FALSE())),"?TYPE_IDENTIFIABLE","?REFERENTIAL"),"_")))))</f>
        <v> </v>
      </c>
      <c r="H3523" s="24" t="str">
        <f>IF(J3523&lt;&gt;1,"",IF(I3523="SBJ","CB","?"))</f>
        <v> </v>
      </c>
      <c r="I3523" s="25" t="str">
        <f>IF(OR(E3523="",E3523="!!!",F3523="NEW"),"",INDEX(B3522:B$2,-1+SUMPRODUCT(MAX(ROW(E3522:E$2)*(E3523=E3522:E$2)))))</f>
        <v> </v>
      </c>
      <c r="J3523" s="25" t="str">
        <f>IF(OR(E3523="",E3523="!!!",F3523="NEW"),"",COUNTBLANK(OFFSET(A$1,,,SUMPRODUCT(MAX(ROW(E$2:E3523)*(E3523=E$2:E3523)))))-COUNTBLANK(OFFSET(A$1,,,SUMPRODUCT(MAX(ROW(E$1:E3522)*(E2=E$1:E3522))))))</f>
        <v> </v>
      </c>
      <c r="K3523" s="25" t="str">
        <f>IF(OR(E3523="",E3523="!!!",F3523="NEW"),"",INDEX(J$1:J3522,SUMPRODUCT(MAX(ROW(E$1:E3522)*(E3523=E$1:E3522)))))</f>
        <v> </v>
      </c>
      <c r="L3523" s="26"/>
    </row>
    <row r="3524" spans="1:12">
      <c r="A3524" s="20" t="s">
        <v>1199</v>
      </c>
      <c r="E3524" s="21">
        <f>IF(D3524="?OLD","!!!","")</f>
        <v/>
      </c>
      <c r="F3524" s="22" t="str">
        <f>IF(OR(E3524="",E3524="!!!"),"",IF(NOT(ISNA(VLOOKUP(E3524,E$1:E3523,1,FALSE()))),"OLD",IF(AND(E3524&lt;&gt;"",E3524&lt;&gt;"!!!"),"NEW","")))</f>
        <v> </v>
      </c>
      <c r="G3524" s="23" t="str">
        <f>IF(OR(E3524="",E3524="!!!"),"",IF(OR(J3524=0,AND(J3524=1,K3524=1),AND(J3524=1,I3524="SBJ"),AND(J3524=1,I3524=0)),"?IN_FOCUS",IF(J3524&lt;=2,"?ACTIVATED",IF(J3524&lt;&gt;"","?FAMILIAR",IF(F3524="NEW",IF(ISNA(VLOOKUP(E3524,#REF!,1,FALSE())),"?TYPE_IDENTIFIABLE","?REFERENTIAL"),"_")))))</f>
        <v> </v>
      </c>
      <c r="H3524" s="24" t="str">
        <f>IF(J3524&lt;&gt;1,"",IF(I3524="SBJ","CB","?"))</f>
        <v> </v>
      </c>
      <c r="I3524" s="25" t="str">
        <f>IF(OR(E3524="",E3524="!!!",F3524="NEW"),"",INDEX(B3523:B$2,-1+SUMPRODUCT(MAX(ROW(E3523:E$2)*(E3524=E3523:E$2)))))</f>
        <v> </v>
      </c>
      <c r="J3524" s="25" t="str">
        <f>IF(OR(E3524="",E3524="!!!",F3524="NEW"),"",COUNTBLANK(OFFSET(A$1,,,SUMPRODUCT(MAX(ROW(E$2:E3524)*(E3524=E$2:E3524)))))-COUNTBLANK(OFFSET(A$1,,,SUMPRODUCT(MAX(ROW(E$1:E3523)*(E2=E$1:E3523))))))</f>
        <v> </v>
      </c>
      <c r="K3524" s="25" t="str">
        <f>IF(OR(E3524="",E3524="!!!",F3524="NEW"),"",INDEX(J$1:J3523,SUMPRODUCT(MAX(ROW(E$1:E3523)*(E3524=E$1:E3523)))))</f>
        <v> </v>
      </c>
      <c r="L3524" s="26"/>
    </row>
    <row r="3525" spans="1:12">
      <c r="A3525" s="20" t="s">
        <v>1097</v>
      </c>
      <c r="E3525" s="21">
        <f>IF(D3525="?OLD","!!!","")</f>
        <v/>
      </c>
      <c r="F3525" s="22" t="str">
        <f>IF(OR(E3525="",E3525="!!!"),"",IF(NOT(ISNA(VLOOKUP(E3525,E$1:E3524,1,FALSE()))),"OLD",IF(AND(E3525&lt;&gt;"",E3525&lt;&gt;"!!!"),"NEW","")))</f>
        <v> </v>
      </c>
      <c r="G3525" s="23" t="str">
        <f>IF(OR(E3525="",E3525="!!!"),"",IF(OR(J3525=0,AND(J3525=1,K3525=1),AND(J3525=1,I3525="SBJ"),AND(J3525=1,I3525=0)),"?IN_FOCUS",IF(J3525&lt;=2,"?ACTIVATED",IF(J3525&lt;&gt;"","?FAMILIAR",IF(F3525="NEW",IF(ISNA(VLOOKUP(E3525,#REF!,1,FALSE())),"?TYPE_IDENTIFIABLE","?REFERENTIAL"),"_")))))</f>
        <v> </v>
      </c>
      <c r="H3525" s="24" t="str">
        <f>IF(J3525&lt;&gt;1,"",IF(I3525="SBJ","CB","?"))</f>
        <v> </v>
      </c>
      <c r="I3525" s="25" t="str">
        <f>IF(OR(E3525="",E3525="!!!",F3525="NEW"),"",INDEX(B3524:B$2,-1+SUMPRODUCT(MAX(ROW(E3524:E$2)*(E3525=E3524:E$2)))))</f>
        <v> </v>
      </c>
      <c r="J3525" s="25" t="str">
        <f>IF(OR(E3525="",E3525="!!!",F3525="NEW"),"",COUNTBLANK(OFFSET(A$1,,,SUMPRODUCT(MAX(ROW(E$2:E3525)*(E3525=E$2:E3525)))))-COUNTBLANK(OFFSET(A$1,,,SUMPRODUCT(MAX(ROW(E$1:E3524)*(E2=E$1:E3524))))))</f>
        <v> </v>
      </c>
      <c r="K3525" s="25" t="str">
        <f>IF(OR(E3525="",E3525="!!!",F3525="NEW"),"",INDEX(J$1:J3524,SUMPRODUCT(MAX(ROW(E$1:E3524)*(E3525=E$1:E3524)))))</f>
        <v> </v>
      </c>
      <c r="L3525" s="26"/>
    </row>
    <row r="3526" spans="1:12">
      <c r="A3526" s="20" t="s">
        <v>2208</v>
      </c>
      <c r="B3526" s="27" t="s">
        <v>1092</v>
      </c>
      <c r="C3526" s="27" t="s">
        <v>1086</v>
      </c>
      <c r="D3526" s="27" t="s">
        <v>1069</v>
      </c>
      <c r="E3526" s="21">
        <f>IF(D3526="?OLD","!!!","")</f>
        <v/>
      </c>
      <c r="F3526" s="22" t="str">
        <f>IF(OR(E3526="",E3526="!!!"),"",IF(NOT(ISNA(VLOOKUP(E3526,E$1:E3525,1,FALSE()))),"OLD",IF(AND(E3526&lt;&gt;"",E3526&lt;&gt;"!!!"),"NEW","")))</f>
        <v> </v>
      </c>
      <c r="G3526" s="23" t="str">
        <f>IF(OR(E3526="",E3526="!!!"),"",IF(OR(J3526=0,AND(J3526=1,K3526=1),AND(J3526=1,I3526="SBJ"),AND(J3526=1,I3526=0)),"?IN_FOCUS",IF(J3526&lt;=2,"?ACTIVATED",IF(J3526&lt;&gt;"","?FAMILIAR",IF(F3526="NEW",IF(ISNA(VLOOKUP(E3526,#REF!,1,FALSE())),"?TYPE_IDENTIFIABLE","?REFERENTIAL"),"_")))))</f>
        <v> </v>
      </c>
      <c r="H3526" s="24" t="str">
        <f>IF(J3526&lt;&gt;1,"",IF(I3526="SBJ","CB","?"))</f>
        <v> </v>
      </c>
      <c r="I3526" s="25" t="str">
        <f>IF(OR(E3526="",E3526="!!!",F3526="NEW"),"",INDEX(B3525:B$2,-1+SUMPRODUCT(MAX(ROW(E3525:E$2)*(E3526=E3525:E$2)))))</f>
        <v> </v>
      </c>
      <c r="J3526" s="25" t="str">
        <f>IF(OR(E3526="",E3526="!!!",F3526="NEW"),"",COUNTBLANK(OFFSET(A$1,,,SUMPRODUCT(MAX(ROW(E$2:E3526)*(E3526=E$2:E3526)))))-COUNTBLANK(OFFSET(A$1,,,SUMPRODUCT(MAX(ROW(E$1:E3525)*(E2=E$1:E3525))))))</f>
        <v> </v>
      </c>
      <c r="K3526" s="25" t="str">
        <f>IF(OR(E3526="",E3526="!!!",F3526="NEW"),"",INDEX(J$1:J3525,SUMPRODUCT(MAX(ROW(E$1:E3525)*(E3526=E$1:E3525)))))</f>
        <v> </v>
      </c>
      <c r="L3526" s="26"/>
    </row>
    <row r="3527" spans="1:12">
      <c r="A3527" s="20" t="s">
        <v>2209</v>
      </c>
      <c r="E3527" s="21">
        <f>IF(D3527="?OLD","!!!","")</f>
        <v/>
      </c>
      <c r="F3527" s="22" t="str">
        <f>IF(OR(E3527="",E3527="!!!"),"",IF(NOT(ISNA(VLOOKUP(E3527,E$1:E3526,1,FALSE()))),"OLD",IF(AND(E3527&lt;&gt;"",E3527&lt;&gt;"!!!"),"NEW","")))</f>
        <v> </v>
      </c>
      <c r="G3527" s="23" t="str">
        <f>IF(OR(E3527="",E3527="!!!"),"",IF(OR(J3527=0,AND(J3527=1,K3527=1),AND(J3527=1,I3527="SBJ"),AND(J3527=1,I3527=0)),"?IN_FOCUS",IF(J3527&lt;=2,"?ACTIVATED",IF(J3527&lt;&gt;"","?FAMILIAR",IF(F3527="NEW",IF(ISNA(VLOOKUP(E3527,#REF!,1,FALSE())),"?TYPE_IDENTIFIABLE","?REFERENTIAL"),"_")))))</f>
        <v> </v>
      </c>
      <c r="H3527" s="24" t="str">
        <f>IF(J3527&lt;&gt;1,"",IF(I3527="SBJ","CB","?"))</f>
        <v> </v>
      </c>
      <c r="I3527" s="25" t="str">
        <f>IF(OR(E3527="",E3527="!!!",F3527="NEW"),"",INDEX(B3526:B$2,-1+SUMPRODUCT(MAX(ROW(E3526:E$2)*(E3527=E3526:E$2)))))</f>
        <v> </v>
      </c>
      <c r="J3527" s="25" t="str">
        <f>IF(OR(E3527="",E3527="!!!",F3527="NEW"),"",COUNTBLANK(OFFSET(A$1,,,SUMPRODUCT(MAX(ROW(E$2:E3527)*(E3527=E$2:E3527)))))-COUNTBLANK(OFFSET(A$1,,,SUMPRODUCT(MAX(ROW(E$1:E3526)*(E2=E$1:E3526))))))</f>
        <v> </v>
      </c>
      <c r="K3527" s="25" t="str">
        <f>IF(OR(E3527="",E3527="!!!",F3527="NEW"),"",INDEX(J$1:J3526,SUMPRODUCT(MAX(ROW(E$1:E3526)*(E3527=E$1:E3526)))))</f>
        <v> </v>
      </c>
      <c r="L3527" s="26"/>
    </row>
    <row r="3528" spans="1:12">
      <c r="A3528" s="20" t="s">
        <v>46</v>
      </c>
      <c r="E3528" s="21">
        <f>IF(D3528="?OLD","!!!","")</f>
        <v/>
      </c>
      <c r="F3528" s="22" t="str">
        <f>IF(OR(E3528="",E3528="!!!"),"",IF(NOT(ISNA(VLOOKUP(E3528,E$1:E3527,1,FALSE()))),"OLD",IF(AND(E3528&lt;&gt;"",E3528&lt;&gt;"!!!"),"NEW","")))</f>
        <v> </v>
      </c>
      <c r="G3528" s="23" t="str">
        <f>IF(OR(E3528="",E3528="!!!"),"",IF(OR(J3528=0,AND(J3528=1,K3528=1),AND(J3528=1,I3528="SBJ"),AND(J3528=1,I3528=0)),"?IN_FOCUS",IF(J3528&lt;=2,"?ACTIVATED",IF(J3528&lt;&gt;"","?FAMILIAR",IF(F3528="NEW",IF(ISNA(VLOOKUP(E3528,#REF!,1,FALSE())),"?TYPE_IDENTIFIABLE","?REFERENTIAL"),"_")))))</f>
        <v> </v>
      </c>
      <c r="H3528" s="24" t="str">
        <f>IF(J3528&lt;&gt;1,"",IF(I3528="SBJ","CB","?"))</f>
        <v> </v>
      </c>
      <c r="I3528" s="25" t="str">
        <f>IF(OR(E3528="",E3528="!!!",F3528="NEW"),"",INDEX(B3527:B$2,-1+SUMPRODUCT(MAX(ROW(E3527:E$2)*(E3528=E3527:E$2)))))</f>
        <v> </v>
      </c>
      <c r="J3528" s="25" t="str">
        <f>IF(OR(E3528="",E3528="!!!",F3528="NEW"),"",COUNTBLANK(OFFSET(A$1,,,SUMPRODUCT(MAX(ROW(E$2:E3528)*(E3528=E$2:E3528)))))-COUNTBLANK(OFFSET(A$1,,,SUMPRODUCT(MAX(ROW(E$1:E3527)*(E2=E$1:E3527))))))</f>
        <v> </v>
      </c>
      <c r="K3528" s="25" t="str">
        <f>IF(OR(E3528="",E3528="!!!",F3528="NEW"),"",INDEX(J$1:J3527,SUMPRODUCT(MAX(ROW(E$1:E3527)*(E3528=E$1:E3527)))))</f>
        <v> </v>
      </c>
      <c r="L3528" s="26"/>
    </row>
    <row r="3529" spans="1:12">
      <c r="A3529" s="20" t="s">
        <v>1080</v>
      </c>
      <c r="E3529" s="21">
        <f>IF(D3529="?OLD","!!!","")</f>
        <v/>
      </c>
      <c r="F3529" s="22" t="str">
        <f>IF(OR(E3529="",E3529="!!!"),"",IF(NOT(ISNA(VLOOKUP(E3529,E$1:E3528,1,FALSE()))),"OLD",IF(AND(E3529&lt;&gt;"",E3529&lt;&gt;"!!!"),"NEW","")))</f>
        <v> </v>
      </c>
      <c r="G3529" s="23" t="str">
        <f>IF(OR(E3529="",E3529="!!!"),"",IF(OR(J3529=0,AND(J3529=1,K3529=1),AND(J3529=1,I3529="SBJ"),AND(J3529=1,I3529=0)),"?IN_FOCUS",IF(J3529&lt;=2,"?ACTIVATED",IF(J3529&lt;&gt;"","?FAMILIAR",IF(F3529="NEW",IF(ISNA(VLOOKUP(E3529,#REF!,1,FALSE())),"?TYPE_IDENTIFIABLE","?REFERENTIAL"),"_")))))</f>
        <v> </v>
      </c>
      <c r="H3529" s="24" t="str">
        <f>IF(J3529&lt;&gt;1,"",IF(I3529="SBJ","CB","?"))</f>
        <v> </v>
      </c>
      <c r="I3529" s="25" t="str">
        <f>IF(OR(E3529="",E3529="!!!",F3529="NEW"),"",INDEX(B3528:B$2,-1+SUMPRODUCT(MAX(ROW(E3528:E$2)*(E3529=E3528:E$2)))))</f>
        <v> </v>
      </c>
      <c r="J3529" s="25" t="str">
        <f>IF(OR(E3529="",E3529="!!!",F3529="NEW"),"",COUNTBLANK(OFFSET(A$1,,,SUMPRODUCT(MAX(ROW(E$2:E3529)*(E3529=E$2:E3529)))))-COUNTBLANK(OFFSET(A$1,,,SUMPRODUCT(MAX(ROW(E$1:E3528)*(E2=E$1:E3528))))))</f>
        <v> </v>
      </c>
      <c r="K3529" s="25" t="str">
        <f>IF(OR(E3529="",E3529="!!!",F3529="NEW"),"",INDEX(J$1:J3528,SUMPRODUCT(MAX(ROW(E$1:E3528)*(E3529=E$1:E3528)))))</f>
        <v> </v>
      </c>
      <c r="L3529" s="26"/>
    </row>
    <row r="3530" spans="1:12">
      <c r="A3530" s="20"/>
    </row>
    <row r="3531" spans="1:12">
      <c r="A3531" s="20" t="s">
        <v>2210</v>
      </c>
    </row>
    <row r="3532" spans="1:12">
      <c r="A3532" s="20" t="s">
        <v>1158</v>
      </c>
      <c r="B3532" s="27" t="s">
        <v>1067</v>
      </c>
      <c r="C3532" s="27" t="s">
        <v>1068</v>
      </c>
      <c r="D3532" s="27" t="s">
        <v>1069</v>
      </c>
      <c r="E3532" s="21">
        <f>IF(D3532="?OLD","!!!","")</f>
        <v/>
      </c>
      <c r="F3532" s="22" t="str">
        <f>IF(OR(E3532="",E3532="!!!"),"",IF(NOT(ISNA(VLOOKUP(E3532,E$1:E3531,1,FALSE()))),"OLD",IF(AND(E3532&lt;&gt;"",E3532&lt;&gt;"!!!"),"NEW","")))</f>
        <v> </v>
      </c>
      <c r="G3532" s="23" t="str">
        <f>IF(OR(E3532="",E3532="!!!"),"",IF(OR(J3532=0,AND(J3532=1,K3532=1),AND(J3532=1,I3532="SBJ"),AND(J3532=1,I3532=0)),"?IN_FOCUS",IF(J3532&lt;=2,"?ACTIVATED",IF(J3532&lt;&gt;"","?FAMILIAR",IF(F3532="NEW",IF(ISNA(VLOOKUP(E3532,#REF!,1,FALSE())),"?TYPE_IDENTIFIABLE","?REFERENTIAL"),"_")))))</f>
        <v> </v>
      </c>
      <c r="H3532" s="24" t="str">
        <f>IF(J3532&lt;&gt;1,"",IF(I3532="SBJ","CB","?"))</f>
        <v> </v>
      </c>
      <c r="I3532" s="25" t="str">
        <f>IF(OR(E3532="",E3532="!!!",F3532="NEW"),"",INDEX(B3531:B$2,-1+SUMPRODUCT(MAX(ROW(E3531:E$2)*(E3532=E3531:E$2)))))</f>
        <v> </v>
      </c>
      <c r="J3532" s="25" t="str">
        <f>IF(OR(E3532="",E3532="!!!",F3532="NEW"),"",COUNTBLANK(OFFSET(A$1,,,SUMPRODUCT(MAX(ROW(E$2:E3532)*(E3532=E$2:E3532)))))-COUNTBLANK(OFFSET(A$1,,,SUMPRODUCT(MAX(ROW(E$1:E3531)*(E2=E$1:E3531))))))</f>
        <v> </v>
      </c>
      <c r="K3532" s="25" t="str">
        <f>IF(OR(E3532="",E3532="!!!",F3532="NEW"),"",INDEX(J$1:J3531,SUMPRODUCT(MAX(ROW(E$1:E3531)*(E3532=E$1:E3531)))))</f>
        <v> </v>
      </c>
      <c r="L3532" s="26"/>
    </row>
    <row r="3533" spans="1:12">
      <c r="A3533" s="20" t="s">
        <v>1191</v>
      </c>
      <c r="E3533" s="21">
        <f>IF(D3533="?OLD","!!!","")</f>
        <v/>
      </c>
      <c r="F3533" s="22" t="str">
        <f>IF(OR(E3533="",E3533="!!!"),"",IF(NOT(ISNA(VLOOKUP(E3533,E$1:E3532,1,FALSE()))),"OLD",IF(AND(E3533&lt;&gt;"",E3533&lt;&gt;"!!!"),"NEW","")))</f>
        <v> </v>
      </c>
      <c r="G3533" s="23" t="str">
        <f>IF(OR(E3533="",E3533="!!!"),"",IF(OR(J3533=0,AND(J3533=1,K3533=1),AND(J3533=1,I3533="SBJ"),AND(J3533=1,I3533=0)),"?IN_FOCUS",IF(J3533&lt;=2,"?ACTIVATED",IF(J3533&lt;&gt;"","?FAMILIAR",IF(F3533="NEW",IF(ISNA(VLOOKUP(E3533,#REF!,1,FALSE())),"?TYPE_IDENTIFIABLE","?REFERENTIAL"),"_")))))</f>
        <v> </v>
      </c>
      <c r="H3533" s="24" t="str">
        <f>IF(J3533&lt;&gt;1,"",IF(I3533="SBJ","CB","?"))</f>
        <v> </v>
      </c>
      <c r="I3533" s="25" t="str">
        <f>IF(OR(E3533="",E3533="!!!",F3533="NEW"),"",INDEX(B3532:B$2,-1+SUMPRODUCT(MAX(ROW(E3532:E$2)*(E3533=E3532:E$2)))))</f>
        <v> </v>
      </c>
      <c r="J3533" s="25" t="str">
        <f>IF(OR(E3533="",E3533="!!!",F3533="NEW"),"",COUNTBLANK(OFFSET(A$1,,,SUMPRODUCT(MAX(ROW(E$2:E3533)*(E3533=E$2:E3533)))))-COUNTBLANK(OFFSET(A$1,,,SUMPRODUCT(MAX(ROW(E$1:E3532)*(E2=E$1:E3532))))))</f>
        <v> </v>
      </c>
      <c r="K3533" s="25" t="str">
        <f>IF(OR(E3533="",E3533="!!!",F3533="NEW"),"",INDEX(J$1:J3532,SUMPRODUCT(MAX(ROW(E$1:E3532)*(E3533=E$1:E3532)))))</f>
        <v> </v>
      </c>
      <c r="L3533" s="26"/>
    </row>
    <row r="3534" spans="1:12">
      <c r="A3534" s="20" t="s">
        <v>141</v>
      </c>
      <c r="E3534" s="21">
        <f>IF(D3534="?OLD","!!!","")</f>
        <v/>
      </c>
      <c r="F3534" s="22" t="str">
        <f>IF(OR(E3534="",E3534="!!!"),"",IF(NOT(ISNA(VLOOKUP(E3534,E$1:E3533,1,FALSE()))),"OLD",IF(AND(E3534&lt;&gt;"",E3534&lt;&gt;"!!!"),"NEW","")))</f>
        <v> </v>
      </c>
      <c r="G3534" s="23" t="str">
        <f>IF(OR(E3534="",E3534="!!!"),"",IF(OR(J3534=0,AND(J3534=1,K3534=1),AND(J3534=1,I3534="SBJ"),AND(J3534=1,I3534=0)),"?IN_FOCUS",IF(J3534&lt;=2,"?ACTIVATED",IF(J3534&lt;&gt;"","?FAMILIAR",IF(F3534="NEW",IF(ISNA(VLOOKUP(E3534,#REF!,1,FALSE())),"?TYPE_IDENTIFIABLE","?REFERENTIAL"),"_")))))</f>
        <v> </v>
      </c>
      <c r="H3534" s="24" t="str">
        <f>IF(J3534&lt;&gt;1,"",IF(I3534="SBJ","CB","?"))</f>
        <v> </v>
      </c>
      <c r="I3534" s="25" t="str">
        <f>IF(OR(E3534="",E3534="!!!",F3534="NEW"),"",INDEX(B3533:B$2,-1+SUMPRODUCT(MAX(ROW(E3533:E$2)*(E3534=E3533:E$2)))))</f>
        <v> </v>
      </c>
      <c r="J3534" s="25" t="str">
        <f>IF(OR(E3534="",E3534="!!!",F3534="NEW"),"",COUNTBLANK(OFFSET(A$1,,,SUMPRODUCT(MAX(ROW(E$2:E3534)*(E3534=E$2:E3534)))))-COUNTBLANK(OFFSET(A$1,,,SUMPRODUCT(MAX(ROW(E$1:E3533)*(E2=E$1:E3533))))))</f>
        <v> </v>
      </c>
      <c r="K3534" s="25" t="str">
        <f>IF(OR(E3534="",E3534="!!!",F3534="NEW"),"",INDEX(J$1:J3533,SUMPRODUCT(MAX(ROW(E$1:E3533)*(E3534=E$1:E3533)))))</f>
        <v> </v>
      </c>
      <c r="L3534" s="26"/>
    </row>
    <row r="3535" spans="1:12">
      <c r="A3535" s="20" t="s">
        <v>1137</v>
      </c>
      <c r="E3535" s="21">
        <f>IF(D3535="?OLD","!!!","")</f>
        <v/>
      </c>
      <c r="F3535" s="22" t="str">
        <f>IF(OR(E3535="",E3535="!!!"),"",IF(NOT(ISNA(VLOOKUP(E3535,E$1:E3534,1,FALSE()))),"OLD",IF(AND(E3535&lt;&gt;"",E3535&lt;&gt;"!!!"),"NEW","")))</f>
        <v> </v>
      </c>
      <c r="G3535" s="23" t="str">
        <f>IF(OR(E3535="",E3535="!!!"),"",IF(OR(J3535=0,AND(J3535=1,K3535=1),AND(J3535=1,I3535="SBJ"),AND(J3535=1,I3535=0)),"?IN_FOCUS",IF(J3535&lt;=2,"?ACTIVATED",IF(J3535&lt;&gt;"","?FAMILIAR",IF(F3535="NEW",IF(ISNA(VLOOKUP(E3535,#REF!,1,FALSE())),"?TYPE_IDENTIFIABLE","?REFERENTIAL"),"_")))))</f>
        <v> </v>
      </c>
      <c r="H3535" s="24" t="str">
        <f>IF(J3535&lt;&gt;1,"",IF(I3535="SBJ","CB","?"))</f>
        <v> </v>
      </c>
      <c r="I3535" s="25" t="str">
        <f>IF(OR(E3535="",E3535="!!!",F3535="NEW"),"",INDEX(B3534:B$2,-1+SUMPRODUCT(MAX(ROW(E3534:E$2)*(E3535=E3534:E$2)))))</f>
        <v> </v>
      </c>
      <c r="J3535" s="25" t="str">
        <f>IF(OR(E3535="",E3535="!!!",F3535="NEW"),"",COUNTBLANK(OFFSET(A$1,,,SUMPRODUCT(MAX(ROW(E$2:E3535)*(E3535=E$2:E3535)))))-COUNTBLANK(OFFSET(A$1,,,SUMPRODUCT(MAX(ROW(E$1:E3534)*(E2=E$1:E3534))))))</f>
        <v> </v>
      </c>
      <c r="K3535" s="25" t="str">
        <f>IF(OR(E3535="",E3535="!!!",F3535="NEW"),"",INDEX(J$1:J3534,SUMPRODUCT(MAX(ROW(E$1:E3534)*(E3535=E$1:E3534)))))</f>
        <v> </v>
      </c>
      <c r="L3535" s="26"/>
    </row>
    <row r="3536" spans="1:12">
      <c r="A3536" s="20" t="s">
        <v>686</v>
      </c>
      <c r="B3536" s="27" t="s">
        <v>1074</v>
      </c>
      <c r="C3536" s="27" t="s">
        <v>1120</v>
      </c>
      <c r="E3536" s="21">
        <f>IF(D3536="?OLD","!!!","")</f>
        <v/>
      </c>
      <c r="F3536" s="22" t="str">
        <f>IF(OR(E3536="",E3536="!!!"),"",IF(NOT(ISNA(VLOOKUP(E3536,E$1:E3535,1,FALSE()))),"OLD",IF(AND(E3536&lt;&gt;"",E3536&lt;&gt;"!!!"),"NEW","")))</f>
        <v> </v>
      </c>
      <c r="G3536" s="23" t="str">
        <f>IF(OR(E3536="",E3536="!!!"),"",IF(OR(J3536=0,AND(J3536=1,K3536=1),AND(J3536=1,I3536="SBJ"),AND(J3536=1,I3536=0)),"?IN_FOCUS",IF(J3536&lt;=2,"?ACTIVATED",IF(J3536&lt;&gt;"","?FAMILIAR",IF(F3536="NEW",IF(ISNA(VLOOKUP(E3536,#REF!,1,FALSE())),"?TYPE_IDENTIFIABLE","?REFERENTIAL"),"_")))))</f>
        <v> </v>
      </c>
      <c r="H3536" s="24" t="str">
        <f>IF(J3536&lt;&gt;1,"",IF(I3536="SBJ","CB","?"))</f>
        <v> </v>
      </c>
      <c r="I3536" s="25" t="str">
        <f>IF(OR(E3536="",E3536="!!!",F3536="NEW"),"",INDEX(B3535:B$2,-1+SUMPRODUCT(MAX(ROW(E3535:E$2)*(E3536=E3535:E$2)))))</f>
        <v> </v>
      </c>
      <c r="J3536" s="25" t="str">
        <f>IF(OR(E3536="",E3536="!!!",F3536="NEW"),"",COUNTBLANK(OFFSET(A$1,,,SUMPRODUCT(MAX(ROW(E$2:E3536)*(E3536=E$2:E3536)))))-COUNTBLANK(OFFSET(A$1,,,SUMPRODUCT(MAX(ROW(E$1:E3535)*(E2=E$1:E3535))))))</f>
        <v> </v>
      </c>
      <c r="K3536" s="25" t="str">
        <f>IF(OR(E3536="",E3536="!!!",F3536="NEW"),"",INDEX(J$1:J3535,SUMPRODUCT(MAX(ROW(E$1:E3535)*(E3536=E$1:E3535)))))</f>
        <v> </v>
      </c>
      <c r="L3536" s="26"/>
    </row>
    <row r="3537" spans="1:12">
      <c r="A3537" s="20" t="s">
        <v>1087</v>
      </c>
      <c r="E3537" s="21">
        <f>IF(D3537="?OLD","!!!","")</f>
        <v/>
      </c>
      <c r="F3537" s="22" t="str">
        <f>IF(OR(E3537="",E3537="!!!"),"",IF(NOT(ISNA(VLOOKUP(E3537,E$1:E3536,1,FALSE()))),"OLD",IF(AND(E3537&lt;&gt;"",E3537&lt;&gt;"!!!"),"NEW","")))</f>
        <v> </v>
      </c>
      <c r="G3537" s="23" t="str">
        <f>IF(OR(E3537="",E3537="!!!"),"",IF(OR(J3537=0,AND(J3537=1,K3537=1),AND(J3537=1,I3537="SBJ"),AND(J3537=1,I3537=0)),"?IN_FOCUS",IF(J3537&lt;=2,"?ACTIVATED",IF(J3537&lt;&gt;"","?FAMILIAR",IF(F3537="NEW",IF(ISNA(VLOOKUP(E3537,#REF!,1,FALSE())),"?TYPE_IDENTIFIABLE","?REFERENTIAL"),"_")))))</f>
        <v> </v>
      </c>
      <c r="H3537" s="24" t="str">
        <f>IF(J3537&lt;&gt;1,"",IF(I3537="SBJ","CB","?"))</f>
        <v> </v>
      </c>
      <c r="I3537" s="25" t="str">
        <f>IF(OR(E3537="",E3537="!!!",F3537="NEW"),"",INDEX(B3536:B$2,-1+SUMPRODUCT(MAX(ROW(E3536:E$2)*(E3537=E3536:E$2)))))</f>
        <v> </v>
      </c>
      <c r="J3537" s="25" t="str">
        <f>IF(OR(E3537="",E3537="!!!",F3537="NEW"),"",COUNTBLANK(OFFSET(A$1,,,SUMPRODUCT(MAX(ROW(E$2:E3537)*(E3537=E$2:E3537)))))-COUNTBLANK(OFFSET(A$1,,,SUMPRODUCT(MAX(ROW(E$1:E3536)*(E2=E$1:E3536))))))</f>
        <v> </v>
      </c>
      <c r="K3537" s="25" t="str">
        <f>IF(OR(E3537="",E3537="!!!",F3537="NEW"),"",INDEX(J$1:J3536,SUMPRODUCT(MAX(ROW(E$1:E3536)*(E3537=E$1:E3536)))))</f>
        <v> </v>
      </c>
      <c r="L3537" s="26"/>
    </row>
    <row r="3538" spans="1:12">
      <c r="A3538" s="20" t="s">
        <v>1301</v>
      </c>
      <c r="E3538" s="21">
        <f>IF(D3538="?OLD","!!!","")</f>
        <v/>
      </c>
      <c r="F3538" s="22" t="str">
        <f>IF(OR(E3538="",E3538="!!!"),"",IF(NOT(ISNA(VLOOKUP(E3538,E$1:E3537,1,FALSE()))),"OLD",IF(AND(E3538&lt;&gt;"",E3538&lt;&gt;"!!!"),"NEW","")))</f>
        <v> </v>
      </c>
      <c r="G3538" s="23" t="str">
        <f>IF(OR(E3538="",E3538="!!!"),"",IF(OR(J3538=0,AND(J3538=1,K3538=1),AND(J3538=1,I3538="SBJ"),AND(J3538=1,I3538=0)),"?IN_FOCUS",IF(J3538&lt;=2,"?ACTIVATED",IF(J3538&lt;&gt;"","?FAMILIAR",IF(F3538="NEW",IF(ISNA(VLOOKUP(E3538,#REF!,1,FALSE())),"?TYPE_IDENTIFIABLE","?REFERENTIAL"),"_")))))</f>
        <v> </v>
      </c>
      <c r="H3538" s="24" t="str">
        <f>IF(J3538&lt;&gt;1,"",IF(I3538="SBJ","CB","?"))</f>
        <v> </v>
      </c>
      <c r="I3538" s="25" t="str">
        <f>IF(OR(E3538="",E3538="!!!",F3538="NEW"),"",INDEX(B3537:B$2,-1+SUMPRODUCT(MAX(ROW(E3537:E$2)*(E3538=E3537:E$2)))))</f>
        <v> </v>
      </c>
      <c r="J3538" s="25" t="str">
        <f>IF(OR(E3538="",E3538="!!!",F3538="NEW"),"",COUNTBLANK(OFFSET(A$1,,,SUMPRODUCT(MAX(ROW(E$2:E3538)*(E3538=E$2:E3538)))))-COUNTBLANK(OFFSET(A$1,,,SUMPRODUCT(MAX(ROW(E$1:E3537)*(E2=E$1:E3537))))))</f>
        <v> </v>
      </c>
      <c r="K3538" s="25" t="str">
        <f>IF(OR(E3538="",E3538="!!!",F3538="NEW"),"",INDEX(J$1:J3537,SUMPRODUCT(MAX(ROW(E$1:E3537)*(E3538=E$1:E3537)))))</f>
        <v> </v>
      </c>
      <c r="L3538" s="26"/>
    </row>
    <row r="3539" spans="1:12">
      <c r="A3539" s="20" t="s">
        <v>1066</v>
      </c>
      <c r="B3539" s="27" t="s">
        <v>1095</v>
      </c>
      <c r="C3539" s="27" t="s">
        <v>1068</v>
      </c>
      <c r="D3539" s="27" t="s">
        <v>1069</v>
      </c>
      <c r="E3539" s="21">
        <f>IF(D3539="?OLD","!!!","")</f>
        <v/>
      </c>
      <c r="F3539" s="22" t="str">
        <f>IF(OR(E3539="",E3539="!!!"),"",IF(NOT(ISNA(VLOOKUP(E3539,E$1:E3538,1,FALSE()))),"OLD",IF(AND(E3539&lt;&gt;"",E3539&lt;&gt;"!!!"),"NEW","")))</f>
        <v> </v>
      </c>
      <c r="G3539" s="23" t="str">
        <f>IF(OR(E3539="",E3539="!!!"),"",IF(OR(J3539=0,AND(J3539=1,K3539=1),AND(J3539=1,I3539="SBJ"),AND(J3539=1,I3539=0)),"?IN_FOCUS",IF(J3539&lt;=2,"?ACTIVATED",IF(J3539&lt;&gt;"","?FAMILIAR",IF(F3539="NEW",IF(ISNA(VLOOKUP(E3539,#REF!,1,FALSE())),"?TYPE_IDENTIFIABLE","?REFERENTIAL"),"_")))))</f>
        <v> </v>
      </c>
      <c r="H3539" s="24" t="str">
        <f>IF(J3539&lt;&gt;1,"",IF(I3539="SBJ","CB","?"))</f>
        <v> </v>
      </c>
      <c r="I3539" s="25" t="str">
        <f>IF(OR(E3539="",E3539="!!!",F3539="NEW"),"",INDEX(B3538:B$2,-1+SUMPRODUCT(MAX(ROW(E3538:E$2)*(E3539=E3538:E$2)))))</f>
        <v> </v>
      </c>
      <c r="J3539" s="25" t="str">
        <f>IF(OR(E3539="",E3539="!!!",F3539="NEW"),"",COUNTBLANK(OFFSET(A$1,,,SUMPRODUCT(MAX(ROW(E$2:E3539)*(E3539=E$2:E3539)))))-COUNTBLANK(OFFSET(A$1,,,SUMPRODUCT(MAX(ROW(E$1:E3538)*(E2=E$1:E3538))))))</f>
        <v> </v>
      </c>
      <c r="K3539" s="25" t="str">
        <f>IF(OR(E3539="",E3539="!!!",F3539="NEW"),"",INDEX(J$1:J3538,SUMPRODUCT(MAX(ROW(E$1:E3538)*(E3539=E$1:E3538)))))</f>
        <v> </v>
      </c>
      <c r="L3539" s="26"/>
    </row>
    <row r="3540" spans="1:12">
      <c r="A3540" s="20" t="s">
        <v>2211</v>
      </c>
      <c r="E3540" s="21">
        <f>IF(D3540="?OLD","!!!","")</f>
        <v/>
      </c>
      <c r="F3540" s="22" t="str">
        <f>IF(OR(E3540="",E3540="!!!"),"",IF(NOT(ISNA(VLOOKUP(E3540,E$1:E3539,1,FALSE()))),"OLD",IF(AND(E3540&lt;&gt;"",E3540&lt;&gt;"!!!"),"NEW","")))</f>
        <v> </v>
      </c>
      <c r="G3540" s="23" t="str">
        <f>IF(OR(E3540="",E3540="!!!"),"",IF(OR(J3540=0,AND(J3540=1,K3540=1),AND(J3540=1,I3540="SBJ"),AND(J3540=1,I3540=0)),"?IN_FOCUS",IF(J3540&lt;=2,"?ACTIVATED",IF(J3540&lt;&gt;"","?FAMILIAR",IF(F3540="NEW",IF(ISNA(VLOOKUP(E3540,#REF!,1,FALSE())),"?TYPE_IDENTIFIABLE","?REFERENTIAL"),"_")))))</f>
        <v> </v>
      </c>
      <c r="H3540" s="24" t="str">
        <f>IF(J3540&lt;&gt;1,"",IF(I3540="SBJ","CB","?"))</f>
        <v> </v>
      </c>
      <c r="I3540" s="25" t="str">
        <f>IF(OR(E3540="",E3540="!!!",F3540="NEW"),"",INDEX(B3539:B$2,-1+SUMPRODUCT(MAX(ROW(E3539:E$2)*(E3540=E3539:E$2)))))</f>
        <v> </v>
      </c>
      <c r="J3540" s="25" t="str">
        <f>IF(OR(E3540="",E3540="!!!",F3540="NEW"),"",COUNTBLANK(OFFSET(A$1,,,SUMPRODUCT(MAX(ROW(E$2:E3540)*(E3540=E$2:E3540)))))-COUNTBLANK(OFFSET(A$1,,,SUMPRODUCT(MAX(ROW(E$1:E3539)*(E2=E$1:E3539))))))</f>
        <v> </v>
      </c>
      <c r="K3540" s="25" t="str">
        <f>IF(OR(E3540="",E3540="!!!",F3540="NEW"),"",INDEX(J$1:J3539,SUMPRODUCT(MAX(ROW(E$1:E3539)*(E3540=E$1:E3539)))))</f>
        <v> </v>
      </c>
      <c r="L3540" s="26"/>
    </row>
    <row r="3541" spans="1:12">
      <c r="A3541" s="20" t="s">
        <v>1087</v>
      </c>
      <c r="E3541" s="21">
        <f>IF(D3541="?OLD","!!!","")</f>
        <v/>
      </c>
      <c r="F3541" s="22" t="str">
        <f>IF(OR(E3541="",E3541="!!!"),"",IF(NOT(ISNA(VLOOKUP(E3541,E$1:E3540,1,FALSE()))),"OLD",IF(AND(E3541&lt;&gt;"",E3541&lt;&gt;"!!!"),"NEW","")))</f>
        <v> </v>
      </c>
      <c r="G3541" s="23" t="str">
        <f>IF(OR(E3541="",E3541="!!!"),"",IF(OR(J3541=0,AND(J3541=1,K3541=1),AND(J3541=1,I3541="SBJ"),AND(J3541=1,I3541=0)),"?IN_FOCUS",IF(J3541&lt;=2,"?ACTIVATED",IF(J3541&lt;&gt;"","?FAMILIAR",IF(F3541="NEW",IF(ISNA(VLOOKUP(E3541,#REF!,1,FALSE())),"?TYPE_IDENTIFIABLE","?REFERENTIAL"),"_")))))</f>
        <v> </v>
      </c>
      <c r="H3541" s="24" t="str">
        <f>IF(J3541&lt;&gt;1,"",IF(I3541="SBJ","CB","?"))</f>
        <v> </v>
      </c>
      <c r="I3541" s="25" t="str">
        <f>IF(OR(E3541="",E3541="!!!",F3541="NEW"),"",INDEX(B3540:B$2,-1+SUMPRODUCT(MAX(ROW(E3540:E$2)*(E3541=E3540:E$2)))))</f>
        <v> </v>
      </c>
      <c r="J3541" s="25" t="str">
        <f>IF(OR(E3541="",E3541="!!!",F3541="NEW"),"",COUNTBLANK(OFFSET(A$1,,,SUMPRODUCT(MAX(ROW(E$2:E3541)*(E3541=E$2:E3541)))))-COUNTBLANK(OFFSET(A$1,,,SUMPRODUCT(MAX(ROW(E$1:E3540)*(E2=E$1:E3540))))))</f>
        <v> </v>
      </c>
      <c r="K3541" s="25" t="str">
        <f>IF(OR(E3541="",E3541="!!!",F3541="NEW"),"",INDEX(J$1:J3540,SUMPRODUCT(MAX(ROW(E$1:E3540)*(E3541=E$1:E3540)))))</f>
        <v> </v>
      </c>
      <c r="L3541" s="26"/>
    </row>
    <row r="3542" spans="1:12">
      <c r="A3542" s="20" t="s">
        <v>1108</v>
      </c>
      <c r="B3542" s="27" t="s">
        <v>1133</v>
      </c>
      <c r="C3542" s="27" t="s">
        <v>1110</v>
      </c>
      <c r="D3542" s="27" t="s">
        <v>1069</v>
      </c>
      <c r="E3542" s="21">
        <f>IF(D3542="?OLD","!!!","")</f>
        <v/>
      </c>
      <c r="F3542" s="22" t="str">
        <f>IF(OR(E3542="",E3542="!!!"),"",IF(NOT(ISNA(VLOOKUP(E3542,E$1:E3541,1,FALSE()))),"OLD",IF(AND(E3542&lt;&gt;"",E3542&lt;&gt;"!!!"),"NEW","")))</f>
        <v> </v>
      </c>
      <c r="G3542" s="23" t="str">
        <f>IF(OR(E3542="",E3542="!!!"),"",IF(OR(J3542=0,AND(J3542=1,K3542=1),AND(J3542=1,I3542="SBJ"),AND(J3542=1,I3542=0)),"?IN_FOCUS",IF(J3542&lt;=2,"?ACTIVATED",IF(J3542&lt;&gt;"","?FAMILIAR",IF(F3542="NEW",IF(ISNA(VLOOKUP(E3542,#REF!,1,FALSE())),"?TYPE_IDENTIFIABLE","?REFERENTIAL"),"_")))))</f>
        <v> </v>
      </c>
      <c r="H3542" s="24" t="str">
        <f>IF(J3542&lt;&gt;1,"",IF(I3542="SBJ","CB","?"))</f>
        <v> </v>
      </c>
      <c r="I3542" s="25" t="str">
        <f>IF(OR(E3542="",E3542="!!!",F3542="NEW"),"",INDEX(B3541:B$2,-1+SUMPRODUCT(MAX(ROW(E3541:E$2)*(E3542=E3541:E$2)))))</f>
        <v> </v>
      </c>
      <c r="J3542" s="25" t="str">
        <f>IF(OR(E3542="",E3542="!!!",F3542="NEW"),"",COUNTBLANK(OFFSET(A$1,,,SUMPRODUCT(MAX(ROW(E$2:E3542)*(E3542=E$2:E3542)))))-COUNTBLANK(OFFSET(A$1,,,SUMPRODUCT(MAX(ROW(E$1:E3541)*(E2=E$1:E3541))))))</f>
        <v> </v>
      </c>
      <c r="K3542" s="25" t="str">
        <f>IF(OR(E3542="",E3542="!!!",F3542="NEW"),"",INDEX(J$1:J3541,SUMPRODUCT(MAX(ROW(E$1:E3541)*(E3542=E$1:E3541)))))</f>
        <v> </v>
      </c>
      <c r="L3542" s="26"/>
    </row>
    <row r="3543" spans="1:12">
      <c r="A3543" s="20" t="s">
        <v>1236</v>
      </c>
      <c r="E3543" s="21">
        <f>IF(D3543="?OLD","!!!","")</f>
        <v/>
      </c>
      <c r="F3543" s="22" t="str">
        <f>IF(OR(E3543="",E3543="!!!"),"",IF(NOT(ISNA(VLOOKUP(E3543,E$1:E3542,1,FALSE()))),"OLD",IF(AND(E3543&lt;&gt;"",E3543&lt;&gt;"!!!"),"NEW","")))</f>
        <v> </v>
      </c>
      <c r="G3543" s="23" t="str">
        <f>IF(OR(E3543="",E3543="!!!"),"",IF(OR(J3543=0,AND(J3543=1,K3543=1),AND(J3543=1,I3543="SBJ"),AND(J3543=1,I3543=0)),"?IN_FOCUS",IF(J3543&lt;=2,"?ACTIVATED",IF(J3543&lt;&gt;"","?FAMILIAR",IF(F3543="NEW",IF(ISNA(VLOOKUP(E3543,#REF!,1,FALSE())),"?TYPE_IDENTIFIABLE","?REFERENTIAL"),"_")))))</f>
        <v> </v>
      </c>
      <c r="H3543" s="24" t="str">
        <f>IF(J3543&lt;&gt;1,"",IF(I3543="SBJ","CB","?"))</f>
        <v> </v>
      </c>
      <c r="I3543" s="25" t="str">
        <f>IF(OR(E3543="",E3543="!!!",F3543="NEW"),"",INDEX(B3542:B$2,-1+SUMPRODUCT(MAX(ROW(E3542:E$2)*(E3543=E3542:E$2)))))</f>
        <v> </v>
      </c>
      <c r="J3543" s="25" t="str">
        <f>IF(OR(E3543="",E3543="!!!",F3543="NEW"),"",COUNTBLANK(OFFSET(A$1,,,SUMPRODUCT(MAX(ROW(E$2:E3543)*(E3543=E$2:E3543)))))-COUNTBLANK(OFFSET(A$1,,,SUMPRODUCT(MAX(ROW(E$1:E3542)*(E2=E$1:E3542))))))</f>
        <v> </v>
      </c>
      <c r="K3543" s="25" t="str">
        <f>IF(OR(E3543="",E3543="!!!",F3543="NEW"),"",INDEX(J$1:J3542,SUMPRODUCT(MAX(ROW(E$1:E3542)*(E3543=E$1:E3542)))))</f>
        <v> </v>
      </c>
      <c r="L3543" s="26"/>
    </row>
    <row r="3544" spans="1:12">
      <c r="A3544" s="20" t="s">
        <v>2212</v>
      </c>
      <c r="B3544" s="27" t="s">
        <v>1106</v>
      </c>
      <c r="C3544" s="27" t="s">
        <v>1068</v>
      </c>
      <c r="D3544" s="27" t="s">
        <v>1069</v>
      </c>
      <c r="E3544" s="21">
        <f>IF(D3544="?OLD","!!!","")</f>
        <v/>
      </c>
      <c r="F3544" s="22" t="str">
        <f>IF(OR(E3544="",E3544="!!!"),"",IF(NOT(ISNA(VLOOKUP(E3544,E$1:E3543,1,FALSE()))),"OLD",IF(AND(E3544&lt;&gt;"",E3544&lt;&gt;"!!!"),"NEW","")))</f>
        <v> </v>
      </c>
      <c r="G3544" s="23" t="str">
        <f>IF(OR(E3544="",E3544="!!!"),"",IF(OR(J3544=0,AND(J3544=1,K3544=1),AND(J3544=1,I3544="SBJ"),AND(J3544=1,I3544=0)),"?IN_FOCUS",IF(J3544&lt;=2,"?ACTIVATED",IF(J3544&lt;&gt;"","?FAMILIAR",IF(F3544="NEW",IF(ISNA(VLOOKUP(E3544,#REF!,1,FALSE())),"?TYPE_IDENTIFIABLE","?REFERENTIAL"),"_")))))</f>
        <v> </v>
      </c>
      <c r="H3544" s="24" t="str">
        <f>IF(J3544&lt;&gt;1,"",IF(I3544="SBJ","CB","?"))</f>
        <v> </v>
      </c>
      <c r="I3544" s="25" t="str">
        <f>IF(OR(E3544="",E3544="!!!",F3544="NEW"),"",INDEX(B3543:B$2,-1+SUMPRODUCT(MAX(ROW(E3543:E$2)*(E3544=E3543:E$2)))))</f>
        <v> </v>
      </c>
      <c r="J3544" s="25" t="str">
        <f>IF(OR(E3544="",E3544="!!!",F3544="NEW"),"",COUNTBLANK(OFFSET(A$1,,,SUMPRODUCT(MAX(ROW(E$2:E3544)*(E3544=E$2:E3544)))))-COUNTBLANK(OFFSET(A$1,,,SUMPRODUCT(MAX(ROW(E$1:E3543)*(E2=E$1:E3543))))))</f>
        <v> </v>
      </c>
      <c r="K3544" s="25" t="str">
        <f>IF(OR(E3544="",E3544="!!!",F3544="NEW"),"",INDEX(J$1:J3543,SUMPRODUCT(MAX(ROW(E$1:E3543)*(E3544=E$1:E3543)))))</f>
        <v> </v>
      </c>
      <c r="L3544" s="26"/>
    </row>
    <row r="3545" spans="1:12">
      <c r="A3545" s="20" t="s">
        <v>2213</v>
      </c>
      <c r="E3545" s="21">
        <f>IF(D3545="?OLD","!!!","")</f>
        <v/>
      </c>
      <c r="F3545" s="22" t="str">
        <f>IF(OR(E3545="",E3545="!!!"),"",IF(NOT(ISNA(VLOOKUP(E3545,E$1:E3544,1,FALSE()))),"OLD",IF(AND(E3545&lt;&gt;"",E3545&lt;&gt;"!!!"),"NEW","")))</f>
        <v> </v>
      </c>
      <c r="G3545" s="23" t="str">
        <f>IF(OR(E3545="",E3545="!!!"),"",IF(OR(J3545=0,AND(J3545=1,K3545=1),AND(J3545=1,I3545="SBJ"),AND(J3545=1,I3545=0)),"?IN_FOCUS",IF(J3545&lt;=2,"?ACTIVATED",IF(J3545&lt;&gt;"","?FAMILIAR",IF(F3545="NEW",IF(ISNA(VLOOKUP(E3545,#REF!,1,FALSE())),"?TYPE_IDENTIFIABLE","?REFERENTIAL"),"_")))))</f>
        <v> </v>
      </c>
      <c r="H3545" s="24" t="str">
        <f>IF(J3545&lt;&gt;1,"",IF(I3545="SBJ","CB","?"))</f>
        <v> </v>
      </c>
      <c r="I3545" s="25" t="str">
        <f>IF(OR(E3545="",E3545="!!!",F3545="NEW"),"",INDEX(B3544:B$2,-1+SUMPRODUCT(MAX(ROW(E3544:E$2)*(E3545=E3544:E$2)))))</f>
        <v> </v>
      </c>
      <c r="J3545" s="25" t="str">
        <f>IF(OR(E3545="",E3545="!!!",F3545="NEW"),"",COUNTBLANK(OFFSET(A$1,,,SUMPRODUCT(MAX(ROW(E$2:E3545)*(E3545=E$2:E3545)))))-COUNTBLANK(OFFSET(A$1,,,SUMPRODUCT(MAX(ROW(E$1:E3544)*(E2=E$1:E3544))))))</f>
        <v> </v>
      </c>
      <c r="K3545" s="25" t="str">
        <f>IF(OR(E3545="",E3545="!!!",F3545="NEW"),"",INDEX(J$1:J3544,SUMPRODUCT(MAX(ROW(E$1:E3544)*(E3545=E$1:E3544)))))</f>
        <v> </v>
      </c>
      <c r="L3545" s="26"/>
    </row>
    <row r="3546" spans="1:12">
      <c r="A3546" s="20" t="s">
        <v>1080</v>
      </c>
      <c r="E3546" s="21">
        <f>IF(D3546="?OLD","!!!","")</f>
        <v/>
      </c>
      <c r="F3546" s="22" t="str">
        <f>IF(OR(E3546="",E3546="!!!"),"",IF(NOT(ISNA(VLOOKUP(E3546,E$1:E3545,1,FALSE()))),"OLD",IF(AND(E3546&lt;&gt;"",E3546&lt;&gt;"!!!"),"NEW","")))</f>
        <v> </v>
      </c>
      <c r="G3546" s="23" t="str">
        <f>IF(OR(E3546="",E3546="!!!"),"",IF(OR(J3546=0,AND(J3546=1,K3546=1),AND(J3546=1,I3546="SBJ"),AND(J3546=1,I3546=0)),"?IN_FOCUS",IF(J3546&lt;=2,"?ACTIVATED",IF(J3546&lt;&gt;"","?FAMILIAR",IF(F3546="NEW",IF(ISNA(VLOOKUP(E3546,#REF!,1,FALSE())),"?TYPE_IDENTIFIABLE","?REFERENTIAL"),"_")))))</f>
        <v> </v>
      </c>
      <c r="H3546" s="24" t="str">
        <f>IF(J3546&lt;&gt;1,"",IF(I3546="SBJ","CB","?"))</f>
        <v> </v>
      </c>
      <c r="I3546" s="25" t="str">
        <f>IF(OR(E3546="",E3546="!!!",F3546="NEW"),"",INDEX(B3545:B$2,-1+SUMPRODUCT(MAX(ROW(E3545:E$2)*(E3546=E3545:E$2)))))</f>
        <v> </v>
      </c>
      <c r="J3546" s="25" t="str">
        <f>IF(OR(E3546="",E3546="!!!",F3546="NEW"),"",COUNTBLANK(OFFSET(A$1,,,SUMPRODUCT(MAX(ROW(E$2:E3546)*(E3546=E$2:E3546)))))-COUNTBLANK(OFFSET(A$1,,,SUMPRODUCT(MAX(ROW(E$1:E3545)*(E2=E$1:E3545))))))</f>
        <v> </v>
      </c>
      <c r="K3546" s="25" t="str">
        <f>IF(OR(E3546="",E3546="!!!",F3546="NEW"),"",INDEX(J$1:J3545,SUMPRODUCT(MAX(ROW(E$1:E3545)*(E3546=E$1:E3545)))))</f>
        <v> </v>
      </c>
      <c r="L3546" s="26"/>
    </row>
    <row r="3547" spans="1:12">
      <c r="A3547" s="20"/>
    </row>
    <row r="3548" spans="1:12">
      <c r="A3548" s="20" t="s">
        <v>2214</v>
      </c>
    </row>
    <row r="3549" spans="1:12">
      <c r="A3549" s="20" t="s">
        <v>2215</v>
      </c>
      <c r="E3549" s="21">
        <f>IF(D3549="?OLD","!!!","")</f>
        <v/>
      </c>
      <c r="F3549" s="22" t="str">
        <f>IF(OR(E3549="",E3549="!!!"),"",IF(NOT(ISNA(VLOOKUP(E3549,E$1:E3548,1,FALSE()))),"OLD",IF(AND(E3549&lt;&gt;"",E3549&lt;&gt;"!!!"),"NEW","")))</f>
        <v> </v>
      </c>
      <c r="G3549" s="23" t="str">
        <f>IF(OR(E3549="",E3549="!!!"),"",IF(OR(J3549=0,AND(J3549=1,K3549=1),AND(J3549=1,I3549="SBJ"),AND(J3549=1,I3549=0)),"?IN_FOCUS",IF(J3549&lt;=2,"?ACTIVATED",IF(J3549&lt;&gt;"","?FAMILIAR",IF(F3549="NEW",IF(ISNA(VLOOKUP(E3549,#REF!,1,FALSE())),"?TYPE_IDENTIFIABLE","?REFERENTIAL"),"_")))))</f>
        <v> </v>
      </c>
      <c r="H3549" s="24" t="str">
        <f>IF(J3549&lt;&gt;1,"",IF(I3549="SBJ","CB","?"))</f>
        <v> </v>
      </c>
      <c r="I3549" s="25" t="str">
        <f>IF(OR(E3549="",E3549="!!!",F3549="NEW"),"",INDEX(B3548:B$2,-1+SUMPRODUCT(MAX(ROW(E3548:E$2)*(E3549=E3548:E$2)))))</f>
        <v> </v>
      </c>
      <c r="J3549" s="25" t="str">
        <f>IF(OR(E3549="",E3549="!!!",F3549="NEW"),"",COUNTBLANK(OFFSET(A$1,,,SUMPRODUCT(MAX(ROW(E$2:E3549)*(E3549=E$2:E3549)))))-COUNTBLANK(OFFSET(A$1,,,SUMPRODUCT(MAX(ROW(E$1:E3548)*(E2=E$1:E3548))))))</f>
        <v> </v>
      </c>
      <c r="K3549" s="25" t="str">
        <f>IF(OR(E3549="",E3549="!!!",F3549="NEW"),"",INDEX(J$1:J3548,SUMPRODUCT(MAX(ROW(E$1:E3548)*(E3549=E$1:E3548)))))</f>
        <v> </v>
      </c>
      <c r="L3549" s="26"/>
    </row>
    <row r="3550" spans="1:12">
      <c r="A3550" s="20" t="s">
        <v>743</v>
      </c>
      <c r="B3550" s="27" t="s">
        <v>1074</v>
      </c>
      <c r="C3550" s="27" t="s">
        <v>1117</v>
      </c>
      <c r="E3550" s="21">
        <f>IF(D3550="?OLD","!!!","")</f>
        <v/>
      </c>
      <c r="F3550" s="22" t="str">
        <f>IF(OR(E3550="",E3550="!!!"),"",IF(NOT(ISNA(VLOOKUP(E3550,E$1:E3549,1,FALSE()))),"OLD",IF(AND(E3550&lt;&gt;"",E3550&lt;&gt;"!!!"),"NEW","")))</f>
        <v> </v>
      </c>
      <c r="G3550" s="23" t="str">
        <f>IF(OR(E3550="",E3550="!!!"),"",IF(OR(J3550=0,AND(J3550=1,K3550=1),AND(J3550=1,I3550="SBJ"),AND(J3550=1,I3550=0)),"?IN_FOCUS",IF(J3550&lt;=2,"?ACTIVATED",IF(J3550&lt;&gt;"","?FAMILIAR",IF(F3550="NEW",IF(ISNA(VLOOKUP(E3550,#REF!,1,FALSE())),"?TYPE_IDENTIFIABLE","?REFERENTIAL"),"_")))))</f>
        <v> </v>
      </c>
      <c r="H3550" s="24" t="str">
        <f>IF(J3550&lt;&gt;1,"",IF(I3550="SBJ","CB","?"))</f>
        <v> </v>
      </c>
      <c r="I3550" s="25" t="str">
        <f>IF(OR(E3550="",E3550="!!!",F3550="NEW"),"",INDEX(B3549:B$2,-1+SUMPRODUCT(MAX(ROW(E3549:E$2)*(E3550=E3549:E$2)))))</f>
        <v> </v>
      </c>
      <c r="J3550" s="25" t="str">
        <f>IF(OR(E3550="",E3550="!!!",F3550="NEW"),"",COUNTBLANK(OFFSET(A$1,,,SUMPRODUCT(MAX(ROW(E$2:E3550)*(E3550=E$2:E3550)))))-COUNTBLANK(OFFSET(A$1,,,SUMPRODUCT(MAX(ROW(E$1:E3549)*(E2=E$1:E3549))))))</f>
        <v> </v>
      </c>
      <c r="K3550" s="25" t="str">
        <f>IF(OR(E3550="",E3550="!!!",F3550="NEW"),"",INDEX(J$1:J3549,SUMPRODUCT(MAX(ROW(E$1:E3549)*(E3550=E$1:E3549)))))</f>
        <v> </v>
      </c>
      <c r="L3550" s="26"/>
    </row>
    <row r="3551" spans="1:12">
      <c r="A3551" s="20" t="s">
        <v>1080</v>
      </c>
      <c r="E3551" s="21">
        <f>IF(D3551="?OLD","!!!","")</f>
        <v/>
      </c>
      <c r="F3551" s="22" t="str">
        <f>IF(OR(E3551="",E3551="!!!"),"",IF(NOT(ISNA(VLOOKUP(E3551,E$1:E3550,1,FALSE()))),"OLD",IF(AND(E3551&lt;&gt;"",E3551&lt;&gt;"!!!"),"NEW","")))</f>
        <v> </v>
      </c>
      <c r="G3551" s="23" t="str">
        <f>IF(OR(E3551="",E3551="!!!"),"",IF(OR(J3551=0,AND(J3551=1,K3551=1),AND(J3551=1,I3551="SBJ"),AND(J3551=1,I3551=0)),"?IN_FOCUS",IF(J3551&lt;=2,"?ACTIVATED",IF(J3551&lt;&gt;"","?FAMILIAR",IF(F3551="NEW",IF(ISNA(VLOOKUP(E3551,#REF!,1,FALSE())),"?TYPE_IDENTIFIABLE","?REFERENTIAL"),"_")))))</f>
        <v> </v>
      </c>
      <c r="H3551" s="24" t="str">
        <f>IF(J3551&lt;&gt;1,"",IF(I3551="SBJ","CB","?"))</f>
        <v> </v>
      </c>
      <c r="I3551" s="25" t="str">
        <f>IF(OR(E3551="",E3551="!!!",F3551="NEW"),"",INDEX(B3550:B$2,-1+SUMPRODUCT(MAX(ROW(E3550:E$2)*(E3551=E3550:E$2)))))</f>
        <v> </v>
      </c>
      <c r="J3551" s="25" t="str">
        <f>IF(OR(E3551="",E3551="!!!",F3551="NEW"),"",COUNTBLANK(OFFSET(A$1,,,SUMPRODUCT(MAX(ROW(E$2:E3551)*(E3551=E$2:E3551)))))-COUNTBLANK(OFFSET(A$1,,,SUMPRODUCT(MAX(ROW(E$1:E3550)*(E2=E$1:E3550))))))</f>
        <v> </v>
      </c>
      <c r="K3551" s="25" t="str">
        <f>IF(OR(E3551="",E3551="!!!",F3551="NEW"),"",INDEX(J$1:J3550,SUMPRODUCT(MAX(ROW(E$1:E3550)*(E3551=E$1:E3550)))))</f>
        <v> </v>
      </c>
      <c r="L3551" s="26"/>
    </row>
    <row r="3552" spans="1:12">
      <c r="A3552" s="20"/>
    </row>
    <row r="3553" spans="1:12">
      <c r="A3553" s="20" t="s">
        <v>2216</v>
      </c>
    </row>
    <row r="3554" spans="1:12">
      <c r="A3554" s="20" t="s">
        <v>1624</v>
      </c>
      <c r="E3554" s="21">
        <f>IF(D3554="?OLD","!!!","")</f>
        <v/>
      </c>
      <c r="F3554" s="22" t="str">
        <f>IF(OR(E3554="",E3554="!!!"),"",IF(NOT(ISNA(VLOOKUP(E3554,E$1:E3553,1,FALSE()))),"OLD",IF(AND(E3554&lt;&gt;"",E3554&lt;&gt;"!!!"),"NEW","")))</f>
        <v> </v>
      </c>
      <c r="G3554" s="23" t="str">
        <f>IF(OR(E3554="",E3554="!!!"),"",IF(OR(J3554=0,AND(J3554=1,K3554=1),AND(J3554=1,I3554="SBJ"),AND(J3554=1,I3554=0)),"?IN_FOCUS",IF(J3554&lt;=2,"?ACTIVATED",IF(J3554&lt;&gt;"","?FAMILIAR",IF(F3554="NEW",IF(ISNA(VLOOKUP(E3554,#REF!,1,FALSE())),"?TYPE_IDENTIFIABLE","?REFERENTIAL"),"_")))))</f>
        <v> </v>
      </c>
      <c r="H3554" s="24" t="str">
        <f>IF(J3554&lt;&gt;1,"",IF(I3554="SBJ","CB","?"))</f>
        <v> </v>
      </c>
      <c r="I3554" s="25" t="str">
        <f>IF(OR(E3554="",E3554="!!!",F3554="NEW"),"",INDEX(B3553:B$2,-1+SUMPRODUCT(MAX(ROW(E3553:E$2)*(E3554=E3553:E$2)))))</f>
        <v> </v>
      </c>
      <c r="J3554" s="25" t="str">
        <f>IF(OR(E3554="",E3554="!!!",F3554="NEW"),"",COUNTBLANK(OFFSET(A$1,,,SUMPRODUCT(MAX(ROW(E$2:E3554)*(E3554=E$2:E3554)))))-COUNTBLANK(OFFSET(A$1,,,SUMPRODUCT(MAX(ROW(E$1:E3553)*(E2=E$1:E3553))))))</f>
        <v> </v>
      </c>
      <c r="K3554" s="25" t="str">
        <f>IF(OR(E3554="",E3554="!!!",F3554="NEW"),"",INDEX(J$1:J3553,SUMPRODUCT(MAX(ROW(E$1:E3553)*(E3554=E$1:E3553)))))</f>
        <v> </v>
      </c>
      <c r="L3554" s="26"/>
    </row>
    <row r="3555" spans="1:12">
      <c r="A3555" s="20" t="s">
        <v>2217</v>
      </c>
      <c r="B3555" s="27" t="s">
        <v>1071</v>
      </c>
      <c r="C3555" s="27" t="s">
        <v>1134</v>
      </c>
      <c r="D3555" s="27" t="s">
        <v>1069</v>
      </c>
      <c r="E3555" s="21">
        <f>IF(D3555="?OLD","!!!","")</f>
        <v/>
      </c>
      <c r="F3555" s="22" t="str">
        <f>IF(OR(E3555="",E3555="!!!"),"",IF(NOT(ISNA(VLOOKUP(E3555,E$1:E3554,1,FALSE()))),"OLD",IF(AND(E3555&lt;&gt;"",E3555&lt;&gt;"!!!"),"NEW","")))</f>
        <v> </v>
      </c>
      <c r="G3555" s="23" t="str">
        <f>IF(OR(E3555="",E3555="!!!"),"",IF(OR(J3555=0,AND(J3555=1,K3555=1),AND(J3555=1,I3555="SBJ"),AND(J3555=1,I3555=0)),"?IN_FOCUS",IF(J3555&lt;=2,"?ACTIVATED",IF(J3555&lt;&gt;"","?FAMILIAR",IF(F3555="NEW",IF(ISNA(VLOOKUP(E3555,#REF!,1,FALSE())),"?TYPE_IDENTIFIABLE","?REFERENTIAL"),"_")))))</f>
        <v> </v>
      </c>
      <c r="H3555" s="24" t="str">
        <f>IF(J3555&lt;&gt;1,"",IF(I3555="SBJ","CB","?"))</f>
        <v> </v>
      </c>
      <c r="I3555" s="25" t="str">
        <f>IF(OR(E3555="",E3555="!!!",F3555="NEW"),"",INDEX(B3554:B$2,-1+SUMPRODUCT(MAX(ROW(E3554:E$2)*(E3555=E3554:E$2)))))</f>
        <v> </v>
      </c>
      <c r="J3555" s="25" t="str">
        <f>IF(OR(E3555="",E3555="!!!",F3555="NEW"),"",COUNTBLANK(OFFSET(A$1,,,SUMPRODUCT(MAX(ROW(E$2:E3555)*(E3555=E$2:E3555)))))-COUNTBLANK(OFFSET(A$1,,,SUMPRODUCT(MAX(ROW(E$1:E3554)*(E2=E$1:E3554))))))</f>
        <v> </v>
      </c>
      <c r="K3555" s="25" t="str">
        <f>IF(OR(E3555="",E3555="!!!",F3555="NEW"),"",INDEX(J$1:J3554,SUMPRODUCT(MAX(ROW(E$1:E3554)*(E3555=E$1:E3554)))))</f>
        <v> </v>
      </c>
      <c r="L3555" s="26"/>
    </row>
    <row r="3556" spans="1:12">
      <c r="A3556" s="20" t="s">
        <v>1626</v>
      </c>
      <c r="E3556" s="21">
        <f>IF(D3556="?OLD","!!!","")</f>
        <v/>
      </c>
      <c r="F3556" s="22" t="str">
        <f>IF(OR(E3556="",E3556="!!!"),"",IF(NOT(ISNA(VLOOKUP(E3556,E$1:E3555,1,FALSE()))),"OLD",IF(AND(E3556&lt;&gt;"",E3556&lt;&gt;"!!!"),"NEW","")))</f>
        <v> </v>
      </c>
      <c r="G3556" s="23" t="str">
        <f>IF(OR(E3556="",E3556="!!!"),"",IF(OR(J3556=0,AND(J3556=1,K3556=1),AND(J3556=1,I3556="SBJ"),AND(J3556=1,I3556=0)),"?IN_FOCUS",IF(J3556&lt;=2,"?ACTIVATED",IF(J3556&lt;&gt;"","?FAMILIAR",IF(F3556="NEW",IF(ISNA(VLOOKUP(E3556,#REF!,1,FALSE())),"?TYPE_IDENTIFIABLE","?REFERENTIAL"),"_")))))</f>
        <v> </v>
      </c>
      <c r="H3556" s="24" t="str">
        <f>IF(J3556&lt;&gt;1,"",IF(I3556="SBJ","CB","?"))</f>
        <v> </v>
      </c>
      <c r="I3556" s="25" t="str">
        <f>IF(OR(E3556="",E3556="!!!",F3556="NEW"),"",INDEX(B3555:B$2,-1+SUMPRODUCT(MAX(ROW(E3555:E$2)*(E3556=E3555:E$2)))))</f>
        <v> </v>
      </c>
      <c r="J3556" s="25" t="str">
        <f>IF(OR(E3556="",E3556="!!!",F3556="NEW"),"",COUNTBLANK(OFFSET(A$1,,,SUMPRODUCT(MAX(ROW(E$2:E3556)*(E3556=E$2:E3556)))))-COUNTBLANK(OFFSET(A$1,,,SUMPRODUCT(MAX(ROW(E$1:E3555)*(E2=E$1:E3555))))))</f>
        <v> </v>
      </c>
      <c r="K3556" s="25" t="str">
        <f>IF(OR(E3556="",E3556="!!!",F3556="NEW"),"",INDEX(J$1:J3555,SUMPRODUCT(MAX(ROW(E$1:E3555)*(E3556=E$1:E3555)))))</f>
        <v> </v>
      </c>
      <c r="L3556" s="26"/>
    </row>
    <row r="3557" spans="1:12">
      <c r="A3557" s="20" t="s">
        <v>2218</v>
      </c>
      <c r="E3557" s="21">
        <f>IF(D3557="?OLD","!!!","")</f>
        <v/>
      </c>
      <c r="F3557" s="22" t="str">
        <f>IF(OR(E3557="",E3557="!!!"),"",IF(NOT(ISNA(VLOOKUP(E3557,E$1:E3556,1,FALSE()))),"OLD",IF(AND(E3557&lt;&gt;"",E3557&lt;&gt;"!!!"),"NEW","")))</f>
        <v> </v>
      </c>
      <c r="G3557" s="23" t="str">
        <f>IF(OR(E3557="",E3557="!!!"),"",IF(OR(J3557=0,AND(J3557=1,K3557=1),AND(J3557=1,I3557="SBJ"),AND(J3557=1,I3557=0)),"?IN_FOCUS",IF(J3557&lt;=2,"?ACTIVATED",IF(J3557&lt;&gt;"","?FAMILIAR",IF(F3557="NEW",IF(ISNA(VLOOKUP(E3557,#REF!,1,FALSE())),"?TYPE_IDENTIFIABLE","?REFERENTIAL"),"_")))))</f>
        <v> </v>
      </c>
      <c r="H3557" s="24" t="str">
        <f>IF(J3557&lt;&gt;1,"",IF(I3557="SBJ","CB","?"))</f>
        <v> </v>
      </c>
      <c r="I3557" s="25" t="str">
        <f>IF(OR(E3557="",E3557="!!!",F3557="NEW"),"",INDEX(B3556:B$2,-1+SUMPRODUCT(MAX(ROW(E3556:E$2)*(E3557=E3556:E$2)))))</f>
        <v> </v>
      </c>
      <c r="J3557" s="25" t="str">
        <f>IF(OR(E3557="",E3557="!!!",F3557="NEW"),"",COUNTBLANK(OFFSET(A$1,,,SUMPRODUCT(MAX(ROW(E$2:E3557)*(E3557=E$2:E3557)))))-COUNTBLANK(OFFSET(A$1,,,SUMPRODUCT(MAX(ROW(E$1:E3556)*(E2=E$1:E3556))))))</f>
        <v> </v>
      </c>
      <c r="K3557" s="25" t="str">
        <f>IF(OR(E3557="",E3557="!!!",F3557="NEW"),"",INDEX(J$1:J3556,SUMPRODUCT(MAX(ROW(E$1:E3556)*(E3557=E$1:E3556)))))</f>
        <v> </v>
      </c>
      <c r="L3557" s="26"/>
    </row>
    <row r="3558" spans="1:12">
      <c r="A3558" s="20" t="s">
        <v>2219</v>
      </c>
      <c r="E3558" s="21">
        <f>IF(D3558="?OLD","!!!","")</f>
        <v/>
      </c>
      <c r="F3558" s="22" t="str">
        <f>IF(OR(E3558="",E3558="!!!"),"",IF(NOT(ISNA(VLOOKUP(E3558,E$1:E3557,1,FALSE()))),"OLD",IF(AND(E3558&lt;&gt;"",E3558&lt;&gt;"!!!"),"NEW","")))</f>
        <v> </v>
      </c>
      <c r="G3558" s="23" t="str">
        <f>IF(OR(E3558="",E3558="!!!"),"",IF(OR(J3558=0,AND(J3558=1,K3558=1),AND(J3558=1,I3558="SBJ"),AND(J3558=1,I3558=0)),"?IN_FOCUS",IF(J3558&lt;=2,"?ACTIVATED",IF(J3558&lt;&gt;"","?FAMILIAR",IF(F3558="NEW",IF(ISNA(VLOOKUP(E3558,#REF!,1,FALSE())),"?TYPE_IDENTIFIABLE","?REFERENTIAL"),"_")))))</f>
        <v> </v>
      </c>
      <c r="H3558" s="24" t="str">
        <f>IF(J3558&lt;&gt;1,"",IF(I3558="SBJ","CB","?"))</f>
        <v> </v>
      </c>
      <c r="I3558" s="25" t="str">
        <f>IF(OR(E3558="",E3558="!!!",F3558="NEW"),"",INDEX(B3557:B$2,-1+SUMPRODUCT(MAX(ROW(E3557:E$2)*(E3558=E3557:E$2)))))</f>
        <v> </v>
      </c>
      <c r="J3558" s="25" t="str">
        <f>IF(OR(E3558="",E3558="!!!",F3558="NEW"),"",COUNTBLANK(OFFSET(A$1,,,SUMPRODUCT(MAX(ROW(E$2:E3558)*(E3558=E$2:E3558)))))-COUNTBLANK(OFFSET(A$1,,,SUMPRODUCT(MAX(ROW(E$1:E3557)*(E2=E$1:E3557))))))</f>
        <v> </v>
      </c>
      <c r="K3558" s="25" t="str">
        <f>IF(OR(E3558="",E3558="!!!",F3558="NEW"),"",INDEX(J$1:J3557,SUMPRODUCT(MAX(ROW(E$1:E3557)*(E3558=E$1:E3557)))))</f>
        <v> </v>
      </c>
      <c r="L3558" s="26"/>
    </row>
    <row r="3559" spans="1:12">
      <c r="A3559" s="20" t="s">
        <v>1317</v>
      </c>
      <c r="B3559" s="27" t="s">
        <v>1074</v>
      </c>
      <c r="C3559" s="27" t="s">
        <v>1152</v>
      </c>
      <c r="D3559" s="27" t="s">
        <v>1069</v>
      </c>
      <c r="E3559" s="21">
        <f>IF(D3559="?OLD","!!!","")</f>
        <v/>
      </c>
      <c r="F3559" s="22" t="str">
        <f>IF(OR(E3559="",E3559="!!!"),"",IF(NOT(ISNA(VLOOKUP(E3559,E$1:E3558,1,FALSE()))),"OLD",IF(AND(E3559&lt;&gt;"",E3559&lt;&gt;"!!!"),"NEW","")))</f>
        <v> </v>
      </c>
      <c r="G3559" s="23" t="str">
        <f>IF(OR(E3559="",E3559="!!!"),"",IF(OR(J3559=0,AND(J3559=1,K3559=1),AND(J3559=1,I3559="SBJ"),AND(J3559=1,I3559=0)),"?IN_FOCUS",IF(J3559&lt;=2,"?ACTIVATED",IF(J3559&lt;&gt;"","?FAMILIAR",IF(F3559="NEW",IF(ISNA(VLOOKUP(E3559,#REF!,1,FALSE())),"?TYPE_IDENTIFIABLE","?REFERENTIAL"),"_")))))</f>
        <v> </v>
      </c>
      <c r="H3559" s="24" t="str">
        <f>IF(J3559&lt;&gt;1,"",IF(I3559="SBJ","CB","?"))</f>
        <v> </v>
      </c>
      <c r="I3559" s="25" t="str">
        <f>IF(OR(E3559="",E3559="!!!",F3559="NEW"),"",INDEX(B3558:B$2,-1+SUMPRODUCT(MAX(ROW(E3558:E$2)*(E3559=E3558:E$2)))))</f>
        <v> </v>
      </c>
      <c r="J3559" s="25" t="str">
        <f>IF(OR(E3559="",E3559="!!!",F3559="NEW"),"",COUNTBLANK(OFFSET(A$1,,,SUMPRODUCT(MAX(ROW(E$2:E3559)*(E3559=E$2:E3559)))))-COUNTBLANK(OFFSET(A$1,,,SUMPRODUCT(MAX(ROW(E$1:E3558)*(E2=E$1:E3558))))))</f>
        <v> </v>
      </c>
      <c r="K3559" s="25" t="str">
        <f>IF(OR(E3559="",E3559="!!!",F3559="NEW"),"",INDEX(J$1:J3558,SUMPRODUCT(MAX(ROW(E$1:E3558)*(E3559=E$1:E3558)))))</f>
        <v> </v>
      </c>
      <c r="L3559" s="26"/>
    </row>
    <row r="3560" spans="1:12">
      <c r="A3560" s="20" t="s">
        <v>2220</v>
      </c>
      <c r="B3560" s="27" t="s">
        <v>1074</v>
      </c>
      <c r="C3560" s="27" t="s">
        <v>1134</v>
      </c>
      <c r="D3560" s="27" t="s">
        <v>1069</v>
      </c>
      <c r="E3560" s="21">
        <f>IF(D3560="?OLD","!!!","")</f>
        <v/>
      </c>
      <c r="F3560" s="22" t="str">
        <f>IF(OR(E3560="",E3560="!!!"),"",IF(NOT(ISNA(VLOOKUP(E3560,E$1:E3559,1,FALSE()))),"OLD",IF(AND(E3560&lt;&gt;"",E3560&lt;&gt;"!!!"),"NEW","")))</f>
        <v> </v>
      </c>
      <c r="G3560" s="23" t="str">
        <f>IF(OR(E3560="",E3560="!!!"),"",IF(OR(J3560=0,AND(J3560=1,K3560=1),AND(J3560=1,I3560="SBJ"),AND(J3560=1,I3560=0)),"?IN_FOCUS",IF(J3560&lt;=2,"?ACTIVATED",IF(J3560&lt;&gt;"","?FAMILIAR",IF(F3560="NEW",IF(ISNA(VLOOKUP(E3560,#REF!,1,FALSE())),"?TYPE_IDENTIFIABLE","?REFERENTIAL"),"_")))))</f>
        <v> </v>
      </c>
      <c r="H3560" s="24" t="str">
        <f>IF(J3560&lt;&gt;1,"",IF(I3560="SBJ","CB","?"))</f>
        <v> </v>
      </c>
      <c r="I3560" s="25" t="str">
        <f>IF(OR(E3560="",E3560="!!!",F3560="NEW"),"",INDEX(B3559:B$2,-1+SUMPRODUCT(MAX(ROW(E3559:E$2)*(E3560=E3559:E$2)))))</f>
        <v> </v>
      </c>
      <c r="J3560" s="25" t="str">
        <f>IF(OR(E3560="",E3560="!!!",F3560="NEW"),"",COUNTBLANK(OFFSET(A$1,,,SUMPRODUCT(MAX(ROW(E$2:E3560)*(E3560=E$2:E3560)))))-COUNTBLANK(OFFSET(A$1,,,SUMPRODUCT(MAX(ROW(E$1:E3559)*(E2=E$1:E3559))))))</f>
        <v> </v>
      </c>
      <c r="K3560" s="25" t="str">
        <f>IF(OR(E3560="",E3560="!!!",F3560="NEW"),"",INDEX(J$1:J3559,SUMPRODUCT(MAX(ROW(E$1:E3559)*(E3560=E$1:E3559)))))</f>
        <v> </v>
      </c>
      <c r="L3560" s="26"/>
    </row>
    <row r="3561" spans="1:12">
      <c r="A3561" s="20" t="s">
        <v>1080</v>
      </c>
      <c r="E3561" s="21">
        <f>IF(D3561="?OLD","!!!","")</f>
        <v/>
      </c>
      <c r="F3561" s="22" t="str">
        <f>IF(OR(E3561="",E3561="!!!"),"",IF(NOT(ISNA(VLOOKUP(E3561,E$1:E3560,1,FALSE()))),"OLD",IF(AND(E3561&lt;&gt;"",E3561&lt;&gt;"!!!"),"NEW","")))</f>
        <v> </v>
      </c>
      <c r="G3561" s="23" t="str">
        <f>IF(OR(E3561="",E3561="!!!"),"",IF(OR(J3561=0,AND(J3561=1,K3561=1),AND(J3561=1,I3561="SBJ"),AND(J3561=1,I3561=0)),"?IN_FOCUS",IF(J3561&lt;=2,"?ACTIVATED",IF(J3561&lt;&gt;"","?FAMILIAR",IF(F3561="NEW",IF(ISNA(VLOOKUP(E3561,#REF!,1,FALSE())),"?TYPE_IDENTIFIABLE","?REFERENTIAL"),"_")))))</f>
        <v> </v>
      </c>
      <c r="H3561" s="24" t="str">
        <f>IF(J3561&lt;&gt;1,"",IF(I3561="SBJ","CB","?"))</f>
        <v> </v>
      </c>
      <c r="I3561" s="25" t="str">
        <f>IF(OR(E3561="",E3561="!!!",F3561="NEW"),"",INDEX(B3560:B$2,-1+SUMPRODUCT(MAX(ROW(E3560:E$2)*(E3561=E3560:E$2)))))</f>
        <v> </v>
      </c>
      <c r="J3561" s="25" t="str">
        <f>IF(OR(E3561="",E3561="!!!",F3561="NEW"),"",COUNTBLANK(OFFSET(A$1,,,SUMPRODUCT(MAX(ROW(E$2:E3561)*(E3561=E$2:E3561)))))-COUNTBLANK(OFFSET(A$1,,,SUMPRODUCT(MAX(ROW(E$1:E3560)*(E2=E$1:E3560))))))</f>
        <v> </v>
      </c>
      <c r="K3561" s="25" t="str">
        <f>IF(OR(E3561="",E3561="!!!",F3561="NEW"),"",INDEX(J$1:J3560,SUMPRODUCT(MAX(ROW(E$1:E3560)*(E3561=E$1:E3560)))))</f>
        <v> </v>
      </c>
      <c r="L3561" s="26"/>
    </row>
    <row r="3562" spans="1:12">
      <c r="A3562" s="20"/>
    </row>
    <row r="3563" spans="1:12">
      <c r="A3563" s="20" t="s">
        <v>2221</v>
      </c>
    </row>
    <row r="3564" spans="1:12">
      <c r="A3564" s="20" t="s">
        <v>2220</v>
      </c>
      <c r="B3564" s="27" t="s">
        <v>1074</v>
      </c>
      <c r="C3564" s="27" t="s">
        <v>1077</v>
      </c>
      <c r="E3564" s="21">
        <f>IF(D3564="?OLD","!!!","")</f>
        <v/>
      </c>
      <c r="F3564" s="22" t="str">
        <f>IF(OR(E3564="",E3564="!!!"),"",IF(NOT(ISNA(VLOOKUP(E3564,E$1:E3563,1,FALSE()))),"OLD",IF(AND(E3564&lt;&gt;"",E3564&lt;&gt;"!!!"),"NEW","")))</f>
        <v> </v>
      </c>
      <c r="G3564" s="23" t="str">
        <f>IF(OR(E3564="",E3564="!!!"),"",IF(OR(J3564=0,AND(J3564=1,K3564=1),AND(J3564=1,I3564="SBJ"),AND(J3564=1,I3564=0)),"?IN_FOCUS",IF(J3564&lt;=2,"?ACTIVATED",IF(J3564&lt;&gt;"","?FAMILIAR",IF(F3564="NEW",IF(ISNA(VLOOKUP(E3564,#REF!,1,FALSE())),"?TYPE_IDENTIFIABLE","?REFERENTIAL"),"_")))))</f>
        <v> </v>
      </c>
      <c r="H3564" s="24" t="str">
        <f>IF(J3564&lt;&gt;1,"",IF(I3564="SBJ","CB","?"))</f>
        <v> </v>
      </c>
      <c r="I3564" s="25" t="str">
        <f>IF(OR(E3564="",E3564="!!!",F3564="NEW"),"",INDEX(B3563:B$2,-1+SUMPRODUCT(MAX(ROW(E3563:E$2)*(E3564=E3563:E$2)))))</f>
        <v> </v>
      </c>
      <c r="J3564" s="25" t="str">
        <f>IF(OR(E3564="",E3564="!!!",F3564="NEW"),"",COUNTBLANK(OFFSET(A$1,,,SUMPRODUCT(MAX(ROW(E$2:E3564)*(E3564=E$2:E3564)))))-COUNTBLANK(OFFSET(A$1,,,SUMPRODUCT(MAX(ROW(E$1:E3563)*(E2=E$1:E3563))))))</f>
        <v> </v>
      </c>
      <c r="K3564" s="25" t="str">
        <f>IF(OR(E3564="",E3564="!!!",F3564="NEW"),"",INDEX(J$1:J3563,SUMPRODUCT(MAX(ROW(E$1:E3563)*(E3564=E$1:E3563)))))</f>
        <v> </v>
      </c>
      <c r="L3564" s="26"/>
    </row>
    <row r="3565" spans="1:12">
      <c r="A3565" s="20" t="s">
        <v>1308</v>
      </c>
      <c r="E3565" s="21">
        <f>IF(D3565="?OLD","!!!","")</f>
        <v/>
      </c>
      <c r="F3565" s="22" t="str">
        <f>IF(OR(E3565="",E3565="!!!"),"",IF(NOT(ISNA(VLOOKUP(E3565,E$1:E3564,1,FALSE()))),"OLD",IF(AND(E3565&lt;&gt;"",E3565&lt;&gt;"!!!"),"NEW","")))</f>
        <v> </v>
      </c>
      <c r="G3565" s="23" t="str">
        <f>IF(OR(E3565="",E3565="!!!"),"",IF(OR(J3565=0,AND(J3565=1,K3565=1),AND(J3565=1,I3565="SBJ"),AND(J3565=1,I3565=0)),"?IN_FOCUS",IF(J3565&lt;=2,"?ACTIVATED",IF(J3565&lt;&gt;"","?FAMILIAR",IF(F3565="NEW",IF(ISNA(VLOOKUP(E3565,#REF!,1,FALSE())),"?TYPE_IDENTIFIABLE","?REFERENTIAL"),"_")))))</f>
        <v> </v>
      </c>
      <c r="H3565" s="24" t="str">
        <f>IF(J3565&lt;&gt;1,"",IF(I3565="SBJ","CB","?"))</f>
        <v> </v>
      </c>
      <c r="I3565" s="25" t="str">
        <f>IF(OR(E3565="",E3565="!!!",F3565="NEW"),"",INDEX(B3564:B$2,-1+SUMPRODUCT(MAX(ROW(E3564:E$2)*(E3565=E3564:E$2)))))</f>
        <v> </v>
      </c>
      <c r="J3565" s="25" t="str">
        <f>IF(OR(E3565="",E3565="!!!",F3565="NEW"),"",COUNTBLANK(OFFSET(A$1,,,SUMPRODUCT(MAX(ROW(E$2:E3565)*(E3565=E$2:E3565)))))-COUNTBLANK(OFFSET(A$1,,,SUMPRODUCT(MAX(ROW(E$1:E3564)*(E2=E$1:E3564))))))</f>
        <v> </v>
      </c>
      <c r="K3565" s="25" t="str">
        <f>IF(OR(E3565="",E3565="!!!",F3565="NEW"),"",INDEX(J$1:J3564,SUMPRODUCT(MAX(ROW(E$1:E3564)*(E3565=E$1:E3564)))))</f>
        <v> </v>
      </c>
      <c r="L3565" s="26"/>
    </row>
    <row r="3566" spans="1:12">
      <c r="A3566" s="20"/>
    </row>
    <row r="3567" spans="1:12">
      <c r="A3567" s="20" t="s">
        <v>2214</v>
      </c>
    </row>
    <row r="3568" spans="1:12">
      <c r="A3568" s="20" t="s">
        <v>2215</v>
      </c>
      <c r="E3568" s="21">
        <f>IF(D3568="?OLD","!!!","")</f>
        <v/>
      </c>
      <c r="F3568" s="22" t="str">
        <f>IF(OR(E3568="",E3568="!!!"),"",IF(NOT(ISNA(VLOOKUP(E3568,E$1:E3567,1,FALSE()))),"OLD",IF(AND(E3568&lt;&gt;"",E3568&lt;&gt;"!!!"),"NEW","")))</f>
        <v> </v>
      </c>
      <c r="G3568" s="23" t="str">
        <f>IF(OR(E3568="",E3568="!!!"),"",IF(OR(J3568=0,AND(J3568=1,K3568=1),AND(J3568=1,I3568="SBJ"),AND(J3568=1,I3568=0)),"?IN_FOCUS",IF(J3568&lt;=2,"?ACTIVATED",IF(J3568&lt;&gt;"","?FAMILIAR",IF(F3568="NEW",IF(ISNA(VLOOKUP(E3568,#REF!,1,FALSE())),"?TYPE_IDENTIFIABLE","?REFERENTIAL"),"_")))))</f>
        <v> </v>
      </c>
      <c r="H3568" s="24" t="str">
        <f>IF(J3568&lt;&gt;1,"",IF(I3568="SBJ","CB","?"))</f>
        <v> </v>
      </c>
      <c r="I3568" s="25" t="str">
        <f>IF(OR(E3568="",E3568="!!!",F3568="NEW"),"",INDEX(B3567:B$2,-1+SUMPRODUCT(MAX(ROW(E3567:E$2)*(E3568=E3567:E$2)))))</f>
        <v> </v>
      </c>
      <c r="J3568" s="25" t="str">
        <f>IF(OR(E3568="",E3568="!!!",F3568="NEW"),"",COUNTBLANK(OFFSET(A$1,,,SUMPRODUCT(MAX(ROW(E$2:E3568)*(E3568=E$2:E3568)))))-COUNTBLANK(OFFSET(A$1,,,SUMPRODUCT(MAX(ROW(E$1:E3567)*(E2=E$1:E3567))))))</f>
        <v> </v>
      </c>
      <c r="K3568" s="25" t="str">
        <f>IF(OR(E3568="",E3568="!!!",F3568="NEW"),"",INDEX(J$1:J3567,SUMPRODUCT(MAX(ROW(E$1:E3567)*(E3568=E$1:E3567)))))</f>
        <v> </v>
      </c>
      <c r="L3568" s="26"/>
    </row>
    <row r="3569" spans="1:12">
      <c r="A3569" s="20" t="s">
        <v>743</v>
      </c>
      <c r="B3569" s="27" t="s">
        <v>1074</v>
      </c>
      <c r="C3569" s="27" t="s">
        <v>1117</v>
      </c>
      <c r="E3569" s="21">
        <f>IF(D3569="?OLD","!!!","")</f>
        <v/>
      </c>
      <c r="F3569" s="22" t="str">
        <f>IF(OR(E3569="",E3569="!!!"),"",IF(NOT(ISNA(VLOOKUP(E3569,E$1:E3568,1,FALSE()))),"OLD",IF(AND(E3569&lt;&gt;"",E3569&lt;&gt;"!!!"),"NEW","")))</f>
        <v> </v>
      </c>
      <c r="G3569" s="23" t="str">
        <f>IF(OR(E3569="",E3569="!!!"),"",IF(OR(J3569=0,AND(J3569=1,K3569=1),AND(J3569=1,I3569="SBJ"),AND(J3569=1,I3569=0)),"?IN_FOCUS",IF(J3569&lt;=2,"?ACTIVATED",IF(J3569&lt;&gt;"","?FAMILIAR",IF(F3569="NEW",IF(ISNA(VLOOKUP(E3569,#REF!,1,FALSE())),"?TYPE_IDENTIFIABLE","?REFERENTIAL"),"_")))))</f>
        <v> </v>
      </c>
      <c r="H3569" s="24" t="str">
        <f>IF(J3569&lt;&gt;1,"",IF(I3569="SBJ","CB","?"))</f>
        <v> </v>
      </c>
      <c r="I3569" s="25" t="str">
        <f>IF(OR(E3569="",E3569="!!!",F3569="NEW"),"",INDEX(B3568:B$2,-1+SUMPRODUCT(MAX(ROW(E3568:E$2)*(E3569=E3568:E$2)))))</f>
        <v> </v>
      </c>
      <c r="J3569" s="25" t="str">
        <f>IF(OR(E3569="",E3569="!!!",F3569="NEW"),"",COUNTBLANK(OFFSET(A$1,,,SUMPRODUCT(MAX(ROW(E$2:E3569)*(E3569=E$2:E3569)))))-COUNTBLANK(OFFSET(A$1,,,SUMPRODUCT(MAX(ROW(E$1:E3568)*(E2=E$1:E3568))))))</f>
        <v> </v>
      </c>
      <c r="K3569" s="25" t="str">
        <f>IF(OR(E3569="",E3569="!!!",F3569="NEW"),"",INDEX(J$1:J3568,SUMPRODUCT(MAX(ROW(E$1:E3568)*(E3569=E$1:E3568)))))</f>
        <v> </v>
      </c>
      <c r="L3569" s="26"/>
    </row>
    <row r="3570" spans="1:12">
      <c r="A3570" s="20" t="s">
        <v>1080</v>
      </c>
      <c r="E3570" s="21">
        <f>IF(D3570="?OLD","!!!","")</f>
        <v/>
      </c>
      <c r="F3570" s="22" t="str">
        <f>IF(OR(E3570="",E3570="!!!"),"",IF(NOT(ISNA(VLOOKUP(E3570,E$1:E3569,1,FALSE()))),"OLD",IF(AND(E3570&lt;&gt;"",E3570&lt;&gt;"!!!"),"NEW","")))</f>
        <v> </v>
      </c>
      <c r="G3570" s="23" t="str">
        <f>IF(OR(E3570="",E3570="!!!"),"",IF(OR(J3570=0,AND(J3570=1,K3570=1),AND(J3570=1,I3570="SBJ"),AND(J3570=1,I3570=0)),"?IN_FOCUS",IF(J3570&lt;=2,"?ACTIVATED",IF(J3570&lt;&gt;"","?FAMILIAR",IF(F3570="NEW",IF(ISNA(VLOOKUP(E3570,#REF!,1,FALSE())),"?TYPE_IDENTIFIABLE","?REFERENTIAL"),"_")))))</f>
        <v> </v>
      </c>
      <c r="H3570" s="24" t="str">
        <f>IF(J3570&lt;&gt;1,"",IF(I3570="SBJ","CB","?"))</f>
        <v> </v>
      </c>
      <c r="I3570" s="25" t="str">
        <f>IF(OR(E3570="",E3570="!!!",F3570="NEW"),"",INDEX(B3569:B$2,-1+SUMPRODUCT(MAX(ROW(E3569:E$2)*(E3570=E3569:E$2)))))</f>
        <v> </v>
      </c>
      <c r="J3570" s="25" t="str">
        <f>IF(OR(E3570="",E3570="!!!",F3570="NEW"),"",COUNTBLANK(OFFSET(A$1,,,SUMPRODUCT(MAX(ROW(E$2:E3570)*(E3570=E$2:E3570)))))-COUNTBLANK(OFFSET(A$1,,,SUMPRODUCT(MAX(ROW(E$1:E3569)*(E2=E$1:E3569))))))</f>
        <v> </v>
      </c>
      <c r="K3570" s="25" t="str">
        <f>IF(OR(E3570="",E3570="!!!",F3570="NEW"),"",INDEX(J$1:J3569,SUMPRODUCT(MAX(ROW(E$1:E3569)*(E3570=E$1:E3569)))))</f>
        <v> </v>
      </c>
      <c r="L3570" s="26"/>
    </row>
    <row r="3571" spans="1:12">
      <c r="A3571" s="20"/>
    </row>
    <row r="3572" spans="1:12">
      <c r="A3572" s="20" t="s">
        <v>2222</v>
      </c>
    </row>
    <row r="3573" spans="1:12">
      <c r="A3573" s="20" t="s">
        <v>1384</v>
      </c>
      <c r="E3573" s="21">
        <f>IF(D3573="?OLD","!!!","")</f>
        <v/>
      </c>
      <c r="F3573" s="22" t="str">
        <f>IF(OR(E3573="",E3573="!!!"),"",IF(NOT(ISNA(VLOOKUP(E3573,E$1:E3572,1,FALSE()))),"OLD",IF(AND(E3573&lt;&gt;"",E3573&lt;&gt;"!!!"),"NEW","")))</f>
        <v> </v>
      </c>
      <c r="G3573" s="23" t="str">
        <f>IF(OR(E3573="",E3573="!!!"),"",IF(OR(J3573=0,AND(J3573=1,K3573=1),AND(J3573=1,I3573="SBJ"),AND(J3573=1,I3573=0)),"?IN_FOCUS",IF(J3573&lt;=2,"?ACTIVATED",IF(J3573&lt;&gt;"","?FAMILIAR",IF(F3573="NEW",IF(ISNA(VLOOKUP(E3573,#REF!,1,FALSE())),"?TYPE_IDENTIFIABLE","?REFERENTIAL"),"_")))))</f>
        <v> </v>
      </c>
      <c r="H3573" s="24" t="str">
        <f>IF(J3573&lt;&gt;1,"",IF(I3573="SBJ","CB","?"))</f>
        <v> </v>
      </c>
      <c r="I3573" s="25" t="str">
        <f>IF(OR(E3573="",E3573="!!!",F3573="NEW"),"",INDEX(B3572:B$2,-1+SUMPRODUCT(MAX(ROW(E3572:E$2)*(E3573=E3572:E$2)))))</f>
        <v> </v>
      </c>
      <c r="J3573" s="25" t="str">
        <f>IF(OR(E3573="",E3573="!!!",F3573="NEW"),"",COUNTBLANK(OFFSET(A$1,,,SUMPRODUCT(MAX(ROW(E$2:E3573)*(E3573=E$2:E3573)))))-COUNTBLANK(OFFSET(A$1,,,SUMPRODUCT(MAX(ROW(E$1:E3572)*(E2=E$1:E3572))))))</f>
        <v> </v>
      </c>
      <c r="K3573" s="25" t="str">
        <f>IF(OR(E3573="",E3573="!!!",F3573="NEW"),"",INDEX(J$1:J3572,SUMPRODUCT(MAX(ROW(E$1:E3572)*(E3573=E$1:E3572)))))</f>
        <v> </v>
      </c>
      <c r="L3573" s="26"/>
    </row>
    <row r="3574" spans="1:12">
      <c r="A3574" s="20" t="s">
        <v>1100</v>
      </c>
      <c r="E3574" s="21">
        <f>IF(D3574="?OLD","!!!","")</f>
        <v/>
      </c>
      <c r="F3574" s="22" t="str">
        <f>IF(OR(E3574="",E3574="!!!"),"",IF(NOT(ISNA(VLOOKUP(E3574,E$1:E3573,1,FALSE()))),"OLD",IF(AND(E3574&lt;&gt;"",E3574&lt;&gt;"!!!"),"NEW","")))</f>
        <v> </v>
      </c>
      <c r="G3574" s="23" t="str">
        <f>IF(OR(E3574="",E3574="!!!"),"",IF(OR(J3574=0,AND(J3574=1,K3574=1),AND(J3574=1,I3574="SBJ"),AND(J3574=1,I3574=0)),"?IN_FOCUS",IF(J3574&lt;=2,"?ACTIVATED",IF(J3574&lt;&gt;"","?FAMILIAR",IF(F3574="NEW",IF(ISNA(VLOOKUP(E3574,#REF!,1,FALSE())),"?TYPE_IDENTIFIABLE","?REFERENTIAL"),"_")))))</f>
        <v> </v>
      </c>
      <c r="H3574" s="24" t="str">
        <f>IF(J3574&lt;&gt;1,"",IF(I3574="SBJ","CB","?"))</f>
        <v> </v>
      </c>
      <c r="I3574" s="25" t="str">
        <f>IF(OR(E3574="",E3574="!!!",F3574="NEW"),"",INDEX(B3573:B$2,-1+SUMPRODUCT(MAX(ROW(E3573:E$2)*(E3574=E3573:E$2)))))</f>
        <v> </v>
      </c>
      <c r="J3574" s="25" t="str">
        <f>IF(OR(E3574="",E3574="!!!",F3574="NEW"),"",COUNTBLANK(OFFSET(A$1,,,SUMPRODUCT(MAX(ROW(E$2:E3574)*(E3574=E$2:E3574)))))-COUNTBLANK(OFFSET(A$1,,,SUMPRODUCT(MAX(ROW(E$1:E3573)*(E2=E$1:E3573))))))</f>
        <v> </v>
      </c>
      <c r="K3574" s="25" t="str">
        <f>IF(OR(E3574="",E3574="!!!",F3574="NEW"),"",INDEX(J$1:J3573,SUMPRODUCT(MAX(ROW(E$1:E3573)*(E3574=E$1:E3573)))))</f>
        <v> </v>
      </c>
      <c r="L3574" s="26"/>
    </row>
    <row r="3575" spans="1:12">
      <c r="A3575" s="20" t="s">
        <v>1950</v>
      </c>
      <c r="B3575" s="27" t="s">
        <v>1160</v>
      </c>
      <c r="C3575" s="27" t="s">
        <v>1077</v>
      </c>
      <c r="E3575" s="21">
        <f>IF(D3575="?OLD","!!!","")</f>
        <v/>
      </c>
      <c r="F3575" s="22" t="str">
        <f>IF(OR(E3575="",E3575="!!!"),"",IF(NOT(ISNA(VLOOKUP(E3575,E$1:E3574,1,FALSE()))),"OLD",IF(AND(E3575&lt;&gt;"",E3575&lt;&gt;"!!!"),"NEW","")))</f>
        <v> </v>
      </c>
      <c r="G3575" s="23" t="str">
        <f>IF(OR(E3575="",E3575="!!!"),"",IF(OR(J3575=0,AND(J3575=1,K3575=1),AND(J3575=1,I3575="SBJ"),AND(J3575=1,I3575=0)),"?IN_FOCUS",IF(J3575&lt;=2,"?ACTIVATED",IF(J3575&lt;&gt;"","?FAMILIAR",IF(F3575="NEW",IF(ISNA(VLOOKUP(E3575,#REF!,1,FALSE())),"?TYPE_IDENTIFIABLE","?REFERENTIAL"),"_")))))</f>
        <v> </v>
      </c>
      <c r="H3575" s="24" t="str">
        <f>IF(J3575&lt;&gt;1,"",IF(I3575="SBJ","CB","?"))</f>
        <v> </v>
      </c>
      <c r="I3575" s="25" t="str">
        <f>IF(OR(E3575="",E3575="!!!",F3575="NEW"),"",INDEX(B3574:B$2,-1+SUMPRODUCT(MAX(ROW(E3574:E$2)*(E3575=E3574:E$2)))))</f>
        <v> </v>
      </c>
      <c r="J3575" s="25" t="str">
        <f>IF(OR(E3575="",E3575="!!!",F3575="NEW"),"",COUNTBLANK(OFFSET(A$1,,,SUMPRODUCT(MAX(ROW(E$2:E3575)*(E3575=E$2:E3575)))))-COUNTBLANK(OFFSET(A$1,,,SUMPRODUCT(MAX(ROW(E$1:E3574)*(E2=E$1:E3574))))))</f>
        <v> </v>
      </c>
      <c r="K3575" s="25" t="str">
        <f>IF(OR(E3575="",E3575="!!!",F3575="NEW"),"",INDEX(J$1:J3574,SUMPRODUCT(MAX(ROW(E$1:E3574)*(E3575=E$1:E3574)))))</f>
        <v> </v>
      </c>
      <c r="L3575" s="26"/>
    </row>
    <row r="3576" spans="1:12">
      <c r="A3576" s="20" t="s">
        <v>17</v>
      </c>
      <c r="E3576" s="21">
        <f>IF(D3576="?OLD","!!!","")</f>
        <v/>
      </c>
      <c r="F3576" s="22" t="str">
        <f>IF(OR(E3576="",E3576="!!!"),"",IF(NOT(ISNA(VLOOKUP(E3576,E$1:E3575,1,FALSE()))),"OLD",IF(AND(E3576&lt;&gt;"",E3576&lt;&gt;"!!!"),"NEW","")))</f>
        <v> </v>
      </c>
      <c r="G3576" s="23" t="str">
        <f>IF(OR(E3576="",E3576="!!!"),"",IF(OR(J3576=0,AND(J3576=1,K3576=1),AND(J3576=1,I3576="SBJ"),AND(J3576=1,I3576=0)),"?IN_FOCUS",IF(J3576&lt;=2,"?ACTIVATED",IF(J3576&lt;&gt;"","?FAMILIAR",IF(F3576="NEW",IF(ISNA(VLOOKUP(E3576,#REF!,1,FALSE())),"?TYPE_IDENTIFIABLE","?REFERENTIAL"),"_")))))</f>
        <v> </v>
      </c>
      <c r="H3576" s="24" t="str">
        <f>IF(J3576&lt;&gt;1,"",IF(I3576="SBJ","CB","?"))</f>
        <v> </v>
      </c>
      <c r="I3576" s="25" t="str">
        <f>IF(OR(E3576="",E3576="!!!",F3576="NEW"),"",INDEX(B3575:B$2,-1+SUMPRODUCT(MAX(ROW(E3575:E$2)*(E3576=E3575:E$2)))))</f>
        <v> </v>
      </c>
      <c r="J3576" s="25" t="str">
        <f>IF(OR(E3576="",E3576="!!!",F3576="NEW"),"",COUNTBLANK(OFFSET(A$1,,,SUMPRODUCT(MAX(ROW(E$2:E3576)*(E3576=E$2:E3576)))))-COUNTBLANK(OFFSET(A$1,,,SUMPRODUCT(MAX(ROW(E$1:E3575)*(E2=E$1:E3575))))))</f>
        <v> </v>
      </c>
      <c r="K3576" s="25" t="str">
        <f>IF(OR(E3576="",E3576="!!!",F3576="NEW"),"",INDEX(J$1:J3575,SUMPRODUCT(MAX(ROW(E$1:E3575)*(E3576=E$1:E3575)))))</f>
        <v> </v>
      </c>
      <c r="L3576" s="26"/>
    </row>
    <row r="3577" spans="1:12">
      <c r="A3577" s="20" t="s">
        <v>1866</v>
      </c>
      <c r="E3577" s="21">
        <f>IF(D3577="?OLD","!!!","")</f>
        <v/>
      </c>
      <c r="F3577" s="22" t="str">
        <f>IF(OR(E3577="",E3577="!!!"),"",IF(NOT(ISNA(VLOOKUP(E3577,E$1:E3576,1,FALSE()))),"OLD",IF(AND(E3577&lt;&gt;"",E3577&lt;&gt;"!!!"),"NEW","")))</f>
        <v> </v>
      </c>
      <c r="G3577" s="23" t="str">
        <f>IF(OR(E3577="",E3577="!!!"),"",IF(OR(J3577=0,AND(J3577=1,K3577=1),AND(J3577=1,I3577="SBJ"),AND(J3577=1,I3577=0)),"?IN_FOCUS",IF(J3577&lt;=2,"?ACTIVATED",IF(J3577&lt;&gt;"","?FAMILIAR",IF(F3577="NEW",IF(ISNA(VLOOKUP(E3577,#REF!,1,FALSE())),"?TYPE_IDENTIFIABLE","?REFERENTIAL"),"_")))))</f>
        <v> </v>
      </c>
      <c r="H3577" s="24" t="str">
        <f>IF(J3577&lt;&gt;1,"",IF(I3577="SBJ","CB","?"))</f>
        <v> </v>
      </c>
      <c r="I3577" s="25" t="str">
        <f>IF(OR(E3577="",E3577="!!!",F3577="NEW"),"",INDEX(B3576:B$2,-1+SUMPRODUCT(MAX(ROW(E3576:E$2)*(E3577=E3576:E$2)))))</f>
        <v> </v>
      </c>
      <c r="J3577" s="25" t="str">
        <f>IF(OR(E3577="",E3577="!!!",F3577="NEW"),"",COUNTBLANK(OFFSET(A$1,,,SUMPRODUCT(MAX(ROW(E$2:E3577)*(E3577=E$2:E3577)))))-COUNTBLANK(OFFSET(A$1,,,SUMPRODUCT(MAX(ROW(E$1:E3576)*(E2=E$1:E3576))))))</f>
        <v> </v>
      </c>
      <c r="K3577" s="25" t="str">
        <f>IF(OR(E3577="",E3577="!!!",F3577="NEW"),"",INDEX(J$1:J3576,SUMPRODUCT(MAX(ROW(E$1:E3576)*(E3577=E$1:E3576)))))</f>
        <v> </v>
      </c>
      <c r="L3577" s="26"/>
    </row>
    <row r="3578" spans="1:12">
      <c r="A3578" s="20" t="s">
        <v>1070</v>
      </c>
      <c r="E3578" s="21">
        <f>IF(D3578="?OLD","!!!","")</f>
        <v/>
      </c>
      <c r="F3578" s="22" t="str">
        <f>IF(OR(E3578="",E3578="!!!"),"",IF(NOT(ISNA(VLOOKUP(E3578,E$1:E3577,1,FALSE()))),"OLD",IF(AND(E3578&lt;&gt;"",E3578&lt;&gt;"!!!"),"NEW","")))</f>
        <v> </v>
      </c>
      <c r="G3578" s="23" t="str">
        <f>IF(OR(E3578="",E3578="!!!"),"",IF(OR(J3578=0,AND(J3578=1,K3578=1),AND(J3578=1,I3578="SBJ"),AND(J3578=1,I3578=0)),"?IN_FOCUS",IF(J3578&lt;=2,"?ACTIVATED",IF(J3578&lt;&gt;"","?FAMILIAR",IF(F3578="NEW",IF(ISNA(VLOOKUP(E3578,#REF!,1,FALSE())),"?TYPE_IDENTIFIABLE","?REFERENTIAL"),"_")))))</f>
        <v> </v>
      </c>
      <c r="H3578" s="24" t="str">
        <f>IF(J3578&lt;&gt;1,"",IF(I3578="SBJ","CB","?"))</f>
        <v> </v>
      </c>
      <c r="I3578" s="25" t="str">
        <f>IF(OR(E3578="",E3578="!!!",F3578="NEW"),"",INDEX(B3577:B$2,-1+SUMPRODUCT(MAX(ROW(E3577:E$2)*(E3578=E3577:E$2)))))</f>
        <v> </v>
      </c>
      <c r="J3578" s="25" t="str">
        <f>IF(OR(E3578="",E3578="!!!",F3578="NEW"),"",COUNTBLANK(OFFSET(A$1,,,SUMPRODUCT(MAX(ROW(E$2:E3578)*(E3578=E$2:E3578)))))-COUNTBLANK(OFFSET(A$1,,,SUMPRODUCT(MAX(ROW(E$1:E3577)*(E2=E$1:E3577))))))</f>
        <v> </v>
      </c>
      <c r="K3578" s="25" t="str">
        <f>IF(OR(E3578="",E3578="!!!",F3578="NEW"),"",INDEX(J$1:J3577,SUMPRODUCT(MAX(ROW(E$1:E3577)*(E3578=E$1:E3577)))))</f>
        <v> </v>
      </c>
      <c r="L3578" s="26"/>
    </row>
    <row r="3579" spans="1:12">
      <c r="A3579" s="20" t="s">
        <v>756</v>
      </c>
      <c r="E3579" s="21">
        <f>IF(D3579="?OLD","!!!","")</f>
        <v/>
      </c>
      <c r="F3579" s="22" t="str">
        <f>IF(OR(E3579="",E3579="!!!"),"",IF(NOT(ISNA(VLOOKUP(E3579,E$1:E3578,1,FALSE()))),"OLD",IF(AND(E3579&lt;&gt;"",E3579&lt;&gt;"!!!"),"NEW","")))</f>
        <v> </v>
      </c>
      <c r="G3579" s="23" t="str">
        <f>IF(OR(E3579="",E3579="!!!"),"",IF(OR(J3579=0,AND(J3579=1,K3579=1),AND(J3579=1,I3579="SBJ"),AND(J3579=1,I3579=0)),"?IN_FOCUS",IF(J3579&lt;=2,"?ACTIVATED",IF(J3579&lt;&gt;"","?FAMILIAR",IF(F3579="NEW",IF(ISNA(VLOOKUP(E3579,#REF!,1,FALSE())),"?TYPE_IDENTIFIABLE","?REFERENTIAL"),"_")))))</f>
        <v> </v>
      </c>
      <c r="H3579" s="24" t="str">
        <f>IF(J3579&lt;&gt;1,"",IF(I3579="SBJ","CB","?"))</f>
        <v> </v>
      </c>
      <c r="I3579" s="25" t="str">
        <f>IF(OR(E3579="",E3579="!!!",F3579="NEW"),"",INDEX(B3578:B$2,-1+SUMPRODUCT(MAX(ROW(E3578:E$2)*(E3579=E3578:E$2)))))</f>
        <v> </v>
      </c>
      <c r="J3579" s="25" t="str">
        <f>IF(OR(E3579="",E3579="!!!",F3579="NEW"),"",COUNTBLANK(OFFSET(A$1,,,SUMPRODUCT(MAX(ROW(E$2:E3579)*(E3579=E$2:E3579)))))-COUNTBLANK(OFFSET(A$1,,,SUMPRODUCT(MAX(ROW(E$1:E3578)*(E2=E$1:E3578))))))</f>
        <v> </v>
      </c>
      <c r="K3579" s="25" t="str">
        <f>IF(OR(E3579="",E3579="!!!",F3579="NEW"),"",INDEX(J$1:J3578,SUMPRODUCT(MAX(ROW(E$1:E3578)*(E3579=E$1:E3578)))))</f>
        <v> </v>
      </c>
      <c r="L3579" s="26"/>
    </row>
    <row r="3580" spans="1:12">
      <c r="A3580" s="20" t="s">
        <v>12</v>
      </c>
      <c r="E3580" s="21">
        <f>IF(D3580="?OLD","!!!","")</f>
        <v/>
      </c>
      <c r="F3580" s="22" t="str">
        <f>IF(OR(E3580="",E3580="!!!"),"",IF(NOT(ISNA(VLOOKUP(E3580,E$1:E3579,1,FALSE()))),"OLD",IF(AND(E3580&lt;&gt;"",E3580&lt;&gt;"!!!"),"NEW","")))</f>
        <v> </v>
      </c>
      <c r="G3580" s="23" t="str">
        <f>IF(OR(E3580="",E3580="!!!"),"",IF(OR(J3580=0,AND(J3580=1,K3580=1),AND(J3580=1,I3580="SBJ"),AND(J3580=1,I3580=0)),"?IN_FOCUS",IF(J3580&lt;=2,"?ACTIVATED",IF(J3580&lt;&gt;"","?FAMILIAR",IF(F3580="NEW",IF(ISNA(VLOOKUP(E3580,#REF!,1,FALSE())),"?TYPE_IDENTIFIABLE","?REFERENTIAL"),"_")))))</f>
        <v> </v>
      </c>
      <c r="H3580" s="24" t="str">
        <f>IF(J3580&lt;&gt;1,"",IF(I3580="SBJ","CB","?"))</f>
        <v> </v>
      </c>
      <c r="I3580" s="25" t="str">
        <f>IF(OR(E3580="",E3580="!!!",F3580="NEW"),"",INDEX(B3579:B$2,-1+SUMPRODUCT(MAX(ROW(E3579:E$2)*(E3580=E3579:E$2)))))</f>
        <v> </v>
      </c>
      <c r="J3580" s="25" t="str">
        <f>IF(OR(E3580="",E3580="!!!",F3580="NEW"),"",COUNTBLANK(OFFSET(A$1,,,SUMPRODUCT(MAX(ROW(E$2:E3580)*(E3580=E$2:E3580)))))-COUNTBLANK(OFFSET(A$1,,,SUMPRODUCT(MAX(ROW(E$1:E3579)*(E2=E$1:E3579))))))</f>
        <v> </v>
      </c>
      <c r="K3580" s="25" t="str">
        <f>IF(OR(E3580="",E3580="!!!",F3580="NEW"),"",INDEX(J$1:J3579,SUMPRODUCT(MAX(ROW(E$1:E3579)*(E3580=E$1:E3579)))))</f>
        <v> </v>
      </c>
      <c r="L3580" s="26"/>
    </row>
    <row r="3581" spans="1:12">
      <c r="A3581" s="20" t="s">
        <v>2223</v>
      </c>
      <c r="B3581" s="27" t="s">
        <v>1071</v>
      </c>
      <c r="C3581" s="27" t="s">
        <v>1077</v>
      </c>
      <c r="E3581" s="21">
        <f>IF(D3581="?OLD","!!!","")</f>
        <v/>
      </c>
      <c r="F3581" s="22" t="str">
        <f>IF(OR(E3581="",E3581="!!!"),"",IF(NOT(ISNA(VLOOKUP(E3581,E$1:E3580,1,FALSE()))),"OLD",IF(AND(E3581&lt;&gt;"",E3581&lt;&gt;"!!!"),"NEW","")))</f>
        <v> </v>
      </c>
      <c r="G3581" s="23" t="str">
        <f>IF(OR(E3581="",E3581="!!!"),"",IF(OR(J3581=0,AND(J3581=1,K3581=1),AND(J3581=1,I3581="SBJ"),AND(J3581=1,I3581=0)),"?IN_FOCUS",IF(J3581&lt;=2,"?ACTIVATED",IF(J3581&lt;&gt;"","?FAMILIAR",IF(F3581="NEW",IF(ISNA(VLOOKUP(E3581,#REF!,1,FALSE())),"?TYPE_IDENTIFIABLE","?REFERENTIAL"),"_")))))</f>
        <v> </v>
      </c>
      <c r="H3581" s="24" t="str">
        <f>IF(J3581&lt;&gt;1,"",IF(I3581="SBJ","CB","?"))</f>
        <v> </v>
      </c>
      <c r="I3581" s="25" t="str">
        <f>IF(OR(E3581="",E3581="!!!",F3581="NEW"),"",INDEX(B3580:B$2,-1+SUMPRODUCT(MAX(ROW(E3580:E$2)*(E3581=E3580:E$2)))))</f>
        <v> </v>
      </c>
      <c r="J3581" s="25" t="str">
        <f>IF(OR(E3581="",E3581="!!!",F3581="NEW"),"",COUNTBLANK(OFFSET(A$1,,,SUMPRODUCT(MAX(ROW(E$2:E3581)*(E3581=E$2:E3581)))))-COUNTBLANK(OFFSET(A$1,,,SUMPRODUCT(MAX(ROW(E$1:E3580)*(E2=E$1:E3580))))))</f>
        <v> </v>
      </c>
      <c r="K3581" s="25" t="str">
        <f>IF(OR(E3581="",E3581="!!!",F3581="NEW"),"",INDEX(J$1:J3580,SUMPRODUCT(MAX(ROW(E$1:E3580)*(E3581=E$1:E3580)))))</f>
        <v> </v>
      </c>
      <c r="L3581" s="26"/>
    </row>
    <row r="3582" spans="1:12">
      <c r="A3582" s="20" t="s">
        <v>1087</v>
      </c>
      <c r="E3582" s="21">
        <f>IF(D3582="?OLD","!!!","")</f>
        <v/>
      </c>
      <c r="F3582" s="22" t="str">
        <f>IF(OR(E3582="",E3582="!!!"),"",IF(NOT(ISNA(VLOOKUP(E3582,E$1:E3581,1,FALSE()))),"OLD",IF(AND(E3582&lt;&gt;"",E3582&lt;&gt;"!!!"),"NEW","")))</f>
        <v> </v>
      </c>
      <c r="G3582" s="23" t="str">
        <f>IF(OR(E3582="",E3582="!!!"),"",IF(OR(J3582=0,AND(J3582=1,K3582=1),AND(J3582=1,I3582="SBJ"),AND(J3582=1,I3582=0)),"?IN_FOCUS",IF(J3582&lt;=2,"?ACTIVATED",IF(J3582&lt;&gt;"","?FAMILIAR",IF(F3582="NEW",IF(ISNA(VLOOKUP(E3582,#REF!,1,FALSE())),"?TYPE_IDENTIFIABLE","?REFERENTIAL"),"_")))))</f>
        <v> </v>
      </c>
      <c r="H3582" s="24" t="str">
        <f>IF(J3582&lt;&gt;1,"",IF(I3582="SBJ","CB","?"))</f>
        <v> </v>
      </c>
      <c r="I3582" s="25" t="str">
        <f>IF(OR(E3582="",E3582="!!!",F3582="NEW"),"",INDEX(B3581:B$2,-1+SUMPRODUCT(MAX(ROW(E3581:E$2)*(E3582=E3581:E$2)))))</f>
        <v> </v>
      </c>
      <c r="J3582" s="25" t="str">
        <f>IF(OR(E3582="",E3582="!!!",F3582="NEW"),"",COUNTBLANK(OFFSET(A$1,,,SUMPRODUCT(MAX(ROW(E$2:E3582)*(E3582=E$2:E3582)))))-COUNTBLANK(OFFSET(A$1,,,SUMPRODUCT(MAX(ROW(E$1:E3581)*(E2=E$1:E3581))))))</f>
        <v> </v>
      </c>
      <c r="K3582" s="25" t="str">
        <f>IF(OR(E3582="",E3582="!!!",F3582="NEW"),"",INDEX(J$1:J3581,SUMPRODUCT(MAX(ROW(E$1:E3581)*(E3582=E$1:E3581)))))</f>
        <v> </v>
      </c>
      <c r="L3582" s="26"/>
    </row>
    <row r="3583" spans="1:12">
      <c r="A3583" s="20" t="s">
        <v>1236</v>
      </c>
      <c r="E3583" s="21">
        <f>IF(D3583="?OLD","!!!","")</f>
        <v/>
      </c>
      <c r="F3583" s="22" t="str">
        <f>IF(OR(E3583="",E3583="!!!"),"",IF(NOT(ISNA(VLOOKUP(E3583,E$1:E3582,1,FALSE()))),"OLD",IF(AND(E3583&lt;&gt;"",E3583&lt;&gt;"!!!"),"NEW","")))</f>
        <v> </v>
      </c>
      <c r="G3583" s="23" t="str">
        <f>IF(OR(E3583="",E3583="!!!"),"",IF(OR(J3583=0,AND(J3583=1,K3583=1),AND(J3583=1,I3583="SBJ"),AND(J3583=1,I3583=0)),"?IN_FOCUS",IF(J3583&lt;=2,"?ACTIVATED",IF(J3583&lt;&gt;"","?FAMILIAR",IF(F3583="NEW",IF(ISNA(VLOOKUP(E3583,#REF!,1,FALSE())),"?TYPE_IDENTIFIABLE","?REFERENTIAL"),"_")))))</f>
        <v> </v>
      </c>
      <c r="H3583" s="24" t="str">
        <f>IF(J3583&lt;&gt;1,"",IF(I3583="SBJ","CB","?"))</f>
        <v> </v>
      </c>
      <c r="I3583" s="25" t="str">
        <f>IF(OR(E3583="",E3583="!!!",F3583="NEW"),"",INDEX(B3582:B$2,-1+SUMPRODUCT(MAX(ROW(E3582:E$2)*(E3583=E3582:E$2)))))</f>
        <v> </v>
      </c>
      <c r="J3583" s="25" t="str">
        <f>IF(OR(E3583="",E3583="!!!",F3583="NEW"),"",COUNTBLANK(OFFSET(A$1,,,SUMPRODUCT(MAX(ROW(E$2:E3583)*(E3583=E$2:E3583)))))-COUNTBLANK(OFFSET(A$1,,,SUMPRODUCT(MAX(ROW(E$1:E3582)*(E2=E$1:E3582))))))</f>
        <v> </v>
      </c>
      <c r="K3583" s="25" t="str">
        <f>IF(OR(E3583="",E3583="!!!",F3583="NEW"),"",INDEX(J$1:J3582,SUMPRODUCT(MAX(ROW(E$1:E3582)*(E3583=E$1:E3582)))))</f>
        <v> </v>
      </c>
      <c r="L3583" s="26"/>
    </row>
    <row r="3584" spans="1:12">
      <c r="A3584" s="20" t="s">
        <v>1197</v>
      </c>
      <c r="B3584" s="27" t="s">
        <v>1067</v>
      </c>
      <c r="C3584" s="27" t="s">
        <v>1068</v>
      </c>
      <c r="D3584" s="27" t="s">
        <v>1069</v>
      </c>
      <c r="E3584" s="21">
        <f>IF(D3584="?OLD","!!!","")</f>
        <v/>
      </c>
      <c r="F3584" s="22" t="str">
        <f>IF(OR(E3584="",E3584="!!!"),"",IF(NOT(ISNA(VLOOKUP(E3584,E$1:E3583,1,FALSE()))),"OLD",IF(AND(E3584&lt;&gt;"",E3584&lt;&gt;"!!!"),"NEW","")))</f>
        <v> </v>
      </c>
      <c r="G3584" s="23" t="str">
        <f>IF(OR(E3584="",E3584="!!!"),"",IF(OR(J3584=0,AND(J3584=1,K3584=1),AND(J3584=1,I3584="SBJ"),AND(J3584=1,I3584=0)),"?IN_FOCUS",IF(J3584&lt;=2,"?ACTIVATED",IF(J3584&lt;&gt;"","?FAMILIAR",IF(F3584="NEW",IF(ISNA(VLOOKUP(E3584,#REF!,1,FALSE())),"?TYPE_IDENTIFIABLE","?REFERENTIAL"),"_")))))</f>
        <v> </v>
      </c>
      <c r="H3584" s="24" t="str">
        <f>IF(J3584&lt;&gt;1,"",IF(I3584="SBJ","CB","?"))</f>
        <v> </v>
      </c>
      <c r="I3584" s="25" t="str">
        <f>IF(OR(E3584="",E3584="!!!",F3584="NEW"),"",INDEX(B3583:B$2,-1+SUMPRODUCT(MAX(ROW(E3583:E$2)*(E3584=E3583:E$2)))))</f>
        <v> </v>
      </c>
      <c r="J3584" s="25" t="str">
        <f>IF(OR(E3584="",E3584="!!!",F3584="NEW"),"",COUNTBLANK(OFFSET(A$1,,,SUMPRODUCT(MAX(ROW(E$2:E3584)*(E3584=E$2:E3584)))))-COUNTBLANK(OFFSET(A$1,,,SUMPRODUCT(MAX(ROW(E$1:E3583)*(E2=E$1:E3583))))))</f>
        <v> </v>
      </c>
      <c r="K3584" s="25" t="str">
        <f>IF(OR(E3584="",E3584="!!!",F3584="NEW"),"",INDEX(J$1:J3583,SUMPRODUCT(MAX(ROW(E$1:E3583)*(E3584=E$1:E3583)))))</f>
        <v> </v>
      </c>
      <c r="L3584" s="26"/>
    </row>
    <row r="3585" spans="1:12">
      <c r="A3585" s="20" t="s">
        <v>1242</v>
      </c>
      <c r="B3585" s="27" t="s">
        <v>1160</v>
      </c>
      <c r="C3585" s="27" t="s">
        <v>1110</v>
      </c>
      <c r="D3585" s="27" t="s">
        <v>1069</v>
      </c>
      <c r="E3585" s="21">
        <f>IF(D3585="?OLD","!!!","")</f>
        <v/>
      </c>
      <c r="F3585" s="22" t="str">
        <f>IF(OR(E3585="",E3585="!!!"),"",IF(NOT(ISNA(VLOOKUP(E3585,E$1:E3584,1,FALSE()))),"OLD",IF(AND(E3585&lt;&gt;"",E3585&lt;&gt;"!!!"),"NEW","")))</f>
        <v> </v>
      </c>
      <c r="G3585" s="23" t="str">
        <f>IF(OR(E3585="",E3585="!!!"),"",IF(OR(J3585=0,AND(J3585=1,K3585=1),AND(J3585=1,I3585="SBJ"),AND(J3585=1,I3585=0)),"?IN_FOCUS",IF(J3585&lt;=2,"?ACTIVATED",IF(J3585&lt;&gt;"","?FAMILIAR",IF(F3585="NEW",IF(ISNA(VLOOKUP(E3585,#REF!,1,FALSE())),"?TYPE_IDENTIFIABLE","?REFERENTIAL"),"_")))))</f>
        <v> </v>
      </c>
      <c r="H3585" s="24" t="str">
        <f>IF(J3585&lt;&gt;1,"",IF(I3585="SBJ","CB","?"))</f>
        <v> </v>
      </c>
      <c r="I3585" s="25" t="str">
        <f>IF(OR(E3585="",E3585="!!!",F3585="NEW"),"",INDEX(B3584:B$2,-1+SUMPRODUCT(MAX(ROW(E3584:E$2)*(E3585=E3584:E$2)))))</f>
        <v> </v>
      </c>
      <c r="J3585" s="25" t="str">
        <f>IF(OR(E3585="",E3585="!!!",F3585="NEW"),"",COUNTBLANK(OFFSET(A$1,,,SUMPRODUCT(MAX(ROW(E$2:E3585)*(E3585=E$2:E3585)))))-COUNTBLANK(OFFSET(A$1,,,SUMPRODUCT(MAX(ROW(E$1:E3584)*(E2=E$1:E3584))))))</f>
        <v> </v>
      </c>
      <c r="K3585" s="25" t="str">
        <f>IF(OR(E3585="",E3585="!!!",F3585="NEW"),"",INDEX(J$1:J3584,SUMPRODUCT(MAX(ROW(E$1:E3584)*(E3585=E$1:E3584)))))</f>
        <v> </v>
      </c>
      <c r="L3585" s="26"/>
    </row>
    <row r="3586" spans="1:12">
      <c r="A3586" s="20" t="s">
        <v>1185</v>
      </c>
      <c r="E3586" s="21">
        <f>IF(D3586="?OLD","!!!","")</f>
        <v/>
      </c>
      <c r="F3586" s="22" t="str">
        <f>IF(OR(E3586="",E3586="!!!"),"",IF(NOT(ISNA(VLOOKUP(E3586,E$1:E3585,1,FALSE()))),"OLD",IF(AND(E3586&lt;&gt;"",E3586&lt;&gt;"!!!"),"NEW","")))</f>
        <v> </v>
      </c>
      <c r="G3586" s="23" t="str">
        <f>IF(OR(E3586="",E3586="!!!"),"",IF(OR(J3586=0,AND(J3586=1,K3586=1),AND(J3586=1,I3586="SBJ"),AND(J3586=1,I3586=0)),"?IN_FOCUS",IF(J3586&lt;=2,"?ACTIVATED",IF(J3586&lt;&gt;"","?FAMILIAR",IF(F3586="NEW",IF(ISNA(VLOOKUP(E3586,#REF!,1,FALSE())),"?TYPE_IDENTIFIABLE","?REFERENTIAL"),"_")))))</f>
        <v> </v>
      </c>
      <c r="H3586" s="24" t="str">
        <f>IF(J3586&lt;&gt;1,"",IF(I3586="SBJ","CB","?"))</f>
        <v> </v>
      </c>
      <c r="I3586" s="25" t="str">
        <f>IF(OR(E3586="",E3586="!!!",F3586="NEW"),"",INDEX(B3585:B$2,-1+SUMPRODUCT(MAX(ROW(E3585:E$2)*(E3586=E3585:E$2)))))</f>
        <v> </v>
      </c>
      <c r="J3586" s="25" t="str">
        <f>IF(OR(E3586="",E3586="!!!",F3586="NEW"),"",COUNTBLANK(OFFSET(A$1,,,SUMPRODUCT(MAX(ROW(E$2:E3586)*(E3586=E$2:E3586)))))-COUNTBLANK(OFFSET(A$1,,,SUMPRODUCT(MAX(ROW(E$1:E3585)*(E2=E$1:E3585))))))</f>
        <v> </v>
      </c>
      <c r="K3586" s="25" t="str">
        <f>IF(OR(E3586="",E3586="!!!",F3586="NEW"),"",INDEX(J$1:J3585,SUMPRODUCT(MAX(ROW(E$1:E3585)*(E3586=E$1:E3585)))))</f>
        <v> </v>
      </c>
      <c r="L3586" s="26"/>
    </row>
    <row r="3587" spans="1:12">
      <c r="A3587" s="20" t="s">
        <v>1614</v>
      </c>
      <c r="B3587" s="27" t="s">
        <v>1090</v>
      </c>
      <c r="C3587" s="27" t="s">
        <v>1120</v>
      </c>
      <c r="E3587" s="21">
        <f>IF(D3587="?OLD","!!!","")</f>
        <v/>
      </c>
      <c r="F3587" s="22" t="str">
        <f>IF(OR(E3587="",E3587="!!!"),"",IF(NOT(ISNA(VLOOKUP(E3587,E$1:E3586,1,FALSE()))),"OLD",IF(AND(E3587&lt;&gt;"",E3587&lt;&gt;"!!!"),"NEW","")))</f>
        <v> </v>
      </c>
      <c r="G3587" s="23" t="str">
        <f>IF(OR(E3587="",E3587="!!!"),"",IF(OR(J3587=0,AND(J3587=1,K3587=1),AND(J3587=1,I3587="SBJ"),AND(J3587=1,I3587=0)),"?IN_FOCUS",IF(J3587&lt;=2,"?ACTIVATED",IF(J3587&lt;&gt;"","?FAMILIAR",IF(F3587="NEW",IF(ISNA(VLOOKUP(E3587,#REF!,1,FALSE())),"?TYPE_IDENTIFIABLE","?REFERENTIAL"),"_")))))</f>
        <v> </v>
      </c>
      <c r="H3587" s="24" t="str">
        <f>IF(J3587&lt;&gt;1,"",IF(I3587="SBJ","CB","?"))</f>
        <v> </v>
      </c>
      <c r="I3587" s="25" t="str">
        <f>IF(OR(E3587="",E3587="!!!",F3587="NEW"),"",INDEX(B3586:B$2,-1+SUMPRODUCT(MAX(ROW(E3586:E$2)*(E3587=E3586:E$2)))))</f>
        <v> </v>
      </c>
      <c r="J3587" s="25" t="str">
        <f>IF(OR(E3587="",E3587="!!!",F3587="NEW"),"",COUNTBLANK(OFFSET(A$1,,,SUMPRODUCT(MAX(ROW(E$2:E3587)*(E3587=E$2:E3587)))))-COUNTBLANK(OFFSET(A$1,,,SUMPRODUCT(MAX(ROW(E$1:E3586)*(E2=E$1:E3586))))))</f>
        <v> </v>
      </c>
      <c r="K3587" s="25" t="str">
        <f>IF(OR(E3587="",E3587="!!!",F3587="NEW"),"",INDEX(J$1:J3586,SUMPRODUCT(MAX(ROW(E$1:E3586)*(E3587=E$1:E3586)))))</f>
        <v> </v>
      </c>
      <c r="L3587" s="26"/>
    </row>
    <row r="3588" spans="1:12">
      <c r="A3588" s="20" t="s">
        <v>1097</v>
      </c>
      <c r="E3588" s="21">
        <f>IF(D3588="?OLD","!!!","")</f>
        <v/>
      </c>
      <c r="F3588" s="22" t="str">
        <f>IF(OR(E3588="",E3588="!!!"),"",IF(NOT(ISNA(VLOOKUP(E3588,E$1:E3587,1,FALSE()))),"OLD",IF(AND(E3588&lt;&gt;"",E3588&lt;&gt;"!!!"),"NEW","")))</f>
        <v> </v>
      </c>
      <c r="G3588" s="23" t="str">
        <f>IF(OR(E3588="",E3588="!!!"),"",IF(OR(J3588=0,AND(J3588=1,K3588=1),AND(J3588=1,I3588="SBJ"),AND(J3588=1,I3588=0)),"?IN_FOCUS",IF(J3588&lt;=2,"?ACTIVATED",IF(J3588&lt;&gt;"","?FAMILIAR",IF(F3588="NEW",IF(ISNA(VLOOKUP(E3588,#REF!,1,FALSE())),"?TYPE_IDENTIFIABLE","?REFERENTIAL"),"_")))))</f>
        <v> </v>
      </c>
      <c r="H3588" s="24" t="str">
        <f>IF(J3588&lt;&gt;1,"",IF(I3588="SBJ","CB","?"))</f>
        <v> </v>
      </c>
      <c r="I3588" s="25" t="str">
        <f>IF(OR(E3588="",E3588="!!!",F3588="NEW"),"",INDEX(B3587:B$2,-1+SUMPRODUCT(MAX(ROW(E3587:E$2)*(E3588=E3587:E$2)))))</f>
        <v> </v>
      </c>
      <c r="J3588" s="25" t="str">
        <f>IF(OR(E3588="",E3588="!!!",F3588="NEW"),"",COUNTBLANK(OFFSET(A$1,,,SUMPRODUCT(MAX(ROW(E$2:E3588)*(E3588=E$2:E3588)))))-COUNTBLANK(OFFSET(A$1,,,SUMPRODUCT(MAX(ROW(E$1:E3587)*(E2=E$1:E3587))))))</f>
        <v> </v>
      </c>
      <c r="K3588" s="25" t="str">
        <f>IF(OR(E3588="",E3588="!!!",F3588="NEW"),"",INDEX(J$1:J3587,SUMPRODUCT(MAX(ROW(E$1:E3587)*(E3588=E$1:E3587)))))</f>
        <v> </v>
      </c>
      <c r="L3588" s="26"/>
    </row>
    <row r="3589" spans="1:12">
      <c r="A3589" s="20" t="s">
        <v>2224</v>
      </c>
      <c r="B3589" s="27" t="s">
        <v>1092</v>
      </c>
      <c r="C3589" s="27" t="s">
        <v>1152</v>
      </c>
      <c r="D3589" s="27" t="s">
        <v>1069</v>
      </c>
      <c r="E3589" s="21">
        <f>IF(D3589="?OLD","!!!","")</f>
        <v/>
      </c>
      <c r="F3589" s="22" t="str">
        <f>IF(OR(E3589="",E3589="!!!"),"",IF(NOT(ISNA(VLOOKUP(E3589,E$1:E3588,1,FALSE()))),"OLD",IF(AND(E3589&lt;&gt;"",E3589&lt;&gt;"!!!"),"NEW","")))</f>
        <v> </v>
      </c>
      <c r="G3589" s="23" t="str">
        <f>IF(OR(E3589="",E3589="!!!"),"",IF(OR(J3589=0,AND(J3589=1,K3589=1),AND(J3589=1,I3589="SBJ"),AND(J3589=1,I3589=0)),"?IN_FOCUS",IF(J3589&lt;=2,"?ACTIVATED",IF(J3589&lt;&gt;"","?FAMILIAR",IF(F3589="NEW",IF(ISNA(VLOOKUP(E3589,#REF!,1,FALSE())),"?TYPE_IDENTIFIABLE","?REFERENTIAL"),"_")))))</f>
        <v> </v>
      </c>
      <c r="H3589" s="24" t="str">
        <f>IF(J3589&lt;&gt;1,"",IF(I3589="SBJ","CB","?"))</f>
        <v> </v>
      </c>
      <c r="I3589" s="25" t="str">
        <f>IF(OR(E3589="",E3589="!!!",F3589="NEW"),"",INDEX(B3588:B$2,-1+SUMPRODUCT(MAX(ROW(E3588:E$2)*(E3589=E3588:E$2)))))</f>
        <v> </v>
      </c>
      <c r="J3589" s="25" t="str">
        <f>IF(OR(E3589="",E3589="!!!",F3589="NEW"),"",COUNTBLANK(OFFSET(A$1,,,SUMPRODUCT(MAX(ROW(E$2:E3589)*(E3589=E$2:E3589)))))-COUNTBLANK(OFFSET(A$1,,,SUMPRODUCT(MAX(ROW(E$1:E3588)*(E2=E$1:E3588))))))</f>
        <v> </v>
      </c>
      <c r="K3589" s="25" t="str">
        <f>IF(OR(E3589="",E3589="!!!",F3589="NEW"),"",INDEX(J$1:J3588,SUMPRODUCT(MAX(ROW(E$1:E3588)*(E3589=E$1:E3588)))))</f>
        <v> </v>
      </c>
      <c r="L3589" s="26"/>
    </row>
    <row r="3590" spans="1:12">
      <c r="A3590" s="20" t="s">
        <v>1421</v>
      </c>
      <c r="B3590" s="27" t="s">
        <v>1116</v>
      </c>
      <c r="C3590" s="27" t="s">
        <v>1129</v>
      </c>
      <c r="D3590" s="27" t="s">
        <v>1069</v>
      </c>
      <c r="E3590" s="21">
        <f>IF(D3590="?OLD","!!!","")</f>
        <v/>
      </c>
      <c r="F3590" s="22" t="str">
        <f>IF(OR(E3590="",E3590="!!!"),"",IF(NOT(ISNA(VLOOKUP(E3590,E$1:E3589,1,FALSE()))),"OLD",IF(AND(E3590&lt;&gt;"",E3590&lt;&gt;"!!!"),"NEW","")))</f>
        <v> </v>
      </c>
      <c r="G3590" s="23" t="str">
        <f>IF(OR(E3590="",E3590="!!!"),"",IF(OR(J3590=0,AND(J3590=1,K3590=1),AND(J3590=1,I3590="SBJ"),AND(J3590=1,I3590=0)),"?IN_FOCUS",IF(J3590&lt;=2,"?ACTIVATED",IF(J3590&lt;&gt;"","?FAMILIAR",IF(F3590="NEW",IF(ISNA(VLOOKUP(E3590,#REF!,1,FALSE())),"?TYPE_IDENTIFIABLE","?REFERENTIAL"),"_")))))</f>
        <v> </v>
      </c>
      <c r="H3590" s="24" t="str">
        <f>IF(J3590&lt;&gt;1,"",IF(I3590="SBJ","CB","?"))</f>
        <v> </v>
      </c>
      <c r="I3590" s="25" t="str">
        <f>IF(OR(E3590="",E3590="!!!",F3590="NEW"),"",INDEX(B3589:B$2,-1+SUMPRODUCT(MAX(ROW(E3589:E$2)*(E3590=E3589:E$2)))))</f>
        <v> </v>
      </c>
      <c r="J3590" s="25" t="str">
        <f>IF(OR(E3590="",E3590="!!!",F3590="NEW"),"",COUNTBLANK(OFFSET(A$1,,,SUMPRODUCT(MAX(ROW(E$2:E3590)*(E3590=E$2:E3590)))))-COUNTBLANK(OFFSET(A$1,,,SUMPRODUCT(MAX(ROW(E$1:E3589)*(E2=E$1:E3589))))))</f>
        <v> </v>
      </c>
      <c r="K3590" s="25" t="str">
        <f>IF(OR(E3590="",E3590="!!!",F3590="NEW"),"",INDEX(J$1:J3589,SUMPRODUCT(MAX(ROW(E$1:E3589)*(E3590=E$1:E3589)))))</f>
        <v> </v>
      </c>
      <c r="L3590" s="26"/>
    </row>
    <row r="3591" spans="1:12">
      <c r="A3591" s="20" t="s">
        <v>2225</v>
      </c>
      <c r="B3591" s="27" t="s">
        <v>1141</v>
      </c>
      <c r="C3591" s="27" t="s">
        <v>1131</v>
      </c>
      <c r="D3591" s="27" t="s">
        <v>1069</v>
      </c>
      <c r="E3591" s="21">
        <f>IF(D3591="?OLD","!!!","")</f>
        <v/>
      </c>
      <c r="F3591" s="22" t="str">
        <f>IF(OR(E3591="",E3591="!!!"),"",IF(NOT(ISNA(VLOOKUP(E3591,E$1:E3590,1,FALSE()))),"OLD",IF(AND(E3591&lt;&gt;"",E3591&lt;&gt;"!!!"),"NEW","")))</f>
        <v> </v>
      </c>
      <c r="G3591" s="23" t="str">
        <f>IF(OR(E3591="",E3591="!!!"),"",IF(OR(J3591=0,AND(J3591=1,K3591=1),AND(J3591=1,I3591="SBJ"),AND(J3591=1,I3591=0)),"?IN_FOCUS",IF(J3591&lt;=2,"?ACTIVATED",IF(J3591&lt;&gt;"","?FAMILIAR",IF(F3591="NEW",IF(ISNA(VLOOKUP(E3591,#REF!,1,FALSE())),"?TYPE_IDENTIFIABLE","?REFERENTIAL"),"_")))))</f>
        <v> </v>
      </c>
      <c r="H3591" s="24" t="str">
        <f>IF(J3591&lt;&gt;1,"",IF(I3591="SBJ","CB","?"))</f>
        <v> </v>
      </c>
      <c r="I3591" s="25" t="str">
        <f>IF(OR(E3591="",E3591="!!!",F3591="NEW"),"",INDEX(B3590:B$2,-1+SUMPRODUCT(MAX(ROW(E3590:E$2)*(E3591=E3590:E$2)))))</f>
        <v> </v>
      </c>
      <c r="J3591" s="25" t="str">
        <f>IF(OR(E3591="",E3591="!!!",F3591="NEW"),"",COUNTBLANK(OFFSET(A$1,,,SUMPRODUCT(MAX(ROW(E$2:E3591)*(E3591=E$2:E3591)))))-COUNTBLANK(OFFSET(A$1,,,SUMPRODUCT(MAX(ROW(E$1:E3590)*(E2=E$1:E3590))))))</f>
        <v> </v>
      </c>
      <c r="K3591" s="25" t="str">
        <f>IF(OR(E3591="",E3591="!!!",F3591="NEW"),"",INDEX(J$1:J3590,SUMPRODUCT(MAX(ROW(E$1:E3590)*(E3591=E$1:E3590)))))</f>
        <v> </v>
      </c>
      <c r="L3591" s="26"/>
    </row>
    <row r="3592" spans="1:12">
      <c r="A3592" s="20" t="s">
        <v>70</v>
      </c>
      <c r="E3592" s="21">
        <f>IF(D3592="?OLD","!!!","")</f>
        <v/>
      </c>
      <c r="F3592" s="22" t="str">
        <f>IF(OR(E3592="",E3592="!!!"),"",IF(NOT(ISNA(VLOOKUP(E3592,E$1:E3591,1,FALSE()))),"OLD",IF(AND(E3592&lt;&gt;"",E3592&lt;&gt;"!!!"),"NEW","")))</f>
        <v> </v>
      </c>
      <c r="G3592" s="23" t="str">
        <f>IF(OR(E3592="",E3592="!!!"),"",IF(OR(J3592=0,AND(J3592=1,K3592=1),AND(J3592=1,I3592="SBJ"),AND(J3592=1,I3592=0)),"?IN_FOCUS",IF(J3592&lt;=2,"?ACTIVATED",IF(J3592&lt;&gt;"","?FAMILIAR",IF(F3592="NEW",IF(ISNA(VLOOKUP(E3592,#REF!,1,FALSE())),"?TYPE_IDENTIFIABLE","?REFERENTIAL"),"_")))))</f>
        <v> </v>
      </c>
      <c r="H3592" s="24" t="str">
        <f>IF(J3592&lt;&gt;1,"",IF(I3592="SBJ","CB","?"))</f>
        <v> </v>
      </c>
      <c r="I3592" s="25" t="str">
        <f>IF(OR(E3592="",E3592="!!!",F3592="NEW"),"",INDEX(B3591:B$2,-1+SUMPRODUCT(MAX(ROW(E3591:E$2)*(E3592=E3591:E$2)))))</f>
        <v> </v>
      </c>
      <c r="J3592" s="25" t="str">
        <f>IF(OR(E3592="",E3592="!!!",F3592="NEW"),"",COUNTBLANK(OFFSET(A$1,,,SUMPRODUCT(MAX(ROW(E$2:E3592)*(E3592=E$2:E3592)))))-COUNTBLANK(OFFSET(A$1,,,SUMPRODUCT(MAX(ROW(E$1:E3591)*(E2=E$1:E3591))))))</f>
        <v> </v>
      </c>
      <c r="K3592" s="25" t="str">
        <f>IF(OR(E3592="",E3592="!!!",F3592="NEW"),"",INDEX(J$1:J3591,SUMPRODUCT(MAX(ROW(E$1:E3591)*(E3592=E$1:E3591)))))</f>
        <v> </v>
      </c>
      <c r="L3592" s="26"/>
    </row>
    <row r="3593" spans="1:12">
      <c r="A3593" s="20" t="s">
        <v>1324</v>
      </c>
      <c r="E3593" s="21">
        <f>IF(D3593="?OLD","!!!","")</f>
        <v/>
      </c>
      <c r="F3593" s="22" t="str">
        <f>IF(OR(E3593="",E3593="!!!"),"",IF(NOT(ISNA(VLOOKUP(E3593,E$1:E3592,1,FALSE()))),"OLD",IF(AND(E3593&lt;&gt;"",E3593&lt;&gt;"!!!"),"NEW","")))</f>
        <v> </v>
      </c>
      <c r="G3593" s="23" t="str">
        <f>IF(OR(E3593="",E3593="!!!"),"",IF(OR(J3593=0,AND(J3593=1,K3593=1),AND(J3593=1,I3593="SBJ"),AND(J3593=1,I3593=0)),"?IN_FOCUS",IF(J3593&lt;=2,"?ACTIVATED",IF(J3593&lt;&gt;"","?FAMILIAR",IF(F3593="NEW",IF(ISNA(VLOOKUP(E3593,#REF!,1,FALSE())),"?TYPE_IDENTIFIABLE","?REFERENTIAL"),"_")))))</f>
        <v> </v>
      </c>
      <c r="H3593" s="24" t="str">
        <f>IF(J3593&lt;&gt;1,"",IF(I3593="SBJ","CB","?"))</f>
        <v> </v>
      </c>
      <c r="I3593" s="25" t="str">
        <f>IF(OR(E3593="",E3593="!!!",F3593="NEW"),"",INDEX(B3592:B$2,-1+SUMPRODUCT(MAX(ROW(E3592:E$2)*(E3593=E3592:E$2)))))</f>
        <v> </v>
      </c>
      <c r="J3593" s="25" t="str">
        <f>IF(OR(E3593="",E3593="!!!",F3593="NEW"),"",COUNTBLANK(OFFSET(A$1,,,SUMPRODUCT(MAX(ROW(E$2:E3593)*(E3593=E$2:E3593)))))-COUNTBLANK(OFFSET(A$1,,,SUMPRODUCT(MAX(ROW(E$1:E3592)*(E2=E$1:E3592))))))</f>
        <v> </v>
      </c>
      <c r="K3593" s="25" t="str">
        <f>IF(OR(E3593="",E3593="!!!",F3593="NEW"),"",INDEX(J$1:J3592,SUMPRODUCT(MAX(ROW(E$1:E3592)*(E3593=E$1:E3592)))))</f>
        <v> </v>
      </c>
      <c r="L3593" s="26"/>
    </row>
    <row r="3594" spans="1:12">
      <c r="A3594" s="20"/>
    </row>
    <row r="3595" spans="1:12">
      <c r="A3595" s="20" t="s">
        <v>2226</v>
      </c>
    </row>
    <row r="3596" spans="1:12">
      <c r="A3596" s="20" t="s">
        <v>760</v>
      </c>
      <c r="B3596" s="27" t="s">
        <v>1074</v>
      </c>
      <c r="C3596" s="27" t="s">
        <v>1134</v>
      </c>
      <c r="D3596" s="27" t="s">
        <v>1069</v>
      </c>
      <c r="E3596" s="21">
        <f>IF(D3596="?OLD","!!!","")</f>
        <v/>
      </c>
      <c r="F3596" s="22" t="str">
        <f>IF(OR(E3596="",E3596="!!!"),"",IF(NOT(ISNA(VLOOKUP(E3596,E$1:E3595,1,FALSE()))),"OLD",IF(AND(E3596&lt;&gt;"",E3596&lt;&gt;"!!!"),"NEW","")))</f>
        <v> </v>
      </c>
      <c r="G3596" s="23" t="str">
        <f>IF(OR(E3596="",E3596="!!!"),"",IF(OR(J3596=0,AND(J3596=1,K3596=1),AND(J3596=1,I3596="SBJ"),AND(J3596=1,I3596=0)),"?IN_FOCUS",IF(J3596&lt;=2,"?ACTIVATED",IF(J3596&lt;&gt;"","?FAMILIAR",IF(F3596="NEW",IF(ISNA(VLOOKUP(E3596,#REF!,1,FALSE())),"?TYPE_IDENTIFIABLE","?REFERENTIAL"),"_")))))</f>
        <v> </v>
      </c>
      <c r="H3596" s="24" t="str">
        <f>IF(J3596&lt;&gt;1,"",IF(I3596="SBJ","CB","?"))</f>
        <v> </v>
      </c>
      <c r="I3596" s="25" t="str">
        <f>IF(OR(E3596="",E3596="!!!",F3596="NEW"),"",INDEX(B3595:B$2,-1+SUMPRODUCT(MAX(ROW(E3595:E$2)*(E3596=E3595:E$2)))))</f>
        <v> </v>
      </c>
      <c r="J3596" s="25" t="str">
        <f>IF(OR(E3596="",E3596="!!!",F3596="NEW"),"",COUNTBLANK(OFFSET(A$1,,,SUMPRODUCT(MAX(ROW(E$2:E3596)*(E3596=E$2:E3596)))))-COUNTBLANK(OFFSET(A$1,,,SUMPRODUCT(MAX(ROW(E$1:E3595)*(E2=E$1:E3595))))))</f>
        <v> </v>
      </c>
      <c r="K3596" s="25" t="str">
        <f>IF(OR(E3596="",E3596="!!!",F3596="NEW"),"",INDEX(J$1:J3595,SUMPRODUCT(MAX(ROW(E$1:E3595)*(E3596=E$1:E3595)))))</f>
        <v> </v>
      </c>
      <c r="L3596" s="26"/>
    </row>
    <row r="3597" spans="1:12">
      <c r="A3597" s="20" t="s">
        <v>2227</v>
      </c>
      <c r="E3597" s="21">
        <f>IF(D3597="?OLD","!!!","")</f>
        <v/>
      </c>
      <c r="F3597" s="22" t="str">
        <f>IF(OR(E3597="",E3597="!!!"),"",IF(NOT(ISNA(VLOOKUP(E3597,E$1:E3596,1,FALSE()))),"OLD",IF(AND(E3597&lt;&gt;"",E3597&lt;&gt;"!!!"),"NEW","")))</f>
        <v> </v>
      </c>
      <c r="G3597" s="23" t="str">
        <f>IF(OR(E3597="",E3597="!!!"),"",IF(OR(J3597=0,AND(J3597=1,K3597=1),AND(J3597=1,I3597="SBJ"),AND(J3597=1,I3597=0)),"?IN_FOCUS",IF(J3597&lt;=2,"?ACTIVATED",IF(J3597&lt;&gt;"","?FAMILIAR",IF(F3597="NEW",IF(ISNA(VLOOKUP(E3597,#REF!,1,FALSE())),"?TYPE_IDENTIFIABLE","?REFERENTIAL"),"_")))))</f>
        <v> </v>
      </c>
      <c r="H3597" s="24" t="str">
        <f>IF(J3597&lt;&gt;1,"",IF(I3597="SBJ","CB","?"))</f>
        <v> </v>
      </c>
      <c r="I3597" s="25" t="str">
        <f>IF(OR(E3597="",E3597="!!!",F3597="NEW"),"",INDEX(B3596:B$2,-1+SUMPRODUCT(MAX(ROW(E3596:E$2)*(E3597=E3596:E$2)))))</f>
        <v> </v>
      </c>
      <c r="J3597" s="25" t="str">
        <f>IF(OR(E3597="",E3597="!!!",F3597="NEW"),"",COUNTBLANK(OFFSET(A$1,,,SUMPRODUCT(MAX(ROW(E$2:E3597)*(E3597=E$2:E3597)))))-COUNTBLANK(OFFSET(A$1,,,SUMPRODUCT(MAX(ROW(E$1:E3596)*(E2=E$1:E3596))))))</f>
        <v> </v>
      </c>
      <c r="K3597" s="25" t="str">
        <f>IF(OR(E3597="",E3597="!!!",F3597="NEW"),"",INDEX(J$1:J3596,SUMPRODUCT(MAX(ROW(E$1:E3596)*(E3597=E$1:E3596)))))</f>
        <v> </v>
      </c>
      <c r="L3597" s="26"/>
    </row>
    <row r="3598" spans="1:12">
      <c r="A3598" s="20" t="s">
        <v>1317</v>
      </c>
      <c r="E3598" s="21">
        <f>IF(D3598="?OLD","!!!","")</f>
        <v/>
      </c>
      <c r="F3598" s="22" t="str">
        <f>IF(OR(E3598="",E3598="!!!"),"",IF(NOT(ISNA(VLOOKUP(E3598,E$1:E3597,1,FALSE()))),"OLD",IF(AND(E3598&lt;&gt;"",E3598&lt;&gt;"!!!"),"NEW","")))</f>
        <v> </v>
      </c>
      <c r="G3598" s="23" t="str">
        <f>IF(OR(E3598="",E3598="!!!"),"",IF(OR(J3598=0,AND(J3598=1,K3598=1),AND(J3598=1,I3598="SBJ"),AND(J3598=1,I3598=0)),"?IN_FOCUS",IF(J3598&lt;=2,"?ACTIVATED",IF(J3598&lt;&gt;"","?FAMILIAR",IF(F3598="NEW",IF(ISNA(VLOOKUP(E3598,#REF!,1,FALSE())),"?TYPE_IDENTIFIABLE","?REFERENTIAL"),"_")))))</f>
        <v> </v>
      </c>
      <c r="H3598" s="24" t="str">
        <f>IF(J3598&lt;&gt;1,"",IF(I3598="SBJ","CB","?"))</f>
        <v> </v>
      </c>
      <c r="I3598" s="25" t="str">
        <f>IF(OR(E3598="",E3598="!!!",F3598="NEW"),"",INDEX(B3597:B$2,-1+SUMPRODUCT(MAX(ROW(E3597:E$2)*(E3598=E3597:E$2)))))</f>
        <v> </v>
      </c>
      <c r="J3598" s="25" t="str">
        <f>IF(OR(E3598="",E3598="!!!",F3598="NEW"),"",COUNTBLANK(OFFSET(A$1,,,SUMPRODUCT(MAX(ROW(E$2:E3598)*(E3598=E$2:E3598)))))-COUNTBLANK(OFFSET(A$1,,,SUMPRODUCT(MAX(ROW(E$1:E3597)*(E2=E$1:E3597))))))</f>
        <v> </v>
      </c>
      <c r="K3598" s="25" t="str">
        <f>IF(OR(E3598="",E3598="!!!",F3598="NEW"),"",INDEX(J$1:J3597,SUMPRODUCT(MAX(ROW(E$1:E3597)*(E3598=E$1:E3597)))))</f>
        <v> </v>
      </c>
      <c r="L3598" s="26"/>
    </row>
    <row r="3599" spans="1:12">
      <c r="A3599" s="20"/>
    </row>
    <row r="3600" spans="1:12">
      <c r="A3600" s="20" t="s">
        <v>2228</v>
      </c>
    </row>
    <row r="3601" spans="1:12">
      <c r="A3601" s="20" t="s">
        <v>2229</v>
      </c>
      <c r="E3601" s="21">
        <f>IF(D3601="?OLD","!!!","")</f>
        <v/>
      </c>
      <c r="F3601" s="22" t="str">
        <f>IF(OR(E3601="",E3601="!!!"),"",IF(NOT(ISNA(VLOOKUP(E3601,E$1:E3600,1,FALSE()))),"OLD",IF(AND(E3601&lt;&gt;"",E3601&lt;&gt;"!!!"),"NEW","")))</f>
        <v> </v>
      </c>
      <c r="G3601" s="23" t="str">
        <f>IF(OR(E3601="",E3601="!!!"),"",IF(OR(J3601=0,AND(J3601=1,K3601=1),AND(J3601=1,I3601="SBJ"),AND(J3601=1,I3601=0)),"?IN_FOCUS",IF(J3601&lt;=2,"?ACTIVATED",IF(J3601&lt;&gt;"","?FAMILIAR",IF(F3601="NEW",IF(ISNA(VLOOKUP(E3601,#REF!,1,FALSE())),"?TYPE_IDENTIFIABLE","?REFERENTIAL"),"_")))))</f>
        <v> </v>
      </c>
      <c r="H3601" s="24" t="str">
        <f>IF(J3601&lt;&gt;1,"",IF(I3601="SBJ","CB","?"))</f>
        <v> </v>
      </c>
      <c r="I3601" s="25" t="str">
        <f>IF(OR(E3601="",E3601="!!!",F3601="NEW"),"",INDEX(B3600:B$2,-1+SUMPRODUCT(MAX(ROW(E3600:E$2)*(E3601=E3600:E$2)))))</f>
        <v> </v>
      </c>
      <c r="J3601" s="25" t="str">
        <f>IF(OR(E3601="",E3601="!!!",F3601="NEW"),"",COUNTBLANK(OFFSET(A$1,,,SUMPRODUCT(MAX(ROW(E$2:E3601)*(E3601=E$2:E3601)))))-COUNTBLANK(OFFSET(A$1,,,SUMPRODUCT(MAX(ROW(E$1:E3600)*(E2=E$1:E3600))))))</f>
        <v> </v>
      </c>
      <c r="K3601" s="25" t="str">
        <f>IF(OR(E3601="",E3601="!!!",F3601="NEW"),"",INDEX(J$1:J3600,SUMPRODUCT(MAX(ROW(E$1:E3600)*(E3601=E$1:E3600)))))</f>
        <v> </v>
      </c>
      <c r="L3601" s="26"/>
    </row>
    <row r="3602" spans="1:12">
      <c r="A3602" s="20" t="s">
        <v>1104</v>
      </c>
      <c r="E3602" s="21">
        <f>IF(D3602="?OLD","!!!","")</f>
        <v/>
      </c>
      <c r="F3602" s="22" t="str">
        <f>IF(OR(E3602="",E3602="!!!"),"",IF(NOT(ISNA(VLOOKUP(E3602,E$1:E3601,1,FALSE()))),"OLD",IF(AND(E3602&lt;&gt;"",E3602&lt;&gt;"!!!"),"NEW","")))</f>
        <v> </v>
      </c>
      <c r="G3602" s="23" t="str">
        <f>IF(OR(E3602="",E3602="!!!"),"",IF(OR(J3602=0,AND(J3602=1,K3602=1),AND(J3602=1,I3602="SBJ"),AND(J3602=1,I3602=0)),"?IN_FOCUS",IF(J3602&lt;=2,"?ACTIVATED",IF(J3602&lt;&gt;"","?FAMILIAR",IF(F3602="NEW",IF(ISNA(VLOOKUP(E3602,#REF!,1,FALSE())),"?TYPE_IDENTIFIABLE","?REFERENTIAL"),"_")))))</f>
        <v> </v>
      </c>
      <c r="H3602" s="24" t="str">
        <f>IF(J3602&lt;&gt;1,"",IF(I3602="SBJ","CB","?"))</f>
        <v> </v>
      </c>
      <c r="I3602" s="25" t="str">
        <f>IF(OR(E3602="",E3602="!!!",F3602="NEW"),"",INDEX(B3601:B$2,-1+SUMPRODUCT(MAX(ROW(E3601:E$2)*(E3602=E3601:E$2)))))</f>
        <v> </v>
      </c>
      <c r="J3602" s="25" t="str">
        <f>IF(OR(E3602="",E3602="!!!",F3602="NEW"),"",COUNTBLANK(OFFSET(A$1,,,SUMPRODUCT(MAX(ROW(E$2:E3602)*(E3602=E$2:E3602)))))-COUNTBLANK(OFFSET(A$1,,,SUMPRODUCT(MAX(ROW(E$1:E3601)*(E2=E$1:E3601))))))</f>
        <v> </v>
      </c>
      <c r="K3602" s="25" t="str">
        <f>IF(OR(E3602="",E3602="!!!",F3602="NEW"),"",INDEX(J$1:J3601,SUMPRODUCT(MAX(ROW(E$1:E3601)*(E3602=E$1:E3601)))))</f>
        <v> </v>
      </c>
      <c r="L3602" s="26"/>
    </row>
    <row r="3603" spans="1:12">
      <c r="A3603" s="20" t="s">
        <v>2230</v>
      </c>
      <c r="B3603" s="27" t="s">
        <v>1090</v>
      </c>
      <c r="C3603" s="27" t="s">
        <v>1086</v>
      </c>
      <c r="D3603" s="27" t="s">
        <v>1069</v>
      </c>
      <c r="E3603" s="21">
        <f>IF(D3603="?OLD","!!!","")</f>
        <v/>
      </c>
      <c r="F3603" s="22" t="str">
        <f>IF(OR(E3603="",E3603="!!!"),"",IF(NOT(ISNA(VLOOKUP(E3603,E$1:E3602,1,FALSE()))),"OLD",IF(AND(E3603&lt;&gt;"",E3603&lt;&gt;"!!!"),"NEW","")))</f>
        <v> </v>
      </c>
      <c r="G3603" s="23" t="str">
        <f>IF(OR(E3603="",E3603="!!!"),"",IF(OR(J3603=0,AND(J3603=1,K3603=1),AND(J3603=1,I3603="SBJ"),AND(J3603=1,I3603=0)),"?IN_FOCUS",IF(J3603&lt;=2,"?ACTIVATED",IF(J3603&lt;&gt;"","?FAMILIAR",IF(F3603="NEW",IF(ISNA(VLOOKUP(E3603,#REF!,1,FALSE())),"?TYPE_IDENTIFIABLE","?REFERENTIAL"),"_")))))</f>
        <v> </v>
      </c>
      <c r="H3603" s="24" t="str">
        <f>IF(J3603&lt;&gt;1,"",IF(I3603="SBJ","CB","?"))</f>
        <v> </v>
      </c>
      <c r="I3603" s="25" t="str">
        <f>IF(OR(E3603="",E3603="!!!",F3603="NEW"),"",INDEX(B3602:B$2,-1+SUMPRODUCT(MAX(ROW(E3602:E$2)*(E3603=E3602:E$2)))))</f>
        <v> </v>
      </c>
      <c r="J3603" s="25" t="str">
        <f>IF(OR(E3603="",E3603="!!!",F3603="NEW"),"",COUNTBLANK(OFFSET(A$1,,,SUMPRODUCT(MAX(ROW(E$2:E3603)*(E3603=E$2:E3603)))))-COUNTBLANK(OFFSET(A$1,,,SUMPRODUCT(MAX(ROW(E$1:E3602)*(E2=E$1:E3602))))))</f>
        <v> </v>
      </c>
      <c r="K3603" s="25" t="str">
        <f>IF(OR(E3603="",E3603="!!!",F3603="NEW"),"",INDEX(J$1:J3602,SUMPRODUCT(MAX(ROW(E$1:E3602)*(E3603=E$1:E3602)))))</f>
        <v> </v>
      </c>
      <c r="L3603" s="26"/>
    </row>
    <row r="3604" spans="1:12">
      <c r="A3604" s="20" t="s">
        <v>1142</v>
      </c>
      <c r="E3604" s="21">
        <f>IF(D3604="?OLD","!!!","")</f>
        <v/>
      </c>
      <c r="F3604" s="22" t="str">
        <f>IF(OR(E3604="",E3604="!!!"),"",IF(NOT(ISNA(VLOOKUP(E3604,E$1:E3603,1,FALSE()))),"OLD",IF(AND(E3604&lt;&gt;"",E3604&lt;&gt;"!!!"),"NEW","")))</f>
        <v> </v>
      </c>
      <c r="G3604" s="23" t="str">
        <f>IF(OR(E3604="",E3604="!!!"),"",IF(OR(J3604=0,AND(J3604=1,K3604=1),AND(J3604=1,I3604="SBJ"),AND(J3604=1,I3604=0)),"?IN_FOCUS",IF(J3604&lt;=2,"?ACTIVATED",IF(J3604&lt;&gt;"","?FAMILIAR",IF(F3604="NEW",IF(ISNA(VLOOKUP(E3604,#REF!,1,FALSE())),"?TYPE_IDENTIFIABLE","?REFERENTIAL"),"_")))))</f>
        <v> </v>
      </c>
      <c r="H3604" s="24" t="str">
        <f>IF(J3604&lt;&gt;1,"",IF(I3604="SBJ","CB","?"))</f>
        <v> </v>
      </c>
      <c r="I3604" s="25" t="str">
        <f>IF(OR(E3604="",E3604="!!!",F3604="NEW"),"",INDEX(B3603:B$2,-1+SUMPRODUCT(MAX(ROW(E3603:E$2)*(E3604=E3603:E$2)))))</f>
        <v> </v>
      </c>
      <c r="J3604" s="25" t="str">
        <f>IF(OR(E3604="",E3604="!!!",F3604="NEW"),"",COUNTBLANK(OFFSET(A$1,,,SUMPRODUCT(MAX(ROW(E$2:E3604)*(E3604=E$2:E3604)))))-COUNTBLANK(OFFSET(A$1,,,SUMPRODUCT(MAX(ROW(E$1:E3603)*(E2=E$1:E3603))))))</f>
        <v> </v>
      </c>
      <c r="K3604" s="25" t="str">
        <f>IF(OR(E3604="",E3604="!!!",F3604="NEW"),"",INDEX(J$1:J3603,SUMPRODUCT(MAX(ROW(E$1:E3603)*(E3604=E$1:E3603)))))</f>
        <v> </v>
      </c>
      <c r="L3604" s="26"/>
    </row>
    <row r="3605" spans="1:12">
      <c r="A3605" s="20" t="s">
        <v>1291</v>
      </c>
      <c r="E3605" s="21">
        <f>IF(D3605="?OLD","!!!","")</f>
        <v/>
      </c>
      <c r="F3605" s="22" t="str">
        <f>IF(OR(E3605="",E3605="!!!"),"",IF(NOT(ISNA(VLOOKUP(E3605,E$1:E3604,1,FALSE()))),"OLD",IF(AND(E3605&lt;&gt;"",E3605&lt;&gt;"!!!"),"NEW","")))</f>
        <v> </v>
      </c>
      <c r="G3605" s="23" t="str">
        <f>IF(OR(E3605="",E3605="!!!"),"",IF(OR(J3605=0,AND(J3605=1,K3605=1),AND(J3605=1,I3605="SBJ"),AND(J3605=1,I3605=0)),"?IN_FOCUS",IF(J3605&lt;=2,"?ACTIVATED",IF(J3605&lt;&gt;"","?FAMILIAR",IF(F3605="NEW",IF(ISNA(VLOOKUP(E3605,#REF!,1,FALSE())),"?TYPE_IDENTIFIABLE","?REFERENTIAL"),"_")))))</f>
        <v> </v>
      </c>
      <c r="H3605" s="24" t="str">
        <f>IF(J3605&lt;&gt;1,"",IF(I3605="SBJ","CB","?"))</f>
        <v> </v>
      </c>
      <c r="I3605" s="25" t="str">
        <f>IF(OR(E3605="",E3605="!!!",F3605="NEW"),"",INDEX(B3604:B$2,-1+SUMPRODUCT(MAX(ROW(E3604:E$2)*(E3605=E3604:E$2)))))</f>
        <v> </v>
      </c>
      <c r="J3605" s="25" t="str">
        <f>IF(OR(E3605="",E3605="!!!",F3605="NEW"),"",COUNTBLANK(OFFSET(A$1,,,SUMPRODUCT(MAX(ROW(E$2:E3605)*(E3605=E$2:E3605)))))-COUNTBLANK(OFFSET(A$1,,,SUMPRODUCT(MAX(ROW(E$1:E3604)*(E2=E$1:E3604))))))</f>
        <v> </v>
      </c>
      <c r="K3605" s="25" t="str">
        <f>IF(OR(E3605="",E3605="!!!",F3605="NEW"),"",INDEX(J$1:J3604,SUMPRODUCT(MAX(ROW(E$1:E3604)*(E3605=E$1:E3604)))))</f>
        <v> </v>
      </c>
      <c r="L3605" s="26"/>
    </row>
    <row r="3606" spans="1:12">
      <c r="A3606" s="20" t="s">
        <v>1975</v>
      </c>
      <c r="B3606" s="27" t="s">
        <v>1071</v>
      </c>
      <c r="C3606" s="27" t="s">
        <v>1120</v>
      </c>
      <c r="E3606" s="21">
        <f>IF(D3606="?OLD","!!!","")</f>
        <v/>
      </c>
      <c r="F3606" s="22" t="str">
        <f>IF(OR(E3606="",E3606="!!!"),"",IF(NOT(ISNA(VLOOKUP(E3606,E$1:E3605,1,FALSE()))),"OLD",IF(AND(E3606&lt;&gt;"",E3606&lt;&gt;"!!!"),"NEW","")))</f>
        <v> </v>
      </c>
      <c r="G3606" s="23" t="str">
        <f>IF(OR(E3606="",E3606="!!!"),"",IF(OR(J3606=0,AND(J3606=1,K3606=1),AND(J3606=1,I3606="SBJ"),AND(J3606=1,I3606=0)),"?IN_FOCUS",IF(J3606&lt;=2,"?ACTIVATED",IF(J3606&lt;&gt;"","?FAMILIAR",IF(F3606="NEW",IF(ISNA(VLOOKUP(E3606,#REF!,1,FALSE())),"?TYPE_IDENTIFIABLE","?REFERENTIAL"),"_")))))</f>
        <v> </v>
      </c>
      <c r="H3606" s="24" t="str">
        <f>IF(J3606&lt;&gt;1,"",IF(I3606="SBJ","CB","?"))</f>
        <v> </v>
      </c>
      <c r="I3606" s="25" t="str">
        <f>IF(OR(E3606="",E3606="!!!",F3606="NEW"),"",INDEX(B3605:B$2,-1+SUMPRODUCT(MAX(ROW(E3605:E$2)*(E3606=E3605:E$2)))))</f>
        <v> </v>
      </c>
      <c r="J3606" s="25" t="str">
        <f>IF(OR(E3606="",E3606="!!!",F3606="NEW"),"",COUNTBLANK(OFFSET(A$1,,,SUMPRODUCT(MAX(ROW(E$2:E3606)*(E3606=E$2:E3606)))))-COUNTBLANK(OFFSET(A$1,,,SUMPRODUCT(MAX(ROW(E$1:E3605)*(E2=E$1:E3605))))))</f>
        <v> </v>
      </c>
      <c r="K3606" s="25" t="str">
        <f>IF(OR(E3606="",E3606="!!!",F3606="NEW"),"",INDEX(J$1:J3605,SUMPRODUCT(MAX(ROW(E$1:E3605)*(E3606=E$1:E3605)))))</f>
        <v> </v>
      </c>
      <c r="L3606" s="26"/>
    </row>
    <row r="3607" spans="1:12">
      <c r="A3607" s="20" t="s">
        <v>2231</v>
      </c>
      <c r="E3607" s="21">
        <f>IF(D3607="?OLD","!!!","")</f>
        <v/>
      </c>
      <c r="F3607" s="22" t="str">
        <f>IF(OR(E3607="",E3607="!!!"),"",IF(NOT(ISNA(VLOOKUP(E3607,E$1:E3606,1,FALSE()))),"OLD",IF(AND(E3607&lt;&gt;"",E3607&lt;&gt;"!!!"),"NEW","")))</f>
        <v> </v>
      </c>
      <c r="G3607" s="23" t="str">
        <f>IF(OR(E3607="",E3607="!!!"),"",IF(OR(J3607=0,AND(J3607=1,K3607=1),AND(J3607=1,I3607="SBJ"),AND(J3607=1,I3607=0)),"?IN_FOCUS",IF(J3607&lt;=2,"?ACTIVATED",IF(J3607&lt;&gt;"","?FAMILIAR",IF(F3607="NEW",IF(ISNA(VLOOKUP(E3607,#REF!,1,FALSE())),"?TYPE_IDENTIFIABLE","?REFERENTIAL"),"_")))))</f>
        <v> </v>
      </c>
      <c r="H3607" s="24" t="str">
        <f>IF(J3607&lt;&gt;1,"",IF(I3607="SBJ","CB","?"))</f>
        <v> </v>
      </c>
      <c r="I3607" s="25" t="str">
        <f>IF(OR(E3607="",E3607="!!!",F3607="NEW"),"",INDEX(B3606:B$2,-1+SUMPRODUCT(MAX(ROW(E3606:E$2)*(E3607=E3606:E$2)))))</f>
        <v> </v>
      </c>
      <c r="J3607" s="25" t="str">
        <f>IF(OR(E3607="",E3607="!!!",F3607="NEW"),"",COUNTBLANK(OFFSET(A$1,,,SUMPRODUCT(MAX(ROW(E$2:E3607)*(E3607=E$2:E3607)))))-COUNTBLANK(OFFSET(A$1,,,SUMPRODUCT(MAX(ROW(E$1:E3606)*(E2=E$1:E3606))))))</f>
        <v> </v>
      </c>
      <c r="K3607" s="25" t="str">
        <f>IF(OR(E3607="",E3607="!!!",F3607="NEW"),"",INDEX(J$1:J3606,SUMPRODUCT(MAX(ROW(E$1:E3606)*(E3607=E$1:E3606)))))</f>
        <v> </v>
      </c>
      <c r="L3607" s="26"/>
    </row>
    <row r="3608" spans="1:12">
      <c r="A3608" s="20" t="s">
        <v>1087</v>
      </c>
      <c r="E3608" s="21">
        <f>IF(D3608="?OLD","!!!","")</f>
        <v/>
      </c>
      <c r="F3608" s="22" t="str">
        <f>IF(OR(E3608="",E3608="!!!"),"",IF(NOT(ISNA(VLOOKUP(E3608,E$1:E3607,1,FALSE()))),"OLD",IF(AND(E3608&lt;&gt;"",E3608&lt;&gt;"!!!"),"NEW","")))</f>
        <v> </v>
      </c>
      <c r="G3608" s="23" t="str">
        <f>IF(OR(E3608="",E3608="!!!"),"",IF(OR(J3608=0,AND(J3608=1,K3608=1),AND(J3608=1,I3608="SBJ"),AND(J3608=1,I3608=0)),"?IN_FOCUS",IF(J3608&lt;=2,"?ACTIVATED",IF(J3608&lt;&gt;"","?FAMILIAR",IF(F3608="NEW",IF(ISNA(VLOOKUP(E3608,#REF!,1,FALSE())),"?TYPE_IDENTIFIABLE","?REFERENTIAL"),"_")))))</f>
        <v> </v>
      </c>
      <c r="H3608" s="24" t="str">
        <f>IF(J3608&lt;&gt;1,"",IF(I3608="SBJ","CB","?"))</f>
        <v> </v>
      </c>
      <c r="I3608" s="25" t="str">
        <f>IF(OR(E3608="",E3608="!!!",F3608="NEW"),"",INDEX(B3607:B$2,-1+SUMPRODUCT(MAX(ROW(E3607:E$2)*(E3608=E3607:E$2)))))</f>
        <v> </v>
      </c>
      <c r="J3608" s="25" t="str">
        <f>IF(OR(E3608="",E3608="!!!",F3608="NEW"),"",COUNTBLANK(OFFSET(A$1,,,SUMPRODUCT(MAX(ROW(E$2:E3608)*(E3608=E$2:E3608)))))-COUNTBLANK(OFFSET(A$1,,,SUMPRODUCT(MAX(ROW(E$1:E3607)*(E2=E$1:E3607))))))</f>
        <v> </v>
      </c>
      <c r="K3608" s="25" t="str">
        <f>IF(OR(E3608="",E3608="!!!",F3608="NEW"),"",INDEX(J$1:J3607,SUMPRODUCT(MAX(ROW(E$1:E3607)*(E3608=E$1:E3607)))))</f>
        <v> </v>
      </c>
      <c r="L3608" s="26"/>
    </row>
    <row r="3609" spans="1:12">
      <c r="A3609" s="20" t="s">
        <v>1650</v>
      </c>
      <c r="B3609" s="27" t="s">
        <v>1141</v>
      </c>
      <c r="C3609" s="27" t="s">
        <v>1072</v>
      </c>
      <c r="E3609" s="21">
        <f>IF(D3609="?OLD","!!!","")</f>
        <v/>
      </c>
      <c r="F3609" s="22" t="str">
        <f>IF(OR(E3609="",E3609="!!!"),"",IF(NOT(ISNA(VLOOKUP(E3609,E$1:E3608,1,FALSE()))),"OLD",IF(AND(E3609&lt;&gt;"",E3609&lt;&gt;"!!!"),"NEW","")))</f>
        <v> </v>
      </c>
      <c r="G3609" s="23" t="str">
        <f>IF(OR(E3609="",E3609="!!!"),"",IF(OR(J3609=0,AND(J3609=1,K3609=1),AND(J3609=1,I3609="SBJ"),AND(J3609=1,I3609=0)),"?IN_FOCUS",IF(J3609&lt;=2,"?ACTIVATED",IF(J3609&lt;&gt;"","?FAMILIAR",IF(F3609="NEW",IF(ISNA(VLOOKUP(E3609,#REF!,1,FALSE())),"?TYPE_IDENTIFIABLE","?REFERENTIAL"),"_")))))</f>
        <v> </v>
      </c>
      <c r="H3609" s="24" t="str">
        <f>IF(J3609&lt;&gt;1,"",IF(I3609="SBJ","CB","?"))</f>
        <v> </v>
      </c>
      <c r="I3609" s="25" t="str">
        <f>IF(OR(E3609="",E3609="!!!",F3609="NEW"),"",INDEX(B3608:B$2,-1+SUMPRODUCT(MAX(ROW(E3608:E$2)*(E3609=E3608:E$2)))))</f>
        <v> </v>
      </c>
      <c r="J3609" s="25" t="str">
        <f>IF(OR(E3609="",E3609="!!!",F3609="NEW"),"",COUNTBLANK(OFFSET(A$1,,,SUMPRODUCT(MAX(ROW(E$2:E3609)*(E3609=E$2:E3609)))))-COUNTBLANK(OFFSET(A$1,,,SUMPRODUCT(MAX(ROW(E$1:E3608)*(E2=E$1:E3608))))))</f>
        <v> </v>
      </c>
      <c r="K3609" s="25" t="str">
        <f>IF(OR(E3609="",E3609="!!!",F3609="NEW"),"",INDEX(J$1:J3608,SUMPRODUCT(MAX(ROW(E$1:E3608)*(E3609=E$1:E3608)))))</f>
        <v> </v>
      </c>
      <c r="L3609" s="26"/>
    </row>
    <row r="3610" spans="1:12">
      <c r="A3610" s="20" t="s">
        <v>1668</v>
      </c>
      <c r="E3610" s="21">
        <f>IF(D3610="?OLD","!!!","")</f>
        <v/>
      </c>
      <c r="F3610" s="22" t="str">
        <f>IF(OR(E3610="",E3610="!!!"),"",IF(NOT(ISNA(VLOOKUP(E3610,E$1:E3609,1,FALSE()))),"OLD",IF(AND(E3610&lt;&gt;"",E3610&lt;&gt;"!!!"),"NEW","")))</f>
        <v> </v>
      </c>
      <c r="G3610" s="23" t="str">
        <f>IF(OR(E3610="",E3610="!!!"),"",IF(OR(J3610=0,AND(J3610=1,K3610=1),AND(J3610=1,I3610="SBJ"),AND(J3610=1,I3610=0)),"?IN_FOCUS",IF(J3610&lt;=2,"?ACTIVATED",IF(J3610&lt;&gt;"","?FAMILIAR",IF(F3610="NEW",IF(ISNA(VLOOKUP(E3610,#REF!,1,FALSE())),"?TYPE_IDENTIFIABLE","?REFERENTIAL"),"_")))))</f>
        <v> </v>
      </c>
      <c r="H3610" s="24" t="str">
        <f>IF(J3610&lt;&gt;1,"",IF(I3610="SBJ","CB","?"))</f>
        <v> </v>
      </c>
      <c r="I3610" s="25" t="str">
        <f>IF(OR(E3610="",E3610="!!!",F3610="NEW"),"",INDEX(B3609:B$2,-1+SUMPRODUCT(MAX(ROW(E3609:E$2)*(E3610=E3609:E$2)))))</f>
        <v> </v>
      </c>
      <c r="J3610" s="25" t="str">
        <f>IF(OR(E3610="",E3610="!!!",F3610="NEW"),"",COUNTBLANK(OFFSET(A$1,,,SUMPRODUCT(MAX(ROW(E$2:E3610)*(E3610=E$2:E3610)))))-COUNTBLANK(OFFSET(A$1,,,SUMPRODUCT(MAX(ROW(E$1:E3609)*(E2=E$1:E3609))))))</f>
        <v> </v>
      </c>
      <c r="K3610" s="25" t="str">
        <f>IF(OR(E3610="",E3610="!!!",F3610="NEW"),"",INDEX(J$1:J3609,SUMPRODUCT(MAX(ROW(E$1:E3609)*(E3610=E$1:E3609)))))</f>
        <v> </v>
      </c>
      <c r="L3610" s="26"/>
    </row>
    <row r="3611" spans="1:12">
      <c r="A3611" s="20" t="s">
        <v>1314</v>
      </c>
      <c r="B3611" s="27" t="s">
        <v>1106</v>
      </c>
      <c r="C3611" s="27" t="s">
        <v>1117</v>
      </c>
      <c r="E3611" s="21">
        <f>IF(D3611="?OLD","!!!","")</f>
        <v/>
      </c>
      <c r="F3611" s="22" t="str">
        <f>IF(OR(E3611="",E3611="!!!"),"",IF(NOT(ISNA(VLOOKUP(E3611,E$1:E3610,1,FALSE()))),"OLD",IF(AND(E3611&lt;&gt;"",E3611&lt;&gt;"!!!"),"NEW","")))</f>
        <v> </v>
      </c>
      <c r="G3611" s="23" t="str">
        <f>IF(OR(E3611="",E3611="!!!"),"",IF(OR(J3611=0,AND(J3611=1,K3611=1),AND(J3611=1,I3611="SBJ"),AND(J3611=1,I3611=0)),"?IN_FOCUS",IF(J3611&lt;=2,"?ACTIVATED",IF(J3611&lt;&gt;"","?FAMILIAR",IF(F3611="NEW",IF(ISNA(VLOOKUP(E3611,#REF!,1,FALSE())),"?TYPE_IDENTIFIABLE","?REFERENTIAL"),"_")))))</f>
        <v> </v>
      </c>
      <c r="H3611" s="24" t="str">
        <f>IF(J3611&lt;&gt;1,"",IF(I3611="SBJ","CB","?"))</f>
        <v> </v>
      </c>
      <c r="I3611" s="25" t="str">
        <f>IF(OR(E3611="",E3611="!!!",F3611="NEW"),"",INDEX(B3610:B$2,-1+SUMPRODUCT(MAX(ROW(E3610:E$2)*(E3611=E3610:E$2)))))</f>
        <v> </v>
      </c>
      <c r="J3611" s="25" t="str">
        <f>IF(OR(E3611="",E3611="!!!",F3611="NEW"),"",COUNTBLANK(OFFSET(A$1,,,SUMPRODUCT(MAX(ROW(E$2:E3611)*(E3611=E$2:E3611)))))-COUNTBLANK(OFFSET(A$1,,,SUMPRODUCT(MAX(ROW(E$1:E3610)*(E2=E$1:E3610))))))</f>
        <v> </v>
      </c>
      <c r="K3611" s="25" t="str">
        <f>IF(OR(E3611="",E3611="!!!",F3611="NEW"),"",INDEX(J$1:J3610,SUMPRODUCT(MAX(ROW(E$1:E3610)*(E3611=E$1:E3610)))))</f>
        <v> </v>
      </c>
      <c r="L3611" s="26"/>
    </row>
    <row r="3612" spans="1:12">
      <c r="A3612" s="20" t="s">
        <v>1070</v>
      </c>
      <c r="E3612" s="21">
        <f>IF(D3612="?OLD","!!!","")</f>
        <v/>
      </c>
      <c r="F3612" s="22" t="str">
        <f>IF(OR(E3612="",E3612="!!!"),"",IF(NOT(ISNA(VLOOKUP(E3612,E$1:E3611,1,FALSE()))),"OLD",IF(AND(E3612&lt;&gt;"",E3612&lt;&gt;"!!!"),"NEW","")))</f>
        <v> </v>
      </c>
      <c r="G3612" s="23" t="str">
        <f>IF(OR(E3612="",E3612="!!!"),"",IF(OR(J3612=0,AND(J3612=1,K3612=1),AND(J3612=1,I3612="SBJ"),AND(J3612=1,I3612=0)),"?IN_FOCUS",IF(J3612&lt;=2,"?ACTIVATED",IF(J3612&lt;&gt;"","?FAMILIAR",IF(F3612="NEW",IF(ISNA(VLOOKUP(E3612,#REF!,1,FALSE())),"?TYPE_IDENTIFIABLE","?REFERENTIAL"),"_")))))</f>
        <v> </v>
      </c>
      <c r="H3612" s="24" t="str">
        <f>IF(J3612&lt;&gt;1,"",IF(I3612="SBJ","CB","?"))</f>
        <v> </v>
      </c>
      <c r="I3612" s="25" t="str">
        <f>IF(OR(E3612="",E3612="!!!",F3612="NEW"),"",INDEX(B3611:B$2,-1+SUMPRODUCT(MAX(ROW(E3611:E$2)*(E3612=E3611:E$2)))))</f>
        <v> </v>
      </c>
      <c r="J3612" s="25" t="str">
        <f>IF(OR(E3612="",E3612="!!!",F3612="NEW"),"",COUNTBLANK(OFFSET(A$1,,,SUMPRODUCT(MAX(ROW(E$2:E3612)*(E3612=E$2:E3612)))))-COUNTBLANK(OFFSET(A$1,,,SUMPRODUCT(MAX(ROW(E$1:E3611)*(E2=E$1:E3611))))))</f>
        <v> </v>
      </c>
      <c r="K3612" s="25" t="str">
        <f>IF(OR(E3612="",E3612="!!!",F3612="NEW"),"",INDEX(J$1:J3611,SUMPRODUCT(MAX(ROW(E$1:E3611)*(E3612=E$1:E3611)))))</f>
        <v> </v>
      </c>
      <c r="L3612" s="26"/>
    </row>
    <row r="3613" spans="1:12">
      <c r="A3613" s="20" t="s">
        <v>248</v>
      </c>
      <c r="E3613" s="21">
        <f>IF(D3613="?OLD","!!!","")</f>
        <v/>
      </c>
      <c r="F3613" s="22" t="str">
        <f>IF(OR(E3613="",E3613="!!!"),"",IF(NOT(ISNA(VLOOKUP(E3613,E$1:E3612,1,FALSE()))),"OLD",IF(AND(E3613&lt;&gt;"",E3613&lt;&gt;"!!!"),"NEW","")))</f>
        <v> </v>
      </c>
      <c r="G3613" s="23" t="str">
        <f>IF(OR(E3613="",E3613="!!!"),"",IF(OR(J3613=0,AND(J3613=1,K3613=1),AND(J3613=1,I3613="SBJ"),AND(J3613=1,I3613=0)),"?IN_FOCUS",IF(J3613&lt;=2,"?ACTIVATED",IF(J3613&lt;&gt;"","?FAMILIAR",IF(F3613="NEW",IF(ISNA(VLOOKUP(E3613,#REF!,1,FALSE())),"?TYPE_IDENTIFIABLE","?REFERENTIAL"),"_")))))</f>
        <v> </v>
      </c>
      <c r="H3613" s="24" t="str">
        <f>IF(J3613&lt;&gt;1,"",IF(I3613="SBJ","CB","?"))</f>
        <v> </v>
      </c>
      <c r="I3613" s="25" t="str">
        <f>IF(OR(E3613="",E3613="!!!",F3613="NEW"),"",INDEX(B3612:B$2,-1+SUMPRODUCT(MAX(ROW(E3612:E$2)*(E3613=E3612:E$2)))))</f>
        <v> </v>
      </c>
      <c r="J3613" s="25" t="str">
        <f>IF(OR(E3613="",E3613="!!!",F3613="NEW"),"",COUNTBLANK(OFFSET(A$1,,,SUMPRODUCT(MAX(ROW(E$2:E3613)*(E3613=E$2:E3613)))))-COUNTBLANK(OFFSET(A$1,,,SUMPRODUCT(MAX(ROW(E$1:E3612)*(E2=E$1:E3612))))))</f>
        <v> </v>
      </c>
      <c r="K3613" s="25" t="str">
        <f>IF(OR(E3613="",E3613="!!!",F3613="NEW"),"",INDEX(J$1:J3612,SUMPRODUCT(MAX(ROW(E$1:E3612)*(E3613=E$1:E3612)))))</f>
        <v> </v>
      </c>
      <c r="L3613" s="26"/>
    </row>
    <row r="3614" spans="1:12">
      <c r="A3614" s="20" t="s">
        <v>1087</v>
      </c>
      <c r="E3614" s="21">
        <f>IF(D3614="?OLD","!!!","")</f>
        <v/>
      </c>
      <c r="F3614" s="22" t="str">
        <f>IF(OR(E3614="",E3614="!!!"),"",IF(NOT(ISNA(VLOOKUP(E3614,E$1:E3613,1,FALSE()))),"OLD",IF(AND(E3614&lt;&gt;"",E3614&lt;&gt;"!!!"),"NEW","")))</f>
        <v> </v>
      </c>
      <c r="G3614" s="23" t="str">
        <f>IF(OR(E3614="",E3614="!!!"),"",IF(OR(J3614=0,AND(J3614=1,K3614=1),AND(J3614=1,I3614="SBJ"),AND(J3614=1,I3614=0)),"?IN_FOCUS",IF(J3614&lt;=2,"?ACTIVATED",IF(J3614&lt;&gt;"","?FAMILIAR",IF(F3614="NEW",IF(ISNA(VLOOKUP(E3614,#REF!,1,FALSE())),"?TYPE_IDENTIFIABLE","?REFERENTIAL"),"_")))))</f>
        <v> </v>
      </c>
      <c r="H3614" s="24" t="str">
        <f>IF(J3614&lt;&gt;1,"",IF(I3614="SBJ","CB","?"))</f>
        <v> </v>
      </c>
      <c r="I3614" s="25" t="str">
        <f>IF(OR(E3614="",E3614="!!!",F3614="NEW"),"",INDEX(B3613:B$2,-1+SUMPRODUCT(MAX(ROW(E3613:E$2)*(E3614=E3613:E$2)))))</f>
        <v> </v>
      </c>
      <c r="J3614" s="25" t="str">
        <f>IF(OR(E3614="",E3614="!!!",F3614="NEW"),"",COUNTBLANK(OFFSET(A$1,,,SUMPRODUCT(MAX(ROW(E$2:E3614)*(E3614=E$2:E3614)))))-COUNTBLANK(OFFSET(A$1,,,SUMPRODUCT(MAX(ROW(E$1:E3613)*(E2=E$1:E3613))))))</f>
        <v> </v>
      </c>
      <c r="K3614" s="25" t="str">
        <f>IF(OR(E3614="",E3614="!!!",F3614="NEW"),"",INDEX(J$1:J3613,SUMPRODUCT(MAX(ROW(E$1:E3613)*(E3614=E$1:E3613)))))</f>
        <v> </v>
      </c>
      <c r="L3614" s="26"/>
    </row>
    <row r="3615" spans="1:12">
      <c r="A3615" s="20" t="s">
        <v>1568</v>
      </c>
      <c r="B3615" s="27" t="s">
        <v>1106</v>
      </c>
      <c r="C3615" s="27" t="s">
        <v>1110</v>
      </c>
      <c r="D3615" s="27" t="s">
        <v>1069</v>
      </c>
      <c r="E3615" s="21">
        <f>IF(D3615="?OLD","!!!","")</f>
        <v/>
      </c>
      <c r="F3615" s="22" t="str">
        <f>IF(OR(E3615="",E3615="!!!"),"",IF(NOT(ISNA(VLOOKUP(E3615,E$1:E3614,1,FALSE()))),"OLD",IF(AND(E3615&lt;&gt;"",E3615&lt;&gt;"!!!"),"NEW","")))</f>
        <v> </v>
      </c>
      <c r="G3615" s="23" t="str">
        <f>IF(OR(E3615="",E3615="!!!"),"",IF(OR(J3615=0,AND(J3615=1,K3615=1),AND(J3615=1,I3615="SBJ"),AND(J3615=1,I3615=0)),"?IN_FOCUS",IF(J3615&lt;=2,"?ACTIVATED",IF(J3615&lt;&gt;"","?FAMILIAR",IF(F3615="NEW",IF(ISNA(VLOOKUP(E3615,#REF!,1,FALSE())),"?TYPE_IDENTIFIABLE","?REFERENTIAL"),"_")))))</f>
        <v> </v>
      </c>
      <c r="H3615" s="24" t="str">
        <f>IF(J3615&lt;&gt;1,"",IF(I3615="SBJ","CB","?"))</f>
        <v> </v>
      </c>
      <c r="I3615" s="25" t="str">
        <f>IF(OR(E3615="",E3615="!!!",F3615="NEW"),"",INDEX(B3614:B$2,-1+SUMPRODUCT(MAX(ROW(E3614:E$2)*(E3615=E3614:E$2)))))</f>
        <v> </v>
      </c>
      <c r="J3615" s="25" t="str">
        <f>IF(OR(E3615="",E3615="!!!",F3615="NEW"),"",COUNTBLANK(OFFSET(A$1,,,SUMPRODUCT(MAX(ROW(E$2:E3615)*(E3615=E$2:E3615)))))-COUNTBLANK(OFFSET(A$1,,,SUMPRODUCT(MAX(ROW(E$1:E3614)*(E2=E$1:E3614))))))</f>
        <v> </v>
      </c>
      <c r="K3615" s="25" t="str">
        <f>IF(OR(E3615="",E3615="!!!",F3615="NEW"),"",INDEX(J$1:J3614,SUMPRODUCT(MAX(ROW(E$1:E3614)*(E3615=E$1:E3614)))))</f>
        <v> </v>
      </c>
      <c r="L3615" s="26"/>
    </row>
    <row r="3616" spans="1:12">
      <c r="A3616" s="20" t="s">
        <v>1108</v>
      </c>
      <c r="B3616" s="27" t="s">
        <v>1133</v>
      </c>
      <c r="C3616" s="27" t="s">
        <v>1110</v>
      </c>
      <c r="D3616" s="27" t="s">
        <v>1069</v>
      </c>
      <c r="E3616" s="21">
        <f>IF(D3616="?OLD","!!!","")</f>
        <v/>
      </c>
      <c r="F3616" s="22" t="str">
        <f>IF(OR(E3616="",E3616="!!!"),"",IF(NOT(ISNA(VLOOKUP(E3616,E$1:E3615,1,FALSE()))),"OLD",IF(AND(E3616&lt;&gt;"",E3616&lt;&gt;"!!!"),"NEW","")))</f>
        <v> </v>
      </c>
      <c r="G3616" s="23" t="str">
        <f>IF(OR(E3616="",E3616="!!!"),"",IF(OR(J3616=0,AND(J3616=1,K3616=1),AND(J3616=1,I3616="SBJ"),AND(J3616=1,I3616=0)),"?IN_FOCUS",IF(J3616&lt;=2,"?ACTIVATED",IF(J3616&lt;&gt;"","?FAMILIAR",IF(F3616="NEW",IF(ISNA(VLOOKUP(E3616,#REF!,1,FALSE())),"?TYPE_IDENTIFIABLE","?REFERENTIAL"),"_")))))</f>
        <v> </v>
      </c>
      <c r="H3616" s="24" t="str">
        <f>IF(J3616&lt;&gt;1,"",IF(I3616="SBJ","CB","?"))</f>
        <v> </v>
      </c>
      <c r="I3616" s="25" t="str">
        <f>IF(OR(E3616="",E3616="!!!",F3616="NEW"),"",INDEX(B3615:B$2,-1+SUMPRODUCT(MAX(ROW(E3615:E$2)*(E3616=E3615:E$2)))))</f>
        <v> </v>
      </c>
      <c r="J3616" s="25" t="str">
        <f>IF(OR(E3616="",E3616="!!!",F3616="NEW"),"",COUNTBLANK(OFFSET(A$1,,,SUMPRODUCT(MAX(ROW(E$2:E3616)*(E3616=E$2:E3616)))))-COUNTBLANK(OFFSET(A$1,,,SUMPRODUCT(MAX(ROW(E$1:E3615)*(E2=E$1:E3615))))))</f>
        <v> </v>
      </c>
      <c r="K3616" s="25" t="str">
        <f>IF(OR(E3616="",E3616="!!!",F3616="NEW"),"",INDEX(J$1:J3615,SUMPRODUCT(MAX(ROW(E$1:E3615)*(E3616=E$1:E3615)))))</f>
        <v> </v>
      </c>
      <c r="L3616" s="26"/>
    </row>
    <row r="3617" spans="1:12">
      <c r="A3617" s="20" t="s">
        <v>2232</v>
      </c>
      <c r="E3617" s="21">
        <f>IF(D3617="?OLD","!!!","")</f>
        <v/>
      </c>
      <c r="F3617" s="22" t="str">
        <f>IF(OR(E3617="",E3617="!!!"),"",IF(NOT(ISNA(VLOOKUP(E3617,E$1:E3616,1,FALSE()))),"OLD",IF(AND(E3617&lt;&gt;"",E3617&lt;&gt;"!!!"),"NEW","")))</f>
        <v> </v>
      </c>
      <c r="G3617" s="23" t="str">
        <f>IF(OR(E3617="",E3617="!!!"),"",IF(OR(J3617=0,AND(J3617=1,K3617=1),AND(J3617=1,I3617="SBJ"),AND(J3617=1,I3617=0)),"?IN_FOCUS",IF(J3617&lt;=2,"?ACTIVATED",IF(J3617&lt;&gt;"","?FAMILIAR",IF(F3617="NEW",IF(ISNA(VLOOKUP(E3617,#REF!,1,FALSE())),"?TYPE_IDENTIFIABLE","?REFERENTIAL"),"_")))))</f>
        <v> </v>
      </c>
      <c r="H3617" s="24" t="str">
        <f>IF(J3617&lt;&gt;1,"",IF(I3617="SBJ","CB","?"))</f>
        <v> </v>
      </c>
      <c r="I3617" s="25" t="str">
        <f>IF(OR(E3617="",E3617="!!!",F3617="NEW"),"",INDEX(B3616:B$2,-1+SUMPRODUCT(MAX(ROW(E3616:E$2)*(E3617=E3616:E$2)))))</f>
        <v> </v>
      </c>
      <c r="J3617" s="25" t="str">
        <f>IF(OR(E3617="",E3617="!!!",F3617="NEW"),"",COUNTBLANK(OFFSET(A$1,,,SUMPRODUCT(MAX(ROW(E$2:E3617)*(E3617=E$2:E3617)))))-COUNTBLANK(OFFSET(A$1,,,SUMPRODUCT(MAX(ROW(E$1:E3616)*(E2=E$1:E3616))))))</f>
        <v> </v>
      </c>
      <c r="K3617" s="25" t="str">
        <f>IF(OR(E3617="",E3617="!!!",F3617="NEW"),"",INDEX(J$1:J3616,SUMPRODUCT(MAX(ROW(E$1:E3616)*(E3617=E$1:E3616)))))</f>
        <v> </v>
      </c>
      <c r="L3617" s="26"/>
    </row>
    <row r="3618" spans="1:12">
      <c r="A3618" s="20" t="s">
        <v>157</v>
      </c>
      <c r="E3618" s="21">
        <f>IF(D3618="?OLD","!!!","")</f>
        <v/>
      </c>
      <c r="F3618" s="22" t="str">
        <f>IF(OR(E3618="",E3618="!!!"),"",IF(NOT(ISNA(VLOOKUP(E3618,E$1:E3617,1,FALSE()))),"OLD",IF(AND(E3618&lt;&gt;"",E3618&lt;&gt;"!!!"),"NEW","")))</f>
        <v> </v>
      </c>
      <c r="G3618" s="23" t="str">
        <f>IF(OR(E3618="",E3618="!!!"),"",IF(OR(J3618=0,AND(J3618=1,K3618=1),AND(J3618=1,I3618="SBJ"),AND(J3618=1,I3618=0)),"?IN_FOCUS",IF(J3618&lt;=2,"?ACTIVATED",IF(J3618&lt;&gt;"","?FAMILIAR",IF(F3618="NEW",IF(ISNA(VLOOKUP(E3618,#REF!,1,FALSE())),"?TYPE_IDENTIFIABLE","?REFERENTIAL"),"_")))))</f>
        <v> </v>
      </c>
      <c r="H3618" s="24" t="str">
        <f>IF(J3618&lt;&gt;1,"",IF(I3618="SBJ","CB","?"))</f>
        <v> </v>
      </c>
      <c r="I3618" s="25" t="str">
        <f>IF(OR(E3618="",E3618="!!!",F3618="NEW"),"",INDEX(B3617:B$2,-1+SUMPRODUCT(MAX(ROW(E3617:E$2)*(E3618=E3617:E$2)))))</f>
        <v> </v>
      </c>
      <c r="J3618" s="25" t="str">
        <f>IF(OR(E3618="",E3618="!!!",F3618="NEW"),"",COUNTBLANK(OFFSET(A$1,,,SUMPRODUCT(MAX(ROW(E$2:E3618)*(E3618=E$2:E3618)))))-COUNTBLANK(OFFSET(A$1,,,SUMPRODUCT(MAX(ROW(E$1:E3617)*(E2=E$1:E3617))))))</f>
        <v> </v>
      </c>
      <c r="K3618" s="25" t="str">
        <f>IF(OR(E3618="",E3618="!!!",F3618="NEW"),"",INDEX(J$1:J3617,SUMPRODUCT(MAX(ROW(E$1:E3617)*(E3618=E$1:E3617)))))</f>
        <v> </v>
      </c>
      <c r="L3618" s="26"/>
    </row>
    <row r="3619" spans="1:12">
      <c r="A3619" s="20" t="s">
        <v>1087</v>
      </c>
      <c r="E3619" s="21">
        <f>IF(D3619="?OLD","!!!","")</f>
        <v/>
      </c>
      <c r="F3619" s="22" t="str">
        <f>IF(OR(E3619="",E3619="!!!"),"",IF(NOT(ISNA(VLOOKUP(E3619,E$1:E3618,1,FALSE()))),"OLD",IF(AND(E3619&lt;&gt;"",E3619&lt;&gt;"!!!"),"NEW","")))</f>
        <v> </v>
      </c>
      <c r="G3619" s="23" t="str">
        <f>IF(OR(E3619="",E3619="!!!"),"",IF(OR(J3619=0,AND(J3619=1,K3619=1),AND(J3619=1,I3619="SBJ"),AND(J3619=1,I3619=0)),"?IN_FOCUS",IF(J3619&lt;=2,"?ACTIVATED",IF(J3619&lt;&gt;"","?FAMILIAR",IF(F3619="NEW",IF(ISNA(VLOOKUP(E3619,#REF!,1,FALSE())),"?TYPE_IDENTIFIABLE","?REFERENTIAL"),"_")))))</f>
        <v> </v>
      </c>
      <c r="H3619" s="24" t="str">
        <f>IF(J3619&lt;&gt;1,"",IF(I3619="SBJ","CB","?"))</f>
        <v> </v>
      </c>
      <c r="I3619" s="25" t="str">
        <f>IF(OR(E3619="",E3619="!!!",F3619="NEW"),"",INDEX(B3618:B$2,-1+SUMPRODUCT(MAX(ROW(E3618:E$2)*(E3619=E3618:E$2)))))</f>
        <v> </v>
      </c>
      <c r="J3619" s="25" t="str">
        <f>IF(OR(E3619="",E3619="!!!",F3619="NEW"),"",COUNTBLANK(OFFSET(A$1,,,SUMPRODUCT(MAX(ROW(E$2:E3619)*(E3619=E$2:E3619)))))-COUNTBLANK(OFFSET(A$1,,,SUMPRODUCT(MAX(ROW(E$1:E3618)*(E2=E$1:E3618))))))</f>
        <v> </v>
      </c>
      <c r="K3619" s="25" t="str">
        <f>IF(OR(E3619="",E3619="!!!",F3619="NEW"),"",INDEX(J$1:J3618,SUMPRODUCT(MAX(ROW(E$1:E3618)*(E3619=E$1:E3618)))))</f>
        <v> </v>
      </c>
      <c r="L3619" s="26"/>
    </row>
    <row r="3620" spans="1:12">
      <c r="A3620" s="20" t="s">
        <v>282</v>
      </c>
      <c r="E3620" s="21">
        <f>IF(D3620="?OLD","!!!","")</f>
        <v/>
      </c>
      <c r="F3620" s="22" t="str">
        <f>IF(OR(E3620="",E3620="!!!"),"",IF(NOT(ISNA(VLOOKUP(E3620,E$1:E3619,1,FALSE()))),"OLD",IF(AND(E3620&lt;&gt;"",E3620&lt;&gt;"!!!"),"NEW","")))</f>
        <v> </v>
      </c>
      <c r="G3620" s="23" t="str">
        <f>IF(OR(E3620="",E3620="!!!"),"",IF(OR(J3620=0,AND(J3620=1,K3620=1),AND(J3620=1,I3620="SBJ"),AND(J3620=1,I3620=0)),"?IN_FOCUS",IF(J3620&lt;=2,"?ACTIVATED",IF(J3620&lt;&gt;"","?FAMILIAR",IF(F3620="NEW",IF(ISNA(VLOOKUP(E3620,#REF!,1,FALSE())),"?TYPE_IDENTIFIABLE","?REFERENTIAL"),"_")))))</f>
        <v> </v>
      </c>
      <c r="H3620" s="24" t="str">
        <f>IF(J3620&lt;&gt;1,"",IF(I3620="SBJ","CB","?"))</f>
        <v> </v>
      </c>
      <c r="I3620" s="25" t="str">
        <f>IF(OR(E3620="",E3620="!!!",F3620="NEW"),"",INDEX(B3619:B$2,-1+SUMPRODUCT(MAX(ROW(E3619:E$2)*(E3620=E3619:E$2)))))</f>
        <v> </v>
      </c>
      <c r="J3620" s="25" t="str">
        <f>IF(OR(E3620="",E3620="!!!",F3620="NEW"),"",COUNTBLANK(OFFSET(A$1,,,SUMPRODUCT(MAX(ROW(E$2:E3620)*(E3620=E$2:E3620)))))-COUNTBLANK(OFFSET(A$1,,,SUMPRODUCT(MAX(ROW(E$1:E3619)*(E2=E$1:E3619))))))</f>
        <v> </v>
      </c>
      <c r="K3620" s="25" t="str">
        <f>IF(OR(E3620="",E3620="!!!",F3620="NEW"),"",INDEX(J$1:J3619,SUMPRODUCT(MAX(ROW(E$1:E3619)*(E3620=E$1:E3619)))))</f>
        <v> </v>
      </c>
      <c r="L3620" s="26"/>
    </row>
    <row r="3621" spans="1:12">
      <c r="A3621" s="20" t="s">
        <v>1108</v>
      </c>
      <c r="B3621" s="27" t="s">
        <v>1067</v>
      </c>
      <c r="C3621" s="27" t="s">
        <v>1110</v>
      </c>
      <c r="D3621" s="27" t="s">
        <v>1069</v>
      </c>
      <c r="E3621" s="21">
        <f>IF(D3621="?OLD","!!!","")</f>
        <v/>
      </c>
      <c r="F3621" s="22" t="str">
        <f>IF(OR(E3621="",E3621="!!!"),"",IF(NOT(ISNA(VLOOKUP(E3621,E$1:E3620,1,FALSE()))),"OLD",IF(AND(E3621&lt;&gt;"",E3621&lt;&gt;"!!!"),"NEW","")))</f>
        <v> </v>
      </c>
      <c r="G3621" s="23" t="str">
        <f>IF(OR(E3621="",E3621="!!!"),"",IF(OR(J3621=0,AND(J3621=1,K3621=1),AND(J3621=1,I3621="SBJ"),AND(J3621=1,I3621=0)),"?IN_FOCUS",IF(J3621&lt;=2,"?ACTIVATED",IF(J3621&lt;&gt;"","?FAMILIAR",IF(F3621="NEW",IF(ISNA(VLOOKUP(E3621,#REF!,1,FALSE())),"?TYPE_IDENTIFIABLE","?REFERENTIAL"),"_")))))</f>
        <v> </v>
      </c>
      <c r="H3621" s="24" t="str">
        <f>IF(J3621&lt;&gt;1,"",IF(I3621="SBJ","CB","?"))</f>
        <v> </v>
      </c>
      <c r="I3621" s="25" t="str">
        <f>IF(OR(E3621="",E3621="!!!",F3621="NEW"),"",INDEX(B3620:B$2,-1+SUMPRODUCT(MAX(ROW(E3620:E$2)*(E3621=E3620:E$2)))))</f>
        <v> </v>
      </c>
      <c r="J3621" s="25" t="str">
        <f>IF(OR(E3621="",E3621="!!!",F3621="NEW"),"",COUNTBLANK(OFFSET(A$1,,,SUMPRODUCT(MAX(ROW(E$2:E3621)*(E3621=E$2:E3621)))))-COUNTBLANK(OFFSET(A$1,,,SUMPRODUCT(MAX(ROW(E$1:E3620)*(E2=E$1:E3620))))))</f>
        <v> </v>
      </c>
      <c r="K3621" s="25" t="str">
        <f>IF(OR(E3621="",E3621="!!!",F3621="NEW"),"",INDEX(J$1:J3620,SUMPRODUCT(MAX(ROW(E$1:E3620)*(E3621=E$1:E3620)))))</f>
        <v> </v>
      </c>
      <c r="L3621" s="26"/>
    </row>
    <row r="3622" spans="1:12">
      <c r="A3622" s="20" t="s">
        <v>1198</v>
      </c>
      <c r="E3622" s="21">
        <f>IF(D3622="?OLD","!!!","")</f>
        <v/>
      </c>
      <c r="F3622" s="22" t="str">
        <f>IF(OR(E3622="",E3622="!!!"),"",IF(NOT(ISNA(VLOOKUP(E3622,E$1:E3621,1,FALSE()))),"OLD",IF(AND(E3622&lt;&gt;"",E3622&lt;&gt;"!!!"),"NEW","")))</f>
        <v> </v>
      </c>
      <c r="G3622" s="23" t="str">
        <f>IF(OR(E3622="",E3622="!!!"),"",IF(OR(J3622=0,AND(J3622=1,K3622=1),AND(J3622=1,I3622="SBJ"),AND(J3622=1,I3622=0)),"?IN_FOCUS",IF(J3622&lt;=2,"?ACTIVATED",IF(J3622&lt;&gt;"","?FAMILIAR",IF(F3622="NEW",IF(ISNA(VLOOKUP(E3622,#REF!,1,FALSE())),"?TYPE_IDENTIFIABLE","?REFERENTIAL"),"_")))))</f>
        <v> </v>
      </c>
      <c r="H3622" s="24" t="str">
        <f>IF(J3622&lt;&gt;1,"",IF(I3622="SBJ","CB","?"))</f>
        <v> </v>
      </c>
      <c r="I3622" s="25" t="str">
        <f>IF(OR(E3622="",E3622="!!!",F3622="NEW"),"",INDEX(B3621:B$2,-1+SUMPRODUCT(MAX(ROW(E3621:E$2)*(E3622=E3621:E$2)))))</f>
        <v> </v>
      </c>
      <c r="J3622" s="25" t="str">
        <f>IF(OR(E3622="",E3622="!!!",F3622="NEW"),"",COUNTBLANK(OFFSET(A$1,,,SUMPRODUCT(MAX(ROW(E$2:E3622)*(E3622=E$2:E3622)))))-COUNTBLANK(OFFSET(A$1,,,SUMPRODUCT(MAX(ROW(E$1:E3621)*(E2=E$1:E3621))))))</f>
        <v> </v>
      </c>
      <c r="K3622" s="25" t="str">
        <f>IF(OR(E3622="",E3622="!!!",F3622="NEW"),"",INDEX(J$1:J3621,SUMPRODUCT(MAX(ROW(E$1:E3621)*(E3622=E$1:E3621)))))</f>
        <v> </v>
      </c>
      <c r="L3622" s="26"/>
    </row>
    <row r="3623" spans="1:12">
      <c r="A3623" s="20" t="s">
        <v>1269</v>
      </c>
      <c r="B3623" s="27" t="s">
        <v>1071</v>
      </c>
      <c r="C3623" s="27" t="s">
        <v>1072</v>
      </c>
      <c r="E3623" s="21">
        <f>IF(D3623="?OLD","!!!","")</f>
        <v/>
      </c>
      <c r="F3623" s="22" t="str">
        <f>IF(OR(E3623="",E3623="!!!"),"",IF(NOT(ISNA(VLOOKUP(E3623,E$1:E3622,1,FALSE()))),"OLD",IF(AND(E3623&lt;&gt;"",E3623&lt;&gt;"!!!"),"NEW","")))</f>
        <v> </v>
      </c>
      <c r="G3623" s="23" t="str">
        <f>IF(OR(E3623="",E3623="!!!"),"",IF(OR(J3623=0,AND(J3623=1,K3623=1),AND(J3623=1,I3623="SBJ"),AND(J3623=1,I3623=0)),"?IN_FOCUS",IF(J3623&lt;=2,"?ACTIVATED",IF(J3623&lt;&gt;"","?FAMILIAR",IF(F3623="NEW",IF(ISNA(VLOOKUP(E3623,#REF!,1,FALSE())),"?TYPE_IDENTIFIABLE","?REFERENTIAL"),"_")))))</f>
        <v> </v>
      </c>
      <c r="H3623" s="24" t="str">
        <f>IF(J3623&lt;&gt;1,"",IF(I3623="SBJ","CB","?"))</f>
        <v> </v>
      </c>
      <c r="I3623" s="25" t="str">
        <f>IF(OR(E3623="",E3623="!!!",F3623="NEW"),"",INDEX(B3622:B$2,-1+SUMPRODUCT(MAX(ROW(E3622:E$2)*(E3623=E3622:E$2)))))</f>
        <v> </v>
      </c>
      <c r="J3623" s="25" t="str">
        <f>IF(OR(E3623="",E3623="!!!",F3623="NEW"),"",COUNTBLANK(OFFSET(A$1,,,SUMPRODUCT(MAX(ROW(E$2:E3623)*(E3623=E$2:E3623)))))-COUNTBLANK(OFFSET(A$1,,,SUMPRODUCT(MAX(ROW(E$1:E3622)*(E2=E$1:E3622))))))</f>
        <v> </v>
      </c>
      <c r="K3623" s="25" t="str">
        <f>IF(OR(E3623="",E3623="!!!",F3623="NEW"),"",INDEX(J$1:J3622,SUMPRODUCT(MAX(ROW(E$1:E3622)*(E3623=E$1:E3622)))))</f>
        <v> </v>
      </c>
      <c r="L3623" s="26"/>
    </row>
    <row r="3624" spans="1:12">
      <c r="A3624" s="20" t="s">
        <v>45</v>
      </c>
      <c r="E3624" s="21">
        <f>IF(D3624="?OLD","!!!","")</f>
        <v/>
      </c>
      <c r="F3624" s="22" t="str">
        <f>IF(OR(E3624="",E3624="!!!"),"",IF(NOT(ISNA(VLOOKUP(E3624,E$1:E3623,1,FALSE()))),"OLD",IF(AND(E3624&lt;&gt;"",E3624&lt;&gt;"!!!"),"NEW","")))</f>
        <v> </v>
      </c>
      <c r="G3624" s="23" t="str">
        <f>IF(OR(E3624="",E3624="!!!"),"",IF(OR(J3624=0,AND(J3624=1,K3624=1),AND(J3624=1,I3624="SBJ"),AND(J3624=1,I3624=0)),"?IN_FOCUS",IF(J3624&lt;=2,"?ACTIVATED",IF(J3624&lt;&gt;"","?FAMILIAR",IF(F3624="NEW",IF(ISNA(VLOOKUP(E3624,#REF!,1,FALSE())),"?TYPE_IDENTIFIABLE","?REFERENTIAL"),"_")))))</f>
        <v> </v>
      </c>
      <c r="H3624" s="24" t="str">
        <f>IF(J3624&lt;&gt;1,"",IF(I3624="SBJ","CB","?"))</f>
        <v> </v>
      </c>
      <c r="I3624" s="25" t="str">
        <f>IF(OR(E3624="",E3624="!!!",F3624="NEW"),"",INDEX(B3623:B$2,-1+SUMPRODUCT(MAX(ROW(E3623:E$2)*(E3624=E3623:E$2)))))</f>
        <v> </v>
      </c>
      <c r="J3624" s="25" t="str">
        <f>IF(OR(E3624="",E3624="!!!",F3624="NEW"),"",COUNTBLANK(OFFSET(A$1,,,SUMPRODUCT(MAX(ROW(E$2:E3624)*(E3624=E$2:E3624)))))-COUNTBLANK(OFFSET(A$1,,,SUMPRODUCT(MAX(ROW(E$1:E3623)*(E2=E$1:E3623))))))</f>
        <v> </v>
      </c>
      <c r="K3624" s="25" t="str">
        <f>IF(OR(E3624="",E3624="!!!",F3624="NEW"),"",INDEX(J$1:J3623,SUMPRODUCT(MAX(ROW(E$1:E3623)*(E3624=E$1:E3623)))))</f>
        <v> </v>
      </c>
      <c r="L3624" s="26"/>
    </row>
    <row r="3625" spans="1:12">
      <c r="A3625" s="20" t="s">
        <v>2233</v>
      </c>
      <c r="B3625" s="27" t="s">
        <v>1160</v>
      </c>
      <c r="C3625" s="27" t="s">
        <v>1117</v>
      </c>
      <c r="E3625" s="21">
        <f>IF(D3625="?OLD","!!!","")</f>
        <v/>
      </c>
      <c r="F3625" s="22" t="str">
        <f>IF(OR(E3625="",E3625="!!!"),"",IF(NOT(ISNA(VLOOKUP(E3625,E$1:E3624,1,FALSE()))),"OLD",IF(AND(E3625&lt;&gt;"",E3625&lt;&gt;"!!!"),"NEW","")))</f>
        <v> </v>
      </c>
      <c r="G3625" s="23" t="str">
        <f>IF(OR(E3625="",E3625="!!!"),"",IF(OR(J3625=0,AND(J3625=1,K3625=1),AND(J3625=1,I3625="SBJ"),AND(J3625=1,I3625=0)),"?IN_FOCUS",IF(J3625&lt;=2,"?ACTIVATED",IF(J3625&lt;&gt;"","?FAMILIAR",IF(F3625="NEW",IF(ISNA(VLOOKUP(E3625,#REF!,1,FALSE())),"?TYPE_IDENTIFIABLE","?REFERENTIAL"),"_")))))</f>
        <v> </v>
      </c>
      <c r="H3625" s="24" t="str">
        <f>IF(J3625&lt;&gt;1,"",IF(I3625="SBJ","CB","?"))</f>
        <v> </v>
      </c>
      <c r="I3625" s="25" t="str">
        <f>IF(OR(E3625="",E3625="!!!",F3625="NEW"),"",INDEX(B3624:B$2,-1+SUMPRODUCT(MAX(ROW(E3624:E$2)*(E3625=E3624:E$2)))))</f>
        <v> </v>
      </c>
      <c r="J3625" s="25" t="str">
        <f>IF(OR(E3625="",E3625="!!!",F3625="NEW"),"",COUNTBLANK(OFFSET(A$1,,,SUMPRODUCT(MAX(ROW(E$2:E3625)*(E3625=E$2:E3625)))))-COUNTBLANK(OFFSET(A$1,,,SUMPRODUCT(MAX(ROW(E$1:E3624)*(E2=E$1:E3624))))))</f>
        <v> </v>
      </c>
      <c r="K3625" s="25" t="str">
        <f>IF(OR(E3625="",E3625="!!!",F3625="NEW"),"",INDEX(J$1:J3624,SUMPRODUCT(MAX(ROW(E$1:E3624)*(E3625=E$1:E3624)))))</f>
        <v> </v>
      </c>
      <c r="L3625" s="26"/>
    </row>
    <row r="3626" spans="1:12">
      <c r="A3626" s="20" t="s">
        <v>1080</v>
      </c>
      <c r="E3626" s="21">
        <f>IF(D3626="?OLD","!!!","")</f>
        <v/>
      </c>
      <c r="F3626" s="22" t="str">
        <f>IF(OR(E3626="",E3626="!!!"),"",IF(NOT(ISNA(VLOOKUP(E3626,E$1:E3625,1,FALSE()))),"OLD",IF(AND(E3626&lt;&gt;"",E3626&lt;&gt;"!!!"),"NEW","")))</f>
        <v> </v>
      </c>
      <c r="G3626" s="23" t="str">
        <f>IF(OR(E3626="",E3626="!!!"),"",IF(OR(J3626=0,AND(J3626=1,K3626=1),AND(J3626=1,I3626="SBJ"),AND(J3626=1,I3626=0)),"?IN_FOCUS",IF(J3626&lt;=2,"?ACTIVATED",IF(J3626&lt;&gt;"","?FAMILIAR",IF(F3626="NEW",IF(ISNA(VLOOKUP(E3626,#REF!,1,FALSE())),"?TYPE_IDENTIFIABLE","?REFERENTIAL"),"_")))))</f>
        <v> </v>
      </c>
      <c r="H3626" s="24" t="str">
        <f>IF(J3626&lt;&gt;1,"",IF(I3626="SBJ","CB","?"))</f>
        <v> </v>
      </c>
      <c r="I3626" s="25" t="str">
        <f>IF(OR(E3626="",E3626="!!!",F3626="NEW"),"",INDEX(B3625:B$2,-1+SUMPRODUCT(MAX(ROW(E3625:E$2)*(E3626=E3625:E$2)))))</f>
        <v> </v>
      </c>
      <c r="J3626" s="25" t="str">
        <f>IF(OR(E3626="",E3626="!!!",F3626="NEW"),"",COUNTBLANK(OFFSET(A$1,,,SUMPRODUCT(MAX(ROW(E$2:E3626)*(E3626=E$2:E3626)))))-COUNTBLANK(OFFSET(A$1,,,SUMPRODUCT(MAX(ROW(E$1:E3625)*(E2=E$1:E3625))))))</f>
        <v> </v>
      </c>
      <c r="K3626" s="25" t="str">
        <f>IF(OR(E3626="",E3626="!!!",F3626="NEW"),"",INDEX(J$1:J3625,SUMPRODUCT(MAX(ROW(E$1:E3625)*(E3626=E$1:E3625)))))</f>
        <v> </v>
      </c>
      <c r="L3626" s="26"/>
    </row>
    <row r="3627" spans="1:12">
      <c r="A3627" s="20"/>
    </row>
    <row r="3628" spans="1:12">
      <c r="A3628" s="20" t="s">
        <v>2234</v>
      </c>
    </row>
    <row r="3629" spans="1:12">
      <c r="A3629" s="20" t="s">
        <v>1082</v>
      </c>
      <c r="E3629" s="21">
        <f>IF(D3629="?OLD","!!!","")</f>
        <v/>
      </c>
      <c r="F3629" s="22" t="str">
        <f>IF(OR(E3629="",E3629="!!!"),"",IF(NOT(ISNA(VLOOKUP(E3629,E$1:E3628,1,FALSE()))),"OLD",IF(AND(E3629&lt;&gt;"",E3629&lt;&gt;"!!!"),"NEW","")))</f>
        <v> </v>
      </c>
      <c r="G3629" s="23" t="str">
        <f>IF(OR(E3629="",E3629="!!!"),"",IF(OR(J3629=0,AND(J3629=1,K3629=1),AND(J3629=1,I3629="SBJ"),AND(J3629=1,I3629=0)),"?IN_FOCUS",IF(J3629&lt;=2,"?ACTIVATED",IF(J3629&lt;&gt;"","?FAMILIAR",IF(F3629="NEW",IF(ISNA(VLOOKUP(E3629,#REF!,1,FALSE())),"?TYPE_IDENTIFIABLE","?REFERENTIAL"),"_")))))</f>
        <v> </v>
      </c>
      <c r="H3629" s="24" t="str">
        <f>IF(J3629&lt;&gt;1,"",IF(I3629="SBJ","CB","?"))</f>
        <v> </v>
      </c>
      <c r="I3629" s="25" t="str">
        <f>IF(OR(E3629="",E3629="!!!",F3629="NEW"),"",INDEX(B3628:B$2,-1+SUMPRODUCT(MAX(ROW(E3628:E$2)*(E3629=E3628:E$2)))))</f>
        <v> </v>
      </c>
      <c r="J3629" s="25" t="str">
        <f>IF(OR(E3629="",E3629="!!!",F3629="NEW"),"",COUNTBLANK(OFFSET(A$1,,,SUMPRODUCT(MAX(ROW(E$2:E3629)*(E3629=E$2:E3629)))))-COUNTBLANK(OFFSET(A$1,,,SUMPRODUCT(MAX(ROW(E$1:E3628)*(E2=E$1:E3628))))))</f>
        <v> </v>
      </c>
      <c r="K3629" s="25" t="str">
        <f>IF(OR(E3629="",E3629="!!!",F3629="NEW"),"",INDEX(J$1:J3628,SUMPRODUCT(MAX(ROW(E$1:E3628)*(E3629=E$1:E3628)))))</f>
        <v> </v>
      </c>
      <c r="L3629" s="26"/>
    </row>
    <row r="3630" spans="1:12">
      <c r="A3630" s="20" t="s">
        <v>1223</v>
      </c>
      <c r="E3630" s="21">
        <f>IF(D3630="?OLD","!!!","")</f>
        <v/>
      </c>
      <c r="F3630" s="22" t="str">
        <f>IF(OR(E3630="",E3630="!!!"),"",IF(NOT(ISNA(VLOOKUP(E3630,E$1:E3629,1,FALSE()))),"OLD",IF(AND(E3630&lt;&gt;"",E3630&lt;&gt;"!!!"),"NEW","")))</f>
        <v> </v>
      </c>
      <c r="G3630" s="23" t="str">
        <f>IF(OR(E3630="",E3630="!!!"),"",IF(OR(J3630=0,AND(J3630=1,K3630=1),AND(J3630=1,I3630="SBJ"),AND(J3630=1,I3630=0)),"?IN_FOCUS",IF(J3630&lt;=2,"?ACTIVATED",IF(J3630&lt;&gt;"","?FAMILIAR",IF(F3630="NEW",IF(ISNA(VLOOKUP(E3630,#REF!,1,FALSE())),"?TYPE_IDENTIFIABLE","?REFERENTIAL"),"_")))))</f>
        <v> </v>
      </c>
      <c r="H3630" s="24" t="str">
        <f>IF(J3630&lt;&gt;1,"",IF(I3630="SBJ","CB","?"))</f>
        <v> </v>
      </c>
      <c r="I3630" s="25" t="str">
        <f>IF(OR(E3630="",E3630="!!!",F3630="NEW"),"",INDEX(B3629:B$2,-1+SUMPRODUCT(MAX(ROW(E3629:E$2)*(E3630=E3629:E$2)))))</f>
        <v> </v>
      </c>
      <c r="J3630" s="25" t="str">
        <f>IF(OR(E3630="",E3630="!!!",F3630="NEW"),"",COUNTBLANK(OFFSET(A$1,,,SUMPRODUCT(MAX(ROW(E$2:E3630)*(E3630=E$2:E3630)))))-COUNTBLANK(OFFSET(A$1,,,SUMPRODUCT(MAX(ROW(E$1:E3629)*(E2=E$1:E3629))))))</f>
        <v> </v>
      </c>
      <c r="K3630" s="25" t="str">
        <f>IF(OR(E3630="",E3630="!!!",F3630="NEW"),"",INDEX(J$1:J3629,SUMPRODUCT(MAX(ROW(E$1:E3629)*(E3630=E$1:E3629)))))</f>
        <v> </v>
      </c>
      <c r="L3630" s="26"/>
    </row>
    <row r="3631" spans="1:12">
      <c r="A3631" s="20" t="s">
        <v>1196</v>
      </c>
      <c r="E3631" s="21">
        <f>IF(D3631="?OLD","!!!","")</f>
        <v/>
      </c>
      <c r="F3631" s="22" t="str">
        <f>IF(OR(E3631="",E3631="!!!"),"",IF(NOT(ISNA(VLOOKUP(E3631,E$1:E3630,1,FALSE()))),"OLD",IF(AND(E3631&lt;&gt;"",E3631&lt;&gt;"!!!"),"NEW","")))</f>
        <v> </v>
      </c>
      <c r="G3631" s="23" t="str">
        <f>IF(OR(E3631="",E3631="!!!"),"",IF(OR(J3631=0,AND(J3631=1,K3631=1),AND(J3631=1,I3631="SBJ"),AND(J3631=1,I3631=0)),"?IN_FOCUS",IF(J3631&lt;=2,"?ACTIVATED",IF(J3631&lt;&gt;"","?FAMILIAR",IF(F3631="NEW",IF(ISNA(VLOOKUP(E3631,#REF!,1,FALSE())),"?TYPE_IDENTIFIABLE","?REFERENTIAL"),"_")))))</f>
        <v> </v>
      </c>
      <c r="H3631" s="24" t="str">
        <f>IF(J3631&lt;&gt;1,"",IF(I3631="SBJ","CB","?"))</f>
        <v> </v>
      </c>
      <c r="I3631" s="25" t="str">
        <f>IF(OR(E3631="",E3631="!!!",F3631="NEW"),"",INDEX(B3630:B$2,-1+SUMPRODUCT(MAX(ROW(E3630:E$2)*(E3631=E3630:E$2)))))</f>
        <v> </v>
      </c>
      <c r="J3631" s="25" t="str">
        <f>IF(OR(E3631="",E3631="!!!",F3631="NEW"),"",COUNTBLANK(OFFSET(A$1,,,SUMPRODUCT(MAX(ROW(E$2:E3631)*(E3631=E$2:E3631)))))-COUNTBLANK(OFFSET(A$1,,,SUMPRODUCT(MAX(ROW(E$1:E3630)*(E2=E$1:E3630))))))</f>
        <v> </v>
      </c>
      <c r="K3631" s="25" t="str">
        <f>IF(OR(E3631="",E3631="!!!",F3631="NEW"),"",INDEX(J$1:J3630,SUMPRODUCT(MAX(ROW(E$1:E3630)*(E3631=E$1:E3630)))))</f>
        <v> </v>
      </c>
      <c r="L3631" s="26"/>
    </row>
    <row r="3632" spans="1:12">
      <c r="A3632" s="20" t="s">
        <v>1108</v>
      </c>
      <c r="B3632" s="27" t="s">
        <v>1067</v>
      </c>
      <c r="C3632" s="27" t="s">
        <v>1110</v>
      </c>
      <c r="D3632" s="27" t="s">
        <v>1069</v>
      </c>
      <c r="E3632" s="21">
        <f>IF(D3632="?OLD","!!!","")</f>
        <v/>
      </c>
      <c r="F3632" s="22" t="str">
        <f>IF(OR(E3632="",E3632="!!!"),"",IF(NOT(ISNA(VLOOKUP(E3632,E$1:E3631,1,FALSE()))),"OLD",IF(AND(E3632&lt;&gt;"",E3632&lt;&gt;"!!!"),"NEW","")))</f>
        <v> </v>
      </c>
      <c r="G3632" s="23" t="str">
        <f>IF(OR(E3632="",E3632="!!!"),"",IF(OR(J3632=0,AND(J3632=1,K3632=1),AND(J3632=1,I3632="SBJ"),AND(J3632=1,I3632=0)),"?IN_FOCUS",IF(J3632&lt;=2,"?ACTIVATED",IF(J3632&lt;&gt;"","?FAMILIAR",IF(F3632="NEW",IF(ISNA(VLOOKUP(E3632,#REF!,1,FALSE())),"?TYPE_IDENTIFIABLE","?REFERENTIAL"),"_")))))</f>
        <v> </v>
      </c>
      <c r="H3632" s="24" t="str">
        <f>IF(J3632&lt;&gt;1,"",IF(I3632="SBJ","CB","?"))</f>
        <v> </v>
      </c>
      <c r="I3632" s="25" t="str">
        <f>IF(OR(E3632="",E3632="!!!",F3632="NEW"),"",INDEX(B3631:B$2,-1+SUMPRODUCT(MAX(ROW(E3631:E$2)*(E3632=E3631:E$2)))))</f>
        <v> </v>
      </c>
      <c r="J3632" s="25" t="str">
        <f>IF(OR(E3632="",E3632="!!!",F3632="NEW"),"",COUNTBLANK(OFFSET(A$1,,,SUMPRODUCT(MAX(ROW(E$2:E3632)*(E3632=E$2:E3632)))))-COUNTBLANK(OFFSET(A$1,,,SUMPRODUCT(MAX(ROW(E$1:E3631)*(E2=E$1:E3631))))))</f>
        <v> </v>
      </c>
      <c r="K3632" s="25" t="str">
        <f>IF(OR(E3632="",E3632="!!!",F3632="NEW"),"",INDEX(J$1:J3631,SUMPRODUCT(MAX(ROW(E$1:E3631)*(E3632=E$1:E3631)))))</f>
        <v> </v>
      </c>
      <c r="L3632" s="26"/>
    </row>
    <row r="3633" spans="1:12">
      <c r="A3633" s="20" t="s">
        <v>2235</v>
      </c>
      <c r="B3633" s="27" t="s">
        <v>1071</v>
      </c>
      <c r="C3633" s="27" t="s">
        <v>1093</v>
      </c>
      <c r="D3633" s="27" t="s">
        <v>1069</v>
      </c>
      <c r="E3633" s="21">
        <f>IF(D3633="?OLD","!!!","")</f>
        <v/>
      </c>
      <c r="F3633" s="22" t="str">
        <f>IF(OR(E3633="",E3633="!!!"),"",IF(NOT(ISNA(VLOOKUP(E3633,E$1:E3632,1,FALSE()))),"OLD",IF(AND(E3633&lt;&gt;"",E3633&lt;&gt;"!!!"),"NEW","")))</f>
        <v> </v>
      </c>
      <c r="G3633" s="23" t="str">
        <f>IF(OR(E3633="",E3633="!!!"),"",IF(OR(J3633=0,AND(J3633=1,K3633=1),AND(J3633=1,I3633="SBJ"),AND(J3633=1,I3633=0)),"?IN_FOCUS",IF(J3633&lt;=2,"?ACTIVATED",IF(J3633&lt;&gt;"","?FAMILIAR",IF(F3633="NEW",IF(ISNA(VLOOKUP(E3633,#REF!,1,FALSE())),"?TYPE_IDENTIFIABLE","?REFERENTIAL"),"_")))))</f>
        <v> </v>
      </c>
      <c r="H3633" s="24" t="str">
        <f>IF(J3633&lt;&gt;1,"",IF(I3633="SBJ","CB","?"))</f>
        <v> </v>
      </c>
      <c r="I3633" s="25" t="str">
        <f>IF(OR(E3633="",E3633="!!!",F3633="NEW"),"",INDEX(B3632:B$2,-1+SUMPRODUCT(MAX(ROW(E3632:E$2)*(E3633=E3632:E$2)))))</f>
        <v> </v>
      </c>
      <c r="J3633" s="25" t="str">
        <f>IF(OR(E3633="",E3633="!!!",F3633="NEW"),"",COUNTBLANK(OFFSET(A$1,,,SUMPRODUCT(MAX(ROW(E$2:E3633)*(E3633=E$2:E3633)))))-COUNTBLANK(OFFSET(A$1,,,SUMPRODUCT(MAX(ROW(E$1:E3632)*(E2=E$1:E3632))))))</f>
        <v> </v>
      </c>
      <c r="K3633" s="25" t="str">
        <f>IF(OR(E3633="",E3633="!!!",F3633="NEW"),"",INDEX(J$1:J3632,SUMPRODUCT(MAX(ROW(E$1:E3632)*(E3633=E$1:E3632)))))</f>
        <v> </v>
      </c>
      <c r="L3633" s="26"/>
    </row>
    <row r="3634" spans="1:12">
      <c r="A3634" s="20" t="s">
        <v>1238</v>
      </c>
      <c r="B3634" s="27" t="s">
        <v>1160</v>
      </c>
      <c r="C3634" s="27" t="s">
        <v>1077</v>
      </c>
      <c r="E3634" s="21">
        <f>IF(D3634="?OLD","!!!","")</f>
        <v/>
      </c>
      <c r="F3634" s="22" t="str">
        <f>IF(OR(E3634="",E3634="!!!"),"",IF(NOT(ISNA(VLOOKUP(E3634,E$1:E3633,1,FALSE()))),"OLD",IF(AND(E3634&lt;&gt;"",E3634&lt;&gt;"!!!"),"NEW","")))</f>
        <v> </v>
      </c>
      <c r="G3634" s="23" t="str">
        <f>IF(OR(E3634="",E3634="!!!"),"",IF(OR(J3634=0,AND(J3634=1,K3634=1),AND(J3634=1,I3634="SBJ"),AND(J3634=1,I3634=0)),"?IN_FOCUS",IF(J3634&lt;=2,"?ACTIVATED",IF(J3634&lt;&gt;"","?FAMILIAR",IF(F3634="NEW",IF(ISNA(VLOOKUP(E3634,#REF!,1,FALSE())),"?TYPE_IDENTIFIABLE","?REFERENTIAL"),"_")))))</f>
        <v> </v>
      </c>
      <c r="H3634" s="24" t="str">
        <f>IF(J3634&lt;&gt;1,"",IF(I3634="SBJ","CB","?"))</f>
        <v> </v>
      </c>
      <c r="I3634" s="25" t="str">
        <f>IF(OR(E3634="",E3634="!!!",F3634="NEW"),"",INDEX(B3633:B$2,-1+SUMPRODUCT(MAX(ROW(E3633:E$2)*(E3634=E3633:E$2)))))</f>
        <v> </v>
      </c>
      <c r="J3634" s="25" t="str">
        <f>IF(OR(E3634="",E3634="!!!",F3634="NEW"),"",COUNTBLANK(OFFSET(A$1,,,SUMPRODUCT(MAX(ROW(E$2:E3634)*(E3634=E$2:E3634)))))-COUNTBLANK(OFFSET(A$1,,,SUMPRODUCT(MAX(ROW(E$1:E3633)*(E2=E$1:E3633))))))</f>
        <v> </v>
      </c>
      <c r="K3634" s="25" t="str">
        <f>IF(OR(E3634="",E3634="!!!",F3634="NEW"),"",INDEX(J$1:J3633,SUMPRODUCT(MAX(ROW(E$1:E3633)*(E3634=E$1:E3633)))))</f>
        <v> </v>
      </c>
      <c r="L3634" s="26"/>
    </row>
    <row r="3635" spans="1:12">
      <c r="A3635" s="20" t="s">
        <v>1224</v>
      </c>
      <c r="E3635" s="21">
        <f>IF(D3635="?OLD","!!!","")</f>
        <v/>
      </c>
      <c r="F3635" s="22" t="str">
        <f>IF(OR(E3635="",E3635="!!!"),"",IF(NOT(ISNA(VLOOKUP(E3635,E$1:E3634,1,FALSE()))),"OLD",IF(AND(E3635&lt;&gt;"",E3635&lt;&gt;"!!!"),"NEW","")))</f>
        <v> </v>
      </c>
      <c r="G3635" s="23" t="str">
        <f>IF(OR(E3635="",E3635="!!!"),"",IF(OR(J3635=0,AND(J3635=1,K3635=1),AND(J3635=1,I3635="SBJ"),AND(J3635=1,I3635=0)),"?IN_FOCUS",IF(J3635&lt;=2,"?ACTIVATED",IF(J3635&lt;&gt;"","?FAMILIAR",IF(F3635="NEW",IF(ISNA(VLOOKUP(E3635,#REF!,1,FALSE())),"?TYPE_IDENTIFIABLE","?REFERENTIAL"),"_")))))</f>
        <v> </v>
      </c>
      <c r="H3635" s="24" t="str">
        <f>IF(J3635&lt;&gt;1,"",IF(I3635="SBJ","CB","?"))</f>
        <v> </v>
      </c>
      <c r="I3635" s="25" t="str">
        <f>IF(OR(E3635="",E3635="!!!",F3635="NEW"),"",INDEX(B3634:B$2,-1+SUMPRODUCT(MAX(ROW(E3634:E$2)*(E3635=E3634:E$2)))))</f>
        <v> </v>
      </c>
      <c r="J3635" s="25" t="str">
        <f>IF(OR(E3635="",E3635="!!!",F3635="NEW"),"",COUNTBLANK(OFFSET(A$1,,,SUMPRODUCT(MAX(ROW(E$2:E3635)*(E3635=E$2:E3635)))))-COUNTBLANK(OFFSET(A$1,,,SUMPRODUCT(MAX(ROW(E$1:E3634)*(E2=E$1:E3634))))))</f>
        <v> </v>
      </c>
      <c r="K3635" s="25" t="str">
        <f>IF(OR(E3635="",E3635="!!!",F3635="NEW"),"",INDEX(J$1:J3634,SUMPRODUCT(MAX(ROW(E$1:E3634)*(E3635=E$1:E3634)))))</f>
        <v> </v>
      </c>
      <c r="L3635" s="26"/>
    </row>
    <row r="3636" spans="1:12">
      <c r="A3636" s="20" t="s">
        <v>1291</v>
      </c>
      <c r="E3636" s="21">
        <f>IF(D3636="?OLD","!!!","")</f>
        <v/>
      </c>
      <c r="F3636" s="22" t="str">
        <f>IF(OR(E3636="",E3636="!!!"),"",IF(NOT(ISNA(VLOOKUP(E3636,E$1:E3635,1,FALSE()))),"OLD",IF(AND(E3636&lt;&gt;"",E3636&lt;&gt;"!!!"),"NEW","")))</f>
        <v> </v>
      </c>
      <c r="G3636" s="23" t="str">
        <f>IF(OR(E3636="",E3636="!!!"),"",IF(OR(J3636=0,AND(J3636=1,K3636=1),AND(J3636=1,I3636="SBJ"),AND(J3636=1,I3636=0)),"?IN_FOCUS",IF(J3636&lt;=2,"?ACTIVATED",IF(J3636&lt;&gt;"","?FAMILIAR",IF(F3636="NEW",IF(ISNA(VLOOKUP(E3636,#REF!,1,FALSE())),"?TYPE_IDENTIFIABLE","?REFERENTIAL"),"_")))))</f>
        <v> </v>
      </c>
      <c r="H3636" s="24" t="str">
        <f>IF(J3636&lt;&gt;1,"",IF(I3636="SBJ","CB","?"))</f>
        <v> </v>
      </c>
      <c r="I3636" s="25" t="str">
        <f>IF(OR(E3636="",E3636="!!!",F3636="NEW"),"",INDEX(B3635:B$2,-1+SUMPRODUCT(MAX(ROW(E3635:E$2)*(E3636=E3635:E$2)))))</f>
        <v> </v>
      </c>
      <c r="J3636" s="25" t="str">
        <f>IF(OR(E3636="",E3636="!!!",F3636="NEW"),"",COUNTBLANK(OFFSET(A$1,,,SUMPRODUCT(MAX(ROW(E$2:E3636)*(E3636=E$2:E3636)))))-COUNTBLANK(OFFSET(A$1,,,SUMPRODUCT(MAX(ROW(E$1:E3635)*(E2=E$1:E3635))))))</f>
        <v> </v>
      </c>
      <c r="K3636" s="25" t="str">
        <f>IF(OR(E3636="",E3636="!!!",F3636="NEW"),"",INDEX(J$1:J3635,SUMPRODUCT(MAX(ROW(E$1:E3635)*(E3636=E$1:E3635)))))</f>
        <v> </v>
      </c>
      <c r="L3636" s="26"/>
    </row>
    <row r="3637" spans="1:12">
      <c r="A3637" s="20" t="s">
        <v>2236</v>
      </c>
      <c r="E3637" s="21">
        <f>IF(D3637="?OLD","!!!","")</f>
        <v/>
      </c>
      <c r="F3637" s="22" t="str">
        <f>IF(OR(E3637="",E3637="!!!"),"",IF(NOT(ISNA(VLOOKUP(E3637,E$1:E3636,1,FALSE()))),"OLD",IF(AND(E3637&lt;&gt;"",E3637&lt;&gt;"!!!"),"NEW","")))</f>
        <v> </v>
      </c>
      <c r="G3637" s="23" t="str">
        <f>IF(OR(E3637="",E3637="!!!"),"",IF(OR(J3637=0,AND(J3637=1,K3637=1),AND(J3637=1,I3637="SBJ"),AND(J3637=1,I3637=0)),"?IN_FOCUS",IF(J3637&lt;=2,"?ACTIVATED",IF(J3637&lt;&gt;"","?FAMILIAR",IF(F3637="NEW",IF(ISNA(VLOOKUP(E3637,#REF!,1,FALSE())),"?TYPE_IDENTIFIABLE","?REFERENTIAL"),"_")))))</f>
        <v> </v>
      </c>
      <c r="H3637" s="24" t="str">
        <f>IF(J3637&lt;&gt;1,"",IF(I3637="SBJ","CB","?"))</f>
        <v> </v>
      </c>
      <c r="I3637" s="25" t="str">
        <f>IF(OR(E3637="",E3637="!!!",F3637="NEW"),"",INDEX(B3636:B$2,-1+SUMPRODUCT(MAX(ROW(E3636:E$2)*(E3637=E3636:E$2)))))</f>
        <v> </v>
      </c>
      <c r="J3637" s="25" t="str">
        <f>IF(OR(E3637="",E3637="!!!",F3637="NEW"),"",COUNTBLANK(OFFSET(A$1,,,SUMPRODUCT(MAX(ROW(E$2:E3637)*(E3637=E$2:E3637)))))-COUNTBLANK(OFFSET(A$1,,,SUMPRODUCT(MAX(ROW(E$1:E3636)*(E2=E$1:E3636))))))</f>
        <v> </v>
      </c>
      <c r="K3637" s="25" t="str">
        <f>IF(OR(E3637="",E3637="!!!",F3637="NEW"),"",INDEX(J$1:J3636,SUMPRODUCT(MAX(ROW(E$1:E3636)*(E3637=E$1:E3636)))))</f>
        <v> </v>
      </c>
      <c r="L3637" s="26"/>
    </row>
    <row r="3638" spans="1:12">
      <c r="A3638" s="20" t="s">
        <v>2006</v>
      </c>
      <c r="B3638" s="27" t="s">
        <v>1074</v>
      </c>
      <c r="C3638" s="27" t="s">
        <v>1120</v>
      </c>
      <c r="E3638" s="21">
        <f>IF(D3638="?OLD","!!!","")</f>
        <v/>
      </c>
      <c r="F3638" s="22" t="str">
        <f>IF(OR(E3638="",E3638="!!!"),"",IF(NOT(ISNA(VLOOKUP(E3638,E$1:E3637,1,FALSE()))),"OLD",IF(AND(E3638&lt;&gt;"",E3638&lt;&gt;"!!!"),"NEW","")))</f>
        <v> </v>
      </c>
      <c r="G3638" s="23" t="str">
        <f>IF(OR(E3638="",E3638="!!!"),"",IF(OR(J3638=0,AND(J3638=1,K3638=1),AND(J3638=1,I3638="SBJ"),AND(J3638=1,I3638=0)),"?IN_FOCUS",IF(J3638&lt;=2,"?ACTIVATED",IF(J3638&lt;&gt;"","?FAMILIAR",IF(F3638="NEW",IF(ISNA(VLOOKUP(E3638,#REF!,1,FALSE())),"?TYPE_IDENTIFIABLE","?REFERENTIAL"),"_")))))</f>
        <v> </v>
      </c>
      <c r="H3638" s="24" t="str">
        <f>IF(J3638&lt;&gt;1,"",IF(I3638="SBJ","CB","?"))</f>
        <v> </v>
      </c>
      <c r="I3638" s="25" t="str">
        <f>IF(OR(E3638="",E3638="!!!",F3638="NEW"),"",INDEX(B3637:B$2,-1+SUMPRODUCT(MAX(ROW(E3637:E$2)*(E3638=E3637:E$2)))))</f>
        <v> </v>
      </c>
      <c r="J3638" s="25" t="str">
        <f>IF(OR(E3638="",E3638="!!!",F3638="NEW"),"",COUNTBLANK(OFFSET(A$1,,,SUMPRODUCT(MAX(ROW(E$2:E3638)*(E3638=E$2:E3638)))))-COUNTBLANK(OFFSET(A$1,,,SUMPRODUCT(MAX(ROW(E$1:E3637)*(E2=E$1:E3637))))))</f>
        <v> </v>
      </c>
      <c r="K3638" s="25" t="str">
        <f>IF(OR(E3638="",E3638="!!!",F3638="NEW"),"",INDEX(J$1:J3637,SUMPRODUCT(MAX(ROW(E$1:E3637)*(E3638=E$1:E3637)))))</f>
        <v> </v>
      </c>
      <c r="L3638" s="26"/>
    </row>
    <row r="3639" spans="1:12">
      <c r="A3639" s="20" t="s">
        <v>2237</v>
      </c>
      <c r="E3639" s="21">
        <f>IF(D3639="?OLD","!!!","")</f>
        <v/>
      </c>
      <c r="F3639" s="22" t="str">
        <f>IF(OR(E3639="",E3639="!!!"),"",IF(NOT(ISNA(VLOOKUP(E3639,E$1:E3638,1,FALSE()))),"OLD",IF(AND(E3639&lt;&gt;"",E3639&lt;&gt;"!!!"),"NEW","")))</f>
        <v> </v>
      </c>
      <c r="G3639" s="23" t="str">
        <f>IF(OR(E3639="",E3639="!!!"),"",IF(OR(J3639=0,AND(J3639=1,K3639=1),AND(J3639=1,I3639="SBJ"),AND(J3639=1,I3639=0)),"?IN_FOCUS",IF(J3639&lt;=2,"?ACTIVATED",IF(J3639&lt;&gt;"","?FAMILIAR",IF(F3639="NEW",IF(ISNA(VLOOKUP(E3639,#REF!,1,FALSE())),"?TYPE_IDENTIFIABLE","?REFERENTIAL"),"_")))))</f>
        <v> </v>
      </c>
      <c r="H3639" s="24" t="str">
        <f>IF(J3639&lt;&gt;1,"",IF(I3639="SBJ","CB","?"))</f>
        <v> </v>
      </c>
      <c r="I3639" s="25" t="str">
        <f>IF(OR(E3639="",E3639="!!!",F3639="NEW"),"",INDEX(B3638:B$2,-1+SUMPRODUCT(MAX(ROW(E3638:E$2)*(E3639=E3638:E$2)))))</f>
        <v> </v>
      </c>
      <c r="J3639" s="25" t="str">
        <f>IF(OR(E3639="",E3639="!!!",F3639="NEW"),"",COUNTBLANK(OFFSET(A$1,,,SUMPRODUCT(MAX(ROW(E$2:E3639)*(E3639=E$2:E3639)))))-COUNTBLANK(OFFSET(A$1,,,SUMPRODUCT(MAX(ROW(E$1:E3638)*(E2=E$1:E3638))))))</f>
        <v> </v>
      </c>
      <c r="K3639" s="25" t="str">
        <f>IF(OR(E3639="",E3639="!!!",F3639="NEW"),"",INDEX(J$1:J3638,SUMPRODUCT(MAX(ROW(E$1:E3638)*(E3639=E$1:E3638)))))</f>
        <v> </v>
      </c>
      <c r="L3639" s="26"/>
    </row>
    <row r="3640" spans="1:12">
      <c r="A3640" s="20" t="s">
        <v>157</v>
      </c>
      <c r="E3640" s="21">
        <f>IF(D3640="?OLD","!!!","")</f>
        <v/>
      </c>
      <c r="F3640" s="22" t="str">
        <f>IF(OR(E3640="",E3640="!!!"),"",IF(NOT(ISNA(VLOOKUP(E3640,E$1:E3639,1,FALSE()))),"OLD",IF(AND(E3640&lt;&gt;"",E3640&lt;&gt;"!!!"),"NEW","")))</f>
        <v> </v>
      </c>
      <c r="G3640" s="23" t="str">
        <f>IF(OR(E3640="",E3640="!!!"),"",IF(OR(J3640=0,AND(J3640=1,K3640=1),AND(J3640=1,I3640="SBJ"),AND(J3640=1,I3640=0)),"?IN_FOCUS",IF(J3640&lt;=2,"?ACTIVATED",IF(J3640&lt;&gt;"","?FAMILIAR",IF(F3640="NEW",IF(ISNA(VLOOKUP(E3640,#REF!,1,FALSE())),"?TYPE_IDENTIFIABLE","?REFERENTIAL"),"_")))))</f>
        <v> </v>
      </c>
      <c r="H3640" s="24" t="str">
        <f>IF(J3640&lt;&gt;1,"",IF(I3640="SBJ","CB","?"))</f>
        <v> </v>
      </c>
      <c r="I3640" s="25" t="str">
        <f>IF(OR(E3640="",E3640="!!!",F3640="NEW"),"",INDEX(B3639:B$2,-1+SUMPRODUCT(MAX(ROW(E3639:E$2)*(E3640=E3639:E$2)))))</f>
        <v> </v>
      </c>
      <c r="J3640" s="25" t="str">
        <f>IF(OR(E3640="",E3640="!!!",F3640="NEW"),"",COUNTBLANK(OFFSET(A$1,,,SUMPRODUCT(MAX(ROW(E$2:E3640)*(E3640=E$2:E3640)))))-COUNTBLANK(OFFSET(A$1,,,SUMPRODUCT(MAX(ROW(E$1:E3639)*(E2=E$1:E3639))))))</f>
        <v> </v>
      </c>
      <c r="K3640" s="25" t="str">
        <f>IF(OR(E3640="",E3640="!!!",F3640="NEW"),"",INDEX(J$1:J3639,SUMPRODUCT(MAX(ROW(E$1:E3639)*(E3640=E$1:E3639)))))</f>
        <v> </v>
      </c>
      <c r="L3640" s="26"/>
    </row>
    <row r="3641" spans="1:12">
      <c r="A3641" s="20" t="s">
        <v>1087</v>
      </c>
      <c r="E3641" s="21">
        <f>IF(D3641="?OLD","!!!","")</f>
        <v/>
      </c>
      <c r="F3641" s="22" t="str">
        <f>IF(OR(E3641="",E3641="!!!"),"",IF(NOT(ISNA(VLOOKUP(E3641,E$1:E3640,1,FALSE()))),"OLD",IF(AND(E3641&lt;&gt;"",E3641&lt;&gt;"!!!"),"NEW","")))</f>
        <v> </v>
      </c>
      <c r="G3641" s="23" t="str">
        <f>IF(OR(E3641="",E3641="!!!"),"",IF(OR(J3641=0,AND(J3641=1,K3641=1),AND(J3641=1,I3641="SBJ"),AND(J3641=1,I3641=0)),"?IN_FOCUS",IF(J3641&lt;=2,"?ACTIVATED",IF(J3641&lt;&gt;"","?FAMILIAR",IF(F3641="NEW",IF(ISNA(VLOOKUP(E3641,#REF!,1,FALSE())),"?TYPE_IDENTIFIABLE","?REFERENTIAL"),"_")))))</f>
        <v> </v>
      </c>
      <c r="H3641" s="24" t="str">
        <f>IF(J3641&lt;&gt;1,"",IF(I3641="SBJ","CB","?"))</f>
        <v> </v>
      </c>
      <c r="I3641" s="25" t="str">
        <f>IF(OR(E3641="",E3641="!!!",F3641="NEW"),"",INDEX(B3640:B$2,-1+SUMPRODUCT(MAX(ROW(E3640:E$2)*(E3641=E3640:E$2)))))</f>
        <v> </v>
      </c>
      <c r="J3641" s="25" t="str">
        <f>IF(OR(E3641="",E3641="!!!",F3641="NEW"),"",COUNTBLANK(OFFSET(A$1,,,SUMPRODUCT(MAX(ROW(E$2:E3641)*(E3641=E$2:E3641)))))-COUNTBLANK(OFFSET(A$1,,,SUMPRODUCT(MAX(ROW(E$1:E3640)*(E2=E$1:E3640))))))</f>
        <v> </v>
      </c>
      <c r="K3641" s="25" t="str">
        <f>IF(OR(E3641="",E3641="!!!",F3641="NEW"),"",INDEX(J$1:J3640,SUMPRODUCT(MAX(ROW(E$1:E3640)*(E3641=E$1:E3640)))))</f>
        <v> </v>
      </c>
      <c r="L3641" s="26"/>
    </row>
    <row r="3642" spans="1:12">
      <c r="A3642" s="20" t="s">
        <v>1100</v>
      </c>
      <c r="E3642" s="21">
        <f>IF(D3642="?OLD","!!!","")</f>
        <v/>
      </c>
      <c r="F3642" s="22" t="str">
        <f>IF(OR(E3642="",E3642="!!!"),"",IF(NOT(ISNA(VLOOKUP(E3642,E$1:E3641,1,FALSE()))),"OLD",IF(AND(E3642&lt;&gt;"",E3642&lt;&gt;"!!!"),"NEW","")))</f>
        <v> </v>
      </c>
      <c r="G3642" s="23" t="str">
        <f>IF(OR(E3642="",E3642="!!!"),"",IF(OR(J3642=0,AND(J3642=1,K3642=1),AND(J3642=1,I3642="SBJ"),AND(J3642=1,I3642=0)),"?IN_FOCUS",IF(J3642&lt;=2,"?ACTIVATED",IF(J3642&lt;&gt;"","?FAMILIAR",IF(F3642="NEW",IF(ISNA(VLOOKUP(E3642,#REF!,1,FALSE())),"?TYPE_IDENTIFIABLE","?REFERENTIAL"),"_")))))</f>
        <v> </v>
      </c>
      <c r="H3642" s="24" t="str">
        <f>IF(J3642&lt;&gt;1,"",IF(I3642="SBJ","CB","?"))</f>
        <v> </v>
      </c>
      <c r="I3642" s="25" t="str">
        <f>IF(OR(E3642="",E3642="!!!",F3642="NEW"),"",INDEX(B3641:B$2,-1+SUMPRODUCT(MAX(ROW(E3641:E$2)*(E3642=E3641:E$2)))))</f>
        <v> </v>
      </c>
      <c r="J3642" s="25" t="str">
        <f>IF(OR(E3642="",E3642="!!!",F3642="NEW"),"",COUNTBLANK(OFFSET(A$1,,,SUMPRODUCT(MAX(ROW(E$2:E3642)*(E3642=E$2:E3642)))))-COUNTBLANK(OFFSET(A$1,,,SUMPRODUCT(MAX(ROW(E$1:E3641)*(E2=E$1:E3641))))))</f>
        <v> </v>
      </c>
      <c r="K3642" s="25" t="str">
        <f>IF(OR(E3642="",E3642="!!!",F3642="NEW"),"",INDEX(J$1:J3641,SUMPRODUCT(MAX(ROW(E$1:E3641)*(E3642=E$1:E3641)))))</f>
        <v> </v>
      </c>
      <c r="L3642" s="26"/>
    </row>
    <row r="3643" spans="1:12">
      <c r="A3643" s="20" t="s">
        <v>2238</v>
      </c>
      <c r="E3643" s="21">
        <f>IF(D3643="?OLD","!!!","")</f>
        <v/>
      </c>
      <c r="F3643" s="22" t="str">
        <f>IF(OR(E3643="",E3643="!!!"),"",IF(NOT(ISNA(VLOOKUP(E3643,E$1:E3642,1,FALSE()))),"OLD",IF(AND(E3643&lt;&gt;"",E3643&lt;&gt;"!!!"),"NEW","")))</f>
        <v> </v>
      </c>
      <c r="G3643" s="23" t="str">
        <f>IF(OR(E3643="",E3643="!!!"),"",IF(OR(J3643=0,AND(J3643=1,K3643=1),AND(J3643=1,I3643="SBJ"),AND(J3643=1,I3643=0)),"?IN_FOCUS",IF(J3643&lt;=2,"?ACTIVATED",IF(J3643&lt;&gt;"","?FAMILIAR",IF(F3643="NEW",IF(ISNA(VLOOKUP(E3643,#REF!,1,FALSE())),"?TYPE_IDENTIFIABLE","?REFERENTIAL"),"_")))))</f>
        <v> </v>
      </c>
      <c r="H3643" s="24" t="str">
        <f>IF(J3643&lt;&gt;1,"",IF(I3643="SBJ","CB","?"))</f>
        <v> </v>
      </c>
      <c r="I3643" s="25" t="str">
        <f>IF(OR(E3643="",E3643="!!!",F3643="NEW"),"",INDEX(B3642:B$2,-1+SUMPRODUCT(MAX(ROW(E3642:E$2)*(E3643=E3642:E$2)))))</f>
        <v> </v>
      </c>
      <c r="J3643" s="25" t="str">
        <f>IF(OR(E3643="",E3643="!!!",F3643="NEW"),"",COUNTBLANK(OFFSET(A$1,,,SUMPRODUCT(MAX(ROW(E$2:E3643)*(E3643=E$2:E3643)))))-COUNTBLANK(OFFSET(A$1,,,SUMPRODUCT(MAX(ROW(E$1:E3642)*(E2=E$1:E3642))))))</f>
        <v> </v>
      </c>
      <c r="K3643" s="25" t="str">
        <f>IF(OR(E3643="",E3643="!!!",F3643="NEW"),"",INDEX(J$1:J3642,SUMPRODUCT(MAX(ROW(E$1:E3642)*(E3643=E$1:E3642)))))</f>
        <v> </v>
      </c>
      <c r="L3643" s="26"/>
    </row>
    <row r="3644" spans="1:12">
      <c r="A3644" s="20" t="s">
        <v>1087</v>
      </c>
      <c r="E3644" s="21">
        <f>IF(D3644="?OLD","!!!","")</f>
        <v/>
      </c>
      <c r="F3644" s="22" t="str">
        <f>IF(OR(E3644="",E3644="!!!"),"",IF(NOT(ISNA(VLOOKUP(E3644,E$1:E3643,1,FALSE()))),"OLD",IF(AND(E3644&lt;&gt;"",E3644&lt;&gt;"!!!"),"NEW","")))</f>
        <v> </v>
      </c>
      <c r="G3644" s="23" t="str">
        <f>IF(OR(E3644="",E3644="!!!"),"",IF(OR(J3644=0,AND(J3644=1,K3644=1),AND(J3644=1,I3644="SBJ"),AND(J3644=1,I3644=0)),"?IN_FOCUS",IF(J3644&lt;=2,"?ACTIVATED",IF(J3644&lt;&gt;"","?FAMILIAR",IF(F3644="NEW",IF(ISNA(VLOOKUP(E3644,#REF!,1,FALSE())),"?TYPE_IDENTIFIABLE","?REFERENTIAL"),"_")))))</f>
        <v> </v>
      </c>
      <c r="H3644" s="24" t="str">
        <f>IF(J3644&lt;&gt;1,"",IF(I3644="SBJ","CB","?"))</f>
        <v> </v>
      </c>
      <c r="I3644" s="25" t="str">
        <f>IF(OR(E3644="",E3644="!!!",F3644="NEW"),"",INDEX(B3643:B$2,-1+SUMPRODUCT(MAX(ROW(E3643:E$2)*(E3644=E3643:E$2)))))</f>
        <v> </v>
      </c>
      <c r="J3644" s="25" t="str">
        <f>IF(OR(E3644="",E3644="!!!",F3644="NEW"),"",COUNTBLANK(OFFSET(A$1,,,SUMPRODUCT(MAX(ROW(E$2:E3644)*(E3644=E$2:E3644)))))-COUNTBLANK(OFFSET(A$1,,,SUMPRODUCT(MAX(ROW(E$1:E3643)*(E2=E$1:E3643))))))</f>
        <v> </v>
      </c>
      <c r="K3644" s="25" t="str">
        <f>IF(OR(E3644="",E3644="!!!",F3644="NEW"),"",INDEX(J$1:J3643,SUMPRODUCT(MAX(ROW(E$1:E3643)*(E3644=E$1:E3643)))))</f>
        <v> </v>
      </c>
      <c r="L3644" s="26"/>
    </row>
    <row r="3645" spans="1:12">
      <c r="A3645" s="20" t="s">
        <v>1149</v>
      </c>
      <c r="E3645" s="21">
        <f>IF(D3645="?OLD","!!!","")</f>
        <v/>
      </c>
      <c r="F3645" s="22" t="str">
        <f>IF(OR(E3645="",E3645="!!!"),"",IF(NOT(ISNA(VLOOKUP(E3645,E$1:E3644,1,FALSE()))),"OLD",IF(AND(E3645&lt;&gt;"",E3645&lt;&gt;"!!!"),"NEW","")))</f>
        <v> </v>
      </c>
      <c r="G3645" s="23" t="str">
        <f>IF(OR(E3645="",E3645="!!!"),"",IF(OR(J3645=0,AND(J3645=1,K3645=1),AND(J3645=1,I3645="SBJ"),AND(J3645=1,I3645=0)),"?IN_FOCUS",IF(J3645&lt;=2,"?ACTIVATED",IF(J3645&lt;&gt;"","?FAMILIAR",IF(F3645="NEW",IF(ISNA(VLOOKUP(E3645,#REF!,1,FALSE())),"?TYPE_IDENTIFIABLE","?REFERENTIAL"),"_")))))</f>
        <v> </v>
      </c>
      <c r="H3645" s="24" t="str">
        <f>IF(J3645&lt;&gt;1,"",IF(I3645="SBJ","CB","?"))</f>
        <v> </v>
      </c>
      <c r="I3645" s="25" t="str">
        <f>IF(OR(E3645="",E3645="!!!",F3645="NEW"),"",INDEX(B3644:B$2,-1+SUMPRODUCT(MAX(ROW(E3644:E$2)*(E3645=E3644:E$2)))))</f>
        <v> </v>
      </c>
      <c r="J3645" s="25" t="str">
        <f>IF(OR(E3645="",E3645="!!!",F3645="NEW"),"",COUNTBLANK(OFFSET(A$1,,,SUMPRODUCT(MAX(ROW(E$2:E3645)*(E3645=E$2:E3645)))))-COUNTBLANK(OFFSET(A$1,,,SUMPRODUCT(MAX(ROW(E$1:E3644)*(E2=E$1:E3644))))))</f>
        <v> </v>
      </c>
      <c r="K3645" s="25" t="str">
        <f>IF(OR(E3645="",E3645="!!!",F3645="NEW"),"",INDEX(J$1:J3644,SUMPRODUCT(MAX(ROW(E$1:E3644)*(E3645=E$1:E3644)))))</f>
        <v> </v>
      </c>
      <c r="L3645" s="26"/>
    </row>
    <row r="3646" spans="1:12">
      <c r="A3646" s="20" t="s">
        <v>1167</v>
      </c>
      <c r="B3646" s="27" t="s">
        <v>1133</v>
      </c>
      <c r="C3646" s="27" t="s">
        <v>1068</v>
      </c>
      <c r="D3646" s="27" t="s">
        <v>1069</v>
      </c>
      <c r="E3646" s="21">
        <f>IF(D3646="?OLD","!!!","")</f>
        <v/>
      </c>
      <c r="F3646" s="22" t="str">
        <f>IF(OR(E3646="",E3646="!!!"),"",IF(NOT(ISNA(VLOOKUP(E3646,E$1:E3645,1,FALSE()))),"OLD",IF(AND(E3646&lt;&gt;"",E3646&lt;&gt;"!!!"),"NEW","")))</f>
        <v> </v>
      </c>
      <c r="G3646" s="23" t="str">
        <f>IF(OR(E3646="",E3646="!!!"),"",IF(OR(J3646=0,AND(J3646=1,K3646=1),AND(J3646=1,I3646="SBJ"),AND(J3646=1,I3646=0)),"?IN_FOCUS",IF(J3646&lt;=2,"?ACTIVATED",IF(J3646&lt;&gt;"","?FAMILIAR",IF(F3646="NEW",IF(ISNA(VLOOKUP(E3646,#REF!,1,FALSE())),"?TYPE_IDENTIFIABLE","?REFERENTIAL"),"_")))))</f>
        <v> </v>
      </c>
      <c r="H3646" s="24" t="str">
        <f>IF(J3646&lt;&gt;1,"",IF(I3646="SBJ","CB","?"))</f>
        <v> </v>
      </c>
      <c r="I3646" s="25" t="str">
        <f>IF(OR(E3646="",E3646="!!!",F3646="NEW"),"",INDEX(B3645:B$2,-1+SUMPRODUCT(MAX(ROW(E3645:E$2)*(E3646=E3645:E$2)))))</f>
        <v> </v>
      </c>
      <c r="J3646" s="25" t="str">
        <f>IF(OR(E3646="",E3646="!!!",F3646="NEW"),"",COUNTBLANK(OFFSET(A$1,,,SUMPRODUCT(MAX(ROW(E$2:E3646)*(E3646=E$2:E3646)))))-COUNTBLANK(OFFSET(A$1,,,SUMPRODUCT(MAX(ROW(E$1:E3645)*(E2=E$1:E3645))))))</f>
        <v> </v>
      </c>
      <c r="K3646" s="25" t="str">
        <f>IF(OR(E3646="",E3646="!!!",F3646="NEW"),"",INDEX(J$1:J3645,SUMPRODUCT(MAX(ROW(E$1:E3645)*(E3646=E$1:E3645)))))</f>
        <v> </v>
      </c>
      <c r="L3646" s="26"/>
    </row>
    <row r="3647" spans="1:12">
      <c r="A3647" s="20" t="s">
        <v>1971</v>
      </c>
      <c r="E3647" s="21">
        <f>IF(D3647="?OLD","!!!","")</f>
        <v/>
      </c>
      <c r="F3647" s="22" t="str">
        <f>IF(OR(E3647="",E3647="!!!"),"",IF(NOT(ISNA(VLOOKUP(E3647,E$1:E3646,1,FALSE()))),"OLD",IF(AND(E3647&lt;&gt;"",E3647&lt;&gt;"!!!"),"NEW","")))</f>
        <v> </v>
      </c>
      <c r="G3647" s="23" t="str">
        <f>IF(OR(E3647="",E3647="!!!"),"",IF(OR(J3647=0,AND(J3647=1,K3647=1),AND(J3647=1,I3647="SBJ"),AND(J3647=1,I3647=0)),"?IN_FOCUS",IF(J3647&lt;=2,"?ACTIVATED",IF(J3647&lt;&gt;"","?FAMILIAR",IF(F3647="NEW",IF(ISNA(VLOOKUP(E3647,#REF!,1,FALSE())),"?TYPE_IDENTIFIABLE","?REFERENTIAL"),"_")))))</f>
        <v> </v>
      </c>
      <c r="H3647" s="24" t="str">
        <f>IF(J3647&lt;&gt;1,"",IF(I3647="SBJ","CB","?"))</f>
        <v> </v>
      </c>
      <c r="I3647" s="25" t="str">
        <f>IF(OR(E3647="",E3647="!!!",F3647="NEW"),"",INDEX(B3646:B$2,-1+SUMPRODUCT(MAX(ROW(E3646:E$2)*(E3647=E3646:E$2)))))</f>
        <v> </v>
      </c>
      <c r="J3647" s="25" t="str">
        <f>IF(OR(E3647="",E3647="!!!",F3647="NEW"),"",COUNTBLANK(OFFSET(A$1,,,SUMPRODUCT(MAX(ROW(E$2:E3647)*(E3647=E$2:E3647)))))-COUNTBLANK(OFFSET(A$1,,,SUMPRODUCT(MAX(ROW(E$1:E3646)*(E2=E$1:E3646))))))</f>
        <v> </v>
      </c>
      <c r="K3647" s="25" t="str">
        <f>IF(OR(E3647="",E3647="!!!",F3647="NEW"),"",INDEX(J$1:J3646,SUMPRODUCT(MAX(ROW(E$1:E3646)*(E3647=E$1:E3646)))))</f>
        <v> </v>
      </c>
      <c r="L3647" s="26"/>
    </row>
    <row r="3648" spans="1:12">
      <c r="A3648" s="20" t="s">
        <v>2239</v>
      </c>
      <c r="E3648" s="21">
        <f>IF(D3648="?OLD","!!!","")</f>
        <v/>
      </c>
      <c r="F3648" s="22" t="str">
        <f>IF(OR(E3648="",E3648="!!!"),"",IF(NOT(ISNA(VLOOKUP(E3648,E$1:E3647,1,FALSE()))),"OLD",IF(AND(E3648&lt;&gt;"",E3648&lt;&gt;"!!!"),"NEW","")))</f>
        <v> </v>
      </c>
      <c r="G3648" s="23" t="str">
        <f>IF(OR(E3648="",E3648="!!!"),"",IF(OR(J3648=0,AND(J3648=1,K3648=1),AND(J3648=1,I3648="SBJ"),AND(J3648=1,I3648=0)),"?IN_FOCUS",IF(J3648&lt;=2,"?ACTIVATED",IF(J3648&lt;&gt;"","?FAMILIAR",IF(F3648="NEW",IF(ISNA(VLOOKUP(E3648,#REF!,1,FALSE())),"?TYPE_IDENTIFIABLE","?REFERENTIAL"),"_")))))</f>
        <v> </v>
      </c>
      <c r="H3648" s="24" t="str">
        <f>IF(J3648&lt;&gt;1,"",IF(I3648="SBJ","CB","?"))</f>
        <v> </v>
      </c>
      <c r="I3648" s="25" t="str">
        <f>IF(OR(E3648="",E3648="!!!",F3648="NEW"),"",INDEX(B3647:B$2,-1+SUMPRODUCT(MAX(ROW(E3647:E$2)*(E3648=E3647:E$2)))))</f>
        <v> </v>
      </c>
      <c r="J3648" s="25" t="str">
        <f>IF(OR(E3648="",E3648="!!!",F3648="NEW"),"",COUNTBLANK(OFFSET(A$1,,,SUMPRODUCT(MAX(ROW(E$2:E3648)*(E3648=E$2:E3648)))))-COUNTBLANK(OFFSET(A$1,,,SUMPRODUCT(MAX(ROW(E$1:E3647)*(E2=E$1:E3647))))))</f>
        <v> </v>
      </c>
      <c r="K3648" s="25" t="str">
        <f>IF(OR(E3648="",E3648="!!!",F3648="NEW"),"",INDEX(J$1:J3647,SUMPRODUCT(MAX(ROW(E$1:E3647)*(E3648=E$1:E3647)))))</f>
        <v> </v>
      </c>
      <c r="L3648" s="26"/>
    </row>
    <row r="3649" spans="1:12">
      <c r="A3649" s="20" t="s">
        <v>1087</v>
      </c>
      <c r="E3649" s="21">
        <f>IF(D3649="?OLD","!!!","")</f>
        <v/>
      </c>
      <c r="F3649" s="22" t="str">
        <f>IF(OR(E3649="",E3649="!!!"),"",IF(NOT(ISNA(VLOOKUP(E3649,E$1:E3648,1,FALSE()))),"OLD",IF(AND(E3649&lt;&gt;"",E3649&lt;&gt;"!!!"),"NEW","")))</f>
        <v> </v>
      </c>
      <c r="G3649" s="23" t="str">
        <f>IF(OR(E3649="",E3649="!!!"),"",IF(OR(J3649=0,AND(J3649=1,K3649=1),AND(J3649=1,I3649="SBJ"),AND(J3649=1,I3649=0)),"?IN_FOCUS",IF(J3649&lt;=2,"?ACTIVATED",IF(J3649&lt;&gt;"","?FAMILIAR",IF(F3649="NEW",IF(ISNA(VLOOKUP(E3649,#REF!,1,FALSE())),"?TYPE_IDENTIFIABLE","?REFERENTIAL"),"_")))))</f>
        <v> </v>
      </c>
      <c r="H3649" s="24" t="str">
        <f>IF(J3649&lt;&gt;1,"",IF(I3649="SBJ","CB","?"))</f>
        <v> </v>
      </c>
      <c r="I3649" s="25" t="str">
        <f>IF(OR(E3649="",E3649="!!!",F3649="NEW"),"",INDEX(B3648:B$2,-1+SUMPRODUCT(MAX(ROW(E3648:E$2)*(E3649=E3648:E$2)))))</f>
        <v> </v>
      </c>
      <c r="J3649" s="25" t="str">
        <f>IF(OR(E3649="",E3649="!!!",F3649="NEW"),"",COUNTBLANK(OFFSET(A$1,,,SUMPRODUCT(MAX(ROW(E$2:E3649)*(E3649=E$2:E3649)))))-COUNTBLANK(OFFSET(A$1,,,SUMPRODUCT(MAX(ROW(E$1:E3648)*(E2=E$1:E3648))))))</f>
        <v> </v>
      </c>
      <c r="K3649" s="25" t="str">
        <f>IF(OR(E3649="",E3649="!!!",F3649="NEW"),"",INDEX(J$1:J3648,SUMPRODUCT(MAX(ROW(E$1:E3648)*(E3649=E$1:E3648)))))</f>
        <v> </v>
      </c>
      <c r="L3649" s="26"/>
    </row>
    <row r="3650" spans="1:12">
      <c r="A3650" s="20" t="s">
        <v>1191</v>
      </c>
      <c r="E3650" s="21">
        <f>IF(D3650="?OLD","!!!","")</f>
        <v/>
      </c>
      <c r="F3650" s="22" t="str">
        <f>IF(OR(E3650="",E3650="!!!"),"",IF(NOT(ISNA(VLOOKUP(E3650,E$1:E3649,1,FALSE()))),"OLD",IF(AND(E3650&lt;&gt;"",E3650&lt;&gt;"!!!"),"NEW","")))</f>
        <v> </v>
      </c>
      <c r="G3650" s="23" t="str">
        <f>IF(OR(E3650="",E3650="!!!"),"",IF(OR(J3650=0,AND(J3650=1,K3650=1),AND(J3650=1,I3650="SBJ"),AND(J3650=1,I3650=0)),"?IN_FOCUS",IF(J3650&lt;=2,"?ACTIVATED",IF(J3650&lt;&gt;"","?FAMILIAR",IF(F3650="NEW",IF(ISNA(VLOOKUP(E3650,#REF!,1,FALSE())),"?TYPE_IDENTIFIABLE","?REFERENTIAL"),"_")))))</f>
        <v> </v>
      </c>
      <c r="H3650" s="24" t="str">
        <f>IF(J3650&lt;&gt;1,"",IF(I3650="SBJ","CB","?"))</f>
        <v> </v>
      </c>
      <c r="I3650" s="25" t="str">
        <f>IF(OR(E3650="",E3650="!!!",F3650="NEW"),"",INDEX(B3649:B$2,-1+SUMPRODUCT(MAX(ROW(E3649:E$2)*(E3650=E3649:E$2)))))</f>
        <v> </v>
      </c>
      <c r="J3650" s="25" t="str">
        <f>IF(OR(E3650="",E3650="!!!",F3650="NEW"),"",COUNTBLANK(OFFSET(A$1,,,SUMPRODUCT(MAX(ROW(E$2:E3650)*(E3650=E$2:E3650)))))-COUNTBLANK(OFFSET(A$1,,,SUMPRODUCT(MAX(ROW(E$1:E3649)*(E2=E$1:E3649))))))</f>
        <v> </v>
      </c>
      <c r="K3650" s="25" t="str">
        <f>IF(OR(E3650="",E3650="!!!",F3650="NEW"),"",INDEX(J$1:J3649,SUMPRODUCT(MAX(ROW(E$1:E3649)*(E3650=E$1:E3649)))))</f>
        <v> </v>
      </c>
      <c r="L3650" s="26"/>
    </row>
    <row r="3651" spans="1:12">
      <c r="A3651" s="20" t="s">
        <v>1351</v>
      </c>
      <c r="B3651" s="27" t="s">
        <v>1095</v>
      </c>
      <c r="C3651" s="27" t="s">
        <v>1072</v>
      </c>
      <c r="E3651" s="21">
        <f>IF(D3651="?OLD","!!!","")</f>
        <v/>
      </c>
      <c r="F3651" s="22" t="str">
        <f>IF(OR(E3651="",E3651="!!!"),"",IF(NOT(ISNA(VLOOKUP(E3651,E$1:E3650,1,FALSE()))),"OLD",IF(AND(E3651&lt;&gt;"",E3651&lt;&gt;"!!!"),"NEW","")))</f>
        <v> </v>
      </c>
      <c r="G3651" s="23" t="str">
        <f>IF(OR(E3651="",E3651="!!!"),"",IF(OR(J3651=0,AND(J3651=1,K3651=1),AND(J3651=1,I3651="SBJ"),AND(J3651=1,I3651=0)),"?IN_FOCUS",IF(J3651&lt;=2,"?ACTIVATED",IF(J3651&lt;&gt;"","?FAMILIAR",IF(F3651="NEW",IF(ISNA(VLOOKUP(E3651,#REF!,1,FALSE())),"?TYPE_IDENTIFIABLE","?REFERENTIAL"),"_")))))</f>
        <v> </v>
      </c>
      <c r="H3651" s="24" t="str">
        <f>IF(J3651&lt;&gt;1,"",IF(I3651="SBJ","CB","?"))</f>
        <v> </v>
      </c>
      <c r="I3651" s="25" t="str">
        <f>IF(OR(E3651="",E3651="!!!",F3651="NEW"),"",INDEX(B3650:B$2,-1+SUMPRODUCT(MAX(ROW(E3650:E$2)*(E3651=E3650:E$2)))))</f>
        <v> </v>
      </c>
      <c r="J3651" s="25" t="str">
        <f>IF(OR(E3651="",E3651="!!!",F3651="NEW"),"",COUNTBLANK(OFFSET(A$1,,,SUMPRODUCT(MAX(ROW(E$2:E3651)*(E3651=E$2:E3651)))))-COUNTBLANK(OFFSET(A$1,,,SUMPRODUCT(MAX(ROW(E$1:E3650)*(E2=E$1:E3650))))))</f>
        <v> </v>
      </c>
      <c r="K3651" s="25" t="str">
        <f>IF(OR(E3651="",E3651="!!!",F3651="NEW"),"",INDEX(J$1:J3650,SUMPRODUCT(MAX(ROW(E$1:E3650)*(E3651=E$1:E3650)))))</f>
        <v> </v>
      </c>
      <c r="L3651" s="26"/>
    </row>
    <row r="3652" spans="1:12">
      <c r="A3652" s="20" t="s">
        <v>1198</v>
      </c>
      <c r="E3652" s="21">
        <f>IF(D3652="?OLD","!!!","")</f>
        <v/>
      </c>
      <c r="F3652" s="22" t="str">
        <f>IF(OR(E3652="",E3652="!!!"),"",IF(NOT(ISNA(VLOOKUP(E3652,E$1:E3651,1,FALSE()))),"OLD",IF(AND(E3652&lt;&gt;"",E3652&lt;&gt;"!!!"),"NEW","")))</f>
        <v> </v>
      </c>
      <c r="G3652" s="23" t="str">
        <f>IF(OR(E3652="",E3652="!!!"),"",IF(OR(J3652=0,AND(J3652=1,K3652=1),AND(J3652=1,I3652="SBJ"),AND(J3652=1,I3652=0)),"?IN_FOCUS",IF(J3652&lt;=2,"?ACTIVATED",IF(J3652&lt;&gt;"","?FAMILIAR",IF(F3652="NEW",IF(ISNA(VLOOKUP(E3652,#REF!,1,FALSE())),"?TYPE_IDENTIFIABLE","?REFERENTIAL"),"_")))))</f>
        <v> </v>
      </c>
      <c r="H3652" s="24" t="str">
        <f>IF(J3652&lt;&gt;1,"",IF(I3652="SBJ","CB","?"))</f>
        <v> </v>
      </c>
      <c r="I3652" s="25" t="str">
        <f>IF(OR(E3652="",E3652="!!!",F3652="NEW"),"",INDEX(B3651:B$2,-1+SUMPRODUCT(MAX(ROW(E3651:E$2)*(E3652=E3651:E$2)))))</f>
        <v> </v>
      </c>
      <c r="J3652" s="25" t="str">
        <f>IF(OR(E3652="",E3652="!!!",F3652="NEW"),"",COUNTBLANK(OFFSET(A$1,,,SUMPRODUCT(MAX(ROW(E$2:E3652)*(E3652=E$2:E3652)))))-COUNTBLANK(OFFSET(A$1,,,SUMPRODUCT(MAX(ROW(E$1:E3651)*(E2=E$1:E3651))))))</f>
        <v> </v>
      </c>
      <c r="K3652" s="25" t="str">
        <f>IF(OR(E3652="",E3652="!!!",F3652="NEW"),"",INDEX(J$1:J3651,SUMPRODUCT(MAX(ROW(E$1:E3651)*(E3652=E$1:E3651)))))</f>
        <v> </v>
      </c>
      <c r="L3652" s="26"/>
    </row>
    <row r="3653" spans="1:12">
      <c r="A3653" s="20" t="s">
        <v>1224</v>
      </c>
      <c r="E3653" s="21">
        <f>IF(D3653="?OLD","!!!","")</f>
        <v/>
      </c>
      <c r="F3653" s="22" t="str">
        <f>IF(OR(E3653="",E3653="!!!"),"",IF(NOT(ISNA(VLOOKUP(E3653,E$1:E3652,1,FALSE()))),"OLD",IF(AND(E3653&lt;&gt;"",E3653&lt;&gt;"!!!"),"NEW","")))</f>
        <v> </v>
      </c>
      <c r="G3653" s="23" t="str">
        <f>IF(OR(E3653="",E3653="!!!"),"",IF(OR(J3653=0,AND(J3653=1,K3653=1),AND(J3653=1,I3653="SBJ"),AND(J3653=1,I3653=0)),"?IN_FOCUS",IF(J3653&lt;=2,"?ACTIVATED",IF(J3653&lt;&gt;"","?FAMILIAR",IF(F3653="NEW",IF(ISNA(VLOOKUP(E3653,#REF!,1,FALSE())),"?TYPE_IDENTIFIABLE","?REFERENTIAL"),"_")))))</f>
        <v> </v>
      </c>
      <c r="H3653" s="24" t="str">
        <f>IF(J3653&lt;&gt;1,"",IF(I3653="SBJ","CB","?"))</f>
        <v> </v>
      </c>
      <c r="I3653" s="25" t="str">
        <f>IF(OR(E3653="",E3653="!!!",F3653="NEW"),"",INDEX(B3652:B$2,-1+SUMPRODUCT(MAX(ROW(E3652:E$2)*(E3653=E3652:E$2)))))</f>
        <v> </v>
      </c>
      <c r="J3653" s="25" t="str">
        <f>IF(OR(E3653="",E3653="!!!",F3653="NEW"),"",COUNTBLANK(OFFSET(A$1,,,SUMPRODUCT(MAX(ROW(E$2:E3653)*(E3653=E$2:E3653)))))-COUNTBLANK(OFFSET(A$1,,,SUMPRODUCT(MAX(ROW(E$1:E3652)*(E2=E$1:E3652))))))</f>
        <v> </v>
      </c>
      <c r="K3653" s="25" t="str">
        <f>IF(OR(E3653="",E3653="!!!",F3653="NEW"),"",INDEX(J$1:J3652,SUMPRODUCT(MAX(ROW(E$1:E3652)*(E3653=E$1:E3652)))))</f>
        <v> </v>
      </c>
      <c r="L3653" s="26"/>
    </row>
    <row r="3654" spans="1:12">
      <c r="A3654" s="20" t="s">
        <v>1113</v>
      </c>
      <c r="E3654" s="21">
        <f>IF(D3654="?OLD","!!!","")</f>
        <v/>
      </c>
      <c r="F3654" s="22" t="str">
        <f>IF(OR(E3654="",E3654="!!!"),"",IF(NOT(ISNA(VLOOKUP(E3654,E$1:E3653,1,FALSE()))),"OLD",IF(AND(E3654&lt;&gt;"",E3654&lt;&gt;"!!!"),"NEW","")))</f>
        <v> </v>
      </c>
      <c r="G3654" s="23" t="str">
        <f>IF(OR(E3654="",E3654="!!!"),"",IF(OR(J3654=0,AND(J3654=1,K3654=1),AND(J3654=1,I3654="SBJ"),AND(J3654=1,I3654=0)),"?IN_FOCUS",IF(J3654&lt;=2,"?ACTIVATED",IF(J3654&lt;&gt;"","?FAMILIAR",IF(F3654="NEW",IF(ISNA(VLOOKUP(E3654,#REF!,1,FALSE())),"?TYPE_IDENTIFIABLE","?REFERENTIAL"),"_")))))</f>
        <v> </v>
      </c>
      <c r="H3654" s="24" t="str">
        <f>IF(J3654&lt;&gt;1,"",IF(I3654="SBJ","CB","?"))</f>
        <v> </v>
      </c>
      <c r="I3654" s="25" t="str">
        <f>IF(OR(E3654="",E3654="!!!",F3654="NEW"),"",INDEX(B3653:B$2,-1+SUMPRODUCT(MAX(ROW(E3653:E$2)*(E3654=E3653:E$2)))))</f>
        <v> </v>
      </c>
      <c r="J3654" s="25" t="str">
        <f>IF(OR(E3654="",E3654="!!!",F3654="NEW"),"",COUNTBLANK(OFFSET(A$1,,,SUMPRODUCT(MAX(ROW(E$2:E3654)*(E3654=E$2:E3654)))))-COUNTBLANK(OFFSET(A$1,,,SUMPRODUCT(MAX(ROW(E$1:E3653)*(E2=E$1:E3653))))))</f>
        <v> </v>
      </c>
      <c r="K3654" s="25" t="str">
        <f>IF(OR(E3654="",E3654="!!!",F3654="NEW"),"",INDEX(J$1:J3653,SUMPRODUCT(MAX(ROW(E$1:E3653)*(E3654=E$1:E3653)))))</f>
        <v> </v>
      </c>
      <c r="L3654" s="26"/>
    </row>
    <row r="3655" spans="1:12">
      <c r="A3655" s="20" t="s">
        <v>2240</v>
      </c>
      <c r="E3655" s="21">
        <f>IF(D3655="?OLD","!!!","")</f>
        <v/>
      </c>
      <c r="F3655" s="22" t="str">
        <f>IF(OR(E3655="",E3655="!!!"),"",IF(NOT(ISNA(VLOOKUP(E3655,E$1:E3654,1,FALSE()))),"OLD",IF(AND(E3655&lt;&gt;"",E3655&lt;&gt;"!!!"),"NEW","")))</f>
        <v> </v>
      </c>
      <c r="G3655" s="23" t="str">
        <f>IF(OR(E3655="",E3655="!!!"),"",IF(OR(J3655=0,AND(J3655=1,K3655=1),AND(J3655=1,I3655="SBJ"),AND(J3655=1,I3655=0)),"?IN_FOCUS",IF(J3655&lt;=2,"?ACTIVATED",IF(J3655&lt;&gt;"","?FAMILIAR",IF(F3655="NEW",IF(ISNA(VLOOKUP(E3655,#REF!,1,FALSE())),"?TYPE_IDENTIFIABLE","?REFERENTIAL"),"_")))))</f>
        <v> </v>
      </c>
      <c r="H3655" s="24" t="str">
        <f>IF(J3655&lt;&gt;1,"",IF(I3655="SBJ","CB","?"))</f>
        <v> </v>
      </c>
      <c r="I3655" s="25" t="str">
        <f>IF(OR(E3655="",E3655="!!!",F3655="NEW"),"",INDEX(B3654:B$2,-1+SUMPRODUCT(MAX(ROW(E3654:E$2)*(E3655=E3654:E$2)))))</f>
        <v> </v>
      </c>
      <c r="J3655" s="25" t="str">
        <f>IF(OR(E3655="",E3655="!!!",F3655="NEW"),"",COUNTBLANK(OFFSET(A$1,,,SUMPRODUCT(MAX(ROW(E$2:E3655)*(E3655=E$2:E3655)))))-COUNTBLANK(OFFSET(A$1,,,SUMPRODUCT(MAX(ROW(E$1:E3654)*(E2=E$1:E3654))))))</f>
        <v> </v>
      </c>
      <c r="K3655" s="25" t="str">
        <f>IF(OR(E3655="",E3655="!!!",F3655="NEW"),"",INDEX(J$1:J3654,SUMPRODUCT(MAX(ROW(E$1:E3654)*(E3655=E$1:E3654)))))</f>
        <v> </v>
      </c>
      <c r="L3655" s="26"/>
    </row>
    <row r="3656" spans="1:12">
      <c r="A3656" s="20" t="s">
        <v>2233</v>
      </c>
      <c r="B3656" s="27" t="s">
        <v>1074</v>
      </c>
      <c r="C3656" s="27" t="s">
        <v>1086</v>
      </c>
      <c r="D3656" s="27" t="s">
        <v>1069</v>
      </c>
      <c r="E3656" s="21">
        <f>IF(D3656="?OLD","!!!","")</f>
        <v/>
      </c>
      <c r="F3656" s="22" t="str">
        <f>IF(OR(E3656="",E3656="!!!"),"",IF(NOT(ISNA(VLOOKUP(E3656,E$1:E3655,1,FALSE()))),"OLD",IF(AND(E3656&lt;&gt;"",E3656&lt;&gt;"!!!"),"NEW","")))</f>
        <v> </v>
      </c>
      <c r="G3656" s="23" t="str">
        <f>IF(OR(E3656="",E3656="!!!"),"",IF(OR(J3656=0,AND(J3656=1,K3656=1),AND(J3656=1,I3656="SBJ"),AND(J3656=1,I3656=0)),"?IN_FOCUS",IF(J3656&lt;=2,"?ACTIVATED",IF(J3656&lt;&gt;"","?FAMILIAR",IF(F3656="NEW",IF(ISNA(VLOOKUP(E3656,#REF!,1,FALSE())),"?TYPE_IDENTIFIABLE","?REFERENTIAL"),"_")))))</f>
        <v> </v>
      </c>
      <c r="H3656" s="24" t="str">
        <f>IF(J3656&lt;&gt;1,"",IF(I3656="SBJ","CB","?"))</f>
        <v> </v>
      </c>
      <c r="I3656" s="25" t="str">
        <f>IF(OR(E3656="",E3656="!!!",F3656="NEW"),"",INDEX(B3655:B$2,-1+SUMPRODUCT(MAX(ROW(E3655:E$2)*(E3656=E3655:E$2)))))</f>
        <v> </v>
      </c>
      <c r="J3656" s="25" t="str">
        <f>IF(OR(E3656="",E3656="!!!",F3656="NEW"),"",COUNTBLANK(OFFSET(A$1,,,SUMPRODUCT(MAX(ROW(E$2:E3656)*(E3656=E$2:E3656)))))-COUNTBLANK(OFFSET(A$1,,,SUMPRODUCT(MAX(ROW(E$1:E3655)*(E2=E$1:E3655))))))</f>
        <v> </v>
      </c>
      <c r="K3656" s="25" t="str">
        <f>IF(OR(E3656="",E3656="!!!",F3656="NEW"),"",INDEX(J$1:J3655,SUMPRODUCT(MAX(ROW(E$1:E3655)*(E3656=E$1:E3655)))))</f>
        <v> </v>
      </c>
      <c r="L3656" s="26"/>
    </row>
    <row r="3657" spans="1:12">
      <c r="A3657" s="20" t="s">
        <v>1080</v>
      </c>
      <c r="E3657" s="21">
        <f>IF(D3657="?OLD","!!!","")</f>
        <v/>
      </c>
      <c r="F3657" s="22" t="str">
        <f>IF(OR(E3657="",E3657="!!!"),"",IF(NOT(ISNA(VLOOKUP(E3657,E$1:E3656,1,FALSE()))),"OLD",IF(AND(E3657&lt;&gt;"",E3657&lt;&gt;"!!!"),"NEW","")))</f>
        <v> </v>
      </c>
      <c r="G3657" s="23" t="str">
        <f>IF(OR(E3657="",E3657="!!!"),"",IF(OR(J3657=0,AND(J3657=1,K3657=1),AND(J3657=1,I3657="SBJ"),AND(J3657=1,I3657=0)),"?IN_FOCUS",IF(J3657&lt;=2,"?ACTIVATED",IF(J3657&lt;&gt;"","?FAMILIAR",IF(F3657="NEW",IF(ISNA(VLOOKUP(E3657,#REF!,1,FALSE())),"?TYPE_IDENTIFIABLE","?REFERENTIAL"),"_")))))</f>
        <v> </v>
      </c>
      <c r="H3657" s="24" t="str">
        <f>IF(J3657&lt;&gt;1,"",IF(I3657="SBJ","CB","?"))</f>
        <v> </v>
      </c>
      <c r="I3657" s="25" t="str">
        <f>IF(OR(E3657="",E3657="!!!",F3657="NEW"),"",INDEX(B3656:B$2,-1+SUMPRODUCT(MAX(ROW(E3656:E$2)*(E3657=E3656:E$2)))))</f>
        <v> </v>
      </c>
      <c r="J3657" s="25" t="str">
        <f>IF(OR(E3657="",E3657="!!!",F3657="NEW"),"",COUNTBLANK(OFFSET(A$1,,,SUMPRODUCT(MAX(ROW(E$2:E3657)*(E3657=E$2:E3657)))))-COUNTBLANK(OFFSET(A$1,,,SUMPRODUCT(MAX(ROW(E$1:E3656)*(E2=E$1:E3656))))))</f>
        <v> </v>
      </c>
      <c r="K3657" s="25" t="str">
        <f>IF(OR(E3657="",E3657="!!!",F3657="NEW"),"",INDEX(J$1:J3656,SUMPRODUCT(MAX(ROW(E$1:E3656)*(E3657=E$1:E3656)))))</f>
        <v> </v>
      </c>
      <c r="L3657" s="26"/>
    </row>
    <row r="3658" spans="1:12">
      <c r="A3658" s="20"/>
    </row>
    <row r="3659" spans="1:12">
      <c r="A3659" s="20" t="s">
        <v>2241</v>
      </c>
    </row>
    <row r="3660" spans="1:12">
      <c r="A3660" s="20" t="s">
        <v>1448</v>
      </c>
      <c r="E3660" s="21">
        <f>IF(D3660="?OLD","!!!","")</f>
        <v/>
      </c>
      <c r="F3660" s="22" t="str">
        <f>IF(OR(E3660="",E3660="!!!"),"",IF(NOT(ISNA(VLOOKUP(E3660,E$1:E3659,1,FALSE()))),"OLD",IF(AND(E3660&lt;&gt;"",E3660&lt;&gt;"!!!"),"NEW","")))</f>
        <v> </v>
      </c>
      <c r="G3660" s="23" t="str">
        <f>IF(OR(E3660="",E3660="!!!"),"",IF(OR(J3660=0,AND(J3660=1,K3660=1),AND(J3660=1,I3660="SBJ"),AND(J3660=1,I3660=0)),"?IN_FOCUS",IF(J3660&lt;=2,"?ACTIVATED",IF(J3660&lt;&gt;"","?FAMILIAR",IF(F3660="NEW",IF(ISNA(VLOOKUP(E3660,#REF!,1,FALSE())),"?TYPE_IDENTIFIABLE","?REFERENTIAL"),"_")))))</f>
        <v> </v>
      </c>
      <c r="H3660" s="24" t="str">
        <f>IF(J3660&lt;&gt;1,"",IF(I3660="SBJ","CB","?"))</f>
        <v> </v>
      </c>
      <c r="I3660" s="25" t="str">
        <f>IF(OR(E3660="",E3660="!!!",F3660="NEW"),"",INDEX(B3659:B$2,-1+SUMPRODUCT(MAX(ROW(E3659:E$2)*(E3660=E3659:E$2)))))</f>
        <v> </v>
      </c>
      <c r="J3660" s="25" t="str">
        <f>IF(OR(E3660="",E3660="!!!",F3660="NEW"),"",COUNTBLANK(OFFSET(A$1,,,SUMPRODUCT(MAX(ROW(E$2:E3660)*(E3660=E$2:E3660)))))-COUNTBLANK(OFFSET(A$1,,,SUMPRODUCT(MAX(ROW(E$1:E3659)*(E2=E$1:E3659))))))</f>
        <v> </v>
      </c>
      <c r="K3660" s="25" t="str">
        <f>IF(OR(E3660="",E3660="!!!",F3660="NEW"),"",INDEX(J$1:J3659,SUMPRODUCT(MAX(ROW(E$1:E3659)*(E3660=E$1:E3659)))))</f>
        <v> </v>
      </c>
      <c r="L3660" s="26"/>
    </row>
    <row r="3661" spans="1:12">
      <c r="A3661" s="20" t="s">
        <v>1782</v>
      </c>
      <c r="E3661" s="21">
        <f>IF(D3661="?OLD","!!!","")</f>
        <v/>
      </c>
      <c r="F3661" s="22" t="str">
        <f>IF(OR(E3661="",E3661="!!!"),"",IF(NOT(ISNA(VLOOKUP(E3661,E$1:E3660,1,FALSE()))),"OLD",IF(AND(E3661&lt;&gt;"",E3661&lt;&gt;"!!!"),"NEW","")))</f>
        <v> </v>
      </c>
      <c r="G3661" s="23" t="str">
        <f>IF(OR(E3661="",E3661="!!!"),"",IF(OR(J3661=0,AND(J3661=1,K3661=1),AND(J3661=1,I3661="SBJ"),AND(J3661=1,I3661=0)),"?IN_FOCUS",IF(J3661&lt;=2,"?ACTIVATED",IF(J3661&lt;&gt;"","?FAMILIAR",IF(F3661="NEW",IF(ISNA(VLOOKUP(E3661,#REF!,1,FALSE())),"?TYPE_IDENTIFIABLE","?REFERENTIAL"),"_")))))</f>
        <v> </v>
      </c>
      <c r="H3661" s="24" t="str">
        <f>IF(J3661&lt;&gt;1,"",IF(I3661="SBJ","CB","?"))</f>
        <v> </v>
      </c>
      <c r="I3661" s="25" t="str">
        <f>IF(OR(E3661="",E3661="!!!",F3661="NEW"),"",INDEX(B3660:B$2,-1+SUMPRODUCT(MAX(ROW(E3660:E$2)*(E3661=E3660:E$2)))))</f>
        <v> </v>
      </c>
      <c r="J3661" s="25" t="str">
        <f>IF(OR(E3661="",E3661="!!!",F3661="NEW"),"",COUNTBLANK(OFFSET(A$1,,,SUMPRODUCT(MAX(ROW(E$2:E3661)*(E3661=E$2:E3661)))))-COUNTBLANK(OFFSET(A$1,,,SUMPRODUCT(MAX(ROW(E$1:E3660)*(E2=E$1:E3660))))))</f>
        <v> </v>
      </c>
      <c r="K3661" s="25" t="str">
        <f>IF(OR(E3661="",E3661="!!!",F3661="NEW"),"",INDEX(J$1:J3660,SUMPRODUCT(MAX(ROW(E$1:E3660)*(E3661=E$1:E3660)))))</f>
        <v> </v>
      </c>
      <c r="L3661" s="26"/>
    </row>
    <row r="3662" spans="1:12">
      <c r="A3662" s="20" t="s">
        <v>2242</v>
      </c>
      <c r="B3662" s="27" t="s">
        <v>1067</v>
      </c>
      <c r="C3662" s="27" t="s">
        <v>1086</v>
      </c>
      <c r="D3662" s="27" t="s">
        <v>1069</v>
      </c>
      <c r="E3662" s="21">
        <f>IF(D3662="?OLD","!!!","")</f>
        <v/>
      </c>
      <c r="F3662" s="22" t="str">
        <f>IF(OR(E3662="",E3662="!!!"),"",IF(NOT(ISNA(VLOOKUP(E3662,E$1:E3661,1,FALSE()))),"OLD",IF(AND(E3662&lt;&gt;"",E3662&lt;&gt;"!!!"),"NEW","")))</f>
        <v> </v>
      </c>
      <c r="G3662" s="23" t="str">
        <f>IF(OR(E3662="",E3662="!!!"),"",IF(OR(J3662=0,AND(J3662=1,K3662=1),AND(J3662=1,I3662="SBJ"),AND(J3662=1,I3662=0)),"?IN_FOCUS",IF(J3662&lt;=2,"?ACTIVATED",IF(J3662&lt;&gt;"","?FAMILIAR",IF(F3662="NEW",IF(ISNA(VLOOKUP(E3662,#REF!,1,FALSE())),"?TYPE_IDENTIFIABLE","?REFERENTIAL"),"_")))))</f>
        <v> </v>
      </c>
      <c r="H3662" s="24" t="str">
        <f>IF(J3662&lt;&gt;1,"",IF(I3662="SBJ","CB","?"))</f>
        <v> </v>
      </c>
      <c r="I3662" s="25" t="str">
        <f>IF(OR(E3662="",E3662="!!!",F3662="NEW"),"",INDEX(B3661:B$2,-1+SUMPRODUCT(MAX(ROW(E3661:E$2)*(E3662=E3661:E$2)))))</f>
        <v> </v>
      </c>
      <c r="J3662" s="25" t="str">
        <f>IF(OR(E3662="",E3662="!!!",F3662="NEW"),"",COUNTBLANK(OFFSET(A$1,,,SUMPRODUCT(MAX(ROW(E$2:E3662)*(E3662=E$2:E3662)))))-COUNTBLANK(OFFSET(A$1,,,SUMPRODUCT(MAX(ROW(E$1:E3661)*(E2=E$1:E3661))))))</f>
        <v> </v>
      </c>
      <c r="K3662" s="25" t="str">
        <f>IF(OR(E3662="",E3662="!!!",F3662="NEW"),"",INDEX(J$1:J3661,SUMPRODUCT(MAX(ROW(E$1:E3661)*(E3662=E$1:E3661)))))</f>
        <v> </v>
      </c>
      <c r="L3662" s="26"/>
    </row>
    <row r="3663" spans="1:12">
      <c r="A3663" s="20" t="s">
        <v>1191</v>
      </c>
      <c r="E3663" s="21">
        <f>IF(D3663="?OLD","!!!","")</f>
        <v/>
      </c>
      <c r="F3663" s="22" t="str">
        <f>IF(OR(E3663="",E3663="!!!"),"",IF(NOT(ISNA(VLOOKUP(E3663,E$1:E3662,1,FALSE()))),"OLD",IF(AND(E3663&lt;&gt;"",E3663&lt;&gt;"!!!"),"NEW","")))</f>
        <v> </v>
      </c>
      <c r="G3663" s="23" t="str">
        <f>IF(OR(E3663="",E3663="!!!"),"",IF(OR(J3663=0,AND(J3663=1,K3663=1),AND(J3663=1,I3663="SBJ"),AND(J3663=1,I3663=0)),"?IN_FOCUS",IF(J3663&lt;=2,"?ACTIVATED",IF(J3663&lt;&gt;"","?FAMILIAR",IF(F3663="NEW",IF(ISNA(VLOOKUP(E3663,#REF!,1,FALSE())),"?TYPE_IDENTIFIABLE","?REFERENTIAL"),"_")))))</f>
        <v> </v>
      </c>
      <c r="H3663" s="24" t="str">
        <f>IF(J3663&lt;&gt;1,"",IF(I3663="SBJ","CB","?"))</f>
        <v> </v>
      </c>
      <c r="I3663" s="25" t="str">
        <f>IF(OR(E3663="",E3663="!!!",F3663="NEW"),"",INDEX(B3662:B$2,-1+SUMPRODUCT(MAX(ROW(E3662:E$2)*(E3663=E3662:E$2)))))</f>
        <v> </v>
      </c>
      <c r="J3663" s="25" t="str">
        <f>IF(OR(E3663="",E3663="!!!",F3663="NEW"),"",COUNTBLANK(OFFSET(A$1,,,SUMPRODUCT(MAX(ROW(E$2:E3663)*(E3663=E$2:E3663)))))-COUNTBLANK(OFFSET(A$1,,,SUMPRODUCT(MAX(ROW(E$1:E3662)*(E2=E$1:E3662))))))</f>
        <v> </v>
      </c>
      <c r="K3663" s="25" t="str">
        <f>IF(OR(E3663="",E3663="!!!",F3663="NEW"),"",INDEX(J$1:J3662,SUMPRODUCT(MAX(ROW(E$1:E3662)*(E3663=E$1:E3662)))))</f>
        <v> </v>
      </c>
      <c r="L3663" s="26"/>
    </row>
    <row r="3664" spans="1:12">
      <c r="A3664" s="20" t="s">
        <v>1083</v>
      </c>
      <c r="E3664" s="21">
        <f>IF(D3664="?OLD","!!!","")</f>
        <v/>
      </c>
      <c r="F3664" s="22" t="str">
        <f>IF(OR(E3664="",E3664="!!!"),"",IF(NOT(ISNA(VLOOKUP(E3664,E$1:E3663,1,FALSE()))),"OLD",IF(AND(E3664&lt;&gt;"",E3664&lt;&gt;"!!!"),"NEW","")))</f>
        <v> </v>
      </c>
      <c r="G3664" s="23" t="str">
        <f>IF(OR(E3664="",E3664="!!!"),"",IF(OR(J3664=0,AND(J3664=1,K3664=1),AND(J3664=1,I3664="SBJ"),AND(J3664=1,I3664=0)),"?IN_FOCUS",IF(J3664&lt;=2,"?ACTIVATED",IF(J3664&lt;&gt;"","?FAMILIAR",IF(F3664="NEW",IF(ISNA(VLOOKUP(E3664,#REF!,1,FALSE())),"?TYPE_IDENTIFIABLE","?REFERENTIAL"),"_")))))</f>
        <v> </v>
      </c>
      <c r="H3664" s="24" t="str">
        <f>IF(J3664&lt;&gt;1,"",IF(I3664="SBJ","CB","?"))</f>
        <v> </v>
      </c>
      <c r="I3664" s="25" t="str">
        <f>IF(OR(E3664="",E3664="!!!",F3664="NEW"),"",INDEX(B3663:B$2,-1+SUMPRODUCT(MAX(ROW(E3663:E$2)*(E3664=E3663:E$2)))))</f>
        <v> </v>
      </c>
      <c r="J3664" s="25" t="str">
        <f>IF(OR(E3664="",E3664="!!!",F3664="NEW"),"",COUNTBLANK(OFFSET(A$1,,,SUMPRODUCT(MAX(ROW(E$2:E3664)*(E3664=E$2:E3664)))))-COUNTBLANK(OFFSET(A$1,,,SUMPRODUCT(MAX(ROW(E$1:E3663)*(E2=E$1:E3663))))))</f>
        <v> </v>
      </c>
      <c r="K3664" s="25" t="str">
        <f>IF(OR(E3664="",E3664="!!!",F3664="NEW"),"",INDEX(J$1:J3663,SUMPRODUCT(MAX(ROW(E$1:E3663)*(E3664=E$1:E3663)))))</f>
        <v> </v>
      </c>
      <c r="L3664" s="26"/>
    </row>
    <row r="3665" spans="1:12">
      <c r="A3665" s="20" t="s">
        <v>2243</v>
      </c>
      <c r="B3665" s="27" t="s">
        <v>1074</v>
      </c>
      <c r="C3665" s="27" t="s">
        <v>1086</v>
      </c>
      <c r="D3665" s="27" t="s">
        <v>1069</v>
      </c>
      <c r="E3665" s="21">
        <f>IF(D3665="?OLD","!!!","")</f>
        <v/>
      </c>
      <c r="F3665" s="22" t="str">
        <f>IF(OR(E3665="",E3665="!!!"),"",IF(NOT(ISNA(VLOOKUP(E3665,E$1:E3664,1,FALSE()))),"OLD",IF(AND(E3665&lt;&gt;"",E3665&lt;&gt;"!!!"),"NEW","")))</f>
        <v> </v>
      </c>
      <c r="G3665" s="23" t="str">
        <f>IF(OR(E3665="",E3665="!!!"),"",IF(OR(J3665=0,AND(J3665=1,K3665=1),AND(J3665=1,I3665="SBJ"),AND(J3665=1,I3665=0)),"?IN_FOCUS",IF(J3665&lt;=2,"?ACTIVATED",IF(J3665&lt;&gt;"","?FAMILIAR",IF(F3665="NEW",IF(ISNA(VLOOKUP(E3665,#REF!,1,FALSE())),"?TYPE_IDENTIFIABLE","?REFERENTIAL"),"_")))))</f>
        <v> </v>
      </c>
      <c r="H3665" s="24" t="str">
        <f>IF(J3665&lt;&gt;1,"",IF(I3665="SBJ","CB","?"))</f>
        <v> </v>
      </c>
      <c r="I3665" s="25" t="str">
        <f>IF(OR(E3665="",E3665="!!!",F3665="NEW"),"",INDEX(B3664:B$2,-1+SUMPRODUCT(MAX(ROW(E3664:E$2)*(E3665=E3664:E$2)))))</f>
        <v> </v>
      </c>
      <c r="J3665" s="25" t="str">
        <f>IF(OR(E3665="",E3665="!!!",F3665="NEW"),"",COUNTBLANK(OFFSET(A$1,,,SUMPRODUCT(MAX(ROW(E$2:E3665)*(E3665=E$2:E3665)))))-COUNTBLANK(OFFSET(A$1,,,SUMPRODUCT(MAX(ROW(E$1:E3664)*(E2=E$1:E3664))))))</f>
        <v> </v>
      </c>
      <c r="K3665" s="25" t="str">
        <f>IF(OR(E3665="",E3665="!!!",F3665="NEW"),"",INDEX(J$1:J3664,SUMPRODUCT(MAX(ROW(E$1:E3664)*(E3665=E$1:E3664)))))</f>
        <v> </v>
      </c>
      <c r="L3665" s="26"/>
    </row>
    <row r="3666" spans="1:12">
      <c r="A3666" s="20" t="s">
        <v>1725</v>
      </c>
      <c r="E3666" s="21">
        <f>IF(D3666="?OLD","!!!","")</f>
        <v/>
      </c>
      <c r="F3666" s="22" t="str">
        <f>IF(OR(E3666="",E3666="!!!"),"",IF(NOT(ISNA(VLOOKUP(E3666,E$1:E3665,1,FALSE()))),"OLD",IF(AND(E3666&lt;&gt;"",E3666&lt;&gt;"!!!"),"NEW","")))</f>
        <v> </v>
      </c>
      <c r="G3666" s="23" t="str">
        <f>IF(OR(E3666="",E3666="!!!"),"",IF(OR(J3666=0,AND(J3666=1,K3666=1),AND(J3666=1,I3666="SBJ"),AND(J3666=1,I3666=0)),"?IN_FOCUS",IF(J3666&lt;=2,"?ACTIVATED",IF(J3666&lt;&gt;"","?FAMILIAR",IF(F3666="NEW",IF(ISNA(VLOOKUP(E3666,#REF!,1,FALSE())),"?TYPE_IDENTIFIABLE","?REFERENTIAL"),"_")))))</f>
        <v> </v>
      </c>
      <c r="H3666" s="24" t="str">
        <f>IF(J3666&lt;&gt;1,"",IF(I3666="SBJ","CB","?"))</f>
        <v> </v>
      </c>
      <c r="I3666" s="25" t="str">
        <f>IF(OR(E3666="",E3666="!!!",F3666="NEW"),"",INDEX(B3665:B$2,-1+SUMPRODUCT(MAX(ROW(E3665:E$2)*(E3666=E3665:E$2)))))</f>
        <v> </v>
      </c>
      <c r="J3666" s="25" t="str">
        <f>IF(OR(E3666="",E3666="!!!",F3666="NEW"),"",COUNTBLANK(OFFSET(A$1,,,SUMPRODUCT(MAX(ROW(E$2:E3666)*(E3666=E$2:E3666)))))-COUNTBLANK(OFFSET(A$1,,,SUMPRODUCT(MAX(ROW(E$1:E3665)*(E2=E$1:E3665))))))</f>
        <v> </v>
      </c>
      <c r="K3666" s="25" t="str">
        <f>IF(OR(E3666="",E3666="!!!",F3666="NEW"),"",INDEX(J$1:J3665,SUMPRODUCT(MAX(ROW(E$1:E3665)*(E3666=E$1:E3665)))))</f>
        <v> </v>
      </c>
      <c r="L3666" s="26"/>
    </row>
    <row r="3667" spans="1:12">
      <c r="A3667" s="20" t="s">
        <v>1536</v>
      </c>
      <c r="E3667" s="21">
        <f>IF(D3667="?OLD","!!!","")</f>
        <v/>
      </c>
      <c r="F3667" s="22" t="str">
        <f>IF(OR(E3667="",E3667="!!!"),"",IF(NOT(ISNA(VLOOKUP(E3667,E$1:E3666,1,FALSE()))),"OLD",IF(AND(E3667&lt;&gt;"",E3667&lt;&gt;"!!!"),"NEW","")))</f>
        <v> </v>
      </c>
      <c r="G3667" s="23" t="str">
        <f>IF(OR(E3667="",E3667="!!!"),"",IF(OR(J3667=0,AND(J3667=1,K3667=1),AND(J3667=1,I3667="SBJ"),AND(J3667=1,I3667=0)),"?IN_FOCUS",IF(J3667&lt;=2,"?ACTIVATED",IF(J3667&lt;&gt;"","?FAMILIAR",IF(F3667="NEW",IF(ISNA(VLOOKUP(E3667,#REF!,1,FALSE())),"?TYPE_IDENTIFIABLE","?REFERENTIAL"),"_")))))</f>
        <v> </v>
      </c>
      <c r="H3667" s="24" t="str">
        <f>IF(J3667&lt;&gt;1,"",IF(I3667="SBJ","CB","?"))</f>
        <v> </v>
      </c>
      <c r="I3667" s="25" t="str">
        <f>IF(OR(E3667="",E3667="!!!",F3667="NEW"),"",INDEX(B3666:B$2,-1+SUMPRODUCT(MAX(ROW(E3666:E$2)*(E3667=E3666:E$2)))))</f>
        <v> </v>
      </c>
      <c r="J3667" s="25" t="str">
        <f>IF(OR(E3667="",E3667="!!!",F3667="NEW"),"",COUNTBLANK(OFFSET(A$1,,,SUMPRODUCT(MAX(ROW(E$2:E3667)*(E3667=E$2:E3667)))))-COUNTBLANK(OFFSET(A$1,,,SUMPRODUCT(MAX(ROW(E$1:E3666)*(E2=E$1:E3666))))))</f>
        <v> </v>
      </c>
      <c r="K3667" s="25" t="str">
        <f>IF(OR(E3667="",E3667="!!!",F3667="NEW"),"",INDEX(J$1:J3666,SUMPRODUCT(MAX(ROW(E$1:E3666)*(E3667=E$1:E3666)))))</f>
        <v> </v>
      </c>
      <c r="L3667" s="26"/>
    </row>
    <row r="3668" spans="1:12">
      <c r="A3668" s="20" t="s">
        <v>2244</v>
      </c>
      <c r="B3668" s="27" t="s">
        <v>1074</v>
      </c>
      <c r="C3668" s="27" t="s">
        <v>1086</v>
      </c>
      <c r="D3668" s="27" t="s">
        <v>1069</v>
      </c>
      <c r="E3668" s="21">
        <f>IF(D3668="?OLD","!!!","")</f>
        <v/>
      </c>
      <c r="F3668" s="22" t="str">
        <f>IF(OR(E3668="",E3668="!!!"),"",IF(NOT(ISNA(VLOOKUP(E3668,E$1:E3667,1,FALSE()))),"OLD",IF(AND(E3668&lt;&gt;"",E3668&lt;&gt;"!!!"),"NEW","")))</f>
        <v> </v>
      </c>
      <c r="G3668" s="23" t="str">
        <f>IF(OR(E3668="",E3668="!!!"),"",IF(OR(J3668=0,AND(J3668=1,K3668=1),AND(J3668=1,I3668="SBJ"),AND(J3668=1,I3668=0)),"?IN_FOCUS",IF(J3668&lt;=2,"?ACTIVATED",IF(J3668&lt;&gt;"","?FAMILIAR",IF(F3668="NEW",IF(ISNA(VLOOKUP(E3668,#REF!,1,FALSE())),"?TYPE_IDENTIFIABLE","?REFERENTIAL"),"_")))))</f>
        <v> </v>
      </c>
      <c r="H3668" s="24" t="str">
        <f>IF(J3668&lt;&gt;1,"",IF(I3668="SBJ","CB","?"))</f>
        <v> </v>
      </c>
      <c r="I3668" s="25" t="str">
        <f>IF(OR(E3668="",E3668="!!!",F3668="NEW"),"",INDEX(B3667:B$2,-1+SUMPRODUCT(MAX(ROW(E3667:E$2)*(E3668=E3667:E$2)))))</f>
        <v> </v>
      </c>
      <c r="J3668" s="25" t="str">
        <f>IF(OR(E3668="",E3668="!!!",F3668="NEW"),"",COUNTBLANK(OFFSET(A$1,,,SUMPRODUCT(MAX(ROW(E$2:E3668)*(E3668=E$2:E3668)))))-COUNTBLANK(OFFSET(A$1,,,SUMPRODUCT(MAX(ROW(E$1:E3667)*(E2=E$1:E3667))))))</f>
        <v> </v>
      </c>
      <c r="K3668" s="25" t="str">
        <f>IF(OR(E3668="",E3668="!!!",F3668="NEW"),"",INDEX(J$1:J3667,SUMPRODUCT(MAX(ROW(E$1:E3667)*(E3668=E$1:E3667)))))</f>
        <v> </v>
      </c>
      <c r="L3668" s="26"/>
    </row>
    <row r="3669" spans="1:12">
      <c r="A3669" s="20" t="s">
        <v>1087</v>
      </c>
      <c r="E3669" s="21">
        <f>IF(D3669="?OLD","!!!","")</f>
        <v/>
      </c>
      <c r="F3669" s="22" t="str">
        <f>IF(OR(E3669="",E3669="!!!"),"",IF(NOT(ISNA(VLOOKUP(E3669,E$1:E3668,1,FALSE()))),"OLD",IF(AND(E3669&lt;&gt;"",E3669&lt;&gt;"!!!"),"NEW","")))</f>
        <v> </v>
      </c>
      <c r="G3669" s="23" t="str">
        <f>IF(OR(E3669="",E3669="!!!"),"",IF(OR(J3669=0,AND(J3669=1,K3669=1),AND(J3669=1,I3669="SBJ"),AND(J3669=1,I3669=0)),"?IN_FOCUS",IF(J3669&lt;=2,"?ACTIVATED",IF(J3669&lt;&gt;"","?FAMILIAR",IF(F3669="NEW",IF(ISNA(VLOOKUP(E3669,#REF!,1,FALSE())),"?TYPE_IDENTIFIABLE","?REFERENTIAL"),"_")))))</f>
        <v> </v>
      </c>
      <c r="H3669" s="24" t="str">
        <f>IF(J3669&lt;&gt;1,"",IF(I3669="SBJ","CB","?"))</f>
        <v> </v>
      </c>
      <c r="I3669" s="25" t="str">
        <f>IF(OR(E3669="",E3669="!!!",F3669="NEW"),"",INDEX(B3668:B$2,-1+SUMPRODUCT(MAX(ROW(E3668:E$2)*(E3669=E3668:E$2)))))</f>
        <v> </v>
      </c>
      <c r="J3669" s="25" t="str">
        <f>IF(OR(E3669="",E3669="!!!",F3669="NEW"),"",COUNTBLANK(OFFSET(A$1,,,SUMPRODUCT(MAX(ROW(E$2:E3669)*(E3669=E$2:E3669)))))-COUNTBLANK(OFFSET(A$1,,,SUMPRODUCT(MAX(ROW(E$1:E3668)*(E2=E$1:E3668))))))</f>
        <v> </v>
      </c>
      <c r="K3669" s="25" t="str">
        <f>IF(OR(E3669="",E3669="!!!",F3669="NEW"),"",INDEX(J$1:J3668,SUMPRODUCT(MAX(ROW(E$1:E3668)*(E3669=E$1:E3668)))))</f>
        <v> </v>
      </c>
      <c r="L3669" s="26"/>
    </row>
    <row r="3670" spans="1:12">
      <c r="A3670" s="20" t="s">
        <v>1297</v>
      </c>
      <c r="E3670" s="21">
        <f>IF(D3670="?OLD","!!!","")</f>
        <v/>
      </c>
      <c r="F3670" s="22" t="str">
        <f>IF(OR(E3670="",E3670="!!!"),"",IF(NOT(ISNA(VLOOKUP(E3670,E$1:E3669,1,FALSE()))),"OLD",IF(AND(E3670&lt;&gt;"",E3670&lt;&gt;"!!!"),"NEW","")))</f>
        <v> </v>
      </c>
      <c r="G3670" s="23" t="str">
        <f>IF(OR(E3670="",E3670="!!!"),"",IF(OR(J3670=0,AND(J3670=1,K3670=1),AND(J3670=1,I3670="SBJ"),AND(J3670=1,I3670=0)),"?IN_FOCUS",IF(J3670&lt;=2,"?ACTIVATED",IF(J3670&lt;&gt;"","?FAMILIAR",IF(F3670="NEW",IF(ISNA(VLOOKUP(E3670,#REF!,1,FALSE())),"?TYPE_IDENTIFIABLE","?REFERENTIAL"),"_")))))</f>
        <v> </v>
      </c>
      <c r="H3670" s="24" t="str">
        <f>IF(J3670&lt;&gt;1,"",IF(I3670="SBJ","CB","?"))</f>
        <v> </v>
      </c>
      <c r="I3670" s="25" t="str">
        <f>IF(OR(E3670="",E3670="!!!",F3670="NEW"),"",INDEX(B3669:B$2,-1+SUMPRODUCT(MAX(ROW(E3669:E$2)*(E3670=E3669:E$2)))))</f>
        <v> </v>
      </c>
      <c r="J3670" s="25" t="str">
        <f>IF(OR(E3670="",E3670="!!!",F3670="NEW"),"",COUNTBLANK(OFFSET(A$1,,,SUMPRODUCT(MAX(ROW(E$2:E3670)*(E3670=E$2:E3670)))))-COUNTBLANK(OFFSET(A$1,,,SUMPRODUCT(MAX(ROW(E$1:E3669)*(E2=E$1:E3669))))))</f>
        <v> </v>
      </c>
      <c r="K3670" s="25" t="str">
        <f>IF(OR(E3670="",E3670="!!!",F3670="NEW"),"",INDEX(J$1:J3669,SUMPRODUCT(MAX(ROW(E$1:E3669)*(E3670=E$1:E3669)))))</f>
        <v> </v>
      </c>
      <c r="L3670" s="26"/>
    </row>
    <row r="3671" spans="1:12">
      <c r="A3671" s="20" t="s">
        <v>1115</v>
      </c>
      <c r="B3671" s="27" t="s">
        <v>1090</v>
      </c>
      <c r="C3671" s="27" t="s">
        <v>1077</v>
      </c>
      <c r="E3671" s="21">
        <f>IF(D3671="?OLD","!!!","")</f>
        <v/>
      </c>
      <c r="F3671" s="22" t="str">
        <f>IF(OR(E3671="",E3671="!!!"),"",IF(NOT(ISNA(VLOOKUP(E3671,E$1:E3670,1,FALSE()))),"OLD",IF(AND(E3671&lt;&gt;"",E3671&lt;&gt;"!!!"),"NEW","")))</f>
        <v> </v>
      </c>
      <c r="G3671" s="23" t="str">
        <f>IF(OR(E3671="",E3671="!!!"),"",IF(OR(J3671=0,AND(J3671=1,K3671=1),AND(J3671=1,I3671="SBJ"),AND(J3671=1,I3671=0)),"?IN_FOCUS",IF(J3671&lt;=2,"?ACTIVATED",IF(J3671&lt;&gt;"","?FAMILIAR",IF(F3671="NEW",IF(ISNA(VLOOKUP(E3671,#REF!,1,FALSE())),"?TYPE_IDENTIFIABLE","?REFERENTIAL"),"_")))))</f>
        <v> </v>
      </c>
      <c r="H3671" s="24" t="str">
        <f>IF(J3671&lt;&gt;1,"",IF(I3671="SBJ","CB","?"))</f>
        <v> </v>
      </c>
      <c r="I3671" s="25" t="str">
        <f>IF(OR(E3671="",E3671="!!!",F3671="NEW"),"",INDEX(B3670:B$2,-1+SUMPRODUCT(MAX(ROW(E3670:E$2)*(E3671=E3670:E$2)))))</f>
        <v> </v>
      </c>
      <c r="J3671" s="25" t="str">
        <f>IF(OR(E3671="",E3671="!!!",F3671="NEW"),"",COUNTBLANK(OFFSET(A$1,,,SUMPRODUCT(MAX(ROW(E$2:E3671)*(E3671=E$2:E3671)))))-COUNTBLANK(OFFSET(A$1,,,SUMPRODUCT(MAX(ROW(E$1:E3670)*(E2=E$1:E3670))))))</f>
        <v> </v>
      </c>
      <c r="K3671" s="25" t="str">
        <f>IF(OR(E3671="",E3671="!!!",F3671="NEW"),"",INDEX(J$1:J3670,SUMPRODUCT(MAX(ROW(E$1:E3670)*(E3671=E$1:E3670)))))</f>
        <v> </v>
      </c>
      <c r="L3671" s="26"/>
    </row>
    <row r="3672" spans="1:12">
      <c r="A3672" s="20" t="s">
        <v>1070</v>
      </c>
      <c r="E3672" s="21">
        <f>IF(D3672="?OLD","!!!","")</f>
        <v/>
      </c>
      <c r="F3672" s="22" t="str">
        <f>IF(OR(E3672="",E3672="!!!"),"",IF(NOT(ISNA(VLOOKUP(E3672,E$1:E3671,1,FALSE()))),"OLD",IF(AND(E3672&lt;&gt;"",E3672&lt;&gt;"!!!"),"NEW","")))</f>
        <v> </v>
      </c>
      <c r="G3672" s="23" t="str">
        <f>IF(OR(E3672="",E3672="!!!"),"",IF(OR(J3672=0,AND(J3672=1,K3672=1),AND(J3672=1,I3672="SBJ"),AND(J3672=1,I3672=0)),"?IN_FOCUS",IF(J3672&lt;=2,"?ACTIVATED",IF(J3672&lt;&gt;"","?FAMILIAR",IF(F3672="NEW",IF(ISNA(VLOOKUP(E3672,#REF!,1,FALSE())),"?TYPE_IDENTIFIABLE","?REFERENTIAL"),"_")))))</f>
        <v> </v>
      </c>
      <c r="H3672" s="24" t="str">
        <f>IF(J3672&lt;&gt;1,"",IF(I3672="SBJ","CB","?"))</f>
        <v> </v>
      </c>
      <c r="I3672" s="25" t="str">
        <f>IF(OR(E3672="",E3672="!!!",F3672="NEW"),"",INDEX(B3671:B$2,-1+SUMPRODUCT(MAX(ROW(E3671:E$2)*(E3672=E3671:E$2)))))</f>
        <v> </v>
      </c>
      <c r="J3672" s="25" t="str">
        <f>IF(OR(E3672="",E3672="!!!",F3672="NEW"),"",COUNTBLANK(OFFSET(A$1,,,SUMPRODUCT(MAX(ROW(E$2:E3672)*(E3672=E$2:E3672)))))-COUNTBLANK(OFFSET(A$1,,,SUMPRODUCT(MAX(ROW(E$1:E3671)*(E2=E$1:E3671))))))</f>
        <v> </v>
      </c>
      <c r="K3672" s="25" t="str">
        <f>IF(OR(E3672="",E3672="!!!",F3672="NEW"),"",INDEX(J$1:J3671,SUMPRODUCT(MAX(ROW(E$1:E3671)*(E3672=E$1:E3671)))))</f>
        <v> </v>
      </c>
      <c r="L3672" s="26"/>
    </row>
    <row r="3673" spans="1:12">
      <c r="A3673" s="20" t="s">
        <v>479</v>
      </c>
      <c r="E3673" s="21">
        <f>IF(D3673="?OLD","!!!","")</f>
        <v/>
      </c>
      <c r="F3673" s="22" t="str">
        <f>IF(OR(E3673="",E3673="!!!"),"",IF(NOT(ISNA(VLOOKUP(E3673,E$1:E3672,1,FALSE()))),"OLD",IF(AND(E3673&lt;&gt;"",E3673&lt;&gt;"!!!"),"NEW","")))</f>
        <v> </v>
      </c>
      <c r="G3673" s="23" t="str">
        <f>IF(OR(E3673="",E3673="!!!"),"",IF(OR(J3673=0,AND(J3673=1,K3673=1),AND(J3673=1,I3673="SBJ"),AND(J3673=1,I3673=0)),"?IN_FOCUS",IF(J3673&lt;=2,"?ACTIVATED",IF(J3673&lt;&gt;"","?FAMILIAR",IF(F3673="NEW",IF(ISNA(VLOOKUP(E3673,#REF!,1,FALSE())),"?TYPE_IDENTIFIABLE","?REFERENTIAL"),"_")))))</f>
        <v> </v>
      </c>
      <c r="H3673" s="24" t="str">
        <f>IF(J3673&lt;&gt;1,"",IF(I3673="SBJ","CB","?"))</f>
        <v> </v>
      </c>
      <c r="I3673" s="25" t="str">
        <f>IF(OR(E3673="",E3673="!!!",F3673="NEW"),"",INDEX(B3672:B$2,-1+SUMPRODUCT(MAX(ROW(E3672:E$2)*(E3673=E3672:E$2)))))</f>
        <v> </v>
      </c>
      <c r="J3673" s="25" t="str">
        <f>IF(OR(E3673="",E3673="!!!",F3673="NEW"),"",COUNTBLANK(OFFSET(A$1,,,SUMPRODUCT(MAX(ROW(E$2:E3673)*(E3673=E$2:E3673)))))-COUNTBLANK(OFFSET(A$1,,,SUMPRODUCT(MAX(ROW(E$1:E3672)*(E2=E$1:E3672))))))</f>
        <v> </v>
      </c>
      <c r="K3673" s="25" t="str">
        <f>IF(OR(E3673="",E3673="!!!",F3673="NEW"),"",INDEX(J$1:J3672,SUMPRODUCT(MAX(ROW(E$1:E3672)*(E3673=E$1:E3672)))))</f>
        <v> </v>
      </c>
      <c r="L3673" s="26"/>
    </row>
    <row r="3674" spans="1:12">
      <c r="A3674" s="20" t="s">
        <v>1087</v>
      </c>
      <c r="E3674" s="21">
        <f>IF(D3674="?OLD","!!!","")</f>
        <v/>
      </c>
      <c r="F3674" s="22" t="str">
        <f>IF(OR(E3674="",E3674="!!!"),"",IF(NOT(ISNA(VLOOKUP(E3674,E$1:E3673,1,FALSE()))),"OLD",IF(AND(E3674&lt;&gt;"",E3674&lt;&gt;"!!!"),"NEW","")))</f>
        <v> </v>
      </c>
      <c r="G3674" s="23" t="str">
        <f>IF(OR(E3674="",E3674="!!!"),"",IF(OR(J3674=0,AND(J3674=1,K3674=1),AND(J3674=1,I3674="SBJ"),AND(J3674=1,I3674=0)),"?IN_FOCUS",IF(J3674&lt;=2,"?ACTIVATED",IF(J3674&lt;&gt;"","?FAMILIAR",IF(F3674="NEW",IF(ISNA(VLOOKUP(E3674,#REF!,1,FALSE())),"?TYPE_IDENTIFIABLE","?REFERENTIAL"),"_")))))</f>
        <v> </v>
      </c>
      <c r="H3674" s="24" t="str">
        <f>IF(J3674&lt;&gt;1,"",IF(I3674="SBJ","CB","?"))</f>
        <v> </v>
      </c>
      <c r="I3674" s="25" t="str">
        <f>IF(OR(E3674="",E3674="!!!",F3674="NEW"),"",INDEX(B3673:B$2,-1+SUMPRODUCT(MAX(ROW(E3673:E$2)*(E3674=E3673:E$2)))))</f>
        <v> </v>
      </c>
      <c r="J3674" s="25" t="str">
        <f>IF(OR(E3674="",E3674="!!!",F3674="NEW"),"",COUNTBLANK(OFFSET(A$1,,,SUMPRODUCT(MAX(ROW(E$2:E3674)*(E3674=E$2:E3674)))))-COUNTBLANK(OFFSET(A$1,,,SUMPRODUCT(MAX(ROW(E$1:E3673)*(E2=E$1:E3673))))))</f>
        <v> </v>
      </c>
      <c r="K3674" s="25" t="str">
        <f>IF(OR(E3674="",E3674="!!!",F3674="NEW"),"",INDEX(J$1:J3673,SUMPRODUCT(MAX(ROW(E$1:E3673)*(E3674=E$1:E3673)))))</f>
        <v> </v>
      </c>
      <c r="L3674" s="26"/>
    </row>
    <row r="3675" spans="1:12">
      <c r="A3675" s="20" t="s">
        <v>1104</v>
      </c>
      <c r="E3675" s="21">
        <f>IF(D3675="?OLD","!!!","")</f>
        <v/>
      </c>
      <c r="F3675" s="22" t="str">
        <f>IF(OR(E3675="",E3675="!!!"),"",IF(NOT(ISNA(VLOOKUP(E3675,E$1:E3674,1,FALSE()))),"OLD",IF(AND(E3675&lt;&gt;"",E3675&lt;&gt;"!!!"),"NEW","")))</f>
        <v> </v>
      </c>
      <c r="G3675" s="23" t="str">
        <f>IF(OR(E3675="",E3675="!!!"),"",IF(OR(J3675=0,AND(J3675=1,K3675=1),AND(J3675=1,I3675="SBJ"),AND(J3675=1,I3675=0)),"?IN_FOCUS",IF(J3675&lt;=2,"?ACTIVATED",IF(J3675&lt;&gt;"","?FAMILIAR",IF(F3675="NEW",IF(ISNA(VLOOKUP(E3675,#REF!,1,FALSE())),"?TYPE_IDENTIFIABLE","?REFERENTIAL"),"_")))))</f>
        <v> </v>
      </c>
      <c r="H3675" s="24" t="str">
        <f>IF(J3675&lt;&gt;1,"",IF(I3675="SBJ","CB","?"))</f>
        <v> </v>
      </c>
      <c r="I3675" s="25" t="str">
        <f>IF(OR(E3675="",E3675="!!!",F3675="NEW"),"",INDEX(B3674:B$2,-1+SUMPRODUCT(MAX(ROW(E3674:E$2)*(E3675=E3674:E$2)))))</f>
        <v> </v>
      </c>
      <c r="J3675" s="25" t="str">
        <f>IF(OR(E3675="",E3675="!!!",F3675="NEW"),"",COUNTBLANK(OFFSET(A$1,,,SUMPRODUCT(MAX(ROW(E$2:E3675)*(E3675=E$2:E3675)))))-COUNTBLANK(OFFSET(A$1,,,SUMPRODUCT(MAX(ROW(E$1:E3674)*(E2=E$1:E3674))))))</f>
        <v> </v>
      </c>
      <c r="K3675" s="25" t="str">
        <f>IF(OR(E3675="",E3675="!!!",F3675="NEW"),"",INDEX(J$1:J3674,SUMPRODUCT(MAX(ROW(E$1:E3674)*(E3675=E$1:E3674)))))</f>
        <v> </v>
      </c>
      <c r="L3675" s="26"/>
    </row>
    <row r="3676" spans="1:12">
      <c r="A3676" s="20" t="s">
        <v>2245</v>
      </c>
      <c r="B3676" s="27" t="s">
        <v>1074</v>
      </c>
      <c r="C3676" s="27" t="s">
        <v>1086</v>
      </c>
      <c r="D3676" s="27" t="s">
        <v>1069</v>
      </c>
      <c r="E3676" s="21">
        <f>IF(D3676="?OLD","!!!","")</f>
        <v/>
      </c>
      <c r="F3676" s="22" t="str">
        <f>IF(OR(E3676="",E3676="!!!"),"",IF(NOT(ISNA(VLOOKUP(E3676,E$1:E3675,1,FALSE()))),"OLD",IF(AND(E3676&lt;&gt;"",E3676&lt;&gt;"!!!"),"NEW","")))</f>
        <v> </v>
      </c>
      <c r="G3676" s="23" t="str">
        <f>IF(OR(E3676="",E3676="!!!"),"",IF(OR(J3676=0,AND(J3676=1,K3676=1),AND(J3676=1,I3676="SBJ"),AND(J3676=1,I3676=0)),"?IN_FOCUS",IF(J3676&lt;=2,"?ACTIVATED",IF(J3676&lt;&gt;"","?FAMILIAR",IF(F3676="NEW",IF(ISNA(VLOOKUP(E3676,#REF!,1,FALSE())),"?TYPE_IDENTIFIABLE","?REFERENTIAL"),"_")))))</f>
        <v> </v>
      </c>
      <c r="H3676" s="24" t="str">
        <f>IF(J3676&lt;&gt;1,"",IF(I3676="SBJ","CB","?"))</f>
        <v> </v>
      </c>
      <c r="I3676" s="25" t="str">
        <f>IF(OR(E3676="",E3676="!!!",F3676="NEW"),"",INDEX(B3675:B$2,-1+SUMPRODUCT(MAX(ROW(E3675:E$2)*(E3676=E3675:E$2)))))</f>
        <v> </v>
      </c>
      <c r="J3676" s="25" t="str">
        <f>IF(OR(E3676="",E3676="!!!",F3676="NEW"),"",COUNTBLANK(OFFSET(A$1,,,SUMPRODUCT(MAX(ROW(E$2:E3676)*(E3676=E$2:E3676)))))-COUNTBLANK(OFFSET(A$1,,,SUMPRODUCT(MAX(ROW(E$1:E3675)*(E2=E$1:E3675))))))</f>
        <v> </v>
      </c>
      <c r="K3676" s="25" t="str">
        <f>IF(OR(E3676="",E3676="!!!",F3676="NEW"),"",INDEX(J$1:J3675,SUMPRODUCT(MAX(ROW(E$1:E3675)*(E3676=E$1:E3675)))))</f>
        <v> </v>
      </c>
      <c r="L3676" s="26"/>
    </row>
    <row r="3677" spans="1:12">
      <c r="A3677" s="20" t="s">
        <v>1078</v>
      </c>
      <c r="E3677" s="21">
        <f>IF(D3677="?OLD","!!!","")</f>
        <v/>
      </c>
      <c r="F3677" s="22" t="str">
        <f>IF(OR(E3677="",E3677="!!!"),"",IF(NOT(ISNA(VLOOKUP(E3677,E$1:E3676,1,FALSE()))),"OLD",IF(AND(E3677&lt;&gt;"",E3677&lt;&gt;"!!!"),"NEW","")))</f>
        <v> </v>
      </c>
      <c r="G3677" s="23" t="str">
        <f>IF(OR(E3677="",E3677="!!!"),"",IF(OR(J3677=0,AND(J3677=1,K3677=1),AND(J3677=1,I3677="SBJ"),AND(J3677=1,I3677=0)),"?IN_FOCUS",IF(J3677&lt;=2,"?ACTIVATED",IF(J3677&lt;&gt;"","?FAMILIAR",IF(F3677="NEW",IF(ISNA(VLOOKUP(E3677,#REF!,1,FALSE())),"?TYPE_IDENTIFIABLE","?REFERENTIAL"),"_")))))</f>
        <v> </v>
      </c>
      <c r="H3677" s="24" t="str">
        <f>IF(J3677&lt;&gt;1,"",IF(I3677="SBJ","CB","?"))</f>
        <v> </v>
      </c>
      <c r="I3677" s="25" t="str">
        <f>IF(OR(E3677="",E3677="!!!",F3677="NEW"),"",INDEX(B3676:B$2,-1+SUMPRODUCT(MAX(ROW(E3676:E$2)*(E3677=E3676:E$2)))))</f>
        <v> </v>
      </c>
      <c r="J3677" s="25" t="str">
        <f>IF(OR(E3677="",E3677="!!!",F3677="NEW"),"",COUNTBLANK(OFFSET(A$1,,,SUMPRODUCT(MAX(ROW(E$2:E3677)*(E3677=E$2:E3677)))))-COUNTBLANK(OFFSET(A$1,,,SUMPRODUCT(MAX(ROW(E$1:E3676)*(E2=E$1:E3676))))))</f>
        <v> </v>
      </c>
      <c r="K3677" s="25" t="str">
        <f>IF(OR(E3677="",E3677="!!!",F3677="NEW"),"",INDEX(J$1:J3676,SUMPRODUCT(MAX(ROW(E$1:E3676)*(E3677=E$1:E3676)))))</f>
        <v> </v>
      </c>
      <c r="L3677" s="26"/>
    </row>
    <row r="3678" spans="1:12">
      <c r="A3678" s="20" t="s">
        <v>1113</v>
      </c>
      <c r="E3678" s="21">
        <f>IF(D3678="?OLD","!!!","")</f>
        <v/>
      </c>
      <c r="F3678" s="22" t="str">
        <f>IF(OR(E3678="",E3678="!!!"),"",IF(NOT(ISNA(VLOOKUP(E3678,E$1:E3677,1,FALSE()))),"OLD",IF(AND(E3678&lt;&gt;"",E3678&lt;&gt;"!!!"),"NEW","")))</f>
        <v> </v>
      </c>
      <c r="G3678" s="23" t="str">
        <f>IF(OR(E3678="",E3678="!!!"),"",IF(OR(J3678=0,AND(J3678=1,K3678=1),AND(J3678=1,I3678="SBJ"),AND(J3678=1,I3678=0)),"?IN_FOCUS",IF(J3678&lt;=2,"?ACTIVATED",IF(J3678&lt;&gt;"","?FAMILIAR",IF(F3678="NEW",IF(ISNA(VLOOKUP(E3678,#REF!,1,FALSE())),"?TYPE_IDENTIFIABLE","?REFERENTIAL"),"_")))))</f>
        <v> </v>
      </c>
      <c r="H3678" s="24" t="str">
        <f>IF(J3678&lt;&gt;1,"",IF(I3678="SBJ","CB","?"))</f>
        <v> </v>
      </c>
      <c r="I3678" s="25" t="str">
        <f>IF(OR(E3678="",E3678="!!!",F3678="NEW"),"",INDEX(B3677:B$2,-1+SUMPRODUCT(MAX(ROW(E3677:E$2)*(E3678=E3677:E$2)))))</f>
        <v> </v>
      </c>
      <c r="J3678" s="25" t="str">
        <f>IF(OR(E3678="",E3678="!!!",F3678="NEW"),"",COUNTBLANK(OFFSET(A$1,,,SUMPRODUCT(MAX(ROW(E$2:E3678)*(E3678=E$2:E3678)))))-COUNTBLANK(OFFSET(A$1,,,SUMPRODUCT(MAX(ROW(E$1:E3677)*(E2=E$1:E3677))))))</f>
        <v> </v>
      </c>
      <c r="K3678" s="25" t="str">
        <f>IF(OR(E3678="",E3678="!!!",F3678="NEW"),"",INDEX(J$1:J3677,SUMPRODUCT(MAX(ROW(E$1:E3677)*(E3678=E$1:E3677)))))</f>
        <v> </v>
      </c>
      <c r="L3678" s="26"/>
    </row>
    <row r="3679" spans="1:12">
      <c r="A3679" s="20" t="s">
        <v>2246</v>
      </c>
      <c r="B3679" s="27" t="s">
        <v>1106</v>
      </c>
      <c r="C3679" s="27" t="s">
        <v>1086</v>
      </c>
      <c r="D3679" s="27" t="s">
        <v>1069</v>
      </c>
      <c r="E3679" s="21">
        <f>IF(D3679="?OLD","!!!","")</f>
        <v/>
      </c>
      <c r="F3679" s="22" t="str">
        <f>IF(OR(E3679="",E3679="!!!"),"",IF(NOT(ISNA(VLOOKUP(E3679,E$1:E3678,1,FALSE()))),"OLD",IF(AND(E3679&lt;&gt;"",E3679&lt;&gt;"!!!"),"NEW","")))</f>
        <v> </v>
      </c>
      <c r="G3679" s="23" t="str">
        <f>IF(OR(E3679="",E3679="!!!"),"",IF(OR(J3679=0,AND(J3679=1,K3679=1),AND(J3679=1,I3679="SBJ"),AND(J3679=1,I3679=0)),"?IN_FOCUS",IF(J3679&lt;=2,"?ACTIVATED",IF(J3679&lt;&gt;"","?FAMILIAR",IF(F3679="NEW",IF(ISNA(VLOOKUP(E3679,#REF!,1,FALSE())),"?TYPE_IDENTIFIABLE","?REFERENTIAL"),"_")))))</f>
        <v> </v>
      </c>
      <c r="H3679" s="24" t="str">
        <f>IF(J3679&lt;&gt;1,"",IF(I3679="SBJ","CB","?"))</f>
        <v> </v>
      </c>
      <c r="I3679" s="25" t="str">
        <f>IF(OR(E3679="",E3679="!!!",F3679="NEW"),"",INDEX(B3678:B$2,-1+SUMPRODUCT(MAX(ROW(E3678:E$2)*(E3679=E3678:E$2)))))</f>
        <v> </v>
      </c>
      <c r="J3679" s="25" t="str">
        <f>IF(OR(E3679="",E3679="!!!",F3679="NEW"),"",COUNTBLANK(OFFSET(A$1,,,SUMPRODUCT(MAX(ROW(E$2:E3679)*(E3679=E$2:E3679)))))-COUNTBLANK(OFFSET(A$1,,,SUMPRODUCT(MAX(ROW(E$1:E3678)*(E2=E$1:E3678))))))</f>
        <v> </v>
      </c>
      <c r="K3679" s="25" t="str">
        <f>IF(OR(E3679="",E3679="!!!",F3679="NEW"),"",INDEX(J$1:J3678,SUMPRODUCT(MAX(ROW(E$1:E3678)*(E3679=E$1:E3678)))))</f>
        <v> </v>
      </c>
      <c r="L3679" s="26"/>
    </row>
    <row r="3680" spans="1:12">
      <c r="A3680" s="20" t="s">
        <v>1097</v>
      </c>
      <c r="B3680" s="27" t="s">
        <v>1133</v>
      </c>
      <c r="E3680" s="21">
        <f>IF(D3680="?OLD","!!!","")</f>
        <v/>
      </c>
      <c r="F3680" s="22" t="str">
        <f>IF(OR(E3680="",E3680="!!!"),"",IF(NOT(ISNA(VLOOKUP(E3680,E$1:E3679,1,FALSE()))),"OLD",IF(AND(E3680&lt;&gt;"",E3680&lt;&gt;"!!!"),"NEW","")))</f>
        <v> </v>
      </c>
      <c r="G3680" s="23" t="str">
        <f>IF(OR(E3680="",E3680="!!!"),"",IF(OR(J3680=0,AND(J3680=1,K3680=1),AND(J3680=1,I3680="SBJ"),AND(J3680=1,I3680=0)),"?IN_FOCUS",IF(J3680&lt;=2,"?ACTIVATED",IF(J3680&lt;&gt;"","?FAMILIAR",IF(F3680="NEW",IF(ISNA(VLOOKUP(E3680,#REF!,1,FALSE())),"?TYPE_IDENTIFIABLE","?REFERENTIAL"),"_")))))</f>
        <v> </v>
      </c>
      <c r="H3680" s="24" t="str">
        <f>IF(J3680&lt;&gt;1,"",IF(I3680="SBJ","CB","?"))</f>
        <v> </v>
      </c>
      <c r="I3680" s="25" t="str">
        <f>IF(OR(E3680="",E3680="!!!",F3680="NEW"),"",INDEX(B3679:B$2,-1+SUMPRODUCT(MAX(ROW(E3679:E$2)*(E3680=E3679:E$2)))))</f>
        <v> </v>
      </c>
      <c r="J3680" s="25" t="str">
        <f>IF(OR(E3680="",E3680="!!!",F3680="NEW"),"",COUNTBLANK(OFFSET(A$1,,,SUMPRODUCT(MAX(ROW(E$2:E3680)*(E3680=E$2:E3680)))))-COUNTBLANK(OFFSET(A$1,,,SUMPRODUCT(MAX(ROW(E$1:E3679)*(E2=E$1:E3679))))))</f>
        <v> </v>
      </c>
      <c r="K3680" s="25" t="str">
        <f>IF(OR(E3680="",E3680="!!!",F3680="NEW"),"",INDEX(J$1:J3679,SUMPRODUCT(MAX(ROW(E$1:E3679)*(E3680=E$1:E3679)))))</f>
        <v> </v>
      </c>
      <c r="L3680" s="26"/>
    </row>
    <row r="3681" spans="1:12">
      <c r="A3681" s="20" t="s">
        <v>1964</v>
      </c>
      <c r="E3681" s="21">
        <f>IF(D3681="?OLD","!!!","")</f>
        <v/>
      </c>
      <c r="F3681" s="22" t="str">
        <f>IF(OR(E3681="",E3681="!!!"),"",IF(NOT(ISNA(VLOOKUP(E3681,E$1:E3680,1,FALSE()))),"OLD",IF(AND(E3681&lt;&gt;"",E3681&lt;&gt;"!!!"),"NEW","")))</f>
        <v> </v>
      </c>
      <c r="G3681" s="23" t="str">
        <f>IF(OR(E3681="",E3681="!!!"),"",IF(OR(J3681=0,AND(J3681=1,K3681=1),AND(J3681=1,I3681="SBJ"),AND(J3681=1,I3681=0)),"?IN_FOCUS",IF(J3681&lt;=2,"?ACTIVATED",IF(J3681&lt;&gt;"","?FAMILIAR",IF(F3681="NEW",IF(ISNA(VLOOKUP(E3681,#REF!,1,FALSE())),"?TYPE_IDENTIFIABLE","?REFERENTIAL"),"_")))))</f>
        <v> </v>
      </c>
      <c r="H3681" s="24" t="str">
        <f>IF(J3681&lt;&gt;1,"",IF(I3681="SBJ","CB","?"))</f>
        <v> </v>
      </c>
      <c r="I3681" s="25" t="str">
        <f>IF(OR(E3681="",E3681="!!!",F3681="NEW"),"",INDEX(B3680:B$2,-1+SUMPRODUCT(MAX(ROW(E3680:E$2)*(E3681=E3680:E$2)))))</f>
        <v> </v>
      </c>
      <c r="J3681" s="25" t="str">
        <f>IF(OR(E3681="",E3681="!!!",F3681="NEW"),"",COUNTBLANK(OFFSET(A$1,,,SUMPRODUCT(MAX(ROW(E$2:E3681)*(E3681=E$2:E3681)))))-COUNTBLANK(OFFSET(A$1,,,SUMPRODUCT(MAX(ROW(E$1:E3680)*(E2=E$1:E3680))))))</f>
        <v> </v>
      </c>
      <c r="K3681" s="25" t="str">
        <f>IF(OR(E3681="",E3681="!!!",F3681="NEW"),"",INDEX(J$1:J3680,SUMPRODUCT(MAX(ROW(E$1:E3680)*(E3681=E$1:E3680)))))</f>
        <v> </v>
      </c>
      <c r="L3681" s="26"/>
    </row>
    <row r="3682" spans="1:12">
      <c r="A3682" s="20" t="s">
        <v>1113</v>
      </c>
      <c r="E3682" s="21">
        <f>IF(D3682="?OLD","!!!","")</f>
        <v/>
      </c>
      <c r="F3682" s="22" t="str">
        <f>IF(OR(E3682="",E3682="!!!"),"",IF(NOT(ISNA(VLOOKUP(E3682,E$1:E3681,1,FALSE()))),"OLD",IF(AND(E3682&lt;&gt;"",E3682&lt;&gt;"!!!"),"NEW","")))</f>
        <v> </v>
      </c>
      <c r="G3682" s="23" t="str">
        <f>IF(OR(E3682="",E3682="!!!"),"",IF(OR(J3682=0,AND(J3682=1,K3682=1),AND(J3682=1,I3682="SBJ"),AND(J3682=1,I3682=0)),"?IN_FOCUS",IF(J3682&lt;=2,"?ACTIVATED",IF(J3682&lt;&gt;"","?FAMILIAR",IF(F3682="NEW",IF(ISNA(VLOOKUP(E3682,#REF!,1,FALSE())),"?TYPE_IDENTIFIABLE","?REFERENTIAL"),"_")))))</f>
        <v> </v>
      </c>
      <c r="H3682" s="24" t="str">
        <f>IF(J3682&lt;&gt;1,"",IF(I3682="SBJ","CB","?"))</f>
        <v> </v>
      </c>
      <c r="I3682" s="25" t="str">
        <f>IF(OR(E3682="",E3682="!!!",F3682="NEW"),"",INDEX(B3681:B$2,-1+SUMPRODUCT(MAX(ROW(E3681:E$2)*(E3682=E3681:E$2)))))</f>
        <v> </v>
      </c>
      <c r="J3682" s="25" t="str">
        <f>IF(OR(E3682="",E3682="!!!",F3682="NEW"),"",COUNTBLANK(OFFSET(A$1,,,SUMPRODUCT(MAX(ROW(E$2:E3682)*(E3682=E$2:E3682)))))-COUNTBLANK(OFFSET(A$1,,,SUMPRODUCT(MAX(ROW(E$1:E3681)*(E2=E$1:E3681))))))</f>
        <v> </v>
      </c>
      <c r="K3682" s="25" t="str">
        <f>IF(OR(E3682="",E3682="!!!",F3682="NEW"),"",INDEX(J$1:J3681,SUMPRODUCT(MAX(ROW(E$1:E3681)*(E3682=E$1:E3681)))))</f>
        <v> </v>
      </c>
      <c r="L3682" s="26"/>
    </row>
    <row r="3683" spans="1:12">
      <c r="A3683" s="20" t="s">
        <v>1536</v>
      </c>
      <c r="E3683" s="21">
        <f>IF(D3683="?OLD","!!!","")</f>
        <v/>
      </c>
      <c r="F3683" s="22" t="str">
        <f>IF(OR(E3683="",E3683="!!!"),"",IF(NOT(ISNA(VLOOKUP(E3683,E$1:E3682,1,FALSE()))),"OLD",IF(AND(E3683&lt;&gt;"",E3683&lt;&gt;"!!!"),"NEW","")))</f>
        <v> </v>
      </c>
      <c r="G3683" s="23" t="str">
        <f>IF(OR(E3683="",E3683="!!!"),"",IF(OR(J3683=0,AND(J3683=1,K3683=1),AND(J3683=1,I3683="SBJ"),AND(J3683=1,I3683=0)),"?IN_FOCUS",IF(J3683&lt;=2,"?ACTIVATED",IF(J3683&lt;&gt;"","?FAMILIAR",IF(F3683="NEW",IF(ISNA(VLOOKUP(E3683,#REF!,1,FALSE())),"?TYPE_IDENTIFIABLE","?REFERENTIAL"),"_")))))</f>
        <v> </v>
      </c>
      <c r="H3683" s="24" t="str">
        <f>IF(J3683&lt;&gt;1,"",IF(I3683="SBJ","CB","?"))</f>
        <v> </v>
      </c>
      <c r="I3683" s="25" t="str">
        <f>IF(OR(E3683="",E3683="!!!",F3683="NEW"),"",INDEX(B3682:B$2,-1+SUMPRODUCT(MAX(ROW(E3682:E$2)*(E3683=E3682:E$2)))))</f>
        <v> </v>
      </c>
      <c r="J3683" s="25" t="str">
        <f>IF(OR(E3683="",E3683="!!!",F3683="NEW"),"",COUNTBLANK(OFFSET(A$1,,,SUMPRODUCT(MAX(ROW(E$2:E3683)*(E3683=E$2:E3683)))))-COUNTBLANK(OFFSET(A$1,,,SUMPRODUCT(MAX(ROW(E$1:E3682)*(E2=E$1:E3682))))))</f>
        <v> </v>
      </c>
      <c r="K3683" s="25" t="str">
        <f>IF(OR(E3683="",E3683="!!!",F3683="NEW"),"",INDEX(J$1:J3682,SUMPRODUCT(MAX(ROW(E$1:E3682)*(E3683=E$1:E3682)))))</f>
        <v> </v>
      </c>
      <c r="L3683" s="26"/>
    </row>
    <row r="3684" spans="1:12">
      <c r="A3684" s="20" t="s">
        <v>2247</v>
      </c>
      <c r="E3684" s="21">
        <f>IF(D3684="?OLD","!!!","")</f>
        <v/>
      </c>
      <c r="F3684" s="22" t="str">
        <f>IF(OR(E3684="",E3684="!!!"),"",IF(NOT(ISNA(VLOOKUP(E3684,E$1:E3683,1,FALSE()))),"OLD",IF(AND(E3684&lt;&gt;"",E3684&lt;&gt;"!!!"),"NEW","")))</f>
        <v> </v>
      </c>
      <c r="G3684" s="23" t="str">
        <f>IF(OR(E3684="",E3684="!!!"),"",IF(OR(J3684=0,AND(J3684=1,K3684=1),AND(J3684=1,I3684="SBJ"),AND(J3684=1,I3684=0)),"?IN_FOCUS",IF(J3684&lt;=2,"?ACTIVATED",IF(J3684&lt;&gt;"","?FAMILIAR",IF(F3684="NEW",IF(ISNA(VLOOKUP(E3684,#REF!,1,FALSE())),"?TYPE_IDENTIFIABLE","?REFERENTIAL"),"_")))))</f>
        <v> </v>
      </c>
      <c r="H3684" s="24" t="str">
        <f>IF(J3684&lt;&gt;1,"",IF(I3684="SBJ","CB","?"))</f>
        <v> </v>
      </c>
      <c r="I3684" s="25" t="str">
        <f>IF(OR(E3684="",E3684="!!!",F3684="NEW"),"",INDEX(B3683:B$2,-1+SUMPRODUCT(MAX(ROW(E3683:E$2)*(E3684=E3683:E$2)))))</f>
        <v> </v>
      </c>
      <c r="J3684" s="25" t="str">
        <f>IF(OR(E3684="",E3684="!!!",F3684="NEW"),"",COUNTBLANK(OFFSET(A$1,,,SUMPRODUCT(MAX(ROW(E$2:E3684)*(E3684=E$2:E3684)))))-COUNTBLANK(OFFSET(A$1,,,SUMPRODUCT(MAX(ROW(E$1:E3683)*(E2=E$1:E3683))))))</f>
        <v> </v>
      </c>
      <c r="K3684" s="25" t="str">
        <f>IF(OR(E3684="",E3684="!!!",F3684="NEW"),"",INDEX(J$1:J3683,SUMPRODUCT(MAX(ROW(E$1:E3683)*(E3684=E$1:E3683)))))</f>
        <v> </v>
      </c>
      <c r="L3684" s="26"/>
    </row>
    <row r="3685" spans="1:12">
      <c r="A3685" s="20" t="s">
        <v>2248</v>
      </c>
      <c r="E3685" s="21">
        <f>IF(D3685="?OLD","!!!","")</f>
        <v/>
      </c>
      <c r="F3685" s="22" t="str">
        <f>IF(OR(E3685="",E3685="!!!"),"",IF(NOT(ISNA(VLOOKUP(E3685,E$1:E3684,1,FALSE()))),"OLD",IF(AND(E3685&lt;&gt;"",E3685&lt;&gt;"!!!"),"NEW","")))</f>
        <v> </v>
      </c>
      <c r="G3685" s="23" t="str">
        <f>IF(OR(E3685="",E3685="!!!"),"",IF(OR(J3685=0,AND(J3685=1,K3685=1),AND(J3685=1,I3685="SBJ"),AND(J3685=1,I3685=0)),"?IN_FOCUS",IF(J3685&lt;=2,"?ACTIVATED",IF(J3685&lt;&gt;"","?FAMILIAR",IF(F3685="NEW",IF(ISNA(VLOOKUP(E3685,#REF!,1,FALSE())),"?TYPE_IDENTIFIABLE","?REFERENTIAL"),"_")))))</f>
        <v> </v>
      </c>
      <c r="H3685" s="24" t="str">
        <f>IF(J3685&lt;&gt;1,"",IF(I3685="SBJ","CB","?"))</f>
        <v> </v>
      </c>
      <c r="I3685" s="25" t="str">
        <f>IF(OR(E3685="",E3685="!!!",F3685="NEW"),"",INDEX(B3684:B$2,-1+SUMPRODUCT(MAX(ROW(E3684:E$2)*(E3685=E3684:E$2)))))</f>
        <v> </v>
      </c>
      <c r="J3685" s="25" t="str">
        <f>IF(OR(E3685="",E3685="!!!",F3685="NEW"),"",COUNTBLANK(OFFSET(A$1,,,SUMPRODUCT(MAX(ROW(E$2:E3685)*(E3685=E$2:E3685)))))-COUNTBLANK(OFFSET(A$1,,,SUMPRODUCT(MAX(ROW(E$1:E3684)*(E2=E$1:E3684))))))</f>
        <v> </v>
      </c>
      <c r="K3685" s="25" t="str">
        <f>IF(OR(E3685="",E3685="!!!",F3685="NEW"),"",INDEX(J$1:J3684,SUMPRODUCT(MAX(ROW(E$1:E3684)*(E3685=E$1:E3684)))))</f>
        <v> </v>
      </c>
      <c r="L3685" s="26"/>
    </row>
    <row r="3686" spans="1:12">
      <c r="A3686" s="20" t="s">
        <v>1080</v>
      </c>
      <c r="E3686" s="21">
        <f>IF(D3686="?OLD","!!!","")</f>
        <v/>
      </c>
      <c r="F3686" s="22" t="str">
        <f>IF(OR(E3686="",E3686="!!!"),"",IF(NOT(ISNA(VLOOKUP(E3686,E$1:E3685,1,FALSE()))),"OLD",IF(AND(E3686&lt;&gt;"",E3686&lt;&gt;"!!!"),"NEW","")))</f>
        <v> </v>
      </c>
      <c r="G3686" s="23" t="str">
        <f>IF(OR(E3686="",E3686="!!!"),"",IF(OR(J3686=0,AND(J3686=1,K3686=1),AND(J3686=1,I3686="SBJ"),AND(J3686=1,I3686=0)),"?IN_FOCUS",IF(J3686&lt;=2,"?ACTIVATED",IF(J3686&lt;&gt;"","?FAMILIAR",IF(F3686="NEW",IF(ISNA(VLOOKUP(E3686,#REF!,1,FALSE())),"?TYPE_IDENTIFIABLE","?REFERENTIAL"),"_")))))</f>
        <v> </v>
      </c>
      <c r="H3686" s="24" t="str">
        <f>IF(J3686&lt;&gt;1,"",IF(I3686="SBJ","CB","?"))</f>
        <v> </v>
      </c>
      <c r="I3686" s="25" t="str">
        <f>IF(OR(E3686="",E3686="!!!",F3686="NEW"),"",INDEX(B3685:B$2,-1+SUMPRODUCT(MAX(ROW(E3685:E$2)*(E3686=E3685:E$2)))))</f>
        <v> </v>
      </c>
      <c r="J3686" s="25" t="str">
        <f>IF(OR(E3686="",E3686="!!!",F3686="NEW"),"",COUNTBLANK(OFFSET(A$1,,,SUMPRODUCT(MAX(ROW(E$2:E3686)*(E3686=E$2:E3686)))))-COUNTBLANK(OFFSET(A$1,,,SUMPRODUCT(MAX(ROW(E$1:E3685)*(E2=E$1:E3685))))))</f>
        <v> </v>
      </c>
      <c r="K3686" s="25" t="str">
        <f>IF(OR(E3686="",E3686="!!!",F3686="NEW"),"",INDEX(J$1:J3685,SUMPRODUCT(MAX(ROW(E$1:E3685)*(E3686=E$1:E3685)))))</f>
        <v> </v>
      </c>
      <c r="L3686" s="26"/>
    </row>
    <row r="3687" spans="1:12">
      <c r="A3687" s="20"/>
    </row>
    <row r="3688" spans="1:12">
      <c r="A3688" s="20" t="s">
        <v>2249</v>
      </c>
    </row>
    <row r="3689" spans="1:12">
      <c r="A3689" s="20" t="s">
        <v>2250</v>
      </c>
      <c r="E3689" s="21">
        <f>IF(D3689="?OLD","!!!","")</f>
        <v/>
      </c>
      <c r="F3689" s="22" t="str">
        <f>IF(OR(E3689="",E3689="!!!"),"",IF(NOT(ISNA(VLOOKUP(E3689,E$1:E3688,1,FALSE()))),"OLD",IF(AND(E3689&lt;&gt;"",E3689&lt;&gt;"!!!"),"NEW","")))</f>
        <v> </v>
      </c>
      <c r="G3689" s="23" t="str">
        <f>IF(OR(E3689="",E3689="!!!"),"",IF(OR(J3689=0,AND(J3689=1,K3689=1),AND(J3689=1,I3689="SBJ"),AND(J3689=1,I3689=0)),"?IN_FOCUS",IF(J3689&lt;=2,"?ACTIVATED",IF(J3689&lt;&gt;"","?FAMILIAR",IF(F3689="NEW",IF(ISNA(VLOOKUP(E3689,#REF!,1,FALSE())),"?TYPE_IDENTIFIABLE","?REFERENTIAL"),"_")))))</f>
        <v> </v>
      </c>
      <c r="H3689" s="24" t="str">
        <f>IF(J3689&lt;&gt;1,"",IF(I3689="SBJ","CB","?"))</f>
        <v> </v>
      </c>
      <c r="I3689" s="25" t="str">
        <f>IF(OR(E3689="",E3689="!!!",F3689="NEW"),"",INDEX(B3688:B$2,-1+SUMPRODUCT(MAX(ROW(E3688:E$2)*(E3689=E3688:E$2)))))</f>
        <v> </v>
      </c>
      <c r="J3689" s="25" t="str">
        <f>IF(OR(E3689="",E3689="!!!",F3689="NEW"),"",COUNTBLANK(OFFSET(A$1,,,SUMPRODUCT(MAX(ROW(E$2:E3689)*(E3689=E$2:E3689)))))-COUNTBLANK(OFFSET(A$1,,,SUMPRODUCT(MAX(ROW(E$1:E3688)*(E2=E$1:E3688))))))</f>
        <v> </v>
      </c>
      <c r="K3689" s="25" t="str">
        <f>IF(OR(E3689="",E3689="!!!",F3689="NEW"),"",INDEX(J$1:J3688,SUMPRODUCT(MAX(ROW(E$1:E3688)*(E3689=E$1:E3688)))))</f>
        <v> </v>
      </c>
      <c r="L3689" s="26"/>
    </row>
    <row r="3690" spans="1:12">
      <c r="A3690" s="20" t="s">
        <v>1097</v>
      </c>
      <c r="E3690" s="21">
        <f>IF(D3690="?OLD","!!!","")</f>
        <v/>
      </c>
      <c r="F3690" s="22" t="str">
        <f>IF(OR(E3690="",E3690="!!!"),"",IF(NOT(ISNA(VLOOKUP(E3690,E$1:E3689,1,FALSE()))),"OLD",IF(AND(E3690&lt;&gt;"",E3690&lt;&gt;"!!!"),"NEW","")))</f>
        <v> </v>
      </c>
      <c r="G3690" s="23" t="str">
        <f>IF(OR(E3690="",E3690="!!!"),"",IF(OR(J3690=0,AND(J3690=1,K3690=1),AND(J3690=1,I3690="SBJ"),AND(J3690=1,I3690=0)),"?IN_FOCUS",IF(J3690&lt;=2,"?ACTIVATED",IF(J3690&lt;&gt;"","?FAMILIAR",IF(F3690="NEW",IF(ISNA(VLOOKUP(E3690,#REF!,1,FALSE())),"?TYPE_IDENTIFIABLE","?REFERENTIAL"),"_")))))</f>
        <v> </v>
      </c>
      <c r="H3690" s="24" t="str">
        <f>IF(J3690&lt;&gt;1,"",IF(I3690="SBJ","CB","?"))</f>
        <v> </v>
      </c>
      <c r="I3690" s="25" t="str">
        <f>IF(OR(E3690="",E3690="!!!",F3690="NEW"),"",INDEX(B3689:B$2,-1+SUMPRODUCT(MAX(ROW(E3689:E$2)*(E3690=E3689:E$2)))))</f>
        <v> </v>
      </c>
      <c r="J3690" s="25" t="str">
        <f>IF(OR(E3690="",E3690="!!!",F3690="NEW"),"",COUNTBLANK(OFFSET(A$1,,,SUMPRODUCT(MAX(ROW(E$2:E3690)*(E3690=E$2:E3690)))))-COUNTBLANK(OFFSET(A$1,,,SUMPRODUCT(MAX(ROW(E$1:E3689)*(E2=E$1:E3689))))))</f>
        <v> </v>
      </c>
      <c r="K3690" s="25" t="str">
        <f>IF(OR(E3690="",E3690="!!!",F3690="NEW"),"",INDEX(J$1:J3689,SUMPRODUCT(MAX(ROW(E$1:E3689)*(E3690=E$1:E3689)))))</f>
        <v> </v>
      </c>
      <c r="L3690" s="26"/>
    </row>
    <row r="3691" spans="1:12">
      <c r="A3691" s="20" t="s">
        <v>2251</v>
      </c>
      <c r="B3691" s="27" t="s">
        <v>1095</v>
      </c>
      <c r="C3691" s="27" t="s">
        <v>1086</v>
      </c>
      <c r="D3691" s="27" t="s">
        <v>1069</v>
      </c>
      <c r="E3691" s="21">
        <f>IF(D3691="?OLD","!!!","")</f>
        <v/>
      </c>
      <c r="F3691" s="22" t="str">
        <f>IF(OR(E3691="",E3691="!!!"),"",IF(NOT(ISNA(VLOOKUP(E3691,E$1:E3690,1,FALSE()))),"OLD",IF(AND(E3691&lt;&gt;"",E3691&lt;&gt;"!!!"),"NEW","")))</f>
        <v> </v>
      </c>
      <c r="G3691" s="23" t="str">
        <f>IF(OR(E3691="",E3691="!!!"),"",IF(OR(J3691=0,AND(J3691=1,K3691=1),AND(J3691=1,I3691="SBJ"),AND(J3691=1,I3691=0)),"?IN_FOCUS",IF(J3691&lt;=2,"?ACTIVATED",IF(J3691&lt;&gt;"","?FAMILIAR",IF(F3691="NEW",IF(ISNA(VLOOKUP(E3691,#REF!,1,FALSE())),"?TYPE_IDENTIFIABLE","?REFERENTIAL"),"_")))))</f>
        <v> </v>
      </c>
      <c r="H3691" s="24" t="str">
        <f>IF(J3691&lt;&gt;1,"",IF(I3691="SBJ","CB","?"))</f>
        <v> </v>
      </c>
      <c r="I3691" s="25" t="str">
        <f>IF(OR(E3691="",E3691="!!!",F3691="NEW"),"",INDEX(B3690:B$2,-1+SUMPRODUCT(MAX(ROW(E3690:E$2)*(E3691=E3690:E$2)))))</f>
        <v> </v>
      </c>
      <c r="J3691" s="25" t="str">
        <f>IF(OR(E3691="",E3691="!!!",F3691="NEW"),"",COUNTBLANK(OFFSET(A$1,,,SUMPRODUCT(MAX(ROW(E$2:E3691)*(E3691=E$2:E3691)))))-COUNTBLANK(OFFSET(A$1,,,SUMPRODUCT(MAX(ROW(E$1:E3690)*(E2=E$1:E3690))))))</f>
        <v> </v>
      </c>
      <c r="K3691" s="25" t="str">
        <f>IF(OR(E3691="",E3691="!!!",F3691="NEW"),"",INDEX(J$1:J3690,SUMPRODUCT(MAX(ROW(E$1:E3690)*(E3691=E$1:E3690)))))</f>
        <v> </v>
      </c>
      <c r="L3691" s="26"/>
    </row>
    <row r="3692" spans="1:12">
      <c r="A3692" s="20" t="s">
        <v>2252</v>
      </c>
      <c r="E3692" s="21">
        <f>IF(D3692="?OLD","!!!","")</f>
        <v/>
      </c>
      <c r="F3692" s="22" t="str">
        <f>IF(OR(E3692="",E3692="!!!"),"",IF(NOT(ISNA(VLOOKUP(E3692,E$1:E3691,1,FALSE()))),"OLD",IF(AND(E3692&lt;&gt;"",E3692&lt;&gt;"!!!"),"NEW","")))</f>
        <v> </v>
      </c>
      <c r="G3692" s="23" t="str">
        <f>IF(OR(E3692="",E3692="!!!"),"",IF(OR(J3692=0,AND(J3692=1,K3692=1),AND(J3692=1,I3692="SBJ"),AND(J3692=1,I3692=0)),"?IN_FOCUS",IF(J3692&lt;=2,"?ACTIVATED",IF(J3692&lt;&gt;"","?FAMILIAR",IF(F3692="NEW",IF(ISNA(VLOOKUP(E3692,#REF!,1,FALSE())),"?TYPE_IDENTIFIABLE","?REFERENTIAL"),"_")))))</f>
        <v> </v>
      </c>
      <c r="H3692" s="24" t="str">
        <f>IF(J3692&lt;&gt;1,"",IF(I3692="SBJ","CB","?"))</f>
        <v> </v>
      </c>
      <c r="I3692" s="25" t="str">
        <f>IF(OR(E3692="",E3692="!!!",F3692="NEW"),"",INDEX(B3691:B$2,-1+SUMPRODUCT(MAX(ROW(E3691:E$2)*(E3692=E3691:E$2)))))</f>
        <v> </v>
      </c>
      <c r="J3692" s="25" t="str">
        <f>IF(OR(E3692="",E3692="!!!",F3692="NEW"),"",COUNTBLANK(OFFSET(A$1,,,SUMPRODUCT(MAX(ROW(E$2:E3692)*(E3692=E$2:E3692)))))-COUNTBLANK(OFFSET(A$1,,,SUMPRODUCT(MAX(ROW(E$1:E3691)*(E2=E$1:E3691))))))</f>
        <v> </v>
      </c>
      <c r="K3692" s="25" t="str">
        <f>IF(OR(E3692="",E3692="!!!",F3692="NEW"),"",INDEX(J$1:J3691,SUMPRODUCT(MAX(ROW(E$1:E3691)*(E3692=E$1:E3691)))))</f>
        <v> </v>
      </c>
      <c r="L3692" s="26"/>
    </row>
    <row r="3693" spans="1:12">
      <c r="A3693" s="20" t="s">
        <v>1191</v>
      </c>
      <c r="E3693" s="21">
        <f>IF(D3693="?OLD","!!!","")</f>
        <v/>
      </c>
      <c r="F3693" s="22" t="str">
        <f>IF(OR(E3693="",E3693="!!!"),"",IF(NOT(ISNA(VLOOKUP(E3693,E$1:E3692,1,FALSE()))),"OLD",IF(AND(E3693&lt;&gt;"",E3693&lt;&gt;"!!!"),"NEW","")))</f>
        <v> </v>
      </c>
      <c r="G3693" s="23" t="str">
        <f>IF(OR(E3693="",E3693="!!!"),"",IF(OR(J3693=0,AND(J3693=1,K3693=1),AND(J3693=1,I3693="SBJ"),AND(J3693=1,I3693=0)),"?IN_FOCUS",IF(J3693&lt;=2,"?ACTIVATED",IF(J3693&lt;&gt;"","?FAMILIAR",IF(F3693="NEW",IF(ISNA(VLOOKUP(E3693,#REF!,1,FALSE())),"?TYPE_IDENTIFIABLE","?REFERENTIAL"),"_")))))</f>
        <v> </v>
      </c>
      <c r="H3693" s="24" t="str">
        <f>IF(J3693&lt;&gt;1,"",IF(I3693="SBJ","CB","?"))</f>
        <v> </v>
      </c>
      <c r="I3693" s="25" t="str">
        <f>IF(OR(E3693="",E3693="!!!",F3693="NEW"),"",INDEX(B3692:B$2,-1+SUMPRODUCT(MAX(ROW(E3692:E$2)*(E3693=E3692:E$2)))))</f>
        <v> </v>
      </c>
      <c r="J3693" s="25" t="str">
        <f>IF(OR(E3693="",E3693="!!!",F3693="NEW"),"",COUNTBLANK(OFFSET(A$1,,,SUMPRODUCT(MAX(ROW(E$2:E3693)*(E3693=E$2:E3693)))))-COUNTBLANK(OFFSET(A$1,,,SUMPRODUCT(MAX(ROW(E$1:E3692)*(E2=E$1:E3692))))))</f>
        <v> </v>
      </c>
      <c r="K3693" s="25" t="str">
        <f>IF(OR(E3693="",E3693="!!!",F3693="NEW"),"",INDEX(J$1:J3692,SUMPRODUCT(MAX(ROW(E$1:E3692)*(E3693=E$1:E3692)))))</f>
        <v> </v>
      </c>
      <c r="L3693" s="26"/>
    </row>
    <row r="3694" spans="1:12">
      <c r="A3694" s="20" t="s">
        <v>1087</v>
      </c>
      <c r="E3694" s="21">
        <f>IF(D3694="?OLD","!!!","")</f>
        <v/>
      </c>
      <c r="F3694" s="22" t="str">
        <f>IF(OR(E3694="",E3694="!!!"),"",IF(NOT(ISNA(VLOOKUP(E3694,E$1:E3693,1,FALSE()))),"OLD",IF(AND(E3694&lt;&gt;"",E3694&lt;&gt;"!!!"),"NEW","")))</f>
        <v> </v>
      </c>
      <c r="G3694" s="23" t="str">
        <f>IF(OR(E3694="",E3694="!!!"),"",IF(OR(J3694=0,AND(J3694=1,K3694=1),AND(J3694=1,I3694="SBJ"),AND(J3694=1,I3694=0)),"?IN_FOCUS",IF(J3694&lt;=2,"?ACTIVATED",IF(J3694&lt;&gt;"","?FAMILIAR",IF(F3694="NEW",IF(ISNA(VLOOKUP(E3694,#REF!,1,FALSE())),"?TYPE_IDENTIFIABLE","?REFERENTIAL"),"_")))))</f>
        <v> </v>
      </c>
      <c r="H3694" s="24" t="str">
        <f>IF(J3694&lt;&gt;1,"",IF(I3694="SBJ","CB","?"))</f>
        <v> </v>
      </c>
      <c r="I3694" s="25" t="str">
        <f>IF(OR(E3694="",E3694="!!!",F3694="NEW"),"",INDEX(B3693:B$2,-1+SUMPRODUCT(MAX(ROW(E3693:E$2)*(E3694=E3693:E$2)))))</f>
        <v> </v>
      </c>
      <c r="J3694" s="25" t="str">
        <f>IF(OR(E3694="",E3694="!!!",F3694="NEW"),"",COUNTBLANK(OFFSET(A$1,,,SUMPRODUCT(MAX(ROW(E$2:E3694)*(E3694=E$2:E3694)))))-COUNTBLANK(OFFSET(A$1,,,SUMPRODUCT(MAX(ROW(E$1:E3693)*(E2=E$1:E3693))))))</f>
        <v> </v>
      </c>
      <c r="K3694" s="25" t="str">
        <f>IF(OR(E3694="",E3694="!!!",F3694="NEW"),"",INDEX(J$1:J3693,SUMPRODUCT(MAX(ROW(E$1:E3693)*(E3694=E$1:E3693)))))</f>
        <v> </v>
      </c>
      <c r="L3694" s="26"/>
    </row>
    <row r="3695" spans="1:12">
      <c r="A3695" s="20" t="s">
        <v>1196</v>
      </c>
      <c r="E3695" s="21">
        <f>IF(D3695="?OLD","!!!","")</f>
        <v/>
      </c>
      <c r="F3695" s="22" t="str">
        <f>IF(OR(E3695="",E3695="!!!"),"",IF(NOT(ISNA(VLOOKUP(E3695,E$1:E3694,1,FALSE()))),"OLD",IF(AND(E3695&lt;&gt;"",E3695&lt;&gt;"!!!"),"NEW","")))</f>
        <v> </v>
      </c>
      <c r="G3695" s="23" t="str">
        <f>IF(OR(E3695="",E3695="!!!"),"",IF(OR(J3695=0,AND(J3695=1,K3695=1),AND(J3695=1,I3695="SBJ"),AND(J3695=1,I3695=0)),"?IN_FOCUS",IF(J3695&lt;=2,"?ACTIVATED",IF(J3695&lt;&gt;"","?FAMILIAR",IF(F3695="NEW",IF(ISNA(VLOOKUP(E3695,#REF!,1,FALSE())),"?TYPE_IDENTIFIABLE","?REFERENTIAL"),"_")))))</f>
        <v> </v>
      </c>
      <c r="H3695" s="24" t="str">
        <f>IF(J3695&lt;&gt;1,"",IF(I3695="SBJ","CB","?"))</f>
        <v> </v>
      </c>
      <c r="I3695" s="25" t="str">
        <f>IF(OR(E3695="",E3695="!!!",F3695="NEW"),"",INDEX(B3694:B$2,-1+SUMPRODUCT(MAX(ROW(E3694:E$2)*(E3695=E3694:E$2)))))</f>
        <v> </v>
      </c>
      <c r="J3695" s="25" t="str">
        <f>IF(OR(E3695="",E3695="!!!",F3695="NEW"),"",COUNTBLANK(OFFSET(A$1,,,SUMPRODUCT(MAX(ROW(E$2:E3695)*(E3695=E$2:E3695)))))-COUNTBLANK(OFFSET(A$1,,,SUMPRODUCT(MAX(ROW(E$1:E3694)*(E2=E$1:E3694))))))</f>
        <v> </v>
      </c>
      <c r="K3695" s="25" t="str">
        <f>IF(OR(E3695="",E3695="!!!",F3695="NEW"),"",INDEX(J$1:J3694,SUMPRODUCT(MAX(ROW(E$1:E3694)*(E3695=E$1:E3694)))))</f>
        <v> </v>
      </c>
      <c r="L3695" s="26"/>
    </row>
    <row r="3696" spans="1:12">
      <c r="A3696" s="20" t="s">
        <v>1772</v>
      </c>
      <c r="B3696" s="27" t="s">
        <v>1133</v>
      </c>
      <c r="C3696" s="27" t="s">
        <v>1068</v>
      </c>
      <c r="D3696" s="27" t="s">
        <v>1069</v>
      </c>
      <c r="E3696" s="21">
        <f>IF(D3696="?OLD","!!!","")</f>
        <v/>
      </c>
      <c r="F3696" s="22" t="str">
        <f>IF(OR(E3696="",E3696="!!!"),"",IF(NOT(ISNA(VLOOKUP(E3696,E$1:E3695,1,FALSE()))),"OLD",IF(AND(E3696&lt;&gt;"",E3696&lt;&gt;"!!!"),"NEW","")))</f>
        <v> </v>
      </c>
      <c r="G3696" s="23" t="str">
        <f>IF(OR(E3696="",E3696="!!!"),"",IF(OR(J3696=0,AND(J3696=1,K3696=1),AND(J3696=1,I3696="SBJ"),AND(J3696=1,I3696=0)),"?IN_FOCUS",IF(J3696&lt;=2,"?ACTIVATED",IF(J3696&lt;&gt;"","?FAMILIAR",IF(F3696="NEW",IF(ISNA(VLOOKUP(E3696,#REF!,1,FALSE())),"?TYPE_IDENTIFIABLE","?REFERENTIAL"),"_")))))</f>
        <v> </v>
      </c>
      <c r="H3696" s="24" t="str">
        <f>IF(J3696&lt;&gt;1,"",IF(I3696="SBJ","CB","?"))</f>
        <v> </v>
      </c>
      <c r="I3696" s="25" t="str">
        <f>IF(OR(E3696="",E3696="!!!",F3696="NEW"),"",INDEX(B3695:B$2,-1+SUMPRODUCT(MAX(ROW(E3695:E$2)*(E3696=E3695:E$2)))))</f>
        <v> </v>
      </c>
      <c r="J3696" s="25" t="str">
        <f>IF(OR(E3696="",E3696="!!!",F3696="NEW"),"",COUNTBLANK(OFFSET(A$1,,,SUMPRODUCT(MAX(ROW(E$2:E3696)*(E3696=E$2:E3696)))))-COUNTBLANK(OFFSET(A$1,,,SUMPRODUCT(MAX(ROW(E$1:E3695)*(E2=E$1:E3695))))))</f>
        <v> </v>
      </c>
      <c r="K3696" s="25" t="str">
        <f>IF(OR(E3696="",E3696="!!!",F3696="NEW"),"",INDEX(J$1:J3695,SUMPRODUCT(MAX(ROW(E$1:E3695)*(E3696=E$1:E3695)))))</f>
        <v> </v>
      </c>
      <c r="L3696" s="26"/>
    </row>
    <row r="3697" spans="1:12">
      <c r="A3697" s="20" t="s">
        <v>1165</v>
      </c>
      <c r="E3697" s="21">
        <f>IF(D3697="?OLD","!!!","")</f>
        <v/>
      </c>
      <c r="F3697" s="22" t="str">
        <f>IF(OR(E3697="",E3697="!!!"),"",IF(NOT(ISNA(VLOOKUP(E3697,E$1:E3696,1,FALSE()))),"OLD",IF(AND(E3697&lt;&gt;"",E3697&lt;&gt;"!!!"),"NEW","")))</f>
        <v> </v>
      </c>
      <c r="G3697" s="23" t="str">
        <f>IF(OR(E3697="",E3697="!!!"),"",IF(OR(J3697=0,AND(J3697=1,K3697=1),AND(J3697=1,I3697="SBJ"),AND(J3697=1,I3697=0)),"?IN_FOCUS",IF(J3697&lt;=2,"?ACTIVATED",IF(J3697&lt;&gt;"","?FAMILIAR",IF(F3697="NEW",IF(ISNA(VLOOKUP(E3697,#REF!,1,FALSE())),"?TYPE_IDENTIFIABLE","?REFERENTIAL"),"_")))))</f>
        <v> </v>
      </c>
      <c r="H3697" s="24" t="str">
        <f>IF(J3697&lt;&gt;1,"",IF(I3697="SBJ","CB","?"))</f>
        <v> </v>
      </c>
      <c r="I3697" s="25" t="str">
        <f>IF(OR(E3697="",E3697="!!!",F3697="NEW"),"",INDEX(B3696:B$2,-1+SUMPRODUCT(MAX(ROW(E3696:E$2)*(E3697=E3696:E$2)))))</f>
        <v> </v>
      </c>
      <c r="J3697" s="25" t="str">
        <f>IF(OR(E3697="",E3697="!!!",F3697="NEW"),"",COUNTBLANK(OFFSET(A$1,,,SUMPRODUCT(MAX(ROW(E$2:E3697)*(E3697=E$2:E3697)))))-COUNTBLANK(OFFSET(A$1,,,SUMPRODUCT(MAX(ROW(E$1:E3696)*(E2=E$1:E3696))))))</f>
        <v> </v>
      </c>
      <c r="K3697" s="25" t="str">
        <f>IF(OR(E3697="",E3697="!!!",F3697="NEW"),"",INDEX(J$1:J3696,SUMPRODUCT(MAX(ROW(E$1:E3696)*(E3697=E$1:E3696)))))</f>
        <v> </v>
      </c>
      <c r="L3697" s="26"/>
    </row>
    <row r="3698" spans="1:12">
      <c r="A3698" s="20" t="s">
        <v>2253</v>
      </c>
      <c r="E3698" s="21">
        <f>IF(D3698="?OLD","!!!","")</f>
        <v/>
      </c>
      <c r="F3698" s="22" t="str">
        <f>IF(OR(E3698="",E3698="!!!"),"",IF(NOT(ISNA(VLOOKUP(E3698,E$1:E3697,1,FALSE()))),"OLD",IF(AND(E3698&lt;&gt;"",E3698&lt;&gt;"!!!"),"NEW","")))</f>
        <v> </v>
      </c>
      <c r="G3698" s="23" t="str">
        <f>IF(OR(E3698="",E3698="!!!"),"",IF(OR(J3698=0,AND(J3698=1,K3698=1),AND(J3698=1,I3698="SBJ"),AND(J3698=1,I3698=0)),"?IN_FOCUS",IF(J3698&lt;=2,"?ACTIVATED",IF(J3698&lt;&gt;"","?FAMILIAR",IF(F3698="NEW",IF(ISNA(VLOOKUP(E3698,#REF!,1,FALSE())),"?TYPE_IDENTIFIABLE","?REFERENTIAL"),"_")))))</f>
        <v> </v>
      </c>
      <c r="H3698" s="24" t="str">
        <f>IF(J3698&lt;&gt;1,"",IF(I3698="SBJ","CB","?"))</f>
        <v> </v>
      </c>
      <c r="I3698" s="25" t="str">
        <f>IF(OR(E3698="",E3698="!!!",F3698="NEW"),"",INDEX(B3697:B$2,-1+SUMPRODUCT(MAX(ROW(E3697:E$2)*(E3698=E3697:E$2)))))</f>
        <v> </v>
      </c>
      <c r="J3698" s="25" t="str">
        <f>IF(OR(E3698="",E3698="!!!",F3698="NEW"),"",COUNTBLANK(OFFSET(A$1,,,SUMPRODUCT(MAX(ROW(E$2:E3698)*(E3698=E$2:E3698)))))-COUNTBLANK(OFFSET(A$1,,,SUMPRODUCT(MAX(ROW(E$1:E3697)*(E2=E$1:E3697))))))</f>
        <v> </v>
      </c>
      <c r="K3698" s="25" t="str">
        <f>IF(OR(E3698="",E3698="!!!",F3698="NEW"),"",INDEX(J$1:J3697,SUMPRODUCT(MAX(ROW(E$1:E3697)*(E3698=E$1:E3697)))))</f>
        <v> </v>
      </c>
      <c r="L3698" s="26"/>
    </row>
    <row r="3699" spans="1:12">
      <c r="A3699" s="20" t="s">
        <v>1166</v>
      </c>
      <c r="E3699" s="21">
        <f>IF(D3699="?OLD","!!!","")</f>
        <v/>
      </c>
      <c r="F3699" s="22" t="str">
        <f>IF(OR(E3699="",E3699="!!!"),"",IF(NOT(ISNA(VLOOKUP(E3699,E$1:E3698,1,FALSE()))),"OLD",IF(AND(E3699&lt;&gt;"",E3699&lt;&gt;"!!!"),"NEW","")))</f>
        <v> </v>
      </c>
      <c r="G3699" s="23" t="str">
        <f>IF(OR(E3699="",E3699="!!!"),"",IF(OR(J3699=0,AND(J3699=1,K3699=1),AND(J3699=1,I3699="SBJ"),AND(J3699=1,I3699=0)),"?IN_FOCUS",IF(J3699&lt;=2,"?ACTIVATED",IF(J3699&lt;&gt;"","?FAMILIAR",IF(F3699="NEW",IF(ISNA(VLOOKUP(E3699,#REF!,1,FALSE())),"?TYPE_IDENTIFIABLE","?REFERENTIAL"),"_")))))</f>
        <v> </v>
      </c>
      <c r="H3699" s="24" t="str">
        <f>IF(J3699&lt;&gt;1,"",IF(I3699="SBJ","CB","?"))</f>
        <v> </v>
      </c>
      <c r="I3699" s="25" t="str">
        <f>IF(OR(E3699="",E3699="!!!",F3699="NEW"),"",INDEX(B3698:B$2,-1+SUMPRODUCT(MAX(ROW(E3698:E$2)*(E3699=E3698:E$2)))))</f>
        <v> </v>
      </c>
      <c r="J3699" s="25" t="str">
        <f>IF(OR(E3699="",E3699="!!!",F3699="NEW"),"",COUNTBLANK(OFFSET(A$1,,,SUMPRODUCT(MAX(ROW(E$2:E3699)*(E3699=E$2:E3699)))))-COUNTBLANK(OFFSET(A$1,,,SUMPRODUCT(MAX(ROW(E$1:E3698)*(E2=E$1:E3698))))))</f>
        <v> </v>
      </c>
      <c r="K3699" s="25" t="str">
        <f>IF(OR(E3699="",E3699="!!!",F3699="NEW"),"",INDEX(J$1:J3698,SUMPRODUCT(MAX(ROW(E$1:E3698)*(E3699=E$1:E3698)))))</f>
        <v> </v>
      </c>
      <c r="L3699" s="26"/>
    </row>
    <row r="3700" spans="1:12">
      <c r="A3700" s="20" t="s">
        <v>2254</v>
      </c>
      <c r="E3700" s="21">
        <f>IF(D3700="?OLD","!!!","")</f>
        <v/>
      </c>
      <c r="F3700" s="22" t="str">
        <f>IF(OR(E3700="",E3700="!!!"),"",IF(NOT(ISNA(VLOOKUP(E3700,E$1:E3699,1,FALSE()))),"OLD",IF(AND(E3700&lt;&gt;"",E3700&lt;&gt;"!!!"),"NEW","")))</f>
        <v> </v>
      </c>
      <c r="G3700" s="23" t="str">
        <f>IF(OR(E3700="",E3700="!!!"),"",IF(OR(J3700=0,AND(J3700=1,K3700=1),AND(J3700=1,I3700="SBJ"),AND(J3700=1,I3700=0)),"?IN_FOCUS",IF(J3700&lt;=2,"?ACTIVATED",IF(J3700&lt;&gt;"","?FAMILIAR",IF(F3700="NEW",IF(ISNA(VLOOKUP(E3700,#REF!,1,FALSE())),"?TYPE_IDENTIFIABLE","?REFERENTIAL"),"_")))))</f>
        <v> </v>
      </c>
      <c r="H3700" s="24" t="str">
        <f>IF(J3700&lt;&gt;1,"",IF(I3700="SBJ","CB","?"))</f>
        <v> </v>
      </c>
      <c r="I3700" s="25" t="str">
        <f>IF(OR(E3700="",E3700="!!!",F3700="NEW"),"",INDEX(B3699:B$2,-1+SUMPRODUCT(MAX(ROW(E3699:E$2)*(E3700=E3699:E$2)))))</f>
        <v> </v>
      </c>
      <c r="J3700" s="25" t="str">
        <f>IF(OR(E3700="",E3700="!!!",F3700="NEW"),"",COUNTBLANK(OFFSET(A$1,,,SUMPRODUCT(MAX(ROW(E$2:E3700)*(E3700=E$2:E3700)))))-COUNTBLANK(OFFSET(A$1,,,SUMPRODUCT(MAX(ROW(E$1:E3699)*(E2=E$1:E3699))))))</f>
        <v> </v>
      </c>
      <c r="K3700" s="25" t="str">
        <f>IF(OR(E3700="",E3700="!!!",F3700="NEW"),"",INDEX(J$1:J3699,SUMPRODUCT(MAX(ROW(E$1:E3699)*(E3700=E$1:E3699)))))</f>
        <v> </v>
      </c>
      <c r="L3700" s="26"/>
    </row>
    <row r="3701" spans="1:12">
      <c r="A3701" s="20" t="s">
        <v>1087</v>
      </c>
      <c r="E3701" s="21">
        <f>IF(D3701="?OLD","!!!","")</f>
        <v/>
      </c>
      <c r="F3701" s="22" t="str">
        <f>IF(OR(E3701="",E3701="!!!"),"",IF(NOT(ISNA(VLOOKUP(E3701,E$1:E3700,1,FALSE()))),"OLD",IF(AND(E3701&lt;&gt;"",E3701&lt;&gt;"!!!"),"NEW","")))</f>
        <v> </v>
      </c>
      <c r="G3701" s="23" t="str">
        <f>IF(OR(E3701="",E3701="!!!"),"",IF(OR(J3701=0,AND(J3701=1,K3701=1),AND(J3701=1,I3701="SBJ"),AND(J3701=1,I3701=0)),"?IN_FOCUS",IF(J3701&lt;=2,"?ACTIVATED",IF(J3701&lt;&gt;"","?FAMILIAR",IF(F3701="NEW",IF(ISNA(VLOOKUP(E3701,#REF!,1,FALSE())),"?TYPE_IDENTIFIABLE","?REFERENTIAL"),"_")))))</f>
        <v> </v>
      </c>
      <c r="H3701" s="24" t="str">
        <f>IF(J3701&lt;&gt;1,"",IF(I3701="SBJ","CB","?"))</f>
        <v> </v>
      </c>
      <c r="I3701" s="25" t="str">
        <f>IF(OR(E3701="",E3701="!!!",F3701="NEW"),"",INDEX(B3700:B$2,-1+SUMPRODUCT(MAX(ROW(E3700:E$2)*(E3701=E3700:E$2)))))</f>
        <v> </v>
      </c>
      <c r="J3701" s="25" t="str">
        <f>IF(OR(E3701="",E3701="!!!",F3701="NEW"),"",COUNTBLANK(OFFSET(A$1,,,SUMPRODUCT(MAX(ROW(E$2:E3701)*(E3701=E$2:E3701)))))-COUNTBLANK(OFFSET(A$1,,,SUMPRODUCT(MAX(ROW(E$1:E3700)*(E2=E$1:E3700))))))</f>
        <v> </v>
      </c>
      <c r="K3701" s="25" t="str">
        <f>IF(OR(E3701="",E3701="!!!",F3701="NEW"),"",INDEX(J$1:J3700,SUMPRODUCT(MAX(ROW(E$1:E3700)*(E3701=E$1:E3700)))))</f>
        <v> </v>
      </c>
      <c r="L3701" s="26"/>
    </row>
    <row r="3702" spans="1:12">
      <c r="A3702" s="20" t="s">
        <v>1352</v>
      </c>
      <c r="E3702" s="21">
        <f>IF(D3702="?OLD","!!!","")</f>
        <v/>
      </c>
      <c r="F3702" s="22" t="str">
        <f>IF(OR(E3702="",E3702="!!!"),"",IF(NOT(ISNA(VLOOKUP(E3702,E$1:E3701,1,FALSE()))),"OLD",IF(AND(E3702&lt;&gt;"",E3702&lt;&gt;"!!!"),"NEW","")))</f>
        <v> </v>
      </c>
      <c r="G3702" s="23" t="str">
        <f>IF(OR(E3702="",E3702="!!!"),"",IF(OR(J3702=0,AND(J3702=1,K3702=1),AND(J3702=1,I3702="SBJ"),AND(J3702=1,I3702=0)),"?IN_FOCUS",IF(J3702&lt;=2,"?ACTIVATED",IF(J3702&lt;&gt;"","?FAMILIAR",IF(F3702="NEW",IF(ISNA(VLOOKUP(E3702,#REF!,1,FALSE())),"?TYPE_IDENTIFIABLE","?REFERENTIAL"),"_")))))</f>
        <v> </v>
      </c>
      <c r="H3702" s="24" t="str">
        <f>IF(J3702&lt;&gt;1,"",IF(I3702="SBJ","CB","?"))</f>
        <v> </v>
      </c>
      <c r="I3702" s="25" t="str">
        <f>IF(OR(E3702="",E3702="!!!",F3702="NEW"),"",INDEX(B3701:B$2,-1+SUMPRODUCT(MAX(ROW(E3701:E$2)*(E3702=E3701:E$2)))))</f>
        <v> </v>
      </c>
      <c r="J3702" s="25" t="str">
        <f>IF(OR(E3702="",E3702="!!!",F3702="NEW"),"",COUNTBLANK(OFFSET(A$1,,,SUMPRODUCT(MAX(ROW(E$2:E3702)*(E3702=E$2:E3702)))))-COUNTBLANK(OFFSET(A$1,,,SUMPRODUCT(MAX(ROW(E$1:E3701)*(E2=E$1:E3701))))))</f>
        <v> </v>
      </c>
      <c r="K3702" s="25" t="str">
        <f>IF(OR(E3702="",E3702="!!!",F3702="NEW"),"",INDEX(J$1:J3701,SUMPRODUCT(MAX(ROW(E$1:E3701)*(E3702=E$1:E3701)))))</f>
        <v> </v>
      </c>
      <c r="L3702" s="26"/>
    </row>
    <row r="3703" spans="1:12">
      <c r="A3703" s="20" t="s">
        <v>1191</v>
      </c>
      <c r="E3703" s="21">
        <f>IF(D3703="?OLD","!!!","")</f>
        <v/>
      </c>
      <c r="F3703" s="22" t="str">
        <f>IF(OR(E3703="",E3703="!!!"),"",IF(NOT(ISNA(VLOOKUP(E3703,E$1:E3702,1,FALSE()))),"OLD",IF(AND(E3703&lt;&gt;"",E3703&lt;&gt;"!!!"),"NEW","")))</f>
        <v> </v>
      </c>
      <c r="G3703" s="23" t="str">
        <f>IF(OR(E3703="",E3703="!!!"),"",IF(OR(J3703=0,AND(J3703=1,K3703=1),AND(J3703=1,I3703="SBJ"),AND(J3703=1,I3703=0)),"?IN_FOCUS",IF(J3703&lt;=2,"?ACTIVATED",IF(J3703&lt;&gt;"","?FAMILIAR",IF(F3703="NEW",IF(ISNA(VLOOKUP(E3703,#REF!,1,FALSE())),"?TYPE_IDENTIFIABLE","?REFERENTIAL"),"_")))))</f>
        <v> </v>
      </c>
      <c r="H3703" s="24" t="str">
        <f>IF(J3703&lt;&gt;1,"",IF(I3703="SBJ","CB","?"))</f>
        <v> </v>
      </c>
      <c r="I3703" s="25" t="str">
        <f>IF(OR(E3703="",E3703="!!!",F3703="NEW"),"",INDEX(B3702:B$2,-1+SUMPRODUCT(MAX(ROW(E3702:E$2)*(E3703=E3702:E$2)))))</f>
        <v> </v>
      </c>
      <c r="J3703" s="25" t="str">
        <f>IF(OR(E3703="",E3703="!!!",F3703="NEW"),"",COUNTBLANK(OFFSET(A$1,,,SUMPRODUCT(MAX(ROW(E$2:E3703)*(E3703=E$2:E3703)))))-COUNTBLANK(OFFSET(A$1,,,SUMPRODUCT(MAX(ROW(E$1:E3702)*(E2=E$1:E3702))))))</f>
        <v> </v>
      </c>
      <c r="K3703" s="25" t="str">
        <f>IF(OR(E3703="",E3703="!!!",F3703="NEW"),"",INDEX(J$1:J3702,SUMPRODUCT(MAX(ROW(E$1:E3702)*(E3703=E$1:E3702)))))</f>
        <v> </v>
      </c>
      <c r="L3703" s="26"/>
    </row>
    <row r="3704" spans="1:12">
      <c r="A3704" s="20" t="s">
        <v>1453</v>
      </c>
      <c r="B3704" s="27" t="s">
        <v>1067</v>
      </c>
      <c r="C3704" s="27" t="s">
        <v>1072</v>
      </c>
      <c r="E3704" s="21">
        <f>IF(D3704="?OLD","!!!","")</f>
        <v/>
      </c>
      <c r="F3704" s="22" t="str">
        <f>IF(OR(E3704="",E3704="!!!"),"",IF(NOT(ISNA(VLOOKUP(E3704,E$1:E3703,1,FALSE()))),"OLD",IF(AND(E3704&lt;&gt;"",E3704&lt;&gt;"!!!"),"NEW","")))</f>
        <v> </v>
      </c>
      <c r="G3704" s="23" t="str">
        <f>IF(OR(E3704="",E3704="!!!"),"",IF(OR(J3704=0,AND(J3704=1,K3704=1),AND(J3704=1,I3704="SBJ"),AND(J3704=1,I3704=0)),"?IN_FOCUS",IF(J3704&lt;=2,"?ACTIVATED",IF(J3704&lt;&gt;"","?FAMILIAR",IF(F3704="NEW",IF(ISNA(VLOOKUP(E3704,#REF!,1,FALSE())),"?TYPE_IDENTIFIABLE","?REFERENTIAL"),"_")))))</f>
        <v> </v>
      </c>
      <c r="H3704" s="24" t="str">
        <f>IF(J3704&lt;&gt;1,"",IF(I3704="SBJ","CB","?"))</f>
        <v> </v>
      </c>
      <c r="I3704" s="25" t="str">
        <f>IF(OR(E3704="",E3704="!!!",F3704="NEW"),"",INDEX(B3703:B$2,-1+SUMPRODUCT(MAX(ROW(E3703:E$2)*(E3704=E3703:E$2)))))</f>
        <v> </v>
      </c>
      <c r="J3704" s="25" t="str">
        <f>IF(OR(E3704="",E3704="!!!",F3704="NEW"),"",COUNTBLANK(OFFSET(A$1,,,SUMPRODUCT(MAX(ROW(E$2:E3704)*(E3704=E$2:E3704)))))-COUNTBLANK(OFFSET(A$1,,,SUMPRODUCT(MAX(ROW(E$1:E3703)*(E2=E$1:E3703))))))</f>
        <v> </v>
      </c>
      <c r="K3704" s="25" t="str">
        <f>IF(OR(E3704="",E3704="!!!",F3704="NEW"),"",INDEX(J$1:J3703,SUMPRODUCT(MAX(ROW(E$1:E3703)*(E3704=E$1:E3703)))))</f>
        <v> </v>
      </c>
      <c r="L3704" s="26"/>
    </row>
    <row r="3705" spans="1:12">
      <c r="A3705" s="20" t="s">
        <v>1339</v>
      </c>
      <c r="E3705" s="21">
        <f>IF(D3705="?OLD","!!!","")</f>
        <v/>
      </c>
      <c r="F3705" s="22" t="str">
        <f>IF(OR(E3705="",E3705="!!!"),"",IF(NOT(ISNA(VLOOKUP(E3705,E$1:E3704,1,FALSE()))),"OLD",IF(AND(E3705&lt;&gt;"",E3705&lt;&gt;"!!!"),"NEW","")))</f>
        <v> </v>
      </c>
      <c r="G3705" s="23" t="str">
        <f>IF(OR(E3705="",E3705="!!!"),"",IF(OR(J3705=0,AND(J3705=1,K3705=1),AND(J3705=1,I3705="SBJ"),AND(J3705=1,I3705=0)),"?IN_FOCUS",IF(J3705&lt;=2,"?ACTIVATED",IF(J3705&lt;&gt;"","?FAMILIAR",IF(F3705="NEW",IF(ISNA(VLOOKUP(E3705,#REF!,1,FALSE())),"?TYPE_IDENTIFIABLE","?REFERENTIAL"),"_")))))</f>
        <v> </v>
      </c>
      <c r="H3705" s="24" t="str">
        <f>IF(J3705&lt;&gt;1,"",IF(I3705="SBJ","CB","?"))</f>
        <v> </v>
      </c>
      <c r="I3705" s="25" t="str">
        <f>IF(OR(E3705="",E3705="!!!",F3705="NEW"),"",INDEX(B3704:B$2,-1+SUMPRODUCT(MAX(ROW(E3704:E$2)*(E3705=E3704:E$2)))))</f>
        <v> </v>
      </c>
      <c r="J3705" s="25" t="str">
        <f>IF(OR(E3705="",E3705="!!!",F3705="NEW"),"",COUNTBLANK(OFFSET(A$1,,,SUMPRODUCT(MAX(ROW(E$2:E3705)*(E3705=E$2:E3705)))))-COUNTBLANK(OFFSET(A$1,,,SUMPRODUCT(MAX(ROW(E$1:E3704)*(E2=E$1:E3704))))))</f>
        <v> </v>
      </c>
      <c r="K3705" s="25" t="str">
        <f>IF(OR(E3705="",E3705="!!!",F3705="NEW"),"",INDEX(J$1:J3704,SUMPRODUCT(MAX(ROW(E$1:E3704)*(E3705=E$1:E3704)))))</f>
        <v> </v>
      </c>
      <c r="L3705" s="26"/>
    </row>
    <row r="3706" spans="1:12">
      <c r="A3706" s="20" t="s">
        <v>1263</v>
      </c>
      <c r="E3706" s="21">
        <f>IF(D3706="?OLD","!!!","")</f>
        <v/>
      </c>
      <c r="F3706" s="22" t="str">
        <f>IF(OR(E3706="",E3706="!!!"),"",IF(NOT(ISNA(VLOOKUP(E3706,E$1:E3705,1,FALSE()))),"OLD",IF(AND(E3706&lt;&gt;"",E3706&lt;&gt;"!!!"),"NEW","")))</f>
        <v> </v>
      </c>
      <c r="G3706" s="23" t="str">
        <f>IF(OR(E3706="",E3706="!!!"),"",IF(OR(J3706=0,AND(J3706=1,K3706=1),AND(J3706=1,I3706="SBJ"),AND(J3706=1,I3706=0)),"?IN_FOCUS",IF(J3706&lt;=2,"?ACTIVATED",IF(J3706&lt;&gt;"","?FAMILIAR",IF(F3706="NEW",IF(ISNA(VLOOKUP(E3706,#REF!,1,FALSE())),"?TYPE_IDENTIFIABLE","?REFERENTIAL"),"_")))))</f>
        <v> </v>
      </c>
      <c r="H3706" s="24" t="str">
        <f>IF(J3706&lt;&gt;1,"",IF(I3706="SBJ","CB","?"))</f>
        <v> </v>
      </c>
      <c r="I3706" s="25" t="str">
        <f>IF(OR(E3706="",E3706="!!!",F3706="NEW"),"",INDEX(B3705:B$2,-1+SUMPRODUCT(MAX(ROW(E3705:E$2)*(E3706=E3705:E$2)))))</f>
        <v> </v>
      </c>
      <c r="J3706" s="25" t="str">
        <f>IF(OR(E3706="",E3706="!!!",F3706="NEW"),"",COUNTBLANK(OFFSET(A$1,,,SUMPRODUCT(MAX(ROW(E$2:E3706)*(E3706=E$2:E3706)))))-COUNTBLANK(OFFSET(A$1,,,SUMPRODUCT(MAX(ROW(E$1:E3705)*(E2=E$1:E3705))))))</f>
        <v> </v>
      </c>
      <c r="K3706" s="25" t="str">
        <f>IF(OR(E3706="",E3706="!!!",F3706="NEW"),"",INDEX(J$1:J3705,SUMPRODUCT(MAX(ROW(E$1:E3705)*(E3706=E$1:E3705)))))</f>
        <v> </v>
      </c>
      <c r="L3706" s="26"/>
    </row>
    <row r="3707" spans="1:12">
      <c r="A3707" s="20" t="s">
        <v>1087</v>
      </c>
      <c r="E3707" s="21">
        <f>IF(D3707="?OLD","!!!","")</f>
        <v/>
      </c>
      <c r="F3707" s="22" t="str">
        <f>IF(OR(E3707="",E3707="!!!"),"",IF(NOT(ISNA(VLOOKUP(E3707,E$1:E3706,1,FALSE()))),"OLD",IF(AND(E3707&lt;&gt;"",E3707&lt;&gt;"!!!"),"NEW","")))</f>
        <v> </v>
      </c>
      <c r="G3707" s="23" t="str">
        <f>IF(OR(E3707="",E3707="!!!"),"",IF(OR(J3707=0,AND(J3707=1,K3707=1),AND(J3707=1,I3707="SBJ"),AND(J3707=1,I3707=0)),"?IN_FOCUS",IF(J3707&lt;=2,"?ACTIVATED",IF(J3707&lt;&gt;"","?FAMILIAR",IF(F3707="NEW",IF(ISNA(VLOOKUP(E3707,#REF!,1,FALSE())),"?TYPE_IDENTIFIABLE","?REFERENTIAL"),"_")))))</f>
        <v> </v>
      </c>
      <c r="H3707" s="24" t="str">
        <f>IF(J3707&lt;&gt;1,"",IF(I3707="SBJ","CB","?"))</f>
        <v> </v>
      </c>
      <c r="I3707" s="25" t="str">
        <f>IF(OR(E3707="",E3707="!!!",F3707="NEW"),"",INDEX(B3706:B$2,-1+SUMPRODUCT(MAX(ROW(E3706:E$2)*(E3707=E3706:E$2)))))</f>
        <v> </v>
      </c>
      <c r="J3707" s="25" t="str">
        <f>IF(OR(E3707="",E3707="!!!",F3707="NEW"),"",COUNTBLANK(OFFSET(A$1,,,SUMPRODUCT(MAX(ROW(E$2:E3707)*(E3707=E$2:E3707)))))-COUNTBLANK(OFFSET(A$1,,,SUMPRODUCT(MAX(ROW(E$1:E3706)*(E2=E$1:E3706))))))</f>
        <v> </v>
      </c>
      <c r="K3707" s="25" t="str">
        <f>IF(OR(E3707="",E3707="!!!",F3707="NEW"),"",INDEX(J$1:J3706,SUMPRODUCT(MAX(ROW(E$1:E3706)*(E3707=E$1:E3706)))))</f>
        <v> </v>
      </c>
      <c r="L3707" s="26"/>
    </row>
    <row r="3708" spans="1:12">
      <c r="A3708" s="20" t="s">
        <v>1689</v>
      </c>
      <c r="E3708" s="21">
        <f>IF(D3708="?OLD","!!!","")</f>
        <v/>
      </c>
      <c r="F3708" s="22" t="str">
        <f>IF(OR(E3708="",E3708="!!!"),"",IF(NOT(ISNA(VLOOKUP(E3708,E$1:E3707,1,FALSE()))),"OLD",IF(AND(E3708&lt;&gt;"",E3708&lt;&gt;"!!!"),"NEW","")))</f>
        <v> </v>
      </c>
      <c r="G3708" s="23" t="str">
        <f>IF(OR(E3708="",E3708="!!!"),"",IF(OR(J3708=0,AND(J3708=1,K3708=1),AND(J3708=1,I3708="SBJ"),AND(J3708=1,I3708=0)),"?IN_FOCUS",IF(J3708&lt;=2,"?ACTIVATED",IF(J3708&lt;&gt;"","?FAMILIAR",IF(F3708="NEW",IF(ISNA(VLOOKUP(E3708,#REF!,1,FALSE())),"?TYPE_IDENTIFIABLE","?REFERENTIAL"),"_")))))</f>
        <v> </v>
      </c>
      <c r="H3708" s="24" t="str">
        <f>IF(J3708&lt;&gt;1,"",IF(I3708="SBJ","CB","?"))</f>
        <v> </v>
      </c>
      <c r="I3708" s="25" t="str">
        <f>IF(OR(E3708="",E3708="!!!",F3708="NEW"),"",INDEX(B3707:B$2,-1+SUMPRODUCT(MAX(ROW(E3707:E$2)*(E3708=E3707:E$2)))))</f>
        <v> </v>
      </c>
      <c r="J3708" s="25" t="str">
        <f>IF(OR(E3708="",E3708="!!!",F3708="NEW"),"",COUNTBLANK(OFFSET(A$1,,,SUMPRODUCT(MAX(ROW(E$2:E3708)*(E3708=E$2:E3708)))))-COUNTBLANK(OFFSET(A$1,,,SUMPRODUCT(MAX(ROW(E$1:E3707)*(E2=E$1:E3707))))))</f>
        <v> </v>
      </c>
      <c r="K3708" s="25" t="str">
        <f>IF(OR(E3708="",E3708="!!!",F3708="NEW"),"",INDEX(J$1:J3707,SUMPRODUCT(MAX(ROW(E$1:E3707)*(E3708=E$1:E3707)))))</f>
        <v> </v>
      </c>
      <c r="L3708" s="26"/>
    </row>
    <row r="3709" spans="1:12">
      <c r="A3709" s="20" t="s">
        <v>1104</v>
      </c>
      <c r="E3709" s="21">
        <f>IF(D3709="?OLD","!!!","")</f>
        <v/>
      </c>
      <c r="F3709" s="22" t="str">
        <f>IF(OR(E3709="",E3709="!!!"),"",IF(NOT(ISNA(VLOOKUP(E3709,E$1:E3708,1,FALSE()))),"OLD",IF(AND(E3709&lt;&gt;"",E3709&lt;&gt;"!!!"),"NEW","")))</f>
        <v> </v>
      </c>
      <c r="G3709" s="23" t="str">
        <f>IF(OR(E3709="",E3709="!!!"),"",IF(OR(J3709=0,AND(J3709=1,K3709=1),AND(J3709=1,I3709="SBJ"),AND(J3709=1,I3709=0)),"?IN_FOCUS",IF(J3709&lt;=2,"?ACTIVATED",IF(J3709&lt;&gt;"","?FAMILIAR",IF(F3709="NEW",IF(ISNA(VLOOKUP(E3709,#REF!,1,FALSE())),"?TYPE_IDENTIFIABLE","?REFERENTIAL"),"_")))))</f>
        <v> </v>
      </c>
      <c r="H3709" s="24" t="str">
        <f>IF(J3709&lt;&gt;1,"",IF(I3709="SBJ","CB","?"))</f>
        <v> </v>
      </c>
      <c r="I3709" s="25" t="str">
        <f>IF(OR(E3709="",E3709="!!!",F3709="NEW"),"",INDEX(B3708:B$2,-1+SUMPRODUCT(MAX(ROW(E3708:E$2)*(E3709=E3708:E$2)))))</f>
        <v> </v>
      </c>
      <c r="J3709" s="25" t="str">
        <f>IF(OR(E3709="",E3709="!!!",F3709="NEW"),"",COUNTBLANK(OFFSET(A$1,,,SUMPRODUCT(MAX(ROW(E$2:E3709)*(E3709=E$2:E3709)))))-COUNTBLANK(OFFSET(A$1,,,SUMPRODUCT(MAX(ROW(E$1:E3708)*(E2=E$1:E3708))))))</f>
        <v> </v>
      </c>
      <c r="K3709" s="25" t="str">
        <f>IF(OR(E3709="",E3709="!!!",F3709="NEW"),"",INDEX(J$1:J3708,SUMPRODUCT(MAX(ROW(E$1:E3708)*(E3709=E$1:E3708)))))</f>
        <v> </v>
      </c>
      <c r="L3709" s="26"/>
    </row>
    <row r="3710" spans="1:12">
      <c r="A3710" s="20" t="s">
        <v>2255</v>
      </c>
      <c r="B3710" s="27" t="s">
        <v>1095</v>
      </c>
      <c r="C3710" s="27" t="s">
        <v>1086</v>
      </c>
      <c r="D3710" s="27" t="s">
        <v>1069</v>
      </c>
      <c r="E3710" s="21">
        <f>IF(D3710="?OLD","!!!","")</f>
        <v/>
      </c>
      <c r="F3710" s="22" t="str">
        <f>IF(OR(E3710="",E3710="!!!"),"",IF(NOT(ISNA(VLOOKUP(E3710,E$1:E3709,1,FALSE()))),"OLD",IF(AND(E3710&lt;&gt;"",E3710&lt;&gt;"!!!"),"NEW","")))</f>
        <v> </v>
      </c>
      <c r="G3710" s="23" t="str">
        <f>IF(OR(E3710="",E3710="!!!"),"",IF(OR(J3710=0,AND(J3710=1,K3710=1),AND(J3710=1,I3710="SBJ"),AND(J3710=1,I3710=0)),"?IN_FOCUS",IF(J3710&lt;=2,"?ACTIVATED",IF(J3710&lt;&gt;"","?FAMILIAR",IF(F3710="NEW",IF(ISNA(VLOOKUP(E3710,#REF!,1,FALSE())),"?TYPE_IDENTIFIABLE","?REFERENTIAL"),"_")))))</f>
        <v> </v>
      </c>
      <c r="H3710" s="24" t="str">
        <f>IF(J3710&lt;&gt;1,"",IF(I3710="SBJ","CB","?"))</f>
        <v> </v>
      </c>
      <c r="I3710" s="25" t="str">
        <f>IF(OR(E3710="",E3710="!!!",F3710="NEW"),"",INDEX(B3709:B$2,-1+SUMPRODUCT(MAX(ROW(E3709:E$2)*(E3710=E3709:E$2)))))</f>
        <v> </v>
      </c>
      <c r="J3710" s="25" t="str">
        <f>IF(OR(E3710="",E3710="!!!",F3710="NEW"),"",COUNTBLANK(OFFSET(A$1,,,SUMPRODUCT(MAX(ROW(E$2:E3710)*(E3710=E$2:E3710)))))-COUNTBLANK(OFFSET(A$1,,,SUMPRODUCT(MAX(ROW(E$1:E3709)*(E2=E$1:E3709))))))</f>
        <v> </v>
      </c>
      <c r="K3710" s="25" t="str">
        <f>IF(OR(E3710="",E3710="!!!",F3710="NEW"),"",INDEX(J$1:J3709,SUMPRODUCT(MAX(ROW(E$1:E3709)*(E3710=E$1:E3709)))))</f>
        <v> </v>
      </c>
      <c r="L3710" s="26"/>
    </row>
    <row r="3711" spans="1:12">
      <c r="A3711" s="20" t="s">
        <v>1087</v>
      </c>
      <c r="E3711" s="21">
        <f>IF(D3711="?OLD","!!!","")</f>
        <v/>
      </c>
      <c r="F3711" s="22" t="str">
        <f>IF(OR(E3711="",E3711="!!!"),"",IF(NOT(ISNA(VLOOKUP(E3711,E$1:E3710,1,FALSE()))),"OLD",IF(AND(E3711&lt;&gt;"",E3711&lt;&gt;"!!!"),"NEW","")))</f>
        <v> </v>
      </c>
      <c r="G3711" s="23" t="str">
        <f>IF(OR(E3711="",E3711="!!!"),"",IF(OR(J3711=0,AND(J3711=1,K3711=1),AND(J3711=1,I3711="SBJ"),AND(J3711=1,I3711=0)),"?IN_FOCUS",IF(J3711&lt;=2,"?ACTIVATED",IF(J3711&lt;&gt;"","?FAMILIAR",IF(F3711="NEW",IF(ISNA(VLOOKUP(E3711,#REF!,1,FALSE())),"?TYPE_IDENTIFIABLE","?REFERENTIAL"),"_")))))</f>
        <v> </v>
      </c>
      <c r="H3711" s="24" t="str">
        <f>IF(J3711&lt;&gt;1,"",IF(I3711="SBJ","CB","?"))</f>
        <v> </v>
      </c>
      <c r="I3711" s="25" t="str">
        <f>IF(OR(E3711="",E3711="!!!",F3711="NEW"),"",INDEX(B3710:B$2,-1+SUMPRODUCT(MAX(ROW(E3710:E$2)*(E3711=E3710:E$2)))))</f>
        <v> </v>
      </c>
      <c r="J3711" s="25" t="str">
        <f>IF(OR(E3711="",E3711="!!!",F3711="NEW"),"",COUNTBLANK(OFFSET(A$1,,,SUMPRODUCT(MAX(ROW(E$2:E3711)*(E3711=E$2:E3711)))))-COUNTBLANK(OFFSET(A$1,,,SUMPRODUCT(MAX(ROW(E$1:E3710)*(E2=E$1:E3710))))))</f>
        <v> </v>
      </c>
      <c r="K3711" s="25" t="str">
        <f>IF(OR(E3711="",E3711="!!!",F3711="NEW"),"",INDEX(J$1:J3710,SUMPRODUCT(MAX(ROW(E$1:E3710)*(E3711=E$1:E3710)))))</f>
        <v> </v>
      </c>
      <c r="L3711" s="26"/>
    </row>
    <row r="3712" spans="1:12">
      <c r="A3712" s="20" t="s">
        <v>1104</v>
      </c>
      <c r="E3712" s="21">
        <f>IF(D3712="?OLD","!!!","")</f>
        <v/>
      </c>
      <c r="F3712" s="22" t="str">
        <f>IF(OR(E3712="",E3712="!!!"),"",IF(NOT(ISNA(VLOOKUP(E3712,E$1:E3711,1,FALSE()))),"OLD",IF(AND(E3712&lt;&gt;"",E3712&lt;&gt;"!!!"),"NEW","")))</f>
        <v> </v>
      </c>
      <c r="G3712" s="23" t="str">
        <f>IF(OR(E3712="",E3712="!!!"),"",IF(OR(J3712=0,AND(J3712=1,K3712=1),AND(J3712=1,I3712="SBJ"),AND(J3712=1,I3712=0)),"?IN_FOCUS",IF(J3712&lt;=2,"?ACTIVATED",IF(J3712&lt;&gt;"","?FAMILIAR",IF(F3712="NEW",IF(ISNA(VLOOKUP(E3712,#REF!,1,FALSE())),"?TYPE_IDENTIFIABLE","?REFERENTIAL"),"_")))))</f>
        <v> </v>
      </c>
      <c r="H3712" s="24" t="str">
        <f>IF(J3712&lt;&gt;1,"",IF(I3712="SBJ","CB","?"))</f>
        <v> </v>
      </c>
      <c r="I3712" s="25" t="str">
        <f>IF(OR(E3712="",E3712="!!!",F3712="NEW"),"",INDEX(B3711:B$2,-1+SUMPRODUCT(MAX(ROW(E3711:E$2)*(E3712=E3711:E$2)))))</f>
        <v> </v>
      </c>
      <c r="J3712" s="25" t="str">
        <f>IF(OR(E3712="",E3712="!!!",F3712="NEW"),"",COUNTBLANK(OFFSET(A$1,,,SUMPRODUCT(MAX(ROW(E$2:E3712)*(E3712=E$2:E3712)))))-COUNTBLANK(OFFSET(A$1,,,SUMPRODUCT(MAX(ROW(E$1:E3711)*(E2=E$1:E3711))))))</f>
        <v> </v>
      </c>
      <c r="K3712" s="25" t="str">
        <f>IF(OR(E3712="",E3712="!!!",F3712="NEW"),"",INDEX(J$1:J3711,SUMPRODUCT(MAX(ROW(E$1:E3711)*(E3712=E$1:E3711)))))</f>
        <v> </v>
      </c>
      <c r="L3712" s="26"/>
    </row>
    <row r="3713" spans="1:12">
      <c r="A3713" s="20" t="s">
        <v>1798</v>
      </c>
      <c r="B3713" s="27" t="s">
        <v>1133</v>
      </c>
      <c r="C3713" s="27" t="s">
        <v>1086</v>
      </c>
      <c r="D3713" s="27" t="s">
        <v>1069</v>
      </c>
      <c r="E3713" s="21">
        <f>IF(D3713="?OLD","!!!","")</f>
        <v/>
      </c>
      <c r="F3713" s="22" t="str">
        <f>IF(OR(E3713="",E3713="!!!"),"",IF(NOT(ISNA(VLOOKUP(E3713,E$1:E3712,1,FALSE()))),"OLD",IF(AND(E3713&lt;&gt;"",E3713&lt;&gt;"!!!"),"NEW","")))</f>
        <v> </v>
      </c>
      <c r="G3713" s="23" t="str">
        <f>IF(OR(E3713="",E3713="!!!"),"",IF(OR(J3713=0,AND(J3713=1,K3713=1),AND(J3713=1,I3713="SBJ"),AND(J3713=1,I3713=0)),"?IN_FOCUS",IF(J3713&lt;=2,"?ACTIVATED",IF(J3713&lt;&gt;"","?FAMILIAR",IF(F3713="NEW",IF(ISNA(VLOOKUP(E3713,#REF!,1,FALSE())),"?TYPE_IDENTIFIABLE","?REFERENTIAL"),"_")))))</f>
        <v> </v>
      </c>
      <c r="H3713" s="24" t="str">
        <f>IF(J3713&lt;&gt;1,"",IF(I3713="SBJ","CB","?"))</f>
        <v> </v>
      </c>
      <c r="I3713" s="25" t="str">
        <f>IF(OR(E3713="",E3713="!!!",F3713="NEW"),"",INDEX(B3712:B$2,-1+SUMPRODUCT(MAX(ROW(E3712:E$2)*(E3713=E3712:E$2)))))</f>
        <v> </v>
      </c>
      <c r="J3713" s="25" t="str">
        <f>IF(OR(E3713="",E3713="!!!",F3713="NEW"),"",COUNTBLANK(OFFSET(A$1,,,SUMPRODUCT(MAX(ROW(E$2:E3713)*(E3713=E$2:E3713)))))-COUNTBLANK(OFFSET(A$1,,,SUMPRODUCT(MAX(ROW(E$1:E3712)*(E2=E$1:E3712))))))</f>
        <v> </v>
      </c>
      <c r="K3713" s="25" t="str">
        <f>IF(OR(E3713="",E3713="!!!",F3713="NEW"),"",INDEX(J$1:J3712,SUMPRODUCT(MAX(ROW(E$1:E3712)*(E3713=E$1:E3712)))))</f>
        <v> </v>
      </c>
      <c r="L3713" s="26"/>
    </row>
    <row r="3714" spans="1:12">
      <c r="A3714" s="20" t="s">
        <v>1191</v>
      </c>
      <c r="E3714" s="21">
        <f>IF(D3714="?OLD","!!!","")</f>
        <v/>
      </c>
      <c r="F3714" s="22" t="str">
        <f>IF(OR(E3714="",E3714="!!!"),"",IF(NOT(ISNA(VLOOKUP(E3714,E$1:E3713,1,FALSE()))),"OLD",IF(AND(E3714&lt;&gt;"",E3714&lt;&gt;"!!!"),"NEW","")))</f>
        <v> </v>
      </c>
      <c r="G3714" s="23" t="str">
        <f>IF(OR(E3714="",E3714="!!!"),"",IF(OR(J3714=0,AND(J3714=1,K3714=1),AND(J3714=1,I3714="SBJ"),AND(J3714=1,I3714=0)),"?IN_FOCUS",IF(J3714&lt;=2,"?ACTIVATED",IF(J3714&lt;&gt;"","?FAMILIAR",IF(F3714="NEW",IF(ISNA(VLOOKUP(E3714,#REF!,1,FALSE())),"?TYPE_IDENTIFIABLE","?REFERENTIAL"),"_")))))</f>
        <v> </v>
      </c>
      <c r="H3714" s="24" t="str">
        <f>IF(J3714&lt;&gt;1,"",IF(I3714="SBJ","CB","?"))</f>
        <v> </v>
      </c>
      <c r="I3714" s="25" t="str">
        <f>IF(OR(E3714="",E3714="!!!",F3714="NEW"),"",INDEX(B3713:B$2,-1+SUMPRODUCT(MAX(ROW(E3713:E$2)*(E3714=E3713:E$2)))))</f>
        <v> </v>
      </c>
      <c r="J3714" s="25" t="str">
        <f>IF(OR(E3714="",E3714="!!!",F3714="NEW"),"",COUNTBLANK(OFFSET(A$1,,,SUMPRODUCT(MAX(ROW(E$2:E3714)*(E3714=E$2:E3714)))))-COUNTBLANK(OFFSET(A$1,,,SUMPRODUCT(MAX(ROW(E$1:E3713)*(E2=E$1:E3713))))))</f>
        <v> </v>
      </c>
      <c r="K3714" s="25" t="str">
        <f>IF(OR(E3714="",E3714="!!!",F3714="NEW"),"",INDEX(J$1:J3713,SUMPRODUCT(MAX(ROW(E$1:E3713)*(E3714=E$1:E3713)))))</f>
        <v> </v>
      </c>
      <c r="L3714" s="26"/>
    </row>
    <row r="3715" spans="1:12">
      <c r="A3715" s="20" t="s">
        <v>1165</v>
      </c>
      <c r="E3715" s="21">
        <f>IF(D3715="?OLD","!!!","")</f>
        <v/>
      </c>
      <c r="F3715" s="22" t="str">
        <f>IF(OR(E3715="",E3715="!!!"),"",IF(NOT(ISNA(VLOOKUP(E3715,E$1:E3714,1,FALSE()))),"OLD",IF(AND(E3715&lt;&gt;"",E3715&lt;&gt;"!!!"),"NEW","")))</f>
        <v> </v>
      </c>
      <c r="G3715" s="23" t="str">
        <f>IF(OR(E3715="",E3715="!!!"),"",IF(OR(J3715=0,AND(J3715=1,K3715=1),AND(J3715=1,I3715="SBJ"),AND(J3715=1,I3715=0)),"?IN_FOCUS",IF(J3715&lt;=2,"?ACTIVATED",IF(J3715&lt;&gt;"","?FAMILIAR",IF(F3715="NEW",IF(ISNA(VLOOKUP(E3715,#REF!,1,FALSE())),"?TYPE_IDENTIFIABLE","?REFERENTIAL"),"_")))))</f>
        <v> </v>
      </c>
      <c r="H3715" s="24" t="str">
        <f>IF(J3715&lt;&gt;1,"",IF(I3715="SBJ","CB","?"))</f>
        <v> </v>
      </c>
      <c r="I3715" s="25" t="str">
        <f>IF(OR(E3715="",E3715="!!!",F3715="NEW"),"",INDEX(B3714:B$2,-1+SUMPRODUCT(MAX(ROW(E3714:E$2)*(E3715=E3714:E$2)))))</f>
        <v> </v>
      </c>
      <c r="J3715" s="25" t="str">
        <f>IF(OR(E3715="",E3715="!!!",F3715="NEW"),"",COUNTBLANK(OFFSET(A$1,,,SUMPRODUCT(MAX(ROW(E$2:E3715)*(E3715=E$2:E3715)))))-COUNTBLANK(OFFSET(A$1,,,SUMPRODUCT(MAX(ROW(E$1:E3714)*(E2=E$1:E3714))))))</f>
        <v> </v>
      </c>
      <c r="K3715" s="25" t="str">
        <f>IF(OR(E3715="",E3715="!!!",F3715="NEW"),"",INDEX(J$1:J3714,SUMPRODUCT(MAX(ROW(E$1:E3714)*(E3715=E$1:E3714)))))</f>
        <v> </v>
      </c>
      <c r="L3715" s="26"/>
    </row>
    <row r="3716" spans="1:12">
      <c r="A3716" s="20" t="s">
        <v>1340</v>
      </c>
      <c r="E3716" s="21">
        <f>IF(D3716="?OLD","!!!","")</f>
        <v/>
      </c>
      <c r="F3716" s="22" t="str">
        <f>IF(OR(E3716="",E3716="!!!"),"",IF(NOT(ISNA(VLOOKUP(E3716,E$1:E3715,1,FALSE()))),"OLD",IF(AND(E3716&lt;&gt;"",E3716&lt;&gt;"!!!"),"NEW","")))</f>
        <v> </v>
      </c>
      <c r="G3716" s="23" t="str">
        <f>IF(OR(E3716="",E3716="!!!"),"",IF(OR(J3716=0,AND(J3716=1,K3716=1),AND(J3716=1,I3716="SBJ"),AND(J3716=1,I3716=0)),"?IN_FOCUS",IF(J3716&lt;=2,"?ACTIVATED",IF(J3716&lt;&gt;"","?FAMILIAR",IF(F3716="NEW",IF(ISNA(VLOOKUP(E3716,#REF!,1,FALSE())),"?TYPE_IDENTIFIABLE","?REFERENTIAL"),"_")))))</f>
        <v> </v>
      </c>
      <c r="H3716" s="24" t="str">
        <f>IF(J3716&lt;&gt;1,"",IF(I3716="SBJ","CB","?"))</f>
        <v> </v>
      </c>
      <c r="I3716" s="25" t="str">
        <f>IF(OR(E3716="",E3716="!!!",F3716="NEW"),"",INDEX(B3715:B$2,-1+SUMPRODUCT(MAX(ROW(E3715:E$2)*(E3716=E3715:E$2)))))</f>
        <v> </v>
      </c>
      <c r="J3716" s="25" t="str">
        <f>IF(OR(E3716="",E3716="!!!",F3716="NEW"),"",COUNTBLANK(OFFSET(A$1,,,SUMPRODUCT(MAX(ROW(E$2:E3716)*(E3716=E$2:E3716)))))-COUNTBLANK(OFFSET(A$1,,,SUMPRODUCT(MAX(ROW(E$1:E3715)*(E2=E$1:E3715))))))</f>
        <v> </v>
      </c>
      <c r="K3716" s="25" t="str">
        <f>IF(OR(E3716="",E3716="!!!",F3716="NEW"),"",INDEX(J$1:J3715,SUMPRODUCT(MAX(ROW(E$1:E3715)*(E3716=E$1:E3715)))))</f>
        <v> </v>
      </c>
      <c r="L3716" s="26"/>
    </row>
    <row r="3717" spans="1:12">
      <c r="A3717" s="20" t="s">
        <v>1138</v>
      </c>
      <c r="E3717" s="21">
        <f>IF(D3717="?OLD","!!!","")</f>
        <v/>
      </c>
      <c r="F3717" s="22" t="str">
        <f>IF(OR(E3717="",E3717="!!!"),"",IF(NOT(ISNA(VLOOKUP(E3717,E$1:E3716,1,FALSE()))),"OLD",IF(AND(E3717&lt;&gt;"",E3717&lt;&gt;"!!!"),"NEW","")))</f>
        <v> </v>
      </c>
      <c r="G3717" s="23" t="str">
        <f>IF(OR(E3717="",E3717="!!!"),"",IF(OR(J3717=0,AND(J3717=1,K3717=1),AND(J3717=1,I3717="SBJ"),AND(J3717=1,I3717=0)),"?IN_FOCUS",IF(J3717&lt;=2,"?ACTIVATED",IF(J3717&lt;&gt;"","?FAMILIAR",IF(F3717="NEW",IF(ISNA(VLOOKUP(E3717,#REF!,1,FALSE())),"?TYPE_IDENTIFIABLE","?REFERENTIAL"),"_")))))</f>
        <v> </v>
      </c>
      <c r="H3717" s="24" t="str">
        <f>IF(J3717&lt;&gt;1,"",IF(I3717="SBJ","CB","?"))</f>
        <v> </v>
      </c>
      <c r="I3717" s="25" t="str">
        <f>IF(OR(E3717="",E3717="!!!",F3717="NEW"),"",INDEX(B3716:B$2,-1+SUMPRODUCT(MAX(ROW(E3716:E$2)*(E3717=E3716:E$2)))))</f>
        <v> </v>
      </c>
      <c r="J3717" s="25" t="str">
        <f>IF(OR(E3717="",E3717="!!!",F3717="NEW"),"",COUNTBLANK(OFFSET(A$1,,,SUMPRODUCT(MAX(ROW(E$2:E3717)*(E3717=E$2:E3717)))))-COUNTBLANK(OFFSET(A$1,,,SUMPRODUCT(MAX(ROW(E$1:E3716)*(E2=E$1:E3716))))))</f>
        <v> </v>
      </c>
      <c r="K3717" s="25" t="str">
        <f>IF(OR(E3717="",E3717="!!!",F3717="NEW"),"",INDEX(J$1:J3716,SUMPRODUCT(MAX(ROW(E$1:E3716)*(E3717=E$1:E3716)))))</f>
        <v> </v>
      </c>
      <c r="L3717" s="26"/>
    </row>
    <row r="3718" spans="1:12">
      <c r="A3718" s="20" t="s">
        <v>1096</v>
      </c>
      <c r="E3718" s="21">
        <f>IF(D3718="?OLD","!!!","")</f>
        <v/>
      </c>
      <c r="F3718" s="22" t="str">
        <f>IF(OR(E3718="",E3718="!!!"),"",IF(NOT(ISNA(VLOOKUP(E3718,E$1:E3717,1,FALSE()))),"OLD",IF(AND(E3718&lt;&gt;"",E3718&lt;&gt;"!!!"),"NEW","")))</f>
        <v> </v>
      </c>
      <c r="G3718" s="23" t="str">
        <f>IF(OR(E3718="",E3718="!!!"),"",IF(OR(J3718=0,AND(J3718=1,K3718=1),AND(J3718=1,I3718="SBJ"),AND(J3718=1,I3718=0)),"?IN_FOCUS",IF(J3718&lt;=2,"?ACTIVATED",IF(J3718&lt;&gt;"","?FAMILIAR",IF(F3718="NEW",IF(ISNA(VLOOKUP(E3718,#REF!,1,FALSE())),"?TYPE_IDENTIFIABLE","?REFERENTIAL"),"_")))))</f>
        <v> </v>
      </c>
      <c r="H3718" s="24" t="str">
        <f>IF(J3718&lt;&gt;1,"",IF(I3718="SBJ","CB","?"))</f>
        <v> </v>
      </c>
      <c r="I3718" s="25" t="str">
        <f>IF(OR(E3718="",E3718="!!!",F3718="NEW"),"",INDEX(B3717:B$2,-1+SUMPRODUCT(MAX(ROW(E3717:E$2)*(E3718=E3717:E$2)))))</f>
        <v> </v>
      </c>
      <c r="J3718" s="25" t="str">
        <f>IF(OR(E3718="",E3718="!!!",F3718="NEW"),"",COUNTBLANK(OFFSET(A$1,,,SUMPRODUCT(MAX(ROW(E$2:E3718)*(E3718=E$2:E3718)))))-COUNTBLANK(OFFSET(A$1,,,SUMPRODUCT(MAX(ROW(E$1:E3717)*(E2=E$1:E3717))))))</f>
        <v> </v>
      </c>
      <c r="K3718" s="25" t="str">
        <f>IF(OR(E3718="",E3718="!!!",F3718="NEW"),"",INDEX(J$1:J3717,SUMPRODUCT(MAX(ROW(E$1:E3717)*(E3718=E$1:E3717)))))</f>
        <v> </v>
      </c>
      <c r="L3718" s="26"/>
    </row>
    <row r="3719" spans="1:12">
      <c r="A3719" s="20" t="s">
        <v>1566</v>
      </c>
      <c r="B3719" s="27" t="s">
        <v>1092</v>
      </c>
      <c r="C3719" s="27" t="s">
        <v>1077</v>
      </c>
      <c r="E3719" s="21">
        <f>IF(D3719="?OLD","!!!","")</f>
        <v/>
      </c>
      <c r="F3719" s="22" t="str">
        <f>IF(OR(E3719="",E3719="!!!"),"",IF(NOT(ISNA(VLOOKUP(E3719,E$1:E3718,1,FALSE()))),"OLD",IF(AND(E3719&lt;&gt;"",E3719&lt;&gt;"!!!"),"NEW","")))</f>
        <v> </v>
      </c>
      <c r="G3719" s="23" t="str">
        <f>IF(OR(E3719="",E3719="!!!"),"",IF(OR(J3719=0,AND(J3719=1,K3719=1),AND(J3719=1,I3719="SBJ"),AND(J3719=1,I3719=0)),"?IN_FOCUS",IF(J3719&lt;=2,"?ACTIVATED",IF(J3719&lt;&gt;"","?FAMILIAR",IF(F3719="NEW",IF(ISNA(VLOOKUP(E3719,#REF!,1,FALSE())),"?TYPE_IDENTIFIABLE","?REFERENTIAL"),"_")))))</f>
        <v> </v>
      </c>
      <c r="H3719" s="24" t="str">
        <f>IF(J3719&lt;&gt;1,"",IF(I3719="SBJ","CB","?"))</f>
        <v> </v>
      </c>
      <c r="I3719" s="25" t="str">
        <f>IF(OR(E3719="",E3719="!!!",F3719="NEW"),"",INDEX(B3718:B$2,-1+SUMPRODUCT(MAX(ROW(E3718:E$2)*(E3719=E3718:E$2)))))</f>
        <v> </v>
      </c>
      <c r="J3719" s="25" t="str">
        <f>IF(OR(E3719="",E3719="!!!",F3719="NEW"),"",COUNTBLANK(OFFSET(A$1,,,SUMPRODUCT(MAX(ROW(E$2:E3719)*(E3719=E$2:E3719)))))-COUNTBLANK(OFFSET(A$1,,,SUMPRODUCT(MAX(ROW(E$1:E3718)*(E2=E$1:E3718))))))</f>
        <v> </v>
      </c>
      <c r="K3719" s="25" t="str">
        <f>IF(OR(E3719="",E3719="!!!",F3719="NEW"),"",INDEX(J$1:J3718,SUMPRODUCT(MAX(ROW(E$1:E3718)*(E3719=E$1:E3718)))))</f>
        <v> </v>
      </c>
      <c r="L3719" s="26"/>
    </row>
    <row r="3720" spans="1:12">
      <c r="A3720" s="20" t="s">
        <v>1087</v>
      </c>
      <c r="E3720" s="21">
        <f>IF(D3720="?OLD","!!!","")</f>
        <v/>
      </c>
      <c r="F3720" s="22" t="str">
        <f>IF(OR(E3720="",E3720="!!!"),"",IF(NOT(ISNA(VLOOKUP(E3720,E$1:E3719,1,FALSE()))),"OLD",IF(AND(E3720&lt;&gt;"",E3720&lt;&gt;"!!!"),"NEW","")))</f>
        <v> </v>
      </c>
      <c r="G3720" s="23" t="str">
        <f>IF(OR(E3720="",E3720="!!!"),"",IF(OR(J3720=0,AND(J3720=1,K3720=1),AND(J3720=1,I3720="SBJ"),AND(J3720=1,I3720=0)),"?IN_FOCUS",IF(J3720&lt;=2,"?ACTIVATED",IF(J3720&lt;&gt;"","?FAMILIAR",IF(F3720="NEW",IF(ISNA(VLOOKUP(E3720,#REF!,1,FALSE())),"?TYPE_IDENTIFIABLE","?REFERENTIAL"),"_")))))</f>
        <v> </v>
      </c>
      <c r="H3720" s="24" t="str">
        <f>IF(J3720&lt;&gt;1,"",IF(I3720="SBJ","CB","?"))</f>
        <v> </v>
      </c>
      <c r="I3720" s="25" t="str">
        <f>IF(OR(E3720="",E3720="!!!",F3720="NEW"),"",INDEX(B3719:B$2,-1+SUMPRODUCT(MAX(ROW(E3719:E$2)*(E3720=E3719:E$2)))))</f>
        <v> </v>
      </c>
      <c r="J3720" s="25" t="str">
        <f>IF(OR(E3720="",E3720="!!!",F3720="NEW"),"",COUNTBLANK(OFFSET(A$1,,,SUMPRODUCT(MAX(ROW(E$2:E3720)*(E3720=E$2:E3720)))))-COUNTBLANK(OFFSET(A$1,,,SUMPRODUCT(MAX(ROW(E$1:E3719)*(E2=E$1:E3719))))))</f>
        <v> </v>
      </c>
      <c r="K3720" s="25" t="str">
        <f>IF(OR(E3720="",E3720="!!!",F3720="NEW"),"",INDEX(J$1:J3719,SUMPRODUCT(MAX(ROW(E$1:E3719)*(E3720=E$1:E3719)))))</f>
        <v> </v>
      </c>
      <c r="L3720" s="26"/>
    </row>
    <row r="3721" spans="1:12">
      <c r="A3721" s="20" t="s">
        <v>1166</v>
      </c>
      <c r="E3721" s="21">
        <f>IF(D3721="?OLD","!!!","")</f>
        <v/>
      </c>
      <c r="F3721" s="22" t="str">
        <f>IF(OR(E3721="",E3721="!!!"),"",IF(NOT(ISNA(VLOOKUP(E3721,E$1:E3720,1,FALSE()))),"OLD",IF(AND(E3721&lt;&gt;"",E3721&lt;&gt;"!!!"),"NEW","")))</f>
        <v> </v>
      </c>
      <c r="G3721" s="23" t="str">
        <f>IF(OR(E3721="",E3721="!!!"),"",IF(OR(J3721=0,AND(J3721=1,K3721=1),AND(J3721=1,I3721="SBJ"),AND(J3721=1,I3721=0)),"?IN_FOCUS",IF(J3721&lt;=2,"?ACTIVATED",IF(J3721&lt;&gt;"","?FAMILIAR",IF(F3721="NEW",IF(ISNA(VLOOKUP(E3721,#REF!,1,FALSE())),"?TYPE_IDENTIFIABLE","?REFERENTIAL"),"_")))))</f>
        <v> </v>
      </c>
      <c r="H3721" s="24" t="str">
        <f>IF(J3721&lt;&gt;1,"",IF(I3721="SBJ","CB","?"))</f>
        <v> </v>
      </c>
      <c r="I3721" s="25" t="str">
        <f>IF(OR(E3721="",E3721="!!!",F3721="NEW"),"",INDEX(B3720:B$2,-1+SUMPRODUCT(MAX(ROW(E3720:E$2)*(E3721=E3720:E$2)))))</f>
        <v> </v>
      </c>
      <c r="J3721" s="25" t="str">
        <f>IF(OR(E3721="",E3721="!!!",F3721="NEW"),"",COUNTBLANK(OFFSET(A$1,,,SUMPRODUCT(MAX(ROW(E$2:E3721)*(E3721=E$2:E3721)))))-COUNTBLANK(OFFSET(A$1,,,SUMPRODUCT(MAX(ROW(E$1:E3720)*(E2=E$1:E3720))))))</f>
        <v> </v>
      </c>
      <c r="K3721" s="25" t="str">
        <f>IF(OR(E3721="",E3721="!!!",F3721="NEW"),"",INDEX(J$1:J3720,SUMPRODUCT(MAX(ROW(E$1:E3720)*(E3721=E$1:E3720)))))</f>
        <v> </v>
      </c>
      <c r="L3721" s="26"/>
    </row>
    <row r="3722" spans="1:12">
      <c r="A3722" s="20" t="s">
        <v>1108</v>
      </c>
      <c r="B3722" s="27" t="s">
        <v>1095</v>
      </c>
      <c r="C3722" s="27" t="s">
        <v>1110</v>
      </c>
      <c r="D3722" s="27" t="s">
        <v>1069</v>
      </c>
      <c r="E3722" s="21">
        <f>IF(D3722="?OLD","!!!","")</f>
        <v/>
      </c>
      <c r="F3722" s="22" t="str">
        <f>IF(OR(E3722="",E3722="!!!"),"",IF(NOT(ISNA(VLOOKUP(E3722,E$1:E3721,1,FALSE()))),"OLD",IF(AND(E3722&lt;&gt;"",E3722&lt;&gt;"!!!"),"NEW","")))</f>
        <v> </v>
      </c>
      <c r="G3722" s="23" t="str">
        <f>IF(OR(E3722="",E3722="!!!"),"",IF(OR(J3722=0,AND(J3722=1,K3722=1),AND(J3722=1,I3722="SBJ"),AND(J3722=1,I3722=0)),"?IN_FOCUS",IF(J3722&lt;=2,"?ACTIVATED",IF(J3722&lt;&gt;"","?FAMILIAR",IF(F3722="NEW",IF(ISNA(VLOOKUP(E3722,#REF!,1,FALSE())),"?TYPE_IDENTIFIABLE","?REFERENTIAL"),"_")))))</f>
        <v> </v>
      </c>
      <c r="H3722" s="24" t="str">
        <f>IF(J3722&lt;&gt;1,"",IF(I3722="SBJ","CB","?"))</f>
        <v> </v>
      </c>
      <c r="I3722" s="25" t="str">
        <f>IF(OR(E3722="",E3722="!!!",F3722="NEW"),"",INDEX(B3721:B$2,-1+SUMPRODUCT(MAX(ROW(E3721:E$2)*(E3722=E3721:E$2)))))</f>
        <v> </v>
      </c>
      <c r="J3722" s="25" t="str">
        <f>IF(OR(E3722="",E3722="!!!",F3722="NEW"),"",COUNTBLANK(OFFSET(A$1,,,SUMPRODUCT(MAX(ROW(E$2:E3722)*(E3722=E$2:E3722)))))-COUNTBLANK(OFFSET(A$1,,,SUMPRODUCT(MAX(ROW(E$1:E3721)*(E2=E$1:E3721))))))</f>
        <v> </v>
      </c>
      <c r="K3722" s="25" t="str">
        <f>IF(OR(E3722="",E3722="!!!",F3722="NEW"),"",INDEX(J$1:J3721,SUMPRODUCT(MAX(ROW(E$1:E3721)*(E3722=E$1:E3721)))))</f>
        <v> </v>
      </c>
      <c r="L3722" s="26"/>
    </row>
    <row r="3723" spans="1:12">
      <c r="A3723" s="20" t="s">
        <v>1188</v>
      </c>
      <c r="B3723" s="27" t="s">
        <v>1095</v>
      </c>
      <c r="C3723" s="27" t="s">
        <v>1110</v>
      </c>
      <c r="D3723" s="27" t="s">
        <v>1069</v>
      </c>
      <c r="E3723" s="21">
        <f>IF(D3723="?OLD","!!!","")</f>
        <v/>
      </c>
      <c r="F3723" s="22" t="str">
        <f>IF(OR(E3723="",E3723="!!!"),"",IF(NOT(ISNA(VLOOKUP(E3723,E$1:E3722,1,FALSE()))),"OLD",IF(AND(E3723&lt;&gt;"",E3723&lt;&gt;"!!!"),"NEW","")))</f>
        <v> </v>
      </c>
      <c r="G3723" s="23" t="str">
        <f>IF(OR(E3723="",E3723="!!!"),"",IF(OR(J3723=0,AND(J3723=1,K3723=1),AND(J3723=1,I3723="SBJ"),AND(J3723=1,I3723=0)),"?IN_FOCUS",IF(J3723&lt;=2,"?ACTIVATED",IF(J3723&lt;&gt;"","?FAMILIAR",IF(F3723="NEW",IF(ISNA(VLOOKUP(E3723,#REF!,1,FALSE())),"?TYPE_IDENTIFIABLE","?REFERENTIAL"),"_")))))</f>
        <v> </v>
      </c>
      <c r="H3723" s="24" t="str">
        <f>IF(J3723&lt;&gt;1,"",IF(I3723="SBJ","CB","?"))</f>
        <v> </v>
      </c>
      <c r="I3723" s="25" t="str">
        <f>IF(OR(E3723="",E3723="!!!",F3723="NEW"),"",INDEX(B3722:B$2,-1+SUMPRODUCT(MAX(ROW(E3722:E$2)*(E3723=E3722:E$2)))))</f>
        <v> </v>
      </c>
      <c r="J3723" s="25" t="str">
        <f>IF(OR(E3723="",E3723="!!!",F3723="NEW"),"",COUNTBLANK(OFFSET(A$1,,,SUMPRODUCT(MAX(ROW(E$2:E3723)*(E3723=E$2:E3723)))))-COUNTBLANK(OFFSET(A$1,,,SUMPRODUCT(MAX(ROW(E$1:E3722)*(E2=E$1:E3722))))))</f>
        <v> </v>
      </c>
      <c r="K3723" s="25" t="str">
        <f>IF(OR(E3723="",E3723="!!!",F3723="NEW"),"",INDEX(J$1:J3722,SUMPRODUCT(MAX(ROW(E$1:E3722)*(E3723=E$1:E3722)))))</f>
        <v> </v>
      </c>
      <c r="L3723" s="26"/>
    </row>
    <row r="3724" spans="1:12">
      <c r="A3724" s="20" t="s">
        <v>2256</v>
      </c>
      <c r="E3724" s="21">
        <f>IF(D3724="?OLD","!!!","")</f>
        <v/>
      </c>
      <c r="F3724" s="22" t="str">
        <f>IF(OR(E3724="",E3724="!!!"),"",IF(NOT(ISNA(VLOOKUP(E3724,E$1:E3723,1,FALSE()))),"OLD",IF(AND(E3724&lt;&gt;"",E3724&lt;&gt;"!!!"),"NEW","")))</f>
        <v> </v>
      </c>
      <c r="G3724" s="23" t="str">
        <f>IF(OR(E3724="",E3724="!!!"),"",IF(OR(J3724=0,AND(J3724=1,K3724=1),AND(J3724=1,I3724="SBJ"),AND(J3724=1,I3724=0)),"?IN_FOCUS",IF(J3724&lt;=2,"?ACTIVATED",IF(J3724&lt;&gt;"","?FAMILIAR",IF(F3724="NEW",IF(ISNA(VLOOKUP(E3724,#REF!,1,FALSE())),"?TYPE_IDENTIFIABLE","?REFERENTIAL"),"_")))))</f>
        <v> </v>
      </c>
      <c r="H3724" s="24" t="str">
        <f>IF(J3724&lt;&gt;1,"",IF(I3724="SBJ","CB","?"))</f>
        <v> </v>
      </c>
      <c r="I3724" s="25" t="str">
        <f>IF(OR(E3724="",E3724="!!!",F3724="NEW"),"",INDEX(B3723:B$2,-1+SUMPRODUCT(MAX(ROW(E3723:E$2)*(E3724=E3723:E$2)))))</f>
        <v> </v>
      </c>
      <c r="J3724" s="25" t="str">
        <f>IF(OR(E3724="",E3724="!!!",F3724="NEW"),"",COUNTBLANK(OFFSET(A$1,,,SUMPRODUCT(MAX(ROW(E$2:E3724)*(E3724=E$2:E3724)))))-COUNTBLANK(OFFSET(A$1,,,SUMPRODUCT(MAX(ROW(E$1:E3723)*(E2=E$1:E3723))))))</f>
        <v> </v>
      </c>
      <c r="K3724" s="25" t="str">
        <f>IF(OR(E3724="",E3724="!!!",F3724="NEW"),"",INDEX(J$1:J3723,SUMPRODUCT(MAX(ROW(E$1:E3723)*(E3724=E$1:E3723)))))</f>
        <v> </v>
      </c>
      <c r="L3724" s="26"/>
    </row>
    <row r="3725" spans="1:12">
      <c r="A3725" s="20" t="s">
        <v>1080</v>
      </c>
      <c r="E3725" s="21">
        <f>IF(D3725="?OLD","!!!","")</f>
        <v/>
      </c>
      <c r="F3725" s="22" t="str">
        <f>IF(OR(E3725="",E3725="!!!"),"",IF(NOT(ISNA(VLOOKUP(E3725,E$1:E3724,1,FALSE()))),"OLD",IF(AND(E3725&lt;&gt;"",E3725&lt;&gt;"!!!"),"NEW","")))</f>
        <v> </v>
      </c>
      <c r="G3725" s="23" t="str">
        <f>IF(OR(E3725="",E3725="!!!"),"",IF(OR(J3725=0,AND(J3725=1,K3725=1),AND(J3725=1,I3725="SBJ"),AND(J3725=1,I3725=0)),"?IN_FOCUS",IF(J3725&lt;=2,"?ACTIVATED",IF(J3725&lt;&gt;"","?FAMILIAR",IF(F3725="NEW",IF(ISNA(VLOOKUP(E3725,#REF!,1,FALSE())),"?TYPE_IDENTIFIABLE","?REFERENTIAL"),"_")))))</f>
        <v> </v>
      </c>
      <c r="H3725" s="24" t="str">
        <f>IF(J3725&lt;&gt;1,"",IF(I3725="SBJ","CB","?"))</f>
        <v> </v>
      </c>
      <c r="I3725" s="25" t="str">
        <f>IF(OR(E3725="",E3725="!!!",F3725="NEW"),"",INDEX(B3724:B$2,-1+SUMPRODUCT(MAX(ROW(E3724:E$2)*(E3725=E3724:E$2)))))</f>
        <v> </v>
      </c>
      <c r="J3725" s="25" t="str">
        <f>IF(OR(E3725="",E3725="!!!",F3725="NEW"),"",COUNTBLANK(OFFSET(A$1,,,SUMPRODUCT(MAX(ROW(E$2:E3725)*(E3725=E$2:E3725)))))-COUNTBLANK(OFFSET(A$1,,,SUMPRODUCT(MAX(ROW(E$1:E3724)*(E2=E$1:E3724))))))</f>
        <v> </v>
      </c>
      <c r="K3725" s="25" t="str">
        <f>IF(OR(E3725="",E3725="!!!",F3725="NEW"),"",INDEX(J$1:J3724,SUMPRODUCT(MAX(ROW(E$1:E3724)*(E3725=E$1:E3724)))))</f>
        <v> </v>
      </c>
      <c r="L3725" s="26"/>
    </row>
    <row r="3726" spans="1:12">
      <c r="A3726" s="20"/>
    </row>
    <row r="3727" spans="1:12">
      <c r="A3727" s="20" t="s">
        <v>2257</v>
      </c>
    </row>
    <row r="3728" spans="1:12">
      <c r="A3728" s="20" t="s">
        <v>2258</v>
      </c>
      <c r="E3728" s="21">
        <f>IF(D3728="?OLD","!!!","")</f>
        <v/>
      </c>
      <c r="F3728" s="22" t="str">
        <f>IF(OR(E3728="",E3728="!!!"),"",IF(NOT(ISNA(VLOOKUP(E3728,E$1:E3727,1,FALSE()))),"OLD",IF(AND(E3728&lt;&gt;"",E3728&lt;&gt;"!!!"),"NEW","")))</f>
        <v> </v>
      </c>
      <c r="G3728" s="23" t="str">
        <f>IF(OR(E3728="",E3728="!!!"),"",IF(OR(J3728=0,AND(J3728=1,K3728=1),AND(J3728=1,I3728="SBJ"),AND(J3728=1,I3728=0)),"?IN_FOCUS",IF(J3728&lt;=2,"?ACTIVATED",IF(J3728&lt;&gt;"","?FAMILIAR",IF(F3728="NEW",IF(ISNA(VLOOKUP(E3728,#REF!,1,FALSE())),"?TYPE_IDENTIFIABLE","?REFERENTIAL"),"_")))))</f>
        <v> </v>
      </c>
      <c r="H3728" s="24" t="str">
        <f>IF(J3728&lt;&gt;1,"",IF(I3728="SBJ","CB","?"))</f>
        <v> </v>
      </c>
      <c r="I3728" s="25" t="str">
        <f>IF(OR(E3728="",E3728="!!!",F3728="NEW"),"",INDEX(B3727:B$2,-1+SUMPRODUCT(MAX(ROW(E3727:E$2)*(E3728=E3727:E$2)))))</f>
        <v> </v>
      </c>
      <c r="J3728" s="25" t="str">
        <f>IF(OR(E3728="",E3728="!!!",F3728="NEW"),"",COUNTBLANK(OFFSET(A$1,,,SUMPRODUCT(MAX(ROW(E$2:E3728)*(E3728=E$2:E3728)))))-COUNTBLANK(OFFSET(A$1,,,SUMPRODUCT(MAX(ROW(E$1:E3727)*(E2=E$1:E3727))))))</f>
        <v> </v>
      </c>
      <c r="K3728" s="25" t="str">
        <f>IF(OR(E3728="",E3728="!!!",F3728="NEW"),"",INDEX(J$1:J3727,SUMPRODUCT(MAX(ROW(E$1:E3727)*(E3728=E$1:E3727)))))</f>
        <v> </v>
      </c>
      <c r="L3728" s="26"/>
    </row>
    <row r="3729" spans="1:12">
      <c r="A3729" s="20" t="s">
        <v>1317</v>
      </c>
      <c r="E3729" s="21">
        <f>IF(D3729="?OLD","!!!","")</f>
        <v/>
      </c>
      <c r="F3729" s="22" t="str">
        <f>IF(OR(E3729="",E3729="!!!"),"",IF(NOT(ISNA(VLOOKUP(E3729,E$1:E3728,1,FALSE()))),"OLD",IF(AND(E3729&lt;&gt;"",E3729&lt;&gt;"!!!"),"NEW","")))</f>
        <v> </v>
      </c>
      <c r="G3729" s="23" t="str">
        <f>IF(OR(E3729="",E3729="!!!"),"",IF(OR(J3729=0,AND(J3729=1,K3729=1),AND(J3729=1,I3729="SBJ"),AND(J3729=1,I3729=0)),"?IN_FOCUS",IF(J3729&lt;=2,"?ACTIVATED",IF(J3729&lt;&gt;"","?FAMILIAR",IF(F3729="NEW",IF(ISNA(VLOOKUP(E3729,#REF!,1,FALSE())),"?TYPE_IDENTIFIABLE","?REFERENTIAL"),"_")))))</f>
        <v> </v>
      </c>
      <c r="H3729" s="24" t="str">
        <f>IF(J3729&lt;&gt;1,"",IF(I3729="SBJ","CB","?"))</f>
        <v> </v>
      </c>
      <c r="I3729" s="25" t="str">
        <f>IF(OR(E3729="",E3729="!!!",F3729="NEW"),"",INDEX(B3728:B$2,-1+SUMPRODUCT(MAX(ROW(E3728:E$2)*(E3729=E3728:E$2)))))</f>
        <v> </v>
      </c>
      <c r="J3729" s="25" t="str">
        <f>IF(OR(E3729="",E3729="!!!",F3729="NEW"),"",COUNTBLANK(OFFSET(A$1,,,SUMPRODUCT(MAX(ROW(E$2:E3729)*(E3729=E$2:E3729)))))-COUNTBLANK(OFFSET(A$1,,,SUMPRODUCT(MAX(ROW(E$1:E3728)*(E2=E$1:E3728))))))</f>
        <v> </v>
      </c>
      <c r="K3729" s="25" t="str">
        <f>IF(OR(E3729="",E3729="!!!",F3729="NEW"),"",INDEX(J$1:J3728,SUMPRODUCT(MAX(ROW(E$1:E3728)*(E3729=E$1:E3728)))))</f>
        <v> </v>
      </c>
      <c r="L3729" s="26"/>
    </row>
    <row r="3730" spans="1:12">
      <c r="A3730" s="20" t="s">
        <v>2229</v>
      </c>
      <c r="E3730" s="21">
        <f>IF(D3730="?OLD","!!!","")</f>
        <v/>
      </c>
      <c r="F3730" s="22" t="str">
        <f>IF(OR(E3730="",E3730="!!!"),"",IF(NOT(ISNA(VLOOKUP(E3730,E$1:E3729,1,FALSE()))),"OLD",IF(AND(E3730&lt;&gt;"",E3730&lt;&gt;"!!!"),"NEW","")))</f>
        <v> </v>
      </c>
      <c r="G3730" s="23" t="str">
        <f>IF(OR(E3730="",E3730="!!!"),"",IF(OR(J3730=0,AND(J3730=1,K3730=1),AND(J3730=1,I3730="SBJ"),AND(J3730=1,I3730=0)),"?IN_FOCUS",IF(J3730&lt;=2,"?ACTIVATED",IF(J3730&lt;&gt;"","?FAMILIAR",IF(F3730="NEW",IF(ISNA(VLOOKUP(E3730,#REF!,1,FALSE())),"?TYPE_IDENTIFIABLE","?REFERENTIAL"),"_")))))</f>
        <v> </v>
      </c>
      <c r="H3730" s="24" t="str">
        <f>IF(J3730&lt;&gt;1,"",IF(I3730="SBJ","CB","?"))</f>
        <v> </v>
      </c>
      <c r="I3730" s="25" t="str">
        <f>IF(OR(E3730="",E3730="!!!",F3730="NEW"),"",INDEX(B3729:B$2,-1+SUMPRODUCT(MAX(ROW(E3729:E$2)*(E3730=E3729:E$2)))))</f>
        <v> </v>
      </c>
      <c r="J3730" s="25" t="str">
        <f>IF(OR(E3730="",E3730="!!!",F3730="NEW"),"",COUNTBLANK(OFFSET(A$1,,,SUMPRODUCT(MAX(ROW(E$2:E3730)*(E3730=E$2:E3730)))))-COUNTBLANK(OFFSET(A$1,,,SUMPRODUCT(MAX(ROW(E$1:E3729)*(E2=E$1:E3729))))))</f>
        <v> </v>
      </c>
      <c r="K3730" s="25" t="str">
        <f>IF(OR(E3730="",E3730="!!!",F3730="NEW"),"",INDEX(J$1:J3729,SUMPRODUCT(MAX(ROW(E$1:E3729)*(E3730=E$1:E3729)))))</f>
        <v> </v>
      </c>
      <c r="L3730" s="26"/>
    </row>
    <row r="3731" spans="1:12">
      <c r="A3731" s="20" t="s">
        <v>1083</v>
      </c>
      <c r="B3731" s="27" t="s">
        <v>1160</v>
      </c>
      <c r="E3731" s="21">
        <f>IF(D3731="?OLD","!!!","")</f>
        <v/>
      </c>
      <c r="F3731" s="22" t="str">
        <f>IF(OR(E3731="",E3731="!!!"),"",IF(NOT(ISNA(VLOOKUP(E3731,E$1:E3730,1,FALSE()))),"OLD",IF(AND(E3731&lt;&gt;"",E3731&lt;&gt;"!!!"),"NEW","")))</f>
        <v> </v>
      </c>
      <c r="G3731" s="23" t="str">
        <f>IF(OR(E3731="",E3731="!!!"),"",IF(OR(J3731=0,AND(J3731=1,K3731=1),AND(J3731=1,I3731="SBJ"),AND(J3731=1,I3731=0)),"?IN_FOCUS",IF(J3731&lt;=2,"?ACTIVATED",IF(J3731&lt;&gt;"","?FAMILIAR",IF(F3731="NEW",IF(ISNA(VLOOKUP(E3731,#REF!,1,FALSE())),"?TYPE_IDENTIFIABLE","?REFERENTIAL"),"_")))))</f>
        <v> </v>
      </c>
      <c r="H3731" s="24" t="str">
        <f>IF(J3731&lt;&gt;1,"",IF(I3731="SBJ","CB","?"))</f>
        <v> </v>
      </c>
      <c r="I3731" s="25" t="str">
        <f>IF(OR(E3731="",E3731="!!!",F3731="NEW"),"",INDEX(B3730:B$2,-1+SUMPRODUCT(MAX(ROW(E3730:E$2)*(E3731=E3730:E$2)))))</f>
        <v> </v>
      </c>
      <c r="J3731" s="25" t="str">
        <f>IF(OR(E3731="",E3731="!!!",F3731="NEW"),"",COUNTBLANK(OFFSET(A$1,,,SUMPRODUCT(MAX(ROW(E$2:E3731)*(E3731=E$2:E3731)))))-COUNTBLANK(OFFSET(A$1,,,SUMPRODUCT(MAX(ROW(E$1:E3730)*(E2=E$1:E3730))))))</f>
        <v> </v>
      </c>
      <c r="K3731" s="25" t="str">
        <f>IF(OR(E3731="",E3731="!!!",F3731="NEW"),"",INDEX(J$1:J3730,SUMPRODUCT(MAX(ROW(E$1:E3730)*(E3731=E$1:E3730)))))</f>
        <v> </v>
      </c>
      <c r="L3731" s="26"/>
    </row>
    <row r="3732" spans="1:12">
      <c r="A3732" s="20" t="s">
        <v>2259</v>
      </c>
      <c r="E3732" s="21">
        <f>IF(D3732="?OLD","!!!","")</f>
        <v/>
      </c>
      <c r="F3732" s="22" t="str">
        <f>IF(OR(E3732="",E3732="!!!"),"",IF(NOT(ISNA(VLOOKUP(E3732,E$1:E3731,1,FALSE()))),"OLD",IF(AND(E3732&lt;&gt;"",E3732&lt;&gt;"!!!"),"NEW","")))</f>
        <v> </v>
      </c>
      <c r="G3732" s="23" t="str">
        <f>IF(OR(E3732="",E3732="!!!"),"",IF(OR(J3732=0,AND(J3732=1,K3732=1),AND(J3732=1,I3732="SBJ"),AND(J3732=1,I3732=0)),"?IN_FOCUS",IF(J3732&lt;=2,"?ACTIVATED",IF(J3732&lt;&gt;"","?FAMILIAR",IF(F3732="NEW",IF(ISNA(VLOOKUP(E3732,#REF!,1,FALSE())),"?TYPE_IDENTIFIABLE","?REFERENTIAL"),"_")))))</f>
        <v> </v>
      </c>
      <c r="H3732" s="24" t="str">
        <f>IF(J3732&lt;&gt;1,"",IF(I3732="SBJ","CB","?"))</f>
        <v> </v>
      </c>
      <c r="I3732" s="25" t="str">
        <f>IF(OR(E3732="",E3732="!!!",F3732="NEW"),"",INDEX(B3731:B$2,-1+SUMPRODUCT(MAX(ROW(E3731:E$2)*(E3732=E3731:E$2)))))</f>
        <v> </v>
      </c>
      <c r="J3732" s="25" t="str">
        <f>IF(OR(E3732="",E3732="!!!",F3732="NEW"),"",COUNTBLANK(OFFSET(A$1,,,SUMPRODUCT(MAX(ROW(E$2:E3732)*(E3732=E$2:E3732)))))-COUNTBLANK(OFFSET(A$1,,,SUMPRODUCT(MAX(ROW(E$1:E3731)*(E2=E$1:E3731))))))</f>
        <v> </v>
      </c>
      <c r="K3732" s="25" t="str">
        <f>IF(OR(E3732="",E3732="!!!",F3732="NEW"),"",INDEX(J$1:J3731,SUMPRODUCT(MAX(ROW(E$1:E3731)*(E3732=E$1:E3731)))))</f>
        <v> </v>
      </c>
      <c r="L3732" s="26"/>
    </row>
    <row r="3733" spans="1:12">
      <c r="A3733" s="20" t="s">
        <v>1070</v>
      </c>
      <c r="E3733" s="21">
        <f>IF(D3733="?OLD","!!!","")</f>
        <v/>
      </c>
      <c r="F3733" s="22" t="str">
        <f>IF(OR(E3733="",E3733="!!!"),"",IF(NOT(ISNA(VLOOKUP(E3733,E$1:E3732,1,FALSE()))),"OLD",IF(AND(E3733&lt;&gt;"",E3733&lt;&gt;"!!!"),"NEW","")))</f>
        <v> </v>
      </c>
      <c r="G3733" s="23" t="str">
        <f>IF(OR(E3733="",E3733="!!!"),"",IF(OR(J3733=0,AND(J3733=1,K3733=1),AND(J3733=1,I3733="SBJ"),AND(J3733=1,I3733=0)),"?IN_FOCUS",IF(J3733&lt;=2,"?ACTIVATED",IF(J3733&lt;&gt;"","?FAMILIAR",IF(F3733="NEW",IF(ISNA(VLOOKUP(E3733,#REF!,1,FALSE())),"?TYPE_IDENTIFIABLE","?REFERENTIAL"),"_")))))</f>
        <v> </v>
      </c>
      <c r="H3733" s="24" t="str">
        <f>IF(J3733&lt;&gt;1,"",IF(I3733="SBJ","CB","?"))</f>
        <v> </v>
      </c>
      <c r="I3733" s="25" t="str">
        <f>IF(OR(E3733="",E3733="!!!",F3733="NEW"),"",INDEX(B3732:B$2,-1+SUMPRODUCT(MAX(ROW(E3732:E$2)*(E3733=E3732:E$2)))))</f>
        <v> </v>
      </c>
      <c r="J3733" s="25" t="str">
        <f>IF(OR(E3733="",E3733="!!!",F3733="NEW"),"",COUNTBLANK(OFFSET(A$1,,,SUMPRODUCT(MAX(ROW(E$2:E3733)*(E3733=E$2:E3733)))))-COUNTBLANK(OFFSET(A$1,,,SUMPRODUCT(MAX(ROW(E$1:E3732)*(E2=E$1:E3732))))))</f>
        <v> </v>
      </c>
      <c r="K3733" s="25" t="str">
        <f>IF(OR(E3733="",E3733="!!!",F3733="NEW"),"",INDEX(J$1:J3732,SUMPRODUCT(MAX(ROW(E$1:E3732)*(E3733=E$1:E3732)))))</f>
        <v> </v>
      </c>
      <c r="L3733" s="26"/>
    </row>
    <row r="3734" spans="1:12">
      <c r="A3734" s="20" t="s">
        <v>756</v>
      </c>
      <c r="E3734" s="21">
        <f>IF(D3734="?OLD","!!!","")</f>
        <v/>
      </c>
      <c r="F3734" s="22" t="str">
        <f>IF(OR(E3734="",E3734="!!!"),"",IF(NOT(ISNA(VLOOKUP(E3734,E$1:E3733,1,FALSE()))),"OLD",IF(AND(E3734&lt;&gt;"",E3734&lt;&gt;"!!!"),"NEW","")))</f>
        <v> </v>
      </c>
      <c r="G3734" s="23" t="str">
        <f>IF(OR(E3734="",E3734="!!!"),"",IF(OR(J3734=0,AND(J3734=1,K3734=1),AND(J3734=1,I3734="SBJ"),AND(J3734=1,I3734=0)),"?IN_FOCUS",IF(J3734&lt;=2,"?ACTIVATED",IF(J3734&lt;&gt;"","?FAMILIAR",IF(F3734="NEW",IF(ISNA(VLOOKUP(E3734,#REF!,1,FALSE())),"?TYPE_IDENTIFIABLE","?REFERENTIAL"),"_")))))</f>
        <v> </v>
      </c>
      <c r="H3734" s="24" t="str">
        <f>IF(J3734&lt;&gt;1,"",IF(I3734="SBJ","CB","?"))</f>
        <v> </v>
      </c>
      <c r="I3734" s="25" t="str">
        <f>IF(OR(E3734="",E3734="!!!",F3734="NEW"),"",INDEX(B3733:B$2,-1+SUMPRODUCT(MAX(ROW(E3733:E$2)*(E3734=E3733:E$2)))))</f>
        <v> </v>
      </c>
      <c r="J3734" s="25" t="str">
        <f>IF(OR(E3734="",E3734="!!!",F3734="NEW"),"",COUNTBLANK(OFFSET(A$1,,,SUMPRODUCT(MAX(ROW(E$2:E3734)*(E3734=E$2:E3734)))))-COUNTBLANK(OFFSET(A$1,,,SUMPRODUCT(MAX(ROW(E$1:E3733)*(E2=E$1:E3733))))))</f>
        <v> </v>
      </c>
      <c r="K3734" s="25" t="str">
        <f>IF(OR(E3734="",E3734="!!!",F3734="NEW"),"",INDEX(J$1:J3733,SUMPRODUCT(MAX(ROW(E$1:E3733)*(E3734=E$1:E3733)))))</f>
        <v> </v>
      </c>
      <c r="L3734" s="26"/>
    </row>
    <row r="3735" spans="1:12">
      <c r="A3735" s="20" t="s">
        <v>1317</v>
      </c>
      <c r="E3735" s="21">
        <f>IF(D3735="?OLD","!!!","")</f>
        <v/>
      </c>
      <c r="F3735" s="22" t="str">
        <f>IF(OR(E3735="",E3735="!!!"),"",IF(NOT(ISNA(VLOOKUP(E3735,E$1:E3734,1,FALSE()))),"OLD",IF(AND(E3735&lt;&gt;"",E3735&lt;&gt;"!!!"),"NEW","")))</f>
        <v> </v>
      </c>
      <c r="G3735" s="23" t="str">
        <f>IF(OR(E3735="",E3735="!!!"),"",IF(OR(J3735=0,AND(J3735=1,K3735=1),AND(J3735=1,I3735="SBJ"),AND(J3735=1,I3735=0)),"?IN_FOCUS",IF(J3735&lt;=2,"?ACTIVATED",IF(J3735&lt;&gt;"","?FAMILIAR",IF(F3735="NEW",IF(ISNA(VLOOKUP(E3735,#REF!,1,FALSE())),"?TYPE_IDENTIFIABLE","?REFERENTIAL"),"_")))))</f>
        <v> </v>
      </c>
      <c r="H3735" s="24" t="str">
        <f>IF(J3735&lt;&gt;1,"",IF(I3735="SBJ","CB","?"))</f>
        <v> </v>
      </c>
      <c r="I3735" s="25" t="str">
        <f>IF(OR(E3735="",E3735="!!!",F3735="NEW"),"",INDEX(B3734:B$2,-1+SUMPRODUCT(MAX(ROW(E3734:E$2)*(E3735=E3734:E$2)))))</f>
        <v> </v>
      </c>
      <c r="J3735" s="25" t="str">
        <f>IF(OR(E3735="",E3735="!!!",F3735="NEW"),"",COUNTBLANK(OFFSET(A$1,,,SUMPRODUCT(MAX(ROW(E$2:E3735)*(E3735=E$2:E3735)))))-COUNTBLANK(OFFSET(A$1,,,SUMPRODUCT(MAX(ROW(E$1:E3734)*(E2=E$1:E3734))))))</f>
        <v> </v>
      </c>
      <c r="K3735" s="25" t="str">
        <f>IF(OR(E3735="",E3735="!!!",F3735="NEW"),"",INDEX(J$1:J3734,SUMPRODUCT(MAX(ROW(E$1:E3734)*(E3735=E$1:E3734)))))</f>
        <v> </v>
      </c>
      <c r="L3735" s="26"/>
    </row>
    <row r="3736" spans="1:12">
      <c r="A3736" s="20"/>
    </row>
    <row r="3737" spans="1:12">
      <c r="A3737" s="20" t="s">
        <v>2260</v>
      </c>
    </row>
    <row r="3738" spans="1:12">
      <c r="A3738" s="20" t="s">
        <v>1175</v>
      </c>
      <c r="B3738" s="27" t="s">
        <v>1067</v>
      </c>
      <c r="C3738" s="27" t="s">
        <v>1129</v>
      </c>
      <c r="D3738" s="27" t="s">
        <v>1069</v>
      </c>
      <c r="E3738" s="21">
        <f>IF(D3738="?OLD","!!!","")</f>
        <v/>
      </c>
      <c r="F3738" s="22" t="str">
        <f>IF(OR(E3738="",E3738="!!!"),"",IF(NOT(ISNA(VLOOKUP(E3738,E$1:E3737,1,FALSE()))),"OLD",IF(AND(E3738&lt;&gt;"",E3738&lt;&gt;"!!!"),"NEW","")))</f>
        <v> </v>
      </c>
      <c r="G3738" s="23" t="str">
        <f>IF(OR(E3738="",E3738="!!!"),"",IF(OR(J3738=0,AND(J3738=1,K3738=1),AND(J3738=1,I3738="SBJ"),AND(J3738=1,I3738=0)),"?IN_FOCUS",IF(J3738&lt;=2,"?ACTIVATED",IF(J3738&lt;&gt;"","?FAMILIAR",IF(F3738="NEW",IF(ISNA(VLOOKUP(E3738,#REF!,1,FALSE())),"?TYPE_IDENTIFIABLE","?REFERENTIAL"),"_")))))</f>
        <v> </v>
      </c>
      <c r="H3738" s="24" t="str">
        <f>IF(J3738&lt;&gt;1,"",IF(I3738="SBJ","CB","?"))</f>
        <v> </v>
      </c>
      <c r="I3738" s="25" t="str">
        <f>IF(OR(E3738="",E3738="!!!",F3738="NEW"),"",INDEX(B3737:B$2,-1+SUMPRODUCT(MAX(ROW(E3737:E$2)*(E3738=E3737:E$2)))))</f>
        <v> </v>
      </c>
      <c r="J3738" s="25" t="str">
        <f>IF(OR(E3738="",E3738="!!!",F3738="NEW"),"",COUNTBLANK(OFFSET(A$1,,,SUMPRODUCT(MAX(ROW(E$2:E3738)*(E3738=E$2:E3738)))))-COUNTBLANK(OFFSET(A$1,,,SUMPRODUCT(MAX(ROW(E$1:E3737)*(E2=E$1:E3737))))))</f>
        <v> </v>
      </c>
      <c r="K3738" s="25" t="str">
        <f>IF(OR(E3738="",E3738="!!!",F3738="NEW"),"",INDEX(J$1:J3737,SUMPRODUCT(MAX(ROW(E$1:E3737)*(E3738=E$1:E3737)))))</f>
        <v> </v>
      </c>
      <c r="L3738" s="26"/>
    </row>
    <row r="3739" spans="1:12">
      <c r="A3739" s="20" t="s">
        <v>1148</v>
      </c>
      <c r="E3739" s="21">
        <f>IF(D3739="?OLD","!!!","")</f>
        <v/>
      </c>
      <c r="F3739" s="22" t="str">
        <f>IF(OR(E3739="",E3739="!!!"),"",IF(NOT(ISNA(VLOOKUP(E3739,E$1:E3738,1,FALSE()))),"OLD",IF(AND(E3739&lt;&gt;"",E3739&lt;&gt;"!!!"),"NEW","")))</f>
        <v> </v>
      </c>
      <c r="G3739" s="23" t="str">
        <f>IF(OR(E3739="",E3739="!!!"),"",IF(OR(J3739=0,AND(J3739=1,K3739=1),AND(J3739=1,I3739="SBJ"),AND(J3739=1,I3739=0)),"?IN_FOCUS",IF(J3739&lt;=2,"?ACTIVATED",IF(J3739&lt;&gt;"","?FAMILIAR",IF(F3739="NEW",IF(ISNA(VLOOKUP(E3739,#REF!,1,FALSE())),"?TYPE_IDENTIFIABLE","?REFERENTIAL"),"_")))))</f>
        <v> </v>
      </c>
      <c r="H3739" s="24" t="str">
        <f>IF(J3739&lt;&gt;1,"",IF(I3739="SBJ","CB","?"))</f>
        <v> </v>
      </c>
      <c r="I3739" s="25" t="str">
        <f>IF(OR(E3739="",E3739="!!!",F3739="NEW"),"",INDEX(B3738:B$2,-1+SUMPRODUCT(MAX(ROW(E3738:E$2)*(E3739=E3738:E$2)))))</f>
        <v> </v>
      </c>
      <c r="J3739" s="25" t="str">
        <f>IF(OR(E3739="",E3739="!!!",F3739="NEW"),"",COUNTBLANK(OFFSET(A$1,,,SUMPRODUCT(MAX(ROW(E$2:E3739)*(E3739=E$2:E3739)))))-COUNTBLANK(OFFSET(A$1,,,SUMPRODUCT(MAX(ROW(E$1:E3738)*(E2=E$1:E3738))))))</f>
        <v> </v>
      </c>
      <c r="K3739" s="25" t="str">
        <f>IF(OR(E3739="",E3739="!!!",F3739="NEW"),"",INDEX(J$1:J3738,SUMPRODUCT(MAX(ROW(E$1:E3738)*(E3739=E$1:E3738)))))</f>
        <v> </v>
      </c>
      <c r="L3739" s="26"/>
    </row>
    <row r="3740" spans="1:12">
      <c r="A3740" s="20" t="s">
        <v>2261</v>
      </c>
      <c r="E3740" s="21">
        <f>IF(D3740="?OLD","!!!","")</f>
        <v/>
      </c>
      <c r="F3740" s="22" t="str">
        <f>IF(OR(E3740="",E3740="!!!"),"",IF(NOT(ISNA(VLOOKUP(E3740,E$1:E3739,1,FALSE()))),"OLD",IF(AND(E3740&lt;&gt;"",E3740&lt;&gt;"!!!"),"NEW","")))</f>
        <v> </v>
      </c>
      <c r="G3740" s="23" t="str">
        <f>IF(OR(E3740="",E3740="!!!"),"",IF(OR(J3740=0,AND(J3740=1,K3740=1),AND(J3740=1,I3740="SBJ"),AND(J3740=1,I3740=0)),"?IN_FOCUS",IF(J3740&lt;=2,"?ACTIVATED",IF(J3740&lt;&gt;"","?FAMILIAR",IF(F3740="NEW",IF(ISNA(VLOOKUP(E3740,#REF!,1,FALSE())),"?TYPE_IDENTIFIABLE","?REFERENTIAL"),"_")))))</f>
        <v> </v>
      </c>
      <c r="H3740" s="24" t="str">
        <f>IF(J3740&lt;&gt;1,"",IF(I3740="SBJ","CB","?"))</f>
        <v> </v>
      </c>
      <c r="I3740" s="25" t="str">
        <f>IF(OR(E3740="",E3740="!!!",F3740="NEW"),"",INDEX(B3739:B$2,-1+SUMPRODUCT(MAX(ROW(E3739:E$2)*(E3740=E3739:E$2)))))</f>
        <v> </v>
      </c>
      <c r="J3740" s="25" t="str">
        <f>IF(OR(E3740="",E3740="!!!",F3740="NEW"),"",COUNTBLANK(OFFSET(A$1,,,SUMPRODUCT(MAX(ROW(E$2:E3740)*(E3740=E$2:E3740)))))-COUNTBLANK(OFFSET(A$1,,,SUMPRODUCT(MAX(ROW(E$1:E3739)*(E2=E$1:E3739))))))</f>
        <v> </v>
      </c>
      <c r="K3740" s="25" t="str">
        <f>IF(OR(E3740="",E3740="!!!",F3740="NEW"),"",INDEX(J$1:J3739,SUMPRODUCT(MAX(ROW(E$1:E3739)*(E3740=E$1:E3739)))))</f>
        <v> </v>
      </c>
      <c r="L3740" s="26"/>
    </row>
    <row r="3741" spans="1:12">
      <c r="A3741" s="20" t="s">
        <v>1224</v>
      </c>
      <c r="E3741" s="21">
        <f>IF(D3741="?OLD","!!!","")</f>
        <v/>
      </c>
      <c r="F3741" s="22" t="str">
        <f>IF(OR(E3741="",E3741="!!!"),"",IF(NOT(ISNA(VLOOKUP(E3741,E$1:E3740,1,FALSE()))),"OLD",IF(AND(E3741&lt;&gt;"",E3741&lt;&gt;"!!!"),"NEW","")))</f>
        <v> </v>
      </c>
      <c r="G3741" s="23" t="str">
        <f>IF(OR(E3741="",E3741="!!!"),"",IF(OR(J3741=0,AND(J3741=1,K3741=1),AND(J3741=1,I3741="SBJ"),AND(J3741=1,I3741=0)),"?IN_FOCUS",IF(J3741&lt;=2,"?ACTIVATED",IF(J3741&lt;&gt;"","?FAMILIAR",IF(F3741="NEW",IF(ISNA(VLOOKUP(E3741,#REF!,1,FALSE())),"?TYPE_IDENTIFIABLE","?REFERENTIAL"),"_")))))</f>
        <v> </v>
      </c>
      <c r="H3741" s="24" t="str">
        <f>IF(J3741&lt;&gt;1,"",IF(I3741="SBJ","CB","?"))</f>
        <v> </v>
      </c>
      <c r="I3741" s="25" t="str">
        <f>IF(OR(E3741="",E3741="!!!",F3741="NEW"),"",INDEX(B3740:B$2,-1+SUMPRODUCT(MAX(ROW(E3740:E$2)*(E3741=E3740:E$2)))))</f>
        <v> </v>
      </c>
      <c r="J3741" s="25" t="str">
        <f>IF(OR(E3741="",E3741="!!!",F3741="NEW"),"",COUNTBLANK(OFFSET(A$1,,,SUMPRODUCT(MAX(ROW(E$2:E3741)*(E3741=E$2:E3741)))))-COUNTBLANK(OFFSET(A$1,,,SUMPRODUCT(MAX(ROW(E$1:E3740)*(E2=E$1:E3740))))))</f>
        <v> </v>
      </c>
      <c r="K3741" s="25" t="str">
        <f>IF(OR(E3741="",E3741="!!!",F3741="NEW"),"",INDEX(J$1:J3740,SUMPRODUCT(MAX(ROW(E$1:E3740)*(E3741=E$1:E3740)))))</f>
        <v> </v>
      </c>
      <c r="L3741" s="26"/>
    </row>
    <row r="3742" spans="1:12">
      <c r="A3742" s="20" t="s">
        <v>1113</v>
      </c>
      <c r="E3742" s="21">
        <f>IF(D3742="?OLD","!!!","")</f>
        <v/>
      </c>
      <c r="F3742" s="22" t="str">
        <f>IF(OR(E3742="",E3742="!!!"),"",IF(NOT(ISNA(VLOOKUP(E3742,E$1:E3741,1,FALSE()))),"OLD",IF(AND(E3742&lt;&gt;"",E3742&lt;&gt;"!!!"),"NEW","")))</f>
        <v> </v>
      </c>
      <c r="G3742" s="23" t="str">
        <f>IF(OR(E3742="",E3742="!!!"),"",IF(OR(J3742=0,AND(J3742=1,K3742=1),AND(J3742=1,I3742="SBJ"),AND(J3742=1,I3742=0)),"?IN_FOCUS",IF(J3742&lt;=2,"?ACTIVATED",IF(J3742&lt;&gt;"","?FAMILIAR",IF(F3742="NEW",IF(ISNA(VLOOKUP(E3742,#REF!,1,FALSE())),"?TYPE_IDENTIFIABLE","?REFERENTIAL"),"_")))))</f>
        <v> </v>
      </c>
      <c r="H3742" s="24" t="str">
        <f>IF(J3742&lt;&gt;1,"",IF(I3742="SBJ","CB","?"))</f>
        <v> </v>
      </c>
      <c r="I3742" s="25" t="str">
        <f>IF(OR(E3742="",E3742="!!!",F3742="NEW"),"",INDEX(B3741:B$2,-1+SUMPRODUCT(MAX(ROW(E3741:E$2)*(E3742=E3741:E$2)))))</f>
        <v> </v>
      </c>
      <c r="J3742" s="25" t="str">
        <f>IF(OR(E3742="",E3742="!!!",F3742="NEW"),"",COUNTBLANK(OFFSET(A$1,,,SUMPRODUCT(MAX(ROW(E$2:E3742)*(E3742=E$2:E3742)))))-COUNTBLANK(OFFSET(A$1,,,SUMPRODUCT(MAX(ROW(E$1:E3741)*(E2=E$1:E3741))))))</f>
        <v> </v>
      </c>
      <c r="K3742" s="25" t="str">
        <f>IF(OR(E3742="",E3742="!!!",F3742="NEW"),"",INDEX(J$1:J3741,SUMPRODUCT(MAX(ROW(E$1:E3741)*(E3742=E$1:E3741)))))</f>
        <v> </v>
      </c>
      <c r="L3742" s="26"/>
    </row>
    <row r="3743" spans="1:12">
      <c r="A3743" s="20" t="s">
        <v>2262</v>
      </c>
      <c r="B3743" s="27" t="s">
        <v>1071</v>
      </c>
      <c r="C3743" s="27" t="s">
        <v>1086</v>
      </c>
      <c r="D3743" s="27" t="s">
        <v>1069</v>
      </c>
      <c r="E3743" s="21">
        <f>IF(D3743="?OLD","!!!","")</f>
        <v/>
      </c>
      <c r="F3743" s="22" t="str">
        <f>IF(OR(E3743="",E3743="!!!"),"",IF(NOT(ISNA(VLOOKUP(E3743,E$1:E3742,1,FALSE()))),"OLD",IF(AND(E3743&lt;&gt;"",E3743&lt;&gt;"!!!"),"NEW","")))</f>
        <v> </v>
      </c>
      <c r="G3743" s="23" t="str">
        <f>IF(OR(E3743="",E3743="!!!"),"",IF(OR(J3743=0,AND(J3743=1,K3743=1),AND(J3743=1,I3743="SBJ"),AND(J3743=1,I3743=0)),"?IN_FOCUS",IF(J3743&lt;=2,"?ACTIVATED",IF(J3743&lt;&gt;"","?FAMILIAR",IF(F3743="NEW",IF(ISNA(VLOOKUP(E3743,#REF!,1,FALSE())),"?TYPE_IDENTIFIABLE","?REFERENTIAL"),"_")))))</f>
        <v> </v>
      </c>
      <c r="H3743" s="24" t="str">
        <f>IF(J3743&lt;&gt;1,"",IF(I3743="SBJ","CB","?"))</f>
        <v> </v>
      </c>
      <c r="I3743" s="25" t="str">
        <f>IF(OR(E3743="",E3743="!!!",F3743="NEW"),"",INDEX(B3742:B$2,-1+SUMPRODUCT(MAX(ROW(E3742:E$2)*(E3743=E3742:E$2)))))</f>
        <v> </v>
      </c>
      <c r="J3743" s="25" t="str">
        <f>IF(OR(E3743="",E3743="!!!",F3743="NEW"),"",COUNTBLANK(OFFSET(A$1,,,SUMPRODUCT(MAX(ROW(E$2:E3743)*(E3743=E$2:E3743)))))-COUNTBLANK(OFFSET(A$1,,,SUMPRODUCT(MAX(ROW(E$1:E3742)*(E2=E$1:E3742))))))</f>
        <v> </v>
      </c>
      <c r="K3743" s="25" t="str">
        <f>IF(OR(E3743="",E3743="!!!",F3743="NEW"),"",INDEX(J$1:J3742,SUMPRODUCT(MAX(ROW(E$1:E3742)*(E3743=E$1:E3742)))))</f>
        <v> </v>
      </c>
      <c r="L3743" s="26"/>
    </row>
    <row r="3744" spans="1:12">
      <c r="A3744" s="20" t="s">
        <v>1070</v>
      </c>
      <c r="E3744" s="21">
        <f>IF(D3744="?OLD","!!!","")</f>
        <v/>
      </c>
      <c r="F3744" s="22" t="str">
        <f>IF(OR(E3744="",E3744="!!!"),"",IF(NOT(ISNA(VLOOKUP(E3744,E$1:E3743,1,FALSE()))),"OLD",IF(AND(E3744&lt;&gt;"",E3744&lt;&gt;"!!!"),"NEW","")))</f>
        <v> </v>
      </c>
      <c r="G3744" s="23" t="str">
        <f>IF(OR(E3744="",E3744="!!!"),"",IF(OR(J3744=0,AND(J3744=1,K3744=1),AND(J3744=1,I3744="SBJ"),AND(J3744=1,I3744=0)),"?IN_FOCUS",IF(J3744&lt;=2,"?ACTIVATED",IF(J3744&lt;&gt;"","?FAMILIAR",IF(F3744="NEW",IF(ISNA(VLOOKUP(E3744,#REF!,1,FALSE())),"?TYPE_IDENTIFIABLE","?REFERENTIAL"),"_")))))</f>
        <v> </v>
      </c>
      <c r="H3744" s="24" t="str">
        <f>IF(J3744&lt;&gt;1,"",IF(I3744="SBJ","CB","?"))</f>
        <v> </v>
      </c>
      <c r="I3744" s="25" t="str">
        <f>IF(OR(E3744="",E3744="!!!",F3744="NEW"),"",INDEX(B3743:B$2,-1+SUMPRODUCT(MAX(ROW(E3743:E$2)*(E3744=E3743:E$2)))))</f>
        <v> </v>
      </c>
      <c r="J3744" s="25" t="str">
        <f>IF(OR(E3744="",E3744="!!!",F3744="NEW"),"",COUNTBLANK(OFFSET(A$1,,,SUMPRODUCT(MAX(ROW(E$2:E3744)*(E3744=E$2:E3744)))))-COUNTBLANK(OFFSET(A$1,,,SUMPRODUCT(MAX(ROW(E$1:E3743)*(E2=E$1:E3743))))))</f>
        <v> </v>
      </c>
      <c r="K3744" s="25" t="str">
        <f>IF(OR(E3744="",E3744="!!!",F3744="NEW"),"",INDEX(J$1:J3743,SUMPRODUCT(MAX(ROW(E$1:E3743)*(E3744=E$1:E3743)))))</f>
        <v> </v>
      </c>
      <c r="L3744" s="26"/>
    </row>
    <row r="3745" spans="1:12">
      <c r="A3745" s="20" t="s">
        <v>2263</v>
      </c>
      <c r="E3745" s="21">
        <f>IF(D3745="?OLD","!!!","")</f>
        <v/>
      </c>
      <c r="F3745" s="22" t="str">
        <f>IF(OR(E3745="",E3745="!!!"),"",IF(NOT(ISNA(VLOOKUP(E3745,E$1:E3744,1,FALSE()))),"OLD",IF(AND(E3745&lt;&gt;"",E3745&lt;&gt;"!!!"),"NEW","")))</f>
        <v> </v>
      </c>
      <c r="G3745" s="23" t="str">
        <f>IF(OR(E3745="",E3745="!!!"),"",IF(OR(J3745=0,AND(J3745=1,K3745=1),AND(J3745=1,I3745="SBJ"),AND(J3745=1,I3745=0)),"?IN_FOCUS",IF(J3745&lt;=2,"?ACTIVATED",IF(J3745&lt;&gt;"","?FAMILIAR",IF(F3745="NEW",IF(ISNA(VLOOKUP(E3745,#REF!,1,FALSE())),"?TYPE_IDENTIFIABLE","?REFERENTIAL"),"_")))))</f>
        <v> </v>
      </c>
      <c r="H3745" s="24" t="str">
        <f>IF(J3745&lt;&gt;1,"",IF(I3745="SBJ","CB","?"))</f>
        <v> </v>
      </c>
      <c r="I3745" s="25" t="str">
        <f>IF(OR(E3745="",E3745="!!!",F3745="NEW"),"",INDEX(B3744:B$2,-1+SUMPRODUCT(MAX(ROW(E3744:E$2)*(E3745=E3744:E$2)))))</f>
        <v> </v>
      </c>
      <c r="J3745" s="25" t="str">
        <f>IF(OR(E3745="",E3745="!!!",F3745="NEW"),"",COUNTBLANK(OFFSET(A$1,,,SUMPRODUCT(MAX(ROW(E$2:E3745)*(E3745=E$2:E3745)))))-COUNTBLANK(OFFSET(A$1,,,SUMPRODUCT(MAX(ROW(E$1:E3744)*(E2=E$1:E3744))))))</f>
        <v> </v>
      </c>
      <c r="K3745" s="25" t="str">
        <f>IF(OR(E3745="",E3745="!!!",F3745="NEW"),"",INDEX(J$1:J3744,SUMPRODUCT(MAX(ROW(E$1:E3744)*(E3745=E$1:E3744)))))</f>
        <v> </v>
      </c>
      <c r="L3745" s="26"/>
    </row>
    <row r="3746" spans="1:12">
      <c r="A3746" s="20" t="s">
        <v>1460</v>
      </c>
      <c r="E3746" s="21">
        <f>IF(D3746="?OLD","!!!","")</f>
        <v/>
      </c>
      <c r="F3746" s="22" t="str">
        <f>IF(OR(E3746="",E3746="!!!"),"",IF(NOT(ISNA(VLOOKUP(E3746,E$1:E3745,1,FALSE()))),"OLD",IF(AND(E3746&lt;&gt;"",E3746&lt;&gt;"!!!"),"NEW","")))</f>
        <v> </v>
      </c>
      <c r="G3746" s="23" t="str">
        <f>IF(OR(E3746="",E3746="!!!"),"",IF(OR(J3746=0,AND(J3746=1,K3746=1),AND(J3746=1,I3746="SBJ"),AND(J3746=1,I3746=0)),"?IN_FOCUS",IF(J3746&lt;=2,"?ACTIVATED",IF(J3746&lt;&gt;"","?FAMILIAR",IF(F3746="NEW",IF(ISNA(VLOOKUP(E3746,#REF!,1,FALSE())),"?TYPE_IDENTIFIABLE","?REFERENTIAL"),"_")))))</f>
        <v> </v>
      </c>
      <c r="H3746" s="24" t="str">
        <f>IF(J3746&lt;&gt;1,"",IF(I3746="SBJ","CB","?"))</f>
        <v> </v>
      </c>
      <c r="I3746" s="25" t="str">
        <f>IF(OR(E3746="",E3746="!!!",F3746="NEW"),"",INDEX(B3745:B$2,-1+SUMPRODUCT(MAX(ROW(E3745:E$2)*(E3746=E3745:E$2)))))</f>
        <v> </v>
      </c>
      <c r="J3746" s="25" t="str">
        <f>IF(OR(E3746="",E3746="!!!",F3746="NEW"),"",COUNTBLANK(OFFSET(A$1,,,SUMPRODUCT(MAX(ROW(E$2:E3746)*(E3746=E$2:E3746)))))-COUNTBLANK(OFFSET(A$1,,,SUMPRODUCT(MAX(ROW(E$1:E3745)*(E2=E$1:E3745))))))</f>
        <v> </v>
      </c>
      <c r="K3746" s="25" t="str">
        <f>IF(OR(E3746="",E3746="!!!",F3746="NEW"),"",INDEX(J$1:J3745,SUMPRODUCT(MAX(ROW(E$1:E3745)*(E3746=E$1:E3745)))))</f>
        <v> </v>
      </c>
      <c r="L3746" s="26"/>
    </row>
    <row r="3747" spans="1:12">
      <c r="A3747" s="20" t="s">
        <v>1166</v>
      </c>
      <c r="E3747" s="21">
        <f>IF(D3747="?OLD","!!!","")</f>
        <v/>
      </c>
      <c r="F3747" s="22" t="str">
        <f>IF(OR(E3747="",E3747="!!!"),"",IF(NOT(ISNA(VLOOKUP(E3747,E$1:E3746,1,FALSE()))),"OLD",IF(AND(E3747&lt;&gt;"",E3747&lt;&gt;"!!!"),"NEW","")))</f>
        <v> </v>
      </c>
      <c r="G3747" s="23" t="str">
        <f>IF(OR(E3747="",E3747="!!!"),"",IF(OR(J3747=0,AND(J3747=1,K3747=1),AND(J3747=1,I3747="SBJ"),AND(J3747=1,I3747=0)),"?IN_FOCUS",IF(J3747&lt;=2,"?ACTIVATED",IF(J3747&lt;&gt;"","?FAMILIAR",IF(F3747="NEW",IF(ISNA(VLOOKUP(E3747,#REF!,1,FALSE())),"?TYPE_IDENTIFIABLE","?REFERENTIAL"),"_")))))</f>
        <v> </v>
      </c>
      <c r="H3747" s="24" t="str">
        <f>IF(J3747&lt;&gt;1,"",IF(I3747="SBJ","CB","?"))</f>
        <v> </v>
      </c>
      <c r="I3747" s="25" t="str">
        <f>IF(OR(E3747="",E3747="!!!",F3747="NEW"),"",INDEX(B3746:B$2,-1+SUMPRODUCT(MAX(ROW(E3746:E$2)*(E3747=E3746:E$2)))))</f>
        <v> </v>
      </c>
      <c r="J3747" s="25" t="str">
        <f>IF(OR(E3747="",E3747="!!!",F3747="NEW"),"",COUNTBLANK(OFFSET(A$1,,,SUMPRODUCT(MAX(ROW(E$2:E3747)*(E3747=E$2:E3747)))))-COUNTBLANK(OFFSET(A$1,,,SUMPRODUCT(MAX(ROW(E$1:E3746)*(E2=E$1:E3746))))))</f>
        <v> </v>
      </c>
      <c r="K3747" s="25" t="str">
        <f>IF(OR(E3747="",E3747="!!!",F3747="NEW"),"",INDEX(J$1:J3746,SUMPRODUCT(MAX(ROW(E$1:E3746)*(E3747=E$1:E3746)))))</f>
        <v> </v>
      </c>
      <c r="L3747" s="26"/>
    </row>
    <row r="3748" spans="1:12">
      <c r="A3748" s="20" t="s">
        <v>1185</v>
      </c>
      <c r="E3748" s="21">
        <f>IF(D3748="?OLD","!!!","")</f>
        <v/>
      </c>
      <c r="F3748" s="22" t="str">
        <f>IF(OR(E3748="",E3748="!!!"),"",IF(NOT(ISNA(VLOOKUP(E3748,E$1:E3747,1,FALSE()))),"OLD",IF(AND(E3748&lt;&gt;"",E3748&lt;&gt;"!!!"),"NEW","")))</f>
        <v> </v>
      </c>
      <c r="G3748" s="23" t="str">
        <f>IF(OR(E3748="",E3748="!!!"),"",IF(OR(J3748=0,AND(J3748=1,K3748=1),AND(J3748=1,I3748="SBJ"),AND(J3748=1,I3748=0)),"?IN_FOCUS",IF(J3748&lt;=2,"?ACTIVATED",IF(J3748&lt;&gt;"","?FAMILIAR",IF(F3748="NEW",IF(ISNA(VLOOKUP(E3748,#REF!,1,FALSE())),"?TYPE_IDENTIFIABLE","?REFERENTIAL"),"_")))))</f>
        <v> </v>
      </c>
      <c r="H3748" s="24" t="str">
        <f>IF(J3748&lt;&gt;1,"",IF(I3748="SBJ","CB","?"))</f>
        <v> </v>
      </c>
      <c r="I3748" s="25" t="str">
        <f>IF(OR(E3748="",E3748="!!!",F3748="NEW"),"",INDEX(B3747:B$2,-1+SUMPRODUCT(MAX(ROW(E3747:E$2)*(E3748=E3747:E$2)))))</f>
        <v> </v>
      </c>
      <c r="J3748" s="25" t="str">
        <f>IF(OR(E3748="",E3748="!!!",F3748="NEW"),"",COUNTBLANK(OFFSET(A$1,,,SUMPRODUCT(MAX(ROW(E$2:E3748)*(E3748=E$2:E3748)))))-COUNTBLANK(OFFSET(A$1,,,SUMPRODUCT(MAX(ROW(E$1:E3747)*(E2=E$1:E3747))))))</f>
        <v> </v>
      </c>
      <c r="K3748" s="25" t="str">
        <f>IF(OR(E3748="",E3748="!!!",F3748="NEW"),"",INDEX(J$1:J3747,SUMPRODUCT(MAX(ROW(E$1:E3747)*(E3748=E$1:E3747)))))</f>
        <v> </v>
      </c>
      <c r="L3748" s="26"/>
    </row>
    <row r="3749" spans="1:12">
      <c r="A3749" s="20" t="s">
        <v>2264</v>
      </c>
      <c r="E3749" s="21">
        <f>IF(D3749="?OLD","!!!","")</f>
        <v/>
      </c>
      <c r="F3749" s="22" t="str">
        <f>IF(OR(E3749="",E3749="!!!"),"",IF(NOT(ISNA(VLOOKUP(E3749,E$1:E3748,1,FALSE()))),"OLD",IF(AND(E3749&lt;&gt;"",E3749&lt;&gt;"!!!"),"NEW","")))</f>
        <v> </v>
      </c>
      <c r="G3749" s="23" t="str">
        <f>IF(OR(E3749="",E3749="!!!"),"",IF(OR(J3749=0,AND(J3749=1,K3749=1),AND(J3749=1,I3749="SBJ"),AND(J3749=1,I3749=0)),"?IN_FOCUS",IF(J3749&lt;=2,"?ACTIVATED",IF(J3749&lt;&gt;"","?FAMILIAR",IF(F3749="NEW",IF(ISNA(VLOOKUP(E3749,#REF!,1,FALSE())),"?TYPE_IDENTIFIABLE","?REFERENTIAL"),"_")))))</f>
        <v> </v>
      </c>
      <c r="H3749" s="24" t="str">
        <f>IF(J3749&lt;&gt;1,"",IF(I3749="SBJ","CB","?"))</f>
        <v> </v>
      </c>
      <c r="I3749" s="25" t="str">
        <f>IF(OR(E3749="",E3749="!!!",F3749="NEW"),"",INDEX(B3748:B$2,-1+SUMPRODUCT(MAX(ROW(E3748:E$2)*(E3749=E3748:E$2)))))</f>
        <v> </v>
      </c>
      <c r="J3749" s="25" t="str">
        <f>IF(OR(E3749="",E3749="!!!",F3749="NEW"),"",COUNTBLANK(OFFSET(A$1,,,SUMPRODUCT(MAX(ROW(E$2:E3749)*(E3749=E$2:E3749)))))-COUNTBLANK(OFFSET(A$1,,,SUMPRODUCT(MAX(ROW(E$1:E3748)*(E2=E$1:E3748))))))</f>
        <v> </v>
      </c>
      <c r="K3749" s="25" t="str">
        <f>IF(OR(E3749="",E3749="!!!",F3749="NEW"),"",INDEX(J$1:J3748,SUMPRODUCT(MAX(ROW(E$1:E3748)*(E3749=E$1:E3748)))))</f>
        <v> </v>
      </c>
      <c r="L3749" s="26"/>
    </row>
    <row r="3750" spans="1:12">
      <c r="A3750" s="20" t="s">
        <v>2003</v>
      </c>
      <c r="B3750" s="27" t="s">
        <v>1071</v>
      </c>
      <c r="C3750" s="27" t="s">
        <v>1152</v>
      </c>
      <c r="D3750" s="27" t="s">
        <v>1069</v>
      </c>
      <c r="E3750" s="21">
        <f>IF(D3750="?OLD","!!!","")</f>
        <v/>
      </c>
      <c r="F3750" s="22" t="str">
        <f>IF(OR(E3750="",E3750="!!!"),"",IF(NOT(ISNA(VLOOKUP(E3750,E$1:E3749,1,FALSE()))),"OLD",IF(AND(E3750&lt;&gt;"",E3750&lt;&gt;"!!!"),"NEW","")))</f>
        <v> </v>
      </c>
      <c r="G3750" s="23" t="str">
        <f>IF(OR(E3750="",E3750="!!!"),"",IF(OR(J3750=0,AND(J3750=1,K3750=1),AND(J3750=1,I3750="SBJ"),AND(J3750=1,I3750=0)),"?IN_FOCUS",IF(J3750&lt;=2,"?ACTIVATED",IF(J3750&lt;&gt;"","?FAMILIAR",IF(F3750="NEW",IF(ISNA(VLOOKUP(E3750,#REF!,1,FALSE())),"?TYPE_IDENTIFIABLE","?REFERENTIAL"),"_")))))</f>
        <v> </v>
      </c>
      <c r="H3750" s="24" t="str">
        <f>IF(J3750&lt;&gt;1,"",IF(I3750="SBJ","CB","?"))</f>
        <v> </v>
      </c>
      <c r="I3750" s="25" t="str">
        <f>IF(OR(E3750="",E3750="!!!",F3750="NEW"),"",INDEX(B3749:B$2,-1+SUMPRODUCT(MAX(ROW(E3749:E$2)*(E3750=E3749:E$2)))))</f>
        <v> </v>
      </c>
      <c r="J3750" s="25" t="str">
        <f>IF(OR(E3750="",E3750="!!!",F3750="NEW"),"",COUNTBLANK(OFFSET(A$1,,,SUMPRODUCT(MAX(ROW(E$2:E3750)*(E3750=E$2:E3750)))))-COUNTBLANK(OFFSET(A$1,,,SUMPRODUCT(MAX(ROW(E$1:E3749)*(E2=E$1:E3749))))))</f>
        <v> </v>
      </c>
      <c r="K3750" s="25" t="str">
        <f>IF(OR(E3750="",E3750="!!!",F3750="NEW"),"",INDEX(J$1:J3749,SUMPRODUCT(MAX(ROW(E$1:E3749)*(E3750=E$1:E3749)))))</f>
        <v> </v>
      </c>
      <c r="L3750" s="26"/>
    </row>
    <row r="3751" spans="1:12">
      <c r="A3751" s="20" t="s">
        <v>1935</v>
      </c>
      <c r="E3751" s="21">
        <f>IF(D3751="?OLD","!!!","")</f>
        <v/>
      </c>
      <c r="F3751" s="22" t="str">
        <f>IF(OR(E3751="",E3751="!!!"),"",IF(NOT(ISNA(VLOOKUP(E3751,E$1:E3750,1,FALSE()))),"OLD",IF(AND(E3751&lt;&gt;"",E3751&lt;&gt;"!!!"),"NEW","")))</f>
        <v> </v>
      </c>
      <c r="G3751" s="23" t="str">
        <f>IF(OR(E3751="",E3751="!!!"),"",IF(OR(J3751=0,AND(J3751=1,K3751=1),AND(J3751=1,I3751="SBJ"),AND(J3751=1,I3751=0)),"?IN_FOCUS",IF(J3751&lt;=2,"?ACTIVATED",IF(J3751&lt;&gt;"","?FAMILIAR",IF(F3751="NEW",IF(ISNA(VLOOKUP(E3751,#REF!,1,FALSE())),"?TYPE_IDENTIFIABLE","?REFERENTIAL"),"_")))))</f>
        <v> </v>
      </c>
      <c r="H3751" s="24" t="str">
        <f>IF(J3751&lt;&gt;1,"",IF(I3751="SBJ","CB","?"))</f>
        <v> </v>
      </c>
      <c r="I3751" s="25" t="str">
        <f>IF(OR(E3751="",E3751="!!!",F3751="NEW"),"",INDEX(B3750:B$2,-1+SUMPRODUCT(MAX(ROW(E3750:E$2)*(E3751=E3750:E$2)))))</f>
        <v> </v>
      </c>
      <c r="J3751" s="25" t="str">
        <f>IF(OR(E3751="",E3751="!!!",F3751="NEW"),"",COUNTBLANK(OFFSET(A$1,,,SUMPRODUCT(MAX(ROW(E$2:E3751)*(E3751=E$2:E3751)))))-COUNTBLANK(OFFSET(A$1,,,SUMPRODUCT(MAX(ROW(E$1:E3750)*(E2=E$1:E3750))))))</f>
        <v> </v>
      </c>
      <c r="K3751" s="25" t="str">
        <f>IF(OR(E3751="",E3751="!!!",F3751="NEW"),"",INDEX(J$1:J3750,SUMPRODUCT(MAX(ROW(E$1:E3750)*(E3751=E$1:E3750)))))</f>
        <v> </v>
      </c>
      <c r="L3751" s="26"/>
    </row>
    <row r="3752" spans="1:12">
      <c r="A3752" s="20" t="s">
        <v>2265</v>
      </c>
      <c r="B3752" s="27" t="s">
        <v>1092</v>
      </c>
      <c r="C3752" s="27" t="s">
        <v>1077</v>
      </c>
      <c r="E3752" s="21">
        <f>IF(D3752="?OLD","!!!","")</f>
        <v/>
      </c>
      <c r="F3752" s="22" t="str">
        <f>IF(OR(E3752="",E3752="!!!"),"",IF(NOT(ISNA(VLOOKUP(E3752,E$1:E3751,1,FALSE()))),"OLD",IF(AND(E3752&lt;&gt;"",E3752&lt;&gt;"!!!"),"NEW","")))</f>
        <v> </v>
      </c>
      <c r="G3752" s="23" t="str">
        <f>IF(OR(E3752="",E3752="!!!"),"",IF(OR(J3752=0,AND(J3752=1,K3752=1),AND(J3752=1,I3752="SBJ"),AND(J3752=1,I3752=0)),"?IN_FOCUS",IF(J3752&lt;=2,"?ACTIVATED",IF(J3752&lt;&gt;"","?FAMILIAR",IF(F3752="NEW",IF(ISNA(VLOOKUP(E3752,#REF!,1,FALSE())),"?TYPE_IDENTIFIABLE","?REFERENTIAL"),"_")))))</f>
        <v> </v>
      </c>
      <c r="H3752" s="24" t="str">
        <f>IF(J3752&lt;&gt;1,"",IF(I3752="SBJ","CB","?"))</f>
        <v> </v>
      </c>
      <c r="I3752" s="25" t="str">
        <f>IF(OR(E3752="",E3752="!!!",F3752="NEW"),"",INDEX(B3751:B$2,-1+SUMPRODUCT(MAX(ROW(E3751:E$2)*(E3752=E3751:E$2)))))</f>
        <v> </v>
      </c>
      <c r="J3752" s="25" t="str">
        <f>IF(OR(E3752="",E3752="!!!",F3752="NEW"),"",COUNTBLANK(OFFSET(A$1,,,SUMPRODUCT(MAX(ROW(E$2:E3752)*(E3752=E$2:E3752)))))-COUNTBLANK(OFFSET(A$1,,,SUMPRODUCT(MAX(ROW(E$1:E3751)*(E2=E$1:E3751))))))</f>
        <v> </v>
      </c>
      <c r="K3752" s="25" t="str">
        <f>IF(OR(E3752="",E3752="!!!",F3752="NEW"),"",INDEX(J$1:J3751,SUMPRODUCT(MAX(ROW(E$1:E3751)*(E3752=E$1:E3751)))))</f>
        <v> </v>
      </c>
      <c r="L3752" s="26"/>
    </row>
    <row r="3753" spans="1:12">
      <c r="A3753" s="20" t="s">
        <v>1087</v>
      </c>
      <c r="E3753" s="21">
        <f>IF(D3753="?OLD","!!!","")</f>
        <v/>
      </c>
      <c r="F3753" s="22" t="str">
        <f>IF(OR(E3753="",E3753="!!!"),"",IF(NOT(ISNA(VLOOKUP(E3753,E$1:E3752,1,FALSE()))),"OLD",IF(AND(E3753&lt;&gt;"",E3753&lt;&gt;"!!!"),"NEW","")))</f>
        <v> </v>
      </c>
      <c r="G3753" s="23" t="str">
        <f>IF(OR(E3753="",E3753="!!!"),"",IF(OR(J3753=0,AND(J3753=1,K3753=1),AND(J3753=1,I3753="SBJ"),AND(J3753=1,I3753=0)),"?IN_FOCUS",IF(J3753&lt;=2,"?ACTIVATED",IF(J3753&lt;&gt;"","?FAMILIAR",IF(F3753="NEW",IF(ISNA(VLOOKUP(E3753,#REF!,1,FALSE())),"?TYPE_IDENTIFIABLE","?REFERENTIAL"),"_")))))</f>
        <v> </v>
      </c>
      <c r="H3753" s="24" t="str">
        <f>IF(J3753&lt;&gt;1,"",IF(I3753="SBJ","CB","?"))</f>
        <v> </v>
      </c>
      <c r="I3753" s="25" t="str">
        <f>IF(OR(E3753="",E3753="!!!",F3753="NEW"),"",INDEX(B3752:B$2,-1+SUMPRODUCT(MAX(ROW(E3752:E$2)*(E3753=E3752:E$2)))))</f>
        <v> </v>
      </c>
      <c r="J3753" s="25" t="str">
        <f>IF(OR(E3753="",E3753="!!!",F3753="NEW"),"",COUNTBLANK(OFFSET(A$1,,,SUMPRODUCT(MAX(ROW(E$2:E3753)*(E3753=E$2:E3753)))))-COUNTBLANK(OFFSET(A$1,,,SUMPRODUCT(MAX(ROW(E$1:E3752)*(E2=E$1:E3752))))))</f>
        <v> </v>
      </c>
      <c r="K3753" s="25" t="str">
        <f>IF(OR(E3753="",E3753="!!!",F3753="NEW"),"",INDEX(J$1:J3752,SUMPRODUCT(MAX(ROW(E$1:E3752)*(E3753=E$1:E3752)))))</f>
        <v> </v>
      </c>
      <c r="L3753" s="26"/>
    </row>
    <row r="3754" spans="1:12">
      <c r="A3754" s="20" t="s">
        <v>1400</v>
      </c>
      <c r="B3754" s="27" t="s">
        <v>1141</v>
      </c>
      <c r="C3754" s="27" t="s">
        <v>1129</v>
      </c>
      <c r="D3754" s="27" t="s">
        <v>1069</v>
      </c>
      <c r="E3754" s="21">
        <f>IF(D3754="?OLD","!!!","")</f>
        <v/>
      </c>
      <c r="F3754" s="22" t="str">
        <f>IF(OR(E3754="",E3754="!!!"),"",IF(NOT(ISNA(VLOOKUP(E3754,E$1:E3753,1,FALSE()))),"OLD",IF(AND(E3754&lt;&gt;"",E3754&lt;&gt;"!!!"),"NEW","")))</f>
        <v> </v>
      </c>
      <c r="G3754" s="23" t="str">
        <f>IF(OR(E3754="",E3754="!!!"),"",IF(OR(J3754=0,AND(J3754=1,K3754=1),AND(J3754=1,I3754="SBJ"),AND(J3754=1,I3754=0)),"?IN_FOCUS",IF(J3754&lt;=2,"?ACTIVATED",IF(J3754&lt;&gt;"","?FAMILIAR",IF(F3754="NEW",IF(ISNA(VLOOKUP(E3754,#REF!,1,FALSE())),"?TYPE_IDENTIFIABLE","?REFERENTIAL"),"_")))))</f>
        <v> </v>
      </c>
      <c r="H3754" s="24" t="str">
        <f>IF(J3754&lt;&gt;1,"",IF(I3754="SBJ","CB","?"))</f>
        <v> </v>
      </c>
      <c r="I3754" s="25" t="str">
        <f>IF(OR(E3754="",E3754="!!!",F3754="NEW"),"",INDEX(B3753:B$2,-1+SUMPRODUCT(MAX(ROW(E3753:E$2)*(E3754=E3753:E$2)))))</f>
        <v> </v>
      </c>
      <c r="J3754" s="25" t="str">
        <f>IF(OR(E3754="",E3754="!!!",F3754="NEW"),"",COUNTBLANK(OFFSET(A$1,,,SUMPRODUCT(MAX(ROW(E$2:E3754)*(E3754=E$2:E3754)))))-COUNTBLANK(OFFSET(A$1,,,SUMPRODUCT(MAX(ROW(E$1:E3753)*(E2=E$1:E3753))))))</f>
        <v> </v>
      </c>
      <c r="K3754" s="25" t="str">
        <f>IF(OR(E3754="",E3754="!!!",F3754="NEW"),"",INDEX(J$1:J3753,SUMPRODUCT(MAX(ROW(E$1:E3753)*(E3754=E$1:E3753)))))</f>
        <v> </v>
      </c>
      <c r="L3754" s="26"/>
    </row>
    <row r="3755" spans="1:12">
      <c r="A3755" s="20" t="s">
        <v>2266</v>
      </c>
      <c r="E3755" s="21">
        <f>IF(D3755="?OLD","!!!","")</f>
        <v/>
      </c>
      <c r="F3755" s="22" t="str">
        <f>IF(OR(E3755="",E3755="!!!"),"",IF(NOT(ISNA(VLOOKUP(E3755,E$1:E3754,1,FALSE()))),"OLD",IF(AND(E3755&lt;&gt;"",E3755&lt;&gt;"!!!"),"NEW","")))</f>
        <v> </v>
      </c>
      <c r="G3755" s="23" t="str">
        <f>IF(OR(E3755="",E3755="!!!"),"",IF(OR(J3755=0,AND(J3755=1,K3755=1),AND(J3755=1,I3755="SBJ"),AND(J3755=1,I3755=0)),"?IN_FOCUS",IF(J3755&lt;=2,"?ACTIVATED",IF(J3755&lt;&gt;"","?FAMILIAR",IF(F3755="NEW",IF(ISNA(VLOOKUP(E3755,#REF!,1,FALSE())),"?TYPE_IDENTIFIABLE","?REFERENTIAL"),"_")))))</f>
        <v> </v>
      </c>
      <c r="H3755" s="24" t="str">
        <f>IF(J3755&lt;&gt;1,"",IF(I3755="SBJ","CB","?"))</f>
        <v> </v>
      </c>
      <c r="I3755" s="25" t="str">
        <f>IF(OR(E3755="",E3755="!!!",F3755="NEW"),"",INDEX(B3754:B$2,-1+SUMPRODUCT(MAX(ROW(E3754:E$2)*(E3755=E3754:E$2)))))</f>
        <v> </v>
      </c>
      <c r="J3755" s="25" t="str">
        <f>IF(OR(E3755="",E3755="!!!",F3755="NEW"),"",COUNTBLANK(OFFSET(A$1,,,SUMPRODUCT(MAX(ROW(E$2:E3755)*(E3755=E$2:E3755)))))-COUNTBLANK(OFFSET(A$1,,,SUMPRODUCT(MAX(ROW(E$1:E3754)*(E2=E$1:E3754))))))</f>
        <v> </v>
      </c>
      <c r="K3755" s="25" t="str">
        <f>IF(OR(E3755="",E3755="!!!",F3755="NEW"),"",INDEX(J$1:J3754,SUMPRODUCT(MAX(ROW(E$1:E3754)*(E3755=E$1:E3754)))))</f>
        <v> </v>
      </c>
      <c r="L3755" s="26"/>
    </row>
    <row r="3756" spans="1:12">
      <c r="A3756" s="20" t="s">
        <v>1955</v>
      </c>
      <c r="B3756" s="27" t="s">
        <v>1092</v>
      </c>
      <c r="C3756" s="27" t="s">
        <v>1131</v>
      </c>
      <c r="D3756" s="27" t="s">
        <v>1069</v>
      </c>
      <c r="E3756" s="21">
        <f>IF(D3756="?OLD","!!!","")</f>
        <v/>
      </c>
      <c r="F3756" s="22" t="str">
        <f>IF(OR(E3756="",E3756="!!!"),"",IF(NOT(ISNA(VLOOKUP(E3756,E$1:E3755,1,FALSE()))),"OLD",IF(AND(E3756&lt;&gt;"",E3756&lt;&gt;"!!!"),"NEW","")))</f>
        <v> </v>
      </c>
      <c r="G3756" s="23" t="str">
        <f>IF(OR(E3756="",E3756="!!!"),"",IF(OR(J3756=0,AND(J3756=1,K3756=1),AND(J3756=1,I3756="SBJ"),AND(J3756=1,I3756=0)),"?IN_FOCUS",IF(J3756&lt;=2,"?ACTIVATED",IF(J3756&lt;&gt;"","?FAMILIAR",IF(F3756="NEW",IF(ISNA(VLOOKUP(E3756,#REF!,1,FALSE())),"?TYPE_IDENTIFIABLE","?REFERENTIAL"),"_")))))</f>
        <v> </v>
      </c>
      <c r="H3756" s="24" t="str">
        <f>IF(J3756&lt;&gt;1,"",IF(I3756="SBJ","CB","?"))</f>
        <v> </v>
      </c>
      <c r="I3756" s="25" t="str">
        <f>IF(OR(E3756="",E3756="!!!",F3756="NEW"),"",INDEX(B3755:B$2,-1+SUMPRODUCT(MAX(ROW(E3755:E$2)*(E3756=E3755:E$2)))))</f>
        <v> </v>
      </c>
      <c r="J3756" s="25" t="str">
        <f>IF(OR(E3756="",E3756="!!!",F3756="NEW"),"",COUNTBLANK(OFFSET(A$1,,,SUMPRODUCT(MAX(ROW(E$2:E3756)*(E3756=E$2:E3756)))))-COUNTBLANK(OFFSET(A$1,,,SUMPRODUCT(MAX(ROW(E$1:E3755)*(E2=E$1:E3755))))))</f>
        <v> </v>
      </c>
      <c r="K3756" s="25" t="str">
        <f>IF(OR(E3756="",E3756="!!!",F3756="NEW"),"",INDEX(J$1:J3755,SUMPRODUCT(MAX(ROW(E$1:E3755)*(E3756=E$1:E3755)))))</f>
        <v> </v>
      </c>
      <c r="L3756" s="26"/>
    </row>
    <row r="3757" spans="1:12">
      <c r="A3757" s="20" t="s">
        <v>1078</v>
      </c>
      <c r="E3757" s="21">
        <f>IF(D3757="?OLD","!!!","")</f>
        <v/>
      </c>
      <c r="F3757" s="22" t="str">
        <f>IF(OR(E3757="",E3757="!!!"),"",IF(NOT(ISNA(VLOOKUP(E3757,E$1:E3756,1,FALSE()))),"OLD",IF(AND(E3757&lt;&gt;"",E3757&lt;&gt;"!!!"),"NEW","")))</f>
        <v> </v>
      </c>
      <c r="G3757" s="23" t="str">
        <f>IF(OR(E3757="",E3757="!!!"),"",IF(OR(J3757=0,AND(J3757=1,K3757=1),AND(J3757=1,I3757="SBJ"),AND(J3757=1,I3757=0)),"?IN_FOCUS",IF(J3757&lt;=2,"?ACTIVATED",IF(J3757&lt;&gt;"","?FAMILIAR",IF(F3757="NEW",IF(ISNA(VLOOKUP(E3757,#REF!,1,FALSE())),"?TYPE_IDENTIFIABLE","?REFERENTIAL"),"_")))))</f>
        <v> </v>
      </c>
      <c r="H3757" s="24" t="str">
        <f>IF(J3757&lt;&gt;1,"",IF(I3757="SBJ","CB","?"))</f>
        <v> </v>
      </c>
      <c r="I3757" s="25" t="str">
        <f>IF(OR(E3757="",E3757="!!!",F3757="NEW"),"",INDEX(B3756:B$2,-1+SUMPRODUCT(MAX(ROW(E3756:E$2)*(E3757=E3756:E$2)))))</f>
        <v> </v>
      </c>
      <c r="J3757" s="25" t="str">
        <f>IF(OR(E3757="",E3757="!!!",F3757="NEW"),"",COUNTBLANK(OFFSET(A$1,,,SUMPRODUCT(MAX(ROW(E$2:E3757)*(E3757=E$2:E3757)))))-COUNTBLANK(OFFSET(A$1,,,SUMPRODUCT(MAX(ROW(E$1:E3756)*(E2=E$1:E3756))))))</f>
        <v> </v>
      </c>
      <c r="K3757" s="25" t="str">
        <f>IF(OR(E3757="",E3757="!!!",F3757="NEW"),"",INDEX(J$1:J3756,SUMPRODUCT(MAX(ROW(E$1:E3756)*(E3757=E$1:E3756)))))</f>
        <v> </v>
      </c>
      <c r="L3757" s="26"/>
    </row>
    <row r="3758" spans="1:12">
      <c r="A3758" s="20" t="s">
        <v>1352</v>
      </c>
      <c r="E3758" s="21">
        <f>IF(D3758="?OLD","!!!","")</f>
        <v/>
      </c>
      <c r="F3758" s="22" t="str">
        <f>IF(OR(E3758="",E3758="!!!"),"",IF(NOT(ISNA(VLOOKUP(E3758,E$1:E3757,1,FALSE()))),"OLD",IF(AND(E3758&lt;&gt;"",E3758&lt;&gt;"!!!"),"NEW","")))</f>
        <v> </v>
      </c>
      <c r="G3758" s="23" t="str">
        <f>IF(OR(E3758="",E3758="!!!"),"",IF(OR(J3758=0,AND(J3758=1,K3758=1),AND(J3758=1,I3758="SBJ"),AND(J3758=1,I3758=0)),"?IN_FOCUS",IF(J3758&lt;=2,"?ACTIVATED",IF(J3758&lt;&gt;"","?FAMILIAR",IF(F3758="NEW",IF(ISNA(VLOOKUP(E3758,#REF!,1,FALSE())),"?TYPE_IDENTIFIABLE","?REFERENTIAL"),"_")))))</f>
        <v> </v>
      </c>
      <c r="H3758" s="24" t="str">
        <f>IF(J3758&lt;&gt;1,"",IF(I3758="SBJ","CB","?"))</f>
        <v> </v>
      </c>
      <c r="I3758" s="25" t="str">
        <f>IF(OR(E3758="",E3758="!!!",F3758="NEW"),"",INDEX(B3757:B$2,-1+SUMPRODUCT(MAX(ROW(E3757:E$2)*(E3758=E3757:E$2)))))</f>
        <v> </v>
      </c>
      <c r="J3758" s="25" t="str">
        <f>IF(OR(E3758="",E3758="!!!",F3758="NEW"),"",COUNTBLANK(OFFSET(A$1,,,SUMPRODUCT(MAX(ROW(E$2:E3758)*(E3758=E$2:E3758)))))-COUNTBLANK(OFFSET(A$1,,,SUMPRODUCT(MAX(ROW(E$1:E3757)*(E2=E$1:E3757))))))</f>
        <v> </v>
      </c>
      <c r="K3758" s="25" t="str">
        <f>IF(OR(E3758="",E3758="!!!",F3758="NEW"),"",INDEX(J$1:J3757,SUMPRODUCT(MAX(ROW(E$1:E3757)*(E3758=E$1:E3757)))))</f>
        <v> </v>
      </c>
      <c r="L3758" s="26"/>
    </row>
    <row r="3759" spans="1:12">
      <c r="A3759" s="20" t="s">
        <v>2267</v>
      </c>
      <c r="E3759" s="21">
        <f>IF(D3759="?OLD","!!!","")</f>
        <v/>
      </c>
      <c r="F3759" s="22" t="str">
        <f>IF(OR(E3759="",E3759="!!!"),"",IF(NOT(ISNA(VLOOKUP(E3759,E$1:E3758,1,FALSE()))),"OLD",IF(AND(E3759&lt;&gt;"",E3759&lt;&gt;"!!!"),"NEW","")))</f>
        <v> </v>
      </c>
      <c r="G3759" s="23" t="str">
        <f>IF(OR(E3759="",E3759="!!!"),"",IF(OR(J3759=0,AND(J3759=1,K3759=1),AND(J3759=1,I3759="SBJ"),AND(J3759=1,I3759=0)),"?IN_FOCUS",IF(J3759&lt;=2,"?ACTIVATED",IF(J3759&lt;&gt;"","?FAMILIAR",IF(F3759="NEW",IF(ISNA(VLOOKUP(E3759,#REF!,1,FALSE())),"?TYPE_IDENTIFIABLE","?REFERENTIAL"),"_")))))</f>
        <v> </v>
      </c>
      <c r="H3759" s="24" t="str">
        <f>IF(J3759&lt;&gt;1,"",IF(I3759="SBJ","CB","?"))</f>
        <v> </v>
      </c>
      <c r="I3759" s="25" t="str">
        <f>IF(OR(E3759="",E3759="!!!",F3759="NEW"),"",INDEX(B3758:B$2,-1+SUMPRODUCT(MAX(ROW(E3758:E$2)*(E3759=E3758:E$2)))))</f>
        <v> </v>
      </c>
      <c r="J3759" s="25" t="str">
        <f>IF(OR(E3759="",E3759="!!!",F3759="NEW"),"",COUNTBLANK(OFFSET(A$1,,,SUMPRODUCT(MAX(ROW(E$2:E3759)*(E3759=E$2:E3759)))))-COUNTBLANK(OFFSET(A$1,,,SUMPRODUCT(MAX(ROW(E$1:E3758)*(E2=E$1:E3758))))))</f>
        <v> </v>
      </c>
      <c r="K3759" s="25" t="str">
        <f>IF(OR(E3759="",E3759="!!!",F3759="NEW"),"",INDEX(J$1:J3758,SUMPRODUCT(MAX(ROW(E$1:E3758)*(E3759=E$1:E3758)))))</f>
        <v> </v>
      </c>
      <c r="L3759" s="26"/>
    </row>
    <row r="3760" spans="1:12">
      <c r="A3760" s="20" t="s">
        <v>1097</v>
      </c>
      <c r="E3760" s="21">
        <f>IF(D3760="?OLD","!!!","")</f>
        <v/>
      </c>
      <c r="F3760" s="22" t="str">
        <f>IF(OR(E3760="",E3760="!!!"),"",IF(NOT(ISNA(VLOOKUP(E3760,E$1:E3759,1,FALSE()))),"OLD",IF(AND(E3760&lt;&gt;"",E3760&lt;&gt;"!!!"),"NEW","")))</f>
        <v> </v>
      </c>
      <c r="G3760" s="23" t="str">
        <f>IF(OR(E3760="",E3760="!!!"),"",IF(OR(J3760=0,AND(J3760=1,K3760=1),AND(J3760=1,I3760="SBJ"),AND(J3760=1,I3760=0)),"?IN_FOCUS",IF(J3760&lt;=2,"?ACTIVATED",IF(J3760&lt;&gt;"","?FAMILIAR",IF(F3760="NEW",IF(ISNA(VLOOKUP(E3760,#REF!,1,FALSE())),"?TYPE_IDENTIFIABLE","?REFERENTIAL"),"_")))))</f>
        <v> </v>
      </c>
      <c r="H3760" s="24" t="str">
        <f>IF(J3760&lt;&gt;1,"",IF(I3760="SBJ","CB","?"))</f>
        <v> </v>
      </c>
      <c r="I3760" s="25" t="str">
        <f>IF(OR(E3760="",E3760="!!!",F3760="NEW"),"",INDEX(B3759:B$2,-1+SUMPRODUCT(MAX(ROW(E3759:E$2)*(E3760=E3759:E$2)))))</f>
        <v> </v>
      </c>
      <c r="J3760" s="25" t="str">
        <f>IF(OR(E3760="",E3760="!!!",F3760="NEW"),"",COUNTBLANK(OFFSET(A$1,,,SUMPRODUCT(MAX(ROW(E$2:E3760)*(E3760=E$2:E3760)))))-COUNTBLANK(OFFSET(A$1,,,SUMPRODUCT(MAX(ROW(E$1:E3759)*(E2=E$1:E3759))))))</f>
        <v> </v>
      </c>
      <c r="K3760" s="25" t="str">
        <f>IF(OR(E3760="",E3760="!!!",F3760="NEW"),"",INDEX(J$1:J3759,SUMPRODUCT(MAX(ROW(E$1:E3759)*(E3760=E$1:E3759)))))</f>
        <v> </v>
      </c>
      <c r="L3760" s="26"/>
    </row>
    <row r="3761" spans="1:12">
      <c r="A3761" s="20" t="s">
        <v>2268</v>
      </c>
      <c r="B3761" s="27" t="s">
        <v>1095</v>
      </c>
      <c r="C3761" s="27" t="s">
        <v>1086</v>
      </c>
      <c r="D3761" s="27" t="s">
        <v>1069</v>
      </c>
      <c r="E3761" s="21">
        <f>IF(D3761="?OLD","!!!","")</f>
        <v/>
      </c>
      <c r="F3761" s="22" t="str">
        <f>IF(OR(E3761="",E3761="!!!"),"",IF(NOT(ISNA(VLOOKUP(E3761,E$1:E3760,1,FALSE()))),"OLD",IF(AND(E3761&lt;&gt;"",E3761&lt;&gt;"!!!"),"NEW","")))</f>
        <v> </v>
      </c>
      <c r="G3761" s="23" t="str">
        <f>IF(OR(E3761="",E3761="!!!"),"",IF(OR(J3761=0,AND(J3761=1,K3761=1),AND(J3761=1,I3761="SBJ"),AND(J3761=1,I3761=0)),"?IN_FOCUS",IF(J3761&lt;=2,"?ACTIVATED",IF(J3761&lt;&gt;"","?FAMILIAR",IF(F3761="NEW",IF(ISNA(VLOOKUP(E3761,#REF!,1,FALSE())),"?TYPE_IDENTIFIABLE","?REFERENTIAL"),"_")))))</f>
        <v> </v>
      </c>
      <c r="H3761" s="24" t="str">
        <f>IF(J3761&lt;&gt;1,"",IF(I3761="SBJ","CB","?"))</f>
        <v> </v>
      </c>
      <c r="I3761" s="25" t="str">
        <f>IF(OR(E3761="",E3761="!!!",F3761="NEW"),"",INDEX(B3760:B$2,-1+SUMPRODUCT(MAX(ROW(E3760:E$2)*(E3761=E3760:E$2)))))</f>
        <v> </v>
      </c>
      <c r="J3761" s="25" t="str">
        <f>IF(OR(E3761="",E3761="!!!",F3761="NEW"),"",COUNTBLANK(OFFSET(A$1,,,SUMPRODUCT(MAX(ROW(E$2:E3761)*(E3761=E$2:E3761)))))-COUNTBLANK(OFFSET(A$1,,,SUMPRODUCT(MAX(ROW(E$1:E3760)*(E2=E$1:E3760))))))</f>
        <v> </v>
      </c>
      <c r="K3761" s="25" t="str">
        <f>IF(OR(E3761="",E3761="!!!",F3761="NEW"),"",INDEX(J$1:J3760,SUMPRODUCT(MAX(ROW(E$1:E3760)*(E3761=E$1:E3760)))))</f>
        <v> </v>
      </c>
      <c r="L3761" s="26"/>
    </row>
    <row r="3762" spans="1:12">
      <c r="A3762" s="20" t="s">
        <v>2269</v>
      </c>
      <c r="E3762" s="21">
        <f>IF(D3762="?OLD","!!!","")</f>
        <v/>
      </c>
      <c r="F3762" s="22" t="str">
        <f>IF(OR(E3762="",E3762="!!!"),"",IF(NOT(ISNA(VLOOKUP(E3762,E$1:E3761,1,FALSE()))),"OLD",IF(AND(E3762&lt;&gt;"",E3762&lt;&gt;"!!!"),"NEW","")))</f>
        <v> </v>
      </c>
      <c r="G3762" s="23" t="str">
        <f>IF(OR(E3762="",E3762="!!!"),"",IF(OR(J3762=0,AND(J3762=1,K3762=1),AND(J3762=1,I3762="SBJ"),AND(J3762=1,I3762=0)),"?IN_FOCUS",IF(J3762&lt;=2,"?ACTIVATED",IF(J3762&lt;&gt;"","?FAMILIAR",IF(F3762="NEW",IF(ISNA(VLOOKUP(E3762,#REF!,1,FALSE())),"?TYPE_IDENTIFIABLE","?REFERENTIAL"),"_")))))</f>
        <v> </v>
      </c>
      <c r="H3762" s="24" t="str">
        <f>IF(J3762&lt;&gt;1,"",IF(I3762="SBJ","CB","?"))</f>
        <v> </v>
      </c>
      <c r="I3762" s="25" t="str">
        <f>IF(OR(E3762="",E3762="!!!",F3762="NEW"),"",INDEX(B3761:B$2,-1+SUMPRODUCT(MAX(ROW(E3761:E$2)*(E3762=E3761:E$2)))))</f>
        <v> </v>
      </c>
      <c r="J3762" s="25" t="str">
        <f>IF(OR(E3762="",E3762="!!!",F3762="NEW"),"",COUNTBLANK(OFFSET(A$1,,,SUMPRODUCT(MAX(ROW(E$2:E3762)*(E3762=E$2:E3762)))))-COUNTBLANK(OFFSET(A$1,,,SUMPRODUCT(MAX(ROW(E$1:E3761)*(E2=E$1:E3761))))))</f>
        <v> </v>
      </c>
      <c r="K3762" s="25" t="str">
        <f>IF(OR(E3762="",E3762="!!!",F3762="NEW"),"",INDEX(J$1:J3761,SUMPRODUCT(MAX(ROW(E$1:E3761)*(E3762=E$1:E3761)))))</f>
        <v> </v>
      </c>
      <c r="L3762" s="26"/>
    </row>
    <row r="3763" spans="1:12">
      <c r="A3763" s="20" t="s">
        <v>1078</v>
      </c>
      <c r="E3763" s="21">
        <f>IF(D3763="?OLD","!!!","")</f>
        <v/>
      </c>
      <c r="F3763" s="22" t="str">
        <f>IF(OR(E3763="",E3763="!!!"),"",IF(NOT(ISNA(VLOOKUP(E3763,E$1:E3762,1,FALSE()))),"OLD",IF(AND(E3763&lt;&gt;"",E3763&lt;&gt;"!!!"),"NEW","")))</f>
        <v> </v>
      </c>
      <c r="G3763" s="23" t="str">
        <f>IF(OR(E3763="",E3763="!!!"),"",IF(OR(J3763=0,AND(J3763=1,K3763=1),AND(J3763=1,I3763="SBJ"),AND(J3763=1,I3763=0)),"?IN_FOCUS",IF(J3763&lt;=2,"?ACTIVATED",IF(J3763&lt;&gt;"","?FAMILIAR",IF(F3763="NEW",IF(ISNA(VLOOKUP(E3763,#REF!,1,FALSE())),"?TYPE_IDENTIFIABLE","?REFERENTIAL"),"_")))))</f>
        <v> </v>
      </c>
      <c r="H3763" s="24" t="str">
        <f>IF(J3763&lt;&gt;1,"",IF(I3763="SBJ","CB","?"))</f>
        <v> </v>
      </c>
      <c r="I3763" s="25" t="str">
        <f>IF(OR(E3763="",E3763="!!!",F3763="NEW"),"",INDEX(B3762:B$2,-1+SUMPRODUCT(MAX(ROW(E3762:E$2)*(E3763=E3762:E$2)))))</f>
        <v> </v>
      </c>
      <c r="J3763" s="25" t="str">
        <f>IF(OR(E3763="",E3763="!!!",F3763="NEW"),"",COUNTBLANK(OFFSET(A$1,,,SUMPRODUCT(MAX(ROW(E$2:E3763)*(E3763=E$2:E3763)))))-COUNTBLANK(OFFSET(A$1,,,SUMPRODUCT(MAX(ROW(E$1:E3762)*(E2=E$1:E3762))))))</f>
        <v> </v>
      </c>
      <c r="K3763" s="25" t="str">
        <f>IF(OR(E3763="",E3763="!!!",F3763="NEW"),"",INDEX(J$1:J3762,SUMPRODUCT(MAX(ROW(E$1:E3762)*(E3763=E$1:E3762)))))</f>
        <v> </v>
      </c>
      <c r="L3763" s="26"/>
    </row>
    <row r="3764" spans="1:12">
      <c r="A3764" s="20" t="s">
        <v>2270</v>
      </c>
      <c r="E3764" s="21">
        <f>IF(D3764="?OLD","!!!","")</f>
        <v/>
      </c>
      <c r="F3764" s="22" t="str">
        <f>IF(OR(E3764="",E3764="!!!"),"",IF(NOT(ISNA(VLOOKUP(E3764,E$1:E3763,1,FALSE()))),"OLD",IF(AND(E3764&lt;&gt;"",E3764&lt;&gt;"!!!"),"NEW","")))</f>
        <v> </v>
      </c>
      <c r="G3764" s="23" t="str">
        <f>IF(OR(E3764="",E3764="!!!"),"",IF(OR(J3764=0,AND(J3764=1,K3764=1),AND(J3764=1,I3764="SBJ"),AND(J3764=1,I3764=0)),"?IN_FOCUS",IF(J3764&lt;=2,"?ACTIVATED",IF(J3764&lt;&gt;"","?FAMILIAR",IF(F3764="NEW",IF(ISNA(VLOOKUP(E3764,#REF!,1,FALSE())),"?TYPE_IDENTIFIABLE","?REFERENTIAL"),"_")))))</f>
        <v> </v>
      </c>
      <c r="H3764" s="24" t="str">
        <f>IF(J3764&lt;&gt;1,"",IF(I3764="SBJ","CB","?"))</f>
        <v> </v>
      </c>
      <c r="I3764" s="25" t="str">
        <f>IF(OR(E3764="",E3764="!!!",F3764="NEW"),"",INDEX(B3763:B$2,-1+SUMPRODUCT(MAX(ROW(E3763:E$2)*(E3764=E3763:E$2)))))</f>
        <v> </v>
      </c>
      <c r="J3764" s="25" t="str">
        <f>IF(OR(E3764="",E3764="!!!",F3764="NEW"),"",COUNTBLANK(OFFSET(A$1,,,SUMPRODUCT(MAX(ROW(E$2:E3764)*(E3764=E$2:E3764)))))-COUNTBLANK(OFFSET(A$1,,,SUMPRODUCT(MAX(ROW(E$1:E3763)*(E2=E$1:E3763))))))</f>
        <v> </v>
      </c>
      <c r="K3764" s="25" t="str">
        <f>IF(OR(E3764="",E3764="!!!",F3764="NEW"),"",INDEX(J$1:J3763,SUMPRODUCT(MAX(ROW(E$1:E3763)*(E3764=E$1:E3763)))))</f>
        <v> </v>
      </c>
      <c r="L3764" s="26"/>
    </row>
    <row r="3765" spans="1:12">
      <c r="A3765" s="20" t="s">
        <v>1089</v>
      </c>
      <c r="B3765" s="27" t="s">
        <v>1090</v>
      </c>
      <c r="E3765" s="21">
        <f>IF(D3765="?OLD","!!!","")</f>
        <v/>
      </c>
      <c r="F3765" s="22" t="str">
        <f>IF(OR(E3765="",E3765="!!!"),"",IF(NOT(ISNA(VLOOKUP(E3765,E$1:E3764,1,FALSE()))),"OLD",IF(AND(E3765&lt;&gt;"",E3765&lt;&gt;"!!!"),"NEW","")))</f>
        <v> </v>
      </c>
      <c r="G3765" s="23" t="str">
        <f>IF(OR(E3765="",E3765="!!!"),"",IF(OR(J3765=0,AND(J3765=1,K3765=1),AND(J3765=1,I3765="SBJ"),AND(J3765=1,I3765=0)),"?IN_FOCUS",IF(J3765&lt;=2,"?ACTIVATED",IF(J3765&lt;&gt;"","?FAMILIAR",IF(F3765="NEW",IF(ISNA(VLOOKUP(E3765,#REF!,1,FALSE())),"?TYPE_IDENTIFIABLE","?REFERENTIAL"),"_")))))</f>
        <v> </v>
      </c>
      <c r="H3765" s="24" t="str">
        <f>IF(J3765&lt;&gt;1,"",IF(I3765="SBJ","CB","?"))</f>
        <v> </v>
      </c>
      <c r="I3765" s="25" t="str">
        <f>IF(OR(E3765="",E3765="!!!",F3765="NEW"),"",INDEX(B3764:B$2,-1+SUMPRODUCT(MAX(ROW(E3764:E$2)*(E3765=E3764:E$2)))))</f>
        <v> </v>
      </c>
      <c r="J3765" s="25" t="str">
        <f>IF(OR(E3765="",E3765="!!!",F3765="NEW"),"",COUNTBLANK(OFFSET(A$1,,,SUMPRODUCT(MAX(ROW(E$2:E3765)*(E3765=E$2:E3765)))))-COUNTBLANK(OFFSET(A$1,,,SUMPRODUCT(MAX(ROW(E$1:E3764)*(E2=E$1:E3764))))))</f>
        <v> </v>
      </c>
      <c r="K3765" s="25" t="str">
        <f>IF(OR(E3765="",E3765="!!!",F3765="NEW"),"",INDEX(J$1:J3764,SUMPRODUCT(MAX(ROW(E$1:E3764)*(E3765=E$1:E3764)))))</f>
        <v> </v>
      </c>
      <c r="L3765" s="26"/>
    </row>
    <row r="3766" spans="1:12">
      <c r="A3766" s="20" t="s">
        <v>1332</v>
      </c>
      <c r="E3766" s="21">
        <f>IF(D3766="?OLD","!!!","")</f>
        <v/>
      </c>
      <c r="F3766" s="22" t="str">
        <f>IF(OR(E3766="",E3766="!!!"),"",IF(NOT(ISNA(VLOOKUP(E3766,E$1:E3765,1,FALSE()))),"OLD",IF(AND(E3766&lt;&gt;"",E3766&lt;&gt;"!!!"),"NEW","")))</f>
        <v> </v>
      </c>
      <c r="G3766" s="23" t="str">
        <f>IF(OR(E3766="",E3766="!!!"),"",IF(OR(J3766=0,AND(J3766=1,K3766=1),AND(J3766=1,I3766="SBJ"),AND(J3766=1,I3766=0)),"?IN_FOCUS",IF(J3766&lt;=2,"?ACTIVATED",IF(J3766&lt;&gt;"","?FAMILIAR",IF(F3766="NEW",IF(ISNA(VLOOKUP(E3766,#REF!,1,FALSE())),"?TYPE_IDENTIFIABLE","?REFERENTIAL"),"_")))))</f>
        <v> </v>
      </c>
      <c r="H3766" s="24" t="str">
        <f>IF(J3766&lt;&gt;1,"",IF(I3766="SBJ","CB","?"))</f>
        <v> </v>
      </c>
      <c r="I3766" s="25" t="str">
        <f>IF(OR(E3766="",E3766="!!!",F3766="NEW"),"",INDEX(B3765:B$2,-1+SUMPRODUCT(MAX(ROW(E3765:E$2)*(E3766=E3765:E$2)))))</f>
        <v> </v>
      </c>
      <c r="J3766" s="25" t="str">
        <f>IF(OR(E3766="",E3766="!!!",F3766="NEW"),"",COUNTBLANK(OFFSET(A$1,,,SUMPRODUCT(MAX(ROW(E$2:E3766)*(E3766=E$2:E3766)))))-COUNTBLANK(OFFSET(A$1,,,SUMPRODUCT(MAX(ROW(E$1:E3765)*(E2=E$1:E3765))))))</f>
        <v> </v>
      </c>
      <c r="K3766" s="25" t="str">
        <f>IF(OR(E3766="",E3766="!!!",F3766="NEW"),"",INDEX(J$1:J3765,SUMPRODUCT(MAX(ROW(E$1:E3765)*(E3766=E$1:E3765)))))</f>
        <v> </v>
      </c>
      <c r="L3766" s="26"/>
    </row>
    <row r="3767" spans="1:12">
      <c r="A3767" s="20" t="s">
        <v>1357</v>
      </c>
      <c r="E3767" s="21">
        <f>IF(D3767="?OLD","!!!","")</f>
        <v/>
      </c>
      <c r="F3767" s="22" t="str">
        <f>IF(OR(E3767="",E3767="!!!"),"",IF(NOT(ISNA(VLOOKUP(E3767,E$1:E3766,1,FALSE()))),"OLD",IF(AND(E3767&lt;&gt;"",E3767&lt;&gt;"!!!"),"NEW","")))</f>
        <v> </v>
      </c>
      <c r="G3767" s="23" t="str">
        <f>IF(OR(E3767="",E3767="!!!"),"",IF(OR(J3767=0,AND(J3767=1,K3767=1),AND(J3767=1,I3767="SBJ"),AND(J3767=1,I3767=0)),"?IN_FOCUS",IF(J3767&lt;=2,"?ACTIVATED",IF(J3767&lt;&gt;"","?FAMILIAR",IF(F3767="NEW",IF(ISNA(VLOOKUP(E3767,#REF!,1,FALSE())),"?TYPE_IDENTIFIABLE","?REFERENTIAL"),"_")))))</f>
        <v> </v>
      </c>
      <c r="H3767" s="24" t="str">
        <f>IF(J3767&lt;&gt;1,"",IF(I3767="SBJ","CB","?"))</f>
        <v> </v>
      </c>
      <c r="I3767" s="25" t="str">
        <f>IF(OR(E3767="",E3767="!!!",F3767="NEW"),"",INDEX(B3766:B$2,-1+SUMPRODUCT(MAX(ROW(E3766:E$2)*(E3767=E3766:E$2)))))</f>
        <v> </v>
      </c>
      <c r="J3767" s="25" t="str">
        <f>IF(OR(E3767="",E3767="!!!",F3767="NEW"),"",COUNTBLANK(OFFSET(A$1,,,SUMPRODUCT(MAX(ROW(E$2:E3767)*(E3767=E$2:E3767)))))-COUNTBLANK(OFFSET(A$1,,,SUMPRODUCT(MAX(ROW(E$1:E3766)*(E2=E$1:E3766))))))</f>
        <v> </v>
      </c>
      <c r="K3767" s="25" t="str">
        <f>IF(OR(E3767="",E3767="!!!",F3767="NEW"),"",INDEX(J$1:J3766,SUMPRODUCT(MAX(ROW(E$1:E3766)*(E3767=E$1:E3766)))))</f>
        <v> </v>
      </c>
      <c r="L3767" s="26"/>
    </row>
    <row r="3768" spans="1:12">
      <c r="A3768" s="20" t="s">
        <v>1358</v>
      </c>
      <c r="E3768" s="21">
        <f>IF(D3768="?OLD","!!!","")</f>
        <v/>
      </c>
      <c r="F3768" s="22" t="str">
        <f>IF(OR(E3768="",E3768="!!!"),"",IF(NOT(ISNA(VLOOKUP(E3768,E$1:E3767,1,FALSE()))),"OLD",IF(AND(E3768&lt;&gt;"",E3768&lt;&gt;"!!!"),"NEW","")))</f>
        <v> </v>
      </c>
      <c r="G3768" s="23" t="str">
        <f>IF(OR(E3768="",E3768="!!!"),"",IF(OR(J3768=0,AND(J3768=1,K3768=1),AND(J3768=1,I3768="SBJ"),AND(J3768=1,I3768=0)),"?IN_FOCUS",IF(J3768&lt;=2,"?ACTIVATED",IF(J3768&lt;&gt;"","?FAMILIAR",IF(F3768="NEW",IF(ISNA(VLOOKUP(E3768,#REF!,1,FALSE())),"?TYPE_IDENTIFIABLE","?REFERENTIAL"),"_")))))</f>
        <v> </v>
      </c>
      <c r="H3768" s="24" t="str">
        <f>IF(J3768&lt;&gt;1,"",IF(I3768="SBJ","CB","?"))</f>
        <v> </v>
      </c>
      <c r="I3768" s="25" t="str">
        <f>IF(OR(E3768="",E3768="!!!",F3768="NEW"),"",INDEX(B3767:B$2,-1+SUMPRODUCT(MAX(ROW(E3767:E$2)*(E3768=E3767:E$2)))))</f>
        <v> </v>
      </c>
      <c r="J3768" s="25" t="str">
        <f>IF(OR(E3768="",E3768="!!!",F3768="NEW"),"",COUNTBLANK(OFFSET(A$1,,,SUMPRODUCT(MAX(ROW(E$2:E3768)*(E3768=E$2:E3768)))))-COUNTBLANK(OFFSET(A$1,,,SUMPRODUCT(MAX(ROW(E$1:E3767)*(E2=E$1:E3767))))))</f>
        <v> </v>
      </c>
      <c r="K3768" s="25" t="str">
        <f>IF(OR(E3768="",E3768="!!!",F3768="NEW"),"",INDEX(J$1:J3767,SUMPRODUCT(MAX(ROW(E$1:E3767)*(E3768=E$1:E3767)))))</f>
        <v> </v>
      </c>
      <c r="L3768" s="26"/>
    </row>
    <row r="3769" spans="1:12">
      <c r="A3769" s="20" t="s">
        <v>1324</v>
      </c>
      <c r="E3769" s="21">
        <f>IF(D3769="?OLD","!!!","")</f>
        <v/>
      </c>
      <c r="F3769" s="22" t="str">
        <f>IF(OR(E3769="",E3769="!!!"),"",IF(NOT(ISNA(VLOOKUP(E3769,E$1:E3768,1,FALSE()))),"OLD",IF(AND(E3769&lt;&gt;"",E3769&lt;&gt;"!!!"),"NEW","")))</f>
        <v> </v>
      </c>
      <c r="G3769" s="23" t="str">
        <f>IF(OR(E3769="",E3769="!!!"),"",IF(OR(J3769=0,AND(J3769=1,K3769=1),AND(J3769=1,I3769="SBJ"),AND(J3769=1,I3769=0)),"?IN_FOCUS",IF(J3769&lt;=2,"?ACTIVATED",IF(J3769&lt;&gt;"","?FAMILIAR",IF(F3769="NEW",IF(ISNA(VLOOKUP(E3769,#REF!,1,FALSE())),"?TYPE_IDENTIFIABLE","?REFERENTIAL"),"_")))))</f>
        <v> </v>
      </c>
      <c r="H3769" s="24" t="str">
        <f>IF(J3769&lt;&gt;1,"",IF(I3769="SBJ","CB","?"))</f>
        <v> </v>
      </c>
      <c r="I3769" s="25" t="str">
        <f>IF(OR(E3769="",E3769="!!!",F3769="NEW"),"",INDEX(B3768:B$2,-1+SUMPRODUCT(MAX(ROW(E3768:E$2)*(E3769=E3768:E$2)))))</f>
        <v> </v>
      </c>
      <c r="J3769" s="25" t="str">
        <f>IF(OR(E3769="",E3769="!!!",F3769="NEW"),"",COUNTBLANK(OFFSET(A$1,,,SUMPRODUCT(MAX(ROW(E$2:E3769)*(E3769=E$2:E3769)))))-COUNTBLANK(OFFSET(A$1,,,SUMPRODUCT(MAX(ROW(E$1:E3768)*(E2=E$1:E3768))))))</f>
        <v> </v>
      </c>
      <c r="K3769" s="25" t="str">
        <f>IF(OR(E3769="",E3769="!!!",F3769="NEW"),"",INDEX(J$1:J3768,SUMPRODUCT(MAX(ROW(E$1:E3768)*(E3769=E$1:E3768)))))</f>
        <v> </v>
      </c>
      <c r="L3769" s="26"/>
    </row>
    <row r="3770" spans="1:12">
      <c r="A3770" s="20"/>
    </row>
    <row r="3771" spans="1:12">
      <c r="A3771" s="20" t="s">
        <v>2271</v>
      </c>
    </row>
    <row r="3772" spans="1:12">
      <c r="A3772" s="20" t="s">
        <v>785</v>
      </c>
      <c r="B3772" s="27" t="s">
        <v>1074</v>
      </c>
      <c r="C3772" s="27" t="s">
        <v>1134</v>
      </c>
      <c r="D3772" s="27" t="s">
        <v>1069</v>
      </c>
      <c r="E3772" s="21">
        <f>IF(D3772="?OLD","!!!","")</f>
        <v/>
      </c>
      <c r="F3772" s="22" t="str">
        <f>IF(OR(E3772="",E3772="!!!"),"",IF(NOT(ISNA(VLOOKUP(E3772,E$1:E3771,1,FALSE()))),"OLD",IF(AND(E3772&lt;&gt;"",E3772&lt;&gt;"!!!"),"NEW","")))</f>
        <v> </v>
      </c>
      <c r="G3772" s="23" t="str">
        <f>IF(OR(E3772="",E3772="!!!"),"",IF(OR(J3772=0,AND(J3772=1,K3772=1),AND(J3772=1,I3772="SBJ"),AND(J3772=1,I3772=0)),"?IN_FOCUS",IF(J3772&lt;=2,"?ACTIVATED",IF(J3772&lt;&gt;"","?FAMILIAR",IF(F3772="NEW",IF(ISNA(VLOOKUP(E3772,#REF!,1,FALSE())),"?TYPE_IDENTIFIABLE","?REFERENTIAL"),"_")))))</f>
        <v> </v>
      </c>
      <c r="H3772" s="24" t="str">
        <f>IF(J3772&lt;&gt;1,"",IF(I3772="SBJ","CB","?"))</f>
        <v> </v>
      </c>
      <c r="I3772" s="25" t="str">
        <f>IF(OR(E3772="",E3772="!!!",F3772="NEW"),"",INDEX(B3771:B$2,-1+SUMPRODUCT(MAX(ROW(E3771:E$2)*(E3772=E3771:E$2)))))</f>
        <v> </v>
      </c>
      <c r="J3772" s="25" t="str">
        <f>IF(OR(E3772="",E3772="!!!",F3772="NEW"),"",COUNTBLANK(OFFSET(A$1,,,SUMPRODUCT(MAX(ROW(E$2:E3772)*(E3772=E$2:E3772)))))-COUNTBLANK(OFFSET(A$1,,,SUMPRODUCT(MAX(ROW(E$1:E3771)*(E2=E$1:E3771))))))</f>
        <v> </v>
      </c>
      <c r="K3772" s="25" t="str">
        <f>IF(OR(E3772="",E3772="!!!",F3772="NEW"),"",INDEX(J$1:J3771,SUMPRODUCT(MAX(ROW(E$1:E3771)*(E3772=E$1:E3771)))))</f>
        <v> </v>
      </c>
      <c r="L3772" s="26"/>
    </row>
    <row r="3773" spans="1:12">
      <c r="A3773" s="20" t="s">
        <v>1317</v>
      </c>
      <c r="E3773" s="21">
        <f>IF(D3773="?OLD","!!!","")</f>
        <v/>
      </c>
      <c r="F3773" s="22" t="str">
        <f>IF(OR(E3773="",E3773="!!!"),"",IF(NOT(ISNA(VLOOKUP(E3773,E$1:E3772,1,FALSE()))),"OLD",IF(AND(E3773&lt;&gt;"",E3773&lt;&gt;"!!!"),"NEW","")))</f>
        <v> </v>
      </c>
      <c r="G3773" s="23" t="str">
        <f>IF(OR(E3773="",E3773="!!!"),"",IF(OR(J3773=0,AND(J3773=1,K3773=1),AND(J3773=1,I3773="SBJ"),AND(J3773=1,I3773=0)),"?IN_FOCUS",IF(J3773&lt;=2,"?ACTIVATED",IF(J3773&lt;&gt;"","?FAMILIAR",IF(F3773="NEW",IF(ISNA(VLOOKUP(E3773,#REF!,1,FALSE())),"?TYPE_IDENTIFIABLE","?REFERENTIAL"),"_")))))</f>
        <v> </v>
      </c>
      <c r="H3773" s="24" t="str">
        <f>IF(J3773&lt;&gt;1,"",IF(I3773="SBJ","CB","?"))</f>
        <v> </v>
      </c>
      <c r="I3773" s="25" t="str">
        <f>IF(OR(E3773="",E3773="!!!",F3773="NEW"),"",INDEX(B3772:B$2,-1+SUMPRODUCT(MAX(ROW(E3772:E$2)*(E3773=E3772:E$2)))))</f>
        <v> </v>
      </c>
      <c r="J3773" s="25" t="str">
        <f>IF(OR(E3773="",E3773="!!!",F3773="NEW"),"",COUNTBLANK(OFFSET(A$1,,,SUMPRODUCT(MAX(ROW(E$2:E3773)*(E3773=E$2:E3773)))))-COUNTBLANK(OFFSET(A$1,,,SUMPRODUCT(MAX(ROW(E$1:E3772)*(E2=E$1:E3772))))))</f>
        <v> </v>
      </c>
      <c r="K3773" s="25" t="str">
        <f>IF(OR(E3773="",E3773="!!!",F3773="NEW"),"",INDEX(J$1:J3772,SUMPRODUCT(MAX(ROW(E$1:E3772)*(E3773=E$1:E3772)))))</f>
        <v> </v>
      </c>
      <c r="L3773" s="26"/>
    </row>
    <row r="3774" spans="1:12">
      <c r="A3774" s="20" t="s">
        <v>1132</v>
      </c>
      <c r="B3774" s="27" t="s">
        <v>1074</v>
      </c>
      <c r="C3774" s="27" t="s">
        <v>1134</v>
      </c>
      <c r="D3774" s="27" t="s">
        <v>1069</v>
      </c>
      <c r="E3774" s="21">
        <f>IF(D3774="?OLD","!!!","")</f>
        <v/>
      </c>
      <c r="F3774" s="22" t="str">
        <f>IF(OR(E3774="",E3774="!!!"),"",IF(NOT(ISNA(VLOOKUP(E3774,E$1:E3773,1,FALSE()))),"OLD",IF(AND(E3774&lt;&gt;"",E3774&lt;&gt;"!!!"),"NEW","")))</f>
        <v> </v>
      </c>
      <c r="G3774" s="23" t="str">
        <f>IF(OR(E3774="",E3774="!!!"),"",IF(OR(J3774=0,AND(J3774=1,K3774=1),AND(J3774=1,I3774="SBJ"),AND(J3774=1,I3774=0)),"?IN_FOCUS",IF(J3774&lt;=2,"?ACTIVATED",IF(J3774&lt;&gt;"","?FAMILIAR",IF(F3774="NEW",IF(ISNA(VLOOKUP(E3774,#REF!,1,FALSE())),"?TYPE_IDENTIFIABLE","?REFERENTIAL"),"_")))))</f>
        <v> </v>
      </c>
      <c r="H3774" s="24" t="str">
        <f>IF(J3774&lt;&gt;1,"",IF(I3774="SBJ","CB","?"))</f>
        <v> </v>
      </c>
      <c r="I3774" s="25" t="str">
        <f>IF(OR(E3774="",E3774="!!!",F3774="NEW"),"",INDEX(B3773:B$2,-1+SUMPRODUCT(MAX(ROW(E3773:E$2)*(E3774=E3773:E$2)))))</f>
        <v> </v>
      </c>
      <c r="J3774" s="25" t="str">
        <f>IF(OR(E3774="",E3774="!!!",F3774="NEW"),"",COUNTBLANK(OFFSET(A$1,,,SUMPRODUCT(MAX(ROW(E$2:E3774)*(E3774=E$2:E3774)))))-COUNTBLANK(OFFSET(A$1,,,SUMPRODUCT(MAX(ROW(E$1:E3773)*(E2=E$1:E3773))))))</f>
        <v> </v>
      </c>
      <c r="K3774" s="25" t="str">
        <f>IF(OR(E3774="",E3774="!!!",F3774="NEW"),"",INDEX(J$1:J3773,SUMPRODUCT(MAX(ROW(E$1:E3773)*(E3774=E$1:E3773)))))</f>
        <v> </v>
      </c>
      <c r="L3774" s="26"/>
    </row>
    <row r="3775" spans="1:12">
      <c r="A3775" s="20" t="s">
        <v>1080</v>
      </c>
      <c r="E3775" s="21">
        <f>IF(D3775="?OLD","!!!","")</f>
        <v/>
      </c>
      <c r="F3775" s="22" t="str">
        <f>IF(OR(E3775="",E3775="!!!"),"",IF(NOT(ISNA(VLOOKUP(E3775,E$1:E3774,1,FALSE()))),"OLD",IF(AND(E3775&lt;&gt;"",E3775&lt;&gt;"!!!"),"NEW","")))</f>
        <v> </v>
      </c>
      <c r="G3775" s="23" t="str">
        <f>IF(OR(E3775="",E3775="!!!"),"",IF(OR(J3775=0,AND(J3775=1,K3775=1),AND(J3775=1,I3775="SBJ"),AND(J3775=1,I3775=0)),"?IN_FOCUS",IF(J3775&lt;=2,"?ACTIVATED",IF(J3775&lt;&gt;"","?FAMILIAR",IF(F3775="NEW",IF(ISNA(VLOOKUP(E3775,#REF!,1,FALSE())),"?TYPE_IDENTIFIABLE","?REFERENTIAL"),"_")))))</f>
        <v> </v>
      </c>
      <c r="H3775" s="24" t="str">
        <f>IF(J3775&lt;&gt;1,"",IF(I3775="SBJ","CB","?"))</f>
        <v> </v>
      </c>
      <c r="I3775" s="25" t="str">
        <f>IF(OR(E3775="",E3775="!!!",F3775="NEW"),"",INDEX(B3774:B$2,-1+SUMPRODUCT(MAX(ROW(E3774:E$2)*(E3775=E3774:E$2)))))</f>
        <v> </v>
      </c>
      <c r="J3775" s="25" t="str">
        <f>IF(OR(E3775="",E3775="!!!",F3775="NEW"),"",COUNTBLANK(OFFSET(A$1,,,SUMPRODUCT(MAX(ROW(E$2:E3775)*(E3775=E$2:E3775)))))-COUNTBLANK(OFFSET(A$1,,,SUMPRODUCT(MAX(ROW(E$1:E3774)*(E2=E$1:E3774))))))</f>
        <v> </v>
      </c>
      <c r="K3775" s="25" t="str">
        <f>IF(OR(E3775="",E3775="!!!",F3775="NEW"),"",INDEX(J$1:J3774,SUMPRODUCT(MAX(ROW(E$1:E3774)*(E3775=E$1:E3774)))))</f>
        <v> </v>
      </c>
      <c r="L3775" s="26"/>
    </row>
    <row r="3776" spans="1:12">
      <c r="A3776" s="20"/>
    </row>
    <row r="3777" spans="1:12">
      <c r="A3777" s="20" t="s">
        <v>2272</v>
      </c>
    </row>
    <row r="3778" spans="1:12">
      <c r="A3778" s="20" t="s">
        <v>1064</v>
      </c>
      <c r="E3778" s="21">
        <f>IF(D3778="?OLD","!!!","")</f>
        <v/>
      </c>
      <c r="F3778" s="22" t="str">
        <f>IF(OR(E3778="",E3778="!!!"),"",IF(NOT(ISNA(VLOOKUP(E3778,E$1:E3777,1,FALSE()))),"OLD",IF(AND(E3778&lt;&gt;"",E3778&lt;&gt;"!!!"),"NEW","")))</f>
        <v> </v>
      </c>
      <c r="G3778" s="23" t="str">
        <f>IF(OR(E3778="",E3778="!!!"),"",IF(OR(J3778=0,AND(J3778=1,K3778=1),AND(J3778=1,I3778="SBJ"),AND(J3778=1,I3778=0)),"?IN_FOCUS",IF(J3778&lt;=2,"?ACTIVATED",IF(J3778&lt;&gt;"","?FAMILIAR",IF(F3778="NEW",IF(ISNA(VLOOKUP(E3778,#REF!,1,FALSE())),"?TYPE_IDENTIFIABLE","?REFERENTIAL"),"_")))))</f>
        <v> </v>
      </c>
      <c r="H3778" s="24" t="str">
        <f>IF(J3778&lt;&gt;1,"",IF(I3778="SBJ","CB","?"))</f>
        <v> </v>
      </c>
      <c r="I3778" s="25" t="str">
        <f>IF(OR(E3778="",E3778="!!!",F3778="NEW"),"",INDEX(B3777:B$2,-1+SUMPRODUCT(MAX(ROW(E3777:E$2)*(E3778=E3777:E$2)))))</f>
        <v> </v>
      </c>
      <c r="J3778" s="25" t="str">
        <f>IF(OR(E3778="",E3778="!!!",F3778="NEW"),"",COUNTBLANK(OFFSET(A$1,,,SUMPRODUCT(MAX(ROW(E$2:E3778)*(E3778=E$2:E3778)))))-COUNTBLANK(OFFSET(A$1,,,SUMPRODUCT(MAX(ROW(E$1:E3777)*(E2=E$1:E3777))))))</f>
        <v> </v>
      </c>
      <c r="K3778" s="25" t="str">
        <f>IF(OR(E3778="",E3778="!!!",F3778="NEW"),"",INDEX(J$1:J3777,SUMPRODUCT(MAX(ROW(E$1:E3777)*(E3778=E$1:E3777)))))</f>
        <v> </v>
      </c>
      <c r="L3778" s="26"/>
    </row>
    <row r="3779" spans="1:12">
      <c r="A3779" s="20" t="s">
        <v>129</v>
      </c>
      <c r="E3779" s="21">
        <f>IF(D3779="?OLD","!!!","")</f>
        <v/>
      </c>
      <c r="F3779" s="22" t="str">
        <f>IF(OR(E3779="",E3779="!!!"),"",IF(NOT(ISNA(VLOOKUP(E3779,E$1:E3778,1,FALSE()))),"OLD",IF(AND(E3779&lt;&gt;"",E3779&lt;&gt;"!!!"),"NEW","")))</f>
        <v> </v>
      </c>
      <c r="G3779" s="23" t="str">
        <f>IF(OR(E3779="",E3779="!!!"),"",IF(OR(J3779=0,AND(J3779=1,K3779=1),AND(J3779=1,I3779="SBJ"),AND(J3779=1,I3779=0)),"?IN_FOCUS",IF(J3779&lt;=2,"?ACTIVATED",IF(J3779&lt;&gt;"","?FAMILIAR",IF(F3779="NEW",IF(ISNA(VLOOKUP(E3779,#REF!,1,FALSE())),"?TYPE_IDENTIFIABLE","?REFERENTIAL"),"_")))))</f>
        <v> </v>
      </c>
      <c r="H3779" s="24" t="str">
        <f>IF(J3779&lt;&gt;1,"",IF(I3779="SBJ","CB","?"))</f>
        <v> </v>
      </c>
      <c r="I3779" s="25" t="str">
        <f>IF(OR(E3779="",E3779="!!!",F3779="NEW"),"",INDEX(B3778:B$2,-1+SUMPRODUCT(MAX(ROW(E3778:E$2)*(E3779=E3778:E$2)))))</f>
        <v> </v>
      </c>
      <c r="J3779" s="25" t="str">
        <f>IF(OR(E3779="",E3779="!!!",F3779="NEW"),"",COUNTBLANK(OFFSET(A$1,,,SUMPRODUCT(MAX(ROW(E$2:E3779)*(E3779=E$2:E3779)))))-COUNTBLANK(OFFSET(A$1,,,SUMPRODUCT(MAX(ROW(E$1:E3778)*(E2=E$1:E3778))))))</f>
        <v> </v>
      </c>
      <c r="K3779" s="25" t="str">
        <f>IF(OR(E3779="",E3779="!!!",F3779="NEW"),"",INDEX(J$1:J3778,SUMPRODUCT(MAX(ROW(E$1:E3778)*(E3779=E$1:E3778)))))</f>
        <v> </v>
      </c>
      <c r="L3779" s="26"/>
    </row>
    <row r="3780" spans="1:12">
      <c r="A3780" s="20" t="s">
        <v>1197</v>
      </c>
      <c r="B3780" s="27" t="s">
        <v>1067</v>
      </c>
      <c r="C3780" s="27" t="s">
        <v>1068</v>
      </c>
      <c r="D3780" s="27" t="s">
        <v>1069</v>
      </c>
      <c r="E3780" s="21">
        <f>IF(D3780="?OLD","!!!","")</f>
        <v/>
      </c>
      <c r="F3780" s="22" t="str">
        <f>IF(OR(E3780="",E3780="!!!"),"",IF(NOT(ISNA(VLOOKUP(E3780,E$1:E3779,1,FALSE()))),"OLD",IF(AND(E3780&lt;&gt;"",E3780&lt;&gt;"!!!"),"NEW","")))</f>
        <v> </v>
      </c>
      <c r="G3780" s="23" t="str">
        <f>IF(OR(E3780="",E3780="!!!"),"",IF(OR(J3780=0,AND(J3780=1,K3780=1),AND(J3780=1,I3780="SBJ"),AND(J3780=1,I3780=0)),"?IN_FOCUS",IF(J3780&lt;=2,"?ACTIVATED",IF(J3780&lt;&gt;"","?FAMILIAR",IF(F3780="NEW",IF(ISNA(VLOOKUP(E3780,#REF!,1,FALSE())),"?TYPE_IDENTIFIABLE","?REFERENTIAL"),"_")))))</f>
        <v> </v>
      </c>
      <c r="H3780" s="24" t="str">
        <f>IF(J3780&lt;&gt;1,"",IF(I3780="SBJ","CB","?"))</f>
        <v> </v>
      </c>
      <c r="I3780" s="25" t="str">
        <f>IF(OR(E3780="",E3780="!!!",F3780="NEW"),"",INDEX(B3779:B$2,-1+SUMPRODUCT(MAX(ROW(E3779:E$2)*(E3780=E3779:E$2)))))</f>
        <v> </v>
      </c>
      <c r="J3780" s="25" t="str">
        <f>IF(OR(E3780="",E3780="!!!",F3780="NEW"),"",COUNTBLANK(OFFSET(A$1,,,SUMPRODUCT(MAX(ROW(E$2:E3780)*(E3780=E$2:E3780)))))-COUNTBLANK(OFFSET(A$1,,,SUMPRODUCT(MAX(ROW(E$1:E3779)*(E2=E$1:E3779))))))</f>
        <v> </v>
      </c>
      <c r="K3780" s="25" t="str">
        <f>IF(OR(E3780="",E3780="!!!",F3780="NEW"),"",INDEX(J$1:J3779,SUMPRODUCT(MAX(ROW(E$1:E3779)*(E3780=E$1:E3779)))))</f>
        <v> </v>
      </c>
      <c r="L3780" s="26"/>
    </row>
    <row r="3781" spans="1:12">
      <c r="A3781" s="20" t="s">
        <v>1113</v>
      </c>
      <c r="E3781" s="21">
        <f>IF(D3781="?OLD","!!!","")</f>
        <v/>
      </c>
      <c r="F3781" s="22" t="str">
        <f>IF(OR(E3781="",E3781="!!!"),"",IF(NOT(ISNA(VLOOKUP(E3781,E$1:E3780,1,FALSE()))),"OLD",IF(AND(E3781&lt;&gt;"",E3781&lt;&gt;"!!!"),"NEW","")))</f>
        <v> </v>
      </c>
      <c r="G3781" s="23" t="str">
        <f>IF(OR(E3781="",E3781="!!!"),"",IF(OR(J3781=0,AND(J3781=1,K3781=1),AND(J3781=1,I3781="SBJ"),AND(J3781=1,I3781=0)),"?IN_FOCUS",IF(J3781&lt;=2,"?ACTIVATED",IF(J3781&lt;&gt;"","?FAMILIAR",IF(F3781="NEW",IF(ISNA(VLOOKUP(E3781,#REF!,1,FALSE())),"?TYPE_IDENTIFIABLE","?REFERENTIAL"),"_")))))</f>
        <v> </v>
      </c>
      <c r="H3781" s="24" t="str">
        <f>IF(J3781&lt;&gt;1,"",IF(I3781="SBJ","CB","?"))</f>
        <v> </v>
      </c>
      <c r="I3781" s="25" t="str">
        <f>IF(OR(E3781="",E3781="!!!",F3781="NEW"),"",INDEX(B3780:B$2,-1+SUMPRODUCT(MAX(ROW(E3780:E$2)*(E3781=E3780:E$2)))))</f>
        <v> </v>
      </c>
      <c r="J3781" s="25" t="str">
        <f>IF(OR(E3781="",E3781="!!!",F3781="NEW"),"",COUNTBLANK(OFFSET(A$1,,,SUMPRODUCT(MAX(ROW(E$2:E3781)*(E3781=E$2:E3781)))))-COUNTBLANK(OFFSET(A$1,,,SUMPRODUCT(MAX(ROW(E$1:E3780)*(E2=E$1:E3780))))))</f>
        <v> </v>
      </c>
      <c r="K3781" s="25" t="str">
        <f>IF(OR(E3781="",E3781="!!!",F3781="NEW"),"",INDEX(J$1:J3780,SUMPRODUCT(MAX(ROW(E$1:E3780)*(E3781=E$1:E3780)))))</f>
        <v> </v>
      </c>
      <c r="L3781" s="26"/>
    </row>
    <row r="3782" spans="1:12">
      <c r="A3782" s="20" t="s">
        <v>2006</v>
      </c>
      <c r="B3782" s="27" t="s">
        <v>1160</v>
      </c>
      <c r="C3782" s="27" t="s">
        <v>1086</v>
      </c>
      <c r="D3782" s="27" t="s">
        <v>1069</v>
      </c>
      <c r="E3782" s="21">
        <f>IF(D3782="?OLD","!!!","")</f>
        <v/>
      </c>
      <c r="F3782" s="22" t="str">
        <f>IF(OR(E3782="",E3782="!!!"),"",IF(NOT(ISNA(VLOOKUP(E3782,E$1:E3781,1,FALSE()))),"OLD",IF(AND(E3782&lt;&gt;"",E3782&lt;&gt;"!!!"),"NEW","")))</f>
        <v> </v>
      </c>
      <c r="G3782" s="23" t="str">
        <f>IF(OR(E3782="",E3782="!!!"),"",IF(OR(J3782=0,AND(J3782=1,K3782=1),AND(J3782=1,I3782="SBJ"),AND(J3782=1,I3782=0)),"?IN_FOCUS",IF(J3782&lt;=2,"?ACTIVATED",IF(J3782&lt;&gt;"","?FAMILIAR",IF(F3782="NEW",IF(ISNA(VLOOKUP(E3782,#REF!,1,FALSE())),"?TYPE_IDENTIFIABLE","?REFERENTIAL"),"_")))))</f>
        <v> </v>
      </c>
      <c r="H3782" s="24" t="str">
        <f>IF(J3782&lt;&gt;1,"",IF(I3782="SBJ","CB","?"))</f>
        <v> </v>
      </c>
      <c r="I3782" s="25" t="str">
        <f>IF(OR(E3782="",E3782="!!!",F3782="NEW"),"",INDEX(B3781:B$2,-1+SUMPRODUCT(MAX(ROW(E3781:E$2)*(E3782=E3781:E$2)))))</f>
        <v> </v>
      </c>
      <c r="J3782" s="25" t="str">
        <f>IF(OR(E3782="",E3782="!!!",F3782="NEW"),"",COUNTBLANK(OFFSET(A$1,,,SUMPRODUCT(MAX(ROW(E$2:E3782)*(E3782=E$2:E3782)))))-COUNTBLANK(OFFSET(A$1,,,SUMPRODUCT(MAX(ROW(E$1:E3781)*(E2=E$1:E3781))))))</f>
        <v> </v>
      </c>
      <c r="K3782" s="25" t="str">
        <f>IF(OR(E3782="",E3782="!!!",F3782="NEW"),"",INDEX(J$1:J3781,SUMPRODUCT(MAX(ROW(E$1:E3781)*(E3782=E$1:E3781)))))</f>
        <v> </v>
      </c>
      <c r="L3782" s="26"/>
    </row>
    <row r="3783" spans="1:12">
      <c r="A3783" s="20" t="s">
        <v>2066</v>
      </c>
      <c r="E3783" s="21">
        <f>IF(D3783="?OLD","!!!","")</f>
        <v/>
      </c>
      <c r="F3783" s="22" t="str">
        <f>IF(OR(E3783="",E3783="!!!"),"",IF(NOT(ISNA(VLOOKUP(E3783,E$1:E3782,1,FALSE()))),"OLD",IF(AND(E3783&lt;&gt;"",E3783&lt;&gt;"!!!"),"NEW","")))</f>
        <v> </v>
      </c>
      <c r="G3783" s="23" t="str">
        <f>IF(OR(E3783="",E3783="!!!"),"",IF(OR(J3783=0,AND(J3783=1,K3783=1),AND(J3783=1,I3783="SBJ"),AND(J3783=1,I3783=0)),"?IN_FOCUS",IF(J3783&lt;=2,"?ACTIVATED",IF(J3783&lt;&gt;"","?FAMILIAR",IF(F3783="NEW",IF(ISNA(VLOOKUP(E3783,#REF!,1,FALSE())),"?TYPE_IDENTIFIABLE","?REFERENTIAL"),"_")))))</f>
        <v> </v>
      </c>
      <c r="H3783" s="24" t="str">
        <f>IF(J3783&lt;&gt;1,"",IF(I3783="SBJ","CB","?"))</f>
        <v> </v>
      </c>
      <c r="I3783" s="25" t="str">
        <f>IF(OR(E3783="",E3783="!!!",F3783="NEW"),"",INDEX(B3782:B$2,-1+SUMPRODUCT(MAX(ROW(E3782:E$2)*(E3783=E3782:E$2)))))</f>
        <v> </v>
      </c>
      <c r="J3783" s="25" t="str">
        <f>IF(OR(E3783="",E3783="!!!",F3783="NEW"),"",COUNTBLANK(OFFSET(A$1,,,SUMPRODUCT(MAX(ROW(E$2:E3783)*(E3783=E$2:E3783)))))-COUNTBLANK(OFFSET(A$1,,,SUMPRODUCT(MAX(ROW(E$1:E3782)*(E2=E$1:E3782))))))</f>
        <v> </v>
      </c>
      <c r="K3783" s="25" t="str">
        <f>IF(OR(E3783="",E3783="!!!",F3783="NEW"),"",INDEX(J$1:J3782,SUMPRODUCT(MAX(ROW(E$1:E3782)*(E3783=E$1:E3782)))))</f>
        <v> </v>
      </c>
      <c r="L3783" s="26"/>
    </row>
    <row r="3784" spans="1:12">
      <c r="A3784" s="20" t="s">
        <v>2273</v>
      </c>
      <c r="E3784" s="21">
        <f>IF(D3784="?OLD","!!!","")</f>
        <v/>
      </c>
      <c r="F3784" s="22" t="str">
        <f>IF(OR(E3784="",E3784="!!!"),"",IF(NOT(ISNA(VLOOKUP(E3784,E$1:E3783,1,FALSE()))),"OLD",IF(AND(E3784&lt;&gt;"",E3784&lt;&gt;"!!!"),"NEW","")))</f>
        <v> </v>
      </c>
      <c r="G3784" s="23" t="str">
        <f>IF(OR(E3784="",E3784="!!!"),"",IF(OR(J3784=0,AND(J3784=1,K3784=1),AND(J3784=1,I3784="SBJ"),AND(J3784=1,I3784=0)),"?IN_FOCUS",IF(J3784&lt;=2,"?ACTIVATED",IF(J3784&lt;&gt;"","?FAMILIAR",IF(F3784="NEW",IF(ISNA(VLOOKUP(E3784,#REF!,1,FALSE())),"?TYPE_IDENTIFIABLE","?REFERENTIAL"),"_")))))</f>
        <v> </v>
      </c>
      <c r="H3784" s="24" t="str">
        <f>IF(J3784&lt;&gt;1,"",IF(I3784="SBJ","CB","?"))</f>
        <v> </v>
      </c>
      <c r="I3784" s="25" t="str">
        <f>IF(OR(E3784="",E3784="!!!",F3784="NEW"),"",INDEX(B3783:B$2,-1+SUMPRODUCT(MAX(ROW(E3783:E$2)*(E3784=E3783:E$2)))))</f>
        <v> </v>
      </c>
      <c r="J3784" s="25" t="str">
        <f>IF(OR(E3784="",E3784="!!!",F3784="NEW"),"",COUNTBLANK(OFFSET(A$1,,,SUMPRODUCT(MAX(ROW(E$2:E3784)*(E3784=E$2:E3784)))))-COUNTBLANK(OFFSET(A$1,,,SUMPRODUCT(MAX(ROW(E$1:E3783)*(E2=E$1:E3783))))))</f>
        <v> </v>
      </c>
      <c r="K3784" s="25" t="str">
        <f>IF(OR(E3784="",E3784="!!!",F3784="NEW"),"",INDEX(J$1:J3783,SUMPRODUCT(MAX(ROW(E$1:E3783)*(E3784=E$1:E3783)))))</f>
        <v> </v>
      </c>
      <c r="L3784" s="26"/>
    </row>
    <row r="3785" spans="1:12">
      <c r="A3785" s="20" t="s">
        <v>789</v>
      </c>
      <c r="E3785" s="21">
        <f>IF(D3785="?OLD","!!!","")</f>
        <v/>
      </c>
      <c r="F3785" s="22" t="str">
        <f>IF(OR(E3785="",E3785="!!!"),"",IF(NOT(ISNA(VLOOKUP(E3785,E$1:E3784,1,FALSE()))),"OLD",IF(AND(E3785&lt;&gt;"",E3785&lt;&gt;"!!!"),"NEW","")))</f>
        <v> </v>
      </c>
      <c r="G3785" s="23" t="str">
        <f>IF(OR(E3785="",E3785="!!!"),"",IF(OR(J3785=0,AND(J3785=1,K3785=1),AND(J3785=1,I3785="SBJ"),AND(J3785=1,I3785=0)),"?IN_FOCUS",IF(J3785&lt;=2,"?ACTIVATED",IF(J3785&lt;&gt;"","?FAMILIAR",IF(F3785="NEW",IF(ISNA(VLOOKUP(E3785,#REF!,1,FALSE())),"?TYPE_IDENTIFIABLE","?REFERENTIAL"),"_")))))</f>
        <v> </v>
      </c>
      <c r="H3785" s="24" t="str">
        <f>IF(J3785&lt;&gt;1,"",IF(I3785="SBJ","CB","?"))</f>
        <v> </v>
      </c>
      <c r="I3785" s="25" t="str">
        <f>IF(OR(E3785="",E3785="!!!",F3785="NEW"),"",INDEX(B3784:B$2,-1+SUMPRODUCT(MAX(ROW(E3784:E$2)*(E3785=E3784:E$2)))))</f>
        <v> </v>
      </c>
      <c r="J3785" s="25" t="str">
        <f>IF(OR(E3785="",E3785="!!!",F3785="NEW"),"",COUNTBLANK(OFFSET(A$1,,,SUMPRODUCT(MAX(ROW(E$2:E3785)*(E3785=E$2:E3785)))))-COUNTBLANK(OFFSET(A$1,,,SUMPRODUCT(MAX(ROW(E$1:E3784)*(E2=E$1:E3784))))))</f>
        <v> </v>
      </c>
      <c r="K3785" s="25" t="str">
        <f>IF(OR(E3785="",E3785="!!!",F3785="NEW"),"",INDEX(J$1:J3784,SUMPRODUCT(MAX(ROW(E$1:E3784)*(E3785=E$1:E3784)))))</f>
        <v> </v>
      </c>
      <c r="L3785" s="26"/>
    </row>
    <row r="3786" spans="1:12">
      <c r="A3786" s="20" t="s">
        <v>1087</v>
      </c>
      <c r="E3786" s="21">
        <f>IF(D3786="?OLD","!!!","")</f>
        <v/>
      </c>
      <c r="F3786" s="22" t="str">
        <f>IF(OR(E3786="",E3786="!!!"),"",IF(NOT(ISNA(VLOOKUP(E3786,E$1:E3785,1,FALSE()))),"OLD",IF(AND(E3786&lt;&gt;"",E3786&lt;&gt;"!!!"),"NEW","")))</f>
        <v> </v>
      </c>
      <c r="G3786" s="23" t="str">
        <f>IF(OR(E3786="",E3786="!!!"),"",IF(OR(J3786=0,AND(J3786=1,K3786=1),AND(J3786=1,I3786="SBJ"),AND(J3786=1,I3786=0)),"?IN_FOCUS",IF(J3786&lt;=2,"?ACTIVATED",IF(J3786&lt;&gt;"","?FAMILIAR",IF(F3786="NEW",IF(ISNA(VLOOKUP(E3786,#REF!,1,FALSE())),"?TYPE_IDENTIFIABLE","?REFERENTIAL"),"_")))))</f>
        <v> </v>
      </c>
      <c r="H3786" s="24" t="str">
        <f>IF(J3786&lt;&gt;1,"",IF(I3786="SBJ","CB","?"))</f>
        <v> </v>
      </c>
      <c r="I3786" s="25" t="str">
        <f>IF(OR(E3786="",E3786="!!!",F3786="NEW"),"",INDEX(B3785:B$2,-1+SUMPRODUCT(MAX(ROW(E3785:E$2)*(E3786=E3785:E$2)))))</f>
        <v> </v>
      </c>
      <c r="J3786" s="25" t="str">
        <f>IF(OR(E3786="",E3786="!!!",F3786="NEW"),"",COUNTBLANK(OFFSET(A$1,,,SUMPRODUCT(MAX(ROW(E$2:E3786)*(E3786=E$2:E3786)))))-COUNTBLANK(OFFSET(A$1,,,SUMPRODUCT(MAX(ROW(E$1:E3785)*(E2=E$1:E3785))))))</f>
        <v> </v>
      </c>
      <c r="K3786" s="25" t="str">
        <f>IF(OR(E3786="",E3786="!!!",F3786="NEW"),"",INDEX(J$1:J3785,SUMPRODUCT(MAX(ROW(E$1:E3785)*(E3786=E$1:E3785)))))</f>
        <v> </v>
      </c>
      <c r="L3786" s="26"/>
    </row>
    <row r="3787" spans="1:12">
      <c r="A3787" s="20" t="s">
        <v>1243</v>
      </c>
      <c r="E3787" s="21">
        <f>IF(D3787="?OLD","!!!","")</f>
        <v/>
      </c>
      <c r="F3787" s="22" t="str">
        <f>IF(OR(E3787="",E3787="!!!"),"",IF(NOT(ISNA(VLOOKUP(E3787,E$1:E3786,1,FALSE()))),"OLD",IF(AND(E3787&lt;&gt;"",E3787&lt;&gt;"!!!"),"NEW","")))</f>
        <v> </v>
      </c>
      <c r="G3787" s="23" t="str">
        <f>IF(OR(E3787="",E3787="!!!"),"",IF(OR(J3787=0,AND(J3787=1,K3787=1),AND(J3787=1,I3787="SBJ"),AND(J3787=1,I3787=0)),"?IN_FOCUS",IF(J3787&lt;=2,"?ACTIVATED",IF(J3787&lt;&gt;"","?FAMILIAR",IF(F3787="NEW",IF(ISNA(VLOOKUP(E3787,#REF!,1,FALSE())),"?TYPE_IDENTIFIABLE","?REFERENTIAL"),"_")))))</f>
        <v> </v>
      </c>
      <c r="H3787" s="24" t="str">
        <f>IF(J3787&lt;&gt;1,"",IF(I3787="SBJ","CB","?"))</f>
        <v> </v>
      </c>
      <c r="I3787" s="25" t="str">
        <f>IF(OR(E3787="",E3787="!!!",F3787="NEW"),"",INDEX(B3786:B$2,-1+SUMPRODUCT(MAX(ROW(E3786:E$2)*(E3787=E3786:E$2)))))</f>
        <v> </v>
      </c>
      <c r="J3787" s="25" t="str">
        <f>IF(OR(E3787="",E3787="!!!",F3787="NEW"),"",COUNTBLANK(OFFSET(A$1,,,SUMPRODUCT(MAX(ROW(E$2:E3787)*(E3787=E$2:E3787)))))-COUNTBLANK(OFFSET(A$1,,,SUMPRODUCT(MAX(ROW(E$1:E3786)*(E2=E$1:E3786))))))</f>
        <v> </v>
      </c>
      <c r="K3787" s="25" t="str">
        <f>IF(OR(E3787="",E3787="!!!",F3787="NEW"),"",INDEX(J$1:J3786,SUMPRODUCT(MAX(ROW(E$1:E3786)*(E3787=E$1:E3786)))))</f>
        <v> </v>
      </c>
      <c r="L3787" s="26"/>
    </row>
    <row r="3788" spans="1:12">
      <c r="A3788" s="20" t="s">
        <v>1299</v>
      </c>
      <c r="E3788" s="21">
        <f>IF(D3788="?OLD","!!!","")</f>
        <v/>
      </c>
      <c r="F3788" s="22" t="str">
        <f>IF(OR(E3788="",E3788="!!!"),"",IF(NOT(ISNA(VLOOKUP(E3788,E$1:E3787,1,FALSE()))),"OLD",IF(AND(E3788&lt;&gt;"",E3788&lt;&gt;"!!!"),"NEW","")))</f>
        <v> </v>
      </c>
      <c r="G3788" s="23" t="str">
        <f>IF(OR(E3788="",E3788="!!!"),"",IF(OR(J3788=0,AND(J3788=1,K3788=1),AND(J3788=1,I3788="SBJ"),AND(J3788=1,I3788=0)),"?IN_FOCUS",IF(J3788&lt;=2,"?ACTIVATED",IF(J3788&lt;&gt;"","?FAMILIAR",IF(F3788="NEW",IF(ISNA(VLOOKUP(E3788,#REF!,1,FALSE())),"?TYPE_IDENTIFIABLE","?REFERENTIAL"),"_")))))</f>
        <v> </v>
      </c>
      <c r="H3788" s="24" t="str">
        <f>IF(J3788&lt;&gt;1,"",IF(I3788="SBJ","CB","?"))</f>
        <v> </v>
      </c>
      <c r="I3788" s="25" t="str">
        <f>IF(OR(E3788="",E3788="!!!",F3788="NEW"),"",INDEX(B3787:B$2,-1+SUMPRODUCT(MAX(ROW(E3787:E$2)*(E3788=E3787:E$2)))))</f>
        <v> </v>
      </c>
      <c r="J3788" s="25" t="str">
        <f>IF(OR(E3788="",E3788="!!!",F3788="NEW"),"",COUNTBLANK(OFFSET(A$1,,,SUMPRODUCT(MAX(ROW(E$2:E3788)*(E3788=E$2:E3788)))))-COUNTBLANK(OFFSET(A$1,,,SUMPRODUCT(MAX(ROW(E$1:E3787)*(E2=E$1:E3787))))))</f>
        <v> </v>
      </c>
      <c r="K3788" s="25" t="str">
        <f>IF(OR(E3788="",E3788="!!!",F3788="NEW"),"",INDEX(J$1:J3787,SUMPRODUCT(MAX(ROW(E$1:E3787)*(E3788=E$1:E3787)))))</f>
        <v> </v>
      </c>
      <c r="L3788" s="26"/>
    </row>
    <row r="3789" spans="1:12">
      <c r="A3789" s="20" t="s">
        <v>1167</v>
      </c>
      <c r="E3789" s="21">
        <f>IF(D3789="?OLD","!!!","")</f>
        <v/>
      </c>
      <c r="F3789" s="22" t="str">
        <f>IF(OR(E3789="",E3789="!!!"),"",IF(NOT(ISNA(VLOOKUP(E3789,E$1:E3788,1,FALSE()))),"OLD",IF(AND(E3789&lt;&gt;"",E3789&lt;&gt;"!!!"),"NEW","")))</f>
        <v> </v>
      </c>
      <c r="G3789" s="23" t="str">
        <f>IF(OR(E3789="",E3789="!!!"),"",IF(OR(J3789=0,AND(J3789=1,K3789=1),AND(J3789=1,I3789="SBJ"),AND(J3789=1,I3789=0)),"?IN_FOCUS",IF(J3789&lt;=2,"?ACTIVATED",IF(J3789&lt;&gt;"","?FAMILIAR",IF(F3789="NEW",IF(ISNA(VLOOKUP(E3789,#REF!,1,FALSE())),"?TYPE_IDENTIFIABLE","?REFERENTIAL"),"_")))))</f>
        <v> </v>
      </c>
      <c r="H3789" s="24" t="str">
        <f>IF(J3789&lt;&gt;1,"",IF(I3789="SBJ","CB","?"))</f>
        <v> </v>
      </c>
      <c r="I3789" s="25" t="str">
        <f>IF(OR(E3789="",E3789="!!!",F3789="NEW"),"",INDEX(B3788:B$2,-1+SUMPRODUCT(MAX(ROW(E3788:E$2)*(E3789=E3788:E$2)))))</f>
        <v> </v>
      </c>
      <c r="J3789" s="25" t="str">
        <f>IF(OR(E3789="",E3789="!!!",F3789="NEW"),"",COUNTBLANK(OFFSET(A$1,,,SUMPRODUCT(MAX(ROW(E$2:E3789)*(E3789=E$2:E3789)))))-COUNTBLANK(OFFSET(A$1,,,SUMPRODUCT(MAX(ROW(E$1:E3788)*(E2=E$1:E3788))))))</f>
        <v> </v>
      </c>
      <c r="K3789" s="25" t="str">
        <f>IF(OR(E3789="",E3789="!!!",F3789="NEW"),"",INDEX(J$1:J3788,SUMPRODUCT(MAX(ROW(E$1:E3788)*(E3789=E$1:E3788)))))</f>
        <v> </v>
      </c>
      <c r="L3789" s="26"/>
    </row>
    <row r="3790" spans="1:12">
      <c r="A3790" s="20" t="s">
        <v>1153</v>
      </c>
      <c r="E3790" s="21">
        <f>IF(D3790="?OLD","!!!","")</f>
        <v/>
      </c>
      <c r="F3790" s="22" t="str">
        <f>IF(OR(E3790="",E3790="!!!"),"",IF(NOT(ISNA(VLOOKUP(E3790,E$1:E3789,1,FALSE()))),"OLD",IF(AND(E3790&lt;&gt;"",E3790&lt;&gt;"!!!"),"NEW","")))</f>
        <v> </v>
      </c>
      <c r="G3790" s="23" t="str">
        <f>IF(OR(E3790="",E3790="!!!"),"",IF(OR(J3790=0,AND(J3790=1,K3790=1),AND(J3790=1,I3790="SBJ"),AND(J3790=1,I3790=0)),"?IN_FOCUS",IF(J3790&lt;=2,"?ACTIVATED",IF(J3790&lt;&gt;"","?FAMILIAR",IF(F3790="NEW",IF(ISNA(VLOOKUP(E3790,#REF!,1,FALSE())),"?TYPE_IDENTIFIABLE","?REFERENTIAL"),"_")))))</f>
        <v> </v>
      </c>
      <c r="H3790" s="24" t="str">
        <f>IF(J3790&lt;&gt;1,"",IF(I3790="SBJ","CB","?"))</f>
        <v> </v>
      </c>
      <c r="I3790" s="25" t="str">
        <f>IF(OR(E3790="",E3790="!!!",F3790="NEW"),"",INDEX(B3789:B$2,-1+SUMPRODUCT(MAX(ROW(E3789:E$2)*(E3790=E3789:E$2)))))</f>
        <v> </v>
      </c>
      <c r="J3790" s="25" t="str">
        <f>IF(OR(E3790="",E3790="!!!",F3790="NEW"),"",COUNTBLANK(OFFSET(A$1,,,SUMPRODUCT(MAX(ROW(E$2:E3790)*(E3790=E$2:E3790)))))-COUNTBLANK(OFFSET(A$1,,,SUMPRODUCT(MAX(ROW(E$1:E3789)*(E2=E$1:E3789))))))</f>
        <v> </v>
      </c>
      <c r="K3790" s="25" t="str">
        <f>IF(OR(E3790="",E3790="!!!",F3790="NEW"),"",INDEX(J$1:J3789,SUMPRODUCT(MAX(ROW(E$1:E3789)*(E3790=E$1:E3789)))))</f>
        <v> </v>
      </c>
      <c r="L3790" s="26"/>
    </row>
    <row r="3791" spans="1:12">
      <c r="A3791" s="20" t="s">
        <v>1622</v>
      </c>
      <c r="B3791" s="27" t="s">
        <v>1095</v>
      </c>
      <c r="C3791" s="27" t="s">
        <v>1117</v>
      </c>
      <c r="E3791" s="21">
        <f>IF(D3791="?OLD","!!!","")</f>
        <v/>
      </c>
      <c r="F3791" s="22" t="str">
        <f>IF(OR(E3791="",E3791="!!!"),"",IF(NOT(ISNA(VLOOKUP(E3791,E$1:E3790,1,FALSE()))),"OLD",IF(AND(E3791&lt;&gt;"",E3791&lt;&gt;"!!!"),"NEW","")))</f>
        <v> </v>
      </c>
      <c r="G3791" s="23" t="str">
        <f>IF(OR(E3791="",E3791="!!!"),"",IF(OR(J3791=0,AND(J3791=1,K3791=1),AND(J3791=1,I3791="SBJ"),AND(J3791=1,I3791=0)),"?IN_FOCUS",IF(J3791&lt;=2,"?ACTIVATED",IF(J3791&lt;&gt;"","?FAMILIAR",IF(F3791="NEW",IF(ISNA(VLOOKUP(E3791,#REF!,1,FALSE())),"?TYPE_IDENTIFIABLE","?REFERENTIAL"),"_")))))</f>
        <v> </v>
      </c>
      <c r="H3791" s="24" t="str">
        <f>IF(J3791&lt;&gt;1,"",IF(I3791="SBJ","CB","?"))</f>
        <v> </v>
      </c>
      <c r="I3791" s="25" t="str">
        <f>IF(OR(E3791="",E3791="!!!",F3791="NEW"),"",INDEX(B3790:B$2,-1+SUMPRODUCT(MAX(ROW(E3790:E$2)*(E3791=E3790:E$2)))))</f>
        <v> </v>
      </c>
      <c r="J3791" s="25" t="str">
        <f>IF(OR(E3791="",E3791="!!!",F3791="NEW"),"",COUNTBLANK(OFFSET(A$1,,,SUMPRODUCT(MAX(ROW(E$2:E3791)*(E3791=E$2:E3791)))))-COUNTBLANK(OFFSET(A$1,,,SUMPRODUCT(MAX(ROW(E$1:E3790)*(E2=E$1:E3790))))))</f>
        <v> </v>
      </c>
      <c r="K3791" s="25" t="str">
        <f>IF(OR(E3791="",E3791="!!!",F3791="NEW"),"",INDEX(J$1:J3790,SUMPRODUCT(MAX(ROW(E$1:E3790)*(E3791=E$1:E3790)))))</f>
        <v> </v>
      </c>
      <c r="L3791" s="26"/>
    </row>
    <row r="3792" spans="1:12">
      <c r="A3792" s="20" t="s">
        <v>1078</v>
      </c>
      <c r="E3792" s="21">
        <f>IF(D3792="?OLD","!!!","")</f>
        <v/>
      </c>
      <c r="F3792" s="22" t="str">
        <f>IF(OR(E3792="",E3792="!!!"),"",IF(NOT(ISNA(VLOOKUP(E3792,E$1:E3791,1,FALSE()))),"OLD",IF(AND(E3792&lt;&gt;"",E3792&lt;&gt;"!!!"),"NEW","")))</f>
        <v> </v>
      </c>
      <c r="G3792" s="23" t="str">
        <f>IF(OR(E3792="",E3792="!!!"),"",IF(OR(J3792=0,AND(J3792=1,K3792=1),AND(J3792=1,I3792="SBJ"),AND(J3792=1,I3792=0)),"?IN_FOCUS",IF(J3792&lt;=2,"?ACTIVATED",IF(J3792&lt;&gt;"","?FAMILIAR",IF(F3792="NEW",IF(ISNA(VLOOKUP(E3792,#REF!,1,FALSE())),"?TYPE_IDENTIFIABLE","?REFERENTIAL"),"_")))))</f>
        <v> </v>
      </c>
      <c r="H3792" s="24" t="str">
        <f>IF(J3792&lt;&gt;1,"",IF(I3792="SBJ","CB","?"))</f>
        <v> </v>
      </c>
      <c r="I3792" s="25" t="str">
        <f>IF(OR(E3792="",E3792="!!!",F3792="NEW"),"",INDEX(B3791:B$2,-1+SUMPRODUCT(MAX(ROW(E3791:E$2)*(E3792=E3791:E$2)))))</f>
        <v> </v>
      </c>
      <c r="J3792" s="25" t="str">
        <f>IF(OR(E3792="",E3792="!!!",F3792="NEW"),"",COUNTBLANK(OFFSET(A$1,,,SUMPRODUCT(MAX(ROW(E$2:E3792)*(E3792=E$2:E3792)))))-COUNTBLANK(OFFSET(A$1,,,SUMPRODUCT(MAX(ROW(E$1:E3791)*(E2=E$1:E3791))))))</f>
        <v> </v>
      </c>
      <c r="K3792" s="25" t="str">
        <f>IF(OR(E3792="",E3792="!!!",F3792="NEW"),"",INDEX(J$1:J3791,SUMPRODUCT(MAX(ROW(E$1:E3791)*(E3792=E$1:E3791)))))</f>
        <v> </v>
      </c>
      <c r="L3792" s="26"/>
    </row>
    <row r="3793" spans="1:12">
      <c r="A3793" s="20" t="s">
        <v>1153</v>
      </c>
      <c r="E3793" s="21">
        <f>IF(D3793="?OLD","!!!","")</f>
        <v/>
      </c>
      <c r="F3793" s="22" t="str">
        <f>IF(OR(E3793="",E3793="!!!"),"",IF(NOT(ISNA(VLOOKUP(E3793,E$1:E3792,1,FALSE()))),"OLD",IF(AND(E3793&lt;&gt;"",E3793&lt;&gt;"!!!"),"NEW","")))</f>
        <v> </v>
      </c>
      <c r="G3793" s="23" t="str">
        <f>IF(OR(E3793="",E3793="!!!"),"",IF(OR(J3793=0,AND(J3793=1,K3793=1),AND(J3793=1,I3793="SBJ"),AND(J3793=1,I3793=0)),"?IN_FOCUS",IF(J3793&lt;=2,"?ACTIVATED",IF(J3793&lt;&gt;"","?FAMILIAR",IF(F3793="NEW",IF(ISNA(VLOOKUP(E3793,#REF!,1,FALSE())),"?TYPE_IDENTIFIABLE","?REFERENTIAL"),"_")))))</f>
        <v> </v>
      </c>
      <c r="H3793" s="24" t="str">
        <f>IF(J3793&lt;&gt;1,"",IF(I3793="SBJ","CB","?"))</f>
        <v> </v>
      </c>
      <c r="I3793" s="25" t="str">
        <f>IF(OR(E3793="",E3793="!!!",F3793="NEW"),"",INDEX(B3792:B$2,-1+SUMPRODUCT(MAX(ROW(E3792:E$2)*(E3793=E3792:E$2)))))</f>
        <v> </v>
      </c>
      <c r="J3793" s="25" t="str">
        <f>IF(OR(E3793="",E3793="!!!",F3793="NEW"),"",COUNTBLANK(OFFSET(A$1,,,SUMPRODUCT(MAX(ROW(E$2:E3793)*(E3793=E$2:E3793)))))-COUNTBLANK(OFFSET(A$1,,,SUMPRODUCT(MAX(ROW(E$1:E3792)*(E2=E$1:E3792))))))</f>
        <v> </v>
      </c>
      <c r="K3793" s="25" t="str">
        <f>IF(OR(E3793="",E3793="!!!",F3793="NEW"),"",INDEX(J$1:J3792,SUMPRODUCT(MAX(ROW(E$1:E3792)*(E3793=E$1:E3792)))))</f>
        <v> </v>
      </c>
      <c r="L3793" s="26"/>
    </row>
    <row r="3794" spans="1:12">
      <c r="A3794" s="20" t="s">
        <v>2274</v>
      </c>
      <c r="B3794" s="27" t="s">
        <v>1092</v>
      </c>
      <c r="C3794" s="27" t="s">
        <v>1117</v>
      </c>
      <c r="E3794" s="21">
        <f>IF(D3794="?OLD","!!!","")</f>
        <v/>
      </c>
      <c r="F3794" s="22" t="str">
        <f>IF(OR(E3794="",E3794="!!!"),"",IF(NOT(ISNA(VLOOKUP(E3794,E$1:E3793,1,FALSE()))),"OLD",IF(AND(E3794&lt;&gt;"",E3794&lt;&gt;"!!!"),"NEW","")))</f>
        <v> </v>
      </c>
      <c r="G3794" s="23" t="str">
        <f>IF(OR(E3794="",E3794="!!!"),"",IF(OR(J3794=0,AND(J3794=1,K3794=1),AND(J3794=1,I3794="SBJ"),AND(J3794=1,I3794=0)),"?IN_FOCUS",IF(J3794&lt;=2,"?ACTIVATED",IF(J3794&lt;&gt;"","?FAMILIAR",IF(F3794="NEW",IF(ISNA(VLOOKUP(E3794,#REF!,1,FALSE())),"?TYPE_IDENTIFIABLE","?REFERENTIAL"),"_")))))</f>
        <v> </v>
      </c>
      <c r="H3794" s="24" t="str">
        <f>IF(J3794&lt;&gt;1,"",IF(I3794="SBJ","CB","?"))</f>
        <v> </v>
      </c>
      <c r="I3794" s="25" t="str">
        <f>IF(OR(E3794="",E3794="!!!",F3794="NEW"),"",INDEX(B3793:B$2,-1+SUMPRODUCT(MAX(ROW(E3793:E$2)*(E3794=E3793:E$2)))))</f>
        <v> </v>
      </c>
      <c r="J3794" s="25" t="str">
        <f>IF(OR(E3794="",E3794="!!!",F3794="NEW"),"",COUNTBLANK(OFFSET(A$1,,,SUMPRODUCT(MAX(ROW(E$2:E3794)*(E3794=E$2:E3794)))))-COUNTBLANK(OFFSET(A$1,,,SUMPRODUCT(MAX(ROW(E$1:E3793)*(E2=E$1:E3793))))))</f>
        <v> </v>
      </c>
      <c r="K3794" s="25" t="str">
        <f>IF(OR(E3794="",E3794="!!!",F3794="NEW"),"",INDEX(J$1:J3793,SUMPRODUCT(MAX(ROW(E$1:E3793)*(E3794=E$1:E3793)))))</f>
        <v> </v>
      </c>
      <c r="L3794" s="26"/>
    </row>
    <row r="3795" spans="1:12">
      <c r="A3795" s="20" t="s">
        <v>1087</v>
      </c>
      <c r="E3795" s="21">
        <f>IF(D3795="?OLD","!!!","")</f>
        <v/>
      </c>
      <c r="F3795" s="22" t="str">
        <f>IF(OR(E3795="",E3795="!!!"),"",IF(NOT(ISNA(VLOOKUP(E3795,E$1:E3794,1,FALSE()))),"OLD",IF(AND(E3795&lt;&gt;"",E3795&lt;&gt;"!!!"),"NEW","")))</f>
        <v> </v>
      </c>
      <c r="G3795" s="23" t="str">
        <f>IF(OR(E3795="",E3795="!!!"),"",IF(OR(J3795=0,AND(J3795=1,K3795=1),AND(J3795=1,I3795="SBJ"),AND(J3795=1,I3795=0)),"?IN_FOCUS",IF(J3795&lt;=2,"?ACTIVATED",IF(J3795&lt;&gt;"","?FAMILIAR",IF(F3795="NEW",IF(ISNA(VLOOKUP(E3795,#REF!,1,FALSE())),"?TYPE_IDENTIFIABLE","?REFERENTIAL"),"_")))))</f>
        <v> </v>
      </c>
      <c r="H3795" s="24" t="str">
        <f>IF(J3795&lt;&gt;1,"",IF(I3795="SBJ","CB","?"))</f>
        <v> </v>
      </c>
      <c r="I3795" s="25" t="str">
        <f>IF(OR(E3795="",E3795="!!!",F3795="NEW"),"",INDEX(B3794:B$2,-1+SUMPRODUCT(MAX(ROW(E3794:E$2)*(E3795=E3794:E$2)))))</f>
        <v> </v>
      </c>
      <c r="J3795" s="25" t="str">
        <f>IF(OR(E3795="",E3795="!!!",F3795="NEW"),"",COUNTBLANK(OFFSET(A$1,,,SUMPRODUCT(MAX(ROW(E$2:E3795)*(E3795=E$2:E3795)))))-COUNTBLANK(OFFSET(A$1,,,SUMPRODUCT(MAX(ROW(E$1:E3794)*(E2=E$1:E3794))))))</f>
        <v> </v>
      </c>
      <c r="K3795" s="25" t="str">
        <f>IF(OR(E3795="",E3795="!!!",F3795="NEW"),"",INDEX(J$1:J3794,SUMPRODUCT(MAX(ROW(E$1:E3794)*(E3795=E$1:E3794)))))</f>
        <v> </v>
      </c>
      <c r="L3795" s="26"/>
    </row>
    <row r="3796" spans="1:12">
      <c r="A3796" s="20" t="s">
        <v>1104</v>
      </c>
      <c r="B3796" s="27" t="s">
        <v>1109</v>
      </c>
      <c r="E3796" s="21">
        <f>IF(D3796="?OLD","!!!","")</f>
        <v/>
      </c>
      <c r="F3796" s="22" t="str">
        <f>IF(OR(E3796="",E3796="!!!"),"",IF(NOT(ISNA(VLOOKUP(E3796,E$1:E3795,1,FALSE()))),"OLD",IF(AND(E3796&lt;&gt;"",E3796&lt;&gt;"!!!"),"NEW","")))</f>
        <v> </v>
      </c>
      <c r="G3796" s="23" t="str">
        <f>IF(OR(E3796="",E3796="!!!"),"",IF(OR(J3796=0,AND(J3796=1,K3796=1),AND(J3796=1,I3796="SBJ"),AND(J3796=1,I3796=0)),"?IN_FOCUS",IF(J3796&lt;=2,"?ACTIVATED",IF(J3796&lt;&gt;"","?FAMILIAR",IF(F3796="NEW",IF(ISNA(VLOOKUP(E3796,#REF!,1,FALSE())),"?TYPE_IDENTIFIABLE","?REFERENTIAL"),"_")))))</f>
        <v> </v>
      </c>
      <c r="H3796" s="24" t="str">
        <f>IF(J3796&lt;&gt;1,"",IF(I3796="SBJ","CB","?"))</f>
        <v> </v>
      </c>
      <c r="I3796" s="25" t="str">
        <f>IF(OR(E3796="",E3796="!!!",F3796="NEW"),"",INDEX(B3795:B$2,-1+SUMPRODUCT(MAX(ROW(E3795:E$2)*(E3796=E3795:E$2)))))</f>
        <v> </v>
      </c>
      <c r="J3796" s="25" t="str">
        <f>IF(OR(E3796="",E3796="!!!",F3796="NEW"),"",COUNTBLANK(OFFSET(A$1,,,SUMPRODUCT(MAX(ROW(E$2:E3796)*(E3796=E$2:E3796)))))-COUNTBLANK(OFFSET(A$1,,,SUMPRODUCT(MAX(ROW(E$1:E3795)*(E2=E$1:E3795))))))</f>
        <v> </v>
      </c>
      <c r="K3796" s="25" t="str">
        <f>IF(OR(E3796="",E3796="!!!",F3796="NEW"),"",INDEX(J$1:J3795,SUMPRODUCT(MAX(ROW(E$1:E3795)*(E3796=E$1:E3795)))))</f>
        <v> </v>
      </c>
      <c r="L3796" s="26"/>
    </row>
    <row r="3797" spans="1:12">
      <c r="A3797" s="20" t="s">
        <v>1761</v>
      </c>
      <c r="E3797" s="21">
        <f>IF(D3797="?OLD","!!!","")</f>
        <v/>
      </c>
      <c r="F3797" s="22" t="str">
        <f>IF(OR(E3797="",E3797="!!!"),"",IF(NOT(ISNA(VLOOKUP(E3797,E$1:E3796,1,FALSE()))),"OLD",IF(AND(E3797&lt;&gt;"",E3797&lt;&gt;"!!!"),"NEW","")))</f>
        <v> </v>
      </c>
      <c r="G3797" s="23" t="str">
        <f>IF(OR(E3797="",E3797="!!!"),"",IF(OR(J3797=0,AND(J3797=1,K3797=1),AND(J3797=1,I3797="SBJ"),AND(J3797=1,I3797=0)),"?IN_FOCUS",IF(J3797&lt;=2,"?ACTIVATED",IF(J3797&lt;&gt;"","?FAMILIAR",IF(F3797="NEW",IF(ISNA(VLOOKUP(E3797,#REF!,1,FALSE())),"?TYPE_IDENTIFIABLE","?REFERENTIAL"),"_")))))</f>
        <v> </v>
      </c>
      <c r="H3797" s="24" t="str">
        <f>IF(J3797&lt;&gt;1,"",IF(I3797="SBJ","CB","?"))</f>
        <v> </v>
      </c>
      <c r="I3797" s="25" t="str">
        <f>IF(OR(E3797="",E3797="!!!",F3797="NEW"),"",INDEX(B3796:B$2,-1+SUMPRODUCT(MAX(ROW(E3796:E$2)*(E3797=E3796:E$2)))))</f>
        <v> </v>
      </c>
      <c r="J3797" s="25" t="str">
        <f>IF(OR(E3797="",E3797="!!!",F3797="NEW"),"",COUNTBLANK(OFFSET(A$1,,,SUMPRODUCT(MAX(ROW(E$2:E3797)*(E3797=E$2:E3797)))))-COUNTBLANK(OFFSET(A$1,,,SUMPRODUCT(MAX(ROW(E$1:E3796)*(E2=E$1:E3796))))))</f>
        <v> </v>
      </c>
      <c r="K3797" s="25" t="str">
        <f>IF(OR(E3797="",E3797="!!!",F3797="NEW"),"",INDEX(J$1:J3796,SUMPRODUCT(MAX(ROW(E$1:E3796)*(E3797=E$1:E3796)))))</f>
        <v> </v>
      </c>
      <c r="L3797" s="26"/>
    </row>
    <row r="3798" spans="1:12">
      <c r="A3798" s="20" t="s">
        <v>223</v>
      </c>
      <c r="E3798" s="21">
        <f>IF(D3798="?OLD","!!!","")</f>
        <v/>
      </c>
      <c r="F3798" s="22" t="str">
        <f>IF(OR(E3798="",E3798="!!!"),"",IF(NOT(ISNA(VLOOKUP(E3798,E$1:E3797,1,FALSE()))),"OLD",IF(AND(E3798&lt;&gt;"",E3798&lt;&gt;"!!!"),"NEW","")))</f>
        <v> </v>
      </c>
      <c r="G3798" s="23" t="str">
        <f>IF(OR(E3798="",E3798="!!!"),"",IF(OR(J3798=0,AND(J3798=1,K3798=1),AND(J3798=1,I3798="SBJ"),AND(J3798=1,I3798=0)),"?IN_FOCUS",IF(J3798&lt;=2,"?ACTIVATED",IF(J3798&lt;&gt;"","?FAMILIAR",IF(F3798="NEW",IF(ISNA(VLOOKUP(E3798,#REF!,1,FALSE())),"?TYPE_IDENTIFIABLE","?REFERENTIAL"),"_")))))</f>
        <v> </v>
      </c>
      <c r="H3798" s="24" t="str">
        <f>IF(J3798&lt;&gt;1,"",IF(I3798="SBJ","CB","?"))</f>
        <v> </v>
      </c>
      <c r="I3798" s="25" t="str">
        <f>IF(OR(E3798="",E3798="!!!",F3798="NEW"),"",INDEX(B3797:B$2,-1+SUMPRODUCT(MAX(ROW(E3797:E$2)*(E3798=E3797:E$2)))))</f>
        <v> </v>
      </c>
      <c r="J3798" s="25" t="str">
        <f>IF(OR(E3798="",E3798="!!!",F3798="NEW"),"",COUNTBLANK(OFFSET(A$1,,,SUMPRODUCT(MAX(ROW(E$2:E3798)*(E3798=E$2:E3798)))))-COUNTBLANK(OFFSET(A$1,,,SUMPRODUCT(MAX(ROW(E$1:E3797)*(E2=E$1:E3797))))))</f>
        <v> </v>
      </c>
      <c r="K3798" s="25" t="str">
        <f>IF(OR(E3798="",E3798="!!!",F3798="NEW"),"",INDEX(J$1:J3797,SUMPRODUCT(MAX(ROW(E$1:E3797)*(E3798=E$1:E3797)))))</f>
        <v> </v>
      </c>
      <c r="L3798" s="26"/>
    </row>
    <row r="3799" spans="1:12">
      <c r="A3799" s="20" t="s">
        <v>1236</v>
      </c>
      <c r="E3799" s="21">
        <f>IF(D3799="?OLD","!!!","")</f>
        <v/>
      </c>
      <c r="F3799" s="22" t="str">
        <f>IF(OR(E3799="",E3799="!!!"),"",IF(NOT(ISNA(VLOOKUP(E3799,E$1:E3798,1,FALSE()))),"OLD",IF(AND(E3799&lt;&gt;"",E3799&lt;&gt;"!!!"),"NEW","")))</f>
        <v> </v>
      </c>
      <c r="G3799" s="23" t="str">
        <f>IF(OR(E3799="",E3799="!!!"),"",IF(OR(J3799=0,AND(J3799=1,K3799=1),AND(J3799=1,I3799="SBJ"),AND(J3799=1,I3799=0)),"?IN_FOCUS",IF(J3799&lt;=2,"?ACTIVATED",IF(J3799&lt;&gt;"","?FAMILIAR",IF(F3799="NEW",IF(ISNA(VLOOKUP(E3799,#REF!,1,FALSE())),"?TYPE_IDENTIFIABLE","?REFERENTIAL"),"_")))))</f>
        <v> </v>
      </c>
      <c r="H3799" s="24" t="str">
        <f>IF(J3799&lt;&gt;1,"",IF(I3799="SBJ","CB","?"))</f>
        <v> </v>
      </c>
      <c r="I3799" s="25" t="str">
        <f>IF(OR(E3799="",E3799="!!!",F3799="NEW"),"",INDEX(B3798:B$2,-1+SUMPRODUCT(MAX(ROW(E3798:E$2)*(E3799=E3798:E$2)))))</f>
        <v> </v>
      </c>
      <c r="J3799" s="25" t="str">
        <f>IF(OR(E3799="",E3799="!!!",F3799="NEW"),"",COUNTBLANK(OFFSET(A$1,,,SUMPRODUCT(MAX(ROW(E$2:E3799)*(E3799=E$2:E3799)))))-COUNTBLANK(OFFSET(A$1,,,SUMPRODUCT(MAX(ROW(E$1:E3798)*(E2=E$1:E3798))))))</f>
        <v> </v>
      </c>
      <c r="K3799" s="25" t="str">
        <f>IF(OR(E3799="",E3799="!!!",F3799="NEW"),"",INDEX(J$1:J3798,SUMPRODUCT(MAX(ROW(E$1:E3798)*(E3799=E$1:E3798)))))</f>
        <v> </v>
      </c>
      <c r="L3799" s="26"/>
    </row>
    <row r="3800" spans="1:12">
      <c r="A3800" s="20" t="s">
        <v>1080</v>
      </c>
      <c r="E3800" s="21">
        <f>IF(D3800="?OLD","!!!","")</f>
        <v/>
      </c>
      <c r="F3800" s="22" t="str">
        <f>IF(OR(E3800="",E3800="!!!"),"",IF(NOT(ISNA(VLOOKUP(E3800,E$1:E3799,1,FALSE()))),"OLD",IF(AND(E3800&lt;&gt;"",E3800&lt;&gt;"!!!"),"NEW","")))</f>
        <v> </v>
      </c>
      <c r="G3800" s="23" t="str">
        <f>IF(OR(E3800="",E3800="!!!"),"",IF(OR(J3800=0,AND(J3800=1,K3800=1),AND(J3800=1,I3800="SBJ"),AND(J3800=1,I3800=0)),"?IN_FOCUS",IF(J3800&lt;=2,"?ACTIVATED",IF(J3800&lt;&gt;"","?FAMILIAR",IF(F3800="NEW",IF(ISNA(VLOOKUP(E3800,#REF!,1,FALSE())),"?TYPE_IDENTIFIABLE","?REFERENTIAL"),"_")))))</f>
        <v> </v>
      </c>
      <c r="H3800" s="24" t="str">
        <f>IF(J3800&lt;&gt;1,"",IF(I3800="SBJ","CB","?"))</f>
        <v> </v>
      </c>
      <c r="I3800" s="25" t="str">
        <f>IF(OR(E3800="",E3800="!!!",F3800="NEW"),"",INDEX(B3799:B$2,-1+SUMPRODUCT(MAX(ROW(E3799:E$2)*(E3800=E3799:E$2)))))</f>
        <v> </v>
      </c>
      <c r="J3800" s="25" t="str">
        <f>IF(OR(E3800="",E3800="!!!",F3800="NEW"),"",COUNTBLANK(OFFSET(A$1,,,SUMPRODUCT(MAX(ROW(E$2:E3800)*(E3800=E$2:E3800)))))-COUNTBLANK(OFFSET(A$1,,,SUMPRODUCT(MAX(ROW(E$1:E3799)*(E2=E$1:E3799))))))</f>
        <v> </v>
      </c>
      <c r="K3800" s="25" t="str">
        <f>IF(OR(E3800="",E3800="!!!",F3800="NEW"),"",INDEX(J$1:J3799,SUMPRODUCT(MAX(ROW(E$1:E3799)*(E3800=E$1:E3799)))))</f>
        <v> </v>
      </c>
      <c r="L3800" s="26"/>
    </row>
    <row r="3801" spans="1:12">
      <c r="A3801" s="20"/>
    </row>
    <row r="3802" spans="1:12">
      <c r="A3802" s="20" t="s">
        <v>2275</v>
      </c>
    </row>
    <row r="3803" spans="1:12">
      <c r="A3803" s="20" t="s">
        <v>2276</v>
      </c>
      <c r="B3803" s="27" t="s">
        <v>1074</v>
      </c>
      <c r="C3803" s="27" t="s">
        <v>1129</v>
      </c>
      <c r="D3803" s="27" t="s">
        <v>1069</v>
      </c>
      <c r="E3803" s="21">
        <f>IF(D3803="?OLD","!!!","")</f>
        <v/>
      </c>
      <c r="F3803" s="22" t="str">
        <f>IF(OR(E3803="",E3803="!!!"),"",IF(NOT(ISNA(VLOOKUP(E3803,E$1:E3802,1,FALSE()))),"OLD",IF(AND(E3803&lt;&gt;"",E3803&lt;&gt;"!!!"),"NEW","")))</f>
        <v> </v>
      </c>
      <c r="G3803" s="23" t="str">
        <f>IF(OR(E3803="",E3803="!!!"),"",IF(OR(J3803=0,AND(J3803=1,K3803=1),AND(J3803=1,I3803="SBJ"),AND(J3803=1,I3803=0)),"?IN_FOCUS",IF(J3803&lt;=2,"?ACTIVATED",IF(J3803&lt;&gt;"","?FAMILIAR",IF(F3803="NEW",IF(ISNA(VLOOKUP(E3803,#REF!,1,FALSE())),"?TYPE_IDENTIFIABLE","?REFERENTIAL"),"_")))))</f>
        <v> </v>
      </c>
      <c r="H3803" s="24" t="str">
        <f>IF(J3803&lt;&gt;1,"",IF(I3803="SBJ","CB","?"))</f>
        <v> </v>
      </c>
      <c r="I3803" s="25" t="str">
        <f>IF(OR(E3803="",E3803="!!!",F3803="NEW"),"",INDEX(B3802:B$2,-1+SUMPRODUCT(MAX(ROW(E3802:E$2)*(E3803=E3802:E$2)))))</f>
        <v> </v>
      </c>
      <c r="J3803" s="25" t="str">
        <f>IF(OR(E3803="",E3803="!!!",F3803="NEW"),"",COUNTBLANK(OFFSET(A$1,,,SUMPRODUCT(MAX(ROW(E$2:E3803)*(E3803=E$2:E3803)))))-COUNTBLANK(OFFSET(A$1,,,SUMPRODUCT(MAX(ROW(E$1:E3802)*(E2=E$1:E3802))))))</f>
        <v> </v>
      </c>
      <c r="K3803" s="25" t="str">
        <f>IF(OR(E3803="",E3803="!!!",F3803="NEW"),"",INDEX(J$1:J3802,SUMPRODUCT(MAX(ROW(E$1:E3802)*(E3803=E$1:E3802)))))</f>
        <v> </v>
      </c>
      <c r="L3803" s="26"/>
    </row>
    <row r="3804" spans="1:12">
      <c r="A3804" s="20" t="s">
        <v>793</v>
      </c>
      <c r="B3804" s="27" t="s">
        <v>1074</v>
      </c>
      <c r="C3804" s="27" t="s">
        <v>1131</v>
      </c>
      <c r="D3804" s="27" t="s">
        <v>1069</v>
      </c>
      <c r="E3804" s="21">
        <f>IF(D3804="?OLD","!!!","")</f>
        <v/>
      </c>
      <c r="F3804" s="22" t="str">
        <f>IF(OR(E3804="",E3804="!!!"),"",IF(NOT(ISNA(VLOOKUP(E3804,E$1:E3803,1,FALSE()))),"OLD",IF(AND(E3804&lt;&gt;"",E3804&lt;&gt;"!!!"),"NEW","")))</f>
        <v> </v>
      </c>
      <c r="G3804" s="23" t="str">
        <f>IF(OR(E3804="",E3804="!!!"),"",IF(OR(J3804=0,AND(J3804=1,K3804=1),AND(J3804=1,I3804="SBJ"),AND(J3804=1,I3804=0)),"?IN_FOCUS",IF(J3804&lt;=2,"?ACTIVATED",IF(J3804&lt;&gt;"","?FAMILIAR",IF(F3804="NEW",IF(ISNA(VLOOKUP(E3804,#REF!,1,FALSE())),"?TYPE_IDENTIFIABLE","?REFERENTIAL"),"_")))))</f>
        <v> </v>
      </c>
      <c r="H3804" s="24" t="str">
        <f>IF(J3804&lt;&gt;1,"",IF(I3804="SBJ","CB","?"))</f>
        <v> </v>
      </c>
      <c r="I3804" s="25" t="str">
        <f>IF(OR(E3804="",E3804="!!!",F3804="NEW"),"",INDEX(B3803:B$2,-1+SUMPRODUCT(MAX(ROW(E3803:E$2)*(E3804=E3803:E$2)))))</f>
        <v> </v>
      </c>
      <c r="J3804" s="25" t="str">
        <f>IF(OR(E3804="",E3804="!!!",F3804="NEW"),"",COUNTBLANK(OFFSET(A$1,,,SUMPRODUCT(MAX(ROW(E$2:E3804)*(E3804=E$2:E3804)))))-COUNTBLANK(OFFSET(A$1,,,SUMPRODUCT(MAX(ROW(E$1:E3803)*(E2=E$1:E3803))))))</f>
        <v> </v>
      </c>
      <c r="K3804" s="25" t="str">
        <f>IF(OR(E3804="",E3804="!!!",F3804="NEW"),"",INDEX(J$1:J3803,SUMPRODUCT(MAX(ROW(E$1:E3803)*(E3804=E$1:E3803)))))</f>
        <v> </v>
      </c>
      <c r="L3804" s="26"/>
    </row>
    <row r="3805" spans="1:12">
      <c r="A3805" s="20" t="s">
        <v>1296</v>
      </c>
      <c r="E3805" s="21">
        <f>IF(D3805="?OLD","!!!","")</f>
        <v/>
      </c>
      <c r="F3805" s="22" t="str">
        <f>IF(OR(E3805="",E3805="!!!"),"",IF(NOT(ISNA(VLOOKUP(E3805,E$1:E3804,1,FALSE()))),"OLD",IF(AND(E3805&lt;&gt;"",E3805&lt;&gt;"!!!"),"NEW","")))</f>
        <v> </v>
      </c>
      <c r="G3805" s="23" t="str">
        <f>IF(OR(E3805="",E3805="!!!"),"",IF(OR(J3805=0,AND(J3805=1,K3805=1),AND(J3805=1,I3805="SBJ"),AND(J3805=1,I3805=0)),"?IN_FOCUS",IF(J3805&lt;=2,"?ACTIVATED",IF(J3805&lt;&gt;"","?FAMILIAR",IF(F3805="NEW",IF(ISNA(VLOOKUP(E3805,#REF!,1,FALSE())),"?TYPE_IDENTIFIABLE","?REFERENTIAL"),"_")))))</f>
        <v> </v>
      </c>
      <c r="H3805" s="24" t="str">
        <f>IF(J3805&lt;&gt;1,"",IF(I3805="SBJ","CB","?"))</f>
        <v> </v>
      </c>
      <c r="I3805" s="25" t="str">
        <f>IF(OR(E3805="",E3805="!!!",F3805="NEW"),"",INDEX(B3804:B$2,-1+SUMPRODUCT(MAX(ROW(E3804:E$2)*(E3805=E3804:E$2)))))</f>
        <v> </v>
      </c>
      <c r="J3805" s="25" t="str">
        <f>IF(OR(E3805="",E3805="!!!",F3805="NEW"),"",COUNTBLANK(OFFSET(A$1,,,SUMPRODUCT(MAX(ROW(E$2:E3805)*(E3805=E$2:E3805)))))-COUNTBLANK(OFFSET(A$1,,,SUMPRODUCT(MAX(ROW(E$1:E3804)*(E2=E$1:E3804))))))</f>
        <v> </v>
      </c>
      <c r="K3805" s="25" t="str">
        <f>IF(OR(E3805="",E3805="!!!",F3805="NEW"),"",INDEX(J$1:J3804,SUMPRODUCT(MAX(ROW(E$1:E3804)*(E3805=E$1:E3804)))))</f>
        <v> </v>
      </c>
      <c r="L3805" s="26"/>
    </row>
    <row r="3806" spans="1:12">
      <c r="A3806" s="20" t="s">
        <v>1351</v>
      </c>
      <c r="B3806" s="27" t="s">
        <v>1095</v>
      </c>
      <c r="C3806" s="27" t="s">
        <v>1072</v>
      </c>
      <c r="E3806" s="21">
        <f>IF(D3806="?OLD","!!!","")</f>
        <v/>
      </c>
      <c r="F3806" s="22" t="str">
        <f>IF(OR(E3806="",E3806="!!!"),"",IF(NOT(ISNA(VLOOKUP(E3806,E$1:E3805,1,FALSE()))),"OLD",IF(AND(E3806&lt;&gt;"",E3806&lt;&gt;"!!!"),"NEW","")))</f>
        <v> </v>
      </c>
      <c r="G3806" s="23" t="str">
        <f>IF(OR(E3806="",E3806="!!!"),"",IF(OR(J3806=0,AND(J3806=1,K3806=1),AND(J3806=1,I3806="SBJ"),AND(J3806=1,I3806=0)),"?IN_FOCUS",IF(J3806&lt;=2,"?ACTIVATED",IF(J3806&lt;&gt;"","?FAMILIAR",IF(F3806="NEW",IF(ISNA(VLOOKUP(E3806,#REF!,1,FALSE())),"?TYPE_IDENTIFIABLE","?REFERENTIAL"),"_")))))</f>
        <v> </v>
      </c>
      <c r="H3806" s="24" t="str">
        <f>IF(J3806&lt;&gt;1,"",IF(I3806="SBJ","CB","?"))</f>
        <v> </v>
      </c>
      <c r="I3806" s="25" t="str">
        <f>IF(OR(E3806="",E3806="!!!",F3806="NEW"),"",INDEX(B3805:B$2,-1+SUMPRODUCT(MAX(ROW(E3805:E$2)*(E3806=E3805:E$2)))))</f>
        <v> </v>
      </c>
      <c r="J3806" s="25" t="str">
        <f>IF(OR(E3806="",E3806="!!!",F3806="NEW"),"",COUNTBLANK(OFFSET(A$1,,,SUMPRODUCT(MAX(ROW(E$2:E3806)*(E3806=E$2:E3806)))))-COUNTBLANK(OFFSET(A$1,,,SUMPRODUCT(MAX(ROW(E$1:E3805)*(E2=E$1:E3805))))))</f>
        <v> </v>
      </c>
      <c r="K3806" s="25" t="str">
        <f>IF(OR(E3806="",E3806="!!!",F3806="NEW"),"",INDEX(J$1:J3805,SUMPRODUCT(MAX(ROW(E$1:E3805)*(E3806=E$1:E3805)))))</f>
        <v> </v>
      </c>
      <c r="L3806" s="26"/>
    </row>
    <row r="3807" spans="1:12">
      <c r="A3807" s="20" t="s">
        <v>2212</v>
      </c>
      <c r="B3807" s="27" t="s">
        <v>1090</v>
      </c>
      <c r="C3807" s="27" t="s">
        <v>1068</v>
      </c>
      <c r="D3807" s="27" t="s">
        <v>1069</v>
      </c>
      <c r="E3807" s="21">
        <f>IF(D3807="?OLD","!!!","")</f>
        <v/>
      </c>
      <c r="F3807" s="22" t="str">
        <f>IF(OR(E3807="",E3807="!!!"),"",IF(NOT(ISNA(VLOOKUP(E3807,E$1:E3806,1,FALSE()))),"OLD",IF(AND(E3807&lt;&gt;"",E3807&lt;&gt;"!!!"),"NEW","")))</f>
        <v> </v>
      </c>
      <c r="G3807" s="23" t="str">
        <f>IF(OR(E3807="",E3807="!!!"),"",IF(OR(J3807=0,AND(J3807=1,K3807=1),AND(J3807=1,I3807="SBJ"),AND(J3807=1,I3807=0)),"?IN_FOCUS",IF(J3807&lt;=2,"?ACTIVATED",IF(J3807&lt;&gt;"","?FAMILIAR",IF(F3807="NEW",IF(ISNA(VLOOKUP(E3807,#REF!,1,FALSE())),"?TYPE_IDENTIFIABLE","?REFERENTIAL"),"_")))))</f>
        <v> </v>
      </c>
      <c r="H3807" s="24" t="str">
        <f>IF(J3807&lt;&gt;1,"",IF(I3807="SBJ","CB","?"))</f>
        <v> </v>
      </c>
      <c r="I3807" s="25" t="str">
        <f>IF(OR(E3807="",E3807="!!!",F3807="NEW"),"",INDEX(B3806:B$2,-1+SUMPRODUCT(MAX(ROW(E3806:E$2)*(E3807=E3806:E$2)))))</f>
        <v> </v>
      </c>
      <c r="J3807" s="25" t="str">
        <f>IF(OR(E3807="",E3807="!!!",F3807="NEW"),"",COUNTBLANK(OFFSET(A$1,,,SUMPRODUCT(MAX(ROW(E$2:E3807)*(E3807=E$2:E3807)))))-COUNTBLANK(OFFSET(A$1,,,SUMPRODUCT(MAX(ROW(E$1:E3806)*(E2=E$1:E3806))))))</f>
        <v> </v>
      </c>
      <c r="K3807" s="25" t="str">
        <f>IF(OR(E3807="",E3807="!!!",F3807="NEW"),"",INDEX(J$1:J3806,SUMPRODUCT(MAX(ROW(E$1:E3806)*(E3807=E$1:E3806)))))</f>
        <v> </v>
      </c>
      <c r="L3807" s="26"/>
    </row>
    <row r="3808" spans="1:12">
      <c r="A3808" s="20" t="s">
        <v>2277</v>
      </c>
      <c r="E3808" s="21">
        <f>IF(D3808="?OLD","!!!","")</f>
        <v/>
      </c>
      <c r="F3808" s="22" t="str">
        <f>IF(OR(E3808="",E3808="!!!"),"",IF(NOT(ISNA(VLOOKUP(E3808,E$1:E3807,1,FALSE()))),"OLD",IF(AND(E3808&lt;&gt;"",E3808&lt;&gt;"!!!"),"NEW","")))</f>
        <v> </v>
      </c>
      <c r="G3808" s="23" t="str">
        <f>IF(OR(E3808="",E3808="!!!"),"",IF(OR(J3808=0,AND(J3808=1,K3808=1),AND(J3808=1,I3808="SBJ"),AND(J3808=1,I3808=0)),"?IN_FOCUS",IF(J3808&lt;=2,"?ACTIVATED",IF(J3808&lt;&gt;"","?FAMILIAR",IF(F3808="NEW",IF(ISNA(VLOOKUP(E3808,#REF!,1,FALSE())),"?TYPE_IDENTIFIABLE","?REFERENTIAL"),"_")))))</f>
        <v> </v>
      </c>
      <c r="H3808" s="24" t="str">
        <f>IF(J3808&lt;&gt;1,"",IF(I3808="SBJ","CB","?"))</f>
        <v> </v>
      </c>
      <c r="I3808" s="25" t="str">
        <f>IF(OR(E3808="",E3808="!!!",F3808="NEW"),"",INDEX(B3807:B$2,-1+SUMPRODUCT(MAX(ROW(E3807:E$2)*(E3808=E3807:E$2)))))</f>
        <v> </v>
      </c>
      <c r="J3808" s="25" t="str">
        <f>IF(OR(E3808="",E3808="!!!",F3808="NEW"),"",COUNTBLANK(OFFSET(A$1,,,SUMPRODUCT(MAX(ROW(E$2:E3808)*(E3808=E$2:E3808)))))-COUNTBLANK(OFFSET(A$1,,,SUMPRODUCT(MAX(ROW(E$1:E3807)*(E2=E$1:E3807))))))</f>
        <v> </v>
      </c>
      <c r="K3808" s="25" t="str">
        <f>IF(OR(E3808="",E3808="!!!",F3808="NEW"),"",INDEX(J$1:J3807,SUMPRODUCT(MAX(ROW(E$1:E3807)*(E3808=E$1:E3807)))))</f>
        <v> </v>
      </c>
      <c r="L3808" s="26"/>
    </row>
    <row r="3809" spans="1:12">
      <c r="A3809" s="20" t="s">
        <v>1078</v>
      </c>
      <c r="E3809" s="21">
        <f>IF(D3809="?OLD","!!!","")</f>
        <v/>
      </c>
      <c r="F3809" s="22" t="str">
        <f>IF(OR(E3809="",E3809="!!!"),"",IF(NOT(ISNA(VLOOKUP(E3809,E$1:E3808,1,FALSE()))),"OLD",IF(AND(E3809&lt;&gt;"",E3809&lt;&gt;"!!!"),"NEW","")))</f>
        <v> </v>
      </c>
      <c r="G3809" s="23" t="str">
        <f>IF(OR(E3809="",E3809="!!!"),"",IF(OR(J3809=0,AND(J3809=1,K3809=1),AND(J3809=1,I3809="SBJ"),AND(J3809=1,I3809=0)),"?IN_FOCUS",IF(J3809&lt;=2,"?ACTIVATED",IF(J3809&lt;&gt;"","?FAMILIAR",IF(F3809="NEW",IF(ISNA(VLOOKUP(E3809,#REF!,1,FALSE())),"?TYPE_IDENTIFIABLE","?REFERENTIAL"),"_")))))</f>
        <v> </v>
      </c>
      <c r="H3809" s="24" t="str">
        <f>IF(J3809&lt;&gt;1,"",IF(I3809="SBJ","CB","?"))</f>
        <v> </v>
      </c>
      <c r="I3809" s="25" t="str">
        <f>IF(OR(E3809="",E3809="!!!",F3809="NEW"),"",INDEX(B3808:B$2,-1+SUMPRODUCT(MAX(ROW(E3808:E$2)*(E3809=E3808:E$2)))))</f>
        <v> </v>
      </c>
      <c r="J3809" s="25" t="str">
        <f>IF(OR(E3809="",E3809="!!!",F3809="NEW"),"",COUNTBLANK(OFFSET(A$1,,,SUMPRODUCT(MAX(ROW(E$2:E3809)*(E3809=E$2:E3809)))))-COUNTBLANK(OFFSET(A$1,,,SUMPRODUCT(MAX(ROW(E$1:E3808)*(E2=E$1:E3808))))))</f>
        <v> </v>
      </c>
      <c r="K3809" s="25" t="str">
        <f>IF(OR(E3809="",E3809="!!!",F3809="NEW"),"",INDEX(J$1:J3808,SUMPRODUCT(MAX(ROW(E$1:E3808)*(E3809=E$1:E3808)))))</f>
        <v> </v>
      </c>
      <c r="L3809" s="26"/>
    </row>
    <row r="3810" spans="1:12">
      <c r="A3810" s="20" t="s">
        <v>1925</v>
      </c>
      <c r="B3810" s="27" t="s">
        <v>1106</v>
      </c>
      <c r="C3810" s="27" t="s">
        <v>1077</v>
      </c>
      <c r="E3810" s="21">
        <f>IF(D3810="?OLD","!!!","")</f>
        <v/>
      </c>
      <c r="F3810" s="22" t="str">
        <f>IF(OR(E3810="",E3810="!!!"),"",IF(NOT(ISNA(VLOOKUP(E3810,E$1:E3809,1,FALSE()))),"OLD",IF(AND(E3810&lt;&gt;"",E3810&lt;&gt;"!!!"),"NEW","")))</f>
        <v> </v>
      </c>
      <c r="G3810" s="23" t="str">
        <f>IF(OR(E3810="",E3810="!!!"),"",IF(OR(J3810=0,AND(J3810=1,K3810=1),AND(J3810=1,I3810="SBJ"),AND(J3810=1,I3810=0)),"?IN_FOCUS",IF(J3810&lt;=2,"?ACTIVATED",IF(J3810&lt;&gt;"","?FAMILIAR",IF(F3810="NEW",IF(ISNA(VLOOKUP(E3810,#REF!,1,FALSE())),"?TYPE_IDENTIFIABLE","?REFERENTIAL"),"_")))))</f>
        <v> </v>
      </c>
      <c r="H3810" s="24" t="str">
        <f>IF(J3810&lt;&gt;1,"",IF(I3810="SBJ","CB","?"))</f>
        <v> </v>
      </c>
      <c r="I3810" s="25" t="str">
        <f>IF(OR(E3810="",E3810="!!!",F3810="NEW"),"",INDEX(B3809:B$2,-1+SUMPRODUCT(MAX(ROW(E3809:E$2)*(E3810=E3809:E$2)))))</f>
        <v> </v>
      </c>
      <c r="J3810" s="25" t="str">
        <f>IF(OR(E3810="",E3810="!!!",F3810="NEW"),"",COUNTBLANK(OFFSET(A$1,,,SUMPRODUCT(MAX(ROW(E$2:E3810)*(E3810=E$2:E3810)))))-COUNTBLANK(OFFSET(A$1,,,SUMPRODUCT(MAX(ROW(E$1:E3809)*(E2=E$1:E3809))))))</f>
        <v> </v>
      </c>
      <c r="K3810" s="25" t="str">
        <f>IF(OR(E3810="",E3810="!!!",F3810="NEW"),"",INDEX(J$1:J3809,SUMPRODUCT(MAX(ROW(E$1:E3809)*(E3810=E$1:E3809)))))</f>
        <v> </v>
      </c>
      <c r="L3810" s="26"/>
    </row>
    <row r="3811" spans="1:12">
      <c r="A3811" s="20" t="s">
        <v>2278</v>
      </c>
      <c r="E3811" s="21">
        <f>IF(D3811="?OLD","!!!","")</f>
        <v/>
      </c>
      <c r="F3811" s="22" t="str">
        <f>IF(OR(E3811="",E3811="!!!"),"",IF(NOT(ISNA(VLOOKUP(E3811,E$1:E3810,1,FALSE()))),"OLD",IF(AND(E3811&lt;&gt;"",E3811&lt;&gt;"!!!"),"NEW","")))</f>
        <v> </v>
      </c>
      <c r="G3811" s="23" t="str">
        <f>IF(OR(E3811="",E3811="!!!"),"",IF(OR(J3811=0,AND(J3811=1,K3811=1),AND(J3811=1,I3811="SBJ"),AND(J3811=1,I3811=0)),"?IN_FOCUS",IF(J3811&lt;=2,"?ACTIVATED",IF(J3811&lt;&gt;"","?FAMILIAR",IF(F3811="NEW",IF(ISNA(VLOOKUP(E3811,#REF!,1,FALSE())),"?TYPE_IDENTIFIABLE","?REFERENTIAL"),"_")))))</f>
        <v> </v>
      </c>
      <c r="H3811" s="24" t="str">
        <f>IF(J3811&lt;&gt;1,"",IF(I3811="SBJ","CB","?"))</f>
        <v> </v>
      </c>
      <c r="I3811" s="25" t="str">
        <f>IF(OR(E3811="",E3811="!!!",F3811="NEW"),"",INDEX(B3810:B$2,-1+SUMPRODUCT(MAX(ROW(E3810:E$2)*(E3811=E3810:E$2)))))</f>
        <v> </v>
      </c>
      <c r="J3811" s="25" t="str">
        <f>IF(OR(E3811="",E3811="!!!",F3811="NEW"),"",COUNTBLANK(OFFSET(A$1,,,SUMPRODUCT(MAX(ROW(E$2:E3811)*(E3811=E$2:E3811)))))-COUNTBLANK(OFFSET(A$1,,,SUMPRODUCT(MAX(ROW(E$1:E3810)*(E2=E$1:E3810))))))</f>
        <v> </v>
      </c>
      <c r="K3811" s="25" t="str">
        <f>IF(OR(E3811="",E3811="!!!",F3811="NEW"),"",INDEX(J$1:J3810,SUMPRODUCT(MAX(ROW(E$1:E3810)*(E3811=E$1:E3810)))))</f>
        <v> </v>
      </c>
      <c r="L3811" s="26"/>
    </row>
    <row r="3812" spans="1:12">
      <c r="A3812" s="20" t="s">
        <v>12</v>
      </c>
      <c r="E3812" s="21">
        <f>IF(D3812="?OLD","!!!","")</f>
        <v/>
      </c>
      <c r="F3812" s="22" t="str">
        <f>IF(OR(E3812="",E3812="!!!"),"",IF(NOT(ISNA(VLOOKUP(E3812,E$1:E3811,1,FALSE()))),"OLD",IF(AND(E3812&lt;&gt;"",E3812&lt;&gt;"!!!"),"NEW","")))</f>
        <v> </v>
      </c>
      <c r="G3812" s="23" t="str">
        <f>IF(OR(E3812="",E3812="!!!"),"",IF(OR(J3812=0,AND(J3812=1,K3812=1),AND(J3812=1,I3812="SBJ"),AND(J3812=1,I3812=0)),"?IN_FOCUS",IF(J3812&lt;=2,"?ACTIVATED",IF(J3812&lt;&gt;"","?FAMILIAR",IF(F3812="NEW",IF(ISNA(VLOOKUP(E3812,#REF!,1,FALSE())),"?TYPE_IDENTIFIABLE","?REFERENTIAL"),"_")))))</f>
        <v> </v>
      </c>
      <c r="H3812" s="24" t="str">
        <f>IF(J3812&lt;&gt;1,"",IF(I3812="SBJ","CB","?"))</f>
        <v> </v>
      </c>
      <c r="I3812" s="25" t="str">
        <f>IF(OR(E3812="",E3812="!!!",F3812="NEW"),"",INDEX(B3811:B$2,-1+SUMPRODUCT(MAX(ROW(E3811:E$2)*(E3812=E3811:E$2)))))</f>
        <v> </v>
      </c>
      <c r="J3812" s="25" t="str">
        <f>IF(OR(E3812="",E3812="!!!",F3812="NEW"),"",COUNTBLANK(OFFSET(A$1,,,SUMPRODUCT(MAX(ROW(E$2:E3812)*(E3812=E$2:E3812)))))-COUNTBLANK(OFFSET(A$1,,,SUMPRODUCT(MAX(ROW(E$1:E3811)*(E2=E$1:E3811))))))</f>
        <v> </v>
      </c>
      <c r="K3812" s="25" t="str">
        <f>IF(OR(E3812="",E3812="!!!",F3812="NEW"),"",INDEX(J$1:J3811,SUMPRODUCT(MAX(ROW(E$1:E3811)*(E3812=E$1:E3811)))))</f>
        <v> </v>
      </c>
      <c r="L3812" s="26"/>
    </row>
    <row r="3813" spans="1:12">
      <c r="A3813" s="20" t="s">
        <v>1161</v>
      </c>
      <c r="E3813" s="21">
        <f>IF(D3813="?OLD","!!!","")</f>
        <v/>
      </c>
      <c r="F3813" s="22" t="str">
        <f>IF(OR(E3813="",E3813="!!!"),"",IF(NOT(ISNA(VLOOKUP(E3813,E$1:E3812,1,FALSE()))),"OLD",IF(AND(E3813&lt;&gt;"",E3813&lt;&gt;"!!!"),"NEW","")))</f>
        <v> </v>
      </c>
      <c r="G3813" s="23" t="str">
        <f>IF(OR(E3813="",E3813="!!!"),"",IF(OR(J3813=0,AND(J3813=1,K3813=1),AND(J3813=1,I3813="SBJ"),AND(J3813=1,I3813=0)),"?IN_FOCUS",IF(J3813&lt;=2,"?ACTIVATED",IF(J3813&lt;&gt;"","?FAMILIAR",IF(F3813="NEW",IF(ISNA(VLOOKUP(E3813,#REF!,1,FALSE())),"?TYPE_IDENTIFIABLE","?REFERENTIAL"),"_")))))</f>
        <v> </v>
      </c>
      <c r="H3813" s="24" t="str">
        <f>IF(J3813&lt;&gt;1,"",IF(I3813="SBJ","CB","?"))</f>
        <v> </v>
      </c>
      <c r="I3813" s="25" t="str">
        <f>IF(OR(E3813="",E3813="!!!",F3813="NEW"),"",INDEX(B3812:B$2,-1+SUMPRODUCT(MAX(ROW(E3812:E$2)*(E3813=E3812:E$2)))))</f>
        <v> </v>
      </c>
      <c r="J3813" s="25" t="str">
        <f>IF(OR(E3813="",E3813="!!!",F3813="NEW"),"",COUNTBLANK(OFFSET(A$1,,,SUMPRODUCT(MAX(ROW(E$2:E3813)*(E3813=E$2:E3813)))))-COUNTBLANK(OFFSET(A$1,,,SUMPRODUCT(MAX(ROW(E$1:E3812)*(E2=E$1:E3812))))))</f>
        <v> </v>
      </c>
      <c r="K3813" s="25" t="str">
        <f>IF(OR(E3813="",E3813="!!!",F3813="NEW"),"",INDEX(J$1:J3812,SUMPRODUCT(MAX(ROW(E$1:E3812)*(E3813=E$1:E3812)))))</f>
        <v> </v>
      </c>
      <c r="L3813" s="26"/>
    </row>
    <row r="3814" spans="1:12">
      <c r="A3814" s="20" t="s">
        <v>2279</v>
      </c>
      <c r="E3814" s="21">
        <f>IF(D3814="?OLD","!!!","")</f>
        <v/>
      </c>
      <c r="F3814" s="22" t="str">
        <f>IF(OR(E3814="",E3814="!!!"),"",IF(NOT(ISNA(VLOOKUP(E3814,E$1:E3813,1,FALSE()))),"OLD",IF(AND(E3814&lt;&gt;"",E3814&lt;&gt;"!!!"),"NEW","")))</f>
        <v> </v>
      </c>
      <c r="G3814" s="23" t="str">
        <f>IF(OR(E3814="",E3814="!!!"),"",IF(OR(J3814=0,AND(J3814=1,K3814=1),AND(J3814=1,I3814="SBJ"),AND(J3814=1,I3814=0)),"?IN_FOCUS",IF(J3814&lt;=2,"?ACTIVATED",IF(J3814&lt;&gt;"","?FAMILIAR",IF(F3814="NEW",IF(ISNA(VLOOKUP(E3814,#REF!,1,FALSE())),"?TYPE_IDENTIFIABLE","?REFERENTIAL"),"_")))))</f>
        <v> </v>
      </c>
      <c r="H3814" s="24" t="str">
        <f>IF(J3814&lt;&gt;1,"",IF(I3814="SBJ","CB","?"))</f>
        <v> </v>
      </c>
      <c r="I3814" s="25" t="str">
        <f>IF(OR(E3814="",E3814="!!!",F3814="NEW"),"",INDEX(B3813:B$2,-1+SUMPRODUCT(MAX(ROW(E3813:E$2)*(E3814=E3813:E$2)))))</f>
        <v> </v>
      </c>
      <c r="J3814" s="25" t="str">
        <f>IF(OR(E3814="",E3814="!!!",F3814="NEW"),"",COUNTBLANK(OFFSET(A$1,,,SUMPRODUCT(MAX(ROW(E$2:E3814)*(E3814=E$2:E3814)))))-COUNTBLANK(OFFSET(A$1,,,SUMPRODUCT(MAX(ROW(E$1:E3813)*(E2=E$1:E3813))))))</f>
        <v> </v>
      </c>
      <c r="K3814" s="25" t="str">
        <f>IF(OR(E3814="",E3814="!!!",F3814="NEW"),"",INDEX(J$1:J3813,SUMPRODUCT(MAX(ROW(E$1:E3813)*(E3814=E$1:E3813)))))</f>
        <v> </v>
      </c>
      <c r="L3814" s="26"/>
    </row>
    <row r="3815" spans="1:12">
      <c r="A3815" s="20" t="s">
        <v>1080</v>
      </c>
      <c r="E3815" s="21">
        <f>IF(D3815="?OLD","!!!","")</f>
        <v/>
      </c>
      <c r="F3815" s="22" t="str">
        <f>IF(OR(E3815="",E3815="!!!"),"",IF(NOT(ISNA(VLOOKUP(E3815,E$1:E3814,1,FALSE()))),"OLD",IF(AND(E3815&lt;&gt;"",E3815&lt;&gt;"!!!"),"NEW","")))</f>
        <v> </v>
      </c>
      <c r="G3815" s="23" t="str">
        <f>IF(OR(E3815="",E3815="!!!"),"",IF(OR(J3815=0,AND(J3815=1,K3815=1),AND(J3815=1,I3815="SBJ"),AND(J3815=1,I3815=0)),"?IN_FOCUS",IF(J3815&lt;=2,"?ACTIVATED",IF(J3815&lt;&gt;"","?FAMILIAR",IF(F3815="NEW",IF(ISNA(VLOOKUP(E3815,#REF!,1,FALSE())),"?TYPE_IDENTIFIABLE","?REFERENTIAL"),"_")))))</f>
        <v> </v>
      </c>
      <c r="H3815" s="24" t="str">
        <f>IF(J3815&lt;&gt;1,"",IF(I3815="SBJ","CB","?"))</f>
        <v> </v>
      </c>
      <c r="I3815" s="25" t="str">
        <f>IF(OR(E3815="",E3815="!!!",F3815="NEW"),"",INDEX(B3814:B$2,-1+SUMPRODUCT(MAX(ROW(E3814:E$2)*(E3815=E3814:E$2)))))</f>
        <v> </v>
      </c>
      <c r="J3815" s="25" t="str">
        <f>IF(OR(E3815="",E3815="!!!",F3815="NEW"),"",COUNTBLANK(OFFSET(A$1,,,SUMPRODUCT(MAX(ROW(E$2:E3815)*(E3815=E$2:E3815)))))-COUNTBLANK(OFFSET(A$1,,,SUMPRODUCT(MAX(ROW(E$1:E3814)*(E2=E$1:E3814))))))</f>
        <v> </v>
      </c>
      <c r="K3815" s="25" t="str">
        <f>IF(OR(E3815="",E3815="!!!",F3815="NEW"),"",INDEX(J$1:J3814,SUMPRODUCT(MAX(ROW(E$1:E3814)*(E3815=E$1:E3814)))))</f>
        <v> </v>
      </c>
      <c r="L3815" s="26"/>
    </row>
    <row r="3816" spans="1:12">
      <c r="A3816" s="20"/>
    </row>
    <row r="3817" spans="1:12">
      <c r="A3817" s="20" t="s">
        <v>2280</v>
      </c>
    </row>
    <row r="3818" spans="1:12">
      <c r="A3818" s="20" t="s">
        <v>1175</v>
      </c>
      <c r="B3818" s="27" t="s">
        <v>1067</v>
      </c>
      <c r="C3818" s="27" t="s">
        <v>1110</v>
      </c>
      <c r="D3818" s="27" t="s">
        <v>1069</v>
      </c>
      <c r="E3818" s="21">
        <f>IF(D3818="?OLD","!!!","")</f>
        <v/>
      </c>
      <c r="F3818" s="22" t="str">
        <f>IF(OR(E3818="",E3818="!!!"),"",IF(NOT(ISNA(VLOOKUP(E3818,E$1:E3817,1,FALSE()))),"OLD",IF(AND(E3818&lt;&gt;"",E3818&lt;&gt;"!!!"),"NEW","")))</f>
        <v> </v>
      </c>
      <c r="G3818" s="23" t="str">
        <f>IF(OR(E3818="",E3818="!!!"),"",IF(OR(J3818=0,AND(J3818=1,K3818=1),AND(J3818=1,I3818="SBJ"),AND(J3818=1,I3818=0)),"?IN_FOCUS",IF(J3818&lt;=2,"?ACTIVATED",IF(J3818&lt;&gt;"","?FAMILIAR",IF(F3818="NEW",IF(ISNA(VLOOKUP(E3818,#REF!,1,FALSE())),"?TYPE_IDENTIFIABLE","?REFERENTIAL"),"_")))))</f>
        <v> </v>
      </c>
      <c r="H3818" s="24" t="str">
        <f>IF(J3818&lt;&gt;1,"",IF(I3818="SBJ","CB","?"))</f>
        <v> </v>
      </c>
      <c r="I3818" s="25" t="str">
        <f>IF(OR(E3818="",E3818="!!!",F3818="NEW"),"",INDEX(B3817:B$2,-1+SUMPRODUCT(MAX(ROW(E3817:E$2)*(E3818=E3817:E$2)))))</f>
        <v> </v>
      </c>
      <c r="J3818" s="25" t="str">
        <f>IF(OR(E3818="",E3818="!!!",F3818="NEW"),"",COUNTBLANK(OFFSET(A$1,,,SUMPRODUCT(MAX(ROW(E$2:E3818)*(E3818=E$2:E3818)))))-COUNTBLANK(OFFSET(A$1,,,SUMPRODUCT(MAX(ROW(E$1:E3817)*(E2=E$1:E3817))))))</f>
        <v> </v>
      </c>
      <c r="K3818" s="25" t="str">
        <f>IF(OR(E3818="",E3818="!!!",F3818="NEW"),"",INDEX(J$1:J3817,SUMPRODUCT(MAX(ROW(E$1:E3817)*(E3818=E$1:E3817)))))</f>
        <v> </v>
      </c>
      <c r="L3818" s="26"/>
    </row>
    <row r="3819" spans="1:12">
      <c r="A3819" s="20" t="s">
        <v>1191</v>
      </c>
      <c r="E3819" s="21">
        <f>IF(D3819="?OLD","!!!","")</f>
        <v/>
      </c>
      <c r="F3819" s="22" t="str">
        <f>IF(OR(E3819="",E3819="!!!"),"",IF(NOT(ISNA(VLOOKUP(E3819,E$1:E3818,1,FALSE()))),"OLD",IF(AND(E3819&lt;&gt;"",E3819&lt;&gt;"!!!"),"NEW","")))</f>
        <v> </v>
      </c>
      <c r="G3819" s="23" t="str">
        <f>IF(OR(E3819="",E3819="!!!"),"",IF(OR(J3819=0,AND(J3819=1,K3819=1),AND(J3819=1,I3819="SBJ"),AND(J3819=1,I3819=0)),"?IN_FOCUS",IF(J3819&lt;=2,"?ACTIVATED",IF(J3819&lt;&gt;"","?FAMILIAR",IF(F3819="NEW",IF(ISNA(VLOOKUP(E3819,#REF!,1,FALSE())),"?TYPE_IDENTIFIABLE","?REFERENTIAL"),"_")))))</f>
        <v> </v>
      </c>
      <c r="H3819" s="24" t="str">
        <f>IF(J3819&lt;&gt;1,"",IF(I3819="SBJ","CB","?"))</f>
        <v> </v>
      </c>
      <c r="I3819" s="25" t="str">
        <f>IF(OR(E3819="",E3819="!!!",F3819="NEW"),"",INDEX(B3818:B$2,-1+SUMPRODUCT(MAX(ROW(E3818:E$2)*(E3819=E3818:E$2)))))</f>
        <v> </v>
      </c>
      <c r="J3819" s="25" t="str">
        <f>IF(OR(E3819="",E3819="!!!",F3819="NEW"),"",COUNTBLANK(OFFSET(A$1,,,SUMPRODUCT(MAX(ROW(E$2:E3819)*(E3819=E$2:E3819)))))-COUNTBLANK(OFFSET(A$1,,,SUMPRODUCT(MAX(ROW(E$1:E3818)*(E2=E$1:E3818))))))</f>
        <v> </v>
      </c>
      <c r="K3819" s="25" t="str">
        <f>IF(OR(E3819="",E3819="!!!",F3819="NEW"),"",INDEX(J$1:J3818,SUMPRODUCT(MAX(ROW(E$1:E3818)*(E3819=E$1:E3818)))))</f>
        <v> </v>
      </c>
      <c r="L3819" s="26"/>
    </row>
    <row r="3820" spans="1:12">
      <c r="A3820" s="20" t="s">
        <v>1155</v>
      </c>
      <c r="E3820" s="21">
        <f>IF(D3820="?OLD","!!!","")</f>
        <v/>
      </c>
      <c r="F3820" s="22" t="str">
        <f>IF(OR(E3820="",E3820="!!!"),"",IF(NOT(ISNA(VLOOKUP(E3820,E$1:E3819,1,FALSE()))),"OLD",IF(AND(E3820&lt;&gt;"",E3820&lt;&gt;"!!!"),"NEW","")))</f>
        <v> </v>
      </c>
      <c r="G3820" s="23" t="str">
        <f>IF(OR(E3820="",E3820="!!!"),"",IF(OR(J3820=0,AND(J3820=1,K3820=1),AND(J3820=1,I3820="SBJ"),AND(J3820=1,I3820=0)),"?IN_FOCUS",IF(J3820&lt;=2,"?ACTIVATED",IF(J3820&lt;&gt;"","?FAMILIAR",IF(F3820="NEW",IF(ISNA(VLOOKUP(E3820,#REF!,1,FALSE())),"?TYPE_IDENTIFIABLE","?REFERENTIAL"),"_")))))</f>
        <v> </v>
      </c>
      <c r="H3820" s="24" t="str">
        <f>IF(J3820&lt;&gt;1,"",IF(I3820="SBJ","CB","?"))</f>
        <v> </v>
      </c>
      <c r="I3820" s="25" t="str">
        <f>IF(OR(E3820="",E3820="!!!",F3820="NEW"),"",INDEX(B3819:B$2,-1+SUMPRODUCT(MAX(ROW(E3819:E$2)*(E3820=E3819:E$2)))))</f>
        <v> </v>
      </c>
      <c r="J3820" s="25" t="str">
        <f>IF(OR(E3820="",E3820="!!!",F3820="NEW"),"",COUNTBLANK(OFFSET(A$1,,,SUMPRODUCT(MAX(ROW(E$2:E3820)*(E3820=E$2:E3820)))))-COUNTBLANK(OFFSET(A$1,,,SUMPRODUCT(MAX(ROW(E$1:E3819)*(E2=E$1:E3819))))))</f>
        <v> </v>
      </c>
      <c r="K3820" s="25" t="str">
        <f>IF(OR(E3820="",E3820="!!!",F3820="NEW"),"",INDEX(J$1:J3819,SUMPRODUCT(MAX(ROW(E$1:E3819)*(E3820=E$1:E3819)))))</f>
        <v> </v>
      </c>
      <c r="L3820" s="26"/>
    </row>
    <row r="3821" spans="1:12">
      <c r="A3821" s="20" t="s">
        <v>1777</v>
      </c>
      <c r="E3821" s="21">
        <f>IF(D3821="?OLD","!!!","")</f>
        <v/>
      </c>
      <c r="F3821" s="22" t="str">
        <f>IF(OR(E3821="",E3821="!!!"),"",IF(NOT(ISNA(VLOOKUP(E3821,E$1:E3820,1,FALSE()))),"OLD",IF(AND(E3821&lt;&gt;"",E3821&lt;&gt;"!!!"),"NEW","")))</f>
        <v> </v>
      </c>
      <c r="G3821" s="23" t="str">
        <f>IF(OR(E3821="",E3821="!!!"),"",IF(OR(J3821=0,AND(J3821=1,K3821=1),AND(J3821=1,I3821="SBJ"),AND(J3821=1,I3821=0)),"?IN_FOCUS",IF(J3821&lt;=2,"?ACTIVATED",IF(J3821&lt;&gt;"","?FAMILIAR",IF(F3821="NEW",IF(ISNA(VLOOKUP(E3821,#REF!,1,FALSE())),"?TYPE_IDENTIFIABLE","?REFERENTIAL"),"_")))))</f>
        <v> </v>
      </c>
      <c r="H3821" s="24" t="str">
        <f>IF(J3821&lt;&gt;1,"",IF(I3821="SBJ","CB","?"))</f>
        <v> </v>
      </c>
      <c r="I3821" s="25" t="str">
        <f>IF(OR(E3821="",E3821="!!!",F3821="NEW"),"",INDEX(B3820:B$2,-1+SUMPRODUCT(MAX(ROW(E3820:E$2)*(E3821=E3820:E$2)))))</f>
        <v> </v>
      </c>
      <c r="J3821" s="25" t="str">
        <f>IF(OR(E3821="",E3821="!!!",F3821="NEW"),"",COUNTBLANK(OFFSET(A$1,,,SUMPRODUCT(MAX(ROW(E$2:E3821)*(E3821=E$2:E3821)))))-COUNTBLANK(OFFSET(A$1,,,SUMPRODUCT(MAX(ROW(E$1:E3820)*(E2=E$1:E3820))))))</f>
        <v> </v>
      </c>
      <c r="K3821" s="25" t="str">
        <f>IF(OR(E3821="",E3821="!!!",F3821="NEW"),"",INDEX(J$1:J3820,SUMPRODUCT(MAX(ROW(E$1:E3820)*(E3821=E$1:E3820)))))</f>
        <v> </v>
      </c>
      <c r="L3821" s="26"/>
    </row>
    <row r="3822" spans="1:12">
      <c r="A3822" s="20" t="s">
        <v>1308</v>
      </c>
      <c r="E3822" s="21">
        <f>IF(D3822="?OLD","!!!","")</f>
        <v/>
      </c>
      <c r="F3822" s="22" t="str">
        <f>IF(OR(E3822="",E3822="!!!"),"",IF(NOT(ISNA(VLOOKUP(E3822,E$1:E3821,1,FALSE()))),"OLD",IF(AND(E3822&lt;&gt;"",E3822&lt;&gt;"!!!"),"NEW","")))</f>
        <v> </v>
      </c>
      <c r="G3822" s="23" t="str">
        <f>IF(OR(E3822="",E3822="!!!"),"",IF(OR(J3822=0,AND(J3822=1,K3822=1),AND(J3822=1,I3822="SBJ"),AND(J3822=1,I3822=0)),"?IN_FOCUS",IF(J3822&lt;=2,"?ACTIVATED",IF(J3822&lt;&gt;"","?FAMILIAR",IF(F3822="NEW",IF(ISNA(VLOOKUP(E3822,#REF!,1,FALSE())),"?TYPE_IDENTIFIABLE","?REFERENTIAL"),"_")))))</f>
        <v> </v>
      </c>
      <c r="H3822" s="24" t="str">
        <f>IF(J3822&lt;&gt;1,"",IF(I3822="SBJ","CB","?"))</f>
        <v> </v>
      </c>
      <c r="I3822" s="25" t="str">
        <f>IF(OR(E3822="",E3822="!!!",F3822="NEW"),"",INDEX(B3821:B$2,-1+SUMPRODUCT(MAX(ROW(E3821:E$2)*(E3822=E3821:E$2)))))</f>
        <v> </v>
      </c>
      <c r="J3822" s="25" t="str">
        <f>IF(OR(E3822="",E3822="!!!",F3822="NEW"),"",COUNTBLANK(OFFSET(A$1,,,SUMPRODUCT(MAX(ROW(E$2:E3822)*(E3822=E$2:E3822)))))-COUNTBLANK(OFFSET(A$1,,,SUMPRODUCT(MAX(ROW(E$1:E3821)*(E2=E$1:E3821))))))</f>
        <v> </v>
      </c>
      <c r="K3822" s="25" t="str">
        <f>IF(OR(E3822="",E3822="!!!",F3822="NEW"),"",INDEX(J$1:J3821,SUMPRODUCT(MAX(ROW(E$1:E3821)*(E3822=E$1:E3821)))))</f>
        <v> </v>
      </c>
      <c r="L3822" s="26"/>
    </row>
    <row r="3823" spans="1:12">
      <c r="A3823" s="20"/>
    </row>
    <row r="3824" spans="1:12">
      <c r="A3824" s="20" t="s">
        <v>2281</v>
      </c>
    </row>
    <row r="3825" spans="1:12">
      <c r="A3825" s="20" t="s">
        <v>1436</v>
      </c>
      <c r="E3825" s="21">
        <f>IF(D3825="?OLD","!!!","")</f>
        <v/>
      </c>
      <c r="F3825" s="22" t="str">
        <f>IF(OR(E3825="",E3825="!!!"),"",IF(NOT(ISNA(VLOOKUP(E3825,E$1:E3824,1,FALSE()))),"OLD",IF(AND(E3825&lt;&gt;"",E3825&lt;&gt;"!!!"),"NEW","")))</f>
        <v> </v>
      </c>
      <c r="G3825" s="23" t="str">
        <f>IF(OR(E3825="",E3825="!!!"),"",IF(OR(J3825=0,AND(J3825=1,K3825=1),AND(J3825=1,I3825="SBJ"),AND(J3825=1,I3825=0)),"?IN_FOCUS",IF(J3825&lt;=2,"?ACTIVATED",IF(J3825&lt;&gt;"","?FAMILIAR",IF(F3825="NEW",IF(ISNA(VLOOKUP(E3825,#REF!,1,FALSE())),"?TYPE_IDENTIFIABLE","?REFERENTIAL"),"_")))))</f>
        <v> </v>
      </c>
      <c r="H3825" s="24" t="str">
        <f>IF(J3825&lt;&gt;1,"",IF(I3825="SBJ","CB","?"))</f>
        <v> </v>
      </c>
      <c r="I3825" s="25" t="str">
        <f>IF(OR(E3825="",E3825="!!!",F3825="NEW"),"",INDEX(B3824:B$2,-1+SUMPRODUCT(MAX(ROW(E3824:E$2)*(E3825=E3824:E$2)))))</f>
        <v> </v>
      </c>
      <c r="J3825" s="25" t="str">
        <f>IF(OR(E3825="",E3825="!!!",F3825="NEW"),"",COUNTBLANK(OFFSET(A$1,,,SUMPRODUCT(MAX(ROW(E$2:E3825)*(E3825=E$2:E3825)))))-COUNTBLANK(OFFSET(A$1,,,SUMPRODUCT(MAX(ROW(E$1:E3824)*(E2=E$1:E3824))))))</f>
        <v> </v>
      </c>
      <c r="K3825" s="25" t="str">
        <f>IF(OR(E3825="",E3825="!!!",F3825="NEW"),"",INDEX(J$1:J3824,SUMPRODUCT(MAX(ROW(E$1:E3824)*(E3825=E$1:E3824)))))</f>
        <v> </v>
      </c>
      <c r="L3825" s="26"/>
    </row>
    <row r="3826" spans="1:12">
      <c r="A3826" s="20" t="s">
        <v>1351</v>
      </c>
      <c r="B3826" s="27" t="s">
        <v>1095</v>
      </c>
      <c r="C3826" s="27" t="s">
        <v>1072</v>
      </c>
      <c r="E3826" s="21">
        <f>IF(D3826="?OLD","!!!","")</f>
        <v/>
      </c>
      <c r="F3826" s="22" t="str">
        <f>IF(OR(E3826="",E3826="!!!"),"",IF(NOT(ISNA(VLOOKUP(E3826,E$1:E3825,1,FALSE()))),"OLD",IF(AND(E3826&lt;&gt;"",E3826&lt;&gt;"!!!"),"NEW","")))</f>
        <v> </v>
      </c>
      <c r="G3826" s="23" t="str">
        <f>IF(OR(E3826="",E3826="!!!"),"",IF(OR(J3826=0,AND(J3826=1,K3826=1),AND(J3826=1,I3826="SBJ"),AND(J3826=1,I3826=0)),"?IN_FOCUS",IF(J3826&lt;=2,"?ACTIVATED",IF(J3826&lt;&gt;"","?FAMILIAR",IF(F3826="NEW",IF(ISNA(VLOOKUP(E3826,#REF!,1,FALSE())),"?TYPE_IDENTIFIABLE","?REFERENTIAL"),"_")))))</f>
        <v> </v>
      </c>
      <c r="H3826" s="24" t="str">
        <f>IF(J3826&lt;&gt;1,"",IF(I3826="SBJ","CB","?"))</f>
        <v> </v>
      </c>
      <c r="I3826" s="25" t="str">
        <f>IF(OR(E3826="",E3826="!!!",F3826="NEW"),"",INDEX(B3825:B$2,-1+SUMPRODUCT(MAX(ROW(E3825:E$2)*(E3826=E3825:E$2)))))</f>
        <v> </v>
      </c>
      <c r="J3826" s="25" t="str">
        <f>IF(OR(E3826="",E3826="!!!",F3826="NEW"),"",COUNTBLANK(OFFSET(A$1,,,SUMPRODUCT(MAX(ROW(E$2:E3826)*(E3826=E$2:E3826)))))-COUNTBLANK(OFFSET(A$1,,,SUMPRODUCT(MAX(ROW(E$1:E3825)*(E2=E$1:E3825))))))</f>
        <v> </v>
      </c>
      <c r="K3826" s="25" t="str">
        <f>IF(OR(E3826="",E3826="!!!",F3826="NEW"),"",INDEX(J$1:J3825,SUMPRODUCT(MAX(ROW(E$1:E3825)*(E3826=E$1:E3825)))))</f>
        <v> </v>
      </c>
      <c r="L3826" s="26"/>
    </row>
    <row r="3827" spans="1:12">
      <c r="A3827" s="20" t="s">
        <v>1301</v>
      </c>
      <c r="E3827" s="21">
        <f>IF(D3827="?OLD","!!!","")</f>
        <v/>
      </c>
      <c r="F3827" s="22" t="str">
        <f>IF(OR(E3827="",E3827="!!!"),"",IF(NOT(ISNA(VLOOKUP(E3827,E$1:E3826,1,FALSE()))),"OLD",IF(AND(E3827&lt;&gt;"",E3827&lt;&gt;"!!!"),"NEW","")))</f>
        <v> </v>
      </c>
      <c r="G3827" s="23" t="str">
        <f>IF(OR(E3827="",E3827="!!!"),"",IF(OR(J3827=0,AND(J3827=1,K3827=1),AND(J3827=1,I3827="SBJ"),AND(J3827=1,I3827=0)),"?IN_FOCUS",IF(J3827&lt;=2,"?ACTIVATED",IF(J3827&lt;&gt;"","?FAMILIAR",IF(F3827="NEW",IF(ISNA(VLOOKUP(E3827,#REF!,1,FALSE())),"?TYPE_IDENTIFIABLE","?REFERENTIAL"),"_")))))</f>
        <v> </v>
      </c>
      <c r="H3827" s="24" t="str">
        <f>IF(J3827&lt;&gt;1,"",IF(I3827="SBJ","CB","?"))</f>
        <v> </v>
      </c>
      <c r="I3827" s="25" t="str">
        <f>IF(OR(E3827="",E3827="!!!",F3827="NEW"),"",INDEX(B3826:B$2,-1+SUMPRODUCT(MAX(ROW(E3826:E$2)*(E3827=E3826:E$2)))))</f>
        <v> </v>
      </c>
      <c r="J3827" s="25" t="str">
        <f>IF(OR(E3827="",E3827="!!!",F3827="NEW"),"",COUNTBLANK(OFFSET(A$1,,,SUMPRODUCT(MAX(ROW(E$2:E3827)*(E3827=E$2:E3827)))))-COUNTBLANK(OFFSET(A$1,,,SUMPRODUCT(MAX(ROW(E$1:E3826)*(E2=E$1:E3826))))))</f>
        <v> </v>
      </c>
      <c r="K3827" s="25" t="str">
        <f>IF(OR(E3827="",E3827="!!!",F3827="NEW"),"",INDEX(J$1:J3826,SUMPRODUCT(MAX(ROW(E$1:E3826)*(E3827=E$1:E3826)))))</f>
        <v> </v>
      </c>
      <c r="L3827" s="26"/>
    </row>
    <row r="3828" spans="1:12">
      <c r="A3828" s="20" t="s">
        <v>1193</v>
      </c>
      <c r="E3828" s="21">
        <f>IF(D3828="?OLD","!!!","")</f>
        <v/>
      </c>
      <c r="F3828" s="22" t="str">
        <f>IF(OR(E3828="",E3828="!!!"),"",IF(NOT(ISNA(VLOOKUP(E3828,E$1:E3827,1,FALSE()))),"OLD",IF(AND(E3828&lt;&gt;"",E3828&lt;&gt;"!!!"),"NEW","")))</f>
        <v> </v>
      </c>
      <c r="G3828" s="23" t="str">
        <f>IF(OR(E3828="",E3828="!!!"),"",IF(OR(J3828=0,AND(J3828=1,K3828=1),AND(J3828=1,I3828="SBJ"),AND(J3828=1,I3828=0)),"?IN_FOCUS",IF(J3828&lt;=2,"?ACTIVATED",IF(J3828&lt;&gt;"","?FAMILIAR",IF(F3828="NEW",IF(ISNA(VLOOKUP(E3828,#REF!,1,FALSE())),"?TYPE_IDENTIFIABLE","?REFERENTIAL"),"_")))))</f>
        <v> </v>
      </c>
      <c r="H3828" s="24" t="str">
        <f>IF(J3828&lt;&gt;1,"",IF(I3828="SBJ","CB","?"))</f>
        <v> </v>
      </c>
      <c r="I3828" s="25" t="str">
        <f>IF(OR(E3828="",E3828="!!!",F3828="NEW"),"",INDEX(B3827:B$2,-1+SUMPRODUCT(MAX(ROW(E3827:E$2)*(E3828=E3827:E$2)))))</f>
        <v> </v>
      </c>
      <c r="J3828" s="25" t="str">
        <f>IF(OR(E3828="",E3828="!!!",F3828="NEW"),"",COUNTBLANK(OFFSET(A$1,,,SUMPRODUCT(MAX(ROW(E$2:E3828)*(E3828=E$2:E3828)))))-COUNTBLANK(OFFSET(A$1,,,SUMPRODUCT(MAX(ROW(E$1:E3827)*(E2=E$1:E3827))))))</f>
        <v> </v>
      </c>
      <c r="K3828" s="25" t="str">
        <f>IF(OR(E3828="",E3828="!!!",F3828="NEW"),"",INDEX(J$1:J3827,SUMPRODUCT(MAX(ROW(E$1:E3827)*(E3828=E$1:E3827)))))</f>
        <v> </v>
      </c>
      <c r="L3828" s="26"/>
    </row>
    <row r="3829" spans="1:12">
      <c r="A3829" s="20" t="s">
        <v>2282</v>
      </c>
      <c r="E3829" s="21">
        <f>IF(D3829="?OLD","!!!","")</f>
        <v/>
      </c>
      <c r="F3829" s="22" t="str">
        <f>IF(OR(E3829="",E3829="!!!"),"",IF(NOT(ISNA(VLOOKUP(E3829,E$1:E3828,1,FALSE()))),"OLD",IF(AND(E3829&lt;&gt;"",E3829&lt;&gt;"!!!"),"NEW","")))</f>
        <v> </v>
      </c>
      <c r="G3829" s="23" t="str">
        <f>IF(OR(E3829="",E3829="!!!"),"",IF(OR(J3829=0,AND(J3829=1,K3829=1),AND(J3829=1,I3829="SBJ"),AND(J3829=1,I3829=0)),"?IN_FOCUS",IF(J3829&lt;=2,"?ACTIVATED",IF(J3829&lt;&gt;"","?FAMILIAR",IF(F3829="NEW",IF(ISNA(VLOOKUP(E3829,#REF!,1,FALSE())),"?TYPE_IDENTIFIABLE","?REFERENTIAL"),"_")))))</f>
        <v> </v>
      </c>
      <c r="H3829" s="24" t="str">
        <f>IF(J3829&lt;&gt;1,"",IF(I3829="SBJ","CB","?"))</f>
        <v> </v>
      </c>
      <c r="I3829" s="25" t="str">
        <f>IF(OR(E3829="",E3829="!!!",F3829="NEW"),"",INDEX(B3828:B$2,-1+SUMPRODUCT(MAX(ROW(E3828:E$2)*(E3829=E3828:E$2)))))</f>
        <v> </v>
      </c>
      <c r="J3829" s="25" t="str">
        <f>IF(OR(E3829="",E3829="!!!",F3829="NEW"),"",COUNTBLANK(OFFSET(A$1,,,SUMPRODUCT(MAX(ROW(E$2:E3829)*(E3829=E$2:E3829)))))-COUNTBLANK(OFFSET(A$1,,,SUMPRODUCT(MAX(ROW(E$1:E3828)*(E2=E$1:E3828))))))</f>
        <v> </v>
      </c>
      <c r="K3829" s="25" t="str">
        <f>IF(OR(E3829="",E3829="!!!",F3829="NEW"),"",INDEX(J$1:J3828,SUMPRODUCT(MAX(ROW(E$1:E3828)*(E3829=E$1:E3828)))))</f>
        <v> </v>
      </c>
      <c r="L3829" s="26"/>
    </row>
    <row r="3830" spans="1:12">
      <c r="A3830" s="20" t="s">
        <v>1794</v>
      </c>
      <c r="B3830" s="27" t="s">
        <v>1090</v>
      </c>
      <c r="C3830" s="27" t="s">
        <v>1077</v>
      </c>
      <c r="E3830" s="21">
        <f>IF(D3830="?OLD","!!!","")</f>
        <v/>
      </c>
      <c r="F3830" s="22" t="str">
        <f>IF(OR(E3830="",E3830="!!!"),"",IF(NOT(ISNA(VLOOKUP(E3830,E$1:E3829,1,FALSE()))),"OLD",IF(AND(E3830&lt;&gt;"",E3830&lt;&gt;"!!!"),"NEW","")))</f>
        <v> </v>
      </c>
      <c r="G3830" s="23" t="str">
        <f>IF(OR(E3830="",E3830="!!!"),"",IF(OR(J3830=0,AND(J3830=1,K3830=1),AND(J3830=1,I3830="SBJ"),AND(J3830=1,I3830=0)),"?IN_FOCUS",IF(J3830&lt;=2,"?ACTIVATED",IF(J3830&lt;&gt;"","?FAMILIAR",IF(F3830="NEW",IF(ISNA(VLOOKUP(E3830,#REF!,1,FALSE())),"?TYPE_IDENTIFIABLE","?REFERENTIAL"),"_")))))</f>
        <v> </v>
      </c>
      <c r="H3830" s="24" t="str">
        <f>IF(J3830&lt;&gt;1,"",IF(I3830="SBJ","CB","?"))</f>
        <v> </v>
      </c>
      <c r="I3830" s="25" t="str">
        <f>IF(OR(E3830="",E3830="!!!",F3830="NEW"),"",INDEX(B3829:B$2,-1+SUMPRODUCT(MAX(ROW(E3829:E$2)*(E3830=E3829:E$2)))))</f>
        <v> </v>
      </c>
      <c r="J3830" s="25" t="str">
        <f>IF(OR(E3830="",E3830="!!!",F3830="NEW"),"",COUNTBLANK(OFFSET(A$1,,,SUMPRODUCT(MAX(ROW(E$2:E3830)*(E3830=E$2:E3830)))))-COUNTBLANK(OFFSET(A$1,,,SUMPRODUCT(MAX(ROW(E$1:E3829)*(E2=E$1:E3829))))))</f>
        <v> </v>
      </c>
      <c r="K3830" s="25" t="str">
        <f>IF(OR(E3830="",E3830="!!!",F3830="NEW"),"",INDEX(J$1:J3829,SUMPRODUCT(MAX(ROW(E$1:E3829)*(E3830=E$1:E3829)))))</f>
        <v> </v>
      </c>
      <c r="L3830" s="26"/>
    </row>
    <row r="3831" spans="1:12">
      <c r="A3831" s="20" t="s">
        <v>1268</v>
      </c>
      <c r="E3831" s="21">
        <f>IF(D3831="?OLD","!!!","")</f>
        <v/>
      </c>
      <c r="F3831" s="22" t="str">
        <f>IF(OR(E3831="",E3831="!!!"),"",IF(NOT(ISNA(VLOOKUP(E3831,E$1:E3830,1,FALSE()))),"OLD",IF(AND(E3831&lt;&gt;"",E3831&lt;&gt;"!!!"),"NEW","")))</f>
        <v> </v>
      </c>
      <c r="G3831" s="23" t="str">
        <f>IF(OR(E3831="",E3831="!!!"),"",IF(OR(J3831=0,AND(J3831=1,K3831=1),AND(J3831=1,I3831="SBJ"),AND(J3831=1,I3831=0)),"?IN_FOCUS",IF(J3831&lt;=2,"?ACTIVATED",IF(J3831&lt;&gt;"","?FAMILIAR",IF(F3831="NEW",IF(ISNA(VLOOKUP(E3831,#REF!,1,FALSE())),"?TYPE_IDENTIFIABLE","?REFERENTIAL"),"_")))))</f>
        <v> </v>
      </c>
      <c r="H3831" s="24" t="str">
        <f>IF(J3831&lt;&gt;1,"",IF(I3831="SBJ","CB","?"))</f>
        <v> </v>
      </c>
      <c r="I3831" s="25" t="str">
        <f>IF(OR(E3831="",E3831="!!!",F3831="NEW"),"",INDEX(B3830:B$2,-1+SUMPRODUCT(MAX(ROW(E3830:E$2)*(E3831=E3830:E$2)))))</f>
        <v> </v>
      </c>
      <c r="J3831" s="25" t="str">
        <f>IF(OR(E3831="",E3831="!!!",F3831="NEW"),"",COUNTBLANK(OFFSET(A$1,,,SUMPRODUCT(MAX(ROW(E$2:E3831)*(E3831=E$2:E3831)))))-COUNTBLANK(OFFSET(A$1,,,SUMPRODUCT(MAX(ROW(E$1:E3830)*(E2=E$1:E3830))))))</f>
        <v> </v>
      </c>
      <c r="K3831" s="25" t="str">
        <f>IF(OR(E3831="",E3831="!!!",F3831="NEW"),"",INDEX(J$1:J3830,SUMPRODUCT(MAX(ROW(E$1:E3830)*(E3831=E$1:E3830)))))</f>
        <v> </v>
      </c>
      <c r="L3831" s="26"/>
    </row>
    <row r="3832" spans="1:12">
      <c r="A3832" s="20" t="s">
        <v>1087</v>
      </c>
      <c r="E3832" s="21">
        <f>IF(D3832="?OLD","!!!","")</f>
        <v/>
      </c>
      <c r="F3832" s="22" t="str">
        <f>IF(OR(E3832="",E3832="!!!"),"",IF(NOT(ISNA(VLOOKUP(E3832,E$1:E3831,1,FALSE()))),"OLD",IF(AND(E3832&lt;&gt;"",E3832&lt;&gt;"!!!"),"NEW","")))</f>
        <v> </v>
      </c>
      <c r="G3832" s="23" t="str">
        <f>IF(OR(E3832="",E3832="!!!"),"",IF(OR(J3832=0,AND(J3832=1,K3832=1),AND(J3832=1,I3832="SBJ"),AND(J3832=1,I3832=0)),"?IN_FOCUS",IF(J3832&lt;=2,"?ACTIVATED",IF(J3832&lt;&gt;"","?FAMILIAR",IF(F3832="NEW",IF(ISNA(VLOOKUP(E3832,#REF!,1,FALSE())),"?TYPE_IDENTIFIABLE","?REFERENTIAL"),"_")))))</f>
        <v> </v>
      </c>
      <c r="H3832" s="24" t="str">
        <f>IF(J3832&lt;&gt;1,"",IF(I3832="SBJ","CB","?"))</f>
        <v> </v>
      </c>
      <c r="I3832" s="25" t="str">
        <f>IF(OR(E3832="",E3832="!!!",F3832="NEW"),"",INDEX(B3831:B$2,-1+SUMPRODUCT(MAX(ROW(E3831:E$2)*(E3832=E3831:E$2)))))</f>
        <v> </v>
      </c>
      <c r="J3832" s="25" t="str">
        <f>IF(OR(E3832="",E3832="!!!",F3832="NEW"),"",COUNTBLANK(OFFSET(A$1,,,SUMPRODUCT(MAX(ROW(E$2:E3832)*(E3832=E$2:E3832)))))-COUNTBLANK(OFFSET(A$1,,,SUMPRODUCT(MAX(ROW(E$1:E3831)*(E2=E$1:E3831))))))</f>
        <v> </v>
      </c>
      <c r="K3832" s="25" t="str">
        <f>IF(OR(E3832="",E3832="!!!",F3832="NEW"),"",INDEX(J$1:J3831,SUMPRODUCT(MAX(ROW(E$1:E3831)*(E3832=E$1:E3831)))))</f>
        <v> </v>
      </c>
      <c r="L3832" s="26"/>
    </row>
    <row r="3833" spans="1:12">
      <c r="A3833" s="20" t="s">
        <v>1173</v>
      </c>
      <c r="E3833" s="21">
        <f>IF(D3833="?OLD","!!!","")</f>
        <v/>
      </c>
      <c r="F3833" s="22" t="str">
        <f>IF(OR(E3833="",E3833="!!!"),"",IF(NOT(ISNA(VLOOKUP(E3833,E$1:E3832,1,FALSE()))),"OLD",IF(AND(E3833&lt;&gt;"",E3833&lt;&gt;"!!!"),"NEW","")))</f>
        <v> </v>
      </c>
      <c r="G3833" s="23" t="str">
        <f>IF(OR(E3833="",E3833="!!!"),"",IF(OR(J3833=0,AND(J3833=1,K3833=1),AND(J3833=1,I3833="SBJ"),AND(J3833=1,I3833=0)),"?IN_FOCUS",IF(J3833&lt;=2,"?ACTIVATED",IF(J3833&lt;&gt;"","?FAMILIAR",IF(F3833="NEW",IF(ISNA(VLOOKUP(E3833,#REF!,1,FALSE())),"?TYPE_IDENTIFIABLE","?REFERENTIAL"),"_")))))</f>
        <v> </v>
      </c>
      <c r="H3833" s="24" t="str">
        <f>IF(J3833&lt;&gt;1,"",IF(I3833="SBJ","CB","?"))</f>
        <v> </v>
      </c>
      <c r="I3833" s="25" t="str">
        <f>IF(OR(E3833="",E3833="!!!",F3833="NEW"),"",INDEX(B3832:B$2,-1+SUMPRODUCT(MAX(ROW(E3832:E$2)*(E3833=E3832:E$2)))))</f>
        <v> </v>
      </c>
      <c r="J3833" s="25" t="str">
        <f>IF(OR(E3833="",E3833="!!!",F3833="NEW"),"",COUNTBLANK(OFFSET(A$1,,,SUMPRODUCT(MAX(ROW(E$2:E3833)*(E3833=E$2:E3833)))))-COUNTBLANK(OFFSET(A$1,,,SUMPRODUCT(MAX(ROW(E$1:E3832)*(E2=E$1:E3832))))))</f>
        <v> </v>
      </c>
      <c r="K3833" s="25" t="str">
        <f>IF(OR(E3833="",E3833="!!!",F3833="NEW"),"",INDEX(J$1:J3832,SUMPRODUCT(MAX(ROW(E$1:E3832)*(E3833=E$1:E3832)))))</f>
        <v> </v>
      </c>
      <c r="L3833" s="26"/>
    </row>
    <row r="3834" spans="1:12">
      <c r="A3834" s="20" t="s">
        <v>1351</v>
      </c>
      <c r="B3834" s="27" t="s">
        <v>1067</v>
      </c>
      <c r="C3834" s="27" t="s">
        <v>1072</v>
      </c>
      <c r="E3834" s="21">
        <f>IF(D3834="?OLD","!!!","")</f>
        <v/>
      </c>
      <c r="F3834" s="22" t="str">
        <f>IF(OR(E3834="",E3834="!!!"),"",IF(NOT(ISNA(VLOOKUP(E3834,E$1:E3833,1,FALSE()))),"OLD",IF(AND(E3834&lt;&gt;"",E3834&lt;&gt;"!!!"),"NEW","")))</f>
        <v> </v>
      </c>
      <c r="G3834" s="23" t="str">
        <f>IF(OR(E3834="",E3834="!!!"),"",IF(OR(J3834=0,AND(J3834=1,K3834=1),AND(J3834=1,I3834="SBJ"),AND(J3834=1,I3834=0)),"?IN_FOCUS",IF(J3834&lt;=2,"?ACTIVATED",IF(J3834&lt;&gt;"","?FAMILIAR",IF(F3834="NEW",IF(ISNA(VLOOKUP(E3834,#REF!,1,FALSE())),"?TYPE_IDENTIFIABLE","?REFERENTIAL"),"_")))))</f>
        <v> </v>
      </c>
      <c r="H3834" s="24" t="str">
        <f>IF(J3834&lt;&gt;1,"",IF(I3834="SBJ","CB","?"))</f>
        <v> </v>
      </c>
      <c r="I3834" s="25" t="str">
        <f>IF(OR(E3834="",E3834="!!!",F3834="NEW"),"",INDEX(B3833:B$2,-1+SUMPRODUCT(MAX(ROW(E3833:E$2)*(E3834=E3833:E$2)))))</f>
        <v> </v>
      </c>
      <c r="J3834" s="25" t="str">
        <f>IF(OR(E3834="",E3834="!!!",F3834="NEW"),"",COUNTBLANK(OFFSET(A$1,,,SUMPRODUCT(MAX(ROW(E$2:E3834)*(E3834=E$2:E3834)))))-COUNTBLANK(OFFSET(A$1,,,SUMPRODUCT(MAX(ROW(E$1:E3833)*(E2=E$1:E3833))))))</f>
        <v> </v>
      </c>
      <c r="K3834" s="25" t="str">
        <f>IF(OR(E3834="",E3834="!!!",F3834="NEW"),"",INDEX(J$1:J3833,SUMPRODUCT(MAX(ROW(E$1:E3833)*(E3834=E$1:E3833)))))</f>
        <v> </v>
      </c>
      <c r="L3834" s="26"/>
    </row>
    <row r="3835" spans="1:12">
      <c r="A3835" s="20" t="s">
        <v>2212</v>
      </c>
      <c r="B3835" s="27" t="s">
        <v>1160</v>
      </c>
      <c r="C3835" s="27" t="s">
        <v>1068</v>
      </c>
      <c r="D3835" s="27" t="s">
        <v>1069</v>
      </c>
      <c r="E3835" s="21">
        <f>IF(D3835="?OLD","!!!","")</f>
        <v/>
      </c>
      <c r="F3835" s="22" t="str">
        <f>IF(OR(E3835="",E3835="!!!"),"",IF(NOT(ISNA(VLOOKUP(E3835,E$1:E3834,1,FALSE()))),"OLD",IF(AND(E3835&lt;&gt;"",E3835&lt;&gt;"!!!"),"NEW","")))</f>
        <v> </v>
      </c>
      <c r="G3835" s="23" t="str">
        <f>IF(OR(E3835="",E3835="!!!"),"",IF(OR(J3835=0,AND(J3835=1,K3835=1),AND(J3835=1,I3835="SBJ"),AND(J3835=1,I3835=0)),"?IN_FOCUS",IF(J3835&lt;=2,"?ACTIVATED",IF(J3835&lt;&gt;"","?FAMILIAR",IF(F3835="NEW",IF(ISNA(VLOOKUP(E3835,#REF!,1,FALSE())),"?TYPE_IDENTIFIABLE","?REFERENTIAL"),"_")))))</f>
        <v> </v>
      </c>
      <c r="H3835" s="24" t="str">
        <f>IF(J3835&lt;&gt;1,"",IF(I3835="SBJ","CB","?"))</f>
        <v> </v>
      </c>
      <c r="I3835" s="25" t="str">
        <f>IF(OR(E3835="",E3835="!!!",F3835="NEW"),"",INDEX(B3834:B$2,-1+SUMPRODUCT(MAX(ROW(E3834:E$2)*(E3835=E3834:E$2)))))</f>
        <v> </v>
      </c>
      <c r="J3835" s="25" t="str">
        <f>IF(OR(E3835="",E3835="!!!",F3835="NEW"),"",COUNTBLANK(OFFSET(A$1,,,SUMPRODUCT(MAX(ROW(E$2:E3835)*(E3835=E$2:E3835)))))-COUNTBLANK(OFFSET(A$1,,,SUMPRODUCT(MAX(ROW(E$1:E3834)*(E2=E$1:E3834))))))</f>
        <v> </v>
      </c>
      <c r="K3835" s="25" t="str">
        <f>IF(OR(E3835="",E3835="!!!",F3835="NEW"),"",INDEX(J$1:J3834,SUMPRODUCT(MAX(ROW(E$1:E3834)*(E3835=E$1:E3834)))))</f>
        <v> </v>
      </c>
      <c r="L3835" s="26"/>
    </row>
    <row r="3836" spans="1:12">
      <c r="A3836" s="20" t="s">
        <v>1127</v>
      </c>
      <c r="E3836" s="21">
        <f>IF(D3836="?OLD","!!!","")</f>
        <v/>
      </c>
      <c r="F3836" s="22" t="str">
        <f>IF(OR(E3836="",E3836="!!!"),"",IF(NOT(ISNA(VLOOKUP(E3836,E$1:E3835,1,FALSE()))),"OLD",IF(AND(E3836&lt;&gt;"",E3836&lt;&gt;"!!!"),"NEW","")))</f>
        <v> </v>
      </c>
      <c r="G3836" s="23" t="str">
        <f>IF(OR(E3836="",E3836="!!!"),"",IF(OR(J3836=0,AND(J3836=1,K3836=1),AND(J3836=1,I3836="SBJ"),AND(J3836=1,I3836=0)),"?IN_FOCUS",IF(J3836&lt;=2,"?ACTIVATED",IF(J3836&lt;&gt;"","?FAMILIAR",IF(F3836="NEW",IF(ISNA(VLOOKUP(E3836,#REF!,1,FALSE())),"?TYPE_IDENTIFIABLE","?REFERENTIAL"),"_")))))</f>
        <v> </v>
      </c>
      <c r="H3836" s="24" t="str">
        <f>IF(J3836&lt;&gt;1,"",IF(I3836="SBJ","CB","?"))</f>
        <v> </v>
      </c>
      <c r="I3836" s="25" t="str">
        <f>IF(OR(E3836="",E3836="!!!",F3836="NEW"),"",INDEX(B3835:B$2,-1+SUMPRODUCT(MAX(ROW(E3835:E$2)*(E3836=E3835:E$2)))))</f>
        <v> </v>
      </c>
      <c r="J3836" s="25" t="str">
        <f>IF(OR(E3836="",E3836="!!!",F3836="NEW"),"",COUNTBLANK(OFFSET(A$1,,,SUMPRODUCT(MAX(ROW(E$2:E3836)*(E3836=E$2:E3836)))))-COUNTBLANK(OFFSET(A$1,,,SUMPRODUCT(MAX(ROW(E$1:E3835)*(E2=E$1:E3835))))))</f>
        <v> </v>
      </c>
      <c r="K3836" s="25" t="str">
        <f>IF(OR(E3836="",E3836="!!!",F3836="NEW"),"",INDEX(J$1:J3835,SUMPRODUCT(MAX(ROW(E$1:E3835)*(E3836=E$1:E3835)))))</f>
        <v> </v>
      </c>
      <c r="L3836" s="26"/>
    </row>
    <row r="3837" spans="1:12">
      <c r="A3837" s="20" t="s">
        <v>236</v>
      </c>
      <c r="E3837" s="21">
        <f>IF(D3837="?OLD","!!!","")</f>
        <v/>
      </c>
      <c r="F3837" s="22" t="str">
        <f>IF(OR(E3837="",E3837="!!!"),"",IF(NOT(ISNA(VLOOKUP(E3837,E$1:E3836,1,FALSE()))),"OLD",IF(AND(E3837&lt;&gt;"",E3837&lt;&gt;"!!!"),"NEW","")))</f>
        <v> </v>
      </c>
      <c r="G3837" s="23" t="str">
        <f>IF(OR(E3837="",E3837="!!!"),"",IF(OR(J3837=0,AND(J3837=1,K3837=1),AND(J3837=1,I3837="SBJ"),AND(J3837=1,I3837=0)),"?IN_FOCUS",IF(J3837&lt;=2,"?ACTIVATED",IF(J3837&lt;&gt;"","?FAMILIAR",IF(F3837="NEW",IF(ISNA(VLOOKUP(E3837,#REF!,1,FALSE())),"?TYPE_IDENTIFIABLE","?REFERENTIAL"),"_")))))</f>
        <v> </v>
      </c>
      <c r="H3837" s="24" t="str">
        <f>IF(J3837&lt;&gt;1,"",IF(I3837="SBJ","CB","?"))</f>
        <v> </v>
      </c>
      <c r="I3837" s="25" t="str">
        <f>IF(OR(E3837="",E3837="!!!",F3837="NEW"),"",INDEX(B3836:B$2,-1+SUMPRODUCT(MAX(ROW(E3836:E$2)*(E3837=E3836:E$2)))))</f>
        <v> </v>
      </c>
      <c r="J3837" s="25" t="str">
        <f>IF(OR(E3837="",E3837="!!!",F3837="NEW"),"",COUNTBLANK(OFFSET(A$1,,,SUMPRODUCT(MAX(ROW(E$2:E3837)*(E3837=E$2:E3837)))))-COUNTBLANK(OFFSET(A$1,,,SUMPRODUCT(MAX(ROW(E$1:E3836)*(E2=E$1:E3836))))))</f>
        <v> </v>
      </c>
      <c r="K3837" s="25" t="str">
        <f>IF(OR(E3837="",E3837="!!!",F3837="NEW"),"",INDEX(J$1:J3836,SUMPRODUCT(MAX(ROW(E$1:E3836)*(E3837=E$1:E3836)))))</f>
        <v> </v>
      </c>
      <c r="L3837" s="26"/>
    </row>
    <row r="3838" spans="1:12">
      <c r="A3838" s="20" t="s">
        <v>1154</v>
      </c>
      <c r="B3838" s="27" t="s">
        <v>1071</v>
      </c>
      <c r="C3838" s="27" t="s">
        <v>1117</v>
      </c>
      <c r="E3838" s="21">
        <f>IF(D3838="?OLD","!!!","")</f>
        <v/>
      </c>
      <c r="F3838" s="22" t="str">
        <f>IF(OR(E3838="",E3838="!!!"),"",IF(NOT(ISNA(VLOOKUP(E3838,E$1:E3837,1,FALSE()))),"OLD",IF(AND(E3838&lt;&gt;"",E3838&lt;&gt;"!!!"),"NEW","")))</f>
        <v> </v>
      </c>
      <c r="G3838" s="23" t="str">
        <f>IF(OR(E3838="",E3838="!!!"),"",IF(OR(J3838=0,AND(J3838=1,K3838=1),AND(J3838=1,I3838="SBJ"),AND(J3838=1,I3838=0)),"?IN_FOCUS",IF(J3838&lt;=2,"?ACTIVATED",IF(J3838&lt;&gt;"","?FAMILIAR",IF(F3838="NEW",IF(ISNA(VLOOKUP(E3838,#REF!,1,FALSE())),"?TYPE_IDENTIFIABLE","?REFERENTIAL"),"_")))))</f>
        <v> </v>
      </c>
      <c r="H3838" s="24" t="str">
        <f>IF(J3838&lt;&gt;1,"",IF(I3838="SBJ","CB","?"))</f>
        <v> </v>
      </c>
      <c r="I3838" s="25" t="str">
        <f>IF(OR(E3838="",E3838="!!!",F3838="NEW"),"",INDEX(B3837:B$2,-1+SUMPRODUCT(MAX(ROW(E3837:E$2)*(E3838=E3837:E$2)))))</f>
        <v> </v>
      </c>
      <c r="J3838" s="25" t="str">
        <f>IF(OR(E3838="",E3838="!!!",F3838="NEW"),"",COUNTBLANK(OFFSET(A$1,,,SUMPRODUCT(MAX(ROW(E$2:E3838)*(E3838=E$2:E3838)))))-COUNTBLANK(OFFSET(A$1,,,SUMPRODUCT(MAX(ROW(E$1:E3837)*(E2=E$1:E3837))))))</f>
        <v> </v>
      </c>
      <c r="K3838" s="25" t="str">
        <f>IF(OR(E3838="",E3838="!!!",F3838="NEW"),"",INDEX(J$1:J3837,SUMPRODUCT(MAX(ROW(E$1:E3837)*(E3838=E$1:E3837)))))</f>
        <v> </v>
      </c>
      <c r="L3838" s="26"/>
    </row>
    <row r="3839" spans="1:12">
      <c r="A3839" s="20" t="s">
        <v>789</v>
      </c>
      <c r="E3839" s="21">
        <f>IF(D3839="?OLD","!!!","")</f>
        <v/>
      </c>
      <c r="F3839" s="22" t="str">
        <f>IF(OR(E3839="",E3839="!!!"),"",IF(NOT(ISNA(VLOOKUP(E3839,E$1:E3838,1,FALSE()))),"OLD",IF(AND(E3839&lt;&gt;"",E3839&lt;&gt;"!!!"),"NEW","")))</f>
        <v> </v>
      </c>
      <c r="G3839" s="23" t="str">
        <f>IF(OR(E3839="",E3839="!!!"),"",IF(OR(J3839=0,AND(J3839=1,K3839=1),AND(J3839=1,I3839="SBJ"),AND(J3839=1,I3839=0)),"?IN_FOCUS",IF(J3839&lt;=2,"?ACTIVATED",IF(J3839&lt;&gt;"","?FAMILIAR",IF(F3839="NEW",IF(ISNA(VLOOKUP(E3839,#REF!,1,FALSE())),"?TYPE_IDENTIFIABLE","?REFERENTIAL"),"_")))))</f>
        <v> </v>
      </c>
      <c r="H3839" s="24" t="str">
        <f>IF(J3839&lt;&gt;1,"",IF(I3839="SBJ","CB","?"))</f>
        <v> </v>
      </c>
      <c r="I3839" s="25" t="str">
        <f>IF(OR(E3839="",E3839="!!!",F3839="NEW"),"",INDEX(B3838:B$2,-1+SUMPRODUCT(MAX(ROW(E3838:E$2)*(E3839=E3838:E$2)))))</f>
        <v> </v>
      </c>
      <c r="J3839" s="25" t="str">
        <f>IF(OR(E3839="",E3839="!!!",F3839="NEW"),"",COUNTBLANK(OFFSET(A$1,,,SUMPRODUCT(MAX(ROW(E$2:E3839)*(E3839=E$2:E3839)))))-COUNTBLANK(OFFSET(A$1,,,SUMPRODUCT(MAX(ROW(E$1:E3838)*(E2=E$1:E3838))))))</f>
        <v> </v>
      </c>
      <c r="K3839" s="25" t="str">
        <f>IF(OR(E3839="",E3839="!!!",F3839="NEW"),"",INDEX(J$1:J3838,SUMPRODUCT(MAX(ROW(E$1:E3838)*(E3839=E$1:E3838)))))</f>
        <v> </v>
      </c>
      <c r="L3839" s="26"/>
    </row>
    <row r="3840" spans="1:12">
      <c r="A3840" s="20" t="s">
        <v>12</v>
      </c>
      <c r="E3840" s="21">
        <f>IF(D3840="?OLD","!!!","")</f>
        <v/>
      </c>
      <c r="F3840" s="22" t="str">
        <f>IF(OR(E3840="",E3840="!!!"),"",IF(NOT(ISNA(VLOOKUP(E3840,E$1:E3839,1,FALSE()))),"OLD",IF(AND(E3840&lt;&gt;"",E3840&lt;&gt;"!!!"),"NEW","")))</f>
        <v> </v>
      </c>
      <c r="G3840" s="23" t="str">
        <f>IF(OR(E3840="",E3840="!!!"),"",IF(OR(J3840=0,AND(J3840=1,K3840=1),AND(J3840=1,I3840="SBJ"),AND(J3840=1,I3840=0)),"?IN_FOCUS",IF(J3840&lt;=2,"?ACTIVATED",IF(J3840&lt;&gt;"","?FAMILIAR",IF(F3840="NEW",IF(ISNA(VLOOKUP(E3840,#REF!,1,FALSE())),"?TYPE_IDENTIFIABLE","?REFERENTIAL"),"_")))))</f>
        <v> </v>
      </c>
      <c r="H3840" s="24" t="str">
        <f>IF(J3840&lt;&gt;1,"",IF(I3840="SBJ","CB","?"))</f>
        <v> </v>
      </c>
      <c r="I3840" s="25" t="str">
        <f>IF(OR(E3840="",E3840="!!!",F3840="NEW"),"",INDEX(B3839:B$2,-1+SUMPRODUCT(MAX(ROW(E3839:E$2)*(E3840=E3839:E$2)))))</f>
        <v> </v>
      </c>
      <c r="J3840" s="25" t="str">
        <f>IF(OR(E3840="",E3840="!!!",F3840="NEW"),"",COUNTBLANK(OFFSET(A$1,,,SUMPRODUCT(MAX(ROW(E$2:E3840)*(E3840=E$2:E3840)))))-COUNTBLANK(OFFSET(A$1,,,SUMPRODUCT(MAX(ROW(E$1:E3839)*(E2=E$1:E3839))))))</f>
        <v> </v>
      </c>
      <c r="K3840" s="25" t="str">
        <f>IF(OR(E3840="",E3840="!!!",F3840="NEW"),"",INDEX(J$1:J3839,SUMPRODUCT(MAX(ROW(E$1:E3839)*(E3840=E$1:E3839)))))</f>
        <v> </v>
      </c>
      <c r="L3840" s="26"/>
    </row>
    <row r="3841" spans="1:12">
      <c r="A3841" s="20" t="s">
        <v>800</v>
      </c>
      <c r="E3841" s="21">
        <f>IF(D3841="?OLD","!!!","")</f>
        <v/>
      </c>
      <c r="F3841" s="22" t="str">
        <f>IF(OR(E3841="",E3841="!!!"),"",IF(NOT(ISNA(VLOOKUP(E3841,E$1:E3840,1,FALSE()))),"OLD",IF(AND(E3841&lt;&gt;"",E3841&lt;&gt;"!!!"),"NEW","")))</f>
        <v> </v>
      </c>
      <c r="G3841" s="23" t="str">
        <f>IF(OR(E3841="",E3841="!!!"),"",IF(OR(J3841=0,AND(J3841=1,K3841=1),AND(J3841=1,I3841="SBJ"),AND(J3841=1,I3841=0)),"?IN_FOCUS",IF(J3841&lt;=2,"?ACTIVATED",IF(J3841&lt;&gt;"","?FAMILIAR",IF(F3841="NEW",IF(ISNA(VLOOKUP(E3841,#REF!,1,FALSE())),"?TYPE_IDENTIFIABLE","?REFERENTIAL"),"_")))))</f>
        <v> </v>
      </c>
      <c r="H3841" s="24" t="str">
        <f>IF(J3841&lt;&gt;1,"",IF(I3841="SBJ","CB","?"))</f>
        <v> </v>
      </c>
      <c r="I3841" s="25" t="str">
        <f>IF(OR(E3841="",E3841="!!!",F3841="NEW"),"",INDEX(B3840:B$2,-1+SUMPRODUCT(MAX(ROW(E3840:E$2)*(E3841=E3840:E$2)))))</f>
        <v> </v>
      </c>
      <c r="J3841" s="25" t="str">
        <f>IF(OR(E3841="",E3841="!!!",F3841="NEW"),"",COUNTBLANK(OFFSET(A$1,,,SUMPRODUCT(MAX(ROW(E$2:E3841)*(E3841=E$2:E3841)))))-COUNTBLANK(OFFSET(A$1,,,SUMPRODUCT(MAX(ROW(E$1:E3840)*(E2=E$1:E3840))))))</f>
        <v> </v>
      </c>
      <c r="K3841" s="25" t="str">
        <f>IF(OR(E3841="",E3841="!!!",F3841="NEW"),"",INDEX(J$1:J3840,SUMPRODUCT(MAX(ROW(E$1:E3840)*(E3841=E$1:E3840)))))</f>
        <v> </v>
      </c>
      <c r="L3841" s="26"/>
    </row>
    <row r="3842" spans="1:12">
      <c r="A3842" s="20" t="s">
        <v>1197</v>
      </c>
      <c r="B3842" s="27" t="s">
        <v>1067</v>
      </c>
      <c r="C3842" s="27" t="s">
        <v>1068</v>
      </c>
      <c r="D3842" s="27" t="s">
        <v>1069</v>
      </c>
      <c r="E3842" s="21">
        <f>IF(D3842="?OLD","!!!","")</f>
        <v/>
      </c>
      <c r="F3842" s="22" t="str">
        <f>IF(OR(E3842="",E3842="!!!"),"",IF(NOT(ISNA(VLOOKUP(E3842,E$1:E3841,1,FALSE()))),"OLD",IF(AND(E3842&lt;&gt;"",E3842&lt;&gt;"!!!"),"NEW","")))</f>
        <v> </v>
      </c>
      <c r="G3842" s="23" t="str">
        <f>IF(OR(E3842="",E3842="!!!"),"",IF(OR(J3842=0,AND(J3842=1,K3842=1),AND(J3842=1,I3842="SBJ"),AND(J3842=1,I3842=0)),"?IN_FOCUS",IF(J3842&lt;=2,"?ACTIVATED",IF(J3842&lt;&gt;"","?FAMILIAR",IF(F3842="NEW",IF(ISNA(VLOOKUP(E3842,#REF!,1,FALSE())),"?TYPE_IDENTIFIABLE","?REFERENTIAL"),"_")))))</f>
        <v> </v>
      </c>
      <c r="H3842" s="24" t="str">
        <f>IF(J3842&lt;&gt;1,"",IF(I3842="SBJ","CB","?"))</f>
        <v> </v>
      </c>
      <c r="I3842" s="25" t="str">
        <f>IF(OR(E3842="",E3842="!!!",F3842="NEW"),"",INDEX(B3841:B$2,-1+SUMPRODUCT(MAX(ROW(E3841:E$2)*(E3842=E3841:E$2)))))</f>
        <v> </v>
      </c>
      <c r="J3842" s="25" t="str">
        <f>IF(OR(E3842="",E3842="!!!",F3842="NEW"),"",COUNTBLANK(OFFSET(A$1,,,SUMPRODUCT(MAX(ROW(E$2:E3842)*(E3842=E$2:E3842)))))-COUNTBLANK(OFFSET(A$1,,,SUMPRODUCT(MAX(ROW(E$1:E3841)*(E2=E$1:E3841))))))</f>
        <v> </v>
      </c>
      <c r="K3842" s="25" t="str">
        <f>IF(OR(E3842="",E3842="!!!",F3842="NEW"),"",INDEX(J$1:J3841,SUMPRODUCT(MAX(ROW(E$1:E3841)*(E3842=E$1:E3841)))))</f>
        <v> </v>
      </c>
      <c r="L3842" s="26"/>
    </row>
    <row r="3843" spans="1:12">
      <c r="A3843" s="20" t="s">
        <v>1207</v>
      </c>
      <c r="E3843" s="21">
        <f>IF(D3843="?OLD","!!!","")</f>
        <v/>
      </c>
      <c r="F3843" s="22" t="str">
        <f>IF(OR(E3843="",E3843="!!!"),"",IF(NOT(ISNA(VLOOKUP(E3843,E$1:E3842,1,FALSE()))),"OLD",IF(AND(E3843&lt;&gt;"",E3843&lt;&gt;"!!!"),"NEW","")))</f>
        <v> </v>
      </c>
      <c r="G3843" s="23" t="str">
        <f>IF(OR(E3843="",E3843="!!!"),"",IF(OR(J3843=0,AND(J3843=1,K3843=1),AND(J3843=1,I3843="SBJ"),AND(J3843=1,I3843=0)),"?IN_FOCUS",IF(J3843&lt;=2,"?ACTIVATED",IF(J3843&lt;&gt;"","?FAMILIAR",IF(F3843="NEW",IF(ISNA(VLOOKUP(E3843,#REF!,1,FALSE())),"?TYPE_IDENTIFIABLE","?REFERENTIAL"),"_")))))</f>
        <v> </v>
      </c>
      <c r="H3843" s="24" t="str">
        <f>IF(J3843&lt;&gt;1,"",IF(I3843="SBJ","CB","?"))</f>
        <v> </v>
      </c>
      <c r="I3843" s="25" t="str">
        <f>IF(OR(E3843="",E3843="!!!",F3843="NEW"),"",INDEX(B3842:B$2,-1+SUMPRODUCT(MAX(ROW(E3842:E$2)*(E3843=E3842:E$2)))))</f>
        <v> </v>
      </c>
      <c r="J3843" s="25" t="str">
        <f>IF(OR(E3843="",E3843="!!!",F3843="NEW"),"",COUNTBLANK(OFFSET(A$1,,,SUMPRODUCT(MAX(ROW(E$2:E3843)*(E3843=E$2:E3843)))))-COUNTBLANK(OFFSET(A$1,,,SUMPRODUCT(MAX(ROW(E$1:E3842)*(E2=E$1:E3842))))))</f>
        <v> </v>
      </c>
      <c r="K3843" s="25" t="str">
        <f>IF(OR(E3843="",E3843="!!!",F3843="NEW"),"",INDEX(J$1:J3842,SUMPRODUCT(MAX(ROW(E$1:E3842)*(E3843=E$1:E3842)))))</f>
        <v> </v>
      </c>
      <c r="L3843" s="26"/>
    </row>
    <row r="3844" spans="1:12">
      <c r="A3844" s="20" t="s">
        <v>1185</v>
      </c>
      <c r="E3844" s="21">
        <f>IF(D3844="?OLD","!!!","")</f>
        <v/>
      </c>
      <c r="F3844" s="22" t="str">
        <f>IF(OR(E3844="",E3844="!!!"),"",IF(NOT(ISNA(VLOOKUP(E3844,E$1:E3843,1,FALSE()))),"OLD",IF(AND(E3844&lt;&gt;"",E3844&lt;&gt;"!!!"),"NEW","")))</f>
        <v> </v>
      </c>
      <c r="G3844" s="23" t="str">
        <f>IF(OR(E3844="",E3844="!!!"),"",IF(OR(J3844=0,AND(J3844=1,K3844=1),AND(J3844=1,I3844="SBJ"),AND(J3844=1,I3844=0)),"?IN_FOCUS",IF(J3844&lt;=2,"?ACTIVATED",IF(J3844&lt;&gt;"","?FAMILIAR",IF(F3844="NEW",IF(ISNA(VLOOKUP(E3844,#REF!,1,FALSE())),"?TYPE_IDENTIFIABLE","?REFERENTIAL"),"_")))))</f>
        <v> </v>
      </c>
      <c r="H3844" s="24" t="str">
        <f>IF(J3844&lt;&gt;1,"",IF(I3844="SBJ","CB","?"))</f>
        <v> </v>
      </c>
      <c r="I3844" s="25" t="str">
        <f>IF(OR(E3844="",E3844="!!!",F3844="NEW"),"",INDEX(B3843:B$2,-1+SUMPRODUCT(MAX(ROW(E3843:E$2)*(E3844=E3843:E$2)))))</f>
        <v> </v>
      </c>
      <c r="J3844" s="25" t="str">
        <f>IF(OR(E3844="",E3844="!!!",F3844="NEW"),"",COUNTBLANK(OFFSET(A$1,,,SUMPRODUCT(MAX(ROW(E$2:E3844)*(E3844=E$2:E3844)))))-COUNTBLANK(OFFSET(A$1,,,SUMPRODUCT(MAX(ROW(E$1:E3843)*(E2=E$1:E3843))))))</f>
        <v> </v>
      </c>
      <c r="K3844" s="25" t="str">
        <f>IF(OR(E3844="",E3844="!!!",F3844="NEW"),"",INDEX(J$1:J3843,SUMPRODUCT(MAX(ROW(E$1:E3843)*(E3844=E$1:E3843)))))</f>
        <v> </v>
      </c>
      <c r="L3844" s="26"/>
    </row>
    <row r="3845" spans="1:12">
      <c r="A3845" s="20" t="s">
        <v>2003</v>
      </c>
      <c r="B3845" s="27" t="s">
        <v>1071</v>
      </c>
      <c r="C3845" s="27" t="s">
        <v>1120</v>
      </c>
      <c r="E3845" s="21">
        <f>IF(D3845="?OLD","!!!","")</f>
        <v/>
      </c>
      <c r="F3845" s="22" t="str">
        <f>IF(OR(E3845="",E3845="!!!"),"",IF(NOT(ISNA(VLOOKUP(E3845,E$1:E3844,1,FALSE()))),"OLD",IF(AND(E3845&lt;&gt;"",E3845&lt;&gt;"!!!"),"NEW","")))</f>
        <v> </v>
      </c>
      <c r="G3845" s="23" t="str">
        <f>IF(OR(E3845="",E3845="!!!"),"",IF(OR(J3845=0,AND(J3845=1,K3845=1),AND(J3845=1,I3845="SBJ"),AND(J3845=1,I3845=0)),"?IN_FOCUS",IF(J3845&lt;=2,"?ACTIVATED",IF(J3845&lt;&gt;"","?FAMILIAR",IF(F3845="NEW",IF(ISNA(VLOOKUP(E3845,#REF!,1,FALSE())),"?TYPE_IDENTIFIABLE","?REFERENTIAL"),"_")))))</f>
        <v> </v>
      </c>
      <c r="H3845" s="24" t="str">
        <f>IF(J3845&lt;&gt;1,"",IF(I3845="SBJ","CB","?"))</f>
        <v> </v>
      </c>
      <c r="I3845" s="25" t="str">
        <f>IF(OR(E3845="",E3845="!!!",F3845="NEW"),"",INDEX(B3844:B$2,-1+SUMPRODUCT(MAX(ROW(E3844:E$2)*(E3845=E3844:E$2)))))</f>
        <v> </v>
      </c>
      <c r="J3845" s="25" t="str">
        <f>IF(OR(E3845="",E3845="!!!",F3845="NEW"),"",COUNTBLANK(OFFSET(A$1,,,SUMPRODUCT(MAX(ROW(E$2:E3845)*(E3845=E$2:E3845)))))-COUNTBLANK(OFFSET(A$1,,,SUMPRODUCT(MAX(ROW(E$1:E3844)*(E2=E$1:E3844))))))</f>
        <v> </v>
      </c>
      <c r="K3845" s="25" t="str">
        <f>IF(OR(E3845="",E3845="!!!",F3845="NEW"),"",INDEX(J$1:J3844,SUMPRODUCT(MAX(ROW(E$1:E3844)*(E3845=E$1:E3844)))))</f>
        <v> </v>
      </c>
      <c r="L3845" s="26"/>
    </row>
    <row r="3846" spans="1:12">
      <c r="A3846" s="20" t="s">
        <v>12</v>
      </c>
      <c r="E3846" s="21">
        <f>IF(D3846="?OLD","!!!","")</f>
        <v/>
      </c>
      <c r="F3846" s="22" t="str">
        <f>IF(OR(E3846="",E3846="!!!"),"",IF(NOT(ISNA(VLOOKUP(E3846,E$1:E3845,1,FALSE()))),"OLD",IF(AND(E3846&lt;&gt;"",E3846&lt;&gt;"!!!"),"NEW","")))</f>
        <v> </v>
      </c>
      <c r="G3846" s="23" t="str">
        <f>IF(OR(E3846="",E3846="!!!"),"",IF(OR(J3846=0,AND(J3846=1,K3846=1),AND(J3846=1,I3846="SBJ"),AND(J3846=1,I3846=0)),"?IN_FOCUS",IF(J3846&lt;=2,"?ACTIVATED",IF(J3846&lt;&gt;"","?FAMILIAR",IF(F3846="NEW",IF(ISNA(VLOOKUP(E3846,#REF!,1,FALSE())),"?TYPE_IDENTIFIABLE","?REFERENTIAL"),"_")))))</f>
        <v> </v>
      </c>
      <c r="H3846" s="24" t="str">
        <f>IF(J3846&lt;&gt;1,"",IF(I3846="SBJ","CB","?"))</f>
        <v> </v>
      </c>
      <c r="I3846" s="25" t="str">
        <f>IF(OR(E3846="",E3846="!!!",F3846="NEW"),"",INDEX(B3845:B$2,-1+SUMPRODUCT(MAX(ROW(E3845:E$2)*(E3846=E3845:E$2)))))</f>
        <v> </v>
      </c>
      <c r="J3846" s="25" t="str">
        <f>IF(OR(E3846="",E3846="!!!",F3846="NEW"),"",COUNTBLANK(OFFSET(A$1,,,SUMPRODUCT(MAX(ROW(E$2:E3846)*(E3846=E$2:E3846)))))-COUNTBLANK(OFFSET(A$1,,,SUMPRODUCT(MAX(ROW(E$1:E3845)*(E2=E$1:E3845))))))</f>
        <v> </v>
      </c>
      <c r="K3846" s="25" t="str">
        <f>IF(OR(E3846="",E3846="!!!",F3846="NEW"),"",INDEX(J$1:J3845,SUMPRODUCT(MAX(ROW(E$1:E3845)*(E3846=E$1:E3845)))))</f>
        <v> </v>
      </c>
      <c r="L3846" s="26"/>
    </row>
    <row r="3847" spans="1:12">
      <c r="A3847" s="20" t="s">
        <v>1104</v>
      </c>
      <c r="E3847" s="21">
        <f>IF(D3847="?OLD","!!!","")</f>
        <v/>
      </c>
      <c r="F3847" s="22" t="str">
        <f>IF(OR(E3847="",E3847="!!!"),"",IF(NOT(ISNA(VLOOKUP(E3847,E$1:E3846,1,FALSE()))),"OLD",IF(AND(E3847&lt;&gt;"",E3847&lt;&gt;"!!!"),"NEW","")))</f>
        <v> </v>
      </c>
      <c r="G3847" s="23" t="str">
        <f>IF(OR(E3847="",E3847="!!!"),"",IF(OR(J3847=0,AND(J3847=1,K3847=1),AND(J3847=1,I3847="SBJ"),AND(J3847=1,I3847=0)),"?IN_FOCUS",IF(J3847&lt;=2,"?ACTIVATED",IF(J3847&lt;&gt;"","?FAMILIAR",IF(F3847="NEW",IF(ISNA(VLOOKUP(E3847,#REF!,1,FALSE())),"?TYPE_IDENTIFIABLE","?REFERENTIAL"),"_")))))</f>
        <v> </v>
      </c>
      <c r="H3847" s="24" t="str">
        <f>IF(J3847&lt;&gt;1,"",IF(I3847="SBJ","CB","?"))</f>
        <v> </v>
      </c>
      <c r="I3847" s="25" t="str">
        <f>IF(OR(E3847="",E3847="!!!",F3847="NEW"),"",INDEX(B3846:B$2,-1+SUMPRODUCT(MAX(ROW(E3846:E$2)*(E3847=E3846:E$2)))))</f>
        <v> </v>
      </c>
      <c r="J3847" s="25" t="str">
        <f>IF(OR(E3847="",E3847="!!!",F3847="NEW"),"",COUNTBLANK(OFFSET(A$1,,,SUMPRODUCT(MAX(ROW(E$2:E3847)*(E3847=E$2:E3847)))))-COUNTBLANK(OFFSET(A$1,,,SUMPRODUCT(MAX(ROW(E$1:E3846)*(E2=E$1:E3846))))))</f>
        <v> </v>
      </c>
      <c r="K3847" s="25" t="str">
        <f>IF(OR(E3847="",E3847="!!!",F3847="NEW"),"",INDEX(J$1:J3846,SUMPRODUCT(MAX(ROW(E$1:E3846)*(E3847=E$1:E3846)))))</f>
        <v> </v>
      </c>
      <c r="L3847" s="26"/>
    </row>
    <row r="3848" spans="1:12">
      <c r="A3848" s="20" t="s">
        <v>1197</v>
      </c>
      <c r="B3848" s="27" t="s">
        <v>1095</v>
      </c>
      <c r="C3848" s="27" t="s">
        <v>1110</v>
      </c>
      <c r="D3848" s="27" t="s">
        <v>1069</v>
      </c>
      <c r="E3848" s="21">
        <f>IF(D3848="?OLD","!!!","")</f>
        <v/>
      </c>
      <c r="F3848" s="22" t="str">
        <f>IF(OR(E3848="",E3848="!!!"),"",IF(NOT(ISNA(VLOOKUP(E3848,E$1:E3847,1,FALSE()))),"OLD",IF(AND(E3848&lt;&gt;"",E3848&lt;&gt;"!!!"),"NEW","")))</f>
        <v> </v>
      </c>
      <c r="G3848" s="23" t="str">
        <f>IF(OR(E3848="",E3848="!!!"),"",IF(OR(J3848=0,AND(J3848=1,K3848=1),AND(J3848=1,I3848="SBJ"),AND(J3848=1,I3848=0)),"?IN_FOCUS",IF(J3848&lt;=2,"?ACTIVATED",IF(J3848&lt;&gt;"","?FAMILIAR",IF(F3848="NEW",IF(ISNA(VLOOKUP(E3848,#REF!,1,FALSE())),"?TYPE_IDENTIFIABLE","?REFERENTIAL"),"_")))))</f>
        <v> </v>
      </c>
      <c r="H3848" s="24" t="str">
        <f>IF(J3848&lt;&gt;1,"",IF(I3848="SBJ","CB","?"))</f>
        <v> </v>
      </c>
      <c r="I3848" s="25" t="str">
        <f>IF(OR(E3848="",E3848="!!!",F3848="NEW"),"",INDEX(B3847:B$2,-1+SUMPRODUCT(MAX(ROW(E3847:E$2)*(E3848=E3847:E$2)))))</f>
        <v> </v>
      </c>
      <c r="J3848" s="25" t="str">
        <f>IF(OR(E3848="",E3848="!!!",F3848="NEW"),"",COUNTBLANK(OFFSET(A$1,,,SUMPRODUCT(MAX(ROW(E$2:E3848)*(E3848=E$2:E3848)))))-COUNTBLANK(OFFSET(A$1,,,SUMPRODUCT(MAX(ROW(E$1:E3847)*(E2=E$1:E3847))))))</f>
        <v> </v>
      </c>
      <c r="K3848" s="25" t="str">
        <f>IF(OR(E3848="",E3848="!!!",F3848="NEW"),"",INDEX(J$1:J3847,SUMPRODUCT(MAX(ROW(E$1:E3847)*(E3848=E$1:E3847)))))</f>
        <v> </v>
      </c>
      <c r="L3848" s="26"/>
    </row>
    <row r="3849" spans="1:12">
      <c r="A3849" s="20" t="s">
        <v>2283</v>
      </c>
      <c r="E3849" s="21">
        <f>IF(D3849="?OLD","!!!","")</f>
        <v/>
      </c>
      <c r="F3849" s="22" t="str">
        <f>IF(OR(E3849="",E3849="!!!"),"",IF(NOT(ISNA(VLOOKUP(E3849,E$1:E3848,1,FALSE()))),"OLD",IF(AND(E3849&lt;&gt;"",E3849&lt;&gt;"!!!"),"NEW","")))</f>
        <v> </v>
      </c>
      <c r="G3849" s="23" t="str">
        <f>IF(OR(E3849="",E3849="!!!"),"",IF(OR(J3849=0,AND(J3849=1,K3849=1),AND(J3849=1,I3849="SBJ"),AND(J3849=1,I3849=0)),"?IN_FOCUS",IF(J3849&lt;=2,"?ACTIVATED",IF(J3849&lt;&gt;"","?FAMILIAR",IF(F3849="NEW",IF(ISNA(VLOOKUP(E3849,#REF!,1,FALSE())),"?TYPE_IDENTIFIABLE","?REFERENTIAL"),"_")))))</f>
        <v> </v>
      </c>
      <c r="H3849" s="24" t="str">
        <f>IF(J3849&lt;&gt;1,"",IF(I3849="SBJ","CB","?"))</f>
        <v> </v>
      </c>
      <c r="I3849" s="25" t="str">
        <f>IF(OR(E3849="",E3849="!!!",F3849="NEW"),"",INDEX(B3848:B$2,-1+SUMPRODUCT(MAX(ROW(E3848:E$2)*(E3849=E3848:E$2)))))</f>
        <v> </v>
      </c>
      <c r="J3849" s="25" t="str">
        <f>IF(OR(E3849="",E3849="!!!",F3849="NEW"),"",COUNTBLANK(OFFSET(A$1,,,SUMPRODUCT(MAX(ROW(E$2:E3849)*(E3849=E$2:E3849)))))-COUNTBLANK(OFFSET(A$1,,,SUMPRODUCT(MAX(ROW(E$1:E3848)*(E2=E$1:E3848))))))</f>
        <v> </v>
      </c>
      <c r="K3849" s="25" t="str">
        <f>IF(OR(E3849="",E3849="!!!",F3849="NEW"),"",INDEX(J$1:J3848,SUMPRODUCT(MAX(ROW(E$1:E3848)*(E3849=E$1:E3848)))))</f>
        <v> </v>
      </c>
      <c r="L3849" s="26"/>
    </row>
    <row r="3850" spans="1:12">
      <c r="A3850" s="20" t="s">
        <v>1087</v>
      </c>
      <c r="E3850" s="21">
        <f>IF(D3850="?OLD","!!!","")</f>
        <v/>
      </c>
      <c r="F3850" s="22" t="str">
        <f>IF(OR(E3850="",E3850="!!!"),"",IF(NOT(ISNA(VLOOKUP(E3850,E$1:E3849,1,FALSE()))),"OLD",IF(AND(E3850&lt;&gt;"",E3850&lt;&gt;"!!!"),"NEW","")))</f>
        <v> </v>
      </c>
      <c r="G3850" s="23" t="str">
        <f>IF(OR(E3850="",E3850="!!!"),"",IF(OR(J3850=0,AND(J3850=1,K3850=1),AND(J3850=1,I3850="SBJ"),AND(J3850=1,I3850=0)),"?IN_FOCUS",IF(J3850&lt;=2,"?ACTIVATED",IF(J3850&lt;&gt;"","?FAMILIAR",IF(F3850="NEW",IF(ISNA(VLOOKUP(E3850,#REF!,1,FALSE())),"?TYPE_IDENTIFIABLE","?REFERENTIAL"),"_")))))</f>
        <v> </v>
      </c>
      <c r="H3850" s="24" t="str">
        <f>IF(J3850&lt;&gt;1,"",IF(I3850="SBJ","CB","?"))</f>
        <v> </v>
      </c>
      <c r="I3850" s="25" t="str">
        <f>IF(OR(E3850="",E3850="!!!",F3850="NEW"),"",INDEX(B3849:B$2,-1+SUMPRODUCT(MAX(ROW(E3849:E$2)*(E3850=E3849:E$2)))))</f>
        <v> </v>
      </c>
      <c r="J3850" s="25" t="str">
        <f>IF(OR(E3850="",E3850="!!!",F3850="NEW"),"",COUNTBLANK(OFFSET(A$1,,,SUMPRODUCT(MAX(ROW(E$2:E3850)*(E3850=E$2:E3850)))))-COUNTBLANK(OFFSET(A$1,,,SUMPRODUCT(MAX(ROW(E$1:E3849)*(E2=E$1:E3849))))))</f>
        <v> </v>
      </c>
      <c r="K3850" s="25" t="str">
        <f>IF(OR(E3850="",E3850="!!!",F3850="NEW"),"",INDEX(J$1:J3849,SUMPRODUCT(MAX(ROW(E$1:E3849)*(E3850=E$1:E3849)))))</f>
        <v> </v>
      </c>
      <c r="L3850" s="26"/>
    </row>
    <row r="3851" spans="1:12">
      <c r="A3851" s="20" t="s">
        <v>2157</v>
      </c>
      <c r="E3851" s="21">
        <f>IF(D3851="?OLD","!!!","")</f>
        <v/>
      </c>
      <c r="F3851" s="22" t="str">
        <f>IF(OR(E3851="",E3851="!!!"),"",IF(NOT(ISNA(VLOOKUP(E3851,E$1:E3850,1,FALSE()))),"OLD",IF(AND(E3851&lt;&gt;"",E3851&lt;&gt;"!!!"),"NEW","")))</f>
        <v> </v>
      </c>
      <c r="G3851" s="23" t="str">
        <f>IF(OR(E3851="",E3851="!!!"),"",IF(OR(J3851=0,AND(J3851=1,K3851=1),AND(J3851=1,I3851="SBJ"),AND(J3851=1,I3851=0)),"?IN_FOCUS",IF(J3851&lt;=2,"?ACTIVATED",IF(J3851&lt;&gt;"","?FAMILIAR",IF(F3851="NEW",IF(ISNA(VLOOKUP(E3851,#REF!,1,FALSE())),"?TYPE_IDENTIFIABLE","?REFERENTIAL"),"_")))))</f>
        <v> </v>
      </c>
      <c r="H3851" s="24" t="str">
        <f>IF(J3851&lt;&gt;1,"",IF(I3851="SBJ","CB","?"))</f>
        <v> </v>
      </c>
      <c r="I3851" s="25" t="str">
        <f>IF(OR(E3851="",E3851="!!!",F3851="NEW"),"",INDEX(B3850:B$2,-1+SUMPRODUCT(MAX(ROW(E3850:E$2)*(E3851=E3850:E$2)))))</f>
        <v> </v>
      </c>
      <c r="J3851" s="25" t="str">
        <f>IF(OR(E3851="",E3851="!!!",F3851="NEW"),"",COUNTBLANK(OFFSET(A$1,,,SUMPRODUCT(MAX(ROW(E$2:E3851)*(E3851=E$2:E3851)))))-COUNTBLANK(OFFSET(A$1,,,SUMPRODUCT(MAX(ROW(E$1:E3850)*(E2=E$1:E3850))))))</f>
        <v> </v>
      </c>
      <c r="K3851" s="25" t="str">
        <f>IF(OR(E3851="",E3851="!!!",F3851="NEW"),"",INDEX(J$1:J3850,SUMPRODUCT(MAX(ROW(E$1:E3850)*(E3851=E$1:E3850)))))</f>
        <v> </v>
      </c>
      <c r="L3851" s="26"/>
    </row>
    <row r="3852" spans="1:12">
      <c r="A3852" s="20" t="s">
        <v>1104</v>
      </c>
      <c r="E3852" s="21">
        <f>IF(D3852="?OLD","!!!","")</f>
        <v/>
      </c>
      <c r="F3852" s="22" t="str">
        <f>IF(OR(E3852="",E3852="!!!"),"",IF(NOT(ISNA(VLOOKUP(E3852,E$1:E3851,1,FALSE()))),"OLD",IF(AND(E3852&lt;&gt;"",E3852&lt;&gt;"!!!"),"NEW","")))</f>
        <v> </v>
      </c>
      <c r="G3852" s="23" t="str">
        <f>IF(OR(E3852="",E3852="!!!"),"",IF(OR(J3852=0,AND(J3852=1,K3852=1),AND(J3852=1,I3852="SBJ"),AND(J3852=1,I3852=0)),"?IN_FOCUS",IF(J3852&lt;=2,"?ACTIVATED",IF(J3852&lt;&gt;"","?FAMILIAR",IF(F3852="NEW",IF(ISNA(VLOOKUP(E3852,#REF!,1,FALSE())),"?TYPE_IDENTIFIABLE","?REFERENTIAL"),"_")))))</f>
        <v> </v>
      </c>
      <c r="H3852" s="24" t="str">
        <f>IF(J3852&lt;&gt;1,"",IF(I3852="SBJ","CB","?"))</f>
        <v> </v>
      </c>
      <c r="I3852" s="25" t="str">
        <f>IF(OR(E3852="",E3852="!!!",F3852="NEW"),"",INDEX(B3851:B$2,-1+SUMPRODUCT(MAX(ROW(E3851:E$2)*(E3852=E3851:E$2)))))</f>
        <v> </v>
      </c>
      <c r="J3852" s="25" t="str">
        <f>IF(OR(E3852="",E3852="!!!",F3852="NEW"),"",COUNTBLANK(OFFSET(A$1,,,SUMPRODUCT(MAX(ROW(E$2:E3852)*(E3852=E$2:E3852)))))-COUNTBLANK(OFFSET(A$1,,,SUMPRODUCT(MAX(ROW(E$1:E3851)*(E2=E$1:E3851))))))</f>
        <v> </v>
      </c>
      <c r="K3852" s="25" t="str">
        <f>IF(OR(E3852="",E3852="!!!",F3852="NEW"),"",INDEX(J$1:J3851,SUMPRODUCT(MAX(ROW(E$1:E3851)*(E3852=E$1:E3851)))))</f>
        <v> </v>
      </c>
      <c r="L3852" s="26"/>
    </row>
    <row r="3853" spans="1:12">
      <c r="A3853" s="20" t="s">
        <v>1816</v>
      </c>
      <c r="E3853" s="21">
        <f>IF(D3853="?OLD","!!!","")</f>
        <v/>
      </c>
      <c r="F3853" s="22" t="str">
        <f>IF(OR(E3853="",E3853="!!!"),"",IF(NOT(ISNA(VLOOKUP(E3853,E$1:E3852,1,FALSE()))),"OLD",IF(AND(E3853&lt;&gt;"",E3853&lt;&gt;"!!!"),"NEW","")))</f>
        <v> </v>
      </c>
      <c r="G3853" s="23" t="str">
        <f>IF(OR(E3853="",E3853="!!!"),"",IF(OR(J3853=0,AND(J3853=1,K3853=1),AND(J3853=1,I3853="SBJ"),AND(J3853=1,I3853=0)),"?IN_FOCUS",IF(J3853&lt;=2,"?ACTIVATED",IF(J3853&lt;&gt;"","?FAMILIAR",IF(F3853="NEW",IF(ISNA(VLOOKUP(E3853,#REF!,1,FALSE())),"?TYPE_IDENTIFIABLE","?REFERENTIAL"),"_")))))</f>
        <v> </v>
      </c>
      <c r="H3853" s="24" t="str">
        <f>IF(J3853&lt;&gt;1,"",IF(I3853="SBJ","CB","?"))</f>
        <v> </v>
      </c>
      <c r="I3853" s="25" t="str">
        <f>IF(OR(E3853="",E3853="!!!",F3853="NEW"),"",INDEX(B3852:B$2,-1+SUMPRODUCT(MAX(ROW(E3852:E$2)*(E3853=E3852:E$2)))))</f>
        <v> </v>
      </c>
      <c r="J3853" s="25" t="str">
        <f>IF(OR(E3853="",E3853="!!!",F3853="NEW"),"",COUNTBLANK(OFFSET(A$1,,,SUMPRODUCT(MAX(ROW(E$2:E3853)*(E3853=E$2:E3853)))))-COUNTBLANK(OFFSET(A$1,,,SUMPRODUCT(MAX(ROW(E$1:E3852)*(E2=E$1:E3852))))))</f>
        <v> </v>
      </c>
      <c r="K3853" s="25" t="str">
        <f>IF(OR(E3853="",E3853="!!!",F3853="NEW"),"",INDEX(J$1:J3852,SUMPRODUCT(MAX(ROW(E$1:E3852)*(E3853=E$1:E3852)))))</f>
        <v> </v>
      </c>
      <c r="L3853" s="26"/>
    </row>
    <row r="3854" spans="1:12">
      <c r="A3854" s="20" t="s">
        <v>2284</v>
      </c>
      <c r="B3854" s="27" t="s">
        <v>1090</v>
      </c>
      <c r="C3854" s="27" t="s">
        <v>1086</v>
      </c>
      <c r="D3854" s="27" t="s">
        <v>1069</v>
      </c>
      <c r="E3854" s="21">
        <f>IF(D3854="?OLD","!!!","")</f>
        <v/>
      </c>
      <c r="F3854" s="22" t="str">
        <f>IF(OR(E3854="",E3854="!!!"),"",IF(NOT(ISNA(VLOOKUP(E3854,E$1:E3853,1,FALSE()))),"OLD",IF(AND(E3854&lt;&gt;"",E3854&lt;&gt;"!!!"),"NEW","")))</f>
        <v> </v>
      </c>
      <c r="G3854" s="23" t="str">
        <f>IF(OR(E3854="",E3854="!!!"),"",IF(OR(J3854=0,AND(J3854=1,K3854=1),AND(J3854=1,I3854="SBJ"),AND(J3854=1,I3854=0)),"?IN_FOCUS",IF(J3854&lt;=2,"?ACTIVATED",IF(J3854&lt;&gt;"","?FAMILIAR",IF(F3854="NEW",IF(ISNA(VLOOKUP(E3854,#REF!,1,FALSE())),"?TYPE_IDENTIFIABLE","?REFERENTIAL"),"_")))))</f>
        <v> </v>
      </c>
      <c r="H3854" s="24" t="str">
        <f>IF(J3854&lt;&gt;1,"",IF(I3854="SBJ","CB","?"))</f>
        <v> </v>
      </c>
      <c r="I3854" s="25" t="str">
        <f>IF(OR(E3854="",E3854="!!!",F3854="NEW"),"",INDEX(B3853:B$2,-1+SUMPRODUCT(MAX(ROW(E3853:E$2)*(E3854=E3853:E$2)))))</f>
        <v> </v>
      </c>
      <c r="J3854" s="25" t="str">
        <f>IF(OR(E3854="",E3854="!!!",F3854="NEW"),"",COUNTBLANK(OFFSET(A$1,,,SUMPRODUCT(MAX(ROW(E$2:E3854)*(E3854=E$2:E3854)))))-COUNTBLANK(OFFSET(A$1,,,SUMPRODUCT(MAX(ROW(E$1:E3853)*(E2=E$1:E3853))))))</f>
        <v> </v>
      </c>
      <c r="K3854" s="25" t="str">
        <f>IF(OR(E3854="",E3854="!!!",F3854="NEW"),"",INDEX(J$1:J3853,SUMPRODUCT(MAX(ROW(E$1:E3853)*(E3854=E$1:E3853)))))</f>
        <v> </v>
      </c>
      <c r="L3854" s="26"/>
    </row>
    <row r="3855" spans="1:12">
      <c r="A3855" s="20" t="s">
        <v>1080</v>
      </c>
      <c r="E3855" s="21">
        <f>IF(D3855="?OLD","!!!","")</f>
        <v/>
      </c>
      <c r="F3855" s="22" t="str">
        <f>IF(OR(E3855="",E3855="!!!"),"",IF(NOT(ISNA(VLOOKUP(E3855,E$1:E3854,1,FALSE()))),"OLD",IF(AND(E3855&lt;&gt;"",E3855&lt;&gt;"!!!"),"NEW","")))</f>
        <v> </v>
      </c>
      <c r="G3855" s="23" t="str">
        <f>IF(OR(E3855="",E3855="!!!"),"",IF(OR(J3855=0,AND(J3855=1,K3855=1),AND(J3855=1,I3855="SBJ"),AND(J3855=1,I3855=0)),"?IN_FOCUS",IF(J3855&lt;=2,"?ACTIVATED",IF(J3855&lt;&gt;"","?FAMILIAR",IF(F3855="NEW",IF(ISNA(VLOOKUP(E3855,#REF!,1,FALSE())),"?TYPE_IDENTIFIABLE","?REFERENTIAL"),"_")))))</f>
        <v> </v>
      </c>
      <c r="H3855" s="24" t="str">
        <f>IF(J3855&lt;&gt;1,"",IF(I3855="SBJ","CB","?"))</f>
        <v> </v>
      </c>
      <c r="I3855" s="25" t="str">
        <f>IF(OR(E3855="",E3855="!!!",F3855="NEW"),"",INDEX(B3854:B$2,-1+SUMPRODUCT(MAX(ROW(E3854:E$2)*(E3855=E3854:E$2)))))</f>
        <v> </v>
      </c>
      <c r="J3855" s="25" t="str">
        <f>IF(OR(E3855="",E3855="!!!",F3855="NEW"),"",COUNTBLANK(OFFSET(A$1,,,SUMPRODUCT(MAX(ROW(E$2:E3855)*(E3855=E$2:E3855)))))-COUNTBLANK(OFFSET(A$1,,,SUMPRODUCT(MAX(ROW(E$1:E3854)*(E2=E$1:E3854))))))</f>
        <v> </v>
      </c>
      <c r="K3855" s="25" t="str">
        <f>IF(OR(E3855="",E3855="!!!",F3855="NEW"),"",INDEX(J$1:J3854,SUMPRODUCT(MAX(ROW(E$1:E3854)*(E3855=E$1:E3854)))))</f>
        <v> </v>
      </c>
      <c r="L3855" s="26"/>
    </row>
    <row r="3856" spans="1:12">
      <c r="A3856" s="20"/>
    </row>
    <row r="3857" spans="1:12">
      <c r="A3857" s="20" t="s">
        <v>2285</v>
      </c>
    </row>
    <row r="3858" spans="1:12">
      <c r="A3858" s="20" t="s">
        <v>1082</v>
      </c>
      <c r="E3858" s="21">
        <f>IF(D3858="?OLD","!!!","")</f>
        <v/>
      </c>
      <c r="F3858" s="22" t="str">
        <f>IF(OR(E3858="",E3858="!!!"),"",IF(NOT(ISNA(VLOOKUP(E3858,E$1:E3857,1,FALSE()))),"OLD",IF(AND(E3858&lt;&gt;"",E3858&lt;&gt;"!!!"),"NEW","")))</f>
        <v> </v>
      </c>
      <c r="G3858" s="23" t="str">
        <f>IF(OR(E3858="",E3858="!!!"),"",IF(OR(J3858=0,AND(J3858=1,K3858=1),AND(J3858=1,I3858="SBJ"),AND(J3858=1,I3858=0)),"?IN_FOCUS",IF(J3858&lt;=2,"?ACTIVATED",IF(J3858&lt;&gt;"","?FAMILIAR",IF(F3858="NEW",IF(ISNA(VLOOKUP(E3858,#REF!,1,FALSE())),"?TYPE_IDENTIFIABLE","?REFERENTIAL"),"_")))))</f>
        <v> </v>
      </c>
      <c r="H3858" s="24" t="str">
        <f>IF(J3858&lt;&gt;1,"",IF(I3858="SBJ","CB","?"))</f>
        <v> </v>
      </c>
      <c r="I3858" s="25" t="str">
        <f>IF(OR(E3858="",E3858="!!!",F3858="NEW"),"",INDEX(B3857:B$2,-1+SUMPRODUCT(MAX(ROW(E3857:E$2)*(E3858=E3857:E$2)))))</f>
        <v> </v>
      </c>
      <c r="J3858" s="25" t="str">
        <f>IF(OR(E3858="",E3858="!!!",F3858="NEW"),"",COUNTBLANK(OFFSET(A$1,,,SUMPRODUCT(MAX(ROW(E$2:E3858)*(E3858=E$2:E3858)))))-COUNTBLANK(OFFSET(A$1,,,SUMPRODUCT(MAX(ROW(E$1:E3857)*(E2=E$1:E3857))))))</f>
        <v> </v>
      </c>
      <c r="K3858" s="25" t="str">
        <f>IF(OR(E3858="",E3858="!!!",F3858="NEW"),"",INDEX(J$1:J3857,SUMPRODUCT(MAX(ROW(E$1:E3857)*(E3858=E$1:E3857)))))</f>
        <v> </v>
      </c>
      <c r="L3858" s="26"/>
    </row>
    <row r="3859" spans="1:12">
      <c r="A3859" s="20" t="s">
        <v>1167</v>
      </c>
      <c r="B3859" s="27" t="s">
        <v>1067</v>
      </c>
      <c r="C3859" s="27" t="s">
        <v>1068</v>
      </c>
      <c r="D3859" s="27" t="s">
        <v>1069</v>
      </c>
      <c r="E3859" s="21">
        <f>IF(D3859="?OLD","!!!","")</f>
        <v/>
      </c>
      <c r="F3859" s="22" t="str">
        <f>IF(OR(E3859="",E3859="!!!"),"",IF(NOT(ISNA(VLOOKUP(E3859,E$1:E3858,1,FALSE()))),"OLD",IF(AND(E3859&lt;&gt;"",E3859&lt;&gt;"!!!"),"NEW","")))</f>
        <v> </v>
      </c>
      <c r="G3859" s="23" t="str">
        <f>IF(OR(E3859="",E3859="!!!"),"",IF(OR(J3859=0,AND(J3859=1,K3859=1),AND(J3859=1,I3859="SBJ"),AND(J3859=1,I3859=0)),"?IN_FOCUS",IF(J3859&lt;=2,"?ACTIVATED",IF(J3859&lt;&gt;"","?FAMILIAR",IF(F3859="NEW",IF(ISNA(VLOOKUP(E3859,#REF!,1,FALSE())),"?TYPE_IDENTIFIABLE","?REFERENTIAL"),"_")))))</f>
        <v> </v>
      </c>
      <c r="H3859" s="24" t="str">
        <f>IF(J3859&lt;&gt;1,"",IF(I3859="SBJ","CB","?"))</f>
        <v> </v>
      </c>
      <c r="I3859" s="25" t="str">
        <f>IF(OR(E3859="",E3859="!!!",F3859="NEW"),"",INDEX(B3858:B$2,-1+SUMPRODUCT(MAX(ROW(E3858:E$2)*(E3859=E3858:E$2)))))</f>
        <v> </v>
      </c>
      <c r="J3859" s="25" t="str">
        <f>IF(OR(E3859="",E3859="!!!",F3859="NEW"),"",COUNTBLANK(OFFSET(A$1,,,SUMPRODUCT(MAX(ROW(E$2:E3859)*(E3859=E$2:E3859)))))-COUNTBLANK(OFFSET(A$1,,,SUMPRODUCT(MAX(ROW(E$1:E3858)*(E2=E$1:E3858))))))</f>
        <v> </v>
      </c>
      <c r="K3859" s="25" t="str">
        <f>IF(OR(E3859="",E3859="!!!",F3859="NEW"),"",INDEX(J$1:J3858,SUMPRODUCT(MAX(ROW(E$1:E3858)*(E3859=E$1:E3858)))))</f>
        <v> </v>
      </c>
      <c r="L3859" s="26"/>
    </row>
    <row r="3860" spans="1:12">
      <c r="A3860" s="20" t="s">
        <v>2286</v>
      </c>
      <c r="E3860" s="21">
        <f>IF(D3860="?OLD","!!!","")</f>
        <v/>
      </c>
      <c r="F3860" s="22" t="str">
        <f>IF(OR(E3860="",E3860="!!!"),"",IF(NOT(ISNA(VLOOKUP(E3860,E$1:E3859,1,FALSE()))),"OLD",IF(AND(E3860&lt;&gt;"",E3860&lt;&gt;"!!!"),"NEW","")))</f>
        <v> </v>
      </c>
      <c r="G3860" s="23" t="str">
        <f>IF(OR(E3860="",E3860="!!!"),"",IF(OR(J3860=0,AND(J3860=1,K3860=1),AND(J3860=1,I3860="SBJ"),AND(J3860=1,I3860=0)),"?IN_FOCUS",IF(J3860&lt;=2,"?ACTIVATED",IF(J3860&lt;&gt;"","?FAMILIAR",IF(F3860="NEW",IF(ISNA(VLOOKUP(E3860,#REF!,1,FALSE())),"?TYPE_IDENTIFIABLE","?REFERENTIAL"),"_")))))</f>
        <v> </v>
      </c>
      <c r="H3860" s="24" t="str">
        <f>IF(J3860&lt;&gt;1,"",IF(I3860="SBJ","CB","?"))</f>
        <v> </v>
      </c>
      <c r="I3860" s="25" t="str">
        <f>IF(OR(E3860="",E3860="!!!",F3860="NEW"),"",INDEX(B3859:B$2,-1+SUMPRODUCT(MAX(ROW(E3859:E$2)*(E3860=E3859:E$2)))))</f>
        <v> </v>
      </c>
      <c r="J3860" s="25" t="str">
        <f>IF(OR(E3860="",E3860="!!!",F3860="NEW"),"",COUNTBLANK(OFFSET(A$1,,,SUMPRODUCT(MAX(ROW(E$2:E3860)*(E3860=E$2:E3860)))))-COUNTBLANK(OFFSET(A$1,,,SUMPRODUCT(MAX(ROW(E$1:E3859)*(E2=E$1:E3859))))))</f>
        <v> </v>
      </c>
      <c r="K3860" s="25" t="str">
        <f>IF(OR(E3860="",E3860="!!!",F3860="NEW"),"",INDEX(J$1:J3859,SUMPRODUCT(MAX(ROW(E$1:E3859)*(E3860=E$1:E3859)))))</f>
        <v> </v>
      </c>
      <c r="L3860" s="26"/>
    </row>
    <row r="3861" spans="1:12">
      <c r="A3861" s="20" t="s">
        <v>1703</v>
      </c>
      <c r="E3861" s="21">
        <f>IF(D3861="?OLD","!!!","")</f>
        <v/>
      </c>
      <c r="F3861" s="22" t="str">
        <f>IF(OR(E3861="",E3861="!!!"),"",IF(NOT(ISNA(VLOOKUP(E3861,E$1:E3860,1,FALSE()))),"OLD",IF(AND(E3861&lt;&gt;"",E3861&lt;&gt;"!!!"),"NEW","")))</f>
        <v> </v>
      </c>
      <c r="G3861" s="23" t="str">
        <f>IF(OR(E3861="",E3861="!!!"),"",IF(OR(J3861=0,AND(J3861=1,K3861=1),AND(J3861=1,I3861="SBJ"),AND(J3861=1,I3861=0)),"?IN_FOCUS",IF(J3861&lt;=2,"?ACTIVATED",IF(J3861&lt;&gt;"","?FAMILIAR",IF(F3861="NEW",IF(ISNA(VLOOKUP(E3861,#REF!,1,FALSE())),"?TYPE_IDENTIFIABLE","?REFERENTIAL"),"_")))))</f>
        <v> </v>
      </c>
      <c r="H3861" s="24" t="str">
        <f>IF(J3861&lt;&gt;1,"",IF(I3861="SBJ","CB","?"))</f>
        <v> </v>
      </c>
      <c r="I3861" s="25" t="str">
        <f>IF(OR(E3861="",E3861="!!!",F3861="NEW"),"",INDEX(B3860:B$2,-1+SUMPRODUCT(MAX(ROW(E3860:E$2)*(E3861=E3860:E$2)))))</f>
        <v> </v>
      </c>
      <c r="J3861" s="25" t="str">
        <f>IF(OR(E3861="",E3861="!!!",F3861="NEW"),"",COUNTBLANK(OFFSET(A$1,,,SUMPRODUCT(MAX(ROW(E$2:E3861)*(E3861=E$2:E3861)))))-COUNTBLANK(OFFSET(A$1,,,SUMPRODUCT(MAX(ROW(E$1:E3860)*(E2=E$1:E3860))))))</f>
        <v> </v>
      </c>
      <c r="K3861" s="25" t="str">
        <f>IF(OR(E3861="",E3861="!!!",F3861="NEW"),"",INDEX(J$1:J3860,SUMPRODUCT(MAX(ROW(E$1:E3860)*(E3861=E$1:E3860)))))</f>
        <v> </v>
      </c>
      <c r="L3861" s="26"/>
    </row>
    <row r="3862" spans="1:12">
      <c r="A3862" s="20" t="s">
        <v>1078</v>
      </c>
      <c r="E3862" s="21">
        <f>IF(D3862="?OLD","!!!","")</f>
        <v/>
      </c>
      <c r="F3862" s="22" t="str">
        <f>IF(OR(E3862="",E3862="!!!"),"",IF(NOT(ISNA(VLOOKUP(E3862,E$1:E3861,1,FALSE()))),"OLD",IF(AND(E3862&lt;&gt;"",E3862&lt;&gt;"!!!"),"NEW","")))</f>
        <v> </v>
      </c>
      <c r="G3862" s="23" t="str">
        <f>IF(OR(E3862="",E3862="!!!"),"",IF(OR(J3862=0,AND(J3862=1,K3862=1),AND(J3862=1,I3862="SBJ"),AND(J3862=1,I3862=0)),"?IN_FOCUS",IF(J3862&lt;=2,"?ACTIVATED",IF(J3862&lt;&gt;"","?FAMILIAR",IF(F3862="NEW",IF(ISNA(VLOOKUP(E3862,#REF!,1,FALSE())),"?TYPE_IDENTIFIABLE","?REFERENTIAL"),"_")))))</f>
        <v> </v>
      </c>
      <c r="H3862" s="24" t="str">
        <f>IF(J3862&lt;&gt;1,"",IF(I3862="SBJ","CB","?"))</f>
        <v> </v>
      </c>
      <c r="I3862" s="25" t="str">
        <f>IF(OR(E3862="",E3862="!!!",F3862="NEW"),"",INDEX(B3861:B$2,-1+SUMPRODUCT(MAX(ROW(E3861:E$2)*(E3862=E3861:E$2)))))</f>
        <v> </v>
      </c>
      <c r="J3862" s="25" t="str">
        <f>IF(OR(E3862="",E3862="!!!",F3862="NEW"),"",COUNTBLANK(OFFSET(A$1,,,SUMPRODUCT(MAX(ROW(E$2:E3862)*(E3862=E$2:E3862)))))-COUNTBLANK(OFFSET(A$1,,,SUMPRODUCT(MAX(ROW(E$1:E3861)*(E2=E$1:E3861))))))</f>
        <v> </v>
      </c>
      <c r="K3862" s="25" t="str">
        <f>IF(OR(E3862="",E3862="!!!",F3862="NEW"),"",INDEX(J$1:J3861,SUMPRODUCT(MAX(ROW(E$1:E3861)*(E3862=E$1:E3861)))))</f>
        <v> </v>
      </c>
      <c r="L3862" s="26"/>
    </row>
    <row r="3863" spans="1:12">
      <c r="A3863" s="20" t="s">
        <v>2287</v>
      </c>
      <c r="E3863" s="21">
        <f>IF(D3863="?OLD","!!!","")</f>
        <v/>
      </c>
      <c r="F3863" s="22" t="str">
        <f>IF(OR(E3863="",E3863="!!!"),"",IF(NOT(ISNA(VLOOKUP(E3863,E$1:E3862,1,FALSE()))),"OLD",IF(AND(E3863&lt;&gt;"",E3863&lt;&gt;"!!!"),"NEW","")))</f>
        <v> </v>
      </c>
      <c r="G3863" s="23" t="str">
        <f>IF(OR(E3863="",E3863="!!!"),"",IF(OR(J3863=0,AND(J3863=1,K3863=1),AND(J3863=1,I3863="SBJ"),AND(J3863=1,I3863=0)),"?IN_FOCUS",IF(J3863&lt;=2,"?ACTIVATED",IF(J3863&lt;&gt;"","?FAMILIAR",IF(F3863="NEW",IF(ISNA(VLOOKUP(E3863,#REF!,1,FALSE())),"?TYPE_IDENTIFIABLE","?REFERENTIAL"),"_")))))</f>
        <v> </v>
      </c>
      <c r="H3863" s="24" t="str">
        <f>IF(J3863&lt;&gt;1,"",IF(I3863="SBJ","CB","?"))</f>
        <v> </v>
      </c>
      <c r="I3863" s="25" t="str">
        <f>IF(OR(E3863="",E3863="!!!",F3863="NEW"),"",INDEX(B3862:B$2,-1+SUMPRODUCT(MAX(ROW(E3862:E$2)*(E3863=E3862:E$2)))))</f>
        <v> </v>
      </c>
      <c r="J3863" s="25" t="str">
        <f>IF(OR(E3863="",E3863="!!!",F3863="NEW"),"",COUNTBLANK(OFFSET(A$1,,,SUMPRODUCT(MAX(ROW(E$2:E3863)*(E3863=E$2:E3863)))))-COUNTBLANK(OFFSET(A$1,,,SUMPRODUCT(MAX(ROW(E$1:E3862)*(E2=E$1:E3862))))))</f>
        <v> </v>
      </c>
      <c r="K3863" s="25" t="str">
        <f>IF(OR(E3863="",E3863="!!!",F3863="NEW"),"",INDEX(J$1:J3862,SUMPRODUCT(MAX(ROW(E$1:E3862)*(E3863=E$1:E3862)))))</f>
        <v> </v>
      </c>
      <c r="L3863" s="26"/>
    </row>
    <row r="3864" spans="1:12">
      <c r="A3864" s="20" t="s">
        <v>236</v>
      </c>
      <c r="E3864" s="21">
        <f>IF(D3864="?OLD","!!!","")</f>
        <v/>
      </c>
      <c r="F3864" s="22" t="str">
        <f>IF(OR(E3864="",E3864="!!!"),"",IF(NOT(ISNA(VLOOKUP(E3864,E$1:E3863,1,FALSE()))),"OLD",IF(AND(E3864&lt;&gt;"",E3864&lt;&gt;"!!!"),"NEW","")))</f>
        <v> </v>
      </c>
      <c r="G3864" s="23" t="str">
        <f>IF(OR(E3864="",E3864="!!!"),"",IF(OR(J3864=0,AND(J3864=1,K3864=1),AND(J3864=1,I3864="SBJ"),AND(J3864=1,I3864=0)),"?IN_FOCUS",IF(J3864&lt;=2,"?ACTIVATED",IF(J3864&lt;&gt;"","?FAMILIAR",IF(F3864="NEW",IF(ISNA(VLOOKUP(E3864,#REF!,1,FALSE())),"?TYPE_IDENTIFIABLE","?REFERENTIAL"),"_")))))</f>
        <v> </v>
      </c>
      <c r="H3864" s="24" t="str">
        <f>IF(J3864&lt;&gt;1,"",IF(I3864="SBJ","CB","?"))</f>
        <v> </v>
      </c>
      <c r="I3864" s="25" t="str">
        <f>IF(OR(E3864="",E3864="!!!",F3864="NEW"),"",INDEX(B3863:B$2,-1+SUMPRODUCT(MAX(ROW(E3863:E$2)*(E3864=E3863:E$2)))))</f>
        <v> </v>
      </c>
      <c r="J3864" s="25" t="str">
        <f>IF(OR(E3864="",E3864="!!!",F3864="NEW"),"",COUNTBLANK(OFFSET(A$1,,,SUMPRODUCT(MAX(ROW(E$2:E3864)*(E3864=E$2:E3864)))))-COUNTBLANK(OFFSET(A$1,,,SUMPRODUCT(MAX(ROW(E$1:E3863)*(E2=E$1:E3863))))))</f>
        <v> </v>
      </c>
      <c r="K3864" s="25" t="str">
        <f>IF(OR(E3864="",E3864="!!!",F3864="NEW"),"",INDEX(J$1:J3863,SUMPRODUCT(MAX(ROW(E$1:E3863)*(E3864=E$1:E3863)))))</f>
        <v> </v>
      </c>
      <c r="L3864" s="26"/>
    </row>
    <row r="3865" spans="1:12">
      <c r="A3865" s="20" t="s">
        <v>1154</v>
      </c>
      <c r="B3865" s="27" t="s">
        <v>1092</v>
      </c>
      <c r="C3865" s="27" t="s">
        <v>1117</v>
      </c>
      <c r="E3865" s="21">
        <f>IF(D3865="?OLD","!!!","")</f>
        <v/>
      </c>
      <c r="F3865" s="22" t="str">
        <f>IF(OR(E3865="",E3865="!!!"),"",IF(NOT(ISNA(VLOOKUP(E3865,E$1:E3864,1,FALSE()))),"OLD",IF(AND(E3865&lt;&gt;"",E3865&lt;&gt;"!!!"),"NEW","")))</f>
        <v> </v>
      </c>
      <c r="G3865" s="23" t="str">
        <f>IF(OR(E3865="",E3865="!!!"),"",IF(OR(J3865=0,AND(J3865=1,K3865=1),AND(J3865=1,I3865="SBJ"),AND(J3865=1,I3865=0)),"?IN_FOCUS",IF(J3865&lt;=2,"?ACTIVATED",IF(J3865&lt;&gt;"","?FAMILIAR",IF(F3865="NEW",IF(ISNA(VLOOKUP(E3865,#REF!,1,FALSE())),"?TYPE_IDENTIFIABLE","?REFERENTIAL"),"_")))))</f>
        <v> </v>
      </c>
      <c r="H3865" s="24" t="str">
        <f>IF(J3865&lt;&gt;1,"",IF(I3865="SBJ","CB","?"))</f>
        <v> </v>
      </c>
      <c r="I3865" s="25" t="str">
        <f>IF(OR(E3865="",E3865="!!!",F3865="NEW"),"",INDEX(B3864:B$2,-1+SUMPRODUCT(MAX(ROW(E3864:E$2)*(E3865=E3864:E$2)))))</f>
        <v> </v>
      </c>
      <c r="J3865" s="25" t="str">
        <f>IF(OR(E3865="",E3865="!!!",F3865="NEW"),"",COUNTBLANK(OFFSET(A$1,,,SUMPRODUCT(MAX(ROW(E$2:E3865)*(E3865=E$2:E3865)))))-COUNTBLANK(OFFSET(A$1,,,SUMPRODUCT(MAX(ROW(E$1:E3864)*(E2=E$1:E3864))))))</f>
        <v> </v>
      </c>
      <c r="K3865" s="25" t="str">
        <f>IF(OR(E3865="",E3865="!!!",F3865="NEW"),"",INDEX(J$1:J3864,SUMPRODUCT(MAX(ROW(E$1:E3864)*(E3865=E$1:E3864)))))</f>
        <v> </v>
      </c>
      <c r="L3865" s="26"/>
    </row>
    <row r="3866" spans="1:12">
      <c r="A3866" s="20" t="s">
        <v>2288</v>
      </c>
      <c r="E3866" s="21">
        <f>IF(D3866="?OLD","!!!","")</f>
        <v/>
      </c>
      <c r="F3866" s="22" t="str">
        <f>IF(OR(E3866="",E3866="!!!"),"",IF(NOT(ISNA(VLOOKUP(E3866,E$1:E3865,1,FALSE()))),"OLD",IF(AND(E3866&lt;&gt;"",E3866&lt;&gt;"!!!"),"NEW","")))</f>
        <v> </v>
      </c>
      <c r="G3866" s="23" t="str">
        <f>IF(OR(E3866="",E3866="!!!"),"",IF(OR(J3866=0,AND(J3866=1,K3866=1),AND(J3866=1,I3866="SBJ"),AND(J3866=1,I3866=0)),"?IN_FOCUS",IF(J3866&lt;=2,"?ACTIVATED",IF(J3866&lt;&gt;"","?FAMILIAR",IF(F3866="NEW",IF(ISNA(VLOOKUP(E3866,#REF!,1,FALSE())),"?TYPE_IDENTIFIABLE","?REFERENTIAL"),"_")))))</f>
        <v> </v>
      </c>
      <c r="H3866" s="24" t="str">
        <f>IF(J3866&lt;&gt;1,"",IF(I3866="SBJ","CB","?"))</f>
        <v> </v>
      </c>
      <c r="I3866" s="25" t="str">
        <f>IF(OR(E3866="",E3866="!!!",F3866="NEW"),"",INDEX(B3865:B$2,-1+SUMPRODUCT(MAX(ROW(E3865:E$2)*(E3866=E3865:E$2)))))</f>
        <v> </v>
      </c>
      <c r="J3866" s="25" t="str">
        <f>IF(OR(E3866="",E3866="!!!",F3866="NEW"),"",COUNTBLANK(OFFSET(A$1,,,SUMPRODUCT(MAX(ROW(E$2:E3866)*(E3866=E$2:E3866)))))-COUNTBLANK(OFFSET(A$1,,,SUMPRODUCT(MAX(ROW(E$1:E3865)*(E2=E$1:E3865))))))</f>
        <v> </v>
      </c>
      <c r="K3866" s="25" t="str">
        <f>IF(OR(E3866="",E3866="!!!",F3866="NEW"),"",INDEX(J$1:J3865,SUMPRODUCT(MAX(ROW(E$1:E3865)*(E3866=E$1:E3865)))))</f>
        <v> </v>
      </c>
      <c r="L3866" s="26"/>
    </row>
    <row r="3867" spans="1:12">
      <c r="A3867" s="20" t="s">
        <v>1078</v>
      </c>
      <c r="E3867" s="21">
        <f>IF(D3867="?OLD","!!!","")</f>
        <v/>
      </c>
      <c r="F3867" s="22" t="str">
        <f>IF(OR(E3867="",E3867="!!!"),"",IF(NOT(ISNA(VLOOKUP(E3867,E$1:E3866,1,FALSE()))),"OLD",IF(AND(E3867&lt;&gt;"",E3867&lt;&gt;"!!!"),"NEW","")))</f>
        <v> </v>
      </c>
      <c r="G3867" s="23" t="str">
        <f>IF(OR(E3867="",E3867="!!!"),"",IF(OR(J3867=0,AND(J3867=1,K3867=1),AND(J3867=1,I3867="SBJ"),AND(J3867=1,I3867=0)),"?IN_FOCUS",IF(J3867&lt;=2,"?ACTIVATED",IF(J3867&lt;&gt;"","?FAMILIAR",IF(F3867="NEW",IF(ISNA(VLOOKUP(E3867,#REF!,1,FALSE())),"?TYPE_IDENTIFIABLE","?REFERENTIAL"),"_")))))</f>
        <v> </v>
      </c>
      <c r="H3867" s="24" t="str">
        <f>IF(J3867&lt;&gt;1,"",IF(I3867="SBJ","CB","?"))</f>
        <v> </v>
      </c>
      <c r="I3867" s="25" t="str">
        <f>IF(OR(E3867="",E3867="!!!",F3867="NEW"),"",INDEX(B3866:B$2,-1+SUMPRODUCT(MAX(ROW(E3866:E$2)*(E3867=E3866:E$2)))))</f>
        <v> </v>
      </c>
      <c r="J3867" s="25" t="str">
        <f>IF(OR(E3867="",E3867="!!!",F3867="NEW"),"",COUNTBLANK(OFFSET(A$1,,,SUMPRODUCT(MAX(ROW(E$2:E3867)*(E3867=E$2:E3867)))))-COUNTBLANK(OFFSET(A$1,,,SUMPRODUCT(MAX(ROW(E$1:E3866)*(E2=E$1:E3866))))))</f>
        <v> </v>
      </c>
      <c r="K3867" s="25" t="str">
        <f>IF(OR(E3867="",E3867="!!!",F3867="NEW"),"",INDEX(J$1:J3866,SUMPRODUCT(MAX(ROW(E$1:E3866)*(E3867=E$1:E3866)))))</f>
        <v> </v>
      </c>
      <c r="L3867" s="26"/>
    </row>
    <row r="3868" spans="1:12">
      <c r="A3868" s="20" t="s">
        <v>1352</v>
      </c>
      <c r="E3868" s="21">
        <f>IF(D3868="?OLD","!!!","")</f>
        <v/>
      </c>
      <c r="F3868" s="22" t="str">
        <f>IF(OR(E3868="",E3868="!!!"),"",IF(NOT(ISNA(VLOOKUP(E3868,E$1:E3867,1,FALSE()))),"OLD",IF(AND(E3868&lt;&gt;"",E3868&lt;&gt;"!!!"),"NEW","")))</f>
        <v> </v>
      </c>
      <c r="G3868" s="23" t="str">
        <f>IF(OR(E3868="",E3868="!!!"),"",IF(OR(J3868=0,AND(J3868=1,K3868=1),AND(J3868=1,I3868="SBJ"),AND(J3868=1,I3868=0)),"?IN_FOCUS",IF(J3868&lt;=2,"?ACTIVATED",IF(J3868&lt;&gt;"","?FAMILIAR",IF(F3868="NEW",IF(ISNA(VLOOKUP(E3868,#REF!,1,FALSE())),"?TYPE_IDENTIFIABLE","?REFERENTIAL"),"_")))))</f>
        <v> </v>
      </c>
      <c r="H3868" s="24" t="str">
        <f>IF(J3868&lt;&gt;1,"",IF(I3868="SBJ","CB","?"))</f>
        <v> </v>
      </c>
      <c r="I3868" s="25" t="str">
        <f>IF(OR(E3868="",E3868="!!!",F3868="NEW"),"",INDEX(B3867:B$2,-1+SUMPRODUCT(MAX(ROW(E3867:E$2)*(E3868=E3867:E$2)))))</f>
        <v> </v>
      </c>
      <c r="J3868" s="25" t="str">
        <f>IF(OR(E3868="",E3868="!!!",F3868="NEW"),"",COUNTBLANK(OFFSET(A$1,,,SUMPRODUCT(MAX(ROW(E$2:E3868)*(E3868=E$2:E3868)))))-COUNTBLANK(OFFSET(A$1,,,SUMPRODUCT(MAX(ROW(E$1:E3867)*(E2=E$1:E3867))))))</f>
        <v> </v>
      </c>
      <c r="K3868" s="25" t="str">
        <f>IF(OR(E3868="",E3868="!!!",F3868="NEW"),"",INDEX(J$1:J3867,SUMPRODUCT(MAX(ROW(E$1:E3867)*(E3868=E$1:E3867)))))</f>
        <v> </v>
      </c>
      <c r="L3868" s="26"/>
    </row>
    <row r="3869" spans="1:12">
      <c r="A3869" s="20" t="s">
        <v>1191</v>
      </c>
      <c r="E3869" s="21">
        <f>IF(D3869="?OLD","!!!","")</f>
        <v/>
      </c>
      <c r="F3869" s="22" t="str">
        <f>IF(OR(E3869="",E3869="!!!"),"",IF(NOT(ISNA(VLOOKUP(E3869,E$1:E3868,1,FALSE()))),"OLD",IF(AND(E3869&lt;&gt;"",E3869&lt;&gt;"!!!"),"NEW","")))</f>
        <v> </v>
      </c>
      <c r="G3869" s="23" t="str">
        <f>IF(OR(E3869="",E3869="!!!"),"",IF(OR(J3869=0,AND(J3869=1,K3869=1),AND(J3869=1,I3869="SBJ"),AND(J3869=1,I3869=0)),"?IN_FOCUS",IF(J3869&lt;=2,"?ACTIVATED",IF(J3869&lt;&gt;"","?FAMILIAR",IF(F3869="NEW",IF(ISNA(VLOOKUP(E3869,#REF!,1,FALSE())),"?TYPE_IDENTIFIABLE","?REFERENTIAL"),"_")))))</f>
        <v> </v>
      </c>
      <c r="H3869" s="24" t="str">
        <f>IF(J3869&lt;&gt;1,"",IF(I3869="SBJ","CB","?"))</f>
        <v> </v>
      </c>
      <c r="I3869" s="25" t="str">
        <f>IF(OR(E3869="",E3869="!!!",F3869="NEW"),"",INDEX(B3868:B$2,-1+SUMPRODUCT(MAX(ROW(E3868:E$2)*(E3869=E3868:E$2)))))</f>
        <v> </v>
      </c>
      <c r="J3869" s="25" t="str">
        <f>IF(OR(E3869="",E3869="!!!",F3869="NEW"),"",COUNTBLANK(OFFSET(A$1,,,SUMPRODUCT(MAX(ROW(E$2:E3869)*(E3869=E$2:E3869)))))-COUNTBLANK(OFFSET(A$1,,,SUMPRODUCT(MAX(ROW(E$1:E3868)*(E2=E$1:E3868))))))</f>
        <v> </v>
      </c>
      <c r="K3869" s="25" t="str">
        <f>IF(OR(E3869="",E3869="!!!",F3869="NEW"),"",INDEX(J$1:J3868,SUMPRODUCT(MAX(ROW(E$1:E3868)*(E3869=E$1:E3868)))))</f>
        <v> </v>
      </c>
      <c r="L3869" s="26"/>
    </row>
    <row r="3870" spans="1:12">
      <c r="A3870" s="20" t="s">
        <v>1167</v>
      </c>
      <c r="B3870" s="27" t="s">
        <v>1095</v>
      </c>
      <c r="C3870" s="27" t="s">
        <v>1068</v>
      </c>
      <c r="D3870" s="27" t="s">
        <v>1069</v>
      </c>
      <c r="E3870" s="21">
        <f>IF(D3870="?OLD","!!!","")</f>
        <v/>
      </c>
      <c r="F3870" s="22" t="str">
        <f>IF(OR(E3870="",E3870="!!!"),"",IF(NOT(ISNA(VLOOKUP(E3870,E$1:E3869,1,FALSE()))),"OLD",IF(AND(E3870&lt;&gt;"",E3870&lt;&gt;"!!!"),"NEW","")))</f>
        <v> </v>
      </c>
      <c r="G3870" s="23" t="str">
        <f>IF(OR(E3870="",E3870="!!!"),"",IF(OR(J3870=0,AND(J3870=1,K3870=1),AND(J3870=1,I3870="SBJ"),AND(J3870=1,I3870=0)),"?IN_FOCUS",IF(J3870&lt;=2,"?ACTIVATED",IF(J3870&lt;&gt;"","?FAMILIAR",IF(F3870="NEW",IF(ISNA(VLOOKUP(E3870,#REF!,1,FALSE())),"?TYPE_IDENTIFIABLE","?REFERENTIAL"),"_")))))</f>
        <v> </v>
      </c>
      <c r="H3870" s="24" t="str">
        <f>IF(J3870&lt;&gt;1,"",IF(I3870="SBJ","CB","?"))</f>
        <v> </v>
      </c>
      <c r="I3870" s="25" t="str">
        <f>IF(OR(E3870="",E3870="!!!",F3870="NEW"),"",INDEX(B3869:B$2,-1+SUMPRODUCT(MAX(ROW(E3869:E$2)*(E3870=E3869:E$2)))))</f>
        <v> </v>
      </c>
      <c r="J3870" s="25" t="str">
        <f>IF(OR(E3870="",E3870="!!!",F3870="NEW"),"",COUNTBLANK(OFFSET(A$1,,,SUMPRODUCT(MAX(ROW(E$2:E3870)*(E3870=E$2:E3870)))))-COUNTBLANK(OFFSET(A$1,,,SUMPRODUCT(MAX(ROW(E$1:E3869)*(E2=E$1:E3869))))))</f>
        <v> </v>
      </c>
      <c r="K3870" s="25" t="str">
        <f>IF(OR(E3870="",E3870="!!!",F3870="NEW"),"",INDEX(J$1:J3869,SUMPRODUCT(MAX(ROW(E$1:E3869)*(E3870=E$1:E3869)))))</f>
        <v> </v>
      </c>
      <c r="L3870" s="26"/>
    </row>
    <row r="3871" spans="1:12">
      <c r="A3871" s="20" t="s">
        <v>2252</v>
      </c>
      <c r="E3871" s="21">
        <f>IF(D3871="?OLD","!!!","")</f>
        <v/>
      </c>
      <c r="F3871" s="22" t="str">
        <f>IF(OR(E3871="",E3871="!!!"),"",IF(NOT(ISNA(VLOOKUP(E3871,E$1:E3870,1,FALSE()))),"OLD",IF(AND(E3871&lt;&gt;"",E3871&lt;&gt;"!!!"),"NEW","")))</f>
        <v> </v>
      </c>
      <c r="G3871" s="23" t="str">
        <f>IF(OR(E3871="",E3871="!!!"),"",IF(OR(J3871=0,AND(J3871=1,K3871=1),AND(J3871=1,I3871="SBJ"),AND(J3871=1,I3871=0)),"?IN_FOCUS",IF(J3871&lt;=2,"?ACTIVATED",IF(J3871&lt;&gt;"","?FAMILIAR",IF(F3871="NEW",IF(ISNA(VLOOKUP(E3871,#REF!,1,FALSE())),"?TYPE_IDENTIFIABLE","?REFERENTIAL"),"_")))))</f>
        <v> </v>
      </c>
      <c r="H3871" s="24" t="str">
        <f>IF(J3871&lt;&gt;1,"",IF(I3871="SBJ","CB","?"))</f>
        <v> </v>
      </c>
      <c r="I3871" s="25" t="str">
        <f>IF(OR(E3871="",E3871="!!!",F3871="NEW"),"",INDEX(B3870:B$2,-1+SUMPRODUCT(MAX(ROW(E3870:E$2)*(E3871=E3870:E$2)))))</f>
        <v> </v>
      </c>
      <c r="J3871" s="25" t="str">
        <f>IF(OR(E3871="",E3871="!!!",F3871="NEW"),"",COUNTBLANK(OFFSET(A$1,,,SUMPRODUCT(MAX(ROW(E$2:E3871)*(E3871=E$2:E3871)))))-COUNTBLANK(OFFSET(A$1,,,SUMPRODUCT(MAX(ROW(E$1:E3870)*(E2=E$1:E3870))))))</f>
        <v> </v>
      </c>
      <c r="K3871" s="25" t="str">
        <f>IF(OR(E3871="",E3871="!!!",F3871="NEW"),"",INDEX(J$1:J3870,SUMPRODUCT(MAX(ROW(E$1:E3870)*(E3871=E$1:E3870)))))</f>
        <v> </v>
      </c>
      <c r="L3871" s="26"/>
    </row>
    <row r="3872" spans="1:12">
      <c r="A3872" s="20" t="s">
        <v>1080</v>
      </c>
      <c r="E3872" s="21">
        <f>IF(D3872="?OLD","!!!","")</f>
        <v/>
      </c>
      <c r="F3872" s="22" t="str">
        <f>IF(OR(E3872="",E3872="!!!"),"",IF(NOT(ISNA(VLOOKUP(E3872,E$1:E3871,1,FALSE()))),"OLD",IF(AND(E3872&lt;&gt;"",E3872&lt;&gt;"!!!"),"NEW","")))</f>
        <v> </v>
      </c>
      <c r="G3872" s="23" t="str">
        <f>IF(OR(E3872="",E3872="!!!"),"",IF(OR(J3872=0,AND(J3872=1,K3872=1),AND(J3872=1,I3872="SBJ"),AND(J3872=1,I3872=0)),"?IN_FOCUS",IF(J3872&lt;=2,"?ACTIVATED",IF(J3872&lt;&gt;"","?FAMILIAR",IF(F3872="NEW",IF(ISNA(VLOOKUP(E3872,#REF!,1,FALSE())),"?TYPE_IDENTIFIABLE","?REFERENTIAL"),"_")))))</f>
        <v> </v>
      </c>
      <c r="H3872" s="24" t="str">
        <f>IF(J3872&lt;&gt;1,"",IF(I3872="SBJ","CB","?"))</f>
        <v> </v>
      </c>
      <c r="I3872" s="25" t="str">
        <f>IF(OR(E3872="",E3872="!!!",F3872="NEW"),"",INDEX(B3871:B$2,-1+SUMPRODUCT(MAX(ROW(E3871:E$2)*(E3872=E3871:E$2)))))</f>
        <v> </v>
      </c>
      <c r="J3872" s="25" t="str">
        <f>IF(OR(E3872="",E3872="!!!",F3872="NEW"),"",COUNTBLANK(OFFSET(A$1,,,SUMPRODUCT(MAX(ROW(E$2:E3872)*(E3872=E$2:E3872)))))-COUNTBLANK(OFFSET(A$1,,,SUMPRODUCT(MAX(ROW(E$1:E3871)*(E2=E$1:E3871))))))</f>
        <v> </v>
      </c>
      <c r="K3872" s="25" t="str">
        <f>IF(OR(E3872="",E3872="!!!",F3872="NEW"),"",INDEX(J$1:J3871,SUMPRODUCT(MAX(ROW(E$1:E3871)*(E3872=E$1:E3871)))))</f>
        <v> </v>
      </c>
      <c r="L3872" s="26"/>
    </row>
    <row r="3873" spans="1:12">
      <c r="A3873" s="20"/>
    </row>
    <row r="3874" spans="1:12">
      <c r="A3874" s="20" t="s">
        <v>2289</v>
      </c>
    </row>
    <row r="3875" spans="1:12">
      <c r="A3875" s="20" t="s">
        <v>2258</v>
      </c>
      <c r="E3875" s="21">
        <f>IF(D3875="?OLD","!!!","")</f>
        <v/>
      </c>
      <c r="F3875" s="22" t="str">
        <f>IF(OR(E3875="",E3875="!!!"),"",IF(NOT(ISNA(VLOOKUP(E3875,E$1:E3874,1,FALSE()))),"OLD",IF(AND(E3875&lt;&gt;"",E3875&lt;&gt;"!!!"),"NEW","")))</f>
        <v> </v>
      </c>
      <c r="G3875" s="23" t="str">
        <f>IF(OR(E3875="",E3875="!!!"),"",IF(OR(J3875=0,AND(J3875=1,K3875=1),AND(J3875=1,I3875="SBJ"),AND(J3875=1,I3875=0)),"?IN_FOCUS",IF(J3875&lt;=2,"?ACTIVATED",IF(J3875&lt;&gt;"","?FAMILIAR",IF(F3875="NEW",IF(ISNA(VLOOKUP(E3875,#REF!,1,FALSE())),"?TYPE_IDENTIFIABLE","?REFERENTIAL"),"_")))))</f>
        <v> </v>
      </c>
      <c r="H3875" s="24" t="str">
        <f>IF(J3875&lt;&gt;1,"",IF(I3875="SBJ","CB","?"))</f>
        <v> </v>
      </c>
      <c r="I3875" s="25" t="str">
        <f>IF(OR(E3875="",E3875="!!!",F3875="NEW"),"",INDEX(B3874:B$2,-1+SUMPRODUCT(MAX(ROW(E3874:E$2)*(E3875=E3874:E$2)))))</f>
        <v> </v>
      </c>
      <c r="J3875" s="25" t="str">
        <f>IF(OR(E3875="",E3875="!!!",F3875="NEW"),"",COUNTBLANK(OFFSET(A$1,,,SUMPRODUCT(MAX(ROW(E$2:E3875)*(E3875=E$2:E3875)))))-COUNTBLANK(OFFSET(A$1,,,SUMPRODUCT(MAX(ROW(E$1:E3874)*(E2=E$1:E3874))))))</f>
        <v> </v>
      </c>
      <c r="K3875" s="25" t="str">
        <f>IF(OR(E3875="",E3875="!!!",F3875="NEW"),"",INDEX(J$1:J3874,SUMPRODUCT(MAX(ROW(E$1:E3874)*(E3875=E$1:E3874)))))</f>
        <v> </v>
      </c>
      <c r="L3875" s="26"/>
    </row>
    <row r="3876" spans="1:12">
      <c r="A3876" s="20" t="s">
        <v>1317</v>
      </c>
      <c r="E3876" s="21">
        <f>IF(D3876="?OLD","!!!","")</f>
        <v/>
      </c>
      <c r="F3876" s="22" t="str">
        <f>IF(OR(E3876="",E3876="!!!"),"",IF(NOT(ISNA(VLOOKUP(E3876,E$1:E3875,1,FALSE()))),"OLD",IF(AND(E3876&lt;&gt;"",E3876&lt;&gt;"!!!"),"NEW","")))</f>
        <v> </v>
      </c>
      <c r="G3876" s="23" t="str">
        <f>IF(OR(E3876="",E3876="!!!"),"",IF(OR(J3876=0,AND(J3876=1,K3876=1),AND(J3876=1,I3876="SBJ"),AND(J3876=1,I3876=0)),"?IN_FOCUS",IF(J3876&lt;=2,"?ACTIVATED",IF(J3876&lt;&gt;"","?FAMILIAR",IF(F3876="NEW",IF(ISNA(VLOOKUP(E3876,#REF!,1,FALSE())),"?TYPE_IDENTIFIABLE","?REFERENTIAL"),"_")))))</f>
        <v> </v>
      </c>
      <c r="H3876" s="24" t="str">
        <f>IF(J3876&lt;&gt;1,"",IF(I3876="SBJ","CB","?"))</f>
        <v> </v>
      </c>
      <c r="I3876" s="25" t="str">
        <f>IF(OR(E3876="",E3876="!!!",F3876="NEW"),"",INDEX(B3875:B$2,-1+SUMPRODUCT(MAX(ROW(E3875:E$2)*(E3876=E3875:E$2)))))</f>
        <v> </v>
      </c>
      <c r="J3876" s="25" t="str">
        <f>IF(OR(E3876="",E3876="!!!",F3876="NEW"),"",COUNTBLANK(OFFSET(A$1,,,SUMPRODUCT(MAX(ROW(E$2:E3876)*(E3876=E$2:E3876)))))-COUNTBLANK(OFFSET(A$1,,,SUMPRODUCT(MAX(ROW(E$1:E3875)*(E2=E$1:E3875))))))</f>
        <v> </v>
      </c>
      <c r="K3876" s="25" t="str">
        <f>IF(OR(E3876="",E3876="!!!",F3876="NEW"),"",INDEX(J$1:J3875,SUMPRODUCT(MAX(ROW(E$1:E3875)*(E3876=E$1:E3875)))))</f>
        <v> </v>
      </c>
      <c r="L3876" s="26"/>
    </row>
    <row r="3877" spans="1:12">
      <c r="A3877" s="20" t="s">
        <v>1397</v>
      </c>
      <c r="E3877" s="21">
        <f>IF(D3877="?OLD","!!!","")</f>
        <v/>
      </c>
      <c r="F3877" s="22" t="str">
        <f>IF(OR(E3877="",E3877="!!!"),"",IF(NOT(ISNA(VLOOKUP(E3877,E$1:E3876,1,FALSE()))),"OLD",IF(AND(E3877&lt;&gt;"",E3877&lt;&gt;"!!!"),"NEW","")))</f>
        <v> </v>
      </c>
      <c r="G3877" s="23" t="str">
        <f>IF(OR(E3877="",E3877="!!!"),"",IF(OR(J3877=0,AND(J3877=1,K3877=1),AND(J3877=1,I3877="SBJ"),AND(J3877=1,I3877=0)),"?IN_FOCUS",IF(J3877&lt;=2,"?ACTIVATED",IF(J3877&lt;&gt;"","?FAMILIAR",IF(F3877="NEW",IF(ISNA(VLOOKUP(E3877,#REF!,1,FALSE())),"?TYPE_IDENTIFIABLE","?REFERENTIAL"),"_")))))</f>
        <v> </v>
      </c>
      <c r="H3877" s="24" t="str">
        <f>IF(J3877&lt;&gt;1,"",IF(I3877="SBJ","CB","?"))</f>
        <v> </v>
      </c>
      <c r="I3877" s="25" t="str">
        <f>IF(OR(E3877="",E3877="!!!",F3877="NEW"),"",INDEX(B3876:B$2,-1+SUMPRODUCT(MAX(ROW(E3876:E$2)*(E3877=E3876:E$2)))))</f>
        <v> </v>
      </c>
      <c r="J3877" s="25" t="str">
        <f>IF(OR(E3877="",E3877="!!!",F3877="NEW"),"",COUNTBLANK(OFFSET(A$1,,,SUMPRODUCT(MAX(ROW(E$2:E3877)*(E3877=E$2:E3877)))))-COUNTBLANK(OFFSET(A$1,,,SUMPRODUCT(MAX(ROW(E$1:E3876)*(E2=E$1:E3876))))))</f>
        <v> </v>
      </c>
      <c r="K3877" s="25" t="str">
        <f>IF(OR(E3877="",E3877="!!!",F3877="NEW"),"",INDEX(J$1:J3876,SUMPRODUCT(MAX(ROW(E$1:E3876)*(E3877=E$1:E3876)))))</f>
        <v> </v>
      </c>
      <c r="L3877" s="26"/>
    </row>
    <row r="3878" spans="1:12">
      <c r="A3878" s="20" t="s">
        <v>808</v>
      </c>
      <c r="B3878" s="27" t="s">
        <v>1074</v>
      </c>
      <c r="C3878" s="27" t="s">
        <v>1120</v>
      </c>
      <c r="E3878" s="21">
        <f>IF(D3878="?OLD","!!!","")</f>
        <v/>
      </c>
      <c r="F3878" s="22" t="str">
        <f>IF(OR(E3878="",E3878="!!!"),"",IF(NOT(ISNA(VLOOKUP(E3878,E$1:E3877,1,FALSE()))),"OLD",IF(AND(E3878&lt;&gt;"",E3878&lt;&gt;"!!!"),"NEW","")))</f>
        <v> </v>
      </c>
      <c r="G3878" s="23" t="str">
        <f>IF(OR(E3878="",E3878="!!!"),"",IF(OR(J3878=0,AND(J3878=1,K3878=1),AND(J3878=1,I3878="SBJ"),AND(J3878=1,I3878=0)),"?IN_FOCUS",IF(J3878&lt;=2,"?ACTIVATED",IF(J3878&lt;&gt;"","?FAMILIAR",IF(F3878="NEW",IF(ISNA(VLOOKUP(E3878,#REF!,1,FALSE())),"?TYPE_IDENTIFIABLE","?REFERENTIAL"),"_")))))</f>
        <v> </v>
      </c>
      <c r="H3878" s="24" t="str">
        <f>IF(J3878&lt;&gt;1,"",IF(I3878="SBJ","CB","?"))</f>
        <v> </v>
      </c>
      <c r="I3878" s="25" t="str">
        <f>IF(OR(E3878="",E3878="!!!",F3878="NEW"),"",INDEX(B3877:B$2,-1+SUMPRODUCT(MAX(ROW(E3877:E$2)*(E3878=E3877:E$2)))))</f>
        <v> </v>
      </c>
      <c r="J3878" s="25" t="str">
        <f>IF(OR(E3878="",E3878="!!!",F3878="NEW"),"",COUNTBLANK(OFFSET(A$1,,,SUMPRODUCT(MAX(ROW(E$2:E3878)*(E3878=E$2:E3878)))))-COUNTBLANK(OFFSET(A$1,,,SUMPRODUCT(MAX(ROW(E$1:E3877)*(E2=E$1:E3877))))))</f>
        <v> </v>
      </c>
      <c r="K3878" s="25" t="str">
        <f>IF(OR(E3878="",E3878="!!!",F3878="NEW"),"",INDEX(J$1:J3877,SUMPRODUCT(MAX(ROW(E$1:E3877)*(E3878=E$1:E3877)))))</f>
        <v> </v>
      </c>
      <c r="L3878" s="26"/>
    </row>
    <row r="3879" spans="1:12">
      <c r="A3879" s="20" t="s">
        <v>1087</v>
      </c>
      <c r="E3879" s="21">
        <f>IF(D3879="?OLD","!!!","")</f>
        <v/>
      </c>
      <c r="F3879" s="22" t="str">
        <f>IF(OR(E3879="",E3879="!!!"),"",IF(NOT(ISNA(VLOOKUP(E3879,E$1:E3878,1,FALSE()))),"OLD",IF(AND(E3879&lt;&gt;"",E3879&lt;&gt;"!!!"),"NEW","")))</f>
        <v> </v>
      </c>
      <c r="G3879" s="23" t="str">
        <f>IF(OR(E3879="",E3879="!!!"),"",IF(OR(J3879=0,AND(J3879=1,K3879=1),AND(J3879=1,I3879="SBJ"),AND(J3879=1,I3879=0)),"?IN_FOCUS",IF(J3879&lt;=2,"?ACTIVATED",IF(J3879&lt;&gt;"","?FAMILIAR",IF(F3879="NEW",IF(ISNA(VLOOKUP(E3879,#REF!,1,FALSE())),"?TYPE_IDENTIFIABLE","?REFERENTIAL"),"_")))))</f>
        <v> </v>
      </c>
      <c r="H3879" s="24" t="str">
        <f>IF(J3879&lt;&gt;1,"",IF(I3879="SBJ","CB","?"))</f>
        <v> </v>
      </c>
      <c r="I3879" s="25" t="str">
        <f>IF(OR(E3879="",E3879="!!!",F3879="NEW"),"",INDEX(B3878:B$2,-1+SUMPRODUCT(MAX(ROW(E3878:E$2)*(E3879=E3878:E$2)))))</f>
        <v> </v>
      </c>
      <c r="J3879" s="25" t="str">
        <f>IF(OR(E3879="",E3879="!!!",F3879="NEW"),"",COUNTBLANK(OFFSET(A$1,,,SUMPRODUCT(MAX(ROW(E$2:E3879)*(E3879=E$2:E3879)))))-COUNTBLANK(OFFSET(A$1,,,SUMPRODUCT(MAX(ROW(E$1:E3878)*(E2=E$1:E3878))))))</f>
        <v> </v>
      </c>
      <c r="K3879" s="25" t="str">
        <f>IF(OR(E3879="",E3879="!!!",F3879="NEW"),"",INDEX(J$1:J3878,SUMPRODUCT(MAX(ROW(E$1:E3878)*(E3879=E$1:E3878)))))</f>
        <v> </v>
      </c>
      <c r="L3879" s="26"/>
    </row>
    <row r="3880" spans="1:12">
      <c r="A3880" s="20" t="s">
        <v>1097</v>
      </c>
      <c r="B3880" s="27" t="s">
        <v>1095</v>
      </c>
      <c r="E3880" s="21">
        <f>IF(D3880="?OLD","!!!","")</f>
        <v/>
      </c>
      <c r="F3880" s="22" t="str">
        <f>IF(OR(E3880="",E3880="!!!"),"",IF(NOT(ISNA(VLOOKUP(E3880,E$1:E3879,1,FALSE()))),"OLD",IF(AND(E3880&lt;&gt;"",E3880&lt;&gt;"!!!"),"NEW","")))</f>
        <v> </v>
      </c>
      <c r="G3880" s="23" t="str">
        <f>IF(OR(E3880="",E3880="!!!"),"",IF(OR(J3880=0,AND(J3880=1,K3880=1),AND(J3880=1,I3880="SBJ"),AND(J3880=1,I3880=0)),"?IN_FOCUS",IF(J3880&lt;=2,"?ACTIVATED",IF(J3880&lt;&gt;"","?FAMILIAR",IF(F3880="NEW",IF(ISNA(VLOOKUP(E3880,#REF!,1,FALSE())),"?TYPE_IDENTIFIABLE","?REFERENTIAL"),"_")))))</f>
        <v> </v>
      </c>
      <c r="H3880" s="24" t="str">
        <f>IF(J3880&lt;&gt;1,"",IF(I3880="SBJ","CB","?"))</f>
        <v> </v>
      </c>
      <c r="I3880" s="25" t="str">
        <f>IF(OR(E3880="",E3880="!!!",F3880="NEW"),"",INDEX(B3879:B$2,-1+SUMPRODUCT(MAX(ROW(E3879:E$2)*(E3880=E3879:E$2)))))</f>
        <v> </v>
      </c>
      <c r="J3880" s="25" t="str">
        <f>IF(OR(E3880="",E3880="!!!",F3880="NEW"),"",COUNTBLANK(OFFSET(A$1,,,SUMPRODUCT(MAX(ROW(E$2:E3880)*(E3880=E$2:E3880)))))-COUNTBLANK(OFFSET(A$1,,,SUMPRODUCT(MAX(ROW(E$1:E3879)*(E2=E$1:E3879))))))</f>
        <v> </v>
      </c>
      <c r="K3880" s="25" t="str">
        <f>IF(OR(E3880="",E3880="!!!",F3880="NEW"),"",INDEX(J$1:J3879,SUMPRODUCT(MAX(ROW(E$1:E3879)*(E3880=E$1:E3879)))))</f>
        <v> </v>
      </c>
      <c r="L3880" s="26"/>
    </row>
    <row r="3881" spans="1:12">
      <c r="A3881" s="20" t="s">
        <v>1223</v>
      </c>
      <c r="E3881" s="21">
        <f>IF(D3881="?OLD","!!!","")</f>
        <v/>
      </c>
      <c r="F3881" s="22" t="str">
        <f>IF(OR(E3881="",E3881="!!!"),"",IF(NOT(ISNA(VLOOKUP(E3881,E$1:E3880,1,FALSE()))),"OLD",IF(AND(E3881&lt;&gt;"",E3881&lt;&gt;"!!!"),"NEW","")))</f>
        <v> </v>
      </c>
      <c r="G3881" s="23" t="str">
        <f>IF(OR(E3881="",E3881="!!!"),"",IF(OR(J3881=0,AND(J3881=1,K3881=1),AND(J3881=1,I3881="SBJ"),AND(J3881=1,I3881=0)),"?IN_FOCUS",IF(J3881&lt;=2,"?ACTIVATED",IF(J3881&lt;&gt;"","?FAMILIAR",IF(F3881="NEW",IF(ISNA(VLOOKUP(E3881,#REF!,1,FALSE())),"?TYPE_IDENTIFIABLE","?REFERENTIAL"),"_")))))</f>
        <v> </v>
      </c>
      <c r="H3881" s="24" t="str">
        <f>IF(J3881&lt;&gt;1,"",IF(I3881="SBJ","CB","?"))</f>
        <v> </v>
      </c>
      <c r="I3881" s="25" t="str">
        <f>IF(OR(E3881="",E3881="!!!",F3881="NEW"),"",INDEX(B3880:B$2,-1+SUMPRODUCT(MAX(ROW(E3880:E$2)*(E3881=E3880:E$2)))))</f>
        <v> </v>
      </c>
      <c r="J3881" s="25" t="str">
        <f>IF(OR(E3881="",E3881="!!!",F3881="NEW"),"",COUNTBLANK(OFFSET(A$1,,,SUMPRODUCT(MAX(ROW(E$2:E3881)*(E3881=E$2:E3881)))))-COUNTBLANK(OFFSET(A$1,,,SUMPRODUCT(MAX(ROW(E$1:E3880)*(E2=E$1:E3880))))))</f>
        <v> </v>
      </c>
      <c r="K3881" s="25" t="str">
        <f>IF(OR(E3881="",E3881="!!!",F3881="NEW"),"",INDEX(J$1:J3880,SUMPRODUCT(MAX(ROW(E$1:E3880)*(E3881=E$1:E3880)))))</f>
        <v> </v>
      </c>
      <c r="L3881" s="26"/>
    </row>
    <row r="3882" spans="1:12">
      <c r="A3882" s="20" t="s">
        <v>1185</v>
      </c>
      <c r="E3882" s="21">
        <f>IF(D3882="?OLD","!!!","")</f>
        <v/>
      </c>
      <c r="F3882" s="22" t="str">
        <f>IF(OR(E3882="",E3882="!!!"),"",IF(NOT(ISNA(VLOOKUP(E3882,E$1:E3881,1,FALSE()))),"OLD",IF(AND(E3882&lt;&gt;"",E3882&lt;&gt;"!!!"),"NEW","")))</f>
        <v> </v>
      </c>
      <c r="G3882" s="23" t="str">
        <f>IF(OR(E3882="",E3882="!!!"),"",IF(OR(J3882=0,AND(J3882=1,K3882=1),AND(J3882=1,I3882="SBJ"),AND(J3882=1,I3882=0)),"?IN_FOCUS",IF(J3882&lt;=2,"?ACTIVATED",IF(J3882&lt;&gt;"","?FAMILIAR",IF(F3882="NEW",IF(ISNA(VLOOKUP(E3882,#REF!,1,FALSE())),"?TYPE_IDENTIFIABLE","?REFERENTIAL"),"_")))))</f>
        <v> </v>
      </c>
      <c r="H3882" s="24" t="str">
        <f>IF(J3882&lt;&gt;1,"",IF(I3882="SBJ","CB","?"))</f>
        <v> </v>
      </c>
      <c r="I3882" s="25" t="str">
        <f>IF(OR(E3882="",E3882="!!!",F3882="NEW"),"",INDEX(B3881:B$2,-1+SUMPRODUCT(MAX(ROW(E3881:E$2)*(E3882=E3881:E$2)))))</f>
        <v> </v>
      </c>
      <c r="J3882" s="25" t="str">
        <f>IF(OR(E3882="",E3882="!!!",F3882="NEW"),"",COUNTBLANK(OFFSET(A$1,,,SUMPRODUCT(MAX(ROW(E$2:E3882)*(E3882=E$2:E3882)))))-COUNTBLANK(OFFSET(A$1,,,SUMPRODUCT(MAX(ROW(E$1:E3881)*(E2=E$1:E3881))))))</f>
        <v> </v>
      </c>
      <c r="K3882" s="25" t="str">
        <f>IF(OR(E3882="",E3882="!!!",F3882="NEW"),"",INDEX(J$1:J3881,SUMPRODUCT(MAX(ROW(E$1:E3881)*(E3882=E$1:E3881)))))</f>
        <v> </v>
      </c>
      <c r="L3882" s="26"/>
    </row>
    <row r="3883" spans="1:12">
      <c r="A3883" s="20" t="s">
        <v>2290</v>
      </c>
      <c r="B3883" s="27" t="s">
        <v>1090</v>
      </c>
      <c r="C3883" s="27" t="s">
        <v>1120</v>
      </c>
      <c r="E3883" s="21">
        <f>IF(D3883="?OLD","!!!","")</f>
        <v/>
      </c>
      <c r="F3883" s="22" t="str">
        <f>IF(OR(E3883="",E3883="!!!"),"",IF(NOT(ISNA(VLOOKUP(E3883,E$1:E3882,1,FALSE()))),"OLD",IF(AND(E3883&lt;&gt;"",E3883&lt;&gt;"!!!"),"NEW","")))</f>
        <v> </v>
      </c>
      <c r="G3883" s="23" t="str">
        <f>IF(OR(E3883="",E3883="!!!"),"",IF(OR(J3883=0,AND(J3883=1,K3883=1),AND(J3883=1,I3883="SBJ"),AND(J3883=1,I3883=0)),"?IN_FOCUS",IF(J3883&lt;=2,"?ACTIVATED",IF(J3883&lt;&gt;"","?FAMILIAR",IF(F3883="NEW",IF(ISNA(VLOOKUP(E3883,#REF!,1,FALSE())),"?TYPE_IDENTIFIABLE","?REFERENTIAL"),"_")))))</f>
        <v> </v>
      </c>
      <c r="H3883" s="24" t="str">
        <f>IF(J3883&lt;&gt;1,"",IF(I3883="SBJ","CB","?"))</f>
        <v> </v>
      </c>
      <c r="I3883" s="25" t="str">
        <f>IF(OR(E3883="",E3883="!!!",F3883="NEW"),"",INDEX(B3882:B$2,-1+SUMPRODUCT(MAX(ROW(E3882:E$2)*(E3883=E3882:E$2)))))</f>
        <v> </v>
      </c>
      <c r="J3883" s="25" t="str">
        <f>IF(OR(E3883="",E3883="!!!",F3883="NEW"),"",COUNTBLANK(OFFSET(A$1,,,SUMPRODUCT(MAX(ROW(E$2:E3883)*(E3883=E$2:E3883)))))-COUNTBLANK(OFFSET(A$1,,,SUMPRODUCT(MAX(ROW(E$1:E3882)*(E2=E$1:E3882))))))</f>
        <v> </v>
      </c>
      <c r="K3883" s="25" t="str">
        <f>IF(OR(E3883="",E3883="!!!",F3883="NEW"),"",INDEX(J$1:J3882,SUMPRODUCT(MAX(ROW(E$1:E3882)*(E3883=E$1:E3882)))))</f>
        <v> </v>
      </c>
      <c r="L3883" s="26"/>
    </row>
    <row r="3884" spans="1:12">
      <c r="A3884" s="20" t="s">
        <v>1127</v>
      </c>
      <c r="E3884" s="21">
        <f>IF(D3884="?OLD","!!!","")</f>
        <v/>
      </c>
      <c r="F3884" s="22" t="str">
        <f>IF(OR(E3884="",E3884="!!!"),"",IF(NOT(ISNA(VLOOKUP(E3884,E$1:E3883,1,FALSE()))),"OLD",IF(AND(E3884&lt;&gt;"",E3884&lt;&gt;"!!!"),"NEW","")))</f>
        <v> </v>
      </c>
      <c r="G3884" s="23" t="str">
        <f>IF(OR(E3884="",E3884="!!!"),"",IF(OR(J3884=0,AND(J3884=1,K3884=1),AND(J3884=1,I3884="SBJ"),AND(J3884=1,I3884=0)),"?IN_FOCUS",IF(J3884&lt;=2,"?ACTIVATED",IF(J3884&lt;&gt;"","?FAMILIAR",IF(F3884="NEW",IF(ISNA(VLOOKUP(E3884,#REF!,1,FALSE())),"?TYPE_IDENTIFIABLE","?REFERENTIAL"),"_")))))</f>
        <v> </v>
      </c>
      <c r="H3884" s="24" t="str">
        <f>IF(J3884&lt;&gt;1,"",IF(I3884="SBJ","CB","?"))</f>
        <v> </v>
      </c>
      <c r="I3884" s="25" t="str">
        <f>IF(OR(E3884="",E3884="!!!",F3884="NEW"),"",INDEX(B3883:B$2,-1+SUMPRODUCT(MAX(ROW(E3883:E$2)*(E3884=E3883:E$2)))))</f>
        <v> </v>
      </c>
      <c r="J3884" s="25" t="str">
        <f>IF(OR(E3884="",E3884="!!!",F3884="NEW"),"",COUNTBLANK(OFFSET(A$1,,,SUMPRODUCT(MAX(ROW(E$2:E3884)*(E3884=E$2:E3884)))))-COUNTBLANK(OFFSET(A$1,,,SUMPRODUCT(MAX(ROW(E$1:E3883)*(E2=E$1:E3883))))))</f>
        <v> </v>
      </c>
      <c r="K3884" s="25" t="str">
        <f>IF(OR(E3884="",E3884="!!!",F3884="NEW"),"",INDEX(J$1:J3883,SUMPRODUCT(MAX(ROW(E$1:E3883)*(E3884=E$1:E3883)))))</f>
        <v> </v>
      </c>
      <c r="L3884" s="26"/>
    </row>
    <row r="3885" spans="1:12">
      <c r="A3885" s="20" t="s">
        <v>1113</v>
      </c>
      <c r="E3885" s="21">
        <f>IF(D3885="?OLD","!!!","")</f>
        <v/>
      </c>
      <c r="F3885" s="22" t="str">
        <f>IF(OR(E3885="",E3885="!!!"),"",IF(NOT(ISNA(VLOOKUP(E3885,E$1:E3884,1,FALSE()))),"OLD",IF(AND(E3885&lt;&gt;"",E3885&lt;&gt;"!!!"),"NEW","")))</f>
        <v> </v>
      </c>
      <c r="G3885" s="23" t="str">
        <f>IF(OR(E3885="",E3885="!!!"),"",IF(OR(J3885=0,AND(J3885=1,K3885=1),AND(J3885=1,I3885="SBJ"),AND(J3885=1,I3885=0)),"?IN_FOCUS",IF(J3885&lt;=2,"?ACTIVATED",IF(J3885&lt;&gt;"","?FAMILIAR",IF(F3885="NEW",IF(ISNA(VLOOKUP(E3885,#REF!,1,FALSE())),"?TYPE_IDENTIFIABLE","?REFERENTIAL"),"_")))))</f>
        <v> </v>
      </c>
      <c r="H3885" s="24" t="str">
        <f>IF(J3885&lt;&gt;1,"",IF(I3885="SBJ","CB","?"))</f>
        <v> </v>
      </c>
      <c r="I3885" s="25" t="str">
        <f>IF(OR(E3885="",E3885="!!!",F3885="NEW"),"",INDEX(B3884:B$2,-1+SUMPRODUCT(MAX(ROW(E3884:E$2)*(E3885=E3884:E$2)))))</f>
        <v> </v>
      </c>
      <c r="J3885" s="25" t="str">
        <f>IF(OR(E3885="",E3885="!!!",F3885="NEW"),"",COUNTBLANK(OFFSET(A$1,,,SUMPRODUCT(MAX(ROW(E$2:E3885)*(E3885=E$2:E3885)))))-COUNTBLANK(OFFSET(A$1,,,SUMPRODUCT(MAX(ROW(E$1:E3884)*(E2=E$1:E3884))))))</f>
        <v> </v>
      </c>
      <c r="K3885" s="25" t="str">
        <f>IF(OR(E3885="",E3885="!!!",F3885="NEW"),"",INDEX(J$1:J3884,SUMPRODUCT(MAX(ROW(E$1:E3884)*(E3885=E$1:E3884)))))</f>
        <v> </v>
      </c>
      <c r="L3885" s="26"/>
    </row>
    <row r="3886" spans="1:12">
      <c r="A3886" s="20" t="s">
        <v>1738</v>
      </c>
      <c r="B3886" s="27" t="s">
        <v>1092</v>
      </c>
      <c r="C3886" s="27" t="s">
        <v>1134</v>
      </c>
      <c r="D3886" s="27" t="s">
        <v>1069</v>
      </c>
      <c r="E3886" s="21">
        <f>IF(D3886="?OLD","!!!","")</f>
        <v/>
      </c>
      <c r="F3886" s="22" t="str">
        <f>IF(OR(E3886="",E3886="!!!"),"",IF(NOT(ISNA(VLOOKUP(E3886,E$1:E3885,1,FALSE()))),"OLD",IF(AND(E3886&lt;&gt;"",E3886&lt;&gt;"!!!"),"NEW","")))</f>
        <v> </v>
      </c>
      <c r="G3886" s="23" t="str">
        <f>IF(OR(E3886="",E3886="!!!"),"",IF(OR(J3886=0,AND(J3886=1,K3886=1),AND(J3886=1,I3886="SBJ"),AND(J3886=1,I3886=0)),"?IN_FOCUS",IF(J3886&lt;=2,"?ACTIVATED",IF(J3886&lt;&gt;"","?FAMILIAR",IF(F3886="NEW",IF(ISNA(VLOOKUP(E3886,#REF!,1,FALSE())),"?TYPE_IDENTIFIABLE","?REFERENTIAL"),"_")))))</f>
        <v> </v>
      </c>
      <c r="H3886" s="24" t="str">
        <f>IF(J3886&lt;&gt;1,"",IF(I3886="SBJ","CB","?"))</f>
        <v> </v>
      </c>
      <c r="I3886" s="25" t="str">
        <f>IF(OR(E3886="",E3886="!!!",F3886="NEW"),"",INDEX(B3885:B$2,-1+SUMPRODUCT(MAX(ROW(E3885:E$2)*(E3886=E3885:E$2)))))</f>
        <v> </v>
      </c>
      <c r="J3886" s="25" t="str">
        <f>IF(OR(E3886="",E3886="!!!",F3886="NEW"),"",COUNTBLANK(OFFSET(A$1,,,SUMPRODUCT(MAX(ROW(E$2:E3886)*(E3886=E$2:E3886)))))-COUNTBLANK(OFFSET(A$1,,,SUMPRODUCT(MAX(ROW(E$1:E3885)*(E2=E$1:E3885))))))</f>
        <v> </v>
      </c>
      <c r="K3886" s="25" t="str">
        <f>IF(OR(E3886="",E3886="!!!",F3886="NEW"),"",INDEX(J$1:J3885,SUMPRODUCT(MAX(ROW(E$1:E3885)*(E3886=E$1:E3885)))))</f>
        <v> </v>
      </c>
      <c r="L3886" s="26"/>
    </row>
    <row r="3887" spans="1:12">
      <c r="A3887" s="20" t="s">
        <v>2291</v>
      </c>
      <c r="E3887" s="21">
        <f>IF(D3887="?OLD","!!!","")</f>
        <v/>
      </c>
      <c r="F3887" s="22" t="str">
        <f>IF(OR(E3887="",E3887="!!!"),"",IF(NOT(ISNA(VLOOKUP(E3887,E$1:E3886,1,FALSE()))),"OLD",IF(AND(E3887&lt;&gt;"",E3887&lt;&gt;"!!!"),"NEW","")))</f>
        <v> </v>
      </c>
      <c r="G3887" s="23" t="str">
        <f>IF(OR(E3887="",E3887="!!!"),"",IF(OR(J3887=0,AND(J3887=1,K3887=1),AND(J3887=1,I3887="SBJ"),AND(J3887=1,I3887=0)),"?IN_FOCUS",IF(J3887&lt;=2,"?ACTIVATED",IF(J3887&lt;&gt;"","?FAMILIAR",IF(F3887="NEW",IF(ISNA(VLOOKUP(E3887,#REF!,1,FALSE())),"?TYPE_IDENTIFIABLE","?REFERENTIAL"),"_")))))</f>
        <v> </v>
      </c>
      <c r="H3887" s="24" t="str">
        <f>IF(J3887&lt;&gt;1,"",IF(I3887="SBJ","CB","?"))</f>
        <v> </v>
      </c>
      <c r="I3887" s="25" t="str">
        <f>IF(OR(E3887="",E3887="!!!",F3887="NEW"),"",INDEX(B3886:B$2,-1+SUMPRODUCT(MAX(ROW(E3886:E$2)*(E3887=E3886:E$2)))))</f>
        <v> </v>
      </c>
      <c r="J3887" s="25" t="str">
        <f>IF(OR(E3887="",E3887="!!!",F3887="NEW"),"",COUNTBLANK(OFFSET(A$1,,,SUMPRODUCT(MAX(ROW(E$2:E3887)*(E3887=E$2:E3887)))))-COUNTBLANK(OFFSET(A$1,,,SUMPRODUCT(MAX(ROW(E$1:E3886)*(E2=E$1:E3886))))))</f>
        <v> </v>
      </c>
      <c r="K3887" s="25" t="str">
        <f>IF(OR(E3887="",E3887="!!!",F3887="NEW"),"",INDEX(J$1:J3886,SUMPRODUCT(MAX(ROW(E$1:E3886)*(E3887=E$1:E3886)))))</f>
        <v> </v>
      </c>
      <c r="L3887" s="26"/>
    </row>
    <row r="3888" spans="1:12">
      <c r="A3888" s="20" t="s">
        <v>1080</v>
      </c>
      <c r="E3888" s="21">
        <f>IF(D3888="?OLD","!!!","")</f>
        <v/>
      </c>
      <c r="F3888" s="22" t="str">
        <f>IF(OR(E3888="",E3888="!!!"),"",IF(NOT(ISNA(VLOOKUP(E3888,E$1:E3887,1,FALSE()))),"OLD",IF(AND(E3888&lt;&gt;"",E3888&lt;&gt;"!!!"),"NEW","")))</f>
        <v> </v>
      </c>
      <c r="G3888" s="23" t="str">
        <f>IF(OR(E3888="",E3888="!!!"),"",IF(OR(J3888=0,AND(J3888=1,K3888=1),AND(J3888=1,I3888="SBJ"),AND(J3888=1,I3888=0)),"?IN_FOCUS",IF(J3888&lt;=2,"?ACTIVATED",IF(J3888&lt;&gt;"","?FAMILIAR",IF(F3888="NEW",IF(ISNA(VLOOKUP(E3888,#REF!,1,FALSE())),"?TYPE_IDENTIFIABLE","?REFERENTIAL"),"_")))))</f>
        <v> </v>
      </c>
      <c r="H3888" s="24" t="str">
        <f>IF(J3888&lt;&gt;1,"",IF(I3888="SBJ","CB","?"))</f>
        <v> </v>
      </c>
      <c r="I3888" s="25" t="str">
        <f>IF(OR(E3888="",E3888="!!!",F3888="NEW"),"",INDEX(B3887:B$2,-1+SUMPRODUCT(MAX(ROW(E3887:E$2)*(E3888=E3887:E$2)))))</f>
        <v> </v>
      </c>
      <c r="J3888" s="25" t="str">
        <f>IF(OR(E3888="",E3888="!!!",F3888="NEW"),"",COUNTBLANK(OFFSET(A$1,,,SUMPRODUCT(MAX(ROW(E$2:E3888)*(E3888=E$2:E3888)))))-COUNTBLANK(OFFSET(A$1,,,SUMPRODUCT(MAX(ROW(E$1:E3887)*(E2=E$1:E3887))))))</f>
        <v> </v>
      </c>
      <c r="K3888" s="25" t="str">
        <f>IF(OR(E3888="",E3888="!!!",F3888="NEW"),"",INDEX(J$1:J3887,SUMPRODUCT(MAX(ROW(E$1:E3887)*(E3888=E$1:E3887)))))</f>
        <v> </v>
      </c>
      <c r="L3888" s="26"/>
    </row>
    <row r="3889" spans="1:12">
      <c r="A3889" s="20"/>
    </row>
    <row r="3890" spans="1:12">
      <c r="A3890" s="20" t="s">
        <v>2292</v>
      </c>
    </row>
    <row r="3891" spans="1:12">
      <c r="A3891" s="20" t="s">
        <v>785</v>
      </c>
      <c r="B3891" s="27" t="s">
        <v>1074</v>
      </c>
      <c r="C3891" s="27" t="s">
        <v>1134</v>
      </c>
      <c r="D3891" s="27" t="s">
        <v>1069</v>
      </c>
      <c r="E3891" s="21">
        <f>IF(D3891="?OLD","!!!","")</f>
        <v/>
      </c>
      <c r="F3891" s="22" t="str">
        <f>IF(OR(E3891="",E3891="!!!"),"",IF(NOT(ISNA(VLOOKUP(E3891,E$1:E3890,1,FALSE()))),"OLD",IF(AND(E3891&lt;&gt;"",E3891&lt;&gt;"!!!"),"NEW","")))</f>
        <v> </v>
      </c>
      <c r="G3891" s="23" t="str">
        <f>IF(OR(E3891="",E3891="!!!"),"",IF(OR(J3891=0,AND(J3891=1,K3891=1),AND(J3891=1,I3891="SBJ"),AND(J3891=1,I3891=0)),"?IN_FOCUS",IF(J3891&lt;=2,"?ACTIVATED",IF(J3891&lt;&gt;"","?FAMILIAR",IF(F3891="NEW",IF(ISNA(VLOOKUP(E3891,#REF!,1,FALSE())),"?TYPE_IDENTIFIABLE","?REFERENTIAL"),"_")))))</f>
        <v> </v>
      </c>
      <c r="H3891" s="24" t="str">
        <f>IF(J3891&lt;&gt;1,"",IF(I3891="SBJ","CB","?"))</f>
        <v> </v>
      </c>
      <c r="I3891" s="25" t="str">
        <f>IF(OR(E3891="",E3891="!!!",F3891="NEW"),"",INDEX(B3890:B$2,-1+SUMPRODUCT(MAX(ROW(E3890:E$2)*(E3891=E3890:E$2)))))</f>
        <v> </v>
      </c>
      <c r="J3891" s="25" t="str">
        <f>IF(OR(E3891="",E3891="!!!",F3891="NEW"),"",COUNTBLANK(OFFSET(A$1,,,SUMPRODUCT(MAX(ROW(E$2:E3891)*(E3891=E$2:E3891)))))-COUNTBLANK(OFFSET(A$1,,,SUMPRODUCT(MAX(ROW(E$1:E3890)*(E2=E$1:E3890))))))</f>
        <v> </v>
      </c>
      <c r="K3891" s="25" t="str">
        <f>IF(OR(E3891="",E3891="!!!",F3891="NEW"),"",INDEX(J$1:J3890,SUMPRODUCT(MAX(ROW(E$1:E3890)*(E3891=E$1:E3890)))))</f>
        <v> </v>
      </c>
      <c r="L3891" s="26"/>
    </row>
    <row r="3892" spans="1:12">
      <c r="A3892" s="20" t="s">
        <v>1317</v>
      </c>
      <c r="E3892" s="21">
        <f>IF(D3892="?OLD","!!!","")</f>
        <v/>
      </c>
      <c r="F3892" s="22" t="str">
        <f>IF(OR(E3892="",E3892="!!!"),"",IF(NOT(ISNA(VLOOKUP(E3892,E$1:E3891,1,FALSE()))),"OLD",IF(AND(E3892&lt;&gt;"",E3892&lt;&gt;"!!!"),"NEW","")))</f>
        <v> </v>
      </c>
      <c r="G3892" s="23" t="str">
        <f>IF(OR(E3892="",E3892="!!!"),"",IF(OR(J3892=0,AND(J3892=1,K3892=1),AND(J3892=1,I3892="SBJ"),AND(J3892=1,I3892=0)),"?IN_FOCUS",IF(J3892&lt;=2,"?ACTIVATED",IF(J3892&lt;&gt;"","?FAMILIAR",IF(F3892="NEW",IF(ISNA(VLOOKUP(E3892,#REF!,1,FALSE())),"?TYPE_IDENTIFIABLE","?REFERENTIAL"),"_")))))</f>
        <v> </v>
      </c>
      <c r="H3892" s="24" t="str">
        <f>IF(J3892&lt;&gt;1,"",IF(I3892="SBJ","CB","?"))</f>
        <v> </v>
      </c>
      <c r="I3892" s="25" t="str">
        <f>IF(OR(E3892="",E3892="!!!",F3892="NEW"),"",INDEX(B3891:B$2,-1+SUMPRODUCT(MAX(ROW(E3891:E$2)*(E3892=E3891:E$2)))))</f>
        <v> </v>
      </c>
      <c r="J3892" s="25" t="str">
        <f>IF(OR(E3892="",E3892="!!!",F3892="NEW"),"",COUNTBLANK(OFFSET(A$1,,,SUMPRODUCT(MAX(ROW(E$2:E3892)*(E3892=E$2:E3892)))))-COUNTBLANK(OFFSET(A$1,,,SUMPRODUCT(MAX(ROW(E$1:E3891)*(E2=E$1:E3891))))))</f>
        <v> </v>
      </c>
      <c r="K3892" s="25" t="str">
        <f>IF(OR(E3892="",E3892="!!!",F3892="NEW"),"",INDEX(J$1:J3891,SUMPRODUCT(MAX(ROW(E$1:E3891)*(E3892=E$1:E3891)))))</f>
        <v> </v>
      </c>
      <c r="L3892" s="26"/>
    </row>
    <row r="3893" spans="1:12">
      <c r="A3893" s="20" t="s">
        <v>1976</v>
      </c>
      <c r="B3893" s="27" t="s">
        <v>1074</v>
      </c>
      <c r="C3893" s="27" t="s">
        <v>1134</v>
      </c>
      <c r="D3893" s="27" t="s">
        <v>1069</v>
      </c>
      <c r="E3893" s="21">
        <f>IF(D3893="?OLD","!!!","")</f>
        <v/>
      </c>
      <c r="F3893" s="22" t="str">
        <f>IF(OR(E3893="",E3893="!!!"),"",IF(NOT(ISNA(VLOOKUP(E3893,E$1:E3892,1,FALSE()))),"OLD",IF(AND(E3893&lt;&gt;"",E3893&lt;&gt;"!!!"),"NEW","")))</f>
        <v> </v>
      </c>
      <c r="G3893" s="23" t="str">
        <f>IF(OR(E3893="",E3893="!!!"),"",IF(OR(J3893=0,AND(J3893=1,K3893=1),AND(J3893=1,I3893="SBJ"),AND(J3893=1,I3893=0)),"?IN_FOCUS",IF(J3893&lt;=2,"?ACTIVATED",IF(J3893&lt;&gt;"","?FAMILIAR",IF(F3893="NEW",IF(ISNA(VLOOKUP(E3893,#REF!,1,FALSE())),"?TYPE_IDENTIFIABLE","?REFERENTIAL"),"_")))))</f>
        <v> </v>
      </c>
      <c r="H3893" s="24" t="str">
        <f>IF(J3893&lt;&gt;1,"",IF(I3893="SBJ","CB","?"))</f>
        <v> </v>
      </c>
      <c r="I3893" s="25" t="str">
        <f>IF(OR(E3893="",E3893="!!!",F3893="NEW"),"",INDEX(B3892:B$2,-1+SUMPRODUCT(MAX(ROW(E3892:E$2)*(E3893=E3892:E$2)))))</f>
        <v> </v>
      </c>
      <c r="J3893" s="25" t="str">
        <f>IF(OR(E3893="",E3893="!!!",F3893="NEW"),"",COUNTBLANK(OFFSET(A$1,,,SUMPRODUCT(MAX(ROW(E$2:E3893)*(E3893=E$2:E3893)))))-COUNTBLANK(OFFSET(A$1,,,SUMPRODUCT(MAX(ROW(E$1:E3892)*(E2=E$1:E3892))))))</f>
        <v> </v>
      </c>
      <c r="K3893" s="25" t="str">
        <f>IF(OR(E3893="",E3893="!!!",F3893="NEW"),"",INDEX(J$1:J3892,SUMPRODUCT(MAX(ROW(E$1:E3892)*(E3893=E$1:E3892)))))</f>
        <v> </v>
      </c>
      <c r="L3893" s="26"/>
    </row>
    <row r="3894" spans="1:12">
      <c r="A3894" s="20" t="s">
        <v>1080</v>
      </c>
      <c r="E3894" s="21">
        <f>IF(D3894="?OLD","!!!","")</f>
        <v/>
      </c>
      <c r="F3894" s="22" t="str">
        <f>IF(OR(E3894="",E3894="!!!"),"",IF(NOT(ISNA(VLOOKUP(E3894,E$1:E3893,1,FALSE()))),"OLD",IF(AND(E3894&lt;&gt;"",E3894&lt;&gt;"!!!"),"NEW","")))</f>
        <v> </v>
      </c>
      <c r="G3894" s="23" t="str">
        <f>IF(OR(E3894="",E3894="!!!"),"",IF(OR(J3894=0,AND(J3894=1,K3894=1),AND(J3894=1,I3894="SBJ"),AND(J3894=1,I3894=0)),"?IN_FOCUS",IF(J3894&lt;=2,"?ACTIVATED",IF(J3894&lt;&gt;"","?FAMILIAR",IF(F3894="NEW",IF(ISNA(VLOOKUP(E3894,#REF!,1,FALSE())),"?TYPE_IDENTIFIABLE","?REFERENTIAL"),"_")))))</f>
        <v> </v>
      </c>
      <c r="H3894" s="24" t="str">
        <f>IF(J3894&lt;&gt;1,"",IF(I3894="SBJ","CB","?"))</f>
        <v> </v>
      </c>
      <c r="I3894" s="25" t="str">
        <f>IF(OR(E3894="",E3894="!!!",F3894="NEW"),"",INDEX(B3893:B$2,-1+SUMPRODUCT(MAX(ROW(E3893:E$2)*(E3894=E3893:E$2)))))</f>
        <v> </v>
      </c>
      <c r="J3894" s="25" t="str">
        <f>IF(OR(E3894="",E3894="!!!",F3894="NEW"),"",COUNTBLANK(OFFSET(A$1,,,SUMPRODUCT(MAX(ROW(E$2:E3894)*(E3894=E$2:E3894)))))-COUNTBLANK(OFFSET(A$1,,,SUMPRODUCT(MAX(ROW(E$1:E3893)*(E2=E$1:E3893))))))</f>
        <v> </v>
      </c>
      <c r="K3894" s="25" t="str">
        <f>IF(OR(E3894="",E3894="!!!",F3894="NEW"),"",INDEX(J$1:J3893,SUMPRODUCT(MAX(ROW(E$1:E3893)*(E3894=E$1:E3893)))))</f>
        <v> </v>
      </c>
      <c r="L3894" s="26"/>
    </row>
    <row r="3895" spans="1:12">
      <c r="A3895" s="20"/>
    </row>
    <row r="3896" spans="1:12">
      <c r="A3896" s="20" t="s">
        <v>2293</v>
      </c>
    </row>
    <row r="3897" spans="1:12">
      <c r="A3897" s="20" t="s">
        <v>1210</v>
      </c>
      <c r="E3897" s="21">
        <f>IF(D3897="?OLD","!!!","")</f>
        <v/>
      </c>
      <c r="F3897" s="22" t="str">
        <f>IF(OR(E3897="",E3897="!!!"),"",IF(NOT(ISNA(VLOOKUP(E3897,E$1:E3896,1,FALSE()))),"OLD",IF(AND(E3897&lt;&gt;"",E3897&lt;&gt;"!!!"),"NEW","")))</f>
        <v> </v>
      </c>
      <c r="G3897" s="23" t="str">
        <f>IF(OR(E3897="",E3897="!!!"),"",IF(OR(J3897=0,AND(J3897=1,K3897=1),AND(J3897=1,I3897="SBJ"),AND(J3897=1,I3897=0)),"?IN_FOCUS",IF(J3897&lt;=2,"?ACTIVATED",IF(J3897&lt;&gt;"","?FAMILIAR",IF(F3897="NEW",IF(ISNA(VLOOKUP(E3897,#REF!,1,FALSE())),"?TYPE_IDENTIFIABLE","?REFERENTIAL"),"_")))))</f>
        <v> </v>
      </c>
      <c r="H3897" s="24" t="str">
        <f>IF(J3897&lt;&gt;1,"",IF(I3897="SBJ","CB","?"))</f>
        <v> </v>
      </c>
      <c r="I3897" s="25" t="str">
        <f>IF(OR(E3897="",E3897="!!!",F3897="NEW"),"",INDEX(B3896:B$2,-1+SUMPRODUCT(MAX(ROW(E3896:E$2)*(E3897=E3896:E$2)))))</f>
        <v> </v>
      </c>
      <c r="J3897" s="25" t="str">
        <f>IF(OR(E3897="",E3897="!!!",F3897="NEW"),"",COUNTBLANK(OFFSET(A$1,,,SUMPRODUCT(MAX(ROW(E$2:E3897)*(E3897=E$2:E3897)))))-COUNTBLANK(OFFSET(A$1,,,SUMPRODUCT(MAX(ROW(E$1:E3896)*(E2=E$1:E3896))))))</f>
        <v> </v>
      </c>
      <c r="K3897" s="25" t="str">
        <f>IF(OR(E3897="",E3897="!!!",F3897="NEW"),"",INDEX(J$1:J3896,SUMPRODUCT(MAX(ROW(E$1:E3896)*(E3897=E$1:E3896)))))</f>
        <v> </v>
      </c>
      <c r="L3897" s="26"/>
    </row>
    <row r="3898" spans="1:12">
      <c r="A3898" s="20" t="s">
        <v>1087</v>
      </c>
      <c r="E3898" s="21">
        <f>IF(D3898="?OLD","!!!","")</f>
        <v/>
      </c>
      <c r="F3898" s="22" t="str">
        <f>IF(OR(E3898="",E3898="!!!"),"",IF(NOT(ISNA(VLOOKUP(E3898,E$1:E3897,1,FALSE()))),"OLD",IF(AND(E3898&lt;&gt;"",E3898&lt;&gt;"!!!"),"NEW","")))</f>
        <v> </v>
      </c>
      <c r="G3898" s="23" t="str">
        <f>IF(OR(E3898="",E3898="!!!"),"",IF(OR(J3898=0,AND(J3898=1,K3898=1),AND(J3898=1,I3898="SBJ"),AND(J3898=1,I3898=0)),"?IN_FOCUS",IF(J3898&lt;=2,"?ACTIVATED",IF(J3898&lt;&gt;"","?FAMILIAR",IF(F3898="NEW",IF(ISNA(VLOOKUP(E3898,#REF!,1,FALSE())),"?TYPE_IDENTIFIABLE","?REFERENTIAL"),"_")))))</f>
        <v> </v>
      </c>
      <c r="H3898" s="24" t="str">
        <f>IF(J3898&lt;&gt;1,"",IF(I3898="SBJ","CB","?"))</f>
        <v> </v>
      </c>
      <c r="I3898" s="25" t="str">
        <f>IF(OR(E3898="",E3898="!!!",F3898="NEW"),"",INDEX(B3897:B$2,-1+SUMPRODUCT(MAX(ROW(E3897:E$2)*(E3898=E3897:E$2)))))</f>
        <v> </v>
      </c>
      <c r="J3898" s="25" t="str">
        <f>IF(OR(E3898="",E3898="!!!",F3898="NEW"),"",COUNTBLANK(OFFSET(A$1,,,SUMPRODUCT(MAX(ROW(E$2:E3898)*(E3898=E$2:E3898)))))-COUNTBLANK(OFFSET(A$1,,,SUMPRODUCT(MAX(ROW(E$1:E3897)*(E2=E$1:E3897))))))</f>
        <v> </v>
      </c>
      <c r="K3898" s="25" t="str">
        <f>IF(OR(E3898="",E3898="!!!",F3898="NEW"),"",INDEX(J$1:J3897,SUMPRODUCT(MAX(ROW(E$1:E3897)*(E3898=E$1:E3897)))))</f>
        <v> </v>
      </c>
      <c r="L3898" s="26"/>
    </row>
    <row r="3899" spans="1:12">
      <c r="A3899" s="20" t="s">
        <v>1568</v>
      </c>
      <c r="B3899" s="27" t="s">
        <v>1133</v>
      </c>
      <c r="C3899" s="27" t="s">
        <v>1110</v>
      </c>
      <c r="D3899" s="27" t="s">
        <v>1069</v>
      </c>
      <c r="E3899" s="21">
        <f>IF(D3899="?OLD","!!!","")</f>
        <v/>
      </c>
      <c r="F3899" s="22" t="str">
        <f>IF(OR(E3899="",E3899="!!!"),"",IF(NOT(ISNA(VLOOKUP(E3899,E$1:E3898,1,FALSE()))),"OLD",IF(AND(E3899&lt;&gt;"",E3899&lt;&gt;"!!!"),"NEW","")))</f>
        <v> </v>
      </c>
      <c r="G3899" s="23" t="str">
        <f>IF(OR(E3899="",E3899="!!!"),"",IF(OR(J3899=0,AND(J3899=1,K3899=1),AND(J3899=1,I3899="SBJ"),AND(J3899=1,I3899=0)),"?IN_FOCUS",IF(J3899&lt;=2,"?ACTIVATED",IF(J3899&lt;&gt;"","?FAMILIAR",IF(F3899="NEW",IF(ISNA(VLOOKUP(E3899,#REF!,1,FALSE())),"?TYPE_IDENTIFIABLE","?REFERENTIAL"),"_")))))</f>
        <v> </v>
      </c>
      <c r="H3899" s="24" t="str">
        <f>IF(J3899&lt;&gt;1,"",IF(I3899="SBJ","CB","?"))</f>
        <v> </v>
      </c>
      <c r="I3899" s="25" t="str">
        <f>IF(OR(E3899="",E3899="!!!",F3899="NEW"),"",INDEX(B3898:B$2,-1+SUMPRODUCT(MAX(ROW(E3898:E$2)*(E3899=E3898:E$2)))))</f>
        <v> </v>
      </c>
      <c r="J3899" s="25" t="str">
        <f>IF(OR(E3899="",E3899="!!!",F3899="NEW"),"",COUNTBLANK(OFFSET(A$1,,,SUMPRODUCT(MAX(ROW(E$2:E3899)*(E3899=E$2:E3899)))))-COUNTBLANK(OFFSET(A$1,,,SUMPRODUCT(MAX(ROW(E$1:E3898)*(E2=E$1:E3898))))))</f>
        <v> </v>
      </c>
      <c r="K3899" s="25" t="str">
        <f>IF(OR(E3899="",E3899="!!!",F3899="NEW"),"",INDEX(J$1:J3898,SUMPRODUCT(MAX(ROW(E$1:E3898)*(E3899=E$1:E3898)))))</f>
        <v> </v>
      </c>
      <c r="L3899" s="26"/>
    </row>
    <row r="3900" spans="1:12">
      <c r="A3900" s="20" t="s">
        <v>1246</v>
      </c>
      <c r="E3900" s="21">
        <f>IF(D3900="?OLD","!!!","")</f>
        <v/>
      </c>
      <c r="F3900" s="22" t="str">
        <f>IF(OR(E3900="",E3900="!!!"),"",IF(NOT(ISNA(VLOOKUP(E3900,E$1:E3899,1,FALSE()))),"OLD",IF(AND(E3900&lt;&gt;"",E3900&lt;&gt;"!!!"),"NEW","")))</f>
        <v> </v>
      </c>
      <c r="G3900" s="23" t="str">
        <f>IF(OR(E3900="",E3900="!!!"),"",IF(OR(J3900=0,AND(J3900=1,K3900=1),AND(J3900=1,I3900="SBJ"),AND(J3900=1,I3900=0)),"?IN_FOCUS",IF(J3900&lt;=2,"?ACTIVATED",IF(J3900&lt;&gt;"","?FAMILIAR",IF(F3900="NEW",IF(ISNA(VLOOKUP(E3900,#REF!,1,FALSE())),"?TYPE_IDENTIFIABLE","?REFERENTIAL"),"_")))))</f>
        <v> </v>
      </c>
      <c r="H3900" s="24" t="str">
        <f>IF(J3900&lt;&gt;1,"",IF(I3900="SBJ","CB","?"))</f>
        <v> </v>
      </c>
      <c r="I3900" s="25" t="str">
        <f>IF(OR(E3900="",E3900="!!!",F3900="NEW"),"",INDEX(B3899:B$2,-1+SUMPRODUCT(MAX(ROW(E3899:E$2)*(E3900=E3899:E$2)))))</f>
        <v> </v>
      </c>
      <c r="J3900" s="25" t="str">
        <f>IF(OR(E3900="",E3900="!!!",F3900="NEW"),"",COUNTBLANK(OFFSET(A$1,,,SUMPRODUCT(MAX(ROW(E$2:E3900)*(E3900=E$2:E3900)))))-COUNTBLANK(OFFSET(A$1,,,SUMPRODUCT(MAX(ROW(E$1:E3899)*(E2=E$1:E3899))))))</f>
        <v> </v>
      </c>
      <c r="K3900" s="25" t="str">
        <f>IF(OR(E3900="",E3900="!!!",F3900="NEW"),"",INDEX(J$1:J3899,SUMPRODUCT(MAX(ROW(E$1:E3899)*(E3900=E$1:E3899)))))</f>
        <v> </v>
      </c>
      <c r="L3900" s="26"/>
    </row>
    <row r="3901" spans="1:12">
      <c r="A3901" s="20" t="s">
        <v>1143</v>
      </c>
      <c r="E3901" s="21">
        <f>IF(D3901="?OLD","!!!","")</f>
        <v/>
      </c>
      <c r="F3901" s="22" t="str">
        <f>IF(OR(E3901="",E3901="!!!"),"",IF(NOT(ISNA(VLOOKUP(E3901,E$1:E3900,1,FALSE()))),"OLD",IF(AND(E3901&lt;&gt;"",E3901&lt;&gt;"!!!"),"NEW","")))</f>
        <v> </v>
      </c>
      <c r="G3901" s="23" t="str">
        <f>IF(OR(E3901="",E3901="!!!"),"",IF(OR(J3901=0,AND(J3901=1,K3901=1),AND(J3901=1,I3901="SBJ"),AND(J3901=1,I3901=0)),"?IN_FOCUS",IF(J3901&lt;=2,"?ACTIVATED",IF(J3901&lt;&gt;"","?FAMILIAR",IF(F3901="NEW",IF(ISNA(VLOOKUP(E3901,#REF!,1,FALSE())),"?TYPE_IDENTIFIABLE","?REFERENTIAL"),"_")))))</f>
        <v> </v>
      </c>
      <c r="H3901" s="24" t="str">
        <f>IF(J3901&lt;&gt;1,"",IF(I3901="SBJ","CB","?"))</f>
        <v> </v>
      </c>
      <c r="I3901" s="25" t="str">
        <f>IF(OR(E3901="",E3901="!!!",F3901="NEW"),"",INDEX(B3900:B$2,-1+SUMPRODUCT(MAX(ROW(E3900:E$2)*(E3901=E3900:E$2)))))</f>
        <v> </v>
      </c>
      <c r="J3901" s="25" t="str">
        <f>IF(OR(E3901="",E3901="!!!",F3901="NEW"),"",COUNTBLANK(OFFSET(A$1,,,SUMPRODUCT(MAX(ROW(E$2:E3901)*(E3901=E$2:E3901)))))-COUNTBLANK(OFFSET(A$1,,,SUMPRODUCT(MAX(ROW(E$1:E3900)*(E2=E$1:E3900))))))</f>
        <v> </v>
      </c>
      <c r="K3901" s="25" t="str">
        <f>IF(OR(E3901="",E3901="!!!",F3901="NEW"),"",INDEX(J$1:J3900,SUMPRODUCT(MAX(ROW(E$1:E3900)*(E3901=E$1:E3900)))))</f>
        <v> </v>
      </c>
      <c r="L3901" s="26"/>
    </row>
    <row r="3902" spans="1:12">
      <c r="A3902" s="20" t="s">
        <v>1738</v>
      </c>
      <c r="B3902" s="27" t="s">
        <v>1092</v>
      </c>
      <c r="C3902" s="27" t="s">
        <v>1134</v>
      </c>
      <c r="D3902" s="27" t="s">
        <v>1069</v>
      </c>
      <c r="E3902" s="21">
        <f>IF(D3902="?OLD","!!!","")</f>
        <v/>
      </c>
      <c r="F3902" s="22" t="str">
        <f>IF(OR(E3902="",E3902="!!!"),"",IF(NOT(ISNA(VLOOKUP(E3902,E$1:E3901,1,FALSE()))),"OLD",IF(AND(E3902&lt;&gt;"",E3902&lt;&gt;"!!!"),"NEW","")))</f>
        <v> </v>
      </c>
      <c r="G3902" s="23" t="str">
        <f>IF(OR(E3902="",E3902="!!!"),"",IF(OR(J3902=0,AND(J3902=1,K3902=1),AND(J3902=1,I3902="SBJ"),AND(J3902=1,I3902=0)),"?IN_FOCUS",IF(J3902&lt;=2,"?ACTIVATED",IF(J3902&lt;&gt;"","?FAMILIAR",IF(F3902="NEW",IF(ISNA(VLOOKUP(E3902,#REF!,1,FALSE())),"?TYPE_IDENTIFIABLE","?REFERENTIAL"),"_")))))</f>
        <v> </v>
      </c>
      <c r="H3902" s="24" t="str">
        <f>IF(J3902&lt;&gt;1,"",IF(I3902="SBJ","CB","?"))</f>
        <v> </v>
      </c>
      <c r="I3902" s="25" t="str">
        <f>IF(OR(E3902="",E3902="!!!",F3902="NEW"),"",INDEX(B3901:B$2,-1+SUMPRODUCT(MAX(ROW(E3901:E$2)*(E3902=E3901:E$2)))))</f>
        <v> </v>
      </c>
      <c r="J3902" s="25" t="str">
        <f>IF(OR(E3902="",E3902="!!!",F3902="NEW"),"",COUNTBLANK(OFFSET(A$1,,,SUMPRODUCT(MAX(ROW(E$2:E3902)*(E3902=E$2:E3902)))))-COUNTBLANK(OFFSET(A$1,,,SUMPRODUCT(MAX(ROW(E$1:E3901)*(E2=E$1:E3901))))))</f>
        <v> </v>
      </c>
      <c r="K3902" s="25" t="str">
        <f>IF(OR(E3902="",E3902="!!!",F3902="NEW"),"",INDEX(J$1:J3901,SUMPRODUCT(MAX(ROW(E$1:E3901)*(E3902=E$1:E3901)))))</f>
        <v> </v>
      </c>
      <c r="L3902" s="26"/>
    </row>
    <row r="3903" spans="1:12">
      <c r="A3903" s="20" t="s">
        <v>1872</v>
      </c>
      <c r="E3903" s="21">
        <f>IF(D3903="?OLD","!!!","")</f>
        <v/>
      </c>
      <c r="F3903" s="22" t="str">
        <f>IF(OR(E3903="",E3903="!!!"),"",IF(NOT(ISNA(VLOOKUP(E3903,E$1:E3902,1,FALSE()))),"OLD",IF(AND(E3903&lt;&gt;"",E3903&lt;&gt;"!!!"),"NEW","")))</f>
        <v> </v>
      </c>
      <c r="G3903" s="23" t="str">
        <f>IF(OR(E3903="",E3903="!!!"),"",IF(OR(J3903=0,AND(J3903=1,K3903=1),AND(J3903=1,I3903="SBJ"),AND(J3903=1,I3903=0)),"?IN_FOCUS",IF(J3903&lt;=2,"?ACTIVATED",IF(J3903&lt;&gt;"","?FAMILIAR",IF(F3903="NEW",IF(ISNA(VLOOKUP(E3903,#REF!,1,FALSE())),"?TYPE_IDENTIFIABLE","?REFERENTIAL"),"_")))))</f>
        <v> </v>
      </c>
      <c r="H3903" s="24" t="str">
        <f>IF(J3903&lt;&gt;1,"",IF(I3903="SBJ","CB","?"))</f>
        <v> </v>
      </c>
      <c r="I3903" s="25" t="str">
        <f>IF(OR(E3903="",E3903="!!!",F3903="NEW"),"",INDEX(B3902:B$2,-1+SUMPRODUCT(MAX(ROW(E3902:E$2)*(E3903=E3902:E$2)))))</f>
        <v> </v>
      </c>
      <c r="J3903" s="25" t="str">
        <f>IF(OR(E3903="",E3903="!!!",F3903="NEW"),"",COUNTBLANK(OFFSET(A$1,,,SUMPRODUCT(MAX(ROW(E$2:E3903)*(E3903=E$2:E3903)))))-COUNTBLANK(OFFSET(A$1,,,SUMPRODUCT(MAX(ROW(E$1:E3902)*(E2=E$1:E3902))))))</f>
        <v> </v>
      </c>
      <c r="K3903" s="25" t="str">
        <f>IF(OR(E3903="",E3903="!!!",F3903="NEW"),"",INDEX(J$1:J3902,SUMPRODUCT(MAX(ROW(E$1:E3902)*(E3903=E$1:E3902)))))</f>
        <v> </v>
      </c>
      <c r="L3903" s="26"/>
    </row>
    <row r="3904" spans="1:12">
      <c r="A3904" s="20" t="s">
        <v>1317</v>
      </c>
      <c r="E3904" s="21">
        <f>IF(D3904="?OLD","!!!","")</f>
        <v/>
      </c>
      <c r="F3904" s="22" t="str">
        <f>IF(OR(E3904="",E3904="!!!"),"",IF(NOT(ISNA(VLOOKUP(E3904,E$1:E3903,1,FALSE()))),"OLD",IF(AND(E3904&lt;&gt;"",E3904&lt;&gt;"!!!"),"NEW","")))</f>
        <v> </v>
      </c>
      <c r="G3904" s="23" t="str">
        <f>IF(OR(E3904="",E3904="!!!"),"",IF(OR(J3904=0,AND(J3904=1,K3904=1),AND(J3904=1,I3904="SBJ"),AND(J3904=1,I3904=0)),"?IN_FOCUS",IF(J3904&lt;=2,"?ACTIVATED",IF(J3904&lt;&gt;"","?FAMILIAR",IF(F3904="NEW",IF(ISNA(VLOOKUP(E3904,#REF!,1,FALSE())),"?TYPE_IDENTIFIABLE","?REFERENTIAL"),"_")))))</f>
        <v> </v>
      </c>
      <c r="H3904" s="24" t="str">
        <f>IF(J3904&lt;&gt;1,"",IF(I3904="SBJ","CB","?"))</f>
        <v> </v>
      </c>
      <c r="I3904" s="25" t="str">
        <f>IF(OR(E3904="",E3904="!!!",F3904="NEW"),"",INDEX(B3903:B$2,-1+SUMPRODUCT(MAX(ROW(E3903:E$2)*(E3904=E3903:E$2)))))</f>
        <v> </v>
      </c>
      <c r="J3904" s="25" t="str">
        <f>IF(OR(E3904="",E3904="!!!",F3904="NEW"),"",COUNTBLANK(OFFSET(A$1,,,SUMPRODUCT(MAX(ROW(E$2:E3904)*(E3904=E$2:E3904)))))-COUNTBLANK(OFFSET(A$1,,,SUMPRODUCT(MAX(ROW(E$1:E3903)*(E2=E$1:E3903))))))</f>
        <v> </v>
      </c>
      <c r="K3904" s="25" t="str">
        <f>IF(OR(E3904="",E3904="!!!",F3904="NEW"),"",INDEX(J$1:J3903,SUMPRODUCT(MAX(ROW(E$1:E3903)*(E3904=E$1:E3903)))))</f>
        <v> </v>
      </c>
      <c r="L3904" s="26"/>
    </row>
    <row r="3905" spans="1:12">
      <c r="A3905" s="20" t="s">
        <v>1644</v>
      </c>
      <c r="B3905" s="27" t="s">
        <v>1067</v>
      </c>
      <c r="C3905" s="27" t="s">
        <v>1072</v>
      </c>
      <c r="E3905" s="21">
        <f>IF(D3905="?OLD","!!!","")</f>
        <v/>
      </c>
      <c r="F3905" s="22" t="str">
        <f>IF(OR(E3905="",E3905="!!!"),"",IF(NOT(ISNA(VLOOKUP(E3905,E$1:E3904,1,FALSE()))),"OLD",IF(AND(E3905&lt;&gt;"",E3905&lt;&gt;"!!!"),"NEW","")))</f>
        <v> </v>
      </c>
      <c r="G3905" s="23" t="str">
        <f>IF(OR(E3905="",E3905="!!!"),"",IF(OR(J3905=0,AND(J3905=1,K3905=1),AND(J3905=1,I3905="SBJ"),AND(J3905=1,I3905=0)),"?IN_FOCUS",IF(J3905&lt;=2,"?ACTIVATED",IF(J3905&lt;&gt;"","?FAMILIAR",IF(F3905="NEW",IF(ISNA(VLOOKUP(E3905,#REF!,1,FALSE())),"?TYPE_IDENTIFIABLE","?REFERENTIAL"),"_")))))</f>
        <v> </v>
      </c>
      <c r="H3905" s="24" t="str">
        <f>IF(J3905&lt;&gt;1,"",IF(I3905="SBJ","CB","?"))</f>
        <v> </v>
      </c>
      <c r="I3905" s="25" t="str">
        <f>IF(OR(E3905="",E3905="!!!",F3905="NEW"),"",INDEX(B3904:B$2,-1+SUMPRODUCT(MAX(ROW(E3904:E$2)*(E3905=E3904:E$2)))))</f>
        <v> </v>
      </c>
      <c r="J3905" s="25" t="str">
        <f>IF(OR(E3905="",E3905="!!!",F3905="NEW"),"",COUNTBLANK(OFFSET(A$1,,,SUMPRODUCT(MAX(ROW(E$2:E3905)*(E3905=E$2:E3905)))))-COUNTBLANK(OFFSET(A$1,,,SUMPRODUCT(MAX(ROW(E$1:E3904)*(E2=E$1:E3904))))))</f>
        <v> </v>
      </c>
      <c r="K3905" s="25" t="str">
        <f>IF(OR(E3905="",E3905="!!!",F3905="NEW"),"",INDEX(J$1:J3904,SUMPRODUCT(MAX(ROW(E$1:E3904)*(E3905=E$1:E3904)))))</f>
        <v> </v>
      </c>
      <c r="L3905" s="26"/>
    </row>
    <row r="3906" spans="1:12">
      <c r="A3906" s="20" t="s">
        <v>1173</v>
      </c>
      <c r="E3906" s="21">
        <f>IF(D3906="?OLD","!!!","")</f>
        <v/>
      </c>
      <c r="F3906" s="22" t="str">
        <f>IF(OR(E3906="",E3906="!!!"),"",IF(NOT(ISNA(VLOOKUP(E3906,E$1:E3905,1,FALSE()))),"OLD",IF(AND(E3906&lt;&gt;"",E3906&lt;&gt;"!!!"),"NEW","")))</f>
        <v> </v>
      </c>
      <c r="G3906" s="23" t="str">
        <f>IF(OR(E3906="",E3906="!!!"),"",IF(OR(J3906=0,AND(J3906=1,K3906=1),AND(J3906=1,I3906="SBJ"),AND(J3906=1,I3906=0)),"?IN_FOCUS",IF(J3906&lt;=2,"?ACTIVATED",IF(J3906&lt;&gt;"","?FAMILIAR",IF(F3906="NEW",IF(ISNA(VLOOKUP(E3906,#REF!,1,FALSE())),"?TYPE_IDENTIFIABLE","?REFERENTIAL"),"_")))))</f>
        <v> </v>
      </c>
      <c r="H3906" s="24" t="str">
        <f>IF(J3906&lt;&gt;1,"",IF(I3906="SBJ","CB","?"))</f>
        <v> </v>
      </c>
      <c r="I3906" s="25" t="str">
        <f>IF(OR(E3906="",E3906="!!!",F3906="NEW"),"",INDEX(B3905:B$2,-1+SUMPRODUCT(MAX(ROW(E3905:E$2)*(E3906=E3905:E$2)))))</f>
        <v> </v>
      </c>
      <c r="J3906" s="25" t="str">
        <f>IF(OR(E3906="",E3906="!!!",F3906="NEW"),"",COUNTBLANK(OFFSET(A$1,,,SUMPRODUCT(MAX(ROW(E$2:E3906)*(E3906=E$2:E3906)))))-COUNTBLANK(OFFSET(A$1,,,SUMPRODUCT(MAX(ROW(E$1:E3905)*(E2=E$1:E3905))))))</f>
        <v> </v>
      </c>
      <c r="K3906" s="25" t="str">
        <f>IF(OR(E3906="",E3906="!!!",F3906="NEW"),"",INDEX(J$1:J3905,SUMPRODUCT(MAX(ROW(E$1:E3905)*(E3906=E$1:E3905)))))</f>
        <v> </v>
      </c>
      <c r="L3906" s="26"/>
    </row>
    <row r="3907" spans="1:12">
      <c r="A3907" s="20" t="s">
        <v>2212</v>
      </c>
      <c r="B3907" s="27" t="s">
        <v>1160</v>
      </c>
      <c r="C3907" s="27" t="s">
        <v>1068</v>
      </c>
      <c r="D3907" s="27" t="s">
        <v>1069</v>
      </c>
      <c r="E3907" s="21">
        <f>IF(D3907="?OLD","!!!","")</f>
        <v/>
      </c>
      <c r="F3907" s="22" t="str">
        <f>IF(OR(E3907="",E3907="!!!"),"",IF(NOT(ISNA(VLOOKUP(E3907,E$1:E3906,1,FALSE()))),"OLD",IF(AND(E3907&lt;&gt;"",E3907&lt;&gt;"!!!"),"NEW","")))</f>
        <v> </v>
      </c>
      <c r="G3907" s="23" t="str">
        <f>IF(OR(E3907="",E3907="!!!"),"",IF(OR(J3907=0,AND(J3907=1,K3907=1),AND(J3907=1,I3907="SBJ"),AND(J3907=1,I3907=0)),"?IN_FOCUS",IF(J3907&lt;=2,"?ACTIVATED",IF(J3907&lt;&gt;"","?FAMILIAR",IF(F3907="NEW",IF(ISNA(VLOOKUP(E3907,#REF!,1,FALSE())),"?TYPE_IDENTIFIABLE","?REFERENTIAL"),"_")))))</f>
        <v> </v>
      </c>
      <c r="H3907" s="24" t="str">
        <f>IF(J3907&lt;&gt;1,"",IF(I3907="SBJ","CB","?"))</f>
        <v> </v>
      </c>
      <c r="I3907" s="25" t="str">
        <f>IF(OR(E3907="",E3907="!!!",F3907="NEW"),"",INDEX(B3906:B$2,-1+SUMPRODUCT(MAX(ROW(E3906:E$2)*(E3907=E3906:E$2)))))</f>
        <v> </v>
      </c>
      <c r="J3907" s="25" t="str">
        <f>IF(OR(E3907="",E3907="!!!",F3907="NEW"),"",COUNTBLANK(OFFSET(A$1,,,SUMPRODUCT(MAX(ROW(E$2:E3907)*(E3907=E$2:E3907)))))-COUNTBLANK(OFFSET(A$1,,,SUMPRODUCT(MAX(ROW(E$1:E3906)*(E2=E$1:E3906))))))</f>
        <v> </v>
      </c>
      <c r="K3907" s="25" t="str">
        <f>IF(OR(E3907="",E3907="!!!",F3907="NEW"),"",INDEX(J$1:J3906,SUMPRODUCT(MAX(ROW(E$1:E3906)*(E3907=E$1:E3906)))))</f>
        <v> </v>
      </c>
      <c r="L3907" s="26"/>
    </row>
    <row r="3908" spans="1:12">
      <c r="A3908" s="20" t="s">
        <v>804</v>
      </c>
      <c r="E3908" s="21">
        <f>IF(D3908="?OLD","!!!","")</f>
        <v/>
      </c>
      <c r="F3908" s="22" t="str">
        <f>IF(OR(E3908="",E3908="!!!"),"",IF(NOT(ISNA(VLOOKUP(E3908,E$1:E3907,1,FALSE()))),"OLD",IF(AND(E3908&lt;&gt;"",E3908&lt;&gt;"!!!"),"NEW","")))</f>
        <v> </v>
      </c>
      <c r="G3908" s="23" t="str">
        <f>IF(OR(E3908="",E3908="!!!"),"",IF(OR(J3908=0,AND(J3908=1,K3908=1),AND(J3908=1,I3908="SBJ"),AND(J3908=1,I3908=0)),"?IN_FOCUS",IF(J3908&lt;=2,"?ACTIVATED",IF(J3908&lt;&gt;"","?FAMILIAR",IF(F3908="NEW",IF(ISNA(VLOOKUP(E3908,#REF!,1,FALSE())),"?TYPE_IDENTIFIABLE","?REFERENTIAL"),"_")))))</f>
        <v> </v>
      </c>
      <c r="H3908" s="24" t="str">
        <f>IF(J3908&lt;&gt;1,"",IF(I3908="SBJ","CB","?"))</f>
        <v> </v>
      </c>
      <c r="I3908" s="25" t="str">
        <f>IF(OR(E3908="",E3908="!!!",F3908="NEW"),"",INDEX(B3907:B$2,-1+SUMPRODUCT(MAX(ROW(E3907:E$2)*(E3908=E3907:E$2)))))</f>
        <v> </v>
      </c>
      <c r="J3908" s="25" t="str">
        <f>IF(OR(E3908="",E3908="!!!",F3908="NEW"),"",COUNTBLANK(OFFSET(A$1,,,SUMPRODUCT(MAX(ROW(E$2:E3908)*(E3908=E$2:E3908)))))-COUNTBLANK(OFFSET(A$1,,,SUMPRODUCT(MAX(ROW(E$1:E3907)*(E2=E$1:E3907))))))</f>
        <v> </v>
      </c>
      <c r="K3908" s="25" t="str">
        <f>IF(OR(E3908="",E3908="!!!",F3908="NEW"),"",INDEX(J$1:J3907,SUMPRODUCT(MAX(ROW(E$1:E3907)*(E3908=E$1:E3907)))))</f>
        <v> </v>
      </c>
      <c r="L3908" s="26"/>
    </row>
    <row r="3909" spans="1:12">
      <c r="A3909" s="20" t="s">
        <v>233</v>
      </c>
      <c r="E3909" s="21">
        <f>IF(D3909="?OLD","!!!","")</f>
        <v/>
      </c>
      <c r="F3909" s="22" t="str">
        <f>IF(OR(E3909="",E3909="!!!"),"",IF(NOT(ISNA(VLOOKUP(E3909,E$1:E3908,1,FALSE()))),"OLD",IF(AND(E3909&lt;&gt;"",E3909&lt;&gt;"!!!"),"NEW","")))</f>
        <v> </v>
      </c>
      <c r="G3909" s="23" t="str">
        <f>IF(OR(E3909="",E3909="!!!"),"",IF(OR(J3909=0,AND(J3909=1,K3909=1),AND(J3909=1,I3909="SBJ"),AND(J3909=1,I3909=0)),"?IN_FOCUS",IF(J3909&lt;=2,"?ACTIVATED",IF(J3909&lt;&gt;"","?FAMILIAR",IF(F3909="NEW",IF(ISNA(VLOOKUP(E3909,#REF!,1,FALSE())),"?TYPE_IDENTIFIABLE","?REFERENTIAL"),"_")))))</f>
        <v> </v>
      </c>
      <c r="H3909" s="24" t="str">
        <f>IF(J3909&lt;&gt;1,"",IF(I3909="SBJ","CB","?"))</f>
        <v> </v>
      </c>
      <c r="I3909" s="25" t="str">
        <f>IF(OR(E3909="",E3909="!!!",F3909="NEW"),"",INDEX(B3908:B$2,-1+SUMPRODUCT(MAX(ROW(E3908:E$2)*(E3909=E3908:E$2)))))</f>
        <v> </v>
      </c>
      <c r="J3909" s="25" t="str">
        <f>IF(OR(E3909="",E3909="!!!",F3909="NEW"),"",COUNTBLANK(OFFSET(A$1,,,SUMPRODUCT(MAX(ROW(E$2:E3909)*(E3909=E$2:E3909)))))-COUNTBLANK(OFFSET(A$1,,,SUMPRODUCT(MAX(ROW(E$1:E3908)*(E2=E$1:E3908))))))</f>
        <v> </v>
      </c>
      <c r="K3909" s="25" t="str">
        <f>IF(OR(E3909="",E3909="!!!",F3909="NEW"),"",INDEX(J$1:J3908,SUMPRODUCT(MAX(ROW(E$1:E3908)*(E3909=E$1:E3908)))))</f>
        <v> </v>
      </c>
      <c r="L3909" s="26"/>
    </row>
    <row r="3910" spans="1:12">
      <c r="A3910" s="20" t="s">
        <v>12</v>
      </c>
      <c r="E3910" s="21">
        <f>IF(D3910="?OLD","!!!","")</f>
        <v/>
      </c>
      <c r="F3910" s="22" t="str">
        <f>IF(OR(E3910="",E3910="!!!"),"",IF(NOT(ISNA(VLOOKUP(E3910,E$1:E3909,1,FALSE()))),"OLD",IF(AND(E3910&lt;&gt;"",E3910&lt;&gt;"!!!"),"NEW","")))</f>
        <v> </v>
      </c>
      <c r="G3910" s="23" t="str">
        <f>IF(OR(E3910="",E3910="!!!"),"",IF(OR(J3910=0,AND(J3910=1,K3910=1),AND(J3910=1,I3910="SBJ"),AND(J3910=1,I3910=0)),"?IN_FOCUS",IF(J3910&lt;=2,"?ACTIVATED",IF(J3910&lt;&gt;"","?FAMILIAR",IF(F3910="NEW",IF(ISNA(VLOOKUP(E3910,#REF!,1,FALSE())),"?TYPE_IDENTIFIABLE","?REFERENTIAL"),"_")))))</f>
        <v> </v>
      </c>
      <c r="H3910" s="24" t="str">
        <f>IF(J3910&lt;&gt;1,"",IF(I3910="SBJ","CB","?"))</f>
        <v> </v>
      </c>
      <c r="I3910" s="25" t="str">
        <f>IF(OR(E3910="",E3910="!!!",F3910="NEW"),"",INDEX(B3909:B$2,-1+SUMPRODUCT(MAX(ROW(E3909:E$2)*(E3910=E3909:E$2)))))</f>
        <v> </v>
      </c>
      <c r="J3910" s="25" t="str">
        <f>IF(OR(E3910="",E3910="!!!",F3910="NEW"),"",COUNTBLANK(OFFSET(A$1,,,SUMPRODUCT(MAX(ROW(E$2:E3910)*(E3910=E$2:E3910)))))-COUNTBLANK(OFFSET(A$1,,,SUMPRODUCT(MAX(ROW(E$1:E3909)*(E2=E$1:E3909))))))</f>
        <v> </v>
      </c>
      <c r="K3910" s="25" t="str">
        <f>IF(OR(E3910="",E3910="!!!",F3910="NEW"),"",INDEX(J$1:J3909,SUMPRODUCT(MAX(ROW(E$1:E3909)*(E3910=E$1:E3909)))))</f>
        <v> </v>
      </c>
      <c r="L3910" s="26"/>
    </row>
    <row r="3911" spans="1:12">
      <c r="A3911" s="20" t="s">
        <v>1167</v>
      </c>
      <c r="B3911" s="27" t="s">
        <v>1095</v>
      </c>
      <c r="C3911" s="27" t="s">
        <v>1068</v>
      </c>
      <c r="D3911" s="27" t="s">
        <v>1069</v>
      </c>
      <c r="E3911" s="21">
        <f>IF(D3911="?OLD","!!!","")</f>
        <v/>
      </c>
      <c r="F3911" s="22" t="str">
        <f>IF(OR(E3911="",E3911="!!!"),"",IF(NOT(ISNA(VLOOKUP(E3911,E$1:E3910,1,FALSE()))),"OLD",IF(AND(E3911&lt;&gt;"",E3911&lt;&gt;"!!!"),"NEW","")))</f>
        <v> </v>
      </c>
      <c r="G3911" s="23" t="str">
        <f>IF(OR(E3911="",E3911="!!!"),"",IF(OR(J3911=0,AND(J3911=1,K3911=1),AND(J3911=1,I3911="SBJ"),AND(J3911=1,I3911=0)),"?IN_FOCUS",IF(J3911&lt;=2,"?ACTIVATED",IF(J3911&lt;&gt;"","?FAMILIAR",IF(F3911="NEW",IF(ISNA(VLOOKUP(E3911,#REF!,1,FALSE())),"?TYPE_IDENTIFIABLE","?REFERENTIAL"),"_")))))</f>
        <v> </v>
      </c>
      <c r="H3911" s="24" t="str">
        <f>IF(J3911&lt;&gt;1,"",IF(I3911="SBJ","CB","?"))</f>
        <v> </v>
      </c>
      <c r="I3911" s="25" t="str">
        <f>IF(OR(E3911="",E3911="!!!",F3911="NEW"),"",INDEX(B3910:B$2,-1+SUMPRODUCT(MAX(ROW(E3910:E$2)*(E3911=E3910:E$2)))))</f>
        <v> </v>
      </c>
      <c r="J3911" s="25" t="str">
        <f>IF(OR(E3911="",E3911="!!!",F3911="NEW"),"",COUNTBLANK(OFFSET(A$1,,,SUMPRODUCT(MAX(ROW(E$2:E3911)*(E3911=E$2:E3911)))))-COUNTBLANK(OFFSET(A$1,,,SUMPRODUCT(MAX(ROW(E$1:E3910)*(E2=E$1:E3910))))))</f>
        <v> </v>
      </c>
      <c r="K3911" s="25" t="str">
        <f>IF(OR(E3911="",E3911="!!!",F3911="NEW"),"",INDEX(J$1:J3910,SUMPRODUCT(MAX(ROW(E$1:E3910)*(E3911=E$1:E3910)))))</f>
        <v> </v>
      </c>
      <c r="L3911" s="26"/>
    </row>
    <row r="3912" spans="1:12">
      <c r="A3912" s="20" t="s">
        <v>1299</v>
      </c>
      <c r="E3912" s="21">
        <f>IF(D3912="?OLD","!!!","")</f>
        <v/>
      </c>
      <c r="F3912" s="22" t="str">
        <f>IF(OR(E3912="",E3912="!!!"),"",IF(NOT(ISNA(VLOOKUP(E3912,E$1:E3911,1,FALSE()))),"OLD",IF(AND(E3912&lt;&gt;"",E3912&lt;&gt;"!!!"),"NEW","")))</f>
        <v> </v>
      </c>
      <c r="G3912" s="23" t="str">
        <f>IF(OR(E3912="",E3912="!!!"),"",IF(OR(J3912=0,AND(J3912=1,K3912=1),AND(J3912=1,I3912="SBJ"),AND(J3912=1,I3912=0)),"?IN_FOCUS",IF(J3912&lt;=2,"?ACTIVATED",IF(J3912&lt;&gt;"","?FAMILIAR",IF(F3912="NEW",IF(ISNA(VLOOKUP(E3912,#REF!,1,FALSE())),"?TYPE_IDENTIFIABLE","?REFERENTIAL"),"_")))))</f>
        <v> </v>
      </c>
      <c r="H3912" s="24" t="str">
        <f>IF(J3912&lt;&gt;1,"",IF(I3912="SBJ","CB","?"))</f>
        <v> </v>
      </c>
      <c r="I3912" s="25" t="str">
        <f>IF(OR(E3912="",E3912="!!!",F3912="NEW"),"",INDEX(B3911:B$2,-1+SUMPRODUCT(MAX(ROW(E3911:E$2)*(E3912=E3911:E$2)))))</f>
        <v> </v>
      </c>
      <c r="J3912" s="25" t="str">
        <f>IF(OR(E3912="",E3912="!!!",F3912="NEW"),"",COUNTBLANK(OFFSET(A$1,,,SUMPRODUCT(MAX(ROW(E$2:E3912)*(E3912=E$2:E3912)))))-COUNTBLANK(OFFSET(A$1,,,SUMPRODUCT(MAX(ROW(E$1:E3911)*(E2=E$1:E3911))))))</f>
        <v> </v>
      </c>
      <c r="K3912" s="25" t="str">
        <f>IF(OR(E3912="",E3912="!!!",F3912="NEW"),"",INDEX(J$1:J3911,SUMPRODUCT(MAX(ROW(E$1:E3911)*(E3912=E$1:E3911)))))</f>
        <v> </v>
      </c>
      <c r="L3912" s="26"/>
    </row>
    <row r="3913" spans="1:12">
      <c r="A3913" s="20" t="s">
        <v>1159</v>
      </c>
      <c r="E3913" s="21">
        <f>IF(D3913="?OLD","!!!","")</f>
        <v/>
      </c>
      <c r="F3913" s="22" t="str">
        <f>IF(OR(E3913="",E3913="!!!"),"",IF(NOT(ISNA(VLOOKUP(E3913,E$1:E3912,1,FALSE()))),"OLD",IF(AND(E3913&lt;&gt;"",E3913&lt;&gt;"!!!"),"NEW","")))</f>
        <v> </v>
      </c>
      <c r="G3913" s="23" t="str">
        <f>IF(OR(E3913="",E3913="!!!"),"",IF(OR(J3913=0,AND(J3913=1,K3913=1),AND(J3913=1,I3913="SBJ"),AND(J3913=1,I3913=0)),"?IN_FOCUS",IF(J3913&lt;=2,"?ACTIVATED",IF(J3913&lt;&gt;"","?FAMILIAR",IF(F3913="NEW",IF(ISNA(VLOOKUP(E3913,#REF!,1,FALSE())),"?TYPE_IDENTIFIABLE","?REFERENTIAL"),"_")))))</f>
        <v> </v>
      </c>
      <c r="H3913" s="24" t="str">
        <f>IF(J3913&lt;&gt;1,"",IF(I3913="SBJ","CB","?"))</f>
        <v> </v>
      </c>
      <c r="I3913" s="25" t="str">
        <f>IF(OR(E3913="",E3913="!!!",F3913="NEW"),"",INDEX(B3912:B$2,-1+SUMPRODUCT(MAX(ROW(E3912:E$2)*(E3913=E3912:E$2)))))</f>
        <v> </v>
      </c>
      <c r="J3913" s="25" t="str">
        <f>IF(OR(E3913="",E3913="!!!",F3913="NEW"),"",COUNTBLANK(OFFSET(A$1,,,SUMPRODUCT(MAX(ROW(E$2:E3913)*(E3913=E$2:E3913)))))-COUNTBLANK(OFFSET(A$1,,,SUMPRODUCT(MAX(ROW(E$1:E3912)*(E2=E$1:E3912))))))</f>
        <v> </v>
      </c>
      <c r="K3913" s="25" t="str">
        <f>IF(OR(E3913="",E3913="!!!",F3913="NEW"),"",INDEX(J$1:J3912,SUMPRODUCT(MAX(ROW(E$1:E3912)*(E3913=E$1:E3912)))))</f>
        <v> </v>
      </c>
      <c r="L3913" s="26"/>
    </row>
    <row r="3914" spans="1:12">
      <c r="A3914" s="20" t="s">
        <v>1373</v>
      </c>
      <c r="E3914" s="21">
        <f>IF(D3914="?OLD","!!!","")</f>
        <v/>
      </c>
      <c r="F3914" s="22" t="str">
        <f>IF(OR(E3914="",E3914="!!!"),"",IF(NOT(ISNA(VLOOKUP(E3914,E$1:E3913,1,FALSE()))),"OLD",IF(AND(E3914&lt;&gt;"",E3914&lt;&gt;"!!!"),"NEW","")))</f>
        <v> </v>
      </c>
      <c r="G3914" s="23" t="str">
        <f>IF(OR(E3914="",E3914="!!!"),"",IF(OR(J3914=0,AND(J3914=1,K3914=1),AND(J3914=1,I3914="SBJ"),AND(J3914=1,I3914=0)),"?IN_FOCUS",IF(J3914&lt;=2,"?ACTIVATED",IF(J3914&lt;&gt;"","?FAMILIAR",IF(F3914="NEW",IF(ISNA(VLOOKUP(E3914,#REF!,1,FALSE())),"?TYPE_IDENTIFIABLE","?REFERENTIAL"),"_")))))</f>
        <v> </v>
      </c>
      <c r="H3914" s="24" t="str">
        <f>IF(J3914&lt;&gt;1,"",IF(I3914="SBJ","CB","?"))</f>
        <v> </v>
      </c>
      <c r="I3914" s="25" t="str">
        <f>IF(OR(E3914="",E3914="!!!",F3914="NEW"),"",INDEX(B3913:B$2,-1+SUMPRODUCT(MAX(ROW(E3913:E$2)*(E3914=E3913:E$2)))))</f>
        <v> </v>
      </c>
      <c r="J3914" s="25" t="str">
        <f>IF(OR(E3914="",E3914="!!!",F3914="NEW"),"",COUNTBLANK(OFFSET(A$1,,,SUMPRODUCT(MAX(ROW(E$2:E3914)*(E3914=E$2:E3914)))))-COUNTBLANK(OFFSET(A$1,,,SUMPRODUCT(MAX(ROW(E$1:E3913)*(E2=E$1:E3913))))))</f>
        <v> </v>
      </c>
      <c r="K3914" s="25" t="str">
        <f>IF(OR(E3914="",E3914="!!!",F3914="NEW"),"",INDEX(J$1:J3913,SUMPRODUCT(MAX(ROW(E$1:E3913)*(E3914=E$1:E3913)))))</f>
        <v> </v>
      </c>
      <c r="L3914" s="26"/>
    </row>
    <row r="3915" spans="1:12">
      <c r="A3915" s="20" t="s">
        <v>1738</v>
      </c>
      <c r="B3915" s="27" t="s">
        <v>1090</v>
      </c>
      <c r="C3915" s="27" t="s">
        <v>1134</v>
      </c>
      <c r="D3915" s="27" t="s">
        <v>1069</v>
      </c>
      <c r="E3915" s="21">
        <f>IF(D3915="?OLD","!!!","")</f>
        <v/>
      </c>
      <c r="F3915" s="22" t="str">
        <f>IF(OR(E3915="",E3915="!!!"),"",IF(NOT(ISNA(VLOOKUP(E3915,E$1:E3914,1,FALSE()))),"OLD",IF(AND(E3915&lt;&gt;"",E3915&lt;&gt;"!!!"),"NEW","")))</f>
        <v> </v>
      </c>
      <c r="G3915" s="23" t="str">
        <f>IF(OR(E3915="",E3915="!!!"),"",IF(OR(J3915=0,AND(J3915=1,K3915=1),AND(J3915=1,I3915="SBJ"),AND(J3915=1,I3915=0)),"?IN_FOCUS",IF(J3915&lt;=2,"?ACTIVATED",IF(J3915&lt;&gt;"","?FAMILIAR",IF(F3915="NEW",IF(ISNA(VLOOKUP(E3915,#REF!,1,FALSE())),"?TYPE_IDENTIFIABLE","?REFERENTIAL"),"_")))))</f>
        <v> </v>
      </c>
      <c r="H3915" s="24" t="str">
        <f>IF(J3915&lt;&gt;1,"",IF(I3915="SBJ","CB","?"))</f>
        <v> </v>
      </c>
      <c r="I3915" s="25" t="str">
        <f>IF(OR(E3915="",E3915="!!!",F3915="NEW"),"",INDEX(B3914:B$2,-1+SUMPRODUCT(MAX(ROW(E3914:E$2)*(E3915=E3914:E$2)))))</f>
        <v> </v>
      </c>
      <c r="J3915" s="25" t="str">
        <f>IF(OR(E3915="",E3915="!!!",F3915="NEW"),"",COUNTBLANK(OFFSET(A$1,,,SUMPRODUCT(MAX(ROW(E$2:E3915)*(E3915=E$2:E3915)))))-COUNTBLANK(OFFSET(A$1,,,SUMPRODUCT(MAX(ROW(E$1:E3914)*(E2=E$1:E3914))))))</f>
        <v> </v>
      </c>
      <c r="K3915" s="25" t="str">
        <f>IF(OR(E3915="",E3915="!!!",F3915="NEW"),"",INDEX(J$1:J3914,SUMPRODUCT(MAX(ROW(E$1:E3914)*(E3915=E$1:E3914)))))</f>
        <v> </v>
      </c>
      <c r="L3915" s="26"/>
    </row>
    <row r="3916" spans="1:12">
      <c r="A3916" s="20" t="s">
        <v>1246</v>
      </c>
      <c r="E3916" s="21">
        <f>IF(D3916="?OLD","!!!","")</f>
        <v/>
      </c>
      <c r="F3916" s="22" t="str">
        <f>IF(OR(E3916="",E3916="!!!"),"",IF(NOT(ISNA(VLOOKUP(E3916,E$1:E3915,1,FALSE()))),"OLD",IF(AND(E3916&lt;&gt;"",E3916&lt;&gt;"!!!"),"NEW","")))</f>
        <v> </v>
      </c>
      <c r="G3916" s="23" t="str">
        <f>IF(OR(E3916="",E3916="!!!"),"",IF(OR(J3916=0,AND(J3916=1,K3916=1),AND(J3916=1,I3916="SBJ"),AND(J3916=1,I3916=0)),"?IN_FOCUS",IF(J3916&lt;=2,"?ACTIVATED",IF(J3916&lt;&gt;"","?FAMILIAR",IF(F3916="NEW",IF(ISNA(VLOOKUP(E3916,#REF!,1,FALSE())),"?TYPE_IDENTIFIABLE","?REFERENTIAL"),"_")))))</f>
        <v> </v>
      </c>
      <c r="H3916" s="24" t="str">
        <f>IF(J3916&lt;&gt;1,"",IF(I3916="SBJ","CB","?"))</f>
        <v> </v>
      </c>
      <c r="I3916" s="25" t="str">
        <f>IF(OR(E3916="",E3916="!!!",F3916="NEW"),"",INDEX(B3915:B$2,-1+SUMPRODUCT(MAX(ROW(E3915:E$2)*(E3916=E3915:E$2)))))</f>
        <v> </v>
      </c>
      <c r="J3916" s="25" t="str">
        <f>IF(OR(E3916="",E3916="!!!",F3916="NEW"),"",COUNTBLANK(OFFSET(A$1,,,SUMPRODUCT(MAX(ROW(E$2:E3916)*(E3916=E$2:E3916)))))-COUNTBLANK(OFFSET(A$1,,,SUMPRODUCT(MAX(ROW(E$1:E3915)*(E2=E$1:E3915))))))</f>
        <v> </v>
      </c>
      <c r="K3916" s="25" t="str">
        <f>IF(OR(E3916="",E3916="!!!",F3916="NEW"),"",INDEX(J$1:J3915,SUMPRODUCT(MAX(ROW(E$1:E3915)*(E3916=E$1:E3915)))))</f>
        <v> </v>
      </c>
      <c r="L3916" s="26"/>
    </row>
    <row r="3917" spans="1:12">
      <c r="A3917" s="20" t="s">
        <v>1421</v>
      </c>
      <c r="B3917" s="27" t="s">
        <v>1141</v>
      </c>
      <c r="C3917" s="27" t="s">
        <v>1129</v>
      </c>
      <c r="D3917" s="27" t="s">
        <v>1069</v>
      </c>
      <c r="E3917" s="21">
        <f>IF(D3917="?OLD","!!!","")</f>
        <v/>
      </c>
      <c r="F3917" s="22" t="str">
        <f>IF(OR(E3917="",E3917="!!!"),"",IF(NOT(ISNA(VLOOKUP(E3917,E$1:E3916,1,FALSE()))),"OLD",IF(AND(E3917&lt;&gt;"",E3917&lt;&gt;"!!!"),"NEW","")))</f>
        <v> </v>
      </c>
      <c r="G3917" s="23" t="str">
        <f>IF(OR(E3917="",E3917="!!!"),"",IF(OR(J3917=0,AND(J3917=1,K3917=1),AND(J3917=1,I3917="SBJ"),AND(J3917=1,I3917=0)),"?IN_FOCUS",IF(J3917&lt;=2,"?ACTIVATED",IF(J3917&lt;&gt;"","?FAMILIAR",IF(F3917="NEW",IF(ISNA(VLOOKUP(E3917,#REF!,1,FALSE())),"?TYPE_IDENTIFIABLE","?REFERENTIAL"),"_")))))</f>
        <v> </v>
      </c>
      <c r="H3917" s="24" t="str">
        <f>IF(J3917&lt;&gt;1,"",IF(I3917="SBJ","CB","?"))</f>
        <v> </v>
      </c>
      <c r="I3917" s="25" t="str">
        <f>IF(OR(E3917="",E3917="!!!",F3917="NEW"),"",INDEX(B3916:B$2,-1+SUMPRODUCT(MAX(ROW(E3916:E$2)*(E3917=E3916:E$2)))))</f>
        <v> </v>
      </c>
      <c r="J3917" s="25" t="str">
        <f>IF(OR(E3917="",E3917="!!!",F3917="NEW"),"",COUNTBLANK(OFFSET(A$1,,,SUMPRODUCT(MAX(ROW(E$2:E3917)*(E3917=E$2:E3917)))))-COUNTBLANK(OFFSET(A$1,,,SUMPRODUCT(MAX(ROW(E$1:E3916)*(E2=E$1:E3916))))))</f>
        <v> </v>
      </c>
      <c r="K3917" s="25" t="str">
        <f>IF(OR(E3917="",E3917="!!!",F3917="NEW"),"",INDEX(J$1:J3916,SUMPRODUCT(MAX(ROW(E$1:E3916)*(E3917=E$1:E3916)))))</f>
        <v> </v>
      </c>
      <c r="L3917" s="26"/>
    </row>
    <row r="3918" spans="1:12">
      <c r="A3918" s="20" t="s">
        <v>2294</v>
      </c>
      <c r="B3918" s="27" t="s">
        <v>1092</v>
      </c>
      <c r="C3918" s="27" t="s">
        <v>1131</v>
      </c>
      <c r="D3918" s="27" t="s">
        <v>1069</v>
      </c>
      <c r="E3918" s="21">
        <f>IF(D3918="?OLD","!!!","")</f>
        <v/>
      </c>
      <c r="F3918" s="22" t="str">
        <f>IF(OR(E3918="",E3918="!!!"),"",IF(NOT(ISNA(VLOOKUP(E3918,E$1:E3917,1,FALSE()))),"OLD",IF(AND(E3918&lt;&gt;"",E3918&lt;&gt;"!!!"),"NEW","")))</f>
        <v> </v>
      </c>
      <c r="G3918" s="23" t="str">
        <f>IF(OR(E3918="",E3918="!!!"),"",IF(OR(J3918=0,AND(J3918=1,K3918=1),AND(J3918=1,I3918="SBJ"),AND(J3918=1,I3918=0)),"?IN_FOCUS",IF(J3918&lt;=2,"?ACTIVATED",IF(J3918&lt;&gt;"","?FAMILIAR",IF(F3918="NEW",IF(ISNA(VLOOKUP(E3918,#REF!,1,FALSE())),"?TYPE_IDENTIFIABLE","?REFERENTIAL"),"_")))))</f>
        <v> </v>
      </c>
      <c r="H3918" s="24" t="str">
        <f>IF(J3918&lt;&gt;1,"",IF(I3918="SBJ","CB","?"))</f>
        <v> </v>
      </c>
      <c r="I3918" s="25" t="str">
        <f>IF(OR(E3918="",E3918="!!!",F3918="NEW"),"",INDEX(B3917:B$2,-1+SUMPRODUCT(MAX(ROW(E3917:E$2)*(E3918=E3917:E$2)))))</f>
        <v> </v>
      </c>
      <c r="J3918" s="25" t="str">
        <f>IF(OR(E3918="",E3918="!!!",F3918="NEW"),"",COUNTBLANK(OFFSET(A$1,,,SUMPRODUCT(MAX(ROW(E$2:E3918)*(E3918=E$2:E3918)))))-COUNTBLANK(OFFSET(A$1,,,SUMPRODUCT(MAX(ROW(E$1:E3917)*(E2=E$1:E3917))))))</f>
        <v> </v>
      </c>
      <c r="K3918" s="25" t="str">
        <f>IF(OR(E3918="",E3918="!!!",F3918="NEW"),"",INDEX(J$1:J3917,SUMPRODUCT(MAX(ROW(E$1:E3917)*(E3918=E$1:E3917)))))</f>
        <v> </v>
      </c>
      <c r="L3918" s="26"/>
    </row>
    <row r="3919" spans="1:12">
      <c r="A3919" s="20" t="s">
        <v>12</v>
      </c>
      <c r="E3919" s="21">
        <f>IF(D3919="?OLD","!!!","")</f>
        <v/>
      </c>
      <c r="F3919" s="22" t="str">
        <f>IF(OR(E3919="",E3919="!!!"),"",IF(NOT(ISNA(VLOOKUP(E3919,E$1:E3918,1,FALSE()))),"OLD",IF(AND(E3919&lt;&gt;"",E3919&lt;&gt;"!!!"),"NEW","")))</f>
        <v> </v>
      </c>
      <c r="G3919" s="23" t="str">
        <f>IF(OR(E3919="",E3919="!!!"),"",IF(OR(J3919=0,AND(J3919=1,K3919=1),AND(J3919=1,I3919="SBJ"),AND(J3919=1,I3919=0)),"?IN_FOCUS",IF(J3919&lt;=2,"?ACTIVATED",IF(J3919&lt;&gt;"","?FAMILIAR",IF(F3919="NEW",IF(ISNA(VLOOKUP(E3919,#REF!,1,FALSE())),"?TYPE_IDENTIFIABLE","?REFERENTIAL"),"_")))))</f>
        <v> </v>
      </c>
      <c r="H3919" s="24" t="str">
        <f>IF(J3919&lt;&gt;1,"",IF(I3919="SBJ","CB","?"))</f>
        <v> </v>
      </c>
      <c r="I3919" s="25" t="str">
        <f>IF(OR(E3919="",E3919="!!!",F3919="NEW"),"",INDEX(B3918:B$2,-1+SUMPRODUCT(MAX(ROW(E3918:E$2)*(E3919=E3918:E$2)))))</f>
        <v> </v>
      </c>
      <c r="J3919" s="25" t="str">
        <f>IF(OR(E3919="",E3919="!!!",F3919="NEW"),"",COUNTBLANK(OFFSET(A$1,,,SUMPRODUCT(MAX(ROW(E$2:E3919)*(E3919=E$2:E3919)))))-COUNTBLANK(OFFSET(A$1,,,SUMPRODUCT(MAX(ROW(E$1:E3918)*(E2=E$1:E3918))))))</f>
        <v> </v>
      </c>
      <c r="K3919" s="25" t="str">
        <f>IF(OR(E3919="",E3919="!!!",F3919="NEW"),"",INDEX(J$1:J3918,SUMPRODUCT(MAX(ROW(E$1:E3918)*(E3919=E$1:E3918)))))</f>
        <v> </v>
      </c>
      <c r="L3919" s="26"/>
    </row>
    <row r="3920" spans="1:12">
      <c r="A3920" s="20" t="s">
        <v>1352</v>
      </c>
      <c r="E3920" s="21">
        <f>IF(D3920="?OLD","!!!","")</f>
        <v/>
      </c>
      <c r="F3920" s="22" t="str">
        <f>IF(OR(E3920="",E3920="!!!"),"",IF(NOT(ISNA(VLOOKUP(E3920,E$1:E3919,1,FALSE()))),"OLD",IF(AND(E3920&lt;&gt;"",E3920&lt;&gt;"!!!"),"NEW","")))</f>
        <v> </v>
      </c>
      <c r="G3920" s="23" t="str">
        <f>IF(OR(E3920="",E3920="!!!"),"",IF(OR(J3920=0,AND(J3920=1,K3920=1),AND(J3920=1,I3920="SBJ"),AND(J3920=1,I3920=0)),"?IN_FOCUS",IF(J3920&lt;=2,"?ACTIVATED",IF(J3920&lt;&gt;"","?FAMILIAR",IF(F3920="NEW",IF(ISNA(VLOOKUP(E3920,#REF!,1,FALSE())),"?TYPE_IDENTIFIABLE","?REFERENTIAL"),"_")))))</f>
        <v> </v>
      </c>
      <c r="H3920" s="24" t="str">
        <f>IF(J3920&lt;&gt;1,"",IF(I3920="SBJ","CB","?"))</f>
        <v> </v>
      </c>
      <c r="I3920" s="25" t="str">
        <f>IF(OR(E3920="",E3920="!!!",F3920="NEW"),"",INDEX(B3919:B$2,-1+SUMPRODUCT(MAX(ROW(E3919:E$2)*(E3920=E3919:E$2)))))</f>
        <v> </v>
      </c>
      <c r="J3920" s="25" t="str">
        <f>IF(OR(E3920="",E3920="!!!",F3920="NEW"),"",COUNTBLANK(OFFSET(A$1,,,SUMPRODUCT(MAX(ROW(E$2:E3920)*(E3920=E$2:E3920)))))-COUNTBLANK(OFFSET(A$1,,,SUMPRODUCT(MAX(ROW(E$1:E3919)*(E2=E$1:E3919))))))</f>
        <v> </v>
      </c>
      <c r="K3920" s="25" t="str">
        <f>IF(OR(E3920="",E3920="!!!",F3920="NEW"),"",INDEX(J$1:J3919,SUMPRODUCT(MAX(ROW(E$1:E3919)*(E3920=E$1:E3919)))))</f>
        <v> </v>
      </c>
      <c r="L3920" s="26"/>
    </row>
    <row r="3921" spans="1:12">
      <c r="A3921" s="20" t="s">
        <v>2295</v>
      </c>
      <c r="E3921" s="21">
        <f>IF(D3921="?OLD","!!!","")</f>
        <v/>
      </c>
      <c r="F3921" s="22" t="str">
        <f>IF(OR(E3921="",E3921="!!!"),"",IF(NOT(ISNA(VLOOKUP(E3921,E$1:E3920,1,FALSE()))),"OLD",IF(AND(E3921&lt;&gt;"",E3921&lt;&gt;"!!!"),"NEW","")))</f>
        <v> </v>
      </c>
      <c r="G3921" s="23" t="str">
        <f>IF(OR(E3921="",E3921="!!!"),"",IF(OR(J3921=0,AND(J3921=1,K3921=1),AND(J3921=1,I3921="SBJ"),AND(J3921=1,I3921=0)),"?IN_FOCUS",IF(J3921&lt;=2,"?ACTIVATED",IF(J3921&lt;&gt;"","?FAMILIAR",IF(F3921="NEW",IF(ISNA(VLOOKUP(E3921,#REF!,1,FALSE())),"?TYPE_IDENTIFIABLE","?REFERENTIAL"),"_")))))</f>
        <v> </v>
      </c>
      <c r="H3921" s="24" t="str">
        <f>IF(J3921&lt;&gt;1,"",IF(I3921="SBJ","CB","?"))</f>
        <v> </v>
      </c>
      <c r="I3921" s="25" t="str">
        <f>IF(OR(E3921="",E3921="!!!",F3921="NEW"),"",INDEX(B3920:B$2,-1+SUMPRODUCT(MAX(ROW(E3920:E$2)*(E3921=E3920:E$2)))))</f>
        <v> </v>
      </c>
      <c r="J3921" s="25" t="str">
        <f>IF(OR(E3921="",E3921="!!!",F3921="NEW"),"",COUNTBLANK(OFFSET(A$1,,,SUMPRODUCT(MAX(ROW(E$2:E3921)*(E3921=E$2:E3921)))))-COUNTBLANK(OFFSET(A$1,,,SUMPRODUCT(MAX(ROW(E$1:E3920)*(E2=E$1:E3920))))))</f>
        <v> </v>
      </c>
      <c r="K3921" s="25" t="str">
        <f>IF(OR(E3921="",E3921="!!!",F3921="NEW"),"",INDEX(J$1:J3920,SUMPRODUCT(MAX(ROW(E$1:E3920)*(E3921=E$1:E3920)))))</f>
        <v> </v>
      </c>
      <c r="L3921" s="26"/>
    </row>
    <row r="3922" spans="1:12">
      <c r="A3922" s="20" t="s">
        <v>1197</v>
      </c>
      <c r="B3922" s="27" t="s">
        <v>1133</v>
      </c>
      <c r="C3922" s="27" t="s">
        <v>1068</v>
      </c>
      <c r="D3922" s="27" t="s">
        <v>1069</v>
      </c>
      <c r="E3922" s="21">
        <f>IF(D3922="?OLD","!!!","")</f>
        <v/>
      </c>
      <c r="F3922" s="22" t="str">
        <f>IF(OR(E3922="",E3922="!!!"),"",IF(NOT(ISNA(VLOOKUP(E3922,E$1:E3921,1,FALSE()))),"OLD",IF(AND(E3922&lt;&gt;"",E3922&lt;&gt;"!!!"),"NEW","")))</f>
        <v> </v>
      </c>
      <c r="G3922" s="23" t="str">
        <f>IF(OR(E3922="",E3922="!!!"),"",IF(OR(J3922=0,AND(J3922=1,K3922=1),AND(J3922=1,I3922="SBJ"),AND(J3922=1,I3922=0)),"?IN_FOCUS",IF(J3922&lt;=2,"?ACTIVATED",IF(J3922&lt;&gt;"","?FAMILIAR",IF(F3922="NEW",IF(ISNA(VLOOKUP(E3922,#REF!,1,FALSE())),"?TYPE_IDENTIFIABLE","?REFERENTIAL"),"_")))))</f>
        <v> </v>
      </c>
      <c r="H3922" s="24" t="str">
        <f>IF(J3922&lt;&gt;1,"",IF(I3922="SBJ","CB","?"))</f>
        <v> </v>
      </c>
      <c r="I3922" s="25" t="str">
        <f>IF(OR(E3922="",E3922="!!!",F3922="NEW"),"",INDEX(B3921:B$2,-1+SUMPRODUCT(MAX(ROW(E3921:E$2)*(E3922=E3921:E$2)))))</f>
        <v> </v>
      </c>
      <c r="J3922" s="25" t="str">
        <f>IF(OR(E3922="",E3922="!!!",F3922="NEW"),"",COUNTBLANK(OFFSET(A$1,,,SUMPRODUCT(MAX(ROW(E$2:E3922)*(E3922=E$2:E3922)))))-COUNTBLANK(OFFSET(A$1,,,SUMPRODUCT(MAX(ROW(E$1:E3921)*(E2=E$1:E3921))))))</f>
        <v> </v>
      </c>
      <c r="K3922" s="25" t="str">
        <f>IF(OR(E3922="",E3922="!!!",F3922="NEW"),"",INDEX(J$1:J3921,SUMPRODUCT(MAX(ROW(E$1:E3921)*(E3922=E$1:E3921)))))</f>
        <v> </v>
      </c>
      <c r="L3922" s="26"/>
    </row>
    <row r="3923" spans="1:12">
      <c r="A3923" s="20" t="s">
        <v>2212</v>
      </c>
      <c r="B3923" s="27" t="s">
        <v>1106</v>
      </c>
      <c r="C3923" s="27" t="s">
        <v>1068</v>
      </c>
      <c r="D3923" s="27" t="s">
        <v>1069</v>
      </c>
      <c r="E3923" s="21">
        <f>IF(D3923="?OLD","!!!","")</f>
        <v/>
      </c>
      <c r="F3923" s="22" t="str">
        <f>IF(OR(E3923="",E3923="!!!"),"",IF(NOT(ISNA(VLOOKUP(E3923,E$1:E3922,1,FALSE()))),"OLD",IF(AND(E3923&lt;&gt;"",E3923&lt;&gt;"!!!"),"NEW","")))</f>
        <v> </v>
      </c>
      <c r="G3923" s="23" t="str">
        <f>IF(OR(E3923="",E3923="!!!"),"",IF(OR(J3923=0,AND(J3923=1,K3923=1),AND(J3923=1,I3923="SBJ"),AND(J3923=1,I3923=0)),"?IN_FOCUS",IF(J3923&lt;=2,"?ACTIVATED",IF(J3923&lt;&gt;"","?FAMILIAR",IF(F3923="NEW",IF(ISNA(VLOOKUP(E3923,#REF!,1,FALSE())),"?TYPE_IDENTIFIABLE","?REFERENTIAL"),"_")))))</f>
        <v> </v>
      </c>
      <c r="H3923" s="24" t="str">
        <f>IF(J3923&lt;&gt;1,"",IF(I3923="SBJ","CB","?"))</f>
        <v> </v>
      </c>
      <c r="I3923" s="25" t="str">
        <f>IF(OR(E3923="",E3923="!!!",F3923="NEW"),"",INDEX(B3922:B$2,-1+SUMPRODUCT(MAX(ROW(E3922:E$2)*(E3923=E3922:E$2)))))</f>
        <v> </v>
      </c>
      <c r="J3923" s="25" t="str">
        <f>IF(OR(E3923="",E3923="!!!",F3923="NEW"),"",COUNTBLANK(OFFSET(A$1,,,SUMPRODUCT(MAX(ROW(E$2:E3923)*(E3923=E$2:E3923)))))-COUNTBLANK(OFFSET(A$1,,,SUMPRODUCT(MAX(ROW(E$1:E3922)*(E2=E$1:E3922))))))</f>
        <v> </v>
      </c>
      <c r="K3923" s="25" t="str">
        <f>IF(OR(E3923="",E3923="!!!",F3923="NEW"),"",INDEX(J$1:J3922,SUMPRODUCT(MAX(ROW(E$1:E3922)*(E3923=E$1:E3922)))))</f>
        <v> </v>
      </c>
      <c r="L3923" s="26"/>
    </row>
    <row r="3924" spans="1:12">
      <c r="A3924" s="20" t="s">
        <v>1078</v>
      </c>
      <c r="E3924" s="21">
        <f>IF(D3924="?OLD","!!!","")</f>
        <v/>
      </c>
      <c r="F3924" s="22" t="str">
        <f>IF(OR(E3924="",E3924="!!!"),"",IF(NOT(ISNA(VLOOKUP(E3924,E$1:E3923,1,FALSE()))),"OLD",IF(AND(E3924&lt;&gt;"",E3924&lt;&gt;"!!!"),"NEW","")))</f>
        <v> </v>
      </c>
      <c r="G3924" s="23" t="str">
        <f>IF(OR(E3924="",E3924="!!!"),"",IF(OR(J3924=0,AND(J3924=1,K3924=1),AND(J3924=1,I3924="SBJ"),AND(J3924=1,I3924=0)),"?IN_FOCUS",IF(J3924&lt;=2,"?ACTIVATED",IF(J3924&lt;&gt;"","?FAMILIAR",IF(F3924="NEW",IF(ISNA(VLOOKUP(E3924,#REF!,1,FALSE())),"?TYPE_IDENTIFIABLE","?REFERENTIAL"),"_")))))</f>
        <v> </v>
      </c>
      <c r="H3924" s="24" t="str">
        <f>IF(J3924&lt;&gt;1,"",IF(I3924="SBJ","CB","?"))</f>
        <v> </v>
      </c>
      <c r="I3924" s="25" t="str">
        <f>IF(OR(E3924="",E3924="!!!",F3924="NEW"),"",INDEX(B3923:B$2,-1+SUMPRODUCT(MAX(ROW(E3923:E$2)*(E3924=E3923:E$2)))))</f>
        <v> </v>
      </c>
      <c r="J3924" s="25" t="str">
        <f>IF(OR(E3924="",E3924="!!!",F3924="NEW"),"",COUNTBLANK(OFFSET(A$1,,,SUMPRODUCT(MAX(ROW(E$2:E3924)*(E3924=E$2:E3924)))))-COUNTBLANK(OFFSET(A$1,,,SUMPRODUCT(MAX(ROW(E$1:E3923)*(E2=E$1:E3923))))))</f>
        <v> </v>
      </c>
      <c r="K3924" s="25" t="str">
        <f>IF(OR(E3924="",E3924="!!!",F3924="NEW"),"",INDEX(J$1:J3923,SUMPRODUCT(MAX(ROW(E$1:E3923)*(E3924=E$1:E3923)))))</f>
        <v> </v>
      </c>
      <c r="L3924" s="26"/>
    </row>
    <row r="3925" spans="1:12">
      <c r="A3925" s="20" t="s">
        <v>2296</v>
      </c>
      <c r="E3925" s="21">
        <f>IF(D3925="?OLD","!!!","")</f>
        <v/>
      </c>
      <c r="F3925" s="22" t="str">
        <f>IF(OR(E3925="",E3925="!!!"),"",IF(NOT(ISNA(VLOOKUP(E3925,E$1:E3924,1,FALSE()))),"OLD",IF(AND(E3925&lt;&gt;"",E3925&lt;&gt;"!!!"),"NEW","")))</f>
        <v> </v>
      </c>
      <c r="G3925" s="23" t="str">
        <f>IF(OR(E3925="",E3925="!!!"),"",IF(OR(J3925=0,AND(J3925=1,K3925=1),AND(J3925=1,I3925="SBJ"),AND(J3925=1,I3925=0)),"?IN_FOCUS",IF(J3925&lt;=2,"?ACTIVATED",IF(J3925&lt;&gt;"","?FAMILIAR",IF(F3925="NEW",IF(ISNA(VLOOKUP(E3925,#REF!,1,FALSE())),"?TYPE_IDENTIFIABLE","?REFERENTIAL"),"_")))))</f>
        <v> </v>
      </c>
      <c r="H3925" s="24" t="str">
        <f>IF(J3925&lt;&gt;1,"",IF(I3925="SBJ","CB","?"))</f>
        <v> </v>
      </c>
      <c r="I3925" s="25" t="str">
        <f>IF(OR(E3925="",E3925="!!!",F3925="NEW"),"",INDEX(B3924:B$2,-1+SUMPRODUCT(MAX(ROW(E3924:E$2)*(E3925=E3924:E$2)))))</f>
        <v> </v>
      </c>
      <c r="J3925" s="25" t="str">
        <f>IF(OR(E3925="",E3925="!!!",F3925="NEW"),"",COUNTBLANK(OFFSET(A$1,,,SUMPRODUCT(MAX(ROW(E$2:E3925)*(E3925=E$2:E3925)))))-COUNTBLANK(OFFSET(A$1,,,SUMPRODUCT(MAX(ROW(E$1:E3924)*(E2=E$1:E3924))))))</f>
        <v> </v>
      </c>
      <c r="K3925" s="25" t="str">
        <f>IF(OR(E3925="",E3925="!!!",F3925="NEW"),"",INDEX(J$1:J3924,SUMPRODUCT(MAX(ROW(E$1:E3924)*(E3925=E$1:E3924)))))</f>
        <v> </v>
      </c>
      <c r="L3925" s="26"/>
    </row>
    <row r="3926" spans="1:12">
      <c r="A3926" s="20" t="s">
        <v>2212</v>
      </c>
      <c r="B3926" s="27" t="s">
        <v>1107</v>
      </c>
      <c r="C3926" s="27" t="s">
        <v>1068</v>
      </c>
      <c r="D3926" s="27" t="s">
        <v>1069</v>
      </c>
      <c r="E3926" s="21">
        <f>IF(D3926="?OLD","!!!","")</f>
        <v/>
      </c>
      <c r="F3926" s="22" t="str">
        <f>IF(OR(E3926="",E3926="!!!"),"",IF(NOT(ISNA(VLOOKUP(E3926,E$1:E3925,1,FALSE()))),"OLD",IF(AND(E3926&lt;&gt;"",E3926&lt;&gt;"!!!"),"NEW","")))</f>
        <v> </v>
      </c>
      <c r="G3926" s="23" t="str">
        <f>IF(OR(E3926="",E3926="!!!"),"",IF(OR(J3926=0,AND(J3926=1,K3926=1),AND(J3926=1,I3926="SBJ"),AND(J3926=1,I3926=0)),"?IN_FOCUS",IF(J3926&lt;=2,"?ACTIVATED",IF(J3926&lt;&gt;"","?FAMILIAR",IF(F3926="NEW",IF(ISNA(VLOOKUP(E3926,#REF!,1,FALSE())),"?TYPE_IDENTIFIABLE","?REFERENTIAL"),"_")))))</f>
        <v> </v>
      </c>
      <c r="H3926" s="24" t="str">
        <f>IF(J3926&lt;&gt;1,"",IF(I3926="SBJ","CB","?"))</f>
        <v> </v>
      </c>
      <c r="I3926" s="25" t="str">
        <f>IF(OR(E3926="",E3926="!!!",F3926="NEW"),"",INDEX(B3925:B$2,-1+SUMPRODUCT(MAX(ROW(E3925:E$2)*(E3926=E3925:E$2)))))</f>
        <v> </v>
      </c>
      <c r="J3926" s="25" t="str">
        <f>IF(OR(E3926="",E3926="!!!",F3926="NEW"),"",COUNTBLANK(OFFSET(A$1,,,SUMPRODUCT(MAX(ROW(E$2:E3926)*(E3926=E$2:E3926)))))-COUNTBLANK(OFFSET(A$1,,,SUMPRODUCT(MAX(ROW(E$1:E3925)*(E2=E$1:E3925))))))</f>
        <v> </v>
      </c>
      <c r="K3926" s="25" t="str">
        <f>IF(OR(E3926="",E3926="!!!",F3926="NEW"),"",INDEX(J$1:J3925,SUMPRODUCT(MAX(ROW(E$1:E3925)*(E3926=E$1:E3925)))))</f>
        <v> </v>
      </c>
      <c r="L3926" s="26"/>
    </row>
    <row r="3927" spans="1:12">
      <c r="A3927" s="20" t="s">
        <v>1224</v>
      </c>
      <c r="E3927" s="21">
        <f>IF(D3927="?OLD","!!!","")</f>
        <v/>
      </c>
      <c r="F3927" s="22" t="str">
        <f>IF(OR(E3927="",E3927="!!!"),"",IF(NOT(ISNA(VLOOKUP(E3927,E$1:E3926,1,FALSE()))),"OLD",IF(AND(E3927&lt;&gt;"",E3927&lt;&gt;"!!!"),"NEW","")))</f>
        <v> </v>
      </c>
      <c r="G3927" s="23" t="str">
        <f>IF(OR(E3927="",E3927="!!!"),"",IF(OR(J3927=0,AND(J3927=1,K3927=1),AND(J3927=1,I3927="SBJ"),AND(J3927=1,I3927=0)),"?IN_FOCUS",IF(J3927&lt;=2,"?ACTIVATED",IF(J3927&lt;&gt;"","?FAMILIAR",IF(F3927="NEW",IF(ISNA(VLOOKUP(E3927,#REF!,1,FALSE())),"?TYPE_IDENTIFIABLE","?REFERENTIAL"),"_")))))</f>
        <v> </v>
      </c>
      <c r="H3927" s="24" t="str">
        <f>IF(J3927&lt;&gt;1,"",IF(I3927="SBJ","CB","?"))</f>
        <v> </v>
      </c>
      <c r="I3927" s="25" t="str">
        <f>IF(OR(E3927="",E3927="!!!",F3927="NEW"),"",INDEX(B3926:B$2,-1+SUMPRODUCT(MAX(ROW(E3926:E$2)*(E3927=E3926:E$2)))))</f>
        <v> </v>
      </c>
      <c r="J3927" s="25" t="str">
        <f>IF(OR(E3927="",E3927="!!!",F3927="NEW"),"",COUNTBLANK(OFFSET(A$1,,,SUMPRODUCT(MAX(ROW(E$2:E3927)*(E3927=E$2:E3927)))))-COUNTBLANK(OFFSET(A$1,,,SUMPRODUCT(MAX(ROW(E$1:E3926)*(E2=E$1:E3926))))))</f>
        <v> </v>
      </c>
      <c r="K3927" s="25" t="str">
        <f>IF(OR(E3927="",E3927="!!!",F3927="NEW"),"",INDEX(J$1:J3926,SUMPRODUCT(MAX(ROW(E$1:E3926)*(E3927=E$1:E3926)))))</f>
        <v> </v>
      </c>
      <c r="L3927" s="26"/>
    </row>
    <row r="3928" spans="1:12">
      <c r="A3928" s="20" t="s">
        <v>1113</v>
      </c>
      <c r="E3928" s="21">
        <f>IF(D3928="?OLD","!!!","")</f>
        <v/>
      </c>
      <c r="F3928" s="22" t="str">
        <f>IF(OR(E3928="",E3928="!!!"),"",IF(NOT(ISNA(VLOOKUP(E3928,E$1:E3927,1,FALSE()))),"OLD",IF(AND(E3928&lt;&gt;"",E3928&lt;&gt;"!!!"),"NEW","")))</f>
        <v> </v>
      </c>
      <c r="G3928" s="23" t="str">
        <f>IF(OR(E3928="",E3928="!!!"),"",IF(OR(J3928=0,AND(J3928=1,K3928=1),AND(J3928=1,I3928="SBJ"),AND(J3928=1,I3928=0)),"?IN_FOCUS",IF(J3928&lt;=2,"?ACTIVATED",IF(J3928&lt;&gt;"","?FAMILIAR",IF(F3928="NEW",IF(ISNA(VLOOKUP(E3928,#REF!,1,FALSE())),"?TYPE_IDENTIFIABLE","?REFERENTIAL"),"_")))))</f>
        <v> </v>
      </c>
      <c r="H3928" s="24" t="str">
        <f>IF(J3928&lt;&gt;1,"",IF(I3928="SBJ","CB","?"))</f>
        <v> </v>
      </c>
      <c r="I3928" s="25" t="str">
        <f>IF(OR(E3928="",E3928="!!!",F3928="NEW"),"",INDEX(B3927:B$2,-1+SUMPRODUCT(MAX(ROW(E3927:E$2)*(E3928=E3927:E$2)))))</f>
        <v> </v>
      </c>
      <c r="J3928" s="25" t="str">
        <f>IF(OR(E3928="",E3928="!!!",F3928="NEW"),"",COUNTBLANK(OFFSET(A$1,,,SUMPRODUCT(MAX(ROW(E$2:E3928)*(E3928=E$2:E3928)))))-COUNTBLANK(OFFSET(A$1,,,SUMPRODUCT(MAX(ROW(E$1:E3927)*(E2=E$1:E3927))))))</f>
        <v> </v>
      </c>
      <c r="K3928" s="25" t="str">
        <f>IF(OR(E3928="",E3928="!!!",F3928="NEW"),"",INDEX(J$1:J3927,SUMPRODUCT(MAX(ROW(E$1:E3927)*(E3928=E$1:E3927)))))</f>
        <v> </v>
      </c>
      <c r="L3928" s="26"/>
    </row>
    <row r="3929" spans="1:12">
      <c r="A3929" s="20" t="s">
        <v>2148</v>
      </c>
      <c r="E3929" s="21">
        <f>IF(D3929="?OLD","!!!","")</f>
        <v/>
      </c>
      <c r="F3929" s="22" t="str">
        <f>IF(OR(E3929="",E3929="!!!"),"",IF(NOT(ISNA(VLOOKUP(E3929,E$1:E3928,1,FALSE()))),"OLD",IF(AND(E3929&lt;&gt;"",E3929&lt;&gt;"!!!"),"NEW","")))</f>
        <v> </v>
      </c>
      <c r="G3929" s="23" t="str">
        <f>IF(OR(E3929="",E3929="!!!"),"",IF(OR(J3929=0,AND(J3929=1,K3929=1),AND(J3929=1,I3929="SBJ"),AND(J3929=1,I3929=0)),"?IN_FOCUS",IF(J3929&lt;=2,"?ACTIVATED",IF(J3929&lt;&gt;"","?FAMILIAR",IF(F3929="NEW",IF(ISNA(VLOOKUP(E3929,#REF!,1,FALSE())),"?TYPE_IDENTIFIABLE","?REFERENTIAL"),"_")))))</f>
        <v> </v>
      </c>
      <c r="H3929" s="24" t="str">
        <f>IF(J3929&lt;&gt;1,"",IF(I3929="SBJ","CB","?"))</f>
        <v> </v>
      </c>
      <c r="I3929" s="25" t="str">
        <f>IF(OR(E3929="",E3929="!!!",F3929="NEW"),"",INDEX(B3928:B$2,-1+SUMPRODUCT(MAX(ROW(E3928:E$2)*(E3929=E3928:E$2)))))</f>
        <v> </v>
      </c>
      <c r="J3929" s="25" t="str">
        <f>IF(OR(E3929="",E3929="!!!",F3929="NEW"),"",COUNTBLANK(OFFSET(A$1,,,SUMPRODUCT(MAX(ROW(E$2:E3929)*(E3929=E$2:E3929)))))-COUNTBLANK(OFFSET(A$1,,,SUMPRODUCT(MAX(ROW(E$1:E3928)*(E2=E$1:E3928))))))</f>
        <v> </v>
      </c>
      <c r="K3929" s="25" t="str">
        <f>IF(OR(E3929="",E3929="!!!",F3929="NEW"),"",INDEX(J$1:J3928,SUMPRODUCT(MAX(ROW(E$1:E3928)*(E3929=E$1:E3928)))))</f>
        <v> </v>
      </c>
      <c r="L3929" s="26"/>
    </row>
    <row r="3930" spans="1:12">
      <c r="A3930" s="20" t="s">
        <v>2006</v>
      </c>
      <c r="B3930" s="27" t="s">
        <v>1141</v>
      </c>
      <c r="C3930" s="27" t="s">
        <v>1086</v>
      </c>
      <c r="D3930" s="27" t="s">
        <v>1069</v>
      </c>
      <c r="E3930" s="21">
        <f>IF(D3930="?OLD","!!!","")</f>
        <v/>
      </c>
      <c r="F3930" s="22" t="str">
        <f>IF(OR(E3930="",E3930="!!!"),"",IF(NOT(ISNA(VLOOKUP(E3930,E$1:E3929,1,FALSE()))),"OLD",IF(AND(E3930&lt;&gt;"",E3930&lt;&gt;"!!!"),"NEW","")))</f>
        <v> </v>
      </c>
      <c r="G3930" s="23" t="str">
        <f>IF(OR(E3930="",E3930="!!!"),"",IF(OR(J3930=0,AND(J3930=1,K3930=1),AND(J3930=1,I3930="SBJ"),AND(J3930=1,I3930=0)),"?IN_FOCUS",IF(J3930&lt;=2,"?ACTIVATED",IF(J3930&lt;&gt;"","?FAMILIAR",IF(F3930="NEW",IF(ISNA(VLOOKUP(E3930,#REF!,1,FALSE())),"?TYPE_IDENTIFIABLE","?REFERENTIAL"),"_")))))</f>
        <v> </v>
      </c>
      <c r="H3930" s="24" t="str">
        <f>IF(J3930&lt;&gt;1,"",IF(I3930="SBJ","CB","?"))</f>
        <v> </v>
      </c>
      <c r="I3930" s="25" t="str">
        <f>IF(OR(E3930="",E3930="!!!",F3930="NEW"),"",INDEX(B3929:B$2,-1+SUMPRODUCT(MAX(ROW(E3929:E$2)*(E3930=E3929:E$2)))))</f>
        <v> </v>
      </c>
      <c r="J3930" s="25" t="str">
        <f>IF(OR(E3930="",E3930="!!!",F3930="NEW"),"",COUNTBLANK(OFFSET(A$1,,,SUMPRODUCT(MAX(ROW(E$2:E3930)*(E3930=E$2:E3930)))))-COUNTBLANK(OFFSET(A$1,,,SUMPRODUCT(MAX(ROW(E$1:E3929)*(E2=E$1:E3929))))))</f>
        <v> </v>
      </c>
      <c r="K3930" s="25" t="str">
        <f>IF(OR(E3930="",E3930="!!!",F3930="NEW"),"",INDEX(J$1:J3929,SUMPRODUCT(MAX(ROW(E$1:E3929)*(E3930=E$1:E3929)))))</f>
        <v> </v>
      </c>
      <c r="L3930" s="26"/>
    </row>
    <row r="3931" spans="1:12">
      <c r="A3931" s="20" t="s">
        <v>1078</v>
      </c>
      <c r="E3931" s="21">
        <f>IF(D3931="?OLD","!!!","")</f>
        <v/>
      </c>
      <c r="F3931" s="22" t="str">
        <f>IF(OR(E3931="",E3931="!!!"),"",IF(NOT(ISNA(VLOOKUP(E3931,E$1:E3930,1,FALSE()))),"OLD",IF(AND(E3931&lt;&gt;"",E3931&lt;&gt;"!!!"),"NEW","")))</f>
        <v> </v>
      </c>
      <c r="G3931" s="23" t="str">
        <f>IF(OR(E3931="",E3931="!!!"),"",IF(OR(J3931=0,AND(J3931=1,K3931=1),AND(J3931=1,I3931="SBJ"),AND(J3931=1,I3931=0)),"?IN_FOCUS",IF(J3931&lt;=2,"?ACTIVATED",IF(J3931&lt;&gt;"","?FAMILIAR",IF(F3931="NEW",IF(ISNA(VLOOKUP(E3931,#REF!,1,FALSE())),"?TYPE_IDENTIFIABLE","?REFERENTIAL"),"_")))))</f>
        <v> </v>
      </c>
      <c r="H3931" s="24" t="str">
        <f>IF(J3931&lt;&gt;1,"",IF(I3931="SBJ","CB","?"))</f>
        <v> </v>
      </c>
      <c r="I3931" s="25" t="str">
        <f>IF(OR(E3931="",E3931="!!!",F3931="NEW"),"",INDEX(B3930:B$2,-1+SUMPRODUCT(MAX(ROW(E3930:E$2)*(E3931=E3930:E$2)))))</f>
        <v> </v>
      </c>
      <c r="J3931" s="25" t="str">
        <f>IF(OR(E3931="",E3931="!!!",F3931="NEW"),"",COUNTBLANK(OFFSET(A$1,,,SUMPRODUCT(MAX(ROW(E$2:E3931)*(E3931=E$2:E3931)))))-COUNTBLANK(OFFSET(A$1,,,SUMPRODUCT(MAX(ROW(E$1:E3930)*(E2=E$1:E3930))))))</f>
        <v> </v>
      </c>
      <c r="K3931" s="25" t="str">
        <f>IF(OR(E3931="",E3931="!!!",F3931="NEW"),"",INDEX(J$1:J3930,SUMPRODUCT(MAX(ROW(E$1:E3930)*(E3931=E$1:E3930)))))</f>
        <v> </v>
      </c>
      <c r="L3931" s="26"/>
    </row>
    <row r="3932" spans="1:12">
      <c r="A3932" s="20" t="s">
        <v>563</v>
      </c>
      <c r="E3932" s="21">
        <f>IF(D3932="?OLD","!!!","")</f>
        <v/>
      </c>
      <c r="F3932" s="22" t="str">
        <f>IF(OR(E3932="",E3932="!!!"),"",IF(NOT(ISNA(VLOOKUP(E3932,E$1:E3931,1,FALSE()))),"OLD",IF(AND(E3932&lt;&gt;"",E3932&lt;&gt;"!!!"),"NEW","")))</f>
        <v> </v>
      </c>
      <c r="G3932" s="23" t="str">
        <f>IF(OR(E3932="",E3932="!!!"),"",IF(OR(J3932=0,AND(J3932=1,K3932=1),AND(J3932=1,I3932="SBJ"),AND(J3932=1,I3932=0)),"?IN_FOCUS",IF(J3932&lt;=2,"?ACTIVATED",IF(J3932&lt;&gt;"","?FAMILIAR",IF(F3932="NEW",IF(ISNA(VLOOKUP(E3932,#REF!,1,FALSE())),"?TYPE_IDENTIFIABLE","?REFERENTIAL"),"_")))))</f>
        <v> </v>
      </c>
      <c r="H3932" s="24" t="str">
        <f>IF(J3932&lt;&gt;1,"",IF(I3932="SBJ","CB","?"))</f>
        <v> </v>
      </c>
      <c r="I3932" s="25" t="str">
        <f>IF(OR(E3932="",E3932="!!!",F3932="NEW"),"",INDEX(B3931:B$2,-1+SUMPRODUCT(MAX(ROW(E3931:E$2)*(E3932=E3931:E$2)))))</f>
        <v> </v>
      </c>
      <c r="J3932" s="25" t="str">
        <f>IF(OR(E3932="",E3932="!!!",F3932="NEW"),"",COUNTBLANK(OFFSET(A$1,,,SUMPRODUCT(MAX(ROW(E$2:E3932)*(E3932=E$2:E3932)))))-COUNTBLANK(OFFSET(A$1,,,SUMPRODUCT(MAX(ROW(E$1:E3931)*(E2=E$1:E3931))))))</f>
        <v> </v>
      </c>
      <c r="K3932" s="25" t="str">
        <f>IF(OR(E3932="",E3932="!!!",F3932="NEW"),"",INDEX(J$1:J3931,SUMPRODUCT(MAX(ROW(E$1:E3931)*(E3932=E$1:E3931)))))</f>
        <v> </v>
      </c>
      <c r="L3932" s="26"/>
    </row>
    <row r="3933" spans="1:12">
      <c r="A3933" s="20" t="s">
        <v>1167</v>
      </c>
      <c r="B3933" s="27" t="s">
        <v>1250</v>
      </c>
      <c r="C3933" s="27" t="s">
        <v>1068</v>
      </c>
      <c r="D3933" s="27" t="s">
        <v>1069</v>
      </c>
      <c r="E3933" s="21">
        <f>IF(D3933="?OLD","!!!","")</f>
        <v/>
      </c>
      <c r="F3933" s="22" t="str">
        <f>IF(OR(E3933="",E3933="!!!"),"",IF(NOT(ISNA(VLOOKUP(E3933,E$1:E3932,1,FALSE()))),"OLD",IF(AND(E3933&lt;&gt;"",E3933&lt;&gt;"!!!"),"NEW","")))</f>
        <v> </v>
      </c>
      <c r="G3933" s="23" t="str">
        <f>IF(OR(E3933="",E3933="!!!"),"",IF(OR(J3933=0,AND(J3933=1,K3933=1),AND(J3933=1,I3933="SBJ"),AND(J3933=1,I3933=0)),"?IN_FOCUS",IF(J3933&lt;=2,"?ACTIVATED",IF(J3933&lt;&gt;"","?FAMILIAR",IF(F3933="NEW",IF(ISNA(VLOOKUP(E3933,#REF!,1,FALSE())),"?TYPE_IDENTIFIABLE","?REFERENTIAL"),"_")))))</f>
        <v> </v>
      </c>
      <c r="H3933" s="24" t="str">
        <f>IF(J3933&lt;&gt;1,"",IF(I3933="SBJ","CB","?"))</f>
        <v> </v>
      </c>
      <c r="I3933" s="25" t="str">
        <f>IF(OR(E3933="",E3933="!!!",F3933="NEW"),"",INDEX(B3932:B$2,-1+SUMPRODUCT(MAX(ROW(E3932:E$2)*(E3933=E3932:E$2)))))</f>
        <v> </v>
      </c>
      <c r="J3933" s="25" t="str">
        <f>IF(OR(E3933="",E3933="!!!",F3933="NEW"),"",COUNTBLANK(OFFSET(A$1,,,SUMPRODUCT(MAX(ROW(E$2:E3933)*(E3933=E$2:E3933)))))-COUNTBLANK(OFFSET(A$1,,,SUMPRODUCT(MAX(ROW(E$1:E3932)*(E2=E$1:E3932))))))</f>
        <v> </v>
      </c>
      <c r="K3933" s="25" t="str">
        <f>IF(OR(E3933="",E3933="!!!",F3933="NEW"),"",INDEX(J$1:J3932,SUMPRODUCT(MAX(ROW(E$1:E3932)*(E3933=E$1:E3932)))))</f>
        <v> </v>
      </c>
      <c r="L3933" s="26"/>
    </row>
    <row r="3934" spans="1:12">
      <c r="A3934" s="20" t="s">
        <v>1332</v>
      </c>
      <c r="E3934" s="21">
        <f>IF(D3934="?OLD","!!!","")</f>
        <v/>
      </c>
      <c r="F3934" s="22" t="str">
        <f>IF(OR(E3934="",E3934="!!!"),"",IF(NOT(ISNA(VLOOKUP(E3934,E$1:E3933,1,FALSE()))),"OLD",IF(AND(E3934&lt;&gt;"",E3934&lt;&gt;"!!!"),"NEW","")))</f>
        <v> </v>
      </c>
      <c r="G3934" s="23" t="str">
        <f>IF(OR(E3934="",E3934="!!!"),"",IF(OR(J3934=0,AND(J3934=1,K3934=1),AND(J3934=1,I3934="SBJ"),AND(J3934=1,I3934=0)),"?IN_FOCUS",IF(J3934&lt;=2,"?ACTIVATED",IF(J3934&lt;&gt;"","?FAMILIAR",IF(F3934="NEW",IF(ISNA(VLOOKUP(E3934,#REF!,1,FALSE())),"?TYPE_IDENTIFIABLE","?REFERENTIAL"),"_")))))</f>
        <v> </v>
      </c>
      <c r="H3934" s="24" t="str">
        <f>IF(J3934&lt;&gt;1,"",IF(I3934="SBJ","CB","?"))</f>
        <v> </v>
      </c>
      <c r="I3934" s="25" t="str">
        <f>IF(OR(E3934="",E3934="!!!",F3934="NEW"),"",INDEX(B3933:B$2,-1+SUMPRODUCT(MAX(ROW(E3933:E$2)*(E3934=E3933:E$2)))))</f>
        <v> </v>
      </c>
      <c r="J3934" s="25" t="str">
        <f>IF(OR(E3934="",E3934="!!!",F3934="NEW"),"",COUNTBLANK(OFFSET(A$1,,,SUMPRODUCT(MAX(ROW(E$2:E3934)*(E3934=E$2:E3934)))))-COUNTBLANK(OFFSET(A$1,,,SUMPRODUCT(MAX(ROW(E$1:E3933)*(E2=E$1:E3933))))))</f>
        <v> </v>
      </c>
      <c r="K3934" s="25" t="str">
        <f>IF(OR(E3934="",E3934="!!!",F3934="NEW"),"",INDEX(J$1:J3933,SUMPRODUCT(MAX(ROW(E$1:E3933)*(E3934=E$1:E3933)))))</f>
        <v> </v>
      </c>
      <c r="L3934" s="26"/>
    </row>
    <row r="3935" spans="1:12">
      <c r="A3935" s="20" t="s">
        <v>1080</v>
      </c>
      <c r="E3935" s="21">
        <f>IF(D3935="?OLD","!!!","")</f>
        <v/>
      </c>
      <c r="F3935" s="22" t="str">
        <f>IF(OR(E3935="",E3935="!!!"),"",IF(NOT(ISNA(VLOOKUP(E3935,E$1:E3934,1,FALSE()))),"OLD",IF(AND(E3935&lt;&gt;"",E3935&lt;&gt;"!!!"),"NEW","")))</f>
        <v> </v>
      </c>
      <c r="G3935" s="23" t="str">
        <f>IF(OR(E3935="",E3935="!!!"),"",IF(OR(J3935=0,AND(J3935=1,K3935=1),AND(J3935=1,I3935="SBJ"),AND(J3935=1,I3935=0)),"?IN_FOCUS",IF(J3935&lt;=2,"?ACTIVATED",IF(J3935&lt;&gt;"","?FAMILIAR",IF(F3935="NEW",IF(ISNA(VLOOKUP(E3935,#REF!,1,FALSE())),"?TYPE_IDENTIFIABLE","?REFERENTIAL"),"_")))))</f>
        <v> </v>
      </c>
      <c r="H3935" s="24" t="str">
        <f>IF(J3935&lt;&gt;1,"",IF(I3935="SBJ","CB","?"))</f>
        <v> </v>
      </c>
      <c r="I3935" s="25" t="str">
        <f>IF(OR(E3935="",E3935="!!!",F3935="NEW"),"",INDEX(B3934:B$2,-1+SUMPRODUCT(MAX(ROW(E3934:E$2)*(E3935=E3934:E$2)))))</f>
        <v> </v>
      </c>
      <c r="J3935" s="25" t="str">
        <f>IF(OR(E3935="",E3935="!!!",F3935="NEW"),"",COUNTBLANK(OFFSET(A$1,,,SUMPRODUCT(MAX(ROW(E$2:E3935)*(E3935=E$2:E3935)))))-COUNTBLANK(OFFSET(A$1,,,SUMPRODUCT(MAX(ROW(E$1:E3934)*(E2=E$1:E3934))))))</f>
        <v> </v>
      </c>
      <c r="K3935" s="25" t="str">
        <f>IF(OR(E3935="",E3935="!!!",F3935="NEW"),"",INDEX(J$1:J3934,SUMPRODUCT(MAX(ROW(E$1:E3934)*(E3935=E$1:E3934)))))</f>
        <v> </v>
      </c>
      <c r="L3935" s="26"/>
    </row>
    <row r="3936" spans="1:12">
      <c r="A3936" s="20"/>
    </row>
    <row r="3937" spans="1:12">
      <c r="A3937" s="20" t="s">
        <v>2297</v>
      </c>
    </row>
    <row r="3938" spans="1:12">
      <c r="A3938" s="20" t="s">
        <v>1082</v>
      </c>
      <c r="E3938" s="21">
        <f>IF(D3938="?OLD","!!!","")</f>
        <v/>
      </c>
      <c r="F3938" s="22" t="str">
        <f>IF(OR(E3938="",E3938="!!!"),"",IF(NOT(ISNA(VLOOKUP(E3938,E$1:E3937,1,FALSE()))),"OLD",IF(AND(E3938&lt;&gt;"",E3938&lt;&gt;"!!!"),"NEW","")))</f>
        <v> </v>
      </c>
      <c r="G3938" s="23" t="str">
        <f>IF(OR(E3938="",E3938="!!!"),"",IF(OR(J3938=0,AND(J3938=1,K3938=1),AND(J3938=1,I3938="SBJ"),AND(J3938=1,I3938=0)),"?IN_FOCUS",IF(J3938&lt;=2,"?ACTIVATED",IF(J3938&lt;&gt;"","?FAMILIAR",IF(F3938="NEW",IF(ISNA(VLOOKUP(E3938,#REF!,1,FALSE())),"?TYPE_IDENTIFIABLE","?REFERENTIAL"),"_")))))</f>
        <v> </v>
      </c>
      <c r="H3938" s="24" t="str">
        <f>IF(J3938&lt;&gt;1,"",IF(I3938="SBJ","CB","?"))</f>
        <v> </v>
      </c>
      <c r="I3938" s="25" t="str">
        <f>IF(OR(E3938="",E3938="!!!",F3938="NEW"),"",INDEX(B3937:B$2,-1+SUMPRODUCT(MAX(ROW(E3937:E$2)*(E3938=E3937:E$2)))))</f>
        <v> </v>
      </c>
      <c r="J3938" s="25" t="str">
        <f>IF(OR(E3938="",E3938="!!!",F3938="NEW"),"",COUNTBLANK(OFFSET(A$1,,,SUMPRODUCT(MAX(ROW(E$2:E3938)*(E3938=E$2:E3938)))))-COUNTBLANK(OFFSET(A$1,,,SUMPRODUCT(MAX(ROW(E$1:E3937)*(E2=E$1:E3937))))))</f>
        <v> </v>
      </c>
      <c r="K3938" s="25" t="str">
        <f>IF(OR(E3938="",E3938="!!!",F3938="NEW"),"",INDEX(J$1:J3937,SUMPRODUCT(MAX(ROW(E$1:E3937)*(E3938=E$1:E3937)))))</f>
        <v> </v>
      </c>
      <c r="L3938" s="26"/>
    </row>
    <row r="3939" spans="1:12">
      <c r="A3939" s="20" t="s">
        <v>1108</v>
      </c>
      <c r="B3939" s="27" t="s">
        <v>1067</v>
      </c>
      <c r="C3939" s="27" t="s">
        <v>1110</v>
      </c>
      <c r="D3939" s="27" t="s">
        <v>1069</v>
      </c>
      <c r="E3939" s="21">
        <f>IF(D3939="?OLD","!!!","")</f>
        <v/>
      </c>
      <c r="F3939" s="22" t="str">
        <f>IF(OR(E3939="",E3939="!!!"),"",IF(NOT(ISNA(VLOOKUP(E3939,E$1:E3938,1,FALSE()))),"OLD",IF(AND(E3939&lt;&gt;"",E3939&lt;&gt;"!!!"),"NEW","")))</f>
        <v> </v>
      </c>
      <c r="G3939" s="23" t="str">
        <f>IF(OR(E3939="",E3939="!!!"),"",IF(OR(J3939=0,AND(J3939=1,K3939=1),AND(J3939=1,I3939="SBJ"),AND(J3939=1,I3939=0)),"?IN_FOCUS",IF(J3939&lt;=2,"?ACTIVATED",IF(J3939&lt;&gt;"","?FAMILIAR",IF(F3939="NEW",IF(ISNA(VLOOKUP(E3939,#REF!,1,FALSE())),"?TYPE_IDENTIFIABLE","?REFERENTIAL"),"_")))))</f>
        <v> </v>
      </c>
      <c r="H3939" s="24" t="str">
        <f>IF(J3939&lt;&gt;1,"",IF(I3939="SBJ","CB","?"))</f>
        <v> </v>
      </c>
      <c r="I3939" s="25" t="str">
        <f>IF(OR(E3939="",E3939="!!!",F3939="NEW"),"",INDEX(B3938:B$2,-1+SUMPRODUCT(MAX(ROW(E3938:E$2)*(E3939=E3938:E$2)))))</f>
        <v> </v>
      </c>
      <c r="J3939" s="25" t="str">
        <f>IF(OR(E3939="",E3939="!!!",F3939="NEW"),"",COUNTBLANK(OFFSET(A$1,,,SUMPRODUCT(MAX(ROW(E$2:E3939)*(E3939=E$2:E3939)))))-COUNTBLANK(OFFSET(A$1,,,SUMPRODUCT(MAX(ROW(E$1:E3938)*(E2=E$1:E3938))))))</f>
        <v> </v>
      </c>
      <c r="K3939" s="25" t="str">
        <f>IF(OR(E3939="",E3939="!!!",F3939="NEW"),"",INDEX(J$1:J3938,SUMPRODUCT(MAX(ROW(E$1:E3938)*(E3939=E$1:E3938)))))</f>
        <v> </v>
      </c>
      <c r="L3939" s="26"/>
    </row>
    <row r="3940" spans="1:12">
      <c r="A3940" s="20" t="s">
        <v>818</v>
      </c>
      <c r="E3940" s="21">
        <f>IF(D3940="?OLD","!!!","")</f>
        <v/>
      </c>
      <c r="F3940" s="22" t="str">
        <f>IF(OR(E3940="",E3940="!!!"),"",IF(NOT(ISNA(VLOOKUP(E3940,E$1:E3939,1,FALSE()))),"OLD",IF(AND(E3940&lt;&gt;"",E3940&lt;&gt;"!!!"),"NEW","")))</f>
        <v> </v>
      </c>
      <c r="G3940" s="23" t="str">
        <f>IF(OR(E3940="",E3940="!!!"),"",IF(OR(J3940=0,AND(J3940=1,K3940=1),AND(J3940=1,I3940="SBJ"),AND(J3940=1,I3940=0)),"?IN_FOCUS",IF(J3940&lt;=2,"?ACTIVATED",IF(J3940&lt;&gt;"","?FAMILIAR",IF(F3940="NEW",IF(ISNA(VLOOKUP(E3940,#REF!,1,FALSE())),"?TYPE_IDENTIFIABLE","?REFERENTIAL"),"_")))))</f>
        <v> </v>
      </c>
      <c r="H3940" s="24" t="str">
        <f>IF(J3940&lt;&gt;1,"",IF(I3940="SBJ","CB","?"))</f>
        <v> </v>
      </c>
      <c r="I3940" s="25" t="str">
        <f>IF(OR(E3940="",E3940="!!!",F3940="NEW"),"",INDEX(B3939:B$2,-1+SUMPRODUCT(MAX(ROW(E3939:E$2)*(E3940=E3939:E$2)))))</f>
        <v> </v>
      </c>
      <c r="J3940" s="25" t="str">
        <f>IF(OR(E3940="",E3940="!!!",F3940="NEW"),"",COUNTBLANK(OFFSET(A$1,,,SUMPRODUCT(MAX(ROW(E$2:E3940)*(E3940=E$2:E3940)))))-COUNTBLANK(OFFSET(A$1,,,SUMPRODUCT(MAX(ROW(E$1:E3939)*(E2=E$1:E3939))))))</f>
        <v> </v>
      </c>
      <c r="K3940" s="25" t="str">
        <f>IF(OR(E3940="",E3940="!!!",F3940="NEW"),"",INDEX(J$1:J3939,SUMPRODUCT(MAX(ROW(E$1:E3939)*(E3940=E$1:E3939)))))</f>
        <v> </v>
      </c>
      <c r="L3940" s="26"/>
    </row>
    <row r="3941" spans="1:12">
      <c r="A3941" s="20" t="s">
        <v>1087</v>
      </c>
      <c r="E3941" s="21">
        <f>IF(D3941="?OLD","!!!","")</f>
        <v/>
      </c>
      <c r="F3941" s="22" t="str">
        <f>IF(OR(E3941="",E3941="!!!"),"",IF(NOT(ISNA(VLOOKUP(E3941,E$1:E3940,1,FALSE()))),"OLD",IF(AND(E3941&lt;&gt;"",E3941&lt;&gt;"!!!"),"NEW","")))</f>
        <v> </v>
      </c>
      <c r="G3941" s="23" t="str">
        <f>IF(OR(E3941="",E3941="!!!"),"",IF(OR(J3941=0,AND(J3941=1,K3941=1),AND(J3941=1,I3941="SBJ"),AND(J3941=1,I3941=0)),"?IN_FOCUS",IF(J3941&lt;=2,"?ACTIVATED",IF(J3941&lt;&gt;"","?FAMILIAR",IF(F3941="NEW",IF(ISNA(VLOOKUP(E3941,#REF!,1,FALSE())),"?TYPE_IDENTIFIABLE","?REFERENTIAL"),"_")))))</f>
        <v> </v>
      </c>
      <c r="H3941" s="24" t="str">
        <f>IF(J3941&lt;&gt;1,"",IF(I3941="SBJ","CB","?"))</f>
        <v> </v>
      </c>
      <c r="I3941" s="25" t="str">
        <f>IF(OR(E3941="",E3941="!!!",F3941="NEW"),"",INDEX(B3940:B$2,-1+SUMPRODUCT(MAX(ROW(E3940:E$2)*(E3941=E3940:E$2)))))</f>
        <v> </v>
      </c>
      <c r="J3941" s="25" t="str">
        <f>IF(OR(E3941="",E3941="!!!",F3941="NEW"),"",COUNTBLANK(OFFSET(A$1,,,SUMPRODUCT(MAX(ROW(E$2:E3941)*(E3941=E$2:E3941)))))-COUNTBLANK(OFFSET(A$1,,,SUMPRODUCT(MAX(ROW(E$1:E3940)*(E2=E$1:E3940))))))</f>
        <v> </v>
      </c>
      <c r="K3941" s="25" t="str">
        <f>IF(OR(E3941="",E3941="!!!",F3941="NEW"),"",INDEX(J$1:J3940,SUMPRODUCT(MAX(ROW(E$1:E3940)*(E3941=E$1:E3940)))))</f>
        <v> </v>
      </c>
      <c r="L3941" s="26"/>
    </row>
    <row r="3942" spans="1:12">
      <c r="A3942" s="20" t="s">
        <v>2298</v>
      </c>
      <c r="E3942" s="21">
        <f>IF(D3942="?OLD","!!!","")</f>
        <v/>
      </c>
      <c r="F3942" s="22" t="str">
        <f>IF(OR(E3942="",E3942="!!!"),"",IF(NOT(ISNA(VLOOKUP(E3942,E$1:E3941,1,FALSE()))),"OLD",IF(AND(E3942&lt;&gt;"",E3942&lt;&gt;"!!!"),"NEW","")))</f>
        <v> </v>
      </c>
      <c r="G3942" s="23" t="str">
        <f>IF(OR(E3942="",E3942="!!!"),"",IF(OR(J3942=0,AND(J3942=1,K3942=1),AND(J3942=1,I3942="SBJ"),AND(J3942=1,I3942=0)),"?IN_FOCUS",IF(J3942&lt;=2,"?ACTIVATED",IF(J3942&lt;&gt;"","?FAMILIAR",IF(F3942="NEW",IF(ISNA(VLOOKUP(E3942,#REF!,1,FALSE())),"?TYPE_IDENTIFIABLE","?REFERENTIAL"),"_")))))</f>
        <v> </v>
      </c>
      <c r="H3942" s="24" t="str">
        <f>IF(J3942&lt;&gt;1,"",IF(I3942="SBJ","CB","?"))</f>
        <v> </v>
      </c>
      <c r="I3942" s="25" t="str">
        <f>IF(OR(E3942="",E3942="!!!",F3942="NEW"),"",INDEX(B3941:B$2,-1+SUMPRODUCT(MAX(ROW(E3941:E$2)*(E3942=E3941:E$2)))))</f>
        <v> </v>
      </c>
      <c r="J3942" s="25" t="str">
        <f>IF(OR(E3942="",E3942="!!!",F3942="NEW"),"",COUNTBLANK(OFFSET(A$1,,,SUMPRODUCT(MAX(ROW(E$2:E3942)*(E3942=E$2:E3942)))))-COUNTBLANK(OFFSET(A$1,,,SUMPRODUCT(MAX(ROW(E$1:E3941)*(E2=E$1:E3941))))))</f>
        <v> </v>
      </c>
      <c r="K3942" s="25" t="str">
        <f>IF(OR(E3942="",E3942="!!!",F3942="NEW"),"",INDEX(J$1:J3941,SUMPRODUCT(MAX(ROW(E$1:E3941)*(E3942=E$1:E3941)))))</f>
        <v> </v>
      </c>
      <c r="L3942" s="26"/>
    </row>
    <row r="3943" spans="1:12">
      <c r="A3943" s="20" t="s">
        <v>1108</v>
      </c>
      <c r="B3943" s="27" t="s">
        <v>1095</v>
      </c>
      <c r="C3943" s="27" t="s">
        <v>1110</v>
      </c>
      <c r="D3943" s="27" t="s">
        <v>1069</v>
      </c>
      <c r="E3943" s="21">
        <f>IF(D3943="?OLD","!!!","")</f>
        <v/>
      </c>
      <c r="F3943" s="22" t="str">
        <f>IF(OR(E3943="",E3943="!!!"),"",IF(NOT(ISNA(VLOOKUP(E3943,E$1:E3942,1,FALSE()))),"OLD",IF(AND(E3943&lt;&gt;"",E3943&lt;&gt;"!!!"),"NEW","")))</f>
        <v> </v>
      </c>
      <c r="G3943" s="23" t="str">
        <f>IF(OR(E3943="",E3943="!!!"),"",IF(OR(J3943=0,AND(J3943=1,K3943=1),AND(J3943=1,I3943="SBJ"),AND(J3943=1,I3943=0)),"?IN_FOCUS",IF(J3943&lt;=2,"?ACTIVATED",IF(J3943&lt;&gt;"","?FAMILIAR",IF(F3943="NEW",IF(ISNA(VLOOKUP(E3943,#REF!,1,FALSE())),"?TYPE_IDENTIFIABLE","?REFERENTIAL"),"_")))))</f>
        <v> </v>
      </c>
      <c r="H3943" s="24" t="str">
        <f>IF(J3943&lt;&gt;1,"",IF(I3943="SBJ","CB","?"))</f>
        <v> </v>
      </c>
      <c r="I3943" s="25" t="str">
        <f>IF(OR(E3943="",E3943="!!!",F3943="NEW"),"",INDEX(B3942:B$2,-1+SUMPRODUCT(MAX(ROW(E3942:E$2)*(E3943=E3942:E$2)))))</f>
        <v> </v>
      </c>
      <c r="J3943" s="25" t="str">
        <f>IF(OR(E3943="",E3943="!!!",F3943="NEW"),"",COUNTBLANK(OFFSET(A$1,,,SUMPRODUCT(MAX(ROW(E$2:E3943)*(E3943=E$2:E3943)))))-COUNTBLANK(OFFSET(A$1,,,SUMPRODUCT(MAX(ROW(E$1:E3942)*(E2=E$1:E3942))))))</f>
        <v> </v>
      </c>
      <c r="K3943" s="25" t="str">
        <f>IF(OR(E3943="",E3943="!!!",F3943="NEW"),"",INDEX(J$1:J3942,SUMPRODUCT(MAX(ROW(E$1:E3942)*(E3943=E$1:E3942)))))</f>
        <v> </v>
      </c>
      <c r="L3943" s="26"/>
    </row>
    <row r="3944" spans="1:12">
      <c r="A3944" s="20" t="s">
        <v>1113</v>
      </c>
      <c r="E3944" s="21">
        <f>IF(D3944="?OLD","!!!","")</f>
        <v/>
      </c>
      <c r="F3944" s="22" t="str">
        <f>IF(OR(E3944="",E3944="!!!"),"",IF(NOT(ISNA(VLOOKUP(E3944,E$1:E3943,1,FALSE()))),"OLD",IF(AND(E3944&lt;&gt;"",E3944&lt;&gt;"!!!"),"NEW","")))</f>
        <v> </v>
      </c>
      <c r="G3944" s="23" t="str">
        <f>IF(OR(E3944="",E3944="!!!"),"",IF(OR(J3944=0,AND(J3944=1,K3944=1),AND(J3944=1,I3944="SBJ"),AND(J3944=1,I3944=0)),"?IN_FOCUS",IF(J3944&lt;=2,"?ACTIVATED",IF(J3944&lt;&gt;"","?FAMILIAR",IF(F3944="NEW",IF(ISNA(VLOOKUP(E3944,#REF!,1,FALSE())),"?TYPE_IDENTIFIABLE","?REFERENTIAL"),"_")))))</f>
        <v> </v>
      </c>
      <c r="H3944" s="24" t="str">
        <f>IF(J3944&lt;&gt;1,"",IF(I3944="SBJ","CB","?"))</f>
        <v> </v>
      </c>
      <c r="I3944" s="25" t="str">
        <f>IF(OR(E3944="",E3944="!!!",F3944="NEW"),"",INDEX(B3943:B$2,-1+SUMPRODUCT(MAX(ROW(E3943:E$2)*(E3944=E3943:E$2)))))</f>
        <v> </v>
      </c>
      <c r="J3944" s="25" t="str">
        <f>IF(OR(E3944="",E3944="!!!",F3944="NEW"),"",COUNTBLANK(OFFSET(A$1,,,SUMPRODUCT(MAX(ROW(E$2:E3944)*(E3944=E$2:E3944)))))-COUNTBLANK(OFFSET(A$1,,,SUMPRODUCT(MAX(ROW(E$1:E3943)*(E2=E$1:E3943))))))</f>
        <v> </v>
      </c>
      <c r="K3944" s="25" t="str">
        <f>IF(OR(E3944="",E3944="!!!",F3944="NEW"),"",INDEX(J$1:J3943,SUMPRODUCT(MAX(ROW(E$1:E3943)*(E3944=E$1:E3943)))))</f>
        <v> </v>
      </c>
      <c r="L3944" s="26"/>
    </row>
    <row r="3945" spans="1:12">
      <c r="A3945" s="20" t="s">
        <v>1738</v>
      </c>
      <c r="B3945" s="27" t="s">
        <v>1090</v>
      </c>
      <c r="C3945" s="27" t="s">
        <v>1134</v>
      </c>
      <c r="D3945" s="27" t="s">
        <v>1069</v>
      </c>
      <c r="E3945" s="21">
        <f>IF(D3945="?OLD","!!!","")</f>
        <v/>
      </c>
      <c r="F3945" s="22" t="str">
        <f>IF(OR(E3945="",E3945="!!!"),"",IF(NOT(ISNA(VLOOKUP(E3945,E$1:E3944,1,FALSE()))),"OLD",IF(AND(E3945&lt;&gt;"",E3945&lt;&gt;"!!!"),"NEW","")))</f>
        <v> </v>
      </c>
      <c r="G3945" s="23" t="str">
        <f>IF(OR(E3945="",E3945="!!!"),"",IF(OR(J3945=0,AND(J3945=1,K3945=1),AND(J3945=1,I3945="SBJ"),AND(J3945=1,I3945=0)),"?IN_FOCUS",IF(J3945&lt;=2,"?ACTIVATED",IF(J3945&lt;&gt;"","?FAMILIAR",IF(F3945="NEW",IF(ISNA(VLOOKUP(E3945,#REF!,1,FALSE())),"?TYPE_IDENTIFIABLE","?REFERENTIAL"),"_")))))</f>
        <v> </v>
      </c>
      <c r="H3945" s="24" t="str">
        <f>IF(J3945&lt;&gt;1,"",IF(I3945="SBJ","CB","?"))</f>
        <v> </v>
      </c>
      <c r="I3945" s="25" t="str">
        <f>IF(OR(E3945="",E3945="!!!",F3945="NEW"),"",INDEX(B3944:B$2,-1+SUMPRODUCT(MAX(ROW(E3944:E$2)*(E3945=E3944:E$2)))))</f>
        <v> </v>
      </c>
      <c r="J3945" s="25" t="str">
        <f>IF(OR(E3945="",E3945="!!!",F3945="NEW"),"",COUNTBLANK(OFFSET(A$1,,,SUMPRODUCT(MAX(ROW(E$2:E3945)*(E3945=E$2:E3945)))))-COUNTBLANK(OFFSET(A$1,,,SUMPRODUCT(MAX(ROW(E$1:E3944)*(E2=E$1:E3944))))))</f>
        <v> </v>
      </c>
      <c r="K3945" s="25" t="str">
        <f>IF(OR(E3945="",E3945="!!!",F3945="NEW"),"",INDEX(J$1:J3944,SUMPRODUCT(MAX(ROW(E$1:E3944)*(E3945=E$1:E3944)))))</f>
        <v> </v>
      </c>
      <c r="L3945" s="26"/>
    </row>
    <row r="3946" spans="1:12">
      <c r="A3946" s="20" t="s">
        <v>2295</v>
      </c>
      <c r="E3946" s="21">
        <f>IF(D3946="?OLD","!!!","")</f>
        <v/>
      </c>
      <c r="F3946" s="22" t="str">
        <f>IF(OR(E3946="",E3946="!!!"),"",IF(NOT(ISNA(VLOOKUP(E3946,E$1:E3945,1,FALSE()))),"OLD",IF(AND(E3946&lt;&gt;"",E3946&lt;&gt;"!!!"),"NEW","")))</f>
        <v> </v>
      </c>
      <c r="G3946" s="23" t="str">
        <f>IF(OR(E3946="",E3946="!!!"),"",IF(OR(J3946=0,AND(J3946=1,K3946=1),AND(J3946=1,I3946="SBJ"),AND(J3946=1,I3946=0)),"?IN_FOCUS",IF(J3946&lt;=2,"?ACTIVATED",IF(J3946&lt;&gt;"","?FAMILIAR",IF(F3946="NEW",IF(ISNA(VLOOKUP(E3946,#REF!,1,FALSE())),"?TYPE_IDENTIFIABLE","?REFERENTIAL"),"_")))))</f>
        <v> </v>
      </c>
      <c r="H3946" s="24" t="str">
        <f>IF(J3946&lt;&gt;1,"",IF(I3946="SBJ","CB","?"))</f>
        <v> </v>
      </c>
      <c r="I3946" s="25" t="str">
        <f>IF(OR(E3946="",E3946="!!!",F3946="NEW"),"",INDEX(B3945:B$2,-1+SUMPRODUCT(MAX(ROW(E3945:E$2)*(E3946=E3945:E$2)))))</f>
        <v> </v>
      </c>
      <c r="J3946" s="25" t="str">
        <f>IF(OR(E3946="",E3946="!!!",F3946="NEW"),"",COUNTBLANK(OFFSET(A$1,,,SUMPRODUCT(MAX(ROW(E$2:E3946)*(E3946=E$2:E3946)))))-COUNTBLANK(OFFSET(A$1,,,SUMPRODUCT(MAX(ROW(E$1:E3945)*(E2=E$1:E3945))))))</f>
        <v> </v>
      </c>
      <c r="K3946" s="25" t="str">
        <f>IF(OR(E3946="",E3946="!!!",F3946="NEW"),"",INDEX(J$1:J3945,SUMPRODUCT(MAX(ROW(E$1:E3945)*(E3946=E$1:E3945)))))</f>
        <v> </v>
      </c>
      <c r="L3946" s="26"/>
    </row>
    <row r="3947" spans="1:12">
      <c r="A3947" s="20" t="s">
        <v>1087</v>
      </c>
      <c r="E3947" s="21">
        <f>IF(D3947="?OLD","!!!","")</f>
        <v/>
      </c>
      <c r="F3947" s="22" t="str">
        <f>IF(OR(E3947="",E3947="!!!"),"",IF(NOT(ISNA(VLOOKUP(E3947,E$1:E3946,1,FALSE()))),"OLD",IF(AND(E3947&lt;&gt;"",E3947&lt;&gt;"!!!"),"NEW","")))</f>
        <v> </v>
      </c>
      <c r="G3947" s="23" t="str">
        <f>IF(OR(E3947="",E3947="!!!"),"",IF(OR(J3947=0,AND(J3947=1,K3947=1),AND(J3947=1,I3947="SBJ"),AND(J3947=1,I3947=0)),"?IN_FOCUS",IF(J3947&lt;=2,"?ACTIVATED",IF(J3947&lt;&gt;"","?FAMILIAR",IF(F3947="NEW",IF(ISNA(VLOOKUP(E3947,#REF!,1,FALSE())),"?TYPE_IDENTIFIABLE","?REFERENTIAL"),"_")))))</f>
        <v> </v>
      </c>
      <c r="H3947" s="24" t="str">
        <f>IF(J3947&lt;&gt;1,"",IF(I3947="SBJ","CB","?"))</f>
        <v> </v>
      </c>
      <c r="I3947" s="25" t="str">
        <f>IF(OR(E3947="",E3947="!!!",F3947="NEW"),"",INDEX(B3946:B$2,-1+SUMPRODUCT(MAX(ROW(E3946:E$2)*(E3947=E3946:E$2)))))</f>
        <v> </v>
      </c>
      <c r="J3947" s="25" t="str">
        <f>IF(OR(E3947="",E3947="!!!",F3947="NEW"),"",COUNTBLANK(OFFSET(A$1,,,SUMPRODUCT(MAX(ROW(E$2:E3947)*(E3947=E$2:E3947)))))-COUNTBLANK(OFFSET(A$1,,,SUMPRODUCT(MAX(ROW(E$1:E3946)*(E2=E$1:E3946))))))</f>
        <v> </v>
      </c>
      <c r="K3947" s="25" t="str">
        <f>IF(OR(E3947="",E3947="!!!",F3947="NEW"),"",INDEX(J$1:J3946,SUMPRODUCT(MAX(ROW(E$1:E3946)*(E3947=E$1:E3946)))))</f>
        <v> </v>
      </c>
      <c r="L3947" s="26"/>
    </row>
    <row r="3948" spans="1:12">
      <c r="A3948" s="20" t="s">
        <v>1097</v>
      </c>
      <c r="B3948" s="27" t="s">
        <v>1133</v>
      </c>
      <c r="E3948" s="21">
        <f>IF(D3948="?OLD","!!!","")</f>
        <v/>
      </c>
      <c r="F3948" s="22" t="str">
        <f>IF(OR(E3948="",E3948="!!!"),"",IF(NOT(ISNA(VLOOKUP(E3948,E$1:E3947,1,FALSE()))),"OLD",IF(AND(E3948&lt;&gt;"",E3948&lt;&gt;"!!!"),"NEW","")))</f>
        <v> </v>
      </c>
      <c r="G3948" s="23" t="str">
        <f>IF(OR(E3948="",E3948="!!!"),"",IF(OR(J3948=0,AND(J3948=1,K3948=1),AND(J3948=1,I3948="SBJ"),AND(J3948=1,I3948=0)),"?IN_FOCUS",IF(J3948&lt;=2,"?ACTIVATED",IF(J3948&lt;&gt;"","?FAMILIAR",IF(F3948="NEW",IF(ISNA(VLOOKUP(E3948,#REF!,1,FALSE())),"?TYPE_IDENTIFIABLE","?REFERENTIAL"),"_")))))</f>
        <v> </v>
      </c>
      <c r="H3948" s="24" t="str">
        <f>IF(J3948&lt;&gt;1,"",IF(I3948="SBJ","CB","?"))</f>
        <v> </v>
      </c>
      <c r="I3948" s="25" t="str">
        <f>IF(OR(E3948="",E3948="!!!",F3948="NEW"),"",INDEX(B3947:B$2,-1+SUMPRODUCT(MAX(ROW(E3947:E$2)*(E3948=E3947:E$2)))))</f>
        <v> </v>
      </c>
      <c r="J3948" s="25" t="str">
        <f>IF(OR(E3948="",E3948="!!!",F3948="NEW"),"",COUNTBLANK(OFFSET(A$1,,,SUMPRODUCT(MAX(ROW(E$2:E3948)*(E3948=E$2:E3948)))))-COUNTBLANK(OFFSET(A$1,,,SUMPRODUCT(MAX(ROW(E$1:E3947)*(E2=E$1:E3947))))))</f>
        <v> </v>
      </c>
      <c r="K3948" s="25" t="str">
        <f>IF(OR(E3948="",E3948="!!!",F3948="NEW"),"",INDEX(J$1:J3947,SUMPRODUCT(MAX(ROW(E$1:E3947)*(E3948=E$1:E3947)))))</f>
        <v> </v>
      </c>
      <c r="L3948" s="26"/>
    </row>
    <row r="3949" spans="1:12">
      <c r="A3949" s="20" t="s">
        <v>1910</v>
      </c>
      <c r="E3949" s="21">
        <f>IF(D3949="?OLD","!!!","")</f>
        <v/>
      </c>
      <c r="F3949" s="22" t="str">
        <f>IF(OR(E3949="",E3949="!!!"),"",IF(NOT(ISNA(VLOOKUP(E3949,E$1:E3948,1,FALSE()))),"OLD",IF(AND(E3949&lt;&gt;"",E3949&lt;&gt;"!!!"),"NEW","")))</f>
        <v> </v>
      </c>
      <c r="G3949" s="23" t="str">
        <f>IF(OR(E3949="",E3949="!!!"),"",IF(OR(J3949=0,AND(J3949=1,K3949=1),AND(J3949=1,I3949="SBJ"),AND(J3949=1,I3949=0)),"?IN_FOCUS",IF(J3949&lt;=2,"?ACTIVATED",IF(J3949&lt;&gt;"","?FAMILIAR",IF(F3949="NEW",IF(ISNA(VLOOKUP(E3949,#REF!,1,FALSE())),"?TYPE_IDENTIFIABLE","?REFERENTIAL"),"_")))))</f>
        <v> </v>
      </c>
      <c r="H3949" s="24" t="str">
        <f>IF(J3949&lt;&gt;1,"",IF(I3949="SBJ","CB","?"))</f>
        <v> </v>
      </c>
      <c r="I3949" s="25" t="str">
        <f>IF(OR(E3949="",E3949="!!!",F3949="NEW"),"",INDEX(B3948:B$2,-1+SUMPRODUCT(MAX(ROW(E3948:E$2)*(E3949=E3948:E$2)))))</f>
        <v> </v>
      </c>
      <c r="J3949" s="25" t="str">
        <f>IF(OR(E3949="",E3949="!!!",F3949="NEW"),"",COUNTBLANK(OFFSET(A$1,,,SUMPRODUCT(MAX(ROW(E$2:E3949)*(E3949=E$2:E3949)))))-COUNTBLANK(OFFSET(A$1,,,SUMPRODUCT(MAX(ROW(E$1:E3948)*(E2=E$1:E3948))))))</f>
        <v> </v>
      </c>
      <c r="K3949" s="25" t="str">
        <f>IF(OR(E3949="",E3949="!!!",F3949="NEW"),"",INDEX(J$1:J3948,SUMPRODUCT(MAX(ROW(E$1:E3948)*(E3949=E$1:E3948)))))</f>
        <v> </v>
      </c>
      <c r="L3949" s="26"/>
    </row>
    <row r="3950" spans="1:12">
      <c r="A3950" s="20" t="s">
        <v>2299</v>
      </c>
      <c r="E3950" s="21">
        <f>IF(D3950="?OLD","!!!","")</f>
        <v/>
      </c>
      <c r="F3950" s="22" t="str">
        <f>IF(OR(E3950="",E3950="!!!"),"",IF(NOT(ISNA(VLOOKUP(E3950,E$1:E3949,1,FALSE()))),"OLD",IF(AND(E3950&lt;&gt;"",E3950&lt;&gt;"!!!"),"NEW","")))</f>
        <v> </v>
      </c>
      <c r="G3950" s="23" t="str">
        <f>IF(OR(E3950="",E3950="!!!"),"",IF(OR(J3950=0,AND(J3950=1,K3950=1),AND(J3950=1,I3950="SBJ"),AND(J3950=1,I3950=0)),"?IN_FOCUS",IF(J3950&lt;=2,"?ACTIVATED",IF(J3950&lt;&gt;"","?FAMILIAR",IF(F3950="NEW",IF(ISNA(VLOOKUP(E3950,#REF!,1,FALSE())),"?TYPE_IDENTIFIABLE","?REFERENTIAL"),"_")))))</f>
        <v> </v>
      </c>
      <c r="H3950" s="24" t="str">
        <f>IF(J3950&lt;&gt;1,"",IF(I3950="SBJ","CB","?"))</f>
        <v> </v>
      </c>
      <c r="I3950" s="25" t="str">
        <f>IF(OR(E3950="",E3950="!!!",F3950="NEW"),"",INDEX(B3949:B$2,-1+SUMPRODUCT(MAX(ROW(E3949:E$2)*(E3950=E3949:E$2)))))</f>
        <v> </v>
      </c>
      <c r="J3950" s="25" t="str">
        <f>IF(OR(E3950="",E3950="!!!",F3950="NEW"),"",COUNTBLANK(OFFSET(A$1,,,SUMPRODUCT(MAX(ROW(E$2:E3950)*(E3950=E$2:E3950)))))-COUNTBLANK(OFFSET(A$1,,,SUMPRODUCT(MAX(ROW(E$1:E3949)*(E2=E$1:E3949))))))</f>
        <v> </v>
      </c>
      <c r="K3950" s="25" t="str">
        <f>IF(OR(E3950="",E3950="!!!",F3950="NEW"),"",INDEX(J$1:J3949,SUMPRODUCT(MAX(ROW(E$1:E3949)*(E3950=E$1:E3949)))))</f>
        <v> </v>
      </c>
      <c r="L3950" s="26"/>
    </row>
    <row r="3951" spans="1:12">
      <c r="A3951" s="20" t="s">
        <v>1087</v>
      </c>
      <c r="E3951" s="21">
        <f>IF(D3951="?OLD","!!!","")</f>
        <v/>
      </c>
      <c r="F3951" s="22" t="str">
        <f>IF(OR(E3951="",E3951="!!!"),"",IF(NOT(ISNA(VLOOKUP(E3951,E$1:E3950,1,FALSE()))),"OLD",IF(AND(E3951&lt;&gt;"",E3951&lt;&gt;"!!!"),"NEW","")))</f>
        <v> </v>
      </c>
      <c r="G3951" s="23" t="str">
        <f>IF(OR(E3951="",E3951="!!!"),"",IF(OR(J3951=0,AND(J3951=1,K3951=1),AND(J3951=1,I3951="SBJ"),AND(J3951=1,I3951=0)),"?IN_FOCUS",IF(J3951&lt;=2,"?ACTIVATED",IF(J3951&lt;&gt;"","?FAMILIAR",IF(F3951="NEW",IF(ISNA(VLOOKUP(E3951,#REF!,1,FALSE())),"?TYPE_IDENTIFIABLE","?REFERENTIAL"),"_")))))</f>
        <v> </v>
      </c>
      <c r="H3951" s="24" t="str">
        <f>IF(J3951&lt;&gt;1,"",IF(I3951="SBJ","CB","?"))</f>
        <v> </v>
      </c>
      <c r="I3951" s="25" t="str">
        <f>IF(OR(E3951="",E3951="!!!",F3951="NEW"),"",INDEX(B3950:B$2,-1+SUMPRODUCT(MAX(ROW(E3950:E$2)*(E3951=E3950:E$2)))))</f>
        <v> </v>
      </c>
      <c r="J3951" s="25" t="str">
        <f>IF(OR(E3951="",E3951="!!!",F3951="NEW"),"",COUNTBLANK(OFFSET(A$1,,,SUMPRODUCT(MAX(ROW(E$2:E3951)*(E3951=E$2:E3951)))))-COUNTBLANK(OFFSET(A$1,,,SUMPRODUCT(MAX(ROW(E$1:E3950)*(E2=E$1:E3950))))))</f>
        <v> </v>
      </c>
      <c r="K3951" s="25" t="str">
        <f>IF(OR(E3951="",E3951="!!!",F3951="NEW"),"",INDEX(J$1:J3950,SUMPRODUCT(MAX(ROW(E$1:E3950)*(E3951=E$1:E3950)))))</f>
        <v> </v>
      </c>
      <c r="L3951" s="26"/>
    </row>
    <row r="3952" spans="1:12">
      <c r="A3952" s="20" t="s">
        <v>1097</v>
      </c>
      <c r="B3952" s="27" t="s">
        <v>1095</v>
      </c>
      <c r="E3952" s="21">
        <f>IF(D3952="?OLD","!!!","")</f>
        <v/>
      </c>
      <c r="F3952" s="22" t="str">
        <f>IF(OR(E3952="",E3952="!!!"),"",IF(NOT(ISNA(VLOOKUP(E3952,E$1:E3951,1,FALSE()))),"OLD",IF(AND(E3952&lt;&gt;"",E3952&lt;&gt;"!!!"),"NEW","")))</f>
        <v> </v>
      </c>
      <c r="G3952" s="23" t="str">
        <f>IF(OR(E3952="",E3952="!!!"),"",IF(OR(J3952=0,AND(J3952=1,K3952=1),AND(J3952=1,I3952="SBJ"),AND(J3952=1,I3952=0)),"?IN_FOCUS",IF(J3952&lt;=2,"?ACTIVATED",IF(J3952&lt;&gt;"","?FAMILIAR",IF(F3952="NEW",IF(ISNA(VLOOKUP(E3952,#REF!,1,FALSE())),"?TYPE_IDENTIFIABLE","?REFERENTIAL"),"_")))))</f>
        <v> </v>
      </c>
      <c r="H3952" s="24" t="str">
        <f>IF(J3952&lt;&gt;1,"",IF(I3952="SBJ","CB","?"))</f>
        <v> </v>
      </c>
      <c r="I3952" s="25" t="str">
        <f>IF(OR(E3952="",E3952="!!!",F3952="NEW"),"",INDEX(B3951:B$2,-1+SUMPRODUCT(MAX(ROW(E3951:E$2)*(E3952=E3951:E$2)))))</f>
        <v> </v>
      </c>
      <c r="J3952" s="25" t="str">
        <f>IF(OR(E3952="",E3952="!!!",F3952="NEW"),"",COUNTBLANK(OFFSET(A$1,,,SUMPRODUCT(MAX(ROW(E$2:E3952)*(E3952=E$2:E3952)))))-COUNTBLANK(OFFSET(A$1,,,SUMPRODUCT(MAX(ROW(E$1:E3951)*(E2=E$1:E3951))))))</f>
        <v> </v>
      </c>
      <c r="K3952" s="25" t="str">
        <f>IF(OR(E3952="",E3952="!!!",F3952="NEW"),"",INDEX(J$1:J3951,SUMPRODUCT(MAX(ROW(E$1:E3951)*(E3952=E$1:E3951)))))</f>
        <v> </v>
      </c>
      <c r="L3952" s="26"/>
    </row>
    <row r="3953" spans="1:12">
      <c r="A3953" s="20" t="s">
        <v>1224</v>
      </c>
      <c r="E3953" s="21">
        <f>IF(D3953="?OLD","!!!","")</f>
        <v/>
      </c>
      <c r="F3953" s="22" t="str">
        <f>IF(OR(E3953="",E3953="!!!"),"",IF(NOT(ISNA(VLOOKUP(E3953,E$1:E3952,1,FALSE()))),"OLD",IF(AND(E3953&lt;&gt;"",E3953&lt;&gt;"!!!"),"NEW","")))</f>
        <v> </v>
      </c>
      <c r="G3953" s="23" t="str">
        <f>IF(OR(E3953="",E3953="!!!"),"",IF(OR(J3953=0,AND(J3953=1,K3953=1),AND(J3953=1,I3953="SBJ"),AND(J3953=1,I3953=0)),"?IN_FOCUS",IF(J3953&lt;=2,"?ACTIVATED",IF(J3953&lt;&gt;"","?FAMILIAR",IF(F3953="NEW",IF(ISNA(VLOOKUP(E3953,#REF!,1,FALSE())),"?TYPE_IDENTIFIABLE","?REFERENTIAL"),"_")))))</f>
        <v> </v>
      </c>
      <c r="H3953" s="24" t="str">
        <f>IF(J3953&lt;&gt;1,"",IF(I3953="SBJ","CB","?"))</f>
        <v> </v>
      </c>
      <c r="I3953" s="25" t="str">
        <f>IF(OR(E3953="",E3953="!!!",F3953="NEW"),"",INDEX(B3952:B$2,-1+SUMPRODUCT(MAX(ROW(E3952:E$2)*(E3953=E3952:E$2)))))</f>
        <v> </v>
      </c>
      <c r="J3953" s="25" t="str">
        <f>IF(OR(E3953="",E3953="!!!",F3953="NEW"),"",COUNTBLANK(OFFSET(A$1,,,SUMPRODUCT(MAX(ROW(E$2:E3953)*(E3953=E$2:E3953)))))-COUNTBLANK(OFFSET(A$1,,,SUMPRODUCT(MAX(ROW(E$1:E3952)*(E2=E$1:E3952))))))</f>
        <v> </v>
      </c>
      <c r="K3953" s="25" t="str">
        <f>IF(OR(E3953="",E3953="!!!",F3953="NEW"),"",INDEX(J$1:J3952,SUMPRODUCT(MAX(ROW(E$1:E3952)*(E3953=E$1:E3952)))))</f>
        <v> </v>
      </c>
      <c r="L3953" s="26"/>
    </row>
    <row r="3954" spans="1:12">
      <c r="A3954" s="20" t="s">
        <v>1823</v>
      </c>
      <c r="B3954" s="27" t="s">
        <v>1092</v>
      </c>
      <c r="C3954" s="27" t="s">
        <v>1129</v>
      </c>
      <c r="D3954" s="27" t="s">
        <v>1069</v>
      </c>
      <c r="E3954" s="21">
        <f>IF(D3954="?OLD","!!!","")</f>
        <v/>
      </c>
      <c r="F3954" s="22" t="str">
        <f>IF(OR(E3954="",E3954="!!!"),"",IF(NOT(ISNA(VLOOKUP(E3954,E$1:E3953,1,FALSE()))),"OLD",IF(AND(E3954&lt;&gt;"",E3954&lt;&gt;"!!!"),"NEW","")))</f>
        <v> </v>
      </c>
      <c r="G3954" s="23" t="str">
        <f>IF(OR(E3954="",E3954="!!!"),"",IF(OR(J3954=0,AND(J3954=1,K3954=1),AND(J3954=1,I3954="SBJ"),AND(J3954=1,I3954=0)),"?IN_FOCUS",IF(J3954&lt;=2,"?ACTIVATED",IF(J3954&lt;&gt;"","?FAMILIAR",IF(F3954="NEW",IF(ISNA(VLOOKUP(E3954,#REF!,1,FALSE())),"?TYPE_IDENTIFIABLE","?REFERENTIAL"),"_")))))</f>
        <v> </v>
      </c>
      <c r="H3954" s="24" t="str">
        <f>IF(J3954&lt;&gt;1,"",IF(I3954="SBJ","CB","?"))</f>
        <v> </v>
      </c>
      <c r="I3954" s="25" t="str">
        <f>IF(OR(E3954="",E3954="!!!",F3954="NEW"),"",INDEX(B3953:B$2,-1+SUMPRODUCT(MAX(ROW(E3953:E$2)*(E3954=E3953:E$2)))))</f>
        <v> </v>
      </c>
      <c r="J3954" s="25" t="str">
        <f>IF(OR(E3954="",E3954="!!!",F3954="NEW"),"",COUNTBLANK(OFFSET(A$1,,,SUMPRODUCT(MAX(ROW(E$2:E3954)*(E3954=E$2:E3954)))))-COUNTBLANK(OFFSET(A$1,,,SUMPRODUCT(MAX(ROW(E$1:E3953)*(E2=E$1:E3953))))))</f>
        <v> </v>
      </c>
      <c r="K3954" s="25" t="str">
        <f>IF(OR(E3954="",E3954="!!!",F3954="NEW"),"",INDEX(J$1:J3953,SUMPRODUCT(MAX(ROW(E$1:E3953)*(E3954=E$1:E3953)))))</f>
        <v> </v>
      </c>
      <c r="L3954" s="26"/>
    </row>
    <row r="3955" spans="1:12">
      <c r="A3955" s="20" t="s">
        <v>2300</v>
      </c>
      <c r="B3955" s="27" t="s">
        <v>1071</v>
      </c>
      <c r="C3955" s="27" t="s">
        <v>1131</v>
      </c>
      <c r="D3955" s="27" t="s">
        <v>1069</v>
      </c>
      <c r="E3955" s="21">
        <f>IF(D3955="?OLD","!!!","")</f>
        <v/>
      </c>
      <c r="F3955" s="22" t="str">
        <f>IF(OR(E3955="",E3955="!!!"),"",IF(NOT(ISNA(VLOOKUP(E3955,E$1:E3954,1,FALSE()))),"OLD",IF(AND(E3955&lt;&gt;"",E3955&lt;&gt;"!!!"),"NEW","")))</f>
        <v> </v>
      </c>
      <c r="G3955" s="23" t="str">
        <f>IF(OR(E3955="",E3955="!!!"),"",IF(OR(J3955=0,AND(J3955=1,K3955=1),AND(J3955=1,I3955="SBJ"),AND(J3955=1,I3955=0)),"?IN_FOCUS",IF(J3955&lt;=2,"?ACTIVATED",IF(J3955&lt;&gt;"","?FAMILIAR",IF(F3955="NEW",IF(ISNA(VLOOKUP(E3955,#REF!,1,FALSE())),"?TYPE_IDENTIFIABLE","?REFERENTIAL"),"_")))))</f>
        <v> </v>
      </c>
      <c r="H3955" s="24" t="str">
        <f>IF(J3955&lt;&gt;1,"",IF(I3955="SBJ","CB","?"))</f>
        <v> </v>
      </c>
      <c r="I3955" s="25" t="str">
        <f>IF(OR(E3955="",E3955="!!!",F3955="NEW"),"",INDEX(B3954:B$2,-1+SUMPRODUCT(MAX(ROW(E3954:E$2)*(E3955=E3954:E$2)))))</f>
        <v> </v>
      </c>
      <c r="J3955" s="25" t="str">
        <f>IF(OR(E3955="",E3955="!!!",F3955="NEW"),"",COUNTBLANK(OFFSET(A$1,,,SUMPRODUCT(MAX(ROW(E$2:E3955)*(E3955=E$2:E3955)))))-COUNTBLANK(OFFSET(A$1,,,SUMPRODUCT(MAX(ROW(E$1:E3954)*(E2=E$1:E3954))))))</f>
        <v> </v>
      </c>
      <c r="K3955" s="25" t="str">
        <f>IF(OR(E3955="",E3955="!!!",F3955="NEW"),"",INDEX(J$1:J3954,SUMPRODUCT(MAX(ROW(E$1:E3954)*(E3955=E$1:E3954)))))</f>
        <v> </v>
      </c>
      <c r="L3955" s="26"/>
    </row>
    <row r="3956" spans="1:12">
      <c r="A3956" s="20" t="s">
        <v>1161</v>
      </c>
      <c r="E3956" s="21">
        <f>IF(D3956="?OLD","!!!","")</f>
        <v/>
      </c>
      <c r="F3956" s="22" t="str">
        <f>IF(OR(E3956="",E3956="!!!"),"",IF(NOT(ISNA(VLOOKUP(E3956,E$1:E3955,1,FALSE()))),"OLD",IF(AND(E3956&lt;&gt;"",E3956&lt;&gt;"!!!"),"NEW","")))</f>
        <v> </v>
      </c>
      <c r="G3956" s="23" t="str">
        <f>IF(OR(E3956="",E3956="!!!"),"",IF(OR(J3956=0,AND(J3956=1,K3956=1),AND(J3956=1,I3956="SBJ"),AND(J3956=1,I3956=0)),"?IN_FOCUS",IF(J3956&lt;=2,"?ACTIVATED",IF(J3956&lt;&gt;"","?FAMILIAR",IF(F3956="NEW",IF(ISNA(VLOOKUP(E3956,#REF!,1,FALSE())),"?TYPE_IDENTIFIABLE","?REFERENTIAL"),"_")))))</f>
        <v> </v>
      </c>
      <c r="H3956" s="24" t="str">
        <f>IF(J3956&lt;&gt;1,"",IF(I3956="SBJ","CB","?"))</f>
        <v> </v>
      </c>
      <c r="I3956" s="25" t="str">
        <f>IF(OR(E3956="",E3956="!!!",F3956="NEW"),"",INDEX(B3955:B$2,-1+SUMPRODUCT(MAX(ROW(E3955:E$2)*(E3956=E3955:E$2)))))</f>
        <v> </v>
      </c>
      <c r="J3956" s="25" t="str">
        <f>IF(OR(E3956="",E3956="!!!",F3956="NEW"),"",COUNTBLANK(OFFSET(A$1,,,SUMPRODUCT(MAX(ROW(E$2:E3956)*(E3956=E$2:E3956)))))-COUNTBLANK(OFFSET(A$1,,,SUMPRODUCT(MAX(ROW(E$1:E3955)*(E2=E$1:E3955))))))</f>
        <v> </v>
      </c>
      <c r="K3956" s="25" t="str">
        <f>IF(OR(E3956="",E3956="!!!",F3956="NEW"),"",INDEX(J$1:J3955,SUMPRODUCT(MAX(ROW(E$1:E3955)*(E3956=E$1:E3955)))))</f>
        <v> </v>
      </c>
      <c r="L3956" s="26"/>
    </row>
    <row r="3957" spans="1:12">
      <c r="A3957" s="20" t="s">
        <v>2301</v>
      </c>
      <c r="B3957" s="27" t="s">
        <v>1092</v>
      </c>
      <c r="C3957" s="27" t="s">
        <v>1077</v>
      </c>
      <c r="E3957" s="21">
        <f>IF(D3957="?OLD","!!!","")</f>
        <v/>
      </c>
      <c r="F3957" s="22" t="str">
        <f>IF(OR(E3957="",E3957="!!!"),"",IF(NOT(ISNA(VLOOKUP(E3957,E$1:E3956,1,FALSE()))),"OLD",IF(AND(E3957&lt;&gt;"",E3957&lt;&gt;"!!!"),"NEW","")))</f>
        <v> </v>
      </c>
      <c r="G3957" s="23" t="str">
        <f>IF(OR(E3957="",E3957="!!!"),"",IF(OR(J3957=0,AND(J3957=1,K3957=1),AND(J3957=1,I3957="SBJ"),AND(J3957=1,I3957=0)),"?IN_FOCUS",IF(J3957&lt;=2,"?ACTIVATED",IF(J3957&lt;&gt;"","?FAMILIAR",IF(F3957="NEW",IF(ISNA(VLOOKUP(E3957,#REF!,1,FALSE())),"?TYPE_IDENTIFIABLE","?REFERENTIAL"),"_")))))</f>
        <v> </v>
      </c>
      <c r="H3957" s="24" t="str">
        <f>IF(J3957&lt;&gt;1,"",IF(I3957="SBJ","CB","?"))</f>
        <v> </v>
      </c>
      <c r="I3957" s="25" t="str">
        <f>IF(OR(E3957="",E3957="!!!",F3957="NEW"),"",INDEX(B3956:B$2,-1+SUMPRODUCT(MAX(ROW(E3956:E$2)*(E3957=E3956:E$2)))))</f>
        <v> </v>
      </c>
      <c r="J3957" s="25" t="str">
        <f>IF(OR(E3957="",E3957="!!!",F3957="NEW"),"",COUNTBLANK(OFFSET(A$1,,,SUMPRODUCT(MAX(ROW(E$2:E3957)*(E3957=E$2:E3957)))))-COUNTBLANK(OFFSET(A$1,,,SUMPRODUCT(MAX(ROW(E$1:E3956)*(E2=E$1:E3956))))))</f>
        <v> </v>
      </c>
      <c r="K3957" s="25" t="str">
        <f>IF(OR(E3957="",E3957="!!!",F3957="NEW"),"",INDEX(J$1:J3956,SUMPRODUCT(MAX(ROW(E$1:E3956)*(E3957=E$1:E3956)))))</f>
        <v> </v>
      </c>
      <c r="L3957" s="26"/>
    </row>
    <row r="3958" spans="1:12">
      <c r="A3958" s="20" t="s">
        <v>1096</v>
      </c>
      <c r="E3958" s="21">
        <f>IF(D3958="?OLD","!!!","")</f>
        <v/>
      </c>
      <c r="F3958" s="22" t="str">
        <f>IF(OR(E3958="",E3958="!!!"),"",IF(NOT(ISNA(VLOOKUP(E3958,E$1:E3957,1,FALSE()))),"OLD",IF(AND(E3958&lt;&gt;"",E3958&lt;&gt;"!!!"),"NEW","")))</f>
        <v> </v>
      </c>
      <c r="G3958" s="23" t="str">
        <f>IF(OR(E3958="",E3958="!!!"),"",IF(OR(J3958=0,AND(J3958=1,K3958=1),AND(J3958=1,I3958="SBJ"),AND(J3958=1,I3958=0)),"?IN_FOCUS",IF(J3958&lt;=2,"?ACTIVATED",IF(J3958&lt;&gt;"","?FAMILIAR",IF(F3958="NEW",IF(ISNA(VLOOKUP(E3958,#REF!,1,FALSE())),"?TYPE_IDENTIFIABLE","?REFERENTIAL"),"_")))))</f>
        <v> </v>
      </c>
      <c r="H3958" s="24" t="str">
        <f>IF(J3958&lt;&gt;1,"",IF(I3958="SBJ","CB","?"))</f>
        <v> </v>
      </c>
      <c r="I3958" s="25" t="str">
        <f>IF(OR(E3958="",E3958="!!!",F3958="NEW"),"",INDEX(B3957:B$2,-1+SUMPRODUCT(MAX(ROW(E3957:E$2)*(E3958=E3957:E$2)))))</f>
        <v> </v>
      </c>
      <c r="J3958" s="25" t="str">
        <f>IF(OR(E3958="",E3958="!!!",F3958="NEW"),"",COUNTBLANK(OFFSET(A$1,,,SUMPRODUCT(MAX(ROW(E$2:E3958)*(E3958=E$2:E3958)))))-COUNTBLANK(OFFSET(A$1,,,SUMPRODUCT(MAX(ROW(E$1:E3957)*(E2=E$1:E3957))))))</f>
        <v> </v>
      </c>
      <c r="K3958" s="25" t="str">
        <f>IF(OR(E3958="",E3958="!!!",F3958="NEW"),"",INDEX(J$1:J3957,SUMPRODUCT(MAX(ROW(E$1:E3957)*(E3958=E$1:E3957)))))</f>
        <v> </v>
      </c>
      <c r="L3958" s="26"/>
    </row>
    <row r="3959" spans="1:12">
      <c r="A3959" s="20" t="s">
        <v>1113</v>
      </c>
      <c r="E3959" s="21">
        <f>IF(D3959="?OLD","!!!","")</f>
        <v/>
      </c>
      <c r="F3959" s="22" t="str">
        <f>IF(OR(E3959="",E3959="!!!"),"",IF(NOT(ISNA(VLOOKUP(E3959,E$1:E3958,1,FALSE()))),"OLD",IF(AND(E3959&lt;&gt;"",E3959&lt;&gt;"!!!"),"NEW","")))</f>
        <v> </v>
      </c>
      <c r="G3959" s="23" t="str">
        <f>IF(OR(E3959="",E3959="!!!"),"",IF(OR(J3959=0,AND(J3959=1,K3959=1),AND(J3959=1,I3959="SBJ"),AND(J3959=1,I3959=0)),"?IN_FOCUS",IF(J3959&lt;=2,"?ACTIVATED",IF(J3959&lt;&gt;"","?FAMILIAR",IF(F3959="NEW",IF(ISNA(VLOOKUP(E3959,#REF!,1,FALSE())),"?TYPE_IDENTIFIABLE","?REFERENTIAL"),"_")))))</f>
        <v> </v>
      </c>
      <c r="H3959" s="24" t="str">
        <f>IF(J3959&lt;&gt;1,"",IF(I3959="SBJ","CB","?"))</f>
        <v> </v>
      </c>
      <c r="I3959" s="25" t="str">
        <f>IF(OR(E3959="",E3959="!!!",F3959="NEW"),"",INDEX(B3958:B$2,-1+SUMPRODUCT(MAX(ROW(E3958:E$2)*(E3959=E3958:E$2)))))</f>
        <v> </v>
      </c>
      <c r="J3959" s="25" t="str">
        <f>IF(OR(E3959="",E3959="!!!",F3959="NEW"),"",COUNTBLANK(OFFSET(A$1,,,SUMPRODUCT(MAX(ROW(E$2:E3959)*(E3959=E$2:E3959)))))-COUNTBLANK(OFFSET(A$1,,,SUMPRODUCT(MAX(ROW(E$1:E3958)*(E2=E$1:E3958))))))</f>
        <v> </v>
      </c>
      <c r="K3959" s="25" t="str">
        <f>IF(OR(E3959="",E3959="!!!",F3959="NEW"),"",INDEX(J$1:J3958,SUMPRODUCT(MAX(ROW(E$1:E3958)*(E3959=E$1:E3958)))))</f>
        <v> </v>
      </c>
      <c r="L3959" s="26"/>
    </row>
    <row r="3960" spans="1:12">
      <c r="A3960" s="20" t="s">
        <v>1989</v>
      </c>
      <c r="B3960" s="27" t="s">
        <v>1071</v>
      </c>
      <c r="C3960" s="27" t="s">
        <v>1086</v>
      </c>
      <c r="D3960" s="27" t="s">
        <v>1069</v>
      </c>
      <c r="E3960" s="21">
        <f>IF(D3960="?OLD","!!!","")</f>
        <v/>
      </c>
      <c r="F3960" s="22" t="str">
        <f>IF(OR(E3960="",E3960="!!!"),"",IF(NOT(ISNA(VLOOKUP(E3960,E$1:E3959,1,FALSE()))),"OLD",IF(AND(E3960&lt;&gt;"",E3960&lt;&gt;"!!!"),"NEW","")))</f>
        <v> </v>
      </c>
      <c r="G3960" s="23" t="str">
        <f>IF(OR(E3960="",E3960="!!!"),"",IF(OR(J3960=0,AND(J3960=1,K3960=1),AND(J3960=1,I3960="SBJ"),AND(J3960=1,I3960=0)),"?IN_FOCUS",IF(J3960&lt;=2,"?ACTIVATED",IF(J3960&lt;&gt;"","?FAMILIAR",IF(F3960="NEW",IF(ISNA(VLOOKUP(E3960,#REF!,1,FALSE())),"?TYPE_IDENTIFIABLE","?REFERENTIAL"),"_")))))</f>
        <v> </v>
      </c>
      <c r="H3960" s="24" t="str">
        <f>IF(J3960&lt;&gt;1,"",IF(I3960="SBJ","CB","?"))</f>
        <v> </v>
      </c>
      <c r="I3960" s="25" t="str">
        <f>IF(OR(E3960="",E3960="!!!",F3960="NEW"),"",INDEX(B3959:B$2,-1+SUMPRODUCT(MAX(ROW(E3959:E$2)*(E3960=E3959:E$2)))))</f>
        <v> </v>
      </c>
      <c r="J3960" s="25" t="str">
        <f>IF(OR(E3960="",E3960="!!!",F3960="NEW"),"",COUNTBLANK(OFFSET(A$1,,,SUMPRODUCT(MAX(ROW(E$2:E3960)*(E3960=E$2:E3960)))))-COUNTBLANK(OFFSET(A$1,,,SUMPRODUCT(MAX(ROW(E$1:E3959)*(E2=E$1:E3959))))))</f>
        <v> </v>
      </c>
      <c r="K3960" s="25" t="str">
        <f>IF(OR(E3960="",E3960="!!!",F3960="NEW"),"",INDEX(J$1:J3959,SUMPRODUCT(MAX(ROW(E$1:E3959)*(E3960=E$1:E3959)))))</f>
        <v> </v>
      </c>
      <c r="L3960" s="26"/>
    </row>
    <row r="3961" spans="1:12">
      <c r="A3961" s="20" t="s">
        <v>1838</v>
      </c>
      <c r="E3961" s="21">
        <f>IF(D3961="?OLD","!!!","")</f>
        <v/>
      </c>
      <c r="F3961" s="22" t="str">
        <f>IF(OR(E3961="",E3961="!!!"),"",IF(NOT(ISNA(VLOOKUP(E3961,E$1:E3960,1,FALSE()))),"OLD",IF(AND(E3961&lt;&gt;"",E3961&lt;&gt;"!!!"),"NEW","")))</f>
        <v> </v>
      </c>
      <c r="G3961" s="23" t="str">
        <f>IF(OR(E3961="",E3961="!!!"),"",IF(OR(J3961=0,AND(J3961=1,K3961=1),AND(J3961=1,I3961="SBJ"),AND(J3961=1,I3961=0)),"?IN_FOCUS",IF(J3961&lt;=2,"?ACTIVATED",IF(J3961&lt;&gt;"","?FAMILIAR",IF(F3961="NEW",IF(ISNA(VLOOKUP(E3961,#REF!,1,FALSE())),"?TYPE_IDENTIFIABLE","?REFERENTIAL"),"_")))))</f>
        <v> </v>
      </c>
      <c r="H3961" s="24" t="str">
        <f>IF(J3961&lt;&gt;1,"",IF(I3961="SBJ","CB","?"))</f>
        <v> </v>
      </c>
      <c r="I3961" s="25" t="str">
        <f>IF(OR(E3961="",E3961="!!!",F3961="NEW"),"",INDEX(B3960:B$2,-1+SUMPRODUCT(MAX(ROW(E3960:E$2)*(E3961=E3960:E$2)))))</f>
        <v> </v>
      </c>
      <c r="J3961" s="25" t="str">
        <f>IF(OR(E3961="",E3961="!!!",F3961="NEW"),"",COUNTBLANK(OFFSET(A$1,,,SUMPRODUCT(MAX(ROW(E$2:E3961)*(E3961=E$2:E3961)))))-COUNTBLANK(OFFSET(A$1,,,SUMPRODUCT(MAX(ROW(E$1:E3960)*(E2=E$1:E3960))))))</f>
        <v> </v>
      </c>
      <c r="K3961" s="25" t="str">
        <f>IF(OR(E3961="",E3961="!!!",F3961="NEW"),"",INDEX(J$1:J3960,SUMPRODUCT(MAX(ROW(E$1:E3960)*(E3961=E$1:E3960)))))</f>
        <v> </v>
      </c>
      <c r="L3961" s="26"/>
    </row>
    <row r="3962" spans="1:12">
      <c r="A3962" s="20" t="s">
        <v>1080</v>
      </c>
      <c r="E3962" s="21">
        <f>IF(D3962="?OLD","!!!","")</f>
        <v/>
      </c>
      <c r="F3962" s="22" t="str">
        <f>IF(OR(E3962="",E3962="!!!"),"",IF(NOT(ISNA(VLOOKUP(E3962,E$1:E3961,1,FALSE()))),"OLD",IF(AND(E3962&lt;&gt;"",E3962&lt;&gt;"!!!"),"NEW","")))</f>
        <v> </v>
      </c>
      <c r="G3962" s="23" t="str">
        <f>IF(OR(E3962="",E3962="!!!"),"",IF(OR(J3962=0,AND(J3962=1,K3962=1),AND(J3962=1,I3962="SBJ"),AND(J3962=1,I3962=0)),"?IN_FOCUS",IF(J3962&lt;=2,"?ACTIVATED",IF(J3962&lt;&gt;"","?FAMILIAR",IF(F3962="NEW",IF(ISNA(VLOOKUP(E3962,#REF!,1,FALSE())),"?TYPE_IDENTIFIABLE","?REFERENTIAL"),"_")))))</f>
        <v> </v>
      </c>
      <c r="H3962" s="24" t="str">
        <f>IF(J3962&lt;&gt;1,"",IF(I3962="SBJ","CB","?"))</f>
        <v> </v>
      </c>
      <c r="I3962" s="25" t="str">
        <f>IF(OR(E3962="",E3962="!!!",F3962="NEW"),"",INDEX(B3961:B$2,-1+SUMPRODUCT(MAX(ROW(E3961:E$2)*(E3962=E3961:E$2)))))</f>
        <v> </v>
      </c>
      <c r="J3962" s="25" t="str">
        <f>IF(OR(E3962="",E3962="!!!",F3962="NEW"),"",COUNTBLANK(OFFSET(A$1,,,SUMPRODUCT(MAX(ROW(E$2:E3962)*(E3962=E$2:E3962)))))-COUNTBLANK(OFFSET(A$1,,,SUMPRODUCT(MAX(ROW(E$1:E3961)*(E2=E$1:E3961))))))</f>
        <v> </v>
      </c>
      <c r="K3962" s="25" t="str">
        <f>IF(OR(E3962="",E3962="!!!",F3962="NEW"),"",INDEX(J$1:J3961,SUMPRODUCT(MAX(ROW(E$1:E3961)*(E3962=E$1:E3961)))))</f>
        <v> </v>
      </c>
      <c r="L3962" s="26"/>
    </row>
    <row r="3963" spans="1:12">
      <c r="A3963" s="20"/>
    </row>
    <row r="3964" spans="1:12">
      <c r="A3964" s="20" t="s">
        <v>2302</v>
      </c>
    </row>
    <row r="3965" spans="1:12">
      <c r="A3965" s="20" t="s">
        <v>1175</v>
      </c>
      <c r="B3965" s="27" t="s">
        <v>1067</v>
      </c>
      <c r="C3965" s="27" t="s">
        <v>1129</v>
      </c>
      <c r="D3965" s="27" t="s">
        <v>1069</v>
      </c>
      <c r="E3965" s="21">
        <f>IF(D3965="?OLD","!!!","")</f>
        <v/>
      </c>
      <c r="F3965" s="22" t="str">
        <f>IF(OR(E3965="",E3965="!!!"),"",IF(NOT(ISNA(VLOOKUP(E3965,E$1:E3964,1,FALSE()))),"OLD",IF(AND(E3965&lt;&gt;"",E3965&lt;&gt;"!!!"),"NEW","")))</f>
        <v> </v>
      </c>
      <c r="G3965" s="23" t="str">
        <f>IF(OR(E3965="",E3965="!!!"),"",IF(OR(J3965=0,AND(J3965=1,K3965=1),AND(J3965=1,I3965="SBJ"),AND(J3965=1,I3965=0)),"?IN_FOCUS",IF(J3965&lt;=2,"?ACTIVATED",IF(J3965&lt;&gt;"","?FAMILIAR",IF(F3965="NEW",IF(ISNA(VLOOKUP(E3965,#REF!,1,FALSE())),"?TYPE_IDENTIFIABLE","?REFERENTIAL"),"_")))))</f>
        <v> </v>
      </c>
      <c r="H3965" s="24" t="str">
        <f>IF(J3965&lt;&gt;1,"",IF(I3965="SBJ","CB","?"))</f>
        <v> </v>
      </c>
      <c r="I3965" s="25" t="str">
        <f>IF(OR(E3965="",E3965="!!!",F3965="NEW"),"",INDEX(B3964:B$2,-1+SUMPRODUCT(MAX(ROW(E3964:E$2)*(E3965=E3964:E$2)))))</f>
        <v> </v>
      </c>
      <c r="J3965" s="25" t="str">
        <f>IF(OR(E3965="",E3965="!!!",F3965="NEW"),"",COUNTBLANK(OFFSET(A$1,,,SUMPRODUCT(MAX(ROW(E$2:E3965)*(E3965=E$2:E3965)))))-COUNTBLANK(OFFSET(A$1,,,SUMPRODUCT(MAX(ROW(E$1:E3964)*(E2=E$1:E3964))))))</f>
        <v> </v>
      </c>
      <c r="K3965" s="25" t="str">
        <f>IF(OR(E3965="",E3965="!!!",F3965="NEW"),"",INDEX(J$1:J3964,SUMPRODUCT(MAX(ROW(E$1:E3964)*(E3965=E$1:E3964)))))</f>
        <v> </v>
      </c>
      <c r="L3965" s="26"/>
    </row>
    <row r="3966" spans="1:12">
      <c r="A3966" s="20" t="s">
        <v>1191</v>
      </c>
      <c r="E3966" s="21">
        <f>IF(D3966="?OLD","!!!","")</f>
        <v/>
      </c>
      <c r="F3966" s="22" t="str">
        <f>IF(OR(E3966="",E3966="!!!"),"",IF(NOT(ISNA(VLOOKUP(E3966,E$1:E3965,1,FALSE()))),"OLD",IF(AND(E3966&lt;&gt;"",E3966&lt;&gt;"!!!"),"NEW","")))</f>
        <v> </v>
      </c>
      <c r="G3966" s="23" t="str">
        <f>IF(OR(E3966="",E3966="!!!"),"",IF(OR(J3966=0,AND(J3966=1,K3966=1),AND(J3966=1,I3966="SBJ"),AND(J3966=1,I3966=0)),"?IN_FOCUS",IF(J3966&lt;=2,"?ACTIVATED",IF(J3966&lt;&gt;"","?FAMILIAR",IF(F3966="NEW",IF(ISNA(VLOOKUP(E3966,#REF!,1,FALSE())),"?TYPE_IDENTIFIABLE","?REFERENTIAL"),"_")))))</f>
        <v> </v>
      </c>
      <c r="H3966" s="24" t="str">
        <f>IF(J3966&lt;&gt;1,"",IF(I3966="SBJ","CB","?"))</f>
        <v> </v>
      </c>
      <c r="I3966" s="25" t="str">
        <f>IF(OR(E3966="",E3966="!!!",F3966="NEW"),"",INDEX(B3965:B$2,-1+SUMPRODUCT(MAX(ROW(E3965:E$2)*(E3966=E3965:E$2)))))</f>
        <v> </v>
      </c>
      <c r="J3966" s="25" t="str">
        <f>IF(OR(E3966="",E3966="!!!",F3966="NEW"),"",COUNTBLANK(OFFSET(A$1,,,SUMPRODUCT(MAX(ROW(E$2:E3966)*(E3966=E$2:E3966)))))-COUNTBLANK(OFFSET(A$1,,,SUMPRODUCT(MAX(ROW(E$1:E3965)*(E2=E$1:E3965))))))</f>
        <v> </v>
      </c>
      <c r="K3966" s="25" t="str">
        <f>IF(OR(E3966="",E3966="!!!",F3966="NEW"),"",INDEX(J$1:J3965,SUMPRODUCT(MAX(ROW(E$1:E3965)*(E3966=E$1:E3965)))))</f>
        <v> </v>
      </c>
      <c r="L3966" s="26"/>
    </row>
    <row r="3967" spans="1:12">
      <c r="A3967" s="20" t="s">
        <v>2049</v>
      </c>
      <c r="B3967" s="27" t="s">
        <v>1074</v>
      </c>
      <c r="C3967" s="27" t="s">
        <v>1093</v>
      </c>
      <c r="D3967" s="27" t="s">
        <v>1069</v>
      </c>
      <c r="E3967" s="21">
        <f>IF(D3967="?OLD","!!!","")</f>
        <v/>
      </c>
      <c r="F3967" s="22" t="str">
        <f>IF(OR(E3967="",E3967="!!!"),"",IF(NOT(ISNA(VLOOKUP(E3967,E$1:E3966,1,FALSE()))),"OLD",IF(AND(E3967&lt;&gt;"",E3967&lt;&gt;"!!!"),"NEW","")))</f>
        <v> </v>
      </c>
      <c r="G3967" s="23" t="str">
        <f>IF(OR(E3967="",E3967="!!!"),"",IF(OR(J3967=0,AND(J3967=1,K3967=1),AND(J3967=1,I3967="SBJ"),AND(J3967=1,I3967=0)),"?IN_FOCUS",IF(J3967&lt;=2,"?ACTIVATED",IF(J3967&lt;&gt;"","?FAMILIAR",IF(F3967="NEW",IF(ISNA(VLOOKUP(E3967,#REF!,1,FALSE())),"?TYPE_IDENTIFIABLE","?REFERENTIAL"),"_")))))</f>
        <v> </v>
      </c>
      <c r="H3967" s="24" t="str">
        <f>IF(J3967&lt;&gt;1,"",IF(I3967="SBJ","CB","?"))</f>
        <v> </v>
      </c>
      <c r="I3967" s="25" t="str">
        <f>IF(OR(E3967="",E3967="!!!",F3967="NEW"),"",INDEX(B3966:B$2,-1+SUMPRODUCT(MAX(ROW(E3966:E$2)*(E3967=E3966:E$2)))))</f>
        <v> </v>
      </c>
      <c r="J3967" s="25" t="str">
        <f>IF(OR(E3967="",E3967="!!!",F3967="NEW"),"",COUNTBLANK(OFFSET(A$1,,,SUMPRODUCT(MAX(ROW(E$2:E3967)*(E3967=E$2:E3967)))))-COUNTBLANK(OFFSET(A$1,,,SUMPRODUCT(MAX(ROW(E$1:E3966)*(E2=E$1:E3966))))))</f>
        <v> </v>
      </c>
      <c r="K3967" s="25" t="str">
        <f>IF(OR(E3967="",E3967="!!!",F3967="NEW"),"",INDEX(J$1:J3966,SUMPRODUCT(MAX(ROW(E$1:E3966)*(E3967=E$1:E3966)))))</f>
        <v> </v>
      </c>
      <c r="L3967" s="26"/>
    </row>
    <row r="3968" spans="1:12">
      <c r="A3968" s="20" t="s">
        <v>2303</v>
      </c>
      <c r="B3968" s="27" t="s">
        <v>1074</v>
      </c>
      <c r="C3968" s="27" t="s">
        <v>1077</v>
      </c>
      <c r="E3968" s="21">
        <f>IF(D3968="?OLD","!!!","")</f>
        <v/>
      </c>
      <c r="F3968" s="22" t="str">
        <f>IF(OR(E3968="",E3968="!!!"),"",IF(NOT(ISNA(VLOOKUP(E3968,E$1:E3967,1,FALSE()))),"OLD",IF(AND(E3968&lt;&gt;"",E3968&lt;&gt;"!!!"),"NEW","")))</f>
        <v> </v>
      </c>
      <c r="G3968" s="23" t="str">
        <f>IF(OR(E3968="",E3968="!!!"),"",IF(OR(J3968=0,AND(J3968=1,K3968=1),AND(J3968=1,I3968="SBJ"),AND(J3968=1,I3968=0)),"?IN_FOCUS",IF(J3968&lt;=2,"?ACTIVATED",IF(J3968&lt;&gt;"","?FAMILIAR",IF(F3968="NEW",IF(ISNA(VLOOKUP(E3968,#REF!,1,FALSE())),"?TYPE_IDENTIFIABLE","?REFERENTIAL"),"_")))))</f>
        <v> </v>
      </c>
      <c r="H3968" s="24" t="str">
        <f>IF(J3968&lt;&gt;1,"",IF(I3968="SBJ","CB","?"))</f>
        <v> </v>
      </c>
      <c r="I3968" s="25" t="str">
        <f>IF(OR(E3968="",E3968="!!!",F3968="NEW"),"",INDEX(B3967:B$2,-1+SUMPRODUCT(MAX(ROW(E3967:E$2)*(E3968=E3967:E$2)))))</f>
        <v> </v>
      </c>
      <c r="J3968" s="25" t="str">
        <f>IF(OR(E3968="",E3968="!!!",F3968="NEW"),"",COUNTBLANK(OFFSET(A$1,,,SUMPRODUCT(MAX(ROW(E$2:E3968)*(E3968=E$2:E3968)))))-COUNTBLANK(OFFSET(A$1,,,SUMPRODUCT(MAX(ROW(E$1:E3967)*(E2=E$1:E3967))))))</f>
        <v> </v>
      </c>
      <c r="K3968" s="25" t="str">
        <f>IF(OR(E3968="",E3968="!!!",F3968="NEW"),"",INDEX(J$1:J3967,SUMPRODUCT(MAX(ROW(E$1:E3967)*(E3968=E$1:E3967)))))</f>
        <v> </v>
      </c>
      <c r="L3968" s="26"/>
    </row>
    <row r="3969" spans="1:12">
      <c r="A3969" s="20" t="s">
        <v>1080</v>
      </c>
      <c r="E3969" s="21">
        <f>IF(D3969="?OLD","!!!","")</f>
        <v/>
      </c>
      <c r="F3969" s="22" t="str">
        <f>IF(OR(E3969="",E3969="!!!"),"",IF(NOT(ISNA(VLOOKUP(E3969,E$1:E3968,1,FALSE()))),"OLD",IF(AND(E3969&lt;&gt;"",E3969&lt;&gt;"!!!"),"NEW","")))</f>
        <v> </v>
      </c>
      <c r="G3969" s="23" t="str">
        <f>IF(OR(E3969="",E3969="!!!"),"",IF(OR(J3969=0,AND(J3969=1,K3969=1),AND(J3969=1,I3969="SBJ"),AND(J3969=1,I3969=0)),"?IN_FOCUS",IF(J3969&lt;=2,"?ACTIVATED",IF(J3969&lt;&gt;"","?FAMILIAR",IF(F3969="NEW",IF(ISNA(VLOOKUP(E3969,#REF!,1,FALSE())),"?TYPE_IDENTIFIABLE","?REFERENTIAL"),"_")))))</f>
        <v> </v>
      </c>
      <c r="H3969" s="24" t="str">
        <f>IF(J3969&lt;&gt;1,"",IF(I3969="SBJ","CB","?"))</f>
        <v> </v>
      </c>
      <c r="I3969" s="25" t="str">
        <f>IF(OR(E3969="",E3969="!!!",F3969="NEW"),"",INDEX(B3968:B$2,-1+SUMPRODUCT(MAX(ROW(E3968:E$2)*(E3969=E3968:E$2)))))</f>
        <v> </v>
      </c>
      <c r="J3969" s="25" t="str">
        <f>IF(OR(E3969="",E3969="!!!",F3969="NEW"),"",COUNTBLANK(OFFSET(A$1,,,SUMPRODUCT(MAX(ROW(E$2:E3969)*(E3969=E$2:E3969)))))-COUNTBLANK(OFFSET(A$1,,,SUMPRODUCT(MAX(ROW(E$1:E3968)*(E2=E$1:E3968))))))</f>
        <v> </v>
      </c>
      <c r="K3969" s="25" t="str">
        <f>IF(OR(E3969="",E3969="!!!",F3969="NEW"),"",INDEX(J$1:J3968,SUMPRODUCT(MAX(ROW(E$1:E3968)*(E3969=E$1:E3968)))))</f>
        <v> </v>
      </c>
      <c r="L3969" s="26"/>
    </row>
    <row r="3970" spans="1:12">
      <c r="A3970" s="20"/>
    </row>
    <row r="3971" spans="1:12">
      <c r="A3971" s="20" t="s">
        <v>2304</v>
      </c>
    </row>
    <row r="3972" spans="1:12">
      <c r="A3972" s="20" t="s">
        <v>1183</v>
      </c>
      <c r="E3972" s="21">
        <f>IF(D3972="?OLD","!!!","")</f>
        <v/>
      </c>
      <c r="F3972" s="22" t="str">
        <f>IF(OR(E3972="",E3972="!!!"),"",IF(NOT(ISNA(VLOOKUP(E3972,E$1:E3971,1,FALSE()))),"OLD",IF(AND(E3972&lt;&gt;"",E3972&lt;&gt;"!!!"),"NEW","")))</f>
        <v> </v>
      </c>
      <c r="G3972" s="23" t="str">
        <f>IF(OR(E3972="",E3972="!!!"),"",IF(OR(J3972=0,AND(J3972=1,K3972=1),AND(J3972=1,I3972="SBJ"),AND(J3972=1,I3972=0)),"?IN_FOCUS",IF(J3972&lt;=2,"?ACTIVATED",IF(J3972&lt;&gt;"","?FAMILIAR",IF(F3972="NEW",IF(ISNA(VLOOKUP(E3972,#REF!,1,FALSE())),"?TYPE_IDENTIFIABLE","?REFERENTIAL"),"_")))))</f>
        <v> </v>
      </c>
      <c r="H3972" s="24" t="str">
        <f>IF(J3972&lt;&gt;1,"",IF(I3972="SBJ","CB","?"))</f>
        <v> </v>
      </c>
      <c r="I3972" s="25" t="str">
        <f>IF(OR(E3972="",E3972="!!!",F3972="NEW"),"",INDEX(B3971:B$2,-1+SUMPRODUCT(MAX(ROW(E3971:E$2)*(E3972=E3971:E$2)))))</f>
        <v> </v>
      </c>
      <c r="J3972" s="25" t="str">
        <f>IF(OR(E3972="",E3972="!!!",F3972="NEW"),"",COUNTBLANK(OFFSET(A$1,,,SUMPRODUCT(MAX(ROW(E$2:E3972)*(E3972=E$2:E3972)))))-COUNTBLANK(OFFSET(A$1,,,SUMPRODUCT(MAX(ROW(E$1:E3971)*(E2=E$1:E3971))))))</f>
        <v> </v>
      </c>
      <c r="K3972" s="25" t="str">
        <f>IF(OR(E3972="",E3972="!!!",F3972="NEW"),"",INDEX(J$1:J3971,SUMPRODUCT(MAX(ROW(E$1:E3971)*(E3972=E$1:E3971)))))</f>
        <v> </v>
      </c>
      <c r="L3972" s="26"/>
    </row>
    <row r="3973" spans="1:12">
      <c r="A3973" s="20" t="s">
        <v>1191</v>
      </c>
      <c r="E3973" s="21">
        <f>IF(D3973="?OLD","!!!","")</f>
        <v/>
      </c>
      <c r="F3973" s="22" t="str">
        <f>IF(OR(E3973="",E3973="!!!"),"",IF(NOT(ISNA(VLOOKUP(E3973,E$1:E3972,1,FALSE()))),"OLD",IF(AND(E3973&lt;&gt;"",E3973&lt;&gt;"!!!"),"NEW","")))</f>
        <v> </v>
      </c>
      <c r="G3973" s="23" t="str">
        <f>IF(OR(E3973="",E3973="!!!"),"",IF(OR(J3973=0,AND(J3973=1,K3973=1),AND(J3973=1,I3973="SBJ"),AND(J3973=1,I3973=0)),"?IN_FOCUS",IF(J3973&lt;=2,"?ACTIVATED",IF(J3973&lt;&gt;"","?FAMILIAR",IF(F3973="NEW",IF(ISNA(VLOOKUP(E3973,#REF!,1,FALSE())),"?TYPE_IDENTIFIABLE","?REFERENTIAL"),"_")))))</f>
        <v> </v>
      </c>
      <c r="H3973" s="24" t="str">
        <f>IF(J3973&lt;&gt;1,"",IF(I3973="SBJ","CB","?"))</f>
        <v> </v>
      </c>
      <c r="I3973" s="25" t="str">
        <f>IF(OR(E3973="",E3973="!!!",F3973="NEW"),"",INDEX(B3972:B$2,-1+SUMPRODUCT(MAX(ROW(E3972:E$2)*(E3973=E3972:E$2)))))</f>
        <v> </v>
      </c>
      <c r="J3973" s="25" t="str">
        <f>IF(OR(E3973="",E3973="!!!",F3973="NEW"),"",COUNTBLANK(OFFSET(A$1,,,SUMPRODUCT(MAX(ROW(E$2:E3973)*(E3973=E$2:E3973)))))-COUNTBLANK(OFFSET(A$1,,,SUMPRODUCT(MAX(ROW(E$1:E3972)*(E2=E$1:E3972))))))</f>
        <v> </v>
      </c>
      <c r="K3973" s="25" t="str">
        <f>IF(OR(E3973="",E3973="!!!",F3973="NEW"),"",INDEX(J$1:J3972,SUMPRODUCT(MAX(ROW(E$1:E3972)*(E3973=E$1:E3972)))))</f>
        <v> </v>
      </c>
      <c r="L3973" s="26"/>
    </row>
    <row r="3974" spans="1:12">
      <c r="A3974" s="20" t="s">
        <v>1083</v>
      </c>
      <c r="B3974" s="27" t="s">
        <v>1067</v>
      </c>
      <c r="C3974" s="27" t="s">
        <v>1110</v>
      </c>
      <c r="D3974" s="27" t="s">
        <v>1069</v>
      </c>
      <c r="E3974" s="21">
        <f>IF(D3974="?OLD","!!!","")</f>
        <v/>
      </c>
      <c r="F3974" s="22" t="str">
        <f>IF(OR(E3974="",E3974="!!!"),"",IF(NOT(ISNA(VLOOKUP(E3974,E$1:E3973,1,FALSE()))),"OLD",IF(AND(E3974&lt;&gt;"",E3974&lt;&gt;"!!!"),"NEW","")))</f>
        <v> </v>
      </c>
      <c r="G3974" s="23" t="str">
        <f>IF(OR(E3974="",E3974="!!!"),"",IF(OR(J3974=0,AND(J3974=1,K3974=1),AND(J3974=1,I3974="SBJ"),AND(J3974=1,I3974=0)),"?IN_FOCUS",IF(J3974&lt;=2,"?ACTIVATED",IF(J3974&lt;&gt;"","?FAMILIAR",IF(F3974="NEW",IF(ISNA(VLOOKUP(E3974,#REF!,1,FALSE())),"?TYPE_IDENTIFIABLE","?REFERENTIAL"),"_")))))</f>
        <v> </v>
      </c>
      <c r="H3974" s="24" t="str">
        <f>IF(J3974&lt;&gt;1,"",IF(I3974="SBJ","CB","?"))</f>
        <v> </v>
      </c>
      <c r="I3974" s="25" t="str">
        <f>IF(OR(E3974="",E3974="!!!",F3974="NEW"),"",INDEX(B3973:B$2,-1+SUMPRODUCT(MAX(ROW(E3973:E$2)*(E3974=E3973:E$2)))))</f>
        <v> </v>
      </c>
      <c r="J3974" s="25" t="str">
        <f>IF(OR(E3974="",E3974="!!!",F3974="NEW"),"",COUNTBLANK(OFFSET(A$1,,,SUMPRODUCT(MAX(ROW(E$2:E3974)*(E3974=E$2:E3974)))))-COUNTBLANK(OFFSET(A$1,,,SUMPRODUCT(MAX(ROW(E$1:E3973)*(E2=E$1:E3973))))))</f>
        <v> </v>
      </c>
      <c r="K3974" s="25" t="str">
        <f>IF(OR(E3974="",E3974="!!!",F3974="NEW"),"",INDEX(J$1:J3973,SUMPRODUCT(MAX(ROW(E$1:E3973)*(E3974=E$1:E3973)))))</f>
        <v> </v>
      </c>
      <c r="L3974" s="26"/>
    </row>
    <row r="3975" spans="1:12">
      <c r="A3975" s="20" t="s">
        <v>1087</v>
      </c>
      <c r="E3975" s="21">
        <f>IF(D3975="?OLD","!!!","")</f>
        <v/>
      </c>
      <c r="F3975" s="22" t="str">
        <f>IF(OR(E3975="",E3975="!!!"),"",IF(NOT(ISNA(VLOOKUP(E3975,E$1:E3974,1,FALSE()))),"OLD",IF(AND(E3975&lt;&gt;"",E3975&lt;&gt;"!!!"),"NEW","")))</f>
        <v> </v>
      </c>
      <c r="G3975" s="23" t="str">
        <f>IF(OR(E3975="",E3975="!!!"),"",IF(OR(J3975=0,AND(J3975=1,K3975=1),AND(J3975=1,I3975="SBJ"),AND(J3975=1,I3975=0)),"?IN_FOCUS",IF(J3975&lt;=2,"?ACTIVATED",IF(J3975&lt;&gt;"","?FAMILIAR",IF(F3975="NEW",IF(ISNA(VLOOKUP(E3975,#REF!,1,FALSE())),"?TYPE_IDENTIFIABLE","?REFERENTIAL"),"_")))))</f>
        <v> </v>
      </c>
      <c r="H3975" s="24" t="str">
        <f>IF(J3975&lt;&gt;1,"",IF(I3975="SBJ","CB","?"))</f>
        <v> </v>
      </c>
      <c r="I3975" s="25" t="str">
        <f>IF(OR(E3975="",E3975="!!!",F3975="NEW"),"",INDEX(B3974:B$2,-1+SUMPRODUCT(MAX(ROW(E3974:E$2)*(E3975=E3974:E$2)))))</f>
        <v> </v>
      </c>
      <c r="J3975" s="25" t="str">
        <f>IF(OR(E3975="",E3975="!!!",F3975="NEW"),"",COUNTBLANK(OFFSET(A$1,,,SUMPRODUCT(MAX(ROW(E$2:E3975)*(E3975=E$2:E3975)))))-COUNTBLANK(OFFSET(A$1,,,SUMPRODUCT(MAX(ROW(E$1:E3974)*(E2=E$1:E3974))))))</f>
        <v> </v>
      </c>
      <c r="K3975" s="25" t="str">
        <f>IF(OR(E3975="",E3975="!!!",F3975="NEW"),"",INDEX(J$1:J3974,SUMPRODUCT(MAX(ROW(E$1:E3974)*(E3975=E$1:E3974)))))</f>
        <v> </v>
      </c>
      <c r="L3975" s="26"/>
    </row>
    <row r="3976" spans="1:12">
      <c r="A3976" s="20" t="s">
        <v>1568</v>
      </c>
      <c r="B3976" s="27" t="s">
        <v>1095</v>
      </c>
      <c r="C3976" s="27" t="s">
        <v>1110</v>
      </c>
      <c r="D3976" s="27" t="s">
        <v>1069</v>
      </c>
      <c r="E3976" s="21">
        <f>IF(D3976="?OLD","!!!","")</f>
        <v/>
      </c>
      <c r="F3976" s="22" t="str">
        <f>IF(OR(E3976="",E3976="!!!"),"",IF(NOT(ISNA(VLOOKUP(E3976,E$1:E3975,1,FALSE()))),"OLD",IF(AND(E3976&lt;&gt;"",E3976&lt;&gt;"!!!"),"NEW","")))</f>
        <v> </v>
      </c>
      <c r="G3976" s="23" t="str">
        <f>IF(OR(E3976="",E3976="!!!"),"",IF(OR(J3976=0,AND(J3976=1,K3976=1),AND(J3976=1,I3976="SBJ"),AND(J3976=1,I3976=0)),"?IN_FOCUS",IF(J3976&lt;=2,"?ACTIVATED",IF(J3976&lt;&gt;"","?FAMILIAR",IF(F3976="NEW",IF(ISNA(VLOOKUP(E3976,#REF!,1,FALSE())),"?TYPE_IDENTIFIABLE","?REFERENTIAL"),"_")))))</f>
        <v> </v>
      </c>
      <c r="H3976" s="24" t="str">
        <f>IF(J3976&lt;&gt;1,"",IF(I3976="SBJ","CB","?"))</f>
        <v> </v>
      </c>
      <c r="I3976" s="25" t="str">
        <f>IF(OR(E3976="",E3976="!!!",F3976="NEW"),"",INDEX(B3975:B$2,-1+SUMPRODUCT(MAX(ROW(E3975:E$2)*(E3976=E3975:E$2)))))</f>
        <v> </v>
      </c>
      <c r="J3976" s="25" t="str">
        <f>IF(OR(E3976="",E3976="!!!",F3976="NEW"),"",COUNTBLANK(OFFSET(A$1,,,SUMPRODUCT(MAX(ROW(E$2:E3976)*(E3976=E$2:E3976)))))-COUNTBLANK(OFFSET(A$1,,,SUMPRODUCT(MAX(ROW(E$1:E3975)*(E2=E$1:E3975))))))</f>
        <v> </v>
      </c>
      <c r="K3976" s="25" t="str">
        <f>IF(OR(E3976="",E3976="!!!",F3976="NEW"),"",INDEX(J$1:J3975,SUMPRODUCT(MAX(ROW(E$1:E3975)*(E3976=E$1:E3975)))))</f>
        <v> </v>
      </c>
      <c r="L3976" s="26"/>
    </row>
    <row r="3977" spans="1:12">
      <c r="A3977" s="20" t="s">
        <v>1127</v>
      </c>
      <c r="E3977" s="21">
        <f>IF(D3977="?OLD","!!!","")</f>
        <v/>
      </c>
      <c r="F3977" s="22" t="str">
        <f>IF(OR(E3977="",E3977="!!!"),"",IF(NOT(ISNA(VLOOKUP(E3977,E$1:E3976,1,FALSE()))),"OLD",IF(AND(E3977&lt;&gt;"",E3977&lt;&gt;"!!!"),"NEW","")))</f>
        <v> </v>
      </c>
      <c r="G3977" s="23" t="str">
        <f>IF(OR(E3977="",E3977="!!!"),"",IF(OR(J3977=0,AND(J3977=1,K3977=1),AND(J3977=1,I3977="SBJ"),AND(J3977=1,I3977=0)),"?IN_FOCUS",IF(J3977&lt;=2,"?ACTIVATED",IF(J3977&lt;&gt;"","?FAMILIAR",IF(F3977="NEW",IF(ISNA(VLOOKUP(E3977,#REF!,1,FALSE())),"?TYPE_IDENTIFIABLE","?REFERENTIAL"),"_")))))</f>
        <v> </v>
      </c>
      <c r="H3977" s="24" t="str">
        <f>IF(J3977&lt;&gt;1,"",IF(I3977="SBJ","CB","?"))</f>
        <v> </v>
      </c>
      <c r="I3977" s="25" t="str">
        <f>IF(OR(E3977="",E3977="!!!",F3977="NEW"),"",INDEX(B3976:B$2,-1+SUMPRODUCT(MAX(ROW(E3976:E$2)*(E3977=E3976:E$2)))))</f>
        <v> </v>
      </c>
      <c r="J3977" s="25" t="str">
        <f>IF(OR(E3977="",E3977="!!!",F3977="NEW"),"",COUNTBLANK(OFFSET(A$1,,,SUMPRODUCT(MAX(ROW(E$2:E3977)*(E3977=E$2:E3977)))))-COUNTBLANK(OFFSET(A$1,,,SUMPRODUCT(MAX(ROW(E$1:E3976)*(E2=E$1:E3976))))))</f>
        <v> </v>
      </c>
      <c r="K3977" s="25" t="str">
        <f>IF(OR(E3977="",E3977="!!!",F3977="NEW"),"",INDEX(J$1:J3976,SUMPRODUCT(MAX(ROW(E$1:E3976)*(E3977=E$1:E3976)))))</f>
        <v> </v>
      </c>
      <c r="L3977" s="26"/>
    </row>
    <row r="3978" spans="1:12">
      <c r="A3978" s="20" t="s">
        <v>1128</v>
      </c>
      <c r="B3978" s="27" t="s">
        <v>1092</v>
      </c>
      <c r="C3978" s="27" t="s">
        <v>1129</v>
      </c>
      <c r="D3978" s="27" t="s">
        <v>1069</v>
      </c>
      <c r="E3978" s="21">
        <f>IF(D3978="?OLD","!!!","")</f>
        <v/>
      </c>
      <c r="F3978" s="22" t="str">
        <f>IF(OR(E3978="",E3978="!!!"),"",IF(NOT(ISNA(VLOOKUP(E3978,E$1:E3977,1,FALSE()))),"OLD",IF(AND(E3978&lt;&gt;"",E3978&lt;&gt;"!!!"),"NEW","")))</f>
        <v> </v>
      </c>
      <c r="G3978" s="23" t="str">
        <f>IF(OR(E3978="",E3978="!!!"),"",IF(OR(J3978=0,AND(J3978=1,K3978=1),AND(J3978=1,I3978="SBJ"),AND(J3978=1,I3978=0)),"?IN_FOCUS",IF(J3978&lt;=2,"?ACTIVATED",IF(J3978&lt;&gt;"","?FAMILIAR",IF(F3978="NEW",IF(ISNA(VLOOKUP(E3978,#REF!,1,FALSE())),"?TYPE_IDENTIFIABLE","?REFERENTIAL"),"_")))))</f>
        <v> </v>
      </c>
      <c r="H3978" s="24" t="str">
        <f>IF(J3978&lt;&gt;1,"",IF(I3978="SBJ","CB","?"))</f>
        <v> </v>
      </c>
      <c r="I3978" s="25" t="str">
        <f>IF(OR(E3978="",E3978="!!!",F3978="NEW"),"",INDEX(B3977:B$2,-1+SUMPRODUCT(MAX(ROW(E3977:E$2)*(E3978=E3977:E$2)))))</f>
        <v> </v>
      </c>
      <c r="J3978" s="25" t="str">
        <f>IF(OR(E3978="",E3978="!!!",F3978="NEW"),"",COUNTBLANK(OFFSET(A$1,,,SUMPRODUCT(MAX(ROW(E$2:E3978)*(E3978=E$2:E3978)))))-COUNTBLANK(OFFSET(A$1,,,SUMPRODUCT(MAX(ROW(E$1:E3977)*(E2=E$1:E3977))))))</f>
        <v> </v>
      </c>
      <c r="K3978" s="25" t="str">
        <f>IF(OR(E3978="",E3978="!!!",F3978="NEW"),"",INDEX(J$1:J3977,SUMPRODUCT(MAX(ROW(E$1:E3977)*(E3978=E$1:E3977)))))</f>
        <v> </v>
      </c>
      <c r="L3978" s="26"/>
    </row>
    <row r="3979" spans="1:12">
      <c r="A3979" s="20" t="s">
        <v>1989</v>
      </c>
      <c r="B3979" s="27" t="s">
        <v>1071</v>
      </c>
      <c r="C3979" s="27" t="s">
        <v>1131</v>
      </c>
      <c r="D3979" s="27" t="s">
        <v>1069</v>
      </c>
      <c r="E3979" s="21">
        <f>IF(D3979="?OLD","!!!","")</f>
        <v/>
      </c>
      <c r="F3979" s="22" t="str">
        <f>IF(OR(E3979="",E3979="!!!"),"",IF(NOT(ISNA(VLOOKUP(E3979,E$1:E3978,1,FALSE()))),"OLD",IF(AND(E3979&lt;&gt;"",E3979&lt;&gt;"!!!"),"NEW","")))</f>
        <v> </v>
      </c>
      <c r="G3979" s="23" t="str">
        <f>IF(OR(E3979="",E3979="!!!"),"",IF(OR(J3979=0,AND(J3979=1,K3979=1),AND(J3979=1,I3979="SBJ"),AND(J3979=1,I3979=0)),"?IN_FOCUS",IF(J3979&lt;=2,"?ACTIVATED",IF(J3979&lt;&gt;"","?FAMILIAR",IF(F3979="NEW",IF(ISNA(VLOOKUP(E3979,#REF!,1,FALSE())),"?TYPE_IDENTIFIABLE","?REFERENTIAL"),"_")))))</f>
        <v> </v>
      </c>
      <c r="H3979" s="24" t="str">
        <f>IF(J3979&lt;&gt;1,"",IF(I3979="SBJ","CB","?"))</f>
        <v> </v>
      </c>
      <c r="I3979" s="25" t="str">
        <f>IF(OR(E3979="",E3979="!!!",F3979="NEW"),"",INDEX(B3978:B$2,-1+SUMPRODUCT(MAX(ROW(E3978:E$2)*(E3979=E3978:E$2)))))</f>
        <v> </v>
      </c>
      <c r="J3979" s="25" t="str">
        <f>IF(OR(E3979="",E3979="!!!",F3979="NEW"),"",COUNTBLANK(OFFSET(A$1,,,SUMPRODUCT(MAX(ROW(E$2:E3979)*(E3979=E$2:E3979)))))-COUNTBLANK(OFFSET(A$1,,,SUMPRODUCT(MAX(ROW(E$1:E3978)*(E2=E$1:E3978))))))</f>
        <v> </v>
      </c>
      <c r="K3979" s="25" t="str">
        <f>IF(OR(E3979="",E3979="!!!",F3979="NEW"),"",INDEX(J$1:J3978,SUMPRODUCT(MAX(ROW(E$1:E3978)*(E3979=E$1:E3978)))))</f>
        <v> </v>
      </c>
      <c r="L3979" s="26"/>
    </row>
    <row r="3980" spans="1:12">
      <c r="A3980" s="20" t="s">
        <v>141</v>
      </c>
      <c r="E3980" s="21">
        <f>IF(D3980="?OLD","!!!","")</f>
        <v/>
      </c>
      <c r="F3980" s="22" t="str">
        <f>IF(OR(E3980="",E3980="!!!"),"",IF(NOT(ISNA(VLOOKUP(E3980,E$1:E3979,1,FALSE()))),"OLD",IF(AND(E3980&lt;&gt;"",E3980&lt;&gt;"!!!"),"NEW","")))</f>
        <v> </v>
      </c>
      <c r="G3980" s="23" t="str">
        <f>IF(OR(E3980="",E3980="!!!"),"",IF(OR(J3980=0,AND(J3980=1,K3980=1),AND(J3980=1,I3980="SBJ"),AND(J3980=1,I3980=0)),"?IN_FOCUS",IF(J3980&lt;=2,"?ACTIVATED",IF(J3980&lt;&gt;"","?FAMILIAR",IF(F3980="NEW",IF(ISNA(VLOOKUP(E3980,#REF!,1,FALSE())),"?TYPE_IDENTIFIABLE","?REFERENTIAL"),"_")))))</f>
        <v> </v>
      </c>
      <c r="H3980" s="24" t="str">
        <f>IF(J3980&lt;&gt;1,"",IF(I3980="SBJ","CB","?"))</f>
        <v> </v>
      </c>
      <c r="I3980" s="25" t="str">
        <f>IF(OR(E3980="",E3980="!!!",F3980="NEW"),"",INDEX(B3979:B$2,-1+SUMPRODUCT(MAX(ROW(E3979:E$2)*(E3980=E3979:E$2)))))</f>
        <v> </v>
      </c>
      <c r="J3980" s="25" t="str">
        <f>IF(OR(E3980="",E3980="!!!",F3980="NEW"),"",COUNTBLANK(OFFSET(A$1,,,SUMPRODUCT(MAX(ROW(E$2:E3980)*(E3980=E$2:E3980)))))-COUNTBLANK(OFFSET(A$1,,,SUMPRODUCT(MAX(ROW(E$1:E3979)*(E2=E$1:E3979))))))</f>
        <v> </v>
      </c>
      <c r="K3980" s="25" t="str">
        <f>IF(OR(E3980="",E3980="!!!",F3980="NEW"),"",INDEX(J$1:J3979,SUMPRODUCT(MAX(ROW(E$1:E3979)*(E3980=E$1:E3979)))))</f>
        <v> </v>
      </c>
      <c r="L3980" s="26"/>
    </row>
    <row r="3981" spans="1:12">
      <c r="A3981" s="20" t="s">
        <v>1729</v>
      </c>
      <c r="B3981" s="27" t="s">
        <v>1160</v>
      </c>
      <c r="C3981" s="27" t="s">
        <v>1120</v>
      </c>
      <c r="E3981" s="21">
        <f>IF(D3981="?OLD","!!!","")</f>
        <v/>
      </c>
      <c r="F3981" s="22" t="str">
        <f>IF(OR(E3981="",E3981="!!!"),"",IF(NOT(ISNA(VLOOKUP(E3981,E$1:E3980,1,FALSE()))),"OLD",IF(AND(E3981&lt;&gt;"",E3981&lt;&gt;"!!!"),"NEW","")))</f>
        <v> </v>
      </c>
      <c r="G3981" s="23" t="str">
        <f>IF(OR(E3981="",E3981="!!!"),"",IF(OR(J3981=0,AND(J3981=1,K3981=1),AND(J3981=1,I3981="SBJ"),AND(J3981=1,I3981=0)),"?IN_FOCUS",IF(J3981&lt;=2,"?ACTIVATED",IF(J3981&lt;&gt;"","?FAMILIAR",IF(F3981="NEW",IF(ISNA(VLOOKUP(E3981,#REF!,1,FALSE())),"?TYPE_IDENTIFIABLE","?REFERENTIAL"),"_")))))</f>
        <v> </v>
      </c>
      <c r="H3981" s="24" t="str">
        <f>IF(J3981&lt;&gt;1,"",IF(I3981="SBJ","CB","?"))</f>
        <v> </v>
      </c>
      <c r="I3981" s="25" t="str">
        <f>IF(OR(E3981="",E3981="!!!",F3981="NEW"),"",INDEX(B3980:B$2,-1+SUMPRODUCT(MAX(ROW(E3980:E$2)*(E3981=E3980:E$2)))))</f>
        <v> </v>
      </c>
      <c r="J3981" s="25" t="str">
        <f>IF(OR(E3981="",E3981="!!!",F3981="NEW"),"",COUNTBLANK(OFFSET(A$1,,,SUMPRODUCT(MAX(ROW(E$2:E3981)*(E3981=E$2:E3981)))))-COUNTBLANK(OFFSET(A$1,,,SUMPRODUCT(MAX(ROW(E$1:E3980)*(E2=E$1:E3980))))))</f>
        <v> </v>
      </c>
      <c r="K3981" s="25" t="str">
        <f>IF(OR(E3981="",E3981="!!!",F3981="NEW"),"",INDEX(J$1:J3980,SUMPRODUCT(MAX(ROW(E$1:E3980)*(E3981=E$1:E3980)))))</f>
        <v> </v>
      </c>
      <c r="L3981" s="26"/>
    </row>
    <row r="3982" spans="1:12">
      <c r="A3982" s="20" t="s">
        <v>2305</v>
      </c>
      <c r="E3982" s="21">
        <f>IF(D3982="?OLD","!!!","")</f>
        <v/>
      </c>
      <c r="F3982" s="22" t="str">
        <f>IF(OR(E3982="",E3982="!!!"),"",IF(NOT(ISNA(VLOOKUP(E3982,E$1:E3981,1,FALSE()))),"OLD",IF(AND(E3982&lt;&gt;"",E3982&lt;&gt;"!!!"),"NEW","")))</f>
        <v> </v>
      </c>
      <c r="G3982" s="23" t="str">
        <f>IF(OR(E3982="",E3982="!!!"),"",IF(OR(J3982=0,AND(J3982=1,K3982=1),AND(J3982=1,I3982="SBJ"),AND(J3982=1,I3982=0)),"?IN_FOCUS",IF(J3982&lt;=2,"?ACTIVATED",IF(J3982&lt;&gt;"","?FAMILIAR",IF(F3982="NEW",IF(ISNA(VLOOKUP(E3982,#REF!,1,FALSE())),"?TYPE_IDENTIFIABLE","?REFERENTIAL"),"_")))))</f>
        <v> </v>
      </c>
      <c r="H3982" s="24" t="str">
        <f>IF(J3982&lt;&gt;1,"",IF(I3982="SBJ","CB","?"))</f>
        <v> </v>
      </c>
      <c r="I3982" s="25" t="str">
        <f>IF(OR(E3982="",E3982="!!!",F3982="NEW"),"",INDEX(B3981:B$2,-1+SUMPRODUCT(MAX(ROW(E3981:E$2)*(E3982=E3981:E$2)))))</f>
        <v> </v>
      </c>
      <c r="J3982" s="25" t="str">
        <f>IF(OR(E3982="",E3982="!!!",F3982="NEW"),"",COUNTBLANK(OFFSET(A$1,,,SUMPRODUCT(MAX(ROW(E$2:E3982)*(E3982=E$2:E3982)))))-COUNTBLANK(OFFSET(A$1,,,SUMPRODUCT(MAX(ROW(E$1:E3981)*(E2=E$1:E3981))))))</f>
        <v> </v>
      </c>
      <c r="K3982" s="25" t="str">
        <f>IF(OR(E3982="",E3982="!!!",F3982="NEW"),"",INDEX(J$1:J3981,SUMPRODUCT(MAX(ROW(E$1:E3981)*(E3982=E$1:E3981)))))</f>
        <v> </v>
      </c>
      <c r="L3982" s="26"/>
    </row>
    <row r="3983" spans="1:12">
      <c r="A3983" s="20" t="s">
        <v>1087</v>
      </c>
      <c r="E3983" s="21">
        <f>IF(D3983="?OLD","!!!","")</f>
        <v/>
      </c>
      <c r="F3983" s="22" t="str">
        <f>IF(OR(E3983="",E3983="!!!"),"",IF(NOT(ISNA(VLOOKUP(E3983,E$1:E3982,1,FALSE()))),"OLD",IF(AND(E3983&lt;&gt;"",E3983&lt;&gt;"!!!"),"NEW","")))</f>
        <v> </v>
      </c>
      <c r="G3983" s="23" t="str">
        <f>IF(OR(E3983="",E3983="!!!"),"",IF(OR(J3983=0,AND(J3983=1,K3983=1),AND(J3983=1,I3983="SBJ"),AND(J3983=1,I3983=0)),"?IN_FOCUS",IF(J3983&lt;=2,"?ACTIVATED",IF(J3983&lt;&gt;"","?FAMILIAR",IF(F3983="NEW",IF(ISNA(VLOOKUP(E3983,#REF!,1,FALSE())),"?TYPE_IDENTIFIABLE","?REFERENTIAL"),"_")))))</f>
        <v> </v>
      </c>
      <c r="H3983" s="24" t="str">
        <f>IF(J3983&lt;&gt;1,"",IF(I3983="SBJ","CB","?"))</f>
        <v> </v>
      </c>
      <c r="I3983" s="25" t="str">
        <f>IF(OR(E3983="",E3983="!!!",F3983="NEW"),"",INDEX(B3982:B$2,-1+SUMPRODUCT(MAX(ROW(E3982:E$2)*(E3983=E3982:E$2)))))</f>
        <v> </v>
      </c>
      <c r="J3983" s="25" t="str">
        <f>IF(OR(E3983="",E3983="!!!",F3983="NEW"),"",COUNTBLANK(OFFSET(A$1,,,SUMPRODUCT(MAX(ROW(E$2:E3983)*(E3983=E$2:E3983)))))-COUNTBLANK(OFFSET(A$1,,,SUMPRODUCT(MAX(ROW(E$1:E3982)*(E2=E$1:E3982))))))</f>
        <v> </v>
      </c>
      <c r="K3983" s="25" t="str">
        <f>IF(OR(E3983="",E3983="!!!",F3983="NEW"),"",INDEX(J$1:J3982,SUMPRODUCT(MAX(ROW(E$1:E3982)*(E3983=E$1:E3982)))))</f>
        <v> </v>
      </c>
      <c r="L3983" s="26"/>
    </row>
    <row r="3984" spans="1:12">
      <c r="A3984" s="20" t="s">
        <v>1083</v>
      </c>
      <c r="B3984" s="27" t="s">
        <v>1071</v>
      </c>
      <c r="C3984" s="27" t="s">
        <v>1129</v>
      </c>
      <c r="D3984" s="27" t="s">
        <v>1069</v>
      </c>
      <c r="E3984" s="21">
        <f>IF(D3984="?OLD","!!!","")</f>
        <v/>
      </c>
      <c r="F3984" s="22" t="str">
        <f>IF(OR(E3984="",E3984="!!!"),"",IF(NOT(ISNA(VLOOKUP(E3984,E$1:E3983,1,FALSE()))),"OLD",IF(AND(E3984&lt;&gt;"",E3984&lt;&gt;"!!!"),"NEW","")))</f>
        <v> </v>
      </c>
      <c r="G3984" s="23" t="str">
        <f>IF(OR(E3984="",E3984="!!!"),"",IF(OR(J3984=0,AND(J3984=1,K3984=1),AND(J3984=1,I3984="SBJ"),AND(J3984=1,I3984=0)),"?IN_FOCUS",IF(J3984&lt;=2,"?ACTIVATED",IF(J3984&lt;&gt;"","?FAMILIAR",IF(F3984="NEW",IF(ISNA(VLOOKUP(E3984,#REF!,1,FALSE())),"?TYPE_IDENTIFIABLE","?REFERENTIAL"),"_")))))</f>
        <v> </v>
      </c>
      <c r="H3984" s="24" t="str">
        <f>IF(J3984&lt;&gt;1,"",IF(I3984="SBJ","CB","?"))</f>
        <v> </v>
      </c>
      <c r="I3984" s="25" t="str">
        <f>IF(OR(E3984="",E3984="!!!",F3984="NEW"),"",INDEX(B3983:B$2,-1+SUMPRODUCT(MAX(ROW(E3983:E$2)*(E3984=E3983:E$2)))))</f>
        <v> </v>
      </c>
      <c r="J3984" s="25" t="str">
        <f>IF(OR(E3984="",E3984="!!!",F3984="NEW"),"",COUNTBLANK(OFFSET(A$1,,,SUMPRODUCT(MAX(ROW(E$2:E3984)*(E3984=E$2:E3984)))))-COUNTBLANK(OFFSET(A$1,,,SUMPRODUCT(MAX(ROW(E$1:E3983)*(E2=E$1:E3983))))))</f>
        <v> </v>
      </c>
      <c r="K3984" s="25" t="str">
        <f>IF(OR(E3984="",E3984="!!!",F3984="NEW"),"",INDEX(J$1:J3983,SUMPRODUCT(MAX(ROW(E$1:E3983)*(E3984=E$1:E3983)))))</f>
        <v> </v>
      </c>
      <c r="L3984" s="26"/>
    </row>
    <row r="3985" spans="1:12">
      <c r="A3985" s="20" t="s">
        <v>1087</v>
      </c>
      <c r="E3985" s="21">
        <f>IF(D3985="?OLD","!!!","")</f>
        <v/>
      </c>
      <c r="F3985" s="22" t="str">
        <f>IF(OR(E3985="",E3985="!!!"),"",IF(NOT(ISNA(VLOOKUP(E3985,E$1:E3984,1,FALSE()))),"OLD",IF(AND(E3985&lt;&gt;"",E3985&lt;&gt;"!!!"),"NEW","")))</f>
        <v> </v>
      </c>
      <c r="G3985" s="23" t="str">
        <f>IF(OR(E3985="",E3985="!!!"),"",IF(OR(J3985=0,AND(J3985=1,K3985=1),AND(J3985=1,I3985="SBJ"),AND(J3985=1,I3985=0)),"?IN_FOCUS",IF(J3985&lt;=2,"?ACTIVATED",IF(J3985&lt;&gt;"","?FAMILIAR",IF(F3985="NEW",IF(ISNA(VLOOKUP(E3985,#REF!,1,FALSE())),"?TYPE_IDENTIFIABLE","?REFERENTIAL"),"_")))))</f>
        <v> </v>
      </c>
      <c r="H3985" s="24" t="str">
        <f>IF(J3985&lt;&gt;1,"",IF(I3985="SBJ","CB","?"))</f>
        <v> </v>
      </c>
      <c r="I3985" s="25" t="str">
        <f>IF(OR(E3985="",E3985="!!!",F3985="NEW"),"",INDEX(B3984:B$2,-1+SUMPRODUCT(MAX(ROW(E3984:E$2)*(E3985=E3984:E$2)))))</f>
        <v> </v>
      </c>
      <c r="J3985" s="25" t="str">
        <f>IF(OR(E3985="",E3985="!!!",F3985="NEW"),"",COUNTBLANK(OFFSET(A$1,,,SUMPRODUCT(MAX(ROW(E$2:E3985)*(E3985=E$2:E3985)))))-COUNTBLANK(OFFSET(A$1,,,SUMPRODUCT(MAX(ROW(E$1:E3984)*(E2=E$1:E3984))))))</f>
        <v> </v>
      </c>
      <c r="K3985" s="25" t="str">
        <f>IF(OR(E3985="",E3985="!!!",F3985="NEW"),"",INDEX(J$1:J3984,SUMPRODUCT(MAX(ROW(E$1:E3984)*(E3985=E$1:E3984)))))</f>
        <v> </v>
      </c>
      <c r="L3985" s="26"/>
    </row>
    <row r="3986" spans="1:12">
      <c r="A3986" s="20" t="s">
        <v>1568</v>
      </c>
      <c r="B3986" s="27" t="s">
        <v>1106</v>
      </c>
      <c r="C3986" s="27" t="s">
        <v>1110</v>
      </c>
      <c r="D3986" s="27" t="s">
        <v>1069</v>
      </c>
      <c r="E3986" s="21">
        <f>IF(D3986="?OLD","!!!","")</f>
        <v/>
      </c>
      <c r="F3986" s="22" t="str">
        <f>IF(OR(E3986="",E3986="!!!"),"",IF(NOT(ISNA(VLOOKUP(E3986,E$1:E3985,1,FALSE()))),"OLD",IF(AND(E3986&lt;&gt;"",E3986&lt;&gt;"!!!"),"NEW","")))</f>
        <v> </v>
      </c>
      <c r="G3986" s="23" t="str">
        <f>IF(OR(E3986="",E3986="!!!"),"",IF(OR(J3986=0,AND(J3986=1,K3986=1),AND(J3986=1,I3986="SBJ"),AND(J3986=1,I3986=0)),"?IN_FOCUS",IF(J3986&lt;=2,"?ACTIVATED",IF(J3986&lt;&gt;"","?FAMILIAR",IF(F3986="NEW",IF(ISNA(VLOOKUP(E3986,#REF!,1,FALSE())),"?TYPE_IDENTIFIABLE","?REFERENTIAL"),"_")))))</f>
        <v> </v>
      </c>
      <c r="H3986" s="24" t="str">
        <f>IF(J3986&lt;&gt;1,"",IF(I3986="SBJ","CB","?"))</f>
        <v> </v>
      </c>
      <c r="I3986" s="25" t="str">
        <f>IF(OR(E3986="",E3986="!!!",F3986="NEW"),"",INDEX(B3985:B$2,-1+SUMPRODUCT(MAX(ROW(E3985:E$2)*(E3986=E3985:E$2)))))</f>
        <v> </v>
      </c>
      <c r="J3986" s="25" t="str">
        <f>IF(OR(E3986="",E3986="!!!",F3986="NEW"),"",COUNTBLANK(OFFSET(A$1,,,SUMPRODUCT(MAX(ROW(E$2:E3986)*(E3986=E$2:E3986)))))-COUNTBLANK(OFFSET(A$1,,,SUMPRODUCT(MAX(ROW(E$1:E3985)*(E2=E$1:E3985))))))</f>
        <v> </v>
      </c>
      <c r="K3986" s="25" t="str">
        <f>IF(OR(E3986="",E3986="!!!",F3986="NEW"),"",INDEX(J$1:J3985,SUMPRODUCT(MAX(ROW(E$1:E3985)*(E3986=E$1:E3985)))))</f>
        <v> </v>
      </c>
      <c r="L3986" s="26"/>
    </row>
    <row r="3987" spans="1:12">
      <c r="A3987" s="20" t="s">
        <v>1108</v>
      </c>
      <c r="B3987" s="27" t="s">
        <v>1133</v>
      </c>
      <c r="C3987" s="27" t="s">
        <v>1110</v>
      </c>
      <c r="D3987" s="27" t="s">
        <v>1069</v>
      </c>
      <c r="E3987" s="21">
        <f>IF(D3987="?OLD","!!!","")</f>
        <v/>
      </c>
      <c r="F3987" s="22" t="str">
        <f>IF(OR(E3987="",E3987="!!!"),"",IF(NOT(ISNA(VLOOKUP(E3987,E$1:E3986,1,FALSE()))),"OLD",IF(AND(E3987&lt;&gt;"",E3987&lt;&gt;"!!!"),"NEW","")))</f>
        <v> </v>
      </c>
      <c r="G3987" s="23" t="str">
        <f>IF(OR(E3987="",E3987="!!!"),"",IF(OR(J3987=0,AND(J3987=1,K3987=1),AND(J3987=1,I3987="SBJ"),AND(J3987=1,I3987=0)),"?IN_FOCUS",IF(J3987&lt;=2,"?ACTIVATED",IF(J3987&lt;&gt;"","?FAMILIAR",IF(F3987="NEW",IF(ISNA(VLOOKUP(E3987,#REF!,1,FALSE())),"?TYPE_IDENTIFIABLE","?REFERENTIAL"),"_")))))</f>
        <v> </v>
      </c>
      <c r="H3987" s="24" t="str">
        <f>IF(J3987&lt;&gt;1,"",IF(I3987="SBJ","CB","?"))</f>
        <v> </v>
      </c>
      <c r="I3987" s="25" t="str">
        <f>IF(OR(E3987="",E3987="!!!",F3987="NEW"),"",INDEX(B3986:B$2,-1+SUMPRODUCT(MAX(ROW(E3986:E$2)*(E3987=E3986:E$2)))))</f>
        <v> </v>
      </c>
      <c r="J3987" s="25" t="str">
        <f>IF(OR(E3987="",E3987="!!!",F3987="NEW"),"",COUNTBLANK(OFFSET(A$1,,,SUMPRODUCT(MAX(ROW(E$2:E3987)*(E3987=E$2:E3987)))))-COUNTBLANK(OFFSET(A$1,,,SUMPRODUCT(MAX(ROW(E$1:E3986)*(E2=E$1:E3986))))))</f>
        <v> </v>
      </c>
      <c r="K3987" s="25" t="str">
        <f>IF(OR(E3987="",E3987="!!!",F3987="NEW"),"",INDEX(J$1:J3986,SUMPRODUCT(MAX(ROW(E$1:E3986)*(E3987=E$1:E3986)))))</f>
        <v> </v>
      </c>
      <c r="L3987" s="26"/>
    </row>
    <row r="3988" spans="1:12">
      <c r="A3988" s="20" t="s">
        <v>1224</v>
      </c>
      <c r="E3988" s="21">
        <f>IF(D3988="?OLD","!!!","")</f>
        <v/>
      </c>
      <c r="F3988" s="22" t="str">
        <f>IF(OR(E3988="",E3988="!!!"),"",IF(NOT(ISNA(VLOOKUP(E3988,E$1:E3987,1,FALSE()))),"OLD",IF(AND(E3988&lt;&gt;"",E3988&lt;&gt;"!!!"),"NEW","")))</f>
        <v> </v>
      </c>
      <c r="G3988" s="23" t="str">
        <f>IF(OR(E3988="",E3988="!!!"),"",IF(OR(J3988=0,AND(J3988=1,K3988=1),AND(J3988=1,I3988="SBJ"),AND(J3988=1,I3988=0)),"?IN_FOCUS",IF(J3988&lt;=2,"?ACTIVATED",IF(J3988&lt;&gt;"","?FAMILIAR",IF(F3988="NEW",IF(ISNA(VLOOKUP(E3988,#REF!,1,FALSE())),"?TYPE_IDENTIFIABLE","?REFERENTIAL"),"_")))))</f>
        <v> </v>
      </c>
      <c r="H3988" s="24" t="str">
        <f>IF(J3988&lt;&gt;1,"",IF(I3988="SBJ","CB","?"))</f>
        <v> </v>
      </c>
      <c r="I3988" s="25" t="str">
        <f>IF(OR(E3988="",E3988="!!!",F3988="NEW"),"",INDEX(B3987:B$2,-1+SUMPRODUCT(MAX(ROW(E3987:E$2)*(E3988=E3987:E$2)))))</f>
        <v> </v>
      </c>
      <c r="J3988" s="25" t="str">
        <f>IF(OR(E3988="",E3988="!!!",F3988="NEW"),"",COUNTBLANK(OFFSET(A$1,,,SUMPRODUCT(MAX(ROW(E$2:E3988)*(E3988=E$2:E3988)))))-COUNTBLANK(OFFSET(A$1,,,SUMPRODUCT(MAX(ROW(E$1:E3987)*(E2=E$1:E3987))))))</f>
        <v> </v>
      </c>
      <c r="K3988" s="25" t="str">
        <f>IF(OR(E3988="",E3988="!!!",F3988="NEW"),"",INDEX(J$1:J3987,SUMPRODUCT(MAX(ROW(E$1:E3987)*(E3988=E$1:E3987)))))</f>
        <v> </v>
      </c>
      <c r="L3988" s="26"/>
    </row>
    <row r="3989" spans="1:12">
      <c r="A3989" s="20" t="s">
        <v>2044</v>
      </c>
      <c r="B3989" s="27" t="s">
        <v>1092</v>
      </c>
      <c r="C3989" s="27" t="s">
        <v>1093</v>
      </c>
      <c r="D3989" s="27" t="s">
        <v>1069</v>
      </c>
      <c r="E3989" s="21">
        <f>IF(D3989="?OLD","!!!","")</f>
        <v/>
      </c>
      <c r="F3989" s="22" t="str">
        <f>IF(OR(E3989="",E3989="!!!"),"",IF(NOT(ISNA(VLOOKUP(E3989,E$1:E3988,1,FALSE()))),"OLD",IF(AND(E3989&lt;&gt;"",E3989&lt;&gt;"!!!"),"NEW","")))</f>
        <v> </v>
      </c>
      <c r="G3989" s="23" t="str">
        <f>IF(OR(E3989="",E3989="!!!"),"",IF(OR(J3989=0,AND(J3989=1,K3989=1),AND(J3989=1,I3989="SBJ"),AND(J3989=1,I3989=0)),"?IN_FOCUS",IF(J3989&lt;=2,"?ACTIVATED",IF(J3989&lt;&gt;"","?FAMILIAR",IF(F3989="NEW",IF(ISNA(VLOOKUP(E3989,#REF!,1,FALSE())),"?TYPE_IDENTIFIABLE","?REFERENTIAL"),"_")))))</f>
        <v> </v>
      </c>
      <c r="H3989" s="24" t="str">
        <f>IF(J3989&lt;&gt;1,"",IF(I3989="SBJ","CB","?"))</f>
        <v> </v>
      </c>
      <c r="I3989" s="25" t="str">
        <f>IF(OR(E3989="",E3989="!!!",F3989="NEW"),"",INDEX(B3988:B$2,-1+SUMPRODUCT(MAX(ROW(E3988:E$2)*(E3989=E3988:E$2)))))</f>
        <v> </v>
      </c>
      <c r="J3989" s="25" t="str">
        <f>IF(OR(E3989="",E3989="!!!",F3989="NEW"),"",COUNTBLANK(OFFSET(A$1,,,SUMPRODUCT(MAX(ROW(E$2:E3989)*(E3989=E$2:E3989)))))-COUNTBLANK(OFFSET(A$1,,,SUMPRODUCT(MAX(ROW(E$1:E3988)*(E2=E$1:E3988))))))</f>
        <v> </v>
      </c>
      <c r="K3989" s="25" t="str">
        <f>IF(OR(E3989="",E3989="!!!",F3989="NEW"),"",INDEX(J$1:J3988,SUMPRODUCT(MAX(ROW(E$1:E3988)*(E3989=E$1:E3988)))))</f>
        <v> </v>
      </c>
      <c r="L3989" s="26"/>
    </row>
    <row r="3990" spans="1:12">
      <c r="A3990" s="20" t="s">
        <v>2306</v>
      </c>
      <c r="E3990" s="21">
        <f>IF(D3990="?OLD","!!!","")</f>
        <v/>
      </c>
      <c r="F3990" s="22" t="str">
        <f>IF(OR(E3990="",E3990="!!!"),"",IF(NOT(ISNA(VLOOKUP(E3990,E$1:E3989,1,FALSE()))),"OLD",IF(AND(E3990&lt;&gt;"",E3990&lt;&gt;"!!!"),"NEW","")))</f>
        <v> </v>
      </c>
      <c r="G3990" s="23" t="str">
        <f>IF(OR(E3990="",E3990="!!!"),"",IF(OR(J3990=0,AND(J3990=1,K3990=1),AND(J3990=1,I3990="SBJ"),AND(J3990=1,I3990=0)),"?IN_FOCUS",IF(J3990&lt;=2,"?ACTIVATED",IF(J3990&lt;&gt;"","?FAMILIAR",IF(F3990="NEW",IF(ISNA(VLOOKUP(E3990,#REF!,1,FALSE())),"?TYPE_IDENTIFIABLE","?REFERENTIAL"),"_")))))</f>
        <v> </v>
      </c>
      <c r="H3990" s="24" t="str">
        <f>IF(J3990&lt;&gt;1,"",IF(I3990="SBJ","CB","?"))</f>
        <v> </v>
      </c>
      <c r="I3990" s="25" t="str">
        <f>IF(OR(E3990="",E3990="!!!",F3990="NEW"),"",INDEX(B3989:B$2,-1+SUMPRODUCT(MAX(ROW(E3989:E$2)*(E3990=E3989:E$2)))))</f>
        <v> </v>
      </c>
      <c r="J3990" s="25" t="str">
        <f>IF(OR(E3990="",E3990="!!!",F3990="NEW"),"",COUNTBLANK(OFFSET(A$1,,,SUMPRODUCT(MAX(ROW(E$2:E3990)*(E3990=E$2:E3990)))))-COUNTBLANK(OFFSET(A$1,,,SUMPRODUCT(MAX(ROW(E$1:E3989)*(E2=E$1:E3989))))))</f>
        <v> </v>
      </c>
      <c r="K3990" s="25" t="str">
        <f>IF(OR(E3990="",E3990="!!!",F3990="NEW"),"",INDEX(J$1:J3989,SUMPRODUCT(MAX(ROW(E$1:E3989)*(E3990=E$1:E3989)))))</f>
        <v> </v>
      </c>
      <c r="L3990" s="26"/>
    </row>
    <row r="3991" spans="1:12">
      <c r="A3991" s="20" t="s">
        <v>1078</v>
      </c>
      <c r="E3991" s="21">
        <f>IF(D3991="?OLD","!!!","")</f>
        <v/>
      </c>
      <c r="F3991" s="22" t="str">
        <f>IF(OR(E3991="",E3991="!!!"),"",IF(NOT(ISNA(VLOOKUP(E3991,E$1:E3990,1,FALSE()))),"OLD",IF(AND(E3991&lt;&gt;"",E3991&lt;&gt;"!!!"),"NEW","")))</f>
        <v> </v>
      </c>
      <c r="G3991" s="23" t="str">
        <f>IF(OR(E3991="",E3991="!!!"),"",IF(OR(J3991=0,AND(J3991=1,K3991=1),AND(J3991=1,I3991="SBJ"),AND(J3991=1,I3991=0)),"?IN_FOCUS",IF(J3991&lt;=2,"?ACTIVATED",IF(J3991&lt;&gt;"","?FAMILIAR",IF(F3991="NEW",IF(ISNA(VLOOKUP(E3991,#REF!,1,FALSE())),"?TYPE_IDENTIFIABLE","?REFERENTIAL"),"_")))))</f>
        <v> </v>
      </c>
      <c r="H3991" s="24" t="str">
        <f>IF(J3991&lt;&gt;1,"",IF(I3991="SBJ","CB","?"))</f>
        <v> </v>
      </c>
      <c r="I3991" s="25" t="str">
        <f>IF(OR(E3991="",E3991="!!!",F3991="NEW"),"",INDEX(B3990:B$2,-1+SUMPRODUCT(MAX(ROW(E3990:E$2)*(E3991=E3990:E$2)))))</f>
        <v> </v>
      </c>
      <c r="J3991" s="25" t="str">
        <f>IF(OR(E3991="",E3991="!!!",F3991="NEW"),"",COUNTBLANK(OFFSET(A$1,,,SUMPRODUCT(MAX(ROW(E$2:E3991)*(E3991=E$2:E3991)))))-COUNTBLANK(OFFSET(A$1,,,SUMPRODUCT(MAX(ROW(E$1:E3990)*(E2=E$1:E3990))))))</f>
        <v> </v>
      </c>
      <c r="K3991" s="25" t="str">
        <f>IF(OR(E3991="",E3991="!!!",F3991="NEW"),"",INDEX(J$1:J3990,SUMPRODUCT(MAX(ROW(E$1:E3990)*(E3991=E$1:E3990)))))</f>
        <v> </v>
      </c>
      <c r="L3991" s="26"/>
    </row>
    <row r="3992" spans="1:12">
      <c r="A3992" s="20" t="s">
        <v>1484</v>
      </c>
      <c r="E3992" s="21">
        <f>IF(D3992="?OLD","!!!","")</f>
        <v/>
      </c>
      <c r="F3992" s="22" t="str">
        <f>IF(OR(E3992="",E3992="!!!"),"",IF(NOT(ISNA(VLOOKUP(E3992,E$1:E3991,1,FALSE()))),"OLD",IF(AND(E3992&lt;&gt;"",E3992&lt;&gt;"!!!"),"NEW","")))</f>
        <v> </v>
      </c>
      <c r="G3992" s="23" t="str">
        <f>IF(OR(E3992="",E3992="!!!"),"",IF(OR(J3992=0,AND(J3992=1,K3992=1),AND(J3992=1,I3992="SBJ"),AND(J3992=1,I3992=0)),"?IN_FOCUS",IF(J3992&lt;=2,"?ACTIVATED",IF(J3992&lt;&gt;"","?FAMILIAR",IF(F3992="NEW",IF(ISNA(VLOOKUP(E3992,#REF!,1,FALSE())),"?TYPE_IDENTIFIABLE","?REFERENTIAL"),"_")))))</f>
        <v> </v>
      </c>
      <c r="H3992" s="24" t="str">
        <f>IF(J3992&lt;&gt;1,"",IF(I3992="SBJ","CB","?"))</f>
        <v> </v>
      </c>
      <c r="I3992" s="25" t="str">
        <f>IF(OR(E3992="",E3992="!!!",F3992="NEW"),"",INDEX(B3991:B$2,-1+SUMPRODUCT(MAX(ROW(E3991:E$2)*(E3992=E3991:E$2)))))</f>
        <v> </v>
      </c>
      <c r="J3992" s="25" t="str">
        <f>IF(OR(E3992="",E3992="!!!",F3992="NEW"),"",COUNTBLANK(OFFSET(A$1,,,SUMPRODUCT(MAX(ROW(E$2:E3992)*(E3992=E$2:E3992)))))-COUNTBLANK(OFFSET(A$1,,,SUMPRODUCT(MAX(ROW(E$1:E3991)*(E2=E$1:E3991))))))</f>
        <v> </v>
      </c>
      <c r="K3992" s="25" t="str">
        <f>IF(OR(E3992="",E3992="!!!",F3992="NEW"),"",INDEX(J$1:J3991,SUMPRODUCT(MAX(ROW(E$1:E3991)*(E3992=E$1:E3991)))))</f>
        <v> </v>
      </c>
      <c r="L3992" s="26"/>
    </row>
    <row r="3993" spans="1:12">
      <c r="A3993" s="20" t="s">
        <v>1184</v>
      </c>
      <c r="E3993" s="21">
        <f>IF(D3993="?OLD","!!!","")</f>
        <v/>
      </c>
      <c r="F3993" s="22" t="str">
        <f>IF(OR(E3993="",E3993="!!!"),"",IF(NOT(ISNA(VLOOKUP(E3993,E$1:E3992,1,FALSE()))),"OLD",IF(AND(E3993&lt;&gt;"",E3993&lt;&gt;"!!!"),"NEW","")))</f>
        <v> </v>
      </c>
      <c r="G3993" s="23" t="str">
        <f>IF(OR(E3993="",E3993="!!!"),"",IF(OR(J3993=0,AND(J3993=1,K3993=1),AND(J3993=1,I3993="SBJ"),AND(J3993=1,I3993=0)),"?IN_FOCUS",IF(J3993&lt;=2,"?ACTIVATED",IF(J3993&lt;&gt;"","?FAMILIAR",IF(F3993="NEW",IF(ISNA(VLOOKUP(E3993,#REF!,1,FALSE())),"?TYPE_IDENTIFIABLE","?REFERENTIAL"),"_")))))</f>
        <v> </v>
      </c>
      <c r="H3993" s="24" t="str">
        <f>IF(J3993&lt;&gt;1,"",IF(I3993="SBJ","CB","?"))</f>
        <v> </v>
      </c>
      <c r="I3993" s="25" t="str">
        <f>IF(OR(E3993="",E3993="!!!",F3993="NEW"),"",INDEX(B3992:B$2,-1+SUMPRODUCT(MAX(ROW(E3992:E$2)*(E3993=E3992:E$2)))))</f>
        <v> </v>
      </c>
      <c r="J3993" s="25" t="str">
        <f>IF(OR(E3993="",E3993="!!!",F3993="NEW"),"",COUNTBLANK(OFFSET(A$1,,,SUMPRODUCT(MAX(ROW(E$2:E3993)*(E3993=E$2:E3993)))))-COUNTBLANK(OFFSET(A$1,,,SUMPRODUCT(MAX(ROW(E$1:E3992)*(E2=E$1:E3992))))))</f>
        <v> </v>
      </c>
      <c r="K3993" s="25" t="str">
        <f>IF(OR(E3993="",E3993="!!!",F3993="NEW"),"",INDEX(J$1:J3992,SUMPRODUCT(MAX(ROW(E$1:E3992)*(E3993=E$1:E3992)))))</f>
        <v> </v>
      </c>
      <c r="L3993" s="26"/>
    </row>
    <row r="3994" spans="1:12">
      <c r="A3994" s="20" t="s">
        <v>1083</v>
      </c>
      <c r="E3994" s="21">
        <f>IF(D3994="?OLD","!!!","")</f>
        <v/>
      </c>
      <c r="F3994" s="22" t="str">
        <f>IF(OR(E3994="",E3994="!!!"),"",IF(NOT(ISNA(VLOOKUP(E3994,E$1:E3993,1,FALSE()))),"OLD",IF(AND(E3994&lt;&gt;"",E3994&lt;&gt;"!!!"),"NEW","")))</f>
        <v> </v>
      </c>
      <c r="G3994" s="23" t="str">
        <f>IF(OR(E3994="",E3994="!!!"),"",IF(OR(J3994=0,AND(J3994=1,K3994=1),AND(J3994=1,I3994="SBJ"),AND(J3994=1,I3994=0)),"?IN_FOCUS",IF(J3994&lt;=2,"?ACTIVATED",IF(J3994&lt;&gt;"","?FAMILIAR",IF(F3994="NEW",IF(ISNA(VLOOKUP(E3994,#REF!,1,FALSE())),"?TYPE_IDENTIFIABLE","?REFERENTIAL"),"_")))))</f>
        <v> </v>
      </c>
      <c r="H3994" s="24" t="str">
        <f>IF(J3994&lt;&gt;1,"",IF(I3994="SBJ","CB","?"))</f>
        <v> </v>
      </c>
      <c r="I3994" s="25" t="str">
        <f>IF(OR(E3994="",E3994="!!!",F3994="NEW"),"",INDEX(B3993:B$2,-1+SUMPRODUCT(MAX(ROW(E3993:E$2)*(E3994=E3993:E$2)))))</f>
        <v> </v>
      </c>
      <c r="J3994" s="25" t="str">
        <f>IF(OR(E3994="",E3994="!!!",F3994="NEW"),"",COUNTBLANK(OFFSET(A$1,,,SUMPRODUCT(MAX(ROW(E$2:E3994)*(E3994=E$2:E3994)))))-COUNTBLANK(OFFSET(A$1,,,SUMPRODUCT(MAX(ROW(E$1:E3993)*(E2=E$1:E3993))))))</f>
        <v> </v>
      </c>
      <c r="K3994" s="25" t="str">
        <f>IF(OR(E3994="",E3994="!!!",F3994="NEW"),"",INDEX(J$1:J3993,SUMPRODUCT(MAX(ROW(E$1:E3993)*(E3994=E$1:E3993)))))</f>
        <v> </v>
      </c>
      <c r="L3994" s="26"/>
    </row>
    <row r="3995" spans="1:12">
      <c r="A3995" s="20" t="s">
        <v>2307</v>
      </c>
      <c r="B3995" s="27" t="s">
        <v>1067</v>
      </c>
      <c r="C3995" s="27" t="s">
        <v>1086</v>
      </c>
      <c r="D3995" s="27" t="s">
        <v>1069</v>
      </c>
      <c r="E3995" s="21">
        <f>IF(D3995="?OLD","!!!","")</f>
        <v/>
      </c>
      <c r="F3995" s="22" t="str">
        <f>IF(OR(E3995="",E3995="!!!"),"",IF(NOT(ISNA(VLOOKUP(E3995,E$1:E3994,1,FALSE()))),"OLD",IF(AND(E3995&lt;&gt;"",E3995&lt;&gt;"!!!"),"NEW","")))</f>
        <v> </v>
      </c>
      <c r="G3995" s="23" t="str">
        <f>IF(OR(E3995="",E3995="!!!"),"",IF(OR(J3995=0,AND(J3995=1,K3995=1),AND(J3995=1,I3995="SBJ"),AND(J3995=1,I3995=0)),"?IN_FOCUS",IF(J3995&lt;=2,"?ACTIVATED",IF(J3995&lt;&gt;"","?FAMILIAR",IF(F3995="NEW",IF(ISNA(VLOOKUP(E3995,#REF!,1,FALSE())),"?TYPE_IDENTIFIABLE","?REFERENTIAL"),"_")))))</f>
        <v> </v>
      </c>
      <c r="H3995" s="24" t="str">
        <f>IF(J3995&lt;&gt;1,"",IF(I3995="SBJ","CB","?"))</f>
        <v> </v>
      </c>
      <c r="I3995" s="25" t="str">
        <f>IF(OR(E3995="",E3995="!!!",F3995="NEW"),"",INDEX(B3994:B$2,-1+SUMPRODUCT(MAX(ROW(E3994:E$2)*(E3995=E3994:E$2)))))</f>
        <v> </v>
      </c>
      <c r="J3995" s="25" t="str">
        <f>IF(OR(E3995="",E3995="!!!",F3995="NEW"),"",COUNTBLANK(OFFSET(A$1,,,SUMPRODUCT(MAX(ROW(E$2:E3995)*(E3995=E$2:E3995)))))-COUNTBLANK(OFFSET(A$1,,,SUMPRODUCT(MAX(ROW(E$1:E3994)*(E2=E$1:E3994))))))</f>
        <v> </v>
      </c>
      <c r="K3995" s="25" t="str">
        <f>IF(OR(E3995="",E3995="!!!",F3995="NEW"),"",INDEX(J$1:J3994,SUMPRODUCT(MAX(ROW(E$1:E3994)*(E3995=E$1:E3994)))))</f>
        <v> </v>
      </c>
      <c r="L3995" s="26"/>
    </row>
    <row r="3996" spans="1:12">
      <c r="A3996" s="20" t="s">
        <v>1800</v>
      </c>
      <c r="E3996" s="21">
        <f>IF(D3996="?OLD","!!!","")</f>
        <v/>
      </c>
      <c r="F3996" s="22" t="str">
        <f>IF(OR(E3996="",E3996="!!!"),"",IF(NOT(ISNA(VLOOKUP(E3996,E$1:E3995,1,FALSE()))),"OLD",IF(AND(E3996&lt;&gt;"",E3996&lt;&gt;"!!!"),"NEW","")))</f>
        <v> </v>
      </c>
      <c r="G3996" s="23" t="str">
        <f>IF(OR(E3996="",E3996="!!!"),"",IF(OR(J3996=0,AND(J3996=1,K3996=1),AND(J3996=1,I3996="SBJ"),AND(J3996=1,I3996=0)),"?IN_FOCUS",IF(J3996&lt;=2,"?ACTIVATED",IF(J3996&lt;&gt;"","?FAMILIAR",IF(F3996="NEW",IF(ISNA(VLOOKUP(E3996,#REF!,1,FALSE())),"?TYPE_IDENTIFIABLE","?REFERENTIAL"),"_")))))</f>
        <v> </v>
      </c>
      <c r="H3996" s="24" t="str">
        <f>IF(J3996&lt;&gt;1,"",IF(I3996="SBJ","CB","?"))</f>
        <v> </v>
      </c>
      <c r="I3996" s="25" t="str">
        <f>IF(OR(E3996="",E3996="!!!",F3996="NEW"),"",INDEX(B3995:B$2,-1+SUMPRODUCT(MAX(ROW(E3995:E$2)*(E3996=E3995:E$2)))))</f>
        <v> </v>
      </c>
      <c r="J3996" s="25" t="str">
        <f>IF(OR(E3996="",E3996="!!!",F3996="NEW"),"",COUNTBLANK(OFFSET(A$1,,,SUMPRODUCT(MAX(ROW(E$2:E3996)*(E3996=E$2:E3996)))))-COUNTBLANK(OFFSET(A$1,,,SUMPRODUCT(MAX(ROW(E$1:E3995)*(E2=E$1:E3995))))))</f>
        <v> </v>
      </c>
      <c r="K3996" s="25" t="str">
        <f>IF(OR(E3996="",E3996="!!!",F3996="NEW"),"",INDEX(J$1:J3995,SUMPRODUCT(MAX(ROW(E$1:E3995)*(E3996=E$1:E3995)))))</f>
        <v> </v>
      </c>
      <c r="L3996" s="26"/>
    </row>
    <row r="3997" spans="1:12">
      <c r="A3997" s="20" t="s">
        <v>826</v>
      </c>
      <c r="E3997" s="21">
        <f>IF(D3997="?OLD","!!!","")</f>
        <v/>
      </c>
      <c r="F3997" s="22" t="str">
        <f>IF(OR(E3997="",E3997="!!!"),"",IF(NOT(ISNA(VLOOKUP(E3997,E$1:E3996,1,FALSE()))),"OLD",IF(AND(E3997&lt;&gt;"",E3997&lt;&gt;"!!!"),"NEW","")))</f>
        <v> </v>
      </c>
      <c r="G3997" s="23" t="str">
        <f>IF(OR(E3997="",E3997="!!!"),"",IF(OR(J3997=0,AND(J3997=1,K3997=1),AND(J3997=1,I3997="SBJ"),AND(J3997=1,I3997=0)),"?IN_FOCUS",IF(J3997&lt;=2,"?ACTIVATED",IF(J3997&lt;&gt;"","?FAMILIAR",IF(F3997="NEW",IF(ISNA(VLOOKUP(E3997,#REF!,1,FALSE())),"?TYPE_IDENTIFIABLE","?REFERENTIAL"),"_")))))</f>
        <v> </v>
      </c>
      <c r="H3997" s="24" t="str">
        <f>IF(J3997&lt;&gt;1,"",IF(I3997="SBJ","CB","?"))</f>
        <v> </v>
      </c>
      <c r="I3997" s="25" t="str">
        <f>IF(OR(E3997="",E3997="!!!",F3997="NEW"),"",INDEX(B3996:B$2,-1+SUMPRODUCT(MAX(ROW(E3996:E$2)*(E3997=E3996:E$2)))))</f>
        <v> </v>
      </c>
      <c r="J3997" s="25" t="str">
        <f>IF(OR(E3997="",E3997="!!!",F3997="NEW"),"",COUNTBLANK(OFFSET(A$1,,,SUMPRODUCT(MAX(ROW(E$2:E3997)*(E3997=E$2:E3997)))))-COUNTBLANK(OFFSET(A$1,,,SUMPRODUCT(MAX(ROW(E$1:E3996)*(E2=E$1:E3996))))))</f>
        <v> </v>
      </c>
      <c r="K3997" s="25" t="str">
        <f>IF(OR(E3997="",E3997="!!!",F3997="NEW"),"",INDEX(J$1:J3996,SUMPRODUCT(MAX(ROW(E$1:E3996)*(E3997=E$1:E3996)))))</f>
        <v> </v>
      </c>
      <c r="L3997" s="26"/>
    </row>
    <row r="3998" spans="1:12">
      <c r="A3998" s="20" t="s">
        <v>2308</v>
      </c>
      <c r="E3998" s="21">
        <f>IF(D3998="?OLD","!!!","")</f>
        <v/>
      </c>
      <c r="F3998" s="22" t="str">
        <f>IF(OR(E3998="",E3998="!!!"),"",IF(NOT(ISNA(VLOOKUP(E3998,E$1:E3997,1,FALSE()))),"OLD",IF(AND(E3998&lt;&gt;"",E3998&lt;&gt;"!!!"),"NEW","")))</f>
        <v> </v>
      </c>
      <c r="G3998" s="23" t="str">
        <f>IF(OR(E3998="",E3998="!!!"),"",IF(OR(J3998=0,AND(J3998=1,K3998=1),AND(J3998=1,I3998="SBJ"),AND(J3998=1,I3998=0)),"?IN_FOCUS",IF(J3998&lt;=2,"?ACTIVATED",IF(J3998&lt;&gt;"","?FAMILIAR",IF(F3998="NEW",IF(ISNA(VLOOKUP(E3998,#REF!,1,FALSE())),"?TYPE_IDENTIFIABLE","?REFERENTIAL"),"_")))))</f>
        <v> </v>
      </c>
      <c r="H3998" s="24" t="str">
        <f>IF(J3998&lt;&gt;1,"",IF(I3998="SBJ","CB","?"))</f>
        <v> </v>
      </c>
      <c r="I3998" s="25" t="str">
        <f>IF(OR(E3998="",E3998="!!!",F3998="NEW"),"",INDEX(B3997:B$2,-1+SUMPRODUCT(MAX(ROW(E3997:E$2)*(E3998=E3997:E$2)))))</f>
        <v> </v>
      </c>
      <c r="J3998" s="25" t="str">
        <f>IF(OR(E3998="",E3998="!!!",F3998="NEW"),"",COUNTBLANK(OFFSET(A$1,,,SUMPRODUCT(MAX(ROW(E$2:E3998)*(E3998=E$2:E3998)))))-COUNTBLANK(OFFSET(A$1,,,SUMPRODUCT(MAX(ROW(E$1:E3997)*(E2=E$1:E3997))))))</f>
        <v> </v>
      </c>
      <c r="K3998" s="25" t="str">
        <f>IF(OR(E3998="",E3998="!!!",F3998="NEW"),"",INDEX(J$1:J3997,SUMPRODUCT(MAX(ROW(E$1:E3997)*(E3998=E$1:E3997)))))</f>
        <v> </v>
      </c>
      <c r="L3998" s="26"/>
    </row>
    <row r="3999" spans="1:12">
      <c r="A3999" s="20" t="s">
        <v>1400</v>
      </c>
      <c r="B3999" s="27" t="s">
        <v>1071</v>
      </c>
      <c r="C3999" s="27" t="s">
        <v>1129</v>
      </c>
      <c r="D3999" s="27" t="s">
        <v>1069</v>
      </c>
      <c r="E3999" s="21">
        <f>IF(D3999="?OLD","!!!","")</f>
        <v/>
      </c>
      <c r="F3999" s="22" t="str">
        <f>IF(OR(E3999="",E3999="!!!"),"",IF(NOT(ISNA(VLOOKUP(E3999,E$1:E3998,1,FALSE()))),"OLD",IF(AND(E3999&lt;&gt;"",E3999&lt;&gt;"!!!"),"NEW","")))</f>
        <v> </v>
      </c>
      <c r="G3999" s="23" t="str">
        <f>IF(OR(E3999="",E3999="!!!"),"",IF(OR(J3999=0,AND(J3999=1,K3999=1),AND(J3999=1,I3999="SBJ"),AND(J3999=1,I3999=0)),"?IN_FOCUS",IF(J3999&lt;=2,"?ACTIVATED",IF(J3999&lt;&gt;"","?FAMILIAR",IF(F3999="NEW",IF(ISNA(VLOOKUP(E3999,#REF!,1,FALSE())),"?TYPE_IDENTIFIABLE","?REFERENTIAL"),"_")))))</f>
        <v> </v>
      </c>
      <c r="H3999" s="24" t="str">
        <f>IF(J3999&lt;&gt;1,"",IF(I3999="SBJ","CB","?"))</f>
        <v> </v>
      </c>
      <c r="I3999" s="25" t="str">
        <f>IF(OR(E3999="",E3999="!!!",F3999="NEW"),"",INDEX(B3998:B$2,-1+SUMPRODUCT(MAX(ROW(E3998:E$2)*(E3999=E3998:E$2)))))</f>
        <v> </v>
      </c>
      <c r="J3999" s="25" t="str">
        <f>IF(OR(E3999="",E3999="!!!",F3999="NEW"),"",COUNTBLANK(OFFSET(A$1,,,SUMPRODUCT(MAX(ROW(E$2:E3999)*(E3999=E$2:E3999)))))-COUNTBLANK(OFFSET(A$1,,,SUMPRODUCT(MAX(ROW(E$1:E3998)*(E2=E$1:E3998))))))</f>
        <v> </v>
      </c>
      <c r="K3999" s="25" t="str">
        <f>IF(OR(E3999="",E3999="!!!",F3999="NEW"),"",INDEX(J$1:J3998,SUMPRODUCT(MAX(ROW(E$1:E3998)*(E3999=E$1:E3998)))))</f>
        <v> </v>
      </c>
      <c r="L3999" s="26"/>
    </row>
    <row r="4000" spans="1:12">
      <c r="A4000" s="20" t="s">
        <v>2309</v>
      </c>
      <c r="B4000" s="27" t="s">
        <v>1074</v>
      </c>
      <c r="C4000" s="27" t="s">
        <v>1131</v>
      </c>
      <c r="D4000" s="27" t="s">
        <v>1069</v>
      </c>
      <c r="E4000" s="21">
        <f>IF(D4000="?OLD","!!!","")</f>
        <v/>
      </c>
      <c r="F4000" s="22" t="str">
        <f>IF(OR(E4000="",E4000="!!!"),"",IF(NOT(ISNA(VLOOKUP(E4000,E$1:E3999,1,FALSE()))),"OLD",IF(AND(E4000&lt;&gt;"",E4000&lt;&gt;"!!!"),"NEW","")))</f>
        <v> </v>
      </c>
      <c r="G4000" s="23" t="str">
        <f>IF(OR(E4000="",E4000="!!!"),"",IF(OR(J4000=0,AND(J4000=1,K4000=1),AND(J4000=1,I4000="SBJ"),AND(J4000=1,I4000=0)),"?IN_FOCUS",IF(J4000&lt;=2,"?ACTIVATED",IF(J4000&lt;&gt;"","?FAMILIAR",IF(F4000="NEW",IF(ISNA(VLOOKUP(E4000,#REF!,1,FALSE())),"?TYPE_IDENTIFIABLE","?REFERENTIAL"),"_")))))</f>
        <v> </v>
      </c>
      <c r="H4000" s="24" t="str">
        <f>IF(J4000&lt;&gt;1,"",IF(I4000="SBJ","CB","?"))</f>
        <v> </v>
      </c>
      <c r="I4000" s="25" t="str">
        <f>IF(OR(E4000="",E4000="!!!",F4000="NEW"),"",INDEX(B3999:B$2,-1+SUMPRODUCT(MAX(ROW(E3999:E$2)*(E4000=E3999:E$2)))))</f>
        <v> </v>
      </c>
      <c r="J4000" s="25" t="str">
        <f>IF(OR(E4000="",E4000="!!!",F4000="NEW"),"",COUNTBLANK(OFFSET(A$1,,,SUMPRODUCT(MAX(ROW(E$2:E4000)*(E4000=E$2:E4000)))))-COUNTBLANK(OFFSET(A$1,,,SUMPRODUCT(MAX(ROW(E$1:E3999)*(E2=E$1:E3999))))))</f>
        <v> </v>
      </c>
      <c r="K4000" s="25" t="str">
        <f>IF(OR(E4000="",E4000="!!!",F4000="NEW"),"",INDEX(J$1:J3999,SUMPRODUCT(MAX(ROW(E$1:E3999)*(E4000=E$1:E3999)))))</f>
        <v> </v>
      </c>
      <c r="L4000" s="26"/>
    </row>
    <row r="4001" spans="1:12">
      <c r="A4001" s="20" t="s">
        <v>1080</v>
      </c>
      <c r="E4001" s="21">
        <f>IF(D4001="?OLD","!!!","")</f>
        <v/>
      </c>
      <c r="F4001" s="22" t="str">
        <f>IF(OR(E4001="",E4001="!!!"),"",IF(NOT(ISNA(VLOOKUP(E4001,E$1:E4000,1,FALSE()))),"OLD",IF(AND(E4001&lt;&gt;"",E4001&lt;&gt;"!!!"),"NEW","")))</f>
        <v> </v>
      </c>
      <c r="G4001" s="23" t="str">
        <f>IF(OR(E4001="",E4001="!!!"),"",IF(OR(J4001=0,AND(J4001=1,K4001=1),AND(J4001=1,I4001="SBJ"),AND(J4001=1,I4001=0)),"?IN_FOCUS",IF(J4001&lt;=2,"?ACTIVATED",IF(J4001&lt;&gt;"","?FAMILIAR",IF(F4001="NEW",IF(ISNA(VLOOKUP(E4001,#REF!,1,FALSE())),"?TYPE_IDENTIFIABLE","?REFERENTIAL"),"_")))))</f>
        <v> </v>
      </c>
      <c r="H4001" s="24" t="str">
        <f>IF(J4001&lt;&gt;1,"",IF(I4001="SBJ","CB","?"))</f>
        <v> </v>
      </c>
      <c r="I4001" s="25" t="str">
        <f>IF(OR(E4001="",E4001="!!!",F4001="NEW"),"",INDEX(B4000:B$2,-1+SUMPRODUCT(MAX(ROW(E4000:E$2)*(E4001=E4000:E$2)))))</f>
        <v> </v>
      </c>
      <c r="J4001" s="25" t="str">
        <f>IF(OR(E4001="",E4001="!!!",F4001="NEW"),"",COUNTBLANK(OFFSET(A$1,,,SUMPRODUCT(MAX(ROW(E$2:E4001)*(E4001=E$2:E4001)))))-COUNTBLANK(OFFSET(A$1,,,SUMPRODUCT(MAX(ROW(E$1:E4000)*(E2=E$1:E4000))))))</f>
        <v> </v>
      </c>
      <c r="K4001" s="25" t="str">
        <f>IF(OR(E4001="",E4001="!!!",F4001="NEW"),"",INDEX(J$1:J4000,SUMPRODUCT(MAX(ROW(E$1:E4000)*(E4001=E$1:E4000)))))</f>
        <v> </v>
      </c>
      <c r="L4001" s="26"/>
    </row>
    <row r="4002" spans="1:12">
      <c r="A4002" s="20"/>
    </row>
    <row r="4003" spans="1:12">
      <c r="A4003" s="20" t="s">
        <v>2310</v>
      </c>
    </row>
    <row r="4004" spans="1:12">
      <c r="A4004" s="20" t="s">
        <v>2258</v>
      </c>
      <c r="E4004" s="21">
        <f>IF(D4004="?OLD","!!!","")</f>
        <v/>
      </c>
      <c r="F4004" s="22" t="str">
        <f>IF(OR(E4004="",E4004="!!!"),"",IF(NOT(ISNA(VLOOKUP(E4004,E$1:E4003,1,FALSE()))),"OLD",IF(AND(E4004&lt;&gt;"",E4004&lt;&gt;"!!!"),"NEW","")))</f>
        <v> </v>
      </c>
      <c r="G4004" s="23" t="str">
        <f>IF(OR(E4004="",E4004="!!!"),"",IF(OR(J4004=0,AND(J4004=1,K4004=1),AND(J4004=1,I4004="SBJ"),AND(J4004=1,I4004=0)),"?IN_FOCUS",IF(J4004&lt;=2,"?ACTIVATED",IF(J4004&lt;&gt;"","?FAMILIAR",IF(F4004="NEW",IF(ISNA(VLOOKUP(E4004,#REF!,1,FALSE())),"?TYPE_IDENTIFIABLE","?REFERENTIAL"),"_")))))</f>
        <v> </v>
      </c>
      <c r="H4004" s="24" t="str">
        <f>IF(J4004&lt;&gt;1,"",IF(I4004="SBJ","CB","?"))</f>
        <v> </v>
      </c>
      <c r="I4004" s="25" t="str">
        <f>IF(OR(E4004="",E4004="!!!",F4004="NEW"),"",INDEX(B4003:B$2,-1+SUMPRODUCT(MAX(ROW(E4003:E$2)*(E4004=E4003:E$2)))))</f>
        <v> </v>
      </c>
      <c r="J4004" s="25" t="str">
        <f>IF(OR(E4004="",E4004="!!!",F4004="NEW"),"",COUNTBLANK(OFFSET(A$1,,,SUMPRODUCT(MAX(ROW(E$2:E4004)*(E4004=E$2:E4004)))))-COUNTBLANK(OFFSET(A$1,,,SUMPRODUCT(MAX(ROW(E$1:E4003)*(E2=E$1:E4003))))))</f>
        <v> </v>
      </c>
      <c r="K4004" s="25" t="str">
        <f>IF(OR(E4004="",E4004="!!!",F4004="NEW"),"",INDEX(J$1:J4003,SUMPRODUCT(MAX(ROW(E$1:E4003)*(E4004=E$1:E4003)))))</f>
        <v> </v>
      </c>
      <c r="L4004" s="26"/>
    </row>
    <row r="4005" spans="1:12">
      <c r="A4005" s="20" t="s">
        <v>1317</v>
      </c>
      <c r="E4005" s="21">
        <f>IF(D4005="?OLD","!!!","")</f>
        <v/>
      </c>
      <c r="F4005" s="22" t="str">
        <f>IF(OR(E4005="",E4005="!!!"),"",IF(NOT(ISNA(VLOOKUP(E4005,E$1:E4004,1,FALSE()))),"OLD",IF(AND(E4005&lt;&gt;"",E4005&lt;&gt;"!!!"),"NEW","")))</f>
        <v> </v>
      </c>
      <c r="G4005" s="23" t="str">
        <f>IF(OR(E4005="",E4005="!!!"),"",IF(OR(J4005=0,AND(J4005=1,K4005=1),AND(J4005=1,I4005="SBJ"),AND(J4005=1,I4005=0)),"?IN_FOCUS",IF(J4005&lt;=2,"?ACTIVATED",IF(J4005&lt;&gt;"","?FAMILIAR",IF(F4005="NEW",IF(ISNA(VLOOKUP(E4005,#REF!,1,FALSE())),"?TYPE_IDENTIFIABLE","?REFERENTIAL"),"_")))))</f>
        <v> </v>
      </c>
      <c r="H4005" s="24" t="str">
        <f>IF(J4005&lt;&gt;1,"",IF(I4005="SBJ","CB","?"))</f>
        <v> </v>
      </c>
      <c r="I4005" s="25" t="str">
        <f>IF(OR(E4005="",E4005="!!!",F4005="NEW"),"",INDEX(B4004:B$2,-1+SUMPRODUCT(MAX(ROW(E4004:E$2)*(E4005=E4004:E$2)))))</f>
        <v> </v>
      </c>
      <c r="J4005" s="25" t="str">
        <f>IF(OR(E4005="",E4005="!!!",F4005="NEW"),"",COUNTBLANK(OFFSET(A$1,,,SUMPRODUCT(MAX(ROW(E$2:E4005)*(E4005=E$2:E4005)))))-COUNTBLANK(OFFSET(A$1,,,SUMPRODUCT(MAX(ROW(E$1:E4004)*(E2=E$1:E4004))))))</f>
        <v> </v>
      </c>
      <c r="K4005" s="25" t="str">
        <f>IF(OR(E4005="",E4005="!!!",F4005="NEW"),"",INDEX(J$1:J4004,SUMPRODUCT(MAX(ROW(E$1:E4004)*(E4005=E$1:E4004)))))</f>
        <v> </v>
      </c>
      <c r="L4005" s="26"/>
    </row>
    <row r="4006" spans="1:12">
      <c r="A4006" s="20" t="s">
        <v>1123</v>
      </c>
      <c r="E4006" s="21">
        <f>IF(D4006="?OLD","!!!","")</f>
        <v/>
      </c>
      <c r="F4006" s="22" t="str">
        <f>IF(OR(E4006="",E4006="!!!"),"",IF(NOT(ISNA(VLOOKUP(E4006,E$1:E4005,1,FALSE()))),"OLD",IF(AND(E4006&lt;&gt;"",E4006&lt;&gt;"!!!"),"NEW","")))</f>
        <v> </v>
      </c>
      <c r="G4006" s="23" t="str">
        <f>IF(OR(E4006="",E4006="!!!"),"",IF(OR(J4006=0,AND(J4006=1,K4006=1),AND(J4006=1,I4006="SBJ"),AND(J4006=1,I4006=0)),"?IN_FOCUS",IF(J4006&lt;=2,"?ACTIVATED",IF(J4006&lt;&gt;"","?FAMILIAR",IF(F4006="NEW",IF(ISNA(VLOOKUP(E4006,#REF!,1,FALSE())),"?TYPE_IDENTIFIABLE","?REFERENTIAL"),"_")))))</f>
        <v> </v>
      </c>
      <c r="H4006" s="24" t="str">
        <f>IF(J4006&lt;&gt;1,"",IF(I4006="SBJ","CB","?"))</f>
        <v> </v>
      </c>
      <c r="I4006" s="25" t="str">
        <f>IF(OR(E4006="",E4006="!!!",F4006="NEW"),"",INDEX(B4005:B$2,-1+SUMPRODUCT(MAX(ROW(E4005:E$2)*(E4006=E4005:E$2)))))</f>
        <v> </v>
      </c>
      <c r="J4006" s="25" t="str">
        <f>IF(OR(E4006="",E4006="!!!",F4006="NEW"),"",COUNTBLANK(OFFSET(A$1,,,SUMPRODUCT(MAX(ROW(E$2:E4006)*(E4006=E$2:E4006)))))-COUNTBLANK(OFFSET(A$1,,,SUMPRODUCT(MAX(ROW(E$1:E4005)*(E2=E$1:E4005))))))</f>
        <v> </v>
      </c>
      <c r="K4006" s="25" t="str">
        <f>IF(OR(E4006="",E4006="!!!",F4006="NEW"),"",INDEX(J$1:J4005,SUMPRODUCT(MAX(ROW(E$1:E4005)*(E4006=E$1:E4005)))))</f>
        <v> </v>
      </c>
      <c r="L4006" s="26"/>
    </row>
    <row r="4007" spans="1:12">
      <c r="A4007" s="20" t="s">
        <v>2308</v>
      </c>
      <c r="E4007" s="21">
        <f>IF(D4007="?OLD","!!!","")</f>
        <v/>
      </c>
      <c r="F4007" s="22" t="str">
        <f>IF(OR(E4007="",E4007="!!!"),"",IF(NOT(ISNA(VLOOKUP(E4007,E$1:E4006,1,FALSE()))),"OLD",IF(AND(E4007&lt;&gt;"",E4007&lt;&gt;"!!!"),"NEW","")))</f>
        <v> </v>
      </c>
      <c r="G4007" s="23" t="str">
        <f>IF(OR(E4007="",E4007="!!!"),"",IF(OR(J4007=0,AND(J4007=1,K4007=1),AND(J4007=1,I4007="SBJ"),AND(J4007=1,I4007=0)),"?IN_FOCUS",IF(J4007&lt;=2,"?ACTIVATED",IF(J4007&lt;&gt;"","?FAMILIAR",IF(F4007="NEW",IF(ISNA(VLOOKUP(E4007,#REF!,1,FALSE())),"?TYPE_IDENTIFIABLE","?REFERENTIAL"),"_")))))</f>
        <v> </v>
      </c>
      <c r="H4007" s="24" t="str">
        <f>IF(J4007&lt;&gt;1,"",IF(I4007="SBJ","CB","?"))</f>
        <v> </v>
      </c>
      <c r="I4007" s="25" t="str">
        <f>IF(OR(E4007="",E4007="!!!",F4007="NEW"),"",INDEX(B4006:B$2,-1+SUMPRODUCT(MAX(ROW(E4006:E$2)*(E4007=E4006:E$2)))))</f>
        <v> </v>
      </c>
      <c r="J4007" s="25" t="str">
        <f>IF(OR(E4007="",E4007="!!!",F4007="NEW"),"",COUNTBLANK(OFFSET(A$1,,,SUMPRODUCT(MAX(ROW(E$2:E4007)*(E4007=E$2:E4007)))))-COUNTBLANK(OFFSET(A$1,,,SUMPRODUCT(MAX(ROW(E$1:E4006)*(E2=E$1:E4006))))))</f>
        <v> </v>
      </c>
      <c r="K4007" s="25" t="str">
        <f>IF(OR(E4007="",E4007="!!!",F4007="NEW"),"",INDEX(J$1:J4006,SUMPRODUCT(MAX(ROW(E$1:E4006)*(E4007=E$1:E4006)))))</f>
        <v> </v>
      </c>
      <c r="L4007" s="26"/>
    </row>
    <row r="4008" spans="1:12">
      <c r="A4008" s="20" t="s">
        <v>1197</v>
      </c>
      <c r="B4008" s="27" t="s">
        <v>1067</v>
      </c>
      <c r="C4008" s="27" t="s">
        <v>1068</v>
      </c>
      <c r="D4008" s="27" t="s">
        <v>1069</v>
      </c>
      <c r="E4008" s="21">
        <f>IF(D4008="?OLD","!!!","")</f>
        <v/>
      </c>
      <c r="F4008" s="22" t="str">
        <f>IF(OR(E4008="",E4008="!!!"),"",IF(NOT(ISNA(VLOOKUP(E4008,E$1:E4007,1,FALSE()))),"OLD",IF(AND(E4008&lt;&gt;"",E4008&lt;&gt;"!!!"),"NEW","")))</f>
        <v> </v>
      </c>
      <c r="G4008" s="23" t="str">
        <f>IF(OR(E4008="",E4008="!!!"),"",IF(OR(J4008=0,AND(J4008=1,K4008=1),AND(J4008=1,I4008="SBJ"),AND(J4008=1,I4008=0)),"?IN_FOCUS",IF(J4008&lt;=2,"?ACTIVATED",IF(J4008&lt;&gt;"","?FAMILIAR",IF(F4008="NEW",IF(ISNA(VLOOKUP(E4008,#REF!,1,FALSE())),"?TYPE_IDENTIFIABLE","?REFERENTIAL"),"_")))))</f>
        <v> </v>
      </c>
      <c r="H4008" s="24" t="str">
        <f>IF(J4008&lt;&gt;1,"",IF(I4008="SBJ","CB","?"))</f>
        <v> </v>
      </c>
      <c r="I4008" s="25" t="str">
        <f>IF(OR(E4008="",E4008="!!!",F4008="NEW"),"",INDEX(B4007:B$2,-1+SUMPRODUCT(MAX(ROW(E4007:E$2)*(E4008=E4007:E$2)))))</f>
        <v> </v>
      </c>
      <c r="J4008" s="25" t="str">
        <f>IF(OR(E4008="",E4008="!!!",F4008="NEW"),"",COUNTBLANK(OFFSET(A$1,,,SUMPRODUCT(MAX(ROW(E$2:E4008)*(E4008=E$2:E4008)))))-COUNTBLANK(OFFSET(A$1,,,SUMPRODUCT(MAX(ROW(E$1:E4007)*(E2=E$1:E4007))))))</f>
        <v> </v>
      </c>
      <c r="K4008" s="25" t="str">
        <f>IF(OR(E4008="",E4008="!!!",F4008="NEW"),"",INDEX(J$1:J4007,SUMPRODUCT(MAX(ROW(E$1:E4007)*(E4008=E$1:E4007)))))</f>
        <v> </v>
      </c>
      <c r="L4008" s="26"/>
    </row>
    <row r="4009" spans="1:12">
      <c r="A4009" s="20" t="s">
        <v>1246</v>
      </c>
      <c r="E4009" s="21">
        <f>IF(D4009="?OLD","!!!","")</f>
        <v/>
      </c>
      <c r="F4009" s="22" t="str">
        <f>IF(OR(E4009="",E4009="!!!"),"",IF(NOT(ISNA(VLOOKUP(E4009,E$1:E4008,1,FALSE()))),"OLD",IF(AND(E4009&lt;&gt;"",E4009&lt;&gt;"!!!"),"NEW","")))</f>
        <v> </v>
      </c>
      <c r="G4009" s="23" t="str">
        <f>IF(OR(E4009="",E4009="!!!"),"",IF(OR(J4009=0,AND(J4009=1,K4009=1),AND(J4009=1,I4009="SBJ"),AND(J4009=1,I4009=0)),"?IN_FOCUS",IF(J4009&lt;=2,"?ACTIVATED",IF(J4009&lt;&gt;"","?FAMILIAR",IF(F4009="NEW",IF(ISNA(VLOOKUP(E4009,#REF!,1,FALSE())),"?TYPE_IDENTIFIABLE","?REFERENTIAL"),"_")))))</f>
        <v> </v>
      </c>
      <c r="H4009" s="24" t="str">
        <f>IF(J4009&lt;&gt;1,"",IF(I4009="SBJ","CB","?"))</f>
        <v> </v>
      </c>
      <c r="I4009" s="25" t="str">
        <f>IF(OR(E4009="",E4009="!!!",F4009="NEW"),"",INDEX(B4008:B$2,-1+SUMPRODUCT(MAX(ROW(E4008:E$2)*(E4009=E4008:E$2)))))</f>
        <v> </v>
      </c>
      <c r="J4009" s="25" t="str">
        <f>IF(OR(E4009="",E4009="!!!",F4009="NEW"),"",COUNTBLANK(OFFSET(A$1,,,SUMPRODUCT(MAX(ROW(E$2:E4009)*(E4009=E$2:E4009)))))-COUNTBLANK(OFFSET(A$1,,,SUMPRODUCT(MAX(ROW(E$1:E4008)*(E2=E$1:E4008))))))</f>
        <v> </v>
      </c>
      <c r="K4009" s="25" t="str">
        <f>IF(OR(E4009="",E4009="!!!",F4009="NEW"),"",INDEX(J$1:J4008,SUMPRODUCT(MAX(ROW(E$1:E4008)*(E4009=E$1:E4008)))))</f>
        <v> </v>
      </c>
      <c r="L4009" s="26"/>
    </row>
    <row r="4010" spans="1:12">
      <c r="A4010" s="20" t="s">
        <v>2311</v>
      </c>
      <c r="E4010" s="21">
        <f>IF(D4010="?OLD","!!!","")</f>
        <v/>
      </c>
      <c r="F4010" s="22" t="str">
        <f>IF(OR(E4010="",E4010="!!!"),"",IF(NOT(ISNA(VLOOKUP(E4010,E$1:E4009,1,FALSE()))),"OLD",IF(AND(E4010&lt;&gt;"",E4010&lt;&gt;"!!!"),"NEW","")))</f>
        <v> </v>
      </c>
      <c r="G4010" s="23" t="str">
        <f>IF(OR(E4010="",E4010="!!!"),"",IF(OR(J4010=0,AND(J4010=1,K4010=1),AND(J4010=1,I4010="SBJ"),AND(J4010=1,I4010=0)),"?IN_FOCUS",IF(J4010&lt;=2,"?ACTIVATED",IF(J4010&lt;&gt;"","?FAMILIAR",IF(F4010="NEW",IF(ISNA(VLOOKUP(E4010,#REF!,1,FALSE())),"?TYPE_IDENTIFIABLE","?REFERENTIAL"),"_")))))</f>
        <v> </v>
      </c>
      <c r="H4010" s="24" t="str">
        <f>IF(J4010&lt;&gt;1,"",IF(I4010="SBJ","CB","?"))</f>
        <v> </v>
      </c>
      <c r="I4010" s="25" t="str">
        <f>IF(OR(E4010="",E4010="!!!",F4010="NEW"),"",INDEX(B4009:B$2,-1+SUMPRODUCT(MAX(ROW(E4009:E$2)*(E4010=E4009:E$2)))))</f>
        <v> </v>
      </c>
      <c r="J4010" s="25" t="str">
        <f>IF(OR(E4010="",E4010="!!!",F4010="NEW"),"",COUNTBLANK(OFFSET(A$1,,,SUMPRODUCT(MAX(ROW(E$2:E4010)*(E4010=E$2:E4010)))))-COUNTBLANK(OFFSET(A$1,,,SUMPRODUCT(MAX(ROW(E$1:E4009)*(E2=E$1:E4009))))))</f>
        <v> </v>
      </c>
      <c r="K4010" s="25" t="str">
        <f>IF(OR(E4010="",E4010="!!!",F4010="NEW"),"",INDEX(J$1:J4009,SUMPRODUCT(MAX(ROW(E$1:E4009)*(E4010=E$1:E4009)))))</f>
        <v> </v>
      </c>
      <c r="L4010" s="26"/>
    </row>
    <row r="4011" spans="1:12">
      <c r="A4011" s="20" t="s">
        <v>1130</v>
      </c>
      <c r="B4011" s="27" t="s">
        <v>1074</v>
      </c>
      <c r="C4011" s="27" t="s">
        <v>1152</v>
      </c>
      <c r="D4011" s="27" t="s">
        <v>1069</v>
      </c>
      <c r="E4011" s="21">
        <f>IF(D4011="?OLD","!!!","")</f>
        <v/>
      </c>
      <c r="F4011" s="22" t="str">
        <f>IF(OR(E4011="",E4011="!!!"),"",IF(NOT(ISNA(VLOOKUP(E4011,E$1:E4010,1,FALSE()))),"OLD",IF(AND(E4011&lt;&gt;"",E4011&lt;&gt;"!!!"),"NEW","")))</f>
        <v> </v>
      </c>
      <c r="G4011" s="23" t="str">
        <f>IF(OR(E4011="",E4011="!!!"),"",IF(OR(J4011=0,AND(J4011=1,K4011=1),AND(J4011=1,I4011="SBJ"),AND(J4011=1,I4011=0)),"?IN_FOCUS",IF(J4011&lt;=2,"?ACTIVATED",IF(J4011&lt;&gt;"","?FAMILIAR",IF(F4011="NEW",IF(ISNA(VLOOKUP(E4011,#REF!,1,FALSE())),"?TYPE_IDENTIFIABLE","?REFERENTIAL"),"_")))))</f>
        <v> </v>
      </c>
      <c r="H4011" s="24" t="str">
        <f>IF(J4011&lt;&gt;1,"",IF(I4011="SBJ","CB","?"))</f>
        <v> </v>
      </c>
      <c r="I4011" s="25" t="str">
        <f>IF(OR(E4011="",E4011="!!!",F4011="NEW"),"",INDEX(B4010:B$2,-1+SUMPRODUCT(MAX(ROW(E4010:E$2)*(E4011=E4010:E$2)))))</f>
        <v> </v>
      </c>
      <c r="J4011" s="25" t="str">
        <f>IF(OR(E4011="",E4011="!!!",F4011="NEW"),"",COUNTBLANK(OFFSET(A$1,,,SUMPRODUCT(MAX(ROW(E$2:E4011)*(E4011=E$2:E4011)))))-COUNTBLANK(OFFSET(A$1,,,SUMPRODUCT(MAX(ROW(E$1:E4010)*(E2=E$1:E4010))))))</f>
        <v> </v>
      </c>
      <c r="K4011" s="25" t="str">
        <f>IF(OR(E4011="",E4011="!!!",F4011="NEW"),"",INDEX(J$1:J4010,SUMPRODUCT(MAX(ROW(E$1:E4010)*(E4011=E$1:E4010)))))</f>
        <v> </v>
      </c>
      <c r="L4011" s="26"/>
    </row>
    <row r="4012" spans="1:12">
      <c r="A4012" s="20" t="s">
        <v>1421</v>
      </c>
      <c r="B4012" s="27" t="s">
        <v>1092</v>
      </c>
      <c r="C4012" s="27" t="s">
        <v>1129</v>
      </c>
      <c r="D4012" s="27" t="s">
        <v>1069</v>
      </c>
      <c r="E4012" s="21">
        <f>IF(D4012="?OLD","!!!","")</f>
        <v/>
      </c>
      <c r="F4012" s="22" t="str">
        <f>IF(OR(E4012="",E4012="!!!"),"",IF(NOT(ISNA(VLOOKUP(E4012,E$1:E4011,1,FALSE()))),"OLD",IF(AND(E4012&lt;&gt;"",E4012&lt;&gt;"!!!"),"NEW","")))</f>
        <v> </v>
      </c>
      <c r="G4012" s="23" t="str">
        <f>IF(OR(E4012="",E4012="!!!"),"",IF(OR(J4012=0,AND(J4012=1,K4012=1),AND(J4012=1,I4012="SBJ"),AND(J4012=1,I4012=0)),"?IN_FOCUS",IF(J4012&lt;=2,"?ACTIVATED",IF(J4012&lt;&gt;"","?FAMILIAR",IF(F4012="NEW",IF(ISNA(VLOOKUP(E4012,#REF!,1,FALSE())),"?TYPE_IDENTIFIABLE","?REFERENTIAL"),"_")))))</f>
        <v> </v>
      </c>
      <c r="H4012" s="24" t="str">
        <f>IF(J4012&lt;&gt;1,"",IF(I4012="SBJ","CB","?"))</f>
        <v> </v>
      </c>
      <c r="I4012" s="25" t="str">
        <f>IF(OR(E4012="",E4012="!!!",F4012="NEW"),"",INDEX(B4011:B$2,-1+SUMPRODUCT(MAX(ROW(E4011:E$2)*(E4012=E4011:E$2)))))</f>
        <v> </v>
      </c>
      <c r="J4012" s="25" t="str">
        <f>IF(OR(E4012="",E4012="!!!",F4012="NEW"),"",COUNTBLANK(OFFSET(A$1,,,SUMPRODUCT(MAX(ROW(E$2:E4012)*(E4012=E$2:E4012)))))-COUNTBLANK(OFFSET(A$1,,,SUMPRODUCT(MAX(ROW(E$1:E4011)*(E2=E$1:E4011))))))</f>
        <v> </v>
      </c>
      <c r="K4012" s="25" t="str">
        <f>IF(OR(E4012="",E4012="!!!",F4012="NEW"),"",INDEX(J$1:J4011,SUMPRODUCT(MAX(ROW(E$1:E4011)*(E4012=E$1:E4011)))))</f>
        <v> </v>
      </c>
      <c r="L4012" s="26"/>
    </row>
    <row r="4013" spans="1:12">
      <c r="A4013" s="20" t="s">
        <v>1248</v>
      </c>
      <c r="B4013" s="27" t="s">
        <v>1071</v>
      </c>
      <c r="C4013" s="27" t="s">
        <v>1131</v>
      </c>
      <c r="D4013" s="27" t="s">
        <v>1069</v>
      </c>
      <c r="E4013" s="21">
        <f>IF(D4013="?OLD","!!!","")</f>
        <v/>
      </c>
      <c r="F4013" s="22" t="str">
        <f>IF(OR(E4013="",E4013="!!!"),"",IF(NOT(ISNA(VLOOKUP(E4013,E$1:E4012,1,FALSE()))),"OLD",IF(AND(E4013&lt;&gt;"",E4013&lt;&gt;"!!!"),"NEW","")))</f>
        <v> </v>
      </c>
      <c r="G4013" s="23" t="str">
        <f>IF(OR(E4013="",E4013="!!!"),"",IF(OR(J4013=0,AND(J4013=1,K4013=1),AND(J4013=1,I4013="SBJ"),AND(J4013=1,I4013=0)),"?IN_FOCUS",IF(J4013&lt;=2,"?ACTIVATED",IF(J4013&lt;&gt;"","?FAMILIAR",IF(F4013="NEW",IF(ISNA(VLOOKUP(E4013,#REF!,1,FALSE())),"?TYPE_IDENTIFIABLE","?REFERENTIAL"),"_")))))</f>
        <v> </v>
      </c>
      <c r="H4013" s="24" t="str">
        <f>IF(J4013&lt;&gt;1,"",IF(I4013="SBJ","CB","?"))</f>
        <v> </v>
      </c>
      <c r="I4013" s="25" t="str">
        <f>IF(OR(E4013="",E4013="!!!",F4013="NEW"),"",INDEX(B4012:B$2,-1+SUMPRODUCT(MAX(ROW(E4012:E$2)*(E4013=E4012:E$2)))))</f>
        <v> </v>
      </c>
      <c r="J4013" s="25" t="str">
        <f>IF(OR(E4013="",E4013="!!!",F4013="NEW"),"",COUNTBLANK(OFFSET(A$1,,,SUMPRODUCT(MAX(ROW(E$2:E4013)*(E4013=E$2:E4013)))))-COUNTBLANK(OFFSET(A$1,,,SUMPRODUCT(MAX(ROW(E$1:E4012)*(E2=E$1:E4012))))))</f>
        <v> </v>
      </c>
      <c r="K4013" s="25" t="str">
        <f>IF(OR(E4013="",E4013="!!!",F4013="NEW"),"",INDEX(J$1:J4012,SUMPRODUCT(MAX(ROW(E$1:E4012)*(E4013=E$1:E4012)))))</f>
        <v> </v>
      </c>
      <c r="L4013" s="26"/>
    </row>
    <row r="4014" spans="1:12">
      <c r="A4014" s="20" t="s">
        <v>1075</v>
      </c>
      <c r="E4014" s="21">
        <f>IF(D4014="?OLD","!!!","")</f>
        <v/>
      </c>
      <c r="F4014" s="22" t="str">
        <f>IF(OR(E4014="",E4014="!!!"),"",IF(NOT(ISNA(VLOOKUP(E4014,E$1:E4013,1,FALSE()))),"OLD",IF(AND(E4014&lt;&gt;"",E4014&lt;&gt;"!!!"),"NEW","")))</f>
        <v> </v>
      </c>
      <c r="G4014" s="23" t="str">
        <f>IF(OR(E4014="",E4014="!!!"),"",IF(OR(J4014=0,AND(J4014=1,K4014=1),AND(J4014=1,I4014="SBJ"),AND(J4014=1,I4014=0)),"?IN_FOCUS",IF(J4014&lt;=2,"?ACTIVATED",IF(J4014&lt;&gt;"","?FAMILIAR",IF(F4014="NEW",IF(ISNA(VLOOKUP(E4014,#REF!,1,FALSE())),"?TYPE_IDENTIFIABLE","?REFERENTIAL"),"_")))))</f>
        <v> </v>
      </c>
      <c r="H4014" s="24" t="str">
        <f>IF(J4014&lt;&gt;1,"",IF(I4014="SBJ","CB","?"))</f>
        <v> </v>
      </c>
      <c r="I4014" s="25" t="str">
        <f>IF(OR(E4014="",E4014="!!!",F4014="NEW"),"",INDEX(B4013:B$2,-1+SUMPRODUCT(MAX(ROW(E4013:E$2)*(E4014=E4013:E$2)))))</f>
        <v> </v>
      </c>
      <c r="J4014" s="25" t="str">
        <f>IF(OR(E4014="",E4014="!!!",F4014="NEW"),"",COUNTBLANK(OFFSET(A$1,,,SUMPRODUCT(MAX(ROW(E$2:E4014)*(E4014=E$2:E4014)))))-COUNTBLANK(OFFSET(A$1,,,SUMPRODUCT(MAX(ROW(E$1:E4013)*(E2=E$1:E4013))))))</f>
        <v> </v>
      </c>
      <c r="K4014" s="25" t="str">
        <f>IF(OR(E4014="",E4014="!!!",F4014="NEW"),"",INDEX(J$1:J4013,SUMPRODUCT(MAX(ROW(E$1:E4013)*(E4014=E$1:E4013)))))</f>
        <v> </v>
      </c>
      <c r="L4014" s="26"/>
    </row>
    <row r="4015" spans="1:12">
      <c r="A4015" s="20" t="s">
        <v>1128</v>
      </c>
      <c r="B4015" s="27" t="s">
        <v>1071</v>
      </c>
      <c r="C4015" s="27" t="s">
        <v>1129</v>
      </c>
      <c r="D4015" s="27" t="s">
        <v>1069</v>
      </c>
      <c r="E4015" s="21">
        <f>IF(D4015="?OLD","!!!","")</f>
        <v/>
      </c>
      <c r="F4015" s="22" t="str">
        <f>IF(OR(E4015="",E4015="!!!"),"",IF(NOT(ISNA(VLOOKUP(E4015,E$1:E4014,1,FALSE()))),"OLD",IF(AND(E4015&lt;&gt;"",E4015&lt;&gt;"!!!"),"NEW","")))</f>
        <v> </v>
      </c>
      <c r="G4015" s="23" t="str">
        <f>IF(OR(E4015="",E4015="!!!"),"",IF(OR(J4015=0,AND(J4015=1,K4015=1),AND(J4015=1,I4015="SBJ"),AND(J4015=1,I4015=0)),"?IN_FOCUS",IF(J4015&lt;=2,"?ACTIVATED",IF(J4015&lt;&gt;"","?FAMILIAR",IF(F4015="NEW",IF(ISNA(VLOOKUP(E4015,#REF!,1,FALSE())),"?TYPE_IDENTIFIABLE","?REFERENTIAL"),"_")))))</f>
        <v> </v>
      </c>
      <c r="H4015" s="24" t="str">
        <f>IF(J4015&lt;&gt;1,"",IF(I4015="SBJ","CB","?"))</f>
        <v> </v>
      </c>
      <c r="I4015" s="25" t="str">
        <f>IF(OR(E4015="",E4015="!!!",F4015="NEW"),"",INDEX(B4014:B$2,-1+SUMPRODUCT(MAX(ROW(E4014:E$2)*(E4015=E4014:E$2)))))</f>
        <v> </v>
      </c>
      <c r="J4015" s="25" t="str">
        <f>IF(OR(E4015="",E4015="!!!",F4015="NEW"),"",COUNTBLANK(OFFSET(A$1,,,SUMPRODUCT(MAX(ROW(E$2:E4015)*(E4015=E$2:E4015)))))-COUNTBLANK(OFFSET(A$1,,,SUMPRODUCT(MAX(ROW(E$1:E4014)*(E2=E$1:E4014))))))</f>
        <v> </v>
      </c>
      <c r="K4015" s="25" t="str">
        <f>IF(OR(E4015="",E4015="!!!",F4015="NEW"),"",INDEX(J$1:J4014,SUMPRODUCT(MAX(ROW(E$1:E4014)*(E4015=E$1:E4014)))))</f>
        <v> </v>
      </c>
      <c r="L4015" s="26"/>
    </row>
    <row r="4016" spans="1:12">
      <c r="A4016" s="20" t="s">
        <v>1927</v>
      </c>
      <c r="B4016" s="27" t="s">
        <v>1074</v>
      </c>
      <c r="C4016" s="27" t="s">
        <v>1131</v>
      </c>
      <c r="D4016" s="27" t="s">
        <v>1069</v>
      </c>
      <c r="E4016" s="21">
        <f>IF(D4016="?OLD","!!!","")</f>
        <v/>
      </c>
      <c r="F4016" s="22" t="str">
        <f>IF(OR(E4016="",E4016="!!!"),"",IF(NOT(ISNA(VLOOKUP(E4016,E$1:E4015,1,FALSE()))),"OLD",IF(AND(E4016&lt;&gt;"",E4016&lt;&gt;"!!!"),"NEW","")))</f>
        <v> </v>
      </c>
      <c r="G4016" s="23" t="str">
        <f>IF(OR(E4016="",E4016="!!!"),"",IF(OR(J4016=0,AND(J4016=1,K4016=1),AND(J4016=1,I4016="SBJ"),AND(J4016=1,I4016=0)),"?IN_FOCUS",IF(J4016&lt;=2,"?ACTIVATED",IF(J4016&lt;&gt;"","?FAMILIAR",IF(F4016="NEW",IF(ISNA(VLOOKUP(E4016,#REF!,1,FALSE())),"?TYPE_IDENTIFIABLE","?REFERENTIAL"),"_")))))</f>
        <v> </v>
      </c>
      <c r="H4016" s="24" t="str">
        <f>IF(J4016&lt;&gt;1,"",IF(I4016="SBJ","CB","?"))</f>
        <v> </v>
      </c>
      <c r="I4016" s="25" t="str">
        <f>IF(OR(E4016="",E4016="!!!",F4016="NEW"),"",INDEX(B4015:B$2,-1+SUMPRODUCT(MAX(ROW(E4015:E$2)*(E4016=E4015:E$2)))))</f>
        <v> </v>
      </c>
      <c r="J4016" s="25" t="str">
        <f>IF(OR(E4016="",E4016="!!!",F4016="NEW"),"",COUNTBLANK(OFFSET(A$1,,,SUMPRODUCT(MAX(ROW(E$2:E4016)*(E4016=E$2:E4016)))))-COUNTBLANK(OFFSET(A$1,,,SUMPRODUCT(MAX(ROW(E$1:E4015)*(E2=E$1:E4015))))))</f>
        <v> </v>
      </c>
      <c r="K4016" s="25" t="str">
        <f>IF(OR(E4016="",E4016="!!!",F4016="NEW"),"",INDEX(J$1:J4015,SUMPRODUCT(MAX(ROW(E$1:E4015)*(E4016=E$1:E4015)))))</f>
        <v> </v>
      </c>
      <c r="L4016" s="26"/>
    </row>
    <row r="4017" spans="1:12">
      <c r="A4017" s="20" t="s">
        <v>2312</v>
      </c>
      <c r="E4017" s="21">
        <f>IF(D4017="?OLD","!!!","")</f>
        <v/>
      </c>
      <c r="F4017" s="22" t="str">
        <f>IF(OR(E4017="",E4017="!!!"),"",IF(NOT(ISNA(VLOOKUP(E4017,E$1:E4016,1,FALSE()))),"OLD",IF(AND(E4017&lt;&gt;"",E4017&lt;&gt;"!!!"),"NEW","")))</f>
        <v> </v>
      </c>
      <c r="G4017" s="23" t="str">
        <f>IF(OR(E4017="",E4017="!!!"),"",IF(OR(J4017=0,AND(J4017=1,K4017=1),AND(J4017=1,I4017="SBJ"),AND(J4017=1,I4017=0)),"?IN_FOCUS",IF(J4017&lt;=2,"?ACTIVATED",IF(J4017&lt;&gt;"","?FAMILIAR",IF(F4017="NEW",IF(ISNA(VLOOKUP(E4017,#REF!,1,FALSE())),"?TYPE_IDENTIFIABLE","?REFERENTIAL"),"_")))))</f>
        <v> </v>
      </c>
      <c r="H4017" s="24" t="str">
        <f>IF(J4017&lt;&gt;1,"",IF(I4017="SBJ","CB","?"))</f>
        <v> </v>
      </c>
      <c r="I4017" s="25" t="str">
        <f>IF(OR(E4017="",E4017="!!!",F4017="NEW"),"",INDEX(B4016:B$2,-1+SUMPRODUCT(MAX(ROW(E4016:E$2)*(E4017=E4016:E$2)))))</f>
        <v> </v>
      </c>
      <c r="J4017" s="25" t="str">
        <f>IF(OR(E4017="",E4017="!!!",F4017="NEW"),"",COUNTBLANK(OFFSET(A$1,,,SUMPRODUCT(MAX(ROW(E$2:E4017)*(E4017=E$2:E4017)))))-COUNTBLANK(OFFSET(A$1,,,SUMPRODUCT(MAX(ROW(E$1:E4016)*(E2=E$1:E4016))))))</f>
        <v> </v>
      </c>
      <c r="K4017" s="25" t="str">
        <f>IF(OR(E4017="",E4017="!!!",F4017="NEW"),"",INDEX(J$1:J4016,SUMPRODUCT(MAX(ROW(E$1:E4016)*(E4017=E$1:E4016)))))</f>
        <v> </v>
      </c>
      <c r="L4017" s="26"/>
    </row>
    <row r="4018" spans="1:12">
      <c r="A4018" s="20" t="s">
        <v>157</v>
      </c>
      <c r="E4018" s="21">
        <f>IF(D4018="?OLD","!!!","")</f>
        <v/>
      </c>
      <c r="F4018" s="22" t="str">
        <f>IF(OR(E4018="",E4018="!!!"),"",IF(NOT(ISNA(VLOOKUP(E4018,E$1:E4017,1,FALSE()))),"OLD",IF(AND(E4018&lt;&gt;"",E4018&lt;&gt;"!!!"),"NEW","")))</f>
        <v> </v>
      </c>
      <c r="G4018" s="23" t="str">
        <f>IF(OR(E4018="",E4018="!!!"),"",IF(OR(J4018=0,AND(J4018=1,K4018=1),AND(J4018=1,I4018="SBJ"),AND(J4018=1,I4018=0)),"?IN_FOCUS",IF(J4018&lt;=2,"?ACTIVATED",IF(J4018&lt;&gt;"","?FAMILIAR",IF(F4018="NEW",IF(ISNA(VLOOKUP(E4018,#REF!,1,FALSE())),"?TYPE_IDENTIFIABLE","?REFERENTIAL"),"_")))))</f>
        <v> </v>
      </c>
      <c r="H4018" s="24" t="str">
        <f>IF(J4018&lt;&gt;1,"",IF(I4018="SBJ","CB","?"))</f>
        <v> </v>
      </c>
      <c r="I4018" s="25" t="str">
        <f>IF(OR(E4018="",E4018="!!!",F4018="NEW"),"",INDEX(B4017:B$2,-1+SUMPRODUCT(MAX(ROW(E4017:E$2)*(E4018=E4017:E$2)))))</f>
        <v> </v>
      </c>
      <c r="J4018" s="25" t="str">
        <f>IF(OR(E4018="",E4018="!!!",F4018="NEW"),"",COUNTBLANK(OFFSET(A$1,,,SUMPRODUCT(MAX(ROW(E$2:E4018)*(E4018=E$2:E4018)))))-COUNTBLANK(OFFSET(A$1,,,SUMPRODUCT(MAX(ROW(E$1:E4017)*(E2=E$1:E4017))))))</f>
        <v> </v>
      </c>
      <c r="K4018" s="25" t="str">
        <f>IF(OR(E4018="",E4018="!!!",F4018="NEW"),"",INDEX(J$1:J4017,SUMPRODUCT(MAX(ROW(E$1:E4017)*(E4018=E$1:E4017)))))</f>
        <v> </v>
      </c>
      <c r="L4018" s="26"/>
    </row>
    <row r="4019" spans="1:12">
      <c r="A4019" s="20" t="s">
        <v>1087</v>
      </c>
      <c r="E4019" s="21">
        <f>IF(D4019="?OLD","!!!","")</f>
        <v/>
      </c>
      <c r="F4019" s="22" t="str">
        <f>IF(OR(E4019="",E4019="!!!"),"",IF(NOT(ISNA(VLOOKUP(E4019,E$1:E4018,1,FALSE()))),"OLD",IF(AND(E4019&lt;&gt;"",E4019&lt;&gt;"!!!"),"NEW","")))</f>
        <v> </v>
      </c>
      <c r="G4019" s="23" t="str">
        <f>IF(OR(E4019="",E4019="!!!"),"",IF(OR(J4019=0,AND(J4019=1,K4019=1),AND(J4019=1,I4019="SBJ"),AND(J4019=1,I4019=0)),"?IN_FOCUS",IF(J4019&lt;=2,"?ACTIVATED",IF(J4019&lt;&gt;"","?FAMILIAR",IF(F4019="NEW",IF(ISNA(VLOOKUP(E4019,#REF!,1,FALSE())),"?TYPE_IDENTIFIABLE","?REFERENTIAL"),"_")))))</f>
        <v> </v>
      </c>
      <c r="H4019" s="24" t="str">
        <f>IF(J4019&lt;&gt;1,"",IF(I4019="SBJ","CB","?"))</f>
        <v> </v>
      </c>
      <c r="I4019" s="25" t="str">
        <f>IF(OR(E4019="",E4019="!!!",F4019="NEW"),"",INDEX(B4018:B$2,-1+SUMPRODUCT(MAX(ROW(E4018:E$2)*(E4019=E4018:E$2)))))</f>
        <v> </v>
      </c>
      <c r="J4019" s="25" t="str">
        <f>IF(OR(E4019="",E4019="!!!",F4019="NEW"),"",COUNTBLANK(OFFSET(A$1,,,SUMPRODUCT(MAX(ROW(E$2:E4019)*(E4019=E$2:E4019)))))-COUNTBLANK(OFFSET(A$1,,,SUMPRODUCT(MAX(ROW(E$1:E4018)*(E2=E$1:E4018))))))</f>
        <v> </v>
      </c>
      <c r="K4019" s="25" t="str">
        <f>IF(OR(E4019="",E4019="!!!",F4019="NEW"),"",INDEX(J$1:J4018,SUMPRODUCT(MAX(ROW(E$1:E4018)*(E4019=E$1:E4018)))))</f>
        <v> </v>
      </c>
      <c r="L4019" s="26"/>
    </row>
    <row r="4020" spans="1:12">
      <c r="A4020" s="20" t="s">
        <v>1296</v>
      </c>
      <c r="E4020" s="21">
        <f>IF(D4020="?OLD","!!!","")</f>
        <v/>
      </c>
      <c r="F4020" s="22" t="str">
        <f>IF(OR(E4020="",E4020="!!!"),"",IF(NOT(ISNA(VLOOKUP(E4020,E$1:E4019,1,FALSE()))),"OLD",IF(AND(E4020&lt;&gt;"",E4020&lt;&gt;"!!!"),"NEW","")))</f>
        <v> </v>
      </c>
      <c r="G4020" s="23" t="str">
        <f>IF(OR(E4020="",E4020="!!!"),"",IF(OR(J4020=0,AND(J4020=1,K4020=1),AND(J4020=1,I4020="SBJ"),AND(J4020=1,I4020=0)),"?IN_FOCUS",IF(J4020&lt;=2,"?ACTIVATED",IF(J4020&lt;&gt;"","?FAMILIAR",IF(F4020="NEW",IF(ISNA(VLOOKUP(E4020,#REF!,1,FALSE())),"?TYPE_IDENTIFIABLE","?REFERENTIAL"),"_")))))</f>
        <v> </v>
      </c>
      <c r="H4020" s="24" t="str">
        <f>IF(J4020&lt;&gt;1,"",IF(I4020="SBJ","CB","?"))</f>
        <v> </v>
      </c>
      <c r="I4020" s="25" t="str">
        <f>IF(OR(E4020="",E4020="!!!",F4020="NEW"),"",INDEX(B4019:B$2,-1+SUMPRODUCT(MAX(ROW(E4019:E$2)*(E4020=E4019:E$2)))))</f>
        <v> </v>
      </c>
      <c r="J4020" s="25" t="str">
        <f>IF(OR(E4020="",E4020="!!!",F4020="NEW"),"",COUNTBLANK(OFFSET(A$1,,,SUMPRODUCT(MAX(ROW(E$2:E4020)*(E4020=E$2:E4020)))))-COUNTBLANK(OFFSET(A$1,,,SUMPRODUCT(MAX(ROW(E$1:E4019)*(E2=E$1:E4019))))))</f>
        <v> </v>
      </c>
      <c r="K4020" s="25" t="str">
        <f>IF(OR(E4020="",E4020="!!!",F4020="NEW"),"",INDEX(J$1:J4019,SUMPRODUCT(MAX(ROW(E$1:E4019)*(E4020=E$1:E4019)))))</f>
        <v> </v>
      </c>
      <c r="L4020" s="26"/>
    </row>
    <row r="4021" spans="1:12">
      <c r="A4021" s="20" t="s">
        <v>1191</v>
      </c>
      <c r="E4021" s="21">
        <f>IF(D4021="?OLD","!!!","")</f>
        <v/>
      </c>
      <c r="F4021" s="22" t="str">
        <f>IF(OR(E4021="",E4021="!!!"),"",IF(NOT(ISNA(VLOOKUP(E4021,E$1:E4020,1,FALSE()))),"OLD",IF(AND(E4021&lt;&gt;"",E4021&lt;&gt;"!!!"),"NEW","")))</f>
        <v> </v>
      </c>
      <c r="G4021" s="23" t="str">
        <f>IF(OR(E4021="",E4021="!!!"),"",IF(OR(J4021=0,AND(J4021=1,K4021=1),AND(J4021=1,I4021="SBJ"),AND(J4021=1,I4021=0)),"?IN_FOCUS",IF(J4021&lt;=2,"?ACTIVATED",IF(J4021&lt;&gt;"","?FAMILIAR",IF(F4021="NEW",IF(ISNA(VLOOKUP(E4021,#REF!,1,FALSE())),"?TYPE_IDENTIFIABLE","?REFERENTIAL"),"_")))))</f>
        <v> </v>
      </c>
      <c r="H4021" s="24" t="str">
        <f>IF(J4021&lt;&gt;1,"",IF(I4021="SBJ","CB","?"))</f>
        <v> </v>
      </c>
      <c r="I4021" s="25" t="str">
        <f>IF(OR(E4021="",E4021="!!!",F4021="NEW"),"",INDEX(B4020:B$2,-1+SUMPRODUCT(MAX(ROW(E4020:E$2)*(E4021=E4020:E$2)))))</f>
        <v> </v>
      </c>
      <c r="J4021" s="25" t="str">
        <f>IF(OR(E4021="",E4021="!!!",F4021="NEW"),"",COUNTBLANK(OFFSET(A$1,,,SUMPRODUCT(MAX(ROW(E$2:E4021)*(E4021=E$2:E4021)))))-COUNTBLANK(OFFSET(A$1,,,SUMPRODUCT(MAX(ROW(E$1:E4020)*(E2=E$1:E4020))))))</f>
        <v> </v>
      </c>
      <c r="K4021" s="25" t="str">
        <f>IF(OR(E4021="",E4021="!!!",F4021="NEW"),"",INDEX(J$1:J4020,SUMPRODUCT(MAX(ROW(E$1:E4020)*(E4021=E$1:E4020)))))</f>
        <v> </v>
      </c>
      <c r="L4021" s="26"/>
    </row>
    <row r="4022" spans="1:12">
      <c r="A4022" s="20" t="s">
        <v>1083</v>
      </c>
      <c r="E4022" s="21">
        <f>IF(D4022="?OLD","!!!","")</f>
        <v/>
      </c>
      <c r="F4022" s="22" t="str">
        <f>IF(OR(E4022="",E4022="!!!"),"",IF(NOT(ISNA(VLOOKUP(E4022,E$1:E4021,1,FALSE()))),"OLD",IF(AND(E4022&lt;&gt;"",E4022&lt;&gt;"!!!"),"NEW","")))</f>
        <v> </v>
      </c>
      <c r="G4022" s="23" t="str">
        <f>IF(OR(E4022="",E4022="!!!"),"",IF(OR(J4022=0,AND(J4022=1,K4022=1),AND(J4022=1,I4022="SBJ"),AND(J4022=1,I4022=0)),"?IN_FOCUS",IF(J4022&lt;=2,"?ACTIVATED",IF(J4022&lt;&gt;"","?FAMILIAR",IF(F4022="NEW",IF(ISNA(VLOOKUP(E4022,#REF!,1,FALSE())),"?TYPE_IDENTIFIABLE","?REFERENTIAL"),"_")))))</f>
        <v> </v>
      </c>
      <c r="H4022" s="24" t="str">
        <f>IF(J4022&lt;&gt;1,"",IF(I4022="SBJ","CB","?"))</f>
        <v> </v>
      </c>
      <c r="I4022" s="25" t="str">
        <f>IF(OR(E4022="",E4022="!!!",F4022="NEW"),"",INDEX(B4021:B$2,-1+SUMPRODUCT(MAX(ROW(E4021:E$2)*(E4022=E4021:E$2)))))</f>
        <v> </v>
      </c>
      <c r="J4022" s="25" t="str">
        <f>IF(OR(E4022="",E4022="!!!",F4022="NEW"),"",COUNTBLANK(OFFSET(A$1,,,SUMPRODUCT(MAX(ROW(E$2:E4022)*(E4022=E$2:E4022)))))-COUNTBLANK(OFFSET(A$1,,,SUMPRODUCT(MAX(ROW(E$1:E4021)*(E2=E$1:E4021))))))</f>
        <v> </v>
      </c>
      <c r="K4022" s="25" t="str">
        <f>IF(OR(E4022="",E4022="!!!",F4022="NEW"),"",INDEX(J$1:J4021,SUMPRODUCT(MAX(ROW(E$1:E4021)*(E4022=E$1:E4021)))))</f>
        <v> </v>
      </c>
      <c r="L4022" s="26"/>
    </row>
    <row r="4023" spans="1:12">
      <c r="A4023" s="20" t="s">
        <v>1728</v>
      </c>
      <c r="E4023" s="21">
        <f>IF(D4023="?OLD","!!!","")</f>
        <v/>
      </c>
      <c r="F4023" s="22" t="str">
        <f>IF(OR(E4023="",E4023="!!!"),"",IF(NOT(ISNA(VLOOKUP(E4023,E$1:E4022,1,FALSE()))),"OLD",IF(AND(E4023&lt;&gt;"",E4023&lt;&gt;"!!!"),"NEW","")))</f>
        <v> </v>
      </c>
      <c r="G4023" s="23" t="str">
        <f>IF(OR(E4023="",E4023="!!!"),"",IF(OR(J4023=0,AND(J4023=1,K4023=1),AND(J4023=1,I4023="SBJ"),AND(J4023=1,I4023=0)),"?IN_FOCUS",IF(J4023&lt;=2,"?ACTIVATED",IF(J4023&lt;&gt;"","?FAMILIAR",IF(F4023="NEW",IF(ISNA(VLOOKUP(E4023,#REF!,1,FALSE())),"?TYPE_IDENTIFIABLE","?REFERENTIAL"),"_")))))</f>
        <v> </v>
      </c>
      <c r="H4023" s="24" t="str">
        <f>IF(J4023&lt;&gt;1,"",IF(I4023="SBJ","CB","?"))</f>
        <v> </v>
      </c>
      <c r="I4023" s="25" t="str">
        <f>IF(OR(E4023="",E4023="!!!",F4023="NEW"),"",INDEX(B4022:B$2,-1+SUMPRODUCT(MAX(ROW(E4022:E$2)*(E4023=E4022:E$2)))))</f>
        <v> </v>
      </c>
      <c r="J4023" s="25" t="str">
        <f>IF(OR(E4023="",E4023="!!!",F4023="NEW"),"",COUNTBLANK(OFFSET(A$1,,,SUMPRODUCT(MAX(ROW(E$2:E4023)*(E4023=E$2:E4023)))))-COUNTBLANK(OFFSET(A$1,,,SUMPRODUCT(MAX(ROW(E$1:E4022)*(E2=E$1:E4022))))))</f>
        <v> </v>
      </c>
      <c r="K4023" s="25" t="str">
        <f>IF(OR(E4023="",E4023="!!!",F4023="NEW"),"",INDEX(J$1:J4022,SUMPRODUCT(MAX(ROW(E$1:E4022)*(E4023=E$1:E4022)))))</f>
        <v> </v>
      </c>
      <c r="L4023" s="26"/>
    </row>
    <row r="4024" spans="1:12">
      <c r="A4024" s="20" t="s">
        <v>2313</v>
      </c>
      <c r="B4024" s="27" t="s">
        <v>1095</v>
      </c>
      <c r="C4024" s="27" t="s">
        <v>1086</v>
      </c>
      <c r="D4024" s="27" t="s">
        <v>1069</v>
      </c>
      <c r="E4024" s="21">
        <f>IF(D4024="?OLD","!!!","")</f>
        <v/>
      </c>
      <c r="F4024" s="22" t="str">
        <f>IF(OR(E4024="",E4024="!!!"),"",IF(NOT(ISNA(VLOOKUP(E4024,E$1:E4023,1,FALSE()))),"OLD",IF(AND(E4024&lt;&gt;"",E4024&lt;&gt;"!!!"),"NEW","")))</f>
        <v> </v>
      </c>
      <c r="G4024" s="23" t="str">
        <f>IF(OR(E4024="",E4024="!!!"),"",IF(OR(J4024=0,AND(J4024=1,K4024=1),AND(J4024=1,I4024="SBJ"),AND(J4024=1,I4024=0)),"?IN_FOCUS",IF(J4024&lt;=2,"?ACTIVATED",IF(J4024&lt;&gt;"","?FAMILIAR",IF(F4024="NEW",IF(ISNA(VLOOKUP(E4024,#REF!,1,FALSE())),"?TYPE_IDENTIFIABLE","?REFERENTIAL"),"_")))))</f>
        <v> </v>
      </c>
      <c r="H4024" s="24" t="str">
        <f>IF(J4024&lt;&gt;1,"",IF(I4024="SBJ","CB","?"))</f>
        <v> </v>
      </c>
      <c r="I4024" s="25" t="str">
        <f>IF(OR(E4024="",E4024="!!!",F4024="NEW"),"",INDEX(B4023:B$2,-1+SUMPRODUCT(MAX(ROW(E4023:E$2)*(E4024=E4023:E$2)))))</f>
        <v> </v>
      </c>
      <c r="J4024" s="25" t="str">
        <f>IF(OR(E4024="",E4024="!!!",F4024="NEW"),"",COUNTBLANK(OFFSET(A$1,,,SUMPRODUCT(MAX(ROW(E$2:E4024)*(E4024=E$2:E4024)))))-COUNTBLANK(OFFSET(A$1,,,SUMPRODUCT(MAX(ROW(E$1:E4023)*(E2=E$1:E4023))))))</f>
        <v> </v>
      </c>
      <c r="K4024" s="25" t="str">
        <f>IF(OR(E4024="",E4024="!!!",F4024="NEW"),"",INDEX(J$1:J4023,SUMPRODUCT(MAX(ROW(E$1:E4023)*(E4024=E$1:E4023)))))</f>
        <v> </v>
      </c>
      <c r="L4024" s="26"/>
    </row>
    <row r="4025" spans="1:12">
      <c r="A4025" s="20" t="s">
        <v>1087</v>
      </c>
      <c r="E4025" s="21">
        <f>IF(D4025="?OLD","!!!","")</f>
        <v/>
      </c>
      <c r="F4025" s="22" t="str">
        <f>IF(OR(E4025="",E4025="!!!"),"",IF(NOT(ISNA(VLOOKUP(E4025,E$1:E4024,1,FALSE()))),"OLD",IF(AND(E4025&lt;&gt;"",E4025&lt;&gt;"!!!"),"NEW","")))</f>
        <v> </v>
      </c>
      <c r="G4025" s="23" t="str">
        <f>IF(OR(E4025="",E4025="!!!"),"",IF(OR(J4025=0,AND(J4025=1,K4025=1),AND(J4025=1,I4025="SBJ"),AND(J4025=1,I4025=0)),"?IN_FOCUS",IF(J4025&lt;=2,"?ACTIVATED",IF(J4025&lt;&gt;"","?FAMILIAR",IF(F4025="NEW",IF(ISNA(VLOOKUP(E4025,#REF!,1,FALSE())),"?TYPE_IDENTIFIABLE","?REFERENTIAL"),"_")))))</f>
        <v> </v>
      </c>
      <c r="H4025" s="24" t="str">
        <f>IF(J4025&lt;&gt;1,"",IF(I4025="SBJ","CB","?"))</f>
        <v> </v>
      </c>
      <c r="I4025" s="25" t="str">
        <f>IF(OR(E4025="",E4025="!!!",F4025="NEW"),"",INDEX(B4024:B$2,-1+SUMPRODUCT(MAX(ROW(E4024:E$2)*(E4025=E4024:E$2)))))</f>
        <v> </v>
      </c>
      <c r="J4025" s="25" t="str">
        <f>IF(OR(E4025="",E4025="!!!",F4025="NEW"),"",COUNTBLANK(OFFSET(A$1,,,SUMPRODUCT(MAX(ROW(E$2:E4025)*(E4025=E$2:E4025)))))-COUNTBLANK(OFFSET(A$1,,,SUMPRODUCT(MAX(ROW(E$1:E4024)*(E2=E$1:E4024))))))</f>
        <v> </v>
      </c>
      <c r="K4025" s="25" t="str">
        <f>IF(OR(E4025="",E4025="!!!",F4025="NEW"),"",INDEX(J$1:J4024,SUMPRODUCT(MAX(ROW(E$1:E4024)*(E4025=E$1:E4024)))))</f>
        <v> </v>
      </c>
      <c r="L4025" s="26"/>
    </row>
    <row r="4026" spans="1:12">
      <c r="A4026" s="20" t="s">
        <v>1165</v>
      </c>
      <c r="E4026" s="21">
        <f>IF(D4026="?OLD","!!!","")</f>
        <v/>
      </c>
      <c r="F4026" s="22" t="str">
        <f>IF(OR(E4026="",E4026="!!!"),"",IF(NOT(ISNA(VLOOKUP(E4026,E$1:E4025,1,FALSE()))),"OLD",IF(AND(E4026&lt;&gt;"",E4026&lt;&gt;"!!!"),"NEW","")))</f>
        <v> </v>
      </c>
      <c r="G4026" s="23" t="str">
        <f>IF(OR(E4026="",E4026="!!!"),"",IF(OR(J4026=0,AND(J4026=1,K4026=1),AND(J4026=1,I4026="SBJ"),AND(J4026=1,I4026=0)),"?IN_FOCUS",IF(J4026&lt;=2,"?ACTIVATED",IF(J4026&lt;&gt;"","?FAMILIAR",IF(F4026="NEW",IF(ISNA(VLOOKUP(E4026,#REF!,1,FALSE())),"?TYPE_IDENTIFIABLE","?REFERENTIAL"),"_")))))</f>
        <v> </v>
      </c>
      <c r="H4026" s="24" t="str">
        <f>IF(J4026&lt;&gt;1,"",IF(I4026="SBJ","CB","?"))</f>
        <v> </v>
      </c>
      <c r="I4026" s="25" t="str">
        <f>IF(OR(E4026="",E4026="!!!",F4026="NEW"),"",INDEX(B4025:B$2,-1+SUMPRODUCT(MAX(ROW(E4025:E$2)*(E4026=E4025:E$2)))))</f>
        <v> </v>
      </c>
      <c r="J4026" s="25" t="str">
        <f>IF(OR(E4026="",E4026="!!!",F4026="NEW"),"",COUNTBLANK(OFFSET(A$1,,,SUMPRODUCT(MAX(ROW(E$2:E4026)*(E4026=E$2:E4026)))))-COUNTBLANK(OFFSET(A$1,,,SUMPRODUCT(MAX(ROW(E$1:E4025)*(E2=E$1:E4025))))))</f>
        <v> </v>
      </c>
      <c r="K4026" s="25" t="str">
        <f>IF(OR(E4026="",E4026="!!!",F4026="NEW"),"",INDEX(J$1:J4025,SUMPRODUCT(MAX(ROW(E$1:E4025)*(E4026=E$1:E4025)))))</f>
        <v> </v>
      </c>
      <c r="L4026" s="26"/>
    </row>
    <row r="4027" spans="1:12">
      <c r="A4027" s="20" t="s">
        <v>1568</v>
      </c>
      <c r="B4027" s="27" t="s">
        <v>1095</v>
      </c>
      <c r="C4027" s="27" t="s">
        <v>1110</v>
      </c>
      <c r="D4027" s="27" t="s">
        <v>1069</v>
      </c>
      <c r="E4027" s="21">
        <f>IF(D4027="?OLD","!!!","")</f>
        <v/>
      </c>
      <c r="F4027" s="22" t="str">
        <f>IF(OR(E4027="",E4027="!!!"),"",IF(NOT(ISNA(VLOOKUP(E4027,E$1:E4026,1,FALSE()))),"OLD",IF(AND(E4027&lt;&gt;"",E4027&lt;&gt;"!!!"),"NEW","")))</f>
        <v> </v>
      </c>
      <c r="G4027" s="23" t="str">
        <f>IF(OR(E4027="",E4027="!!!"),"",IF(OR(J4027=0,AND(J4027=1,K4027=1),AND(J4027=1,I4027="SBJ"),AND(J4027=1,I4027=0)),"?IN_FOCUS",IF(J4027&lt;=2,"?ACTIVATED",IF(J4027&lt;&gt;"","?FAMILIAR",IF(F4027="NEW",IF(ISNA(VLOOKUP(E4027,#REF!,1,FALSE())),"?TYPE_IDENTIFIABLE","?REFERENTIAL"),"_")))))</f>
        <v> </v>
      </c>
      <c r="H4027" s="24" t="str">
        <f>IF(J4027&lt;&gt;1,"",IF(I4027="SBJ","CB","?"))</f>
        <v> </v>
      </c>
      <c r="I4027" s="25" t="str">
        <f>IF(OR(E4027="",E4027="!!!",F4027="NEW"),"",INDEX(B4026:B$2,-1+SUMPRODUCT(MAX(ROW(E4026:E$2)*(E4027=E4026:E$2)))))</f>
        <v> </v>
      </c>
      <c r="J4027" s="25" t="str">
        <f>IF(OR(E4027="",E4027="!!!",F4027="NEW"),"",COUNTBLANK(OFFSET(A$1,,,SUMPRODUCT(MAX(ROW(E$2:E4027)*(E4027=E$2:E4027)))))-COUNTBLANK(OFFSET(A$1,,,SUMPRODUCT(MAX(ROW(E$1:E4026)*(E2=E$1:E4026))))))</f>
        <v> </v>
      </c>
      <c r="K4027" s="25" t="str">
        <f>IF(OR(E4027="",E4027="!!!",F4027="NEW"),"",INDEX(J$1:J4026,SUMPRODUCT(MAX(ROW(E$1:E4026)*(E4027=E$1:E4026)))))</f>
        <v> </v>
      </c>
      <c r="L4027" s="26"/>
    </row>
    <row r="4028" spans="1:12">
      <c r="A4028" s="20" t="s">
        <v>1320</v>
      </c>
      <c r="E4028" s="21">
        <f>IF(D4028="?OLD","!!!","")</f>
        <v/>
      </c>
      <c r="F4028" s="22" t="str">
        <f>IF(OR(E4028="",E4028="!!!"),"",IF(NOT(ISNA(VLOOKUP(E4028,E$1:E4027,1,FALSE()))),"OLD",IF(AND(E4028&lt;&gt;"",E4028&lt;&gt;"!!!"),"NEW","")))</f>
        <v> </v>
      </c>
      <c r="G4028" s="23" t="str">
        <f>IF(OR(E4028="",E4028="!!!"),"",IF(OR(J4028=0,AND(J4028=1,K4028=1),AND(J4028=1,I4028="SBJ"),AND(J4028=1,I4028=0)),"?IN_FOCUS",IF(J4028&lt;=2,"?ACTIVATED",IF(J4028&lt;&gt;"","?FAMILIAR",IF(F4028="NEW",IF(ISNA(VLOOKUP(E4028,#REF!,1,FALSE())),"?TYPE_IDENTIFIABLE","?REFERENTIAL"),"_")))))</f>
        <v> </v>
      </c>
      <c r="H4028" s="24" t="str">
        <f>IF(J4028&lt;&gt;1,"",IF(I4028="SBJ","CB","?"))</f>
        <v> </v>
      </c>
      <c r="I4028" s="25" t="str">
        <f>IF(OR(E4028="",E4028="!!!",F4028="NEW"),"",INDEX(B4027:B$2,-1+SUMPRODUCT(MAX(ROW(E4027:E$2)*(E4028=E4027:E$2)))))</f>
        <v> </v>
      </c>
      <c r="J4028" s="25" t="str">
        <f>IF(OR(E4028="",E4028="!!!",F4028="NEW"),"",COUNTBLANK(OFFSET(A$1,,,SUMPRODUCT(MAX(ROW(E$2:E4028)*(E4028=E$2:E4028)))))-COUNTBLANK(OFFSET(A$1,,,SUMPRODUCT(MAX(ROW(E$1:E4027)*(E2=E$1:E4027))))))</f>
        <v> </v>
      </c>
      <c r="K4028" s="25" t="str">
        <f>IF(OR(E4028="",E4028="!!!",F4028="NEW"),"",INDEX(J$1:J4027,SUMPRODUCT(MAX(ROW(E$1:E4027)*(E4028=E$1:E4027)))))</f>
        <v> </v>
      </c>
      <c r="L4028" s="26"/>
    </row>
    <row r="4029" spans="1:12">
      <c r="A4029" s="20" t="s">
        <v>2314</v>
      </c>
      <c r="E4029" s="21">
        <f>IF(D4029="?OLD","!!!","")</f>
        <v/>
      </c>
      <c r="F4029" s="22" t="str">
        <f>IF(OR(E4029="",E4029="!!!"),"",IF(NOT(ISNA(VLOOKUP(E4029,E$1:E4028,1,FALSE()))),"OLD",IF(AND(E4029&lt;&gt;"",E4029&lt;&gt;"!!!"),"NEW","")))</f>
        <v> </v>
      </c>
      <c r="G4029" s="23" t="str">
        <f>IF(OR(E4029="",E4029="!!!"),"",IF(OR(J4029=0,AND(J4029=1,K4029=1),AND(J4029=1,I4029="SBJ"),AND(J4029=1,I4029=0)),"?IN_FOCUS",IF(J4029&lt;=2,"?ACTIVATED",IF(J4029&lt;&gt;"","?FAMILIAR",IF(F4029="NEW",IF(ISNA(VLOOKUP(E4029,#REF!,1,FALSE())),"?TYPE_IDENTIFIABLE","?REFERENTIAL"),"_")))))</f>
        <v> </v>
      </c>
      <c r="H4029" s="24" t="str">
        <f>IF(J4029&lt;&gt;1,"",IF(I4029="SBJ","CB","?"))</f>
        <v> </v>
      </c>
      <c r="I4029" s="25" t="str">
        <f>IF(OR(E4029="",E4029="!!!",F4029="NEW"),"",INDEX(B4028:B$2,-1+SUMPRODUCT(MAX(ROW(E4028:E$2)*(E4029=E4028:E$2)))))</f>
        <v> </v>
      </c>
      <c r="J4029" s="25" t="str">
        <f>IF(OR(E4029="",E4029="!!!",F4029="NEW"),"",COUNTBLANK(OFFSET(A$1,,,SUMPRODUCT(MAX(ROW(E$2:E4029)*(E4029=E$2:E4029)))))-COUNTBLANK(OFFSET(A$1,,,SUMPRODUCT(MAX(ROW(E$1:E4028)*(E2=E$1:E4028))))))</f>
        <v> </v>
      </c>
      <c r="K4029" s="25" t="str">
        <f>IF(OR(E4029="",E4029="!!!",F4029="NEW"),"",INDEX(J$1:J4028,SUMPRODUCT(MAX(ROW(E$1:E4028)*(E4029=E$1:E4028)))))</f>
        <v> </v>
      </c>
      <c r="L4029" s="26"/>
    </row>
    <row r="4030" spans="1:12">
      <c r="A4030" s="20" t="s">
        <v>1324</v>
      </c>
      <c r="E4030" s="21">
        <f>IF(D4030="?OLD","!!!","")</f>
        <v/>
      </c>
      <c r="F4030" s="22" t="str">
        <f>IF(OR(E4030="",E4030="!!!"),"",IF(NOT(ISNA(VLOOKUP(E4030,E$1:E4029,1,FALSE()))),"OLD",IF(AND(E4030&lt;&gt;"",E4030&lt;&gt;"!!!"),"NEW","")))</f>
        <v> </v>
      </c>
      <c r="G4030" s="23" t="str">
        <f>IF(OR(E4030="",E4030="!!!"),"",IF(OR(J4030=0,AND(J4030=1,K4030=1),AND(J4030=1,I4030="SBJ"),AND(J4030=1,I4030=0)),"?IN_FOCUS",IF(J4030&lt;=2,"?ACTIVATED",IF(J4030&lt;&gt;"","?FAMILIAR",IF(F4030="NEW",IF(ISNA(VLOOKUP(E4030,#REF!,1,FALSE())),"?TYPE_IDENTIFIABLE","?REFERENTIAL"),"_")))))</f>
        <v> </v>
      </c>
      <c r="H4030" s="24" t="str">
        <f>IF(J4030&lt;&gt;1,"",IF(I4030="SBJ","CB","?"))</f>
        <v> </v>
      </c>
      <c r="I4030" s="25" t="str">
        <f>IF(OR(E4030="",E4030="!!!",F4030="NEW"),"",INDEX(B4029:B$2,-1+SUMPRODUCT(MAX(ROW(E4029:E$2)*(E4030=E4029:E$2)))))</f>
        <v> </v>
      </c>
      <c r="J4030" s="25" t="str">
        <f>IF(OR(E4030="",E4030="!!!",F4030="NEW"),"",COUNTBLANK(OFFSET(A$1,,,SUMPRODUCT(MAX(ROW(E$2:E4030)*(E4030=E$2:E4030)))))-COUNTBLANK(OFFSET(A$1,,,SUMPRODUCT(MAX(ROW(E$1:E4029)*(E2=E$1:E4029))))))</f>
        <v> </v>
      </c>
      <c r="K4030" s="25" t="str">
        <f>IF(OR(E4030="",E4030="!!!",F4030="NEW"),"",INDEX(J$1:J4029,SUMPRODUCT(MAX(ROW(E$1:E4029)*(E4030=E$1:E4029)))))</f>
        <v> </v>
      </c>
      <c r="L4030" s="26"/>
    </row>
    <row r="4031" spans="1:12">
      <c r="A4031" s="20"/>
    </row>
    <row r="4032" spans="1:12">
      <c r="A4032" s="20" t="s">
        <v>1309</v>
      </c>
      <c r="E4032" s="21">
        <f>IF(D4032="?OLD","!!!","")</f>
        <v/>
      </c>
      <c r="F4032" s="22" t="str">
        <f>IF(OR(E4032="",E4032="!!!"),"",IF(NOT(ISNA(VLOOKUP(E4032,E$1:E4031,1,FALSE()))),"OLD",IF(AND(E4032&lt;&gt;"",E4032&lt;&gt;"!!!"),"NEW","")))</f>
        <v> </v>
      </c>
      <c r="G4032" s="23" t="str">
        <f>IF(OR(E4032="",E4032="!!!"),"",IF(OR(J4032=0,AND(J4032=1,K4032=1),AND(J4032=1,I4032="SBJ"),AND(J4032=1,I4032=0)),"?IN_FOCUS",IF(J4032&lt;=2,"?ACTIVATED",IF(J4032&lt;&gt;"","?FAMILIAR",IF(F4032="NEW",IF(ISNA(VLOOKUP(E4032,#REF!,1,FALSE())),"?TYPE_IDENTIFIABLE","?REFERENTIAL"),"_")))))</f>
        <v> </v>
      </c>
      <c r="H4032" s="24" t="str">
        <f>IF(J4032&lt;&gt;1,"",IF(I4032="SBJ","CB","?"))</f>
        <v> </v>
      </c>
      <c r="I4032" s="25" t="str">
        <f>IF(OR(E4032="",E4032="!!!",F4032="NEW"),"",INDEX(B4031:B$2,-1+SUMPRODUCT(MAX(ROW(E4031:E$2)*(E4032=E4031:E$2)))))</f>
        <v> </v>
      </c>
      <c r="J4032" s="25" t="str">
        <f>IF(OR(E4032="",E4032="!!!",F4032="NEW"),"",COUNTBLANK(OFFSET(A$1,,,SUMPRODUCT(MAX(ROW(E$2:E4032)*(E4032=E$2:E4032)))))-COUNTBLANK(OFFSET(A$1,,,SUMPRODUCT(MAX(ROW(E$1:E4031)*(E2=E$1:E4031))))))</f>
        <v> </v>
      </c>
      <c r="K4032" s="25" t="str">
        <f>IF(OR(E4032="",E4032="!!!",F4032="NEW"),"",INDEX(J$1:J4031,SUMPRODUCT(MAX(ROW(E$1:E4031)*(E4032=E$1:E4031)))))</f>
        <v> </v>
      </c>
      <c r="L4032" s="26"/>
    </row>
    <row r="4033" spans="1:12">
      <c r="A4033" s="20" t="s">
        <v>2315</v>
      </c>
    </row>
    <row r="4034" spans="1:12">
      <c r="A4034" s="20" t="s">
        <v>785</v>
      </c>
      <c r="B4034" s="27" t="s">
        <v>1074</v>
      </c>
      <c r="C4034" s="27" t="s">
        <v>1134</v>
      </c>
      <c r="D4034" s="27" t="s">
        <v>1069</v>
      </c>
      <c r="E4034" s="21">
        <f>IF(D4034="?OLD","!!!","")</f>
        <v/>
      </c>
      <c r="F4034" s="22" t="str">
        <f>IF(OR(E4034="",E4034="!!!"),"",IF(NOT(ISNA(VLOOKUP(E4034,E$1:E4033,1,FALSE()))),"OLD",IF(AND(E4034&lt;&gt;"",E4034&lt;&gt;"!!!"),"NEW","")))</f>
        <v> </v>
      </c>
      <c r="G4034" s="23" t="str">
        <f>IF(OR(E4034="",E4034="!!!"),"",IF(OR(J4034=0,AND(J4034=1,K4034=1),AND(J4034=1,I4034="SBJ"),AND(J4034=1,I4034=0)),"?IN_FOCUS",IF(J4034&lt;=2,"?ACTIVATED",IF(J4034&lt;&gt;"","?FAMILIAR",IF(F4034="NEW",IF(ISNA(VLOOKUP(E4034,#REF!,1,FALSE())),"?TYPE_IDENTIFIABLE","?REFERENTIAL"),"_")))))</f>
        <v> </v>
      </c>
      <c r="H4034" s="24" t="str">
        <f>IF(J4034&lt;&gt;1,"",IF(I4034="SBJ","CB","?"))</f>
        <v> </v>
      </c>
      <c r="I4034" s="25" t="str">
        <f>IF(OR(E4034="",E4034="!!!",F4034="NEW"),"",INDEX(B4033:B$2,-1+SUMPRODUCT(MAX(ROW(E4033:E$2)*(E4034=E4033:E$2)))))</f>
        <v> </v>
      </c>
      <c r="J4034" s="25" t="str">
        <f>IF(OR(E4034="",E4034="!!!",F4034="NEW"),"",COUNTBLANK(OFFSET(A$1,,,SUMPRODUCT(MAX(ROW(E$2:E4034)*(E4034=E$2:E4034)))))-COUNTBLANK(OFFSET(A$1,,,SUMPRODUCT(MAX(ROW(E$1:E4033)*(E2=E$1:E4033))))))</f>
        <v> </v>
      </c>
      <c r="K4034" s="25" t="str">
        <f>IF(OR(E4034="",E4034="!!!",F4034="NEW"),"",INDEX(J$1:J4033,SUMPRODUCT(MAX(ROW(E$1:E4033)*(E4034=E$1:E4033)))))</f>
        <v> </v>
      </c>
      <c r="L4034" s="26"/>
    </row>
    <row r="4035" spans="1:12">
      <c r="A4035" s="20" t="s">
        <v>1317</v>
      </c>
      <c r="E4035" s="21">
        <f>IF(D4035="?OLD","!!!","")</f>
        <v/>
      </c>
      <c r="F4035" s="22" t="str">
        <f>IF(OR(E4035="",E4035="!!!"),"",IF(NOT(ISNA(VLOOKUP(E4035,E$1:E4034,1,FALSE()))),"OLD",IF(AND(E4035&lt;&gt;"",E4035&lt;&gt;"!!!"),"NEW","")))</f>
        <v> </v>
      </c>
      <c r="G4035" s="23" t="str">
        <f>IF(OR(E4035="",E4035="!!!"),"",IF(OR(J4035=0,AND(J4035=1,K4035=1),AND(J4035=1,I4035="SBJ"),AND(J4035=1,I4035=0)),"?IN_FOCUS",IF(J4035&lt;=2,"?ACTIVATED",IF(J4035&lt;&gt;"","?FAMILIAR",IF(F4035="NEW",IF(ISNA(VLOOKUP(E4035,#REF!,1,FALSE())),"?TYPE_IDENTIFIABLE","?REFERENTIAL"),"_")))))</f>
        <v> </v>
      </c>
      <c r="H4035" s="24" t="str">
        <f>IF(J4035&lt;&gt;1,"",IF(I4035="SBJ","CB","?"))</f>
        <v> </v>
      </c>
      <c r="I4035" s="25" t="str">
        <f>IF(OR(E4035="",E4035="!!!",F4035="NEW"),"",INDEX(B4034:B$2,-1+SUMPRODUCT(MAX(ROW(E4034:E$2)*(E4035=E4034:E$2)))))</f>
        <v> </v>
      </c>
      <c r="J4035" s="25" t="str">
        <f>IF(OR(E4035="",E4035="!!!",F4035="NEW"),"",COUNTBLANK(OFFSET(A$1,,,SUMPRODUCT(MAX(ROW(E$2:E4035)*(E4035=E$2:E4035)))))-COUNTBLANK(OFFSET(A$1,,,SUMPRODUCT(MAX(ROW(E$1:E4034)*(E2=E$1:E4034))))))</f>
        <v> </v>
      </c>
      <c r="K4035" s="25" t="str">
        <f>IF(OR(E4035="",E4035="!!!",F4035="NEW"),"",INDEX(J$1:J4034,SUMPRODUCT(MAX(ROW(E$1:E4034)*(E4035=E$1:E4034)))))</f>
        <v> </v>
      </c>
      <c r="L4035" s="26"/>
    </row>
    <row r="4036" spans="1:12">
      <c r="A4036" s="20" t="s">
        <v>1210</v>
      </c>
      <c r="B4036" s="27" t="s">
        <v>1160</v>
      </c>
      <c r="C4036" s="27" t="s">
        <v>1134</v>
      </c>
      <c r="D4036" s="27" t="s">
        <v>1069</v>
      </c>
      <c r="E4036" s="21">
        <f>IF(D4036="?OLD","!!!","")</f>
        <v/>
      </c>
      <c r="F4036" s="22" t="str">
        <f>IF(OR(E4036="",E4036="!!!"),"",IF(NOT(ISNA(VLOOKUP(E4036,E$1:E4035,1,FALSE()))),"OLD",IF(AND(E4036&lt;&gt;"",E4036&lt;&gt;"!!!"),"NEW","")))</f>
        <v> </v>
      </c>
      <c r="G4036" s="23" t="str">
        <f>IF(OR(E4036="",E4036="!!!"),"",IF(OR(J4036=0,AND(J4036=1,K4036=1),AND(J4036=1,I4036="SBJ"),AND(J4036=1,I4036=0)),"?IN_FOCUS",IF(J4036&lt;=2,"?ACTIVATED",IF(J4036&lt;&gt;"","?FAMILIAR",IF(F4036="NEW",IF(ISNA(VLOOKUP(E4036,#REF!,1,FALSE())),"?TYPE_IDENTIFIABLE","?REFERENTIAL"),"_")))))</f>
        <v> </v>
      </c>
      <c r="H4036" s="24" t="str">
        <f>IF(J4036&lt;&gt;1,"",IF(I4036="SBJ","CB","?"))</f>
        <v> </v>
      </c>
      <c r="I4036" s="25" t="str">
        <f>IF(OR(E4036="",E4036="!!!",F4036="NEW"),"",INDEX(B4035:B$2,-1+SUMPRODUCT(MAX(ROW(E4035:E$2)*(E4036=E4035:E$2)))))</f>
        <v> </v>
      </c>
      <c r="J4036" s="25" t="str">
        <f>IF(OR(E4036="",E4036="!!!",F4036="NEW"),"",COUNTBLANK(OFFSET(A$1,,,SUMPRODUCT(MAX(ROW(E$2:E4036)*(E4036=E$2:E4036)))))-COUNTBLANK(OFFSET(A$1,,,SUMPRODUCT(MAX(ROW(E$1:E4035)*(E2=E$1:E4035))))))</f>
        <v> </v>
      </c>
      <c r="K4036" s="25" t="str">
        <f>IF(OR(E4036="",E4036="!!!",F4036="NEW"),"",INDEX(J$1:J4035,SUMPRODUCT(MAX(ROW(E$1:E4035)*(E4036=E$1:E4035)))))</f>
        <v> </v>
      </c>
      <c r="L4036" s="26"/>
    </row>
    <row r="4037" spans="1:12">
      <c r="A4037" s="20" t="s">
        <v>1108</v>
      </c>
      <c r="B4037" s="27" t="s">
        <v>1067</v>
      </c>
      <c r="C4037" s="27" t="s">
        <v>1110</v>
      </c>
      <c r="D4037" s="27" t="s">
        <v>1069</v>
      </c>
      <c r="E4037" s="21">
        <f>IF(D4037="?OLD","!!!","")</f>
        <v/>
      </c>
      <c r="F4037" s="22" t="str">
        <f>IF(OR(E4037="",E4037="!!!"),"",IF(NOT(ISNA(VLOOKUP(E4037,E$1:E4036,1,FALSE()))),"OLD",IF(AND(E4037&lt;&gt;"",E4037&lt;&gt;"!!!"),"NEW","")))</f>
        <v> </v>
      </c>
      <c r="G4037" s="23" t="str">
        <f>IF(OR(E4037="",E4037="!!!"),"",IF(OR(J4037=0,AND(J4037=1,K4037=1),AND(J4037=1,I4037="SBJ"),AND(J4037=1,I4037=0)),"?IN_FOCUS",IF(J4037&lt;=2,"?ACTIVATED",IF(J4037&lt;&gt;"","?FAMILIAR",IF(F4037="NEW",IF(ISNA(VLOOKUP(E4037,#REF!,1,FALSE())),"?TYPE_IDENTIFIABLE","?REFERENTIAL"),"_")))))</f>
        <v> </v>
      </c>
      <c r="H4037" s="24" t="str">
        <f>IF(J4037&lt;&gt;1,"",IF(I4037="SBJ","CB","?"))</f>
        <v> </v>
      </c>
      <c r="I4037" s="25" t="str">
        <f>IF(OR(E4037="",E4037="!!!",F4037="NEW"),"",INDEX(B4036:B$2,-1+SUMPRODUCT(MAX(ROW(E4036:E$2)*(E4037=E4036:E$2)))))</f>
        <v> </v>
      </c>
      <c r="J4037" s="25" t="str">
        <f>IF(OR(E4037="",E4037="!!!",F4037="NEW"),"",COUNTBLANK(OFFSET(A$1,,,SUMPRODUCT(MAX(ROW(E$2:E4037)*(E4037=E$2:E4037)))))-COUNTBLANK(OFFSET(A$1,,,SUMPRODUCT(MAX(ROW(E$1:E4036)*(E2=E$1:E4036))))))</f>
        <v> </v>
      </c>
      <c r="K4037" s="25" t="str">
        <f>IF(OR(E4037="",E4037="!!!",F4037="NEW"),"",INDEX(J$1:J4036,SUMPRODUCT(MAX(ROW(E$1:E4036)*(E4037=E$1:E4036)))))</f>
        <v> </v>
      </c>
      <c r="L4037" s="26"/>
    </row>
    <row r="4038" spans="1:12">
      <c r="A4038" s="20" t="s">
        <v>157</v>
      </c>
      <c r="E4038" s="21">
        <f>IF(D4038="?OLD","!!!","")</f>
        <v/>
      </c>
      <c r="F4038" s="22" t="str">
        <f>IF(OR(E4038="",E4038="!!!"),"",IF(NOT(ISNA(VLOOKUP(E4038,E$1:E4037,1,FALSE()))),"OLD",IF(AND(E4038&lt;&gt;"",E4038&lt;&gt;"!!!"),"NEW","")))</f>
        <v> </v>
      </c>
      <c r="G4038" s="23" t="str">
        <f>IF(OR(E4038="",E4038="!!!"),"",IF(OR(J4038=0,AND(J4038=1,K4038=1),AND(J4038=1,I4038="SBJ"),AND(J4038=1,I4038=0)),"?IN_FOCUS",IF(J4038&lt;=2,"?ACTIVATED",IF(J4038&lt;&gt;"","?FAMILIAR",IF(F4038="NEW",IF(ISNA(VLOOKUP(E4038,#REF!,1,FALSE())),"?TYPE_IDENTIFIABLE","?REFERENTIAL"),"_")))))</f>
        <v> </v>
      </c>
      <c r="H4038" s="24" t="str">
        <f>IF(J4038&lt;&gt;1,"",IF(I4038="SBJ","CB","?"))</f>
        <v> </v>
      </c>
      <c r="I4038" s="25" t="str">
        <f>IF(OR(E4038="",E4038="!!!",F4038="NEW"),"",INDEX(B4037:B$2,-1+SUMPRODUCT(MAX(ROW(E4037:E$2)*(E4038=E4037:E$2)))))</f>
        <v> </v>
      </c>
      <c r="J4038" s="25" t="str">
        <f>IF(OR(E4038="",E4038="!!!",F4038="NEW"),"",COUNTBLANK(OFFSET(A$1,,,SUMPRODUCT(MAX(ROW(E$2:E4038)*(E4038=E$2:E4038)))))-COUNTBLANK(OFFSET(A$1,,,SUMPRODUCT(MAX(ROW(E$1:E4037)*(E2=E$1:E4037))))))</f>
        <v> </v>
      </c>
      <c r="K4038" s="25" t="str">
        <f>IF(OR(E4038="",E4038="!!!",F4038="NEW"),"",INDEX(J$1:J4037,SUMPRODUCT(MAX(ROW(E$1:E4037)*(E4038=E$1:E4037)))))</f>
        <v> </v>
      </c>
      <c r="L4038" s="26"/>
    </row>
    <row r="4039" spans="1:12">
      <c r="A4039" s="20" t="s">
        <v>1242</v>
      </c>
      <c r="B4039" s="27" t="s">
        <v>1160</v>
      </c>
      <c r="C4039" s="27" t="s">
        <v>1110</v>
      </c>
      <c r="D4039" s="27" t="s">
        <v>1069</v>
      </c>
      <c r="E4039" s="21">
        <f>IF(D4039="?OLD","!!!","")</f>
        <v/>
      </c>
      <c r="F4039" s="22" t="str">
        <f>IF(OR(E4039="",E4039="!!!"),"",IF(NOT(ISNA(VLOOKUP(E4039,E$1:E4038,1,FALSE()))),"OLD",IF(AND(E4039&lt;&gt;"",E4039&lt;&gt;"!!!"),"NEW","")))</f>
        <v> </v>
      </c>
      <c r="G4039" s="23" t="str">
        <f>IF(OR(E4039="",E4039="!!!"),"",IF(OR(J4039=0,AND(J4039=1,K4039=1),AND(J4039=1,I4039="SBJ"),AND(J4039=1,I4039=0)),"?IN_FOCUS",IF(J4039&lt;=2,"?ACTIVATED",IF(J4039&lt;&gt;"","?FAMILIAR",IF(F4039="NEW",IF(ISNA(VLOOKUP(E4039,#REF!,1,FALSE())),"?TYPE_IDENTIFIABLE","?REFERENTIAL"),"_")))))</f>
        <v> </v>
      </c>
      <c r="H4039" s="24" t="str">
        <f>IF(J4039&lt;&gt;1,"",IF(I4039="SBJ","CB","?"))</f>
        <v> </v>
      </c>
      <c r="I4039" s="25" t="str">
        <f>IF(OR(E4039="",E4039="!!!",F4039="NEW"),"",INDEX(B4038:B$2,-1+SUMPRODUCT(MAX(ROW(E4038:E$2)*(E4039=E4038:E$2)))))</f>
        <v> </v>
      </c>
      <c r="J4039" s="25" t="str">
        <f>IF(OR(E4039="",E4039="!!!",F4039="NEW"),"",COUNTBLANK(OFFSET(A$1,,,SUMPRODUCT(MAX(ROW(E$2:E4039)*(E4039=E$2:E4039)))))-COUNTBLANK(OFFSET(A$1,,,SUMPRODUCT(MAX(ROW(E$1:E4038)*(E2=E$1:E4038))))))</f>
        <v> </v>
      </c>
      <c r="K4039" s="25" t="str">
        <f>IF(OR(E4039="",E4039="!!!",F4039="NEW"),"",INDEX(J$1:J4038,SUMPRODUCT(MAX(ROW(E$1:E4038)*(E4039=E$1:E4038)))))</f>
        <v> </v>
      </c>
      <c r="L4039" s="26"/>
    </row>
    <row r="4040" spans="1:12">
      <c r="A4040" s="20" t="s">
        <v>2037</v>
      </c>
      <c r="E4040" s="21">
        <f>IF(D4040="?OLD","!!!","")</f>
        <v/>
      </c>
      <c r="F4040" s="22" t="str">
        <f>IF(OR(E4040="",E4040="!!!"),"",IF(NOT(ISNA(VLOOKUP(E4040,E$1:E4039,1,FALSE()))),"OLD",IF(AND(E4040&lt;&gt;"",E4040&lt;&gt;"!!!"),"NEW","")))</f>
        <v> </v>
      </c>
      <c r="G4040" s="23" t="str">
        <f>IF(OR(E4040="",E4040="!!!"),"",IF(OR(J4040=0,AND(J4040=1,K4040=1),AND(J4040=1,I4040="SBJ"),AND(J4040=1,I4040=0)),"?IN_FOCUS",IF(J4040&lt;=2,"?ACTIVATED",IF(J4040&lt;&gt;"","?FAMILIAR",IF(F4040="NEW",IF(ISNA(VLOOKUP(E4040,#REF!,1,FALSE())),"?TYPE_IDENTIFIABLE","?REFERENTIAL"),"_")))))</f>
        <v> </v>
      </c>
      <c r="H4040" s="24" t="str">
        <f>IF(J4040&lt;&gt;1,"",IF(I4040="SBJ","CB","?"))</f>
        <v> </v>
      </c>
      <c r="I4040" s="25" t="str">
        <f>IF(OR(E4040="",E4040="!!!",F4040="NEW"),"",INDEX(B4039:B$2,-1+SUMPRODUCT(MAX(ROW(E4039:E$2)*(E4040=E4039:E$2)))))</f>
        <v> </v>
      </c>
      <c r="J4040" s="25" t="str">
        <f>IF(OR(E4040="",E4040="!!!",F4040="NEW"),"",COUNTBLANK(OFFSET(A$1,,,SUMPRODUCT(MAX(ROW(E$2:E4040)*(E4040=E$2:E4040)))))-COUNTBLANK(OFFSET(A$1,,,SUMPRODUCT(MAX(ROW(E$1:E4039)*(E2=E$1:E4039))))))</f>
        <v> </v>
      </c>
      <c r="K4040" s="25" t="str">
        <f>IF(OR(E4040="",E4040="!!!",F4040="NEW"),"",INDEX(J$1:J4039,SUMPRODUCT(MAX(ROW(E$1:E4039)*(E4040=E$1:E4039)))))</f>
        <v> </v>
      </c>
      <c r="L4040" s="26"/>
    </row>
    <row r="4041" spans="1:12">
      <c r="A4041" s="20" t="s">
        <v>1155</v>
      </c>
      <c r="E4041" s="21">
        <f>IF(D4041="?OLD","!!!","")</f>
        <v/>
      </c>
      <c r="F4041" s="22" t="str">
        <f>IF(OR(E4041="",E4041="!!!"),"",IF(NOT(ISNA(VLOOKUP(E4041,E$1:E4040,1,FALSE()))),"OLD",IF(AND(E4041&lt;&gt;"",E4041&lt;&gt;"!!!"),"NEW","")))</f>
        <v> </v>
      </c>
      <c r="G4041" s="23" t="str">
        <f>IF(OR(E4041="",E4041="!!!"),"",IF(OR(J4041=0,AND(J4041=1,K4041=1),AND(J4041=1,I4041="SBJ"),AND(J4041=1,I4041=0)),"?IN_FOCUS",IF(J4041&lt;=2,"?ACTIVATED",IF(J4041&lt;&gt;"","?FAMILIAR",IF(F4041="NEW",IF(ISNA(VLOOKUP(E4041,#REF!,1,FALSE())),"?TYPE_IDENTIFIABLE","?REFERENTIAL"),"_")))))</f>
        <v> </v>
      </c>
      <c r="H4041" s="24" t="str">
        <f>IF(J4041&lt;&gt;1,"",IF(I4041="SBJ","CB","?"))</f>
        <v> </v>
      </c>
      <c r="I4041" s="25" t="str">
        <f>IF(OR(E4041="",E4041="!!!",F4041="NEW"),"",INDEX(B4040:B$2,-1+SUMPRODUCT(MAX(ROW(E4040:E$2)*(E4041=E4040:E$2)))))</f>
        <v> </v>
      </c>
      <c r="J4041" s="25" t="str">
        <f>IF(OR(E4041="",E4041="!!!",F4041="NEW"),"",COUNTBLANK(OFFSET(A$1,,,SUMPRODUCT(MAX(ROW(E$2:E4041)*(E4041=E$2:E4041)))))-COUNTBLANK(OFFSET(A$1,,,SUMPRODUCT(MAX(ROW(E$1:E4040)*(E2=E$1:E4040))))))</f>
        <v> </v>
      </c>
      <c r="K4041" s="25" t="str">
        <f>IF(OR(E4041="",E4041="!!!",F4041="NEW"),"",INDEX(J$1:J4040,SUMPRODUCT(MAX(ROW(E$1:E4040)*(E4041=E$1:E4040)))))</f>
        <v> </v>
      </c>
      <c r="L4041" s="26"/>
    </row>
    <row r="4042" spans="1:12">
      <c r="A4042" s="20" t="s">
        <v>1142</v>
      </c>
      <c r="E4042" s="21">
        <f>IF(D4042="?OLD","!!!","")</f>
        <v/>
      </c>
      <c r="F4042" s="22" t="str">
        <f>IF(OR(E4042="",E4042="!!!"),"",IF(NOT(ISNA(VLOOKUP(E4042,E$1:E4041,1,FALSE()))),"OLD",IF(AND(E4042&lt;&gt;"",E4042&lt;&gt;"!!!"),"NEW","")))</f>
        <v> </v>
      </c>
      <c r="G4042" s="23" t="str">
        <f>IF(OR(E4042="",E4042="!!!"),"",IF(OR(J4042=0,AND(J4042=1,K4042=1),AND(J4042=1,I4042="SBJ"),AND(J4042=1,I4042=0)),"?IN_FOCUS",IF(J4042&lt;=2,"?ACTIVATED",IF(J4042&lt;&gt;"","?FAMILIAR",IF(F4042="NEW",IF(ISNA(VLOOKUP(E4042,#REF!,1,FALSE())),"?TYPE_IDENTIFIABLE","?REFERENTIAL"),"_")))))</f>
        <v> </v>
      </c>
      <c r="H4042" s="24" t="str">
        <f>IF(J4042&lt;&gt;1,"",IF(I4042="SBJ","CB","?"))</f>
        <v> </v>
      </c>
      <c r="I4042" s="25" t="str">
        <f>IF(OR(E4042="",E4042="!!!",F4042="NEW"),"",INDEX(B4041:B$2,-1+SUMPRODUCT(MAX(ROW(E4041:E$2)*(E4042=E4041:E$2)))))</f>
        <v> </v>
      </c>
      <c r="J4042" s="25" t="str">
        <f>IF(OR(E4042="",E4042="!!!",F4042="NEW"),"",COUNTBLANK(OFFSET(A$1,,,SUMPRODUCT(MAX(ROW(E$2:E4042)*(E4042=E$2:E4042)))))-COUNTBLANK(OFFSET(A$1,,,SUMPRODUCT(MAX(ROW(E$1:E4041)*(E2=E$1:E4041))))))</f>
        <v> </v>
      </c>
      <c r="K4042" s="25" t="str">
        <f>IF(OR(E4042="",E4042="!!!",F4042="NEW"),"",INDEX(J$1:J4041,SUMPRODUCT(MAX(ROW(E$1:E4041)*(E4042=E$1:E4041)))))</f>
        <v> </v>
      </c>
      <c r="L4042" s="26"/>
    </row>
    <row r="4043" spans="1:12">
      <c r="A4043" s="20" t="s">
        <v>1228</v>
      </c>
      <c r="E4043" s="21">
        <f>IF(D4043="?OLD","!!!","")</f>
        <v/>
      </c>
      <c r="F4043" s="22" t="str">
        <f>IF(OR(E4043="",E4043="!!!"),"",IF(NOT(ISNA(VLOOKUP(E4043,E$1:E4042,1,FALSE()))),"OLD",IF(AND(E4043&lt;&gt;"",E4043&lt;&gt;"!!!"),"NEW","")))</f>
        <v> </v>
      </c>
      <c r="G4043" s="23" t="str">
        <f>IF(OR(E4043="",E4043="!!!"),"",IF(OR(J4043=0,AND(J4043=1,K4043=1),AND(J4043=1,I4043="SBJ"),AND(J4043=1,I4043=0)),"?IN_FOCUS",IF(J4043&lt;=2,"?ACTIVATED",IF(J4043&lt;&gt;"","?FAMILIAR",IF(F4043="NEW",IF(ISNA(VLOOKUP(E4043,#REF!,1,FALSE())),"?TYPE_IDENTIFIABLE","?REFERENTIAL"),"_")))))</f>
        <v> </v>
      </c>
      <c r="H4043" s="24" t="str">
        <f>IF(J4043&lt;&gt;1,"",IF(I4043="SBJ","CB","?"))</f>
        <v> </v>
      </c>
      <c r="I4043" s="25" t="str">
        <f>IF(OR(E4043="",E4043="!!!",F4043="NEW"),"",INDEX(B4042:B$2,-1+SUMPRODUCT(MAX(ROW(E4042:E$2)*(E4043=E4042:E$2)))))</f>
        <v> </v>
      </c>
      <c r="J4043" s="25" t="str">
        <f>IF(OR(E4043="",E4043="!!!",F4043="NEW"),"",COUNTBLANK(OFFSET(A$1,,,SUMPRODUCT(MAX(ROW(E$2:E4043)*(E4043=E$2:E4043)))))-COUNTBLANK(OFFSET(A$1,,,SUMPRODUCT(MAX(ROW(E$1:E4042)*(E2=E$1:E4042))))))</f>
        <v> </v>
      </c>
      <c r="K4043" s="25" t="str">
        <f>IF(OR(E4043="",E4043="!!!",F4043="NEW"),"",INDEX(J$1:J4042,SUMPRODUCT(MAX(ROW(E$1:E4042)*(E4043=E$1:E4042)))))</f>
        <v> </v>
      </c>
      <c r="L4043" s="26"/>
    </row>
    <row r="4044" spans="1:12">
      <c r="A4044" s="20" t="s">
        <v>2246</v>
      </c>
      <c r="B4044" s="27" t="s">
        <v>1074</v>
      </c>
      <c r="C4044" s="27" t="s">
        <v>1120</v>
      </c>
      <c r="E4044" s="21">
        <f>IF(D4044="?OLD","!!!","")</f>
        <v/>
      </c>
      <c r="F4044" s="22" t="str">
        <f>IF(OR(E4044="",E4044="!!!"),"",IF(NOT(ISNA(VLOOKUP(E4044,E$1:E4043,1,FALSE()))),"OLD",IF(AND(E4044&lt;&gt;"",E4044&lt;&gt;"!!!"),"NEW","")))</f>
        <v> </v>
      </c>
      <c r="G4044" s="23" t="str">
        <f>IF(OR(E4044="",E4044="!!!"),"",IF(OR(J4044=0,AND(J4044=1,K4044=1),AND(J4044=1,I4044="SBJ"),AND(J4044=1,I4044=0)),"?IN_FOCUS",IF(J4044&lt;=2,"?ACTIVATED",IF(J4044&lt;&gt;"","?FAMILIAR",IF(F4044="NEW",IF(ISNA(VLOOKUP(E4044,#REF!,1,FALSE())),"?TYPE_IDENTIFIABLE","?REFERENTIAL"),"_")))))</f>
        <v> </v>
      </c>
      <c r="H4044" s="24" t="str">
        <f>IF(J4044&lt;&gt;1,"",IF(I4044="SBJ","CB","?"))</f>
        <v> </v>
      </c>
      <c r="I4044" s="25" t="str">
        <f>IF(OR(E4044="",E4044="!!!",F4044="NEW"),"",INDEX(B4043:B$2,-1+SUMPRODUCT(MAX(ROW(E4043:E$2)*(E4044=E4043:E$2)))))</f>
        <v> </v>
      </c>
      <c r="J4044" s="25" t="str">
        <f>IF(OR(E4044="",E4044="!!!",F4044="NEW"),"",COUNTBLANK(OFFSET(A$1,,,SUMPRODUCT(MAX(ROW(E$2:E4044)*(E4044=E$2:E4044)))))-COUNTBLANK(OFFSET(A$1,,,SUMPRODUCT(MAX(ROW(E$1:E4043)*(E2=E$1:E4043))))))</f>
        <v> </v>
      </c>
      <c r="K4044" s="25" t="str">
        <f>IF(OR(E4044="",E4044="!!!",F4044="NEW"),"",INDEX(J$1:J4043,SUMPRODUCT(MAX(ROW(E$1:E4043)*(E4044=E$1:E4043)))))</f>
        <v> </v>
      </c>
      <c r="L4044" s="26"/>
    </row>
    <row r="4045" spans="1:12">
      <c r="A4045" s="20" t="s">
        <v>2316</v>
      </c>
      <c r="E4045" s="21">
        <f>IF(D4045="?OLD","!!!","")</f>
        <v/>
      </c>
      <c r="F4045" s="22" t="str">
        <f>IF(OR(E4045="",E4045="!!!"),"",IF(NOT(ISNA(VLOOKUP(E4045,E$1:E4044,1,FALSE()))),"OLD",IF(AND(E4045&lt;&gt;"",E4045&lt;&gt;"!!!"),"NEW","")))</f>
        <v> </v>
      </c>
      <c r="G4045" s="23" t="str">
        <f>IF(OR(E4045="",E4045="!!!"),"",IF(OR(J4045=0,AND(J4045=1,K4045=1),AND(J4045=1,I4045="SBJ"),AND(J4045=1,I4045=0)),"?IN_FOCUS",IF(J4045&lt;=2,"?ACTIVATED",IF(J4045&lt;&gt;"","?FAMILIAR",IF(F4045="NEW",IF(ISNA(VLOOKUP(E4045,#REF!,1,FALSE())),"?TYPE_IDENTIFIABLE","?REFERENTIAL"),"_")))))</f>
        <v> </v>
      </c>
      <c r="H4045" s="24" t="str">
        <f>IF(J4045&lt;&gt;1,"",IF(I4045="SBJ","CB","?"))</f>
        <v> </v>
      </c>
      <c r="I4045" s="25" t="str">
        <f>IF(OR(E4045="",E4045="!!!",F4045="NEW"),"",INDEX(B4044:B$2,-1+SUMPRODUCT(MAX(ROW(E4044:E$2)*(E4045=E4044:E$2)))))</f>
        <v> </v>
      </c>
      <c r="J4045" s="25" t="str">
        <f>IF(OR(E4045="",E4045="!!!",F4045="NEW"),"",COUNTBLANK(OFFSET(A$1,,,SUMPRODUCT(MAX(ROW(E$2:E4045)*(E4045=E$2:E4045)))))-COUNTBLANK(OFFSET(A$1,,,SUMPRODUCT(MAX(ROW(E$1:E4044)*(E2=E$1:E4044))))))</f>
        <v> </v>
      </c>
      <c r="K4045" s="25" t="str">
        <f>IF(OR(E4045="",E4045="!!!",F4045="NEW"),"",INDEX(J$1:J4044,SUMPRODUCT(MAX(ROW(E$1:E4044)*(E4045=E$1:E4044)))))</f>
        <v> </v>
      </c>
      <c r="L4045" s="26"/>
    </row>
    <row r="4046" spans="1:12">
      <c r="A4046" s="20" t="s">
        <v>1078</v>
      </c>
      <c r="E4046" s="21">
        <f>IF(D4046="?OLD","!!!","")</f>
        <v/>
      </c>
      <c r="F4046" s="22" t="str">
        <f>IF(OR(E4046="",E4046="!!!"),"",IF(NOT(ISNA(VLOOKUP(E4046,E$1:E4045,1,FALSE()))),"OLD",IF(AND(E4046&lt;&gt;"",E4046&lt;&gt;"!!!"),"NEW","")))</f>
        <v> </v>
      </c>
      <c r="G4046" s="23" t="str">
        <f>IF(OR(E4046="",E4046="!!!"),"",IF(OR(J4046=0,AND(J4046=1,K4046=1),AND(J4046=1,I4046="SBJ"),AND(J4046=1,I4046=0)),"?IN_FOCUS",IF(J4046&lt;=2,"?ACTIVATED",IF(J4046&lt;&gt;"","?FAMILIAR",IF(F4046="NEW",IF(ISNA(VLOOKUP(E4046,#REF!,1,FALSE())),"?TYPE_IDENTIFIABLE","?REFERENTIAL"),"_")))))</f>
        <v> </v>
      </c>
      <c r="H4046" s="24" t="str">
        <f>IF(J4046&lt;&gt;1,"",IF(I4046="SBJ","CB","?"))</f>
        <v> </v>
      </c>
      <c r="I4046" s="25" t="str">
        <f>IF(OR(E4046="",E4046="!!!",F4046="NEW"),"",INDEX(B4045:B$2,-1+SUMPRODUCT(MAX(ROW(E4045:E$2)*(E4046=E4045:E$2)))))</f>
        <v> </v>
      </c>
      <c r="J4046" s="25" t="str">
        <f>IF(OR(E4046="",E4046="!!!",F4046="NEW"),"",COUNTBLANK(OFFSET(A$1,,,SUMPRODUCT(MAX(ROW(E$2:E4046)*(E4046=E$2:E4046)))))-COUNTBLANK(OFFSET(A$1,,,SUMPRODUCT(MAX(ROW(E$1:E4045)*(E2=E$1:E4045))))))</f>
        <v> </v>
      </c>
      <c r="K4046" s="25" t="str">
        <f>IF(OR(E4046="",E4046="!!!",F4046="NEW"),"",INDEX(J$1:J4045,SUMPRODUCT(MAX(ROW(E$1:E4045)*(E4046=E$1:E4045)))))</f>
        <v> </v>
      </c>
      <c r="L4046" s="26"/>
    </row>
    <row r="4047" spans="1:12">
      <c r="A4047" s="20" t="s">
        <v>1167</v>
      </c>
      <c r="E4047" s="21">
        <f>IF(D4047="?OLD","!!!","")</f>
        <v/>
      </c>
      <c r="F4047" s="22" t="str">
        <f>IF(OR(E4047="",E4047="!!!"),"",IF(NOT(ISNA(VLOOKUP(E4047,E$1:E4046,1,FALSE()))),"OLD",IF(AND(E4047&lt;&gt;"",E4047&lt;&gt;"!!!"),"NEW","")))</f>
        <v> </v>
      </c>
      <c r="G4047" s="23" t="str">
        <f>IF(OR(E4047="",E4047="!!!"),"",IF(OR(J4047=0,AND(J4047=1,K4047=1),AND(J4047=1,I4047="SBJ"),AND(J4047=1,I4047=0)),"?IN_FOCUS",IF(J4047&lt;=2,"?ACTIVATED",IF(J4047&lt;&gt;"","?FAMILIAR",IF(F4047="NEW",IF(ISNA(VLOOKUP(E4047,#REF!,1,FALSE())),"?TYPE_IDENTIFIABLE","?REFERENTIAL"),"_")))))</f>
        <v> </v>
      </c>
      <c r="H4047" s="24" t="str">
        <f>IF(J4047&lt;&gt;1,"",IF(I4047="SBJ","CB","?"))</f>
        <v> </v>
      </c>
      <c r="I4047" s="25" t="str">
        <f>IF(OR(E4047="",E4047="!!!",F4047="NEW"),"",INDEX(B4046:B$2,-1+SUMPRODUCT(MAX(ROW(E4046:E$2)*(E4047=E4046:E$2)))))</f>
        <v> </v>
      </c>
      <c r="J4047" s="25" t="str">
        <f>IF(OR(E4047="",E4047="!!!",F4047="NEW"),"",COUNTBLANK(OFFSET(A$1,,,SUMPRODUCT(MAX(ROW(E$2:E4047)*(E4047=E$2:E4047)))))-COUNTBLANK(OFFSET(A$1,,,SUMPRODUCT(MAX(ROW(E$1:E4046)*(E2=E$1:E4046))))))</f>
        <v> </v>
      </c>
      <c r="K4047" s="25" t="str">
        <f>IF(OR(E4047="",E4047="!!!",F4047="NEW"),"",INDEX(J$1:J4046,SUMPRODUCT(MAX(ROW(E$1:E4046)*(E4047=E$1:E4046)))))</f>
        <v> </v>
      </c>
      <c r="L4047" s="26"/>
    </row>
    <row r="4048" spans="1:12">
      <c r="A4048" s="20" t="s">
        <v>1299</v>
      </c>
      <c r="E4048" s="21">
        <f>IF(D4048="?OLD","!!!","")</f>
        <v/>
      </c>
      <c r="F4048" s="22" t="str">
        <f>IF(OR(E4048="",E4048="!!!"),"",IF(NOT(ISNA(VLOOKUP(E4048,E$1:E4047,1,FALSE()))),"OLD",IF(AND(E4048&lt;&gt;"",E4048&lt;&gt;"!!!"),"NEW","")))</f>
        <v> </v>
      </c>
      <c r="G4048" s="23" t="str">
        <f>IF(OR(E4048="",E4048="!!!"),"",IF(OR(J4048=0,AND(J4048=1,K4048=1),AND(J4048=1,I4048="SBJ"),AND(J4048=1,I4048=0)),"?IN_FOCUS",IF(J4048&lt;=2,"?ACTIVATED",IF(J4048&lt;&gt;"","?FAMILIAR",IF(F4048="NEW",IF(ISNA(VLOOKUP(E4048,#REF!,1,FALSE())),"?TYPE_IDENTIFIABLE","?REFERENTIAL"),"_")))))</f>
        <v> </v>
      </c>
      <c r="H4048" s="24" t="str">
        <f>IF(J4048&lt;&gt;1,"",IF(I4048="SBJ","CB","?"))</f>
        <v> </v>
      </c>
      <c r="I4048" s="25" t="str">
        <f>IF(OR(E4048="",E4048="!!!",F4048="NEW"),"",INDEX(B4047:B$2,-1+SUMPRODUCT(MAX(ROW(E4047:E$2)*(E4048=E4047:E$2)))))</f>
        <v> </v>
      </c>
      <c r="J4048" s="25" t="str">
        <f>IF(OR(E4048="",E4048="!!!",F4048="NEW"),"",COUNTBLANK(OFFSET(A$1,,,SUMPRODUCT(MAX(ROW(E$2:E4048)*(E4048=E$2:E4048)))))-COUNTBLANK(OFFSET(A$1,,,SUMPRODUCT(MAX(ROW(E$1:E4047)*(E2=E$1:E4047))))))</f>
        <v> </v>
      </c>
      <c r="K4048" s="25" t="str">
        <f>IF(OR(E4048="",E4048="!!!",F4048="NEW"),"",INDEX(J$1:J4047,SUMPRODUCT(MAX(ROW(E$1:E4047)*(E4048=E$1:E4047)))))</f>
        <v> </v>
      </c>
      <c r="L4048" s="26"/>
    </row>
    <row r="4049" spans="1:12">
      <c r="A4049" s="20" t="s">
        <v>1185</v>
      </c>
      <c r="E4049" s="21">
        <f>IF(D4049="?OLD","!!!","")</f>
        <v/>
      </c>
      <c r="F4049" s="22" t="str">
        <f>IF(OR(E4049="",E4049="!!!"),"",IF(NOT(ISNA(VLOOKUP(E4049,E$1:E4048,1,FALSE()))),"OLD",IF(AND(E4049&lt;&gt;"",E4049&lt;&gt;"!!!"),"NEW","")))</f>
        <v> </v>
      </c>
      <c r="G4049" s="23" t="str">
        <f>IF(OR(E4049="",E4049="!!!"),"",IF(OR(J4049=0,AND(J4049=1,K4049=1),AND(J4049=1,I4049="SBJ"),AND(J4049=1,I4049=0)),"?IN_FOCUS",IF(J4049&lt;=2,"?ACTIVATED",IF(J4049&lt;&gt;"","?FAMILIAR",IF(F4049="NEW",IF(ISNA(VLOOKUP(E4049,#REF!,1,FALSE())),"?TYPE_IDENTIFIABLE","?REFERENTIAL"),"_")))))</f>
        <v> </v>
      </c>
      <c r="H4049" s="24" t="str">
        <f>IF(J4049&lt;&gt;1,"",IF(I4049="SBJ","CB","?"))</f>
        <v> </v>
      </c>
      <c r="I4049" s="25" t="str">
        <f>IF(OR(E4049="",E4049="!!!",F4049="NEW"),"",INDEX(B4048:B$2,-1+SUMPRODUCT(MAX(ROW(E4048:E$2)*(E4049=E4048:E$2)))))</f>
        <v> </v>
      </c>
      <c r="J4049" s="25" t="str">
        <f>IF(OR(E4049="",E4049="!!!",F4049="NEW"),"",COUNTBLANK(OFFSET(A$1,,,SUMPRODUCT(MAX(ROW(E$2:E4049)*(E4049=E$2:E4049)))))-COUNTBLANK(OFFSET(A$1,,,SUMPRODUCT(MAX(ROW(E$1:E4048)*(E2=E$1:E4048))))))</f>
        <v> </v>
      </c>
      <c r="K4049" s="25" t="str">
        <f>IF(OR(E4049="",E4049="!!!",F4049="NEW"),"",INDEX(J$1:J4048,SUMPRODUCT(MAX(ROW(E$1:E4048)*(E4049=E$1:E4048)))))</f>
        <v> </v>
      </c>
      <c r="L4049" s="26"/>
    </row>
    <row r="4050" spans="1:12">
      <c r="A4050" s="20" t="s">
        <v>1549</v>
      </c>
      <c r="B4050" s="27" t="s">
        <v>1095</v>
      </c>
      <c r="C4050" s="27" t="s">
        <v>1120</v>
      </c>
      <c r="E4050" s="21">
        <f>IF(D4050="?OLD","!!!","")</f>
        <v/>
      </c>
      <c r="F4050" s="22" t="str">
        <f>IF(OR(E4050="",E4050="!!!"),"",IF(NOT(ISNA(VLOOKUP(E4050,E$1:E4049,1,FALSE()))),"OLD",IF(AND(E4050&lt;&gt;"",E4050&lt;&gt;"!!!"),"NEW","")))</f>
        <v> </v>
      </c>
      <c r="G4050" s="23" t="str">
        <f>IF(OR(E4050="",E4050="!!!"),"",IF(OR(J4050=0,AND(J4050=1,K4050=1),AND(J4050=1,I4050="SBJ"),AND(J4050=1,I4050=0)),"?IN_FOCUS",IF(J4050&lt;=2,"?ACTIVATED",IF(J4050&lt;&gt;"","?FAMILIAR",IF(F4050="NEW",IF(ISNA(VLOOKUP(E4050,#REF!,1,FALSE())),"?TYPE_IDENTIFIABLE","?REFERENTIAL"),"_")))))</f>
        <v> </v>
      </c>
      <c r="H4050" s="24" t="str">
        <f>IF(J4050&lt;&gt;1,"",IF(I4050="SBJ","CB","?"))</f>
        <v> </v>
      </c>
      <c r="I4050" s="25" t="str">
        <f>IF(OR(E4050="",E4050="!!!",F4050="NEW"),"",INDEX(B4049:B$2,-1+SUMPRODUCT(MAX(ROW(E4049:E$2)*(E4050=E4049:E$2)))))</f>
        <v> </v>
      </c>
      <c r="J4050" s="25" t="str">
        <f>IF(OR(E4050="",E4050="!!!",F4050="NEW"),"",COUNTBLANK(OFFSET(A$1,,,SUMPRODUCT(MAX(ROW(E$2:E4050)*(E4050=E$2:E4050)))))-COUNTBLANK(OFFSET(A$1,,,SUMPRODUCT(MAX(ROW(E$1:E4049)*(E2=E$1:E4049))))))</f>
        <v> </v>
      </c>
      <c r="K4050" s="25" t="str">
        <f>IF(OR(E4050="",E4050="!!!",F4050="NEW"),"",INDEX(J$1:J4049,SUMPRODUCT(MAX(ROW(E$1:E4049)*(E4050=E$1:E4049)))))</f>
        <v> </v>
      </c>
      <c r="L4050" s="26"/>
    </row>
    <row r="4051" spans="1:12">
      <c r="A4051" s="20" t="s">
        <v>2317</v>
      </c>
      <c r="E4051" s="21">
        <f>IF(D4051="?OLD","!!!","")</f>
        <v/>
      </c>
      <c r="F4051" s="22" t="str">
        <f>IF(OR(E4051="",E4051="!!!"),"",IF(NOT(ISNA(VLOOKUP(E4051,E$1:E4050,1,FALSE()))),"OLD",IF(AND(E4051&lt;&gt;"",E4051&lt;&gt;"!!!"),"NEW","")))</f>
        <v> </v>
      </c>
      <c r="G4051" s="23" t="str">
        <f>IF(OR(E4051="",E4051="!!!"),"",IF(OR(J4051=0,AND(J4051=1,K4051=1),AND(J4051=1,I4051="SBJ"),AND(J4051=1,I4051=0)),"?IN_FOCUS",IF(J4051&lt;=2,"?ACTIVATED",IF(J4051&lt;&gt;"","?FAMILIAR",IF(F4051="NEW",IF(ISNA(VLOOKUP(E4051,#REF!,1,FALSE())),"?TYPE_IDENTIFIABLE","?REFERENTIAL"),"_")))))</f>
        <v> </v>
      </c>
      <c r="H4051" s="24" t="str">
        <f>IF(J4051&lt;&gt;1,"",IF(I4051="SBJ","CB","?"))</f>
        <v> </v>
      </c>
      <c r="I4051" s="25" t="str">
        <f>IF(OR(E4051="",E4051="!!!",F4051="NEW"),"",INDEX(B4050:B$2,-1+SUMPRODUCT(MAX(ROW(E4050:E$2)*(E4051=E4050:E$2)))))</f>
        <v> </v>
      </c>
      <c r="J4051" s="25" t="str">
        <f>IF(OR(E4051="",E4051="!!!",F4051="NEW"),"",COUNTBLANK(OFFSET(A$1,,,SUMPRODUCT(MAX(ROW(E$2:E4051)*(E4051=E$2:E4051)))))-COUNTBLANK(OFFSET(A$1,,,SUMPRODUCT(MAX(ROW(E$1:E4050)*(E2=E$1:E4050))))))</f>
        <v> </v>
      </c>
      <c r="K4051" s="25" t="str">
        <f>IF(OR(E4051="",E4051="!!!",F4051="NEW"),"",INDEX(J$1:J4050,SUMPRODUCT(MAX(ROW(E$1:E4050)*(E4051=E$1:E4050)))))</f>
        <v> </v>
      </c>
      <c r="L4051" s="26"/>
    </row>
    <row r="4052" spans="1:12">
      <c r="A4052" s="20" t="s">
        <v>2318</v>
      </c>
      <c r="B4052" s="27" t="s">
        <v>1092</v>
      </c>
      <c r="C4052" s="27" t="s">
        <v>1077</v>
      </c>
      <c r="E4052" s="21">
        <f>IF(D4052="?OLD","!!!","")</f>
        <v/>
      </c>
      <c r="F4052" s="22" t="str">
        <f>IF(OR(E4052="",E4052="!!!"),"",IF(NOT(ISNA(VLOOKUP(E4052,E$1:E4051,1,FALSE()))),"OLD",IF(AND(E4052&lt;&gt;"",E4052&lt;&gt;"!!!"),"NEW","")))</f>
        <v> </v>
      </c>
      <c r="G4052" s="23" t="str">
        <f>IF(OR(E4052="",E4052="!!!"),"",IF(OR(J4052=0,AND(J4052=1,K4052=1),AND(J4052=1,I4052="SBJ"),AND(J4052=1,I4052=0)),"?IN_FOCUS",IF(J4052&lt;=2,"?ACTIVATED",IF(J4052&lt;&gt;"","?FAMILIAR",IF(F4052="NEW",IF(ISNA(VLOOKUP(E4052,#REF!,1,FALSE())),"?TYPE_IDENTIFIABLE","?REFERENTIAL"),"_")))))</f>
        <v> </v>
      </c>
      <c r="H4052" s="24" t="str">
        <f>IF(J4052&lt;&gt;1,"",IF(I4052="SBJ","CB","?"))</f>
        <v> </v>
      </c>
      <c r="I4052" s="25" t="str">
        <f>IF(OR(E4052="",E4052="!!!",F4052="NEW"),"",INDEX(B4051:B$2,-1+SUMPRODUCT(MAX(ROW(E4051:E$2)*(E4052=E4051:E$2)))))</f>
        <v> </v>
      </c>
      <c r="J4052" s="25" t="str">
        <f>IF(OR(E4052="",E4052="!!!",F4052="NEW"),"",COUNTBLANK(OFFSET(A$1,,,SUMPRODUCT(MAX(ROW(E$2:E4052)*(E4052=E$2:E4052)))))-COUNTBLANK(OFFSET(A$1,,,SUMPRODUCT(MAX(ROW(E$1:E4051)*(E2=E$1:E4051))))))</f>
        <v> </v>
      </c>
      <c r="K4052" s="25" t="str">
        <f>IF(OR(E4052="",E4052="!!!",F4052="NEW"),"",INDEX(J$1:J4051,SUMPRODUCT(MAX(ROW(E$1:E4051)*(E4052=E$1:E4051)))))</f>
        <v> </v>
      </c>
      <c r="L4052" s="26"/>
    </row>
    <row r="4053" spans="1:12">
      <c r="A4053" s="20" t="s">
        <v>1127</v>
      </c>
      <c r="E4053" s="21">
        <f>IF(D4053="?OLD","!!!","")</f>
        <v/>
      </c>
      <c r="F4053" s="22" t="str">
        <f>IF(OR(E4053="",E4053="!!!"),"",IF(NOT(ISNA(VLOOKUP(E4053,E$1:E4052,1,FALSE()))),"OLD",IF(AND(E4053&lt;&gt;"",E4053&lt;&gt;"!!!"),"NEW","")))</f>
        <v> </v>
      </c>
      <c r="G4053" s="23" t="str">
        <f>IF(OR(E4053="",E4053="!!!"),"",IF(OR(J4053=0,AND(J4053=1,K4053=1),AND(J4053=1,I4053="SBJ"),AND(J4053=1,I4053=0)),"?IN_FOCUS",IF(J4053&lt;=2,"?ACTIVATED",IF(J4053&lt;&gt;"","?FAMILIAR",IF(F4053="NEW",IF(ISNA(VLOOKUP(E4053,#REF!,1,FALSE())),"?TYPE_IDENTIFIABLE","?REFERENTIAL"),"_")))))</f>
        <v> </v>
      </c>
      <c r="H4053" s="24" t="str">
        <f>IF(J4053&lt;&gt;1,"",IF(I4053="SBJ","CB","?"))</f>
        <v> </v>
      </c>
      <c r="I4053" s="25" t="str">
        <f>IF(OR(E4053="",E4053="!!!",F4053="NEW"),"",INDEX(B4052:B$2,-1+SUMPRODUCT(MAX(ROW(E4052:E$2)*(E4053=E4052:E$2)))))</f>
        <v> </v>
      </c>
      <c r="J4053" s="25" t="str">
        <f>IF(OR(E4053="",E4053="!!!",F4053="NEW"),"",COUNTBLANK(OFFSET(A$1,,,SUMPRODUCT(MAX(ROW(E$2:E4053)*(E4053=E$2:E4053)))))-COUNTBLANK(OFFSET(A$1,,,SUMPRODUCT(MAX(ROW(E$1:E4052)*(E2=E$1:E4052))))))</f>
        <v> </v>
      </c>
      <c r="K4053" s="25" t="str">
        <f>IF(OR(E4053="",E4053="!!!",F4053="NEW"),"",INDEX(J$1:J4052,SUMPRODUCT(MAX(ROW(E$1:E4052)*(E4053=E$1:E4052)))))</f>
        <v> </v>
      </c>
      <c r="L4053" s="26"/>
    </row>
    <row r="4054" spans="1:12">
      <c r="A4054" s="20" t="s">
        <v>1453</v>
      </c>
      <c r="B4054" s="27" t="s">
        <v>1071</v>
      </c>
      <c r="C4054" s="27" t="s">
        <v>1072</v>
      </c>
      <c r="E4054" s="21">
        <f>IF(D4054="?OLD","!!!","")</f>
        <v/>
      </c>
      <c r="F4054" s="22" t="str">
        <f>IF(OR(E4054="",E4054="!!!"),"",IF(NOT(ISNA(VLOOKUP(E4054,E$1:E4053,1,FALSE()))),"OLD",IF(AND(E4054&lt;&gt;"",E4054&lt;&gt;"!!!"),"NEW","")))</f>
        <v> </v>
      </c>
      <c r="G4054" s="23" t="str">
        <f>IF(OR(E4054="",E4054="!!!"),"",IF(OR(J4054=0,AND(J4054=1,K4054=1),AND(J4054=1,I4054="SBJ"),AND(J4054=1,I4054=0)),"?IN_FOCUS",IF(J4054&lt;=2,"?ACTIVATED",IF(J4054&lt;&gt;"","?FAMILIAR",IF(F4054="NEW",IF(ISNA(VLOOKUP(E4054,#REF!,1,FALSE())),"?TYPE_IDENTIFIABLE","?REFERENTIAL"),"_")))))</f>
        <v> </v>
      </c>
      <c r="H4054" s="24" t="str">
        <f>IF(J4054&lt;&gt;1,"",IF(I4054="SBJ","CB","?"))</f>
        <v> </v>
      </c>
      <c r="I4054" s="25" t="str">
        <f>IF(OR(E4054="",E4054="!!!",F4054="NEW"),"",INDEX(B4053:B$2,-1+SUMPRODUCT(MAX(ROW(E4053:E$2)*(E4054=E4053:E$2)))))</f>
        <v> </v>
      </c>
      <c r="J4054" s="25" t="str">
        <f>IF(OR(E4054="",E4054="!!!",F4054="NEW"),"",COUNTBLANK(OFFSET(A$1,,,SUMPRODUCT(MAX(ROW(E$2:E4054)*(E4054=E$2:E4054)))))-COUNTBLANK(OFFSET(A$1,,,SUMPRODUCT(MAX(ROW(E$1:E4053)*(E2=E$1:E4053))))))</f>
        <v> </v>
      </c>
      <c r="K4054" s="25" t="str">
        <f>IF(OR(E4054="",E4054="!!!",F4054="NEW"),"",INDEX(J$1:J4053,SUMPRODUCT(MAX(ROW(E$1:E4053)*(E4054=E$1:E4053)))))</f>
        <v> </v>
      </c>
      <c r="L4054" s="26"/>
    </row>
    <row r="4055" spans="1:12">
      <c r="A4055" s="20" t="s">
        <v>1083</v>
      </c>
      <c r="E4055" s="21">
        <f>IF(D4055="?OLD","!!!","")</f>
        <v/>
      </c>
      <c r="F4055" s="22" t="str">
        <f>IF(OR(E4055="",E4055="!!!"),"",IF(NOT(ISNA(VLOOKUP(E4055,E$1:E4054,1,FALSE()))),"OLD",IF(AND(E4055&lt;&gt;"",E4055&lt;&gt;"!!!"),"NEW","")))</f>
        <v> </v>
      </c>
      <c r="G4055" s="23" t="str">
        <f>IF(OR(E4055="",E4055="!!!"),"",IF(OR(J4055=0,AND(J4055=1,K4055=1),AND(J4055=1,I4055="SBJ"),AND(J4055=1,I4055=0)),"?IN_FOCUS",IF(J4055&lt;=2,"?ACTIVATED",IF(J4055&lt;&gt;"","?FAMILIAR",IF(F4055="NEW",IF(ISNA(VLOOKUP(E4055,#REF!,1,FALSE())),"?TYPE_IDENTIFIABLE","?REFERENTIAL"),"_")))))</f>
        <v> </v>
      </c>
      <c r="H4055" s="24" t="str">
        <f>IF(J4055&lt;&gt;1,"",IF(I4055="SBJ","CB","?"))</f>
        <v> </v>
      </c>
      <c r="I4055" s="25" t="str">
        <f>IF(OR(E4055="",E4055="!!!",F4055="NEW"),"",INDEX(B4054:B$2,-1+SUMPRODUCT(MAX(ROW(E4054:E$2)*(E4055=E4054:E$2)))))</f>
        <v> </v>
      </c>
      <c r="J4055" s="25" t="str">
        <f>IF(OR(E4055="",E4055="!!!",F4055="NEW"),"",COUNTBLANK(OFFSET(A$1,,,SUMPRODUCT(MAX(ROW(E$2:E4055)*(E4055=E$2:E4055)))))-COUNTBLANK(OFFSET(A$1,,,SUMPRODUCT(MAX(ROW(E$1:E4054)*(E2=E$1:E4054))))))</f>
        <v> </v>
      </c>
      <c r="K4055" s="25" t="str">
        <f>IF(OR(E4055="",E4055="!!!",F4055="NEW"),"",INDEX(J$1:J4054,SUMPRODUCT(MAX(ROW(E$1:E4054)*(E4055=E$1:E4054)))))</f>
        <v> </v>
      </c>
      <c r="L4055" s="26"/>
    </row>
    <row r="4056" spans="1:12">
      <c r="A4056" s="20" t="s">
        <v>1318</v>
      </c>
      <c r="E4056" s="21">
        <f>IF(D4056="?OLD","!!!","")</f>
        <v/>
      </c>
      <c r="F4056" s="22" t="str">
        <f>IF(OR(E4056="",E4056="!!!"),"",IF(NOT(ISNA(VLOOKUP(E4056,E$1:E4055,1,FALSE()))),"OLD",IF(AND(E4056&lt;&gt;"",E4056&lt;&gt;"!!!"),"NEW","")))</f>
        <v> </v>
      </c>
      <c r="G4056" s="23" t="str">
        <f>IF(OR(E4056="",E4056="!!!"),"",IF(OR(J4056=0,AND(J4056=1,K4056=1),AND(J4056=1,I4056="SBJ"),AND(J4056=1,I4056=0)),"?IN_FOCUS",IF(J4056&lt;=2,"?ACTIVATED",IF(J4056&lt;&gt;"","?FAMILIAR",IF(F4056="NEW",IF(ISNA(VLOOKUP(E4056,#REF!,1,FALSE())),"?TYPE_IDENTIFIABLE","?REFERENTIAL"),"_")))))</f>
        <v> </v>
      </c>
      <c r="H4056" s="24" t="str">
        <f>IF(J4056&lt;&gt;1,"",IF(I4056="SBJ","CB","?"))</f>
        <v> </v>
      </c>
      <c r="I4056" s="25" t="str">
        <f>IF(OR(E4056="",E4056="!!!",F4056="NEW"),"",INDEX(B4055:B$2,-1+SUMPRODUCT(MAX(ROW(E4055:E$2)*(E4056=E4055:E$2)))))</f>
        <v> </v>
      </c>
      <c r="J4056" s="25" t="str">
        <f>IF(OR(E4056="",E4056="!!!",F4056="NEW"),"",COUNTBLANK(OFFSET(A$1,,,SUMPRODUCT(MAX(ROW(E$2:E4056)*(E4056=E$2:E4056)))))-COUNTBLANK(OFFSET(A$1,,,SUMPRODUCT(MAX(ROW(E$1:E4055)*(E2=E$1:E4055))))))</f>
        <v> </v>
      </c>
      <c r="K4056" s="25" t="str">
        <f>IF(OR(E4056="",E4056="!!!",F4056="NEW"),"",INDEX(J$1:J4055,SUMPRODUCT(MAX(ROW(E$1:E4055)*(E4056=E$1:E4055)))))</f>
        <v> </v>
      </c>
      <c r="L4056" s="26"/>
    </row>
    <row r="4057" spans="1:12">
      <c r="A4057" s="20" t="s">
        <v>2319</v>
      </c>
      <c r="B4057" s="27" t="s">
        <v>1235</v>
      </c>
      <c r="C4057" s="27" t="s">
        <v>1134</v>
      </c>
      <c r="D4057" s="27" t="s">
        <v>1069</v>
      </c>
      <c r="E4057" s="21">
        <f>IF(D4057="?OLD","!!!","")</f>
        <v/>
      </c>
      <c r="F4057" s="22" t="str">
        <f>IF(OR(E4057="",E4057="!!!"),"",IF(NOT(ISNA(VLOOKUP(E4057,E$1:E4056,1,FALSE()))),"OLD",IF(AND(E4057&lt;&gt;"",E4057&lt;&gt;"!!!"),"NEW","")))</f>
        <v> </v>
      </c>
      <c r="G4057" s="23" t="str">
        <f>IF(OR(E4057="",E4057="!!!"),"",IF(OR(J4057=0,AND(J4057=1,K4057=1),AND(J4057=1,I4057="SBJ"),AND(J4057=1,I4057=0)),"?IN_FOCUS",IF(J4057&lt;=2,"?ACTIVATED",IF(J4057&lt;&gt;"","?FAMILIAR",IF(F4057="NEW",IF(ISNA(VLOOKUP(E4057,#REF!,1,FALSE())),"?TYPE_IDENTIFIABLE","?REFERENTIAL"),"_")))))</f>
        <v> </v>
      </c>
      <c r="H4057" s="24" t="str">
        <f>IF(J4057&lt;&gt;1,"",IF(I4057="SBJ","CB","?"))</f>
        <v> </v>
      </c>
      <c r="I4057" s="25" t="str">
        <f>IF(OR(E4057="",E4057="!!!",F4057="NEW"),"",INDEX(B4056:B$2,-1+SUMPRODUCT(MAX(ROW(E4056:E$2)*(E4057=E4056:E$2)))))</f>
        <v> </v>
      </c>
      <c r="J4057" s="25" t="str">
        <f>IF(OR(E4057="",E4057="!!!",F4057="NEW"),"",COUNTBLANK(OFFSET(A$1,,,SUMPRODUCT(MAX(ROW(E$2:E4057)*(E4057=E$2:E4057)))))-COUNTBLANK(OFFSET(A$1,,,SUMPRODUCT(MAX(ROW(E$1:E4056)*(E2=E$1:E4056))))))</f>
        <v> </v>
      </c>
      <c r="K4057" s="25" t="str">
        <f>IF(OR(E4057="",E4057="!!!",F4057="NEW"),"",INDEX(J$1:J4056,SUMPRODUCT(MAX(ROW(E$1:E4056)*(E4057=E$1:E4056)))))</f>
        <v> </v>
      </c>
      <c r="L4057" s="26"/>
    </row>
    <row r="4058" spans="1:12">
      <c r="A4058" s="20" t="s">
        <v>1318</v>
      </c>
      <c r="E4058" s="21">
        <f>IF(D4058="?OLD","!!!","")</f>
        <v/>
      </c>
      <c r="F4058" s="22" t="str">
        <f>IF(OR(E4058="",E4058="!!!"),"",IF(NOT(ISNA(VLOOKUP(E4058,E$1:E4057,1,FALSE()))),"OLD",IF(AND(E4058&lt;&gt;"",E4058&lt;&gt;"!!!"),"NEW","")))</f>
        <v> </v>
      </c>
      <c r="G4058" s="23" t="str">
        <f>IF(OR(E4058="",E4058="!!!"),"",IF(OR(J4058=0,AND(J4058=1,K4058=1),AND(J4058=1,I4058="SBJ"),AND(J4058=1,I4058=0)),"?IN_FOCUS",IF(J4058&lt;=2,"?ACTIVATED",IF(J4058&lt;&gt;"","?FAMILIAR",IF(F4058="NEW",IF(ISNA(VLOOKUP(E4058,#REF!,1,FALSE())),"?TYPE_IDENTIFIABLE","?REFERENTIAL"),"_")))))</f>
        <v> </v>
      </c>
      <c r="H4058" s="24" t="str">
        <f>IF(J4058&lt;&gt;1,"",IF(I4058="SBJ","CB","?"))</f>
        <v> </v>
      </c>
      <c r="I4058" s="25" t="str">
        <f>IF(OR(E4058="",E4058="!!!",F4058="NEW"),"",INDEX(B4057:B$2,-1+SUMPRODUCT(MAX(ROW(E4057:E$2)*(E4058=E4057:E$2)))))</f>
        <v> </v>
      </c>
      <c r="J4058" s="25" t="str">
        <f>IF(OR(E4058="",E4058="!!!",F4058="NEW"),"",COUNTBLANK(OFFSET(A$1,,,SUMPRODUCT(MAX(ROW(E$2:E4058)*(E4058=E$2:E4058)))))-COUNTBLANK(OFFSET(A$1,,,SUMPRODUCT(MAX(ROW(E$1:E4057)*(E2=E$1:E4057))))))</f>
        <v> </v>
      </c>
      <c r="K4058" s="25" t="str">
        <f>IF(OR(E4058="",E4058="!!!",F4058="NEW"),"",INDEX(J$1:J4057,SUMPRODUCT(MAX(ROW(E$1:E4057)*(E4058=E$1:E4057)))))</f>
        <v> </v>
      </c>
      <c r="L4058" s="26"/>
    </row>
    <row r="4059" spans="1:12">
      <c r="A4059" s="20" t="s">
        <v>1224</v>
      </c>
      <c r="E4059" s="21">
        <f>IF(D4059="?OLD","!!!","")</f>
        <v/>
      </c>
      <c r="F4059" s="22" t="str">
        <f>IF(OR(E4059="",E4059="!!!"),"",IF(NOT(ISNA(VLOOKUP(E4059,E$1:E4058,1,FALSE()))),"OLD",IF(AND(E4059&lt;&gt;"",E4059&lt;&gt;"!!!"),"NEW","")))</f>
        <v> </v>
      </c>
      <c r="G4059" s="23" t="str">
        <f>IF(OR(E4059="",E4059="!!!"),"",IF(OR(J4059=0,AND(J4059=1,K4059=1),AND(J4059=1,I4059="SBJ"),AND(J4059=1,I4059=0)),"?IN_FOCUS",IF(J4059&lt;=2,"?ACTIVATED",IF(J4059&lt;&gt;"","?FAMILIAR",IF(F4059="NEW",IF(ISNA(VLOOKUP(E4059,#REF!,1,FALSE())),"?TYPE_IDENTIFIABLE","?REFERENTIAL"),"_")))))</f>
        <v> </v>
      </c>
      <c r="H4059" s="24" t="str">
        <f>IF(J4059&lt;&gt;1,"",IF(I4059="SBJ","CB","?"))</f>
        <v> </v>
      </c>
      <c r="I4059" s="25" t="str">
        <f>IF(OR(E4059="",E4059="!!!",F4059="NEW"),"",INDEX(B4058:B$2,-1+SUMPRODUCT(MAX(ROW(E4058:E$2)*(E4059=E4058:E$2)))))</f>
        <v> </v>
      </c>
      <c r="J4059" s="25" t="str">
        <f>IF(OR(E4059="",E4059="!!!",F4059="NEW"),"",COUNTBLANK(OFFSET(A$1,,,SUMPRODUCT(MAX(ROW(E$2:E4059)*(E4059=E$2:E4059)))))-COUNTBLANK(OFFSET(A$1,,,SUMPRODUCT(MAX(ROW(E$1:E4058)*(E2=E$1:E4058))))))</f>
        <v> </v>
      </c>
      <c r="K4059" s="25" t="str">
        <f>IF(OR(E4059="",E4059="!!!",F4059="NEW"),"",INDEX(J$1:J4058,SUMPRODUCT(MAX(ROW(E$1:E4058)*(E4059=E$1:E4058)))))</f>
        <v> </v>
      </c>
      <c r="L4059" s="26"/>
    </row>
    <row r="4060" spans="1:12">
      <c r="A4060" s="20" t="s">
        <v>1143</v>
      </c>
      <c r="E4060" s="21">
        <f>IF(D4060="?OLD","!!!","")</f>
        <v/>
      </c>
      <c r="F4060" s="22" t="str">
        <f>IF(OR(E4060="",E4060="!!!"),"",IF(NOT(ISNA(VLOOKUP(E4060,E$1:E4059,1,FALSE()))),"OLD",IF(AND(E4060&lt;&gt;"",E4060&lt;&gt;"!!!"),"NEW","")))</f>
        <v> </v>
      </c>
      <c r="G4060" s="23" t="str">
        <f>IF(OR(E4060="",E4060="!!!"),"",IF(OR(J4060=0,AND(J4060=1,K4060=1),AND(J4060=1,I4060="SBJ"),AND(J4060=1,I4060=0)),"?IN_FOCUS",IF(J4060&lt;=2,"?ACTIVATED",IF(J4060&lt;&gt;"","?FAMILIAR",IF(F4060="NEW",IF(ISNA(VLOOKUP(E4060,#REF!,1,FALSE())),"?TYPE_IDENTIFIABLE","?REFERENTIAL"),"_")))))</f>
        <v> </v>
      </c>
      <c r="H4060" s="24" t="str">
        <f>IF(J4060&lt;&gt;1,"",IF(I4060="SBJ","CB","?"))</f>
        <v> </v>
      </c>
      <c r="I4060" s="25" t="str">
        <f>IF(OR(E4060="",E4060="!!!",F4060="NEW"),"",INDEX(B4059:B$2,-1+SUMPRODUCT(MAX(ROW(E4059:E$2)*(E4060=E4059:E$2)))))</f>
        <v> </v>
      </c>
      <c r="J4060" s="25" t="str">
        <f>IF(OR(E4060="",E4060="!!!",F4060="NEW"),"",COUNTBLANK(OFFSET(A$1,,,SUMPRODUCT(MAX(ROW(E$2:E4060)*(E4060=E$2:E4060)))))-COUNTBLANK(OFFSET(A$1,,,SUMPRODUCT(MAX(ROW(E$1:E4059)*(E2=E$1:E4059))))))</f>
        <v> </v>
      </c>
      <c r="K4060" s="25" t="str">
        <f>IF(OR(E4060="",E4060="!!!",F4060="NEW"),"",INDEX(J$1:J4059,SUMPRODUCT(MAX(ROW(E$1:E4059)*(E4060=E$1:E4059)))))</f>
        <v> </v>
      </c>
      <c r="L4060" s="26"/>
    </row>
    <row r="4061" spans="1:12">
      <c r="A4061" s="20" t="s">
        <v>2320</v>
      </c>
      <c r="B4061" s="27" t="s">
        <v>1141</v>
      </c>
      <c r="C4061" s="27" t="s">
        <v>1086</v>
      </c>
      <c r="D4061" s="27" t="s">
        <v>1069</v>
      </c>
      <c r="E4061" s="21">
        <f>IF(D4061="?OLD","!!!","")</f>
        <v/>
      </c>
      <c r="F4061" s="22" t="str">
        <f>IF(OR(E4061="",E4061="!!!"),"",IF(NOT(ISNA(VLOOKUP(E4061,E$1:E4060,1,FALSE()))),"OLD",IF(AND(E4061&lt;&gt;"",E4061&lt;&gt;"!!!"),"NEW","")))</f>
        <v> </v>
      </c>
      <c r="G4061" s="23" t="str">
        <f>IF(OR(E4061="",E4061="!!!"),"",IF(OR(J4061=0,AND(J4061=1,K4061=1),AND(J4061=1,I4061="SBJ"),AND(J4061=1,I4061=0)),"?IN_FOCUS",IF(J4061&lt;=2,"?ACTIVATED",IF(J4061&lt;&gt;"","?FAMILIAR",IF(F4061="NEW",IF(ISNA(VLOOKUP(E4061,#REF!,1,FALSE())),"?TYPE_IDENTIFIABLE","?REFERENTIAL"),"_")))))</f>
        <v> </v>
      </c>
      <c r="H4061" s="24" t="str">
        <f>IF(J4061&lt;&gt;1,"",IF(I4061="SBJ","CB","?"))</f>
        <v> </v>
      </c>
      <c r="I4061" s="25" t="str">
        <f>IF(OR(E4061="",E4061="!!!",F4061="NEW"),"",INDEX(B4060:B$2,-1+SUMPRODUCT(MAX(ROW(E4060:E$2)*(E4061=E4060:E$2)))))</f>
        <v> </v>
      </c>
      <c r="J4061" s="25" t="str">
        <f>IF(OR(E4061="",E4061="!!!",F4061="NEW"),"",COUNTBLANK(OFFSET(A$1,,,SUMPRODUCT(MAX(ROW(E$2:E4061)*(E4061=E$2:E4061)))))-COUNTBLANK(OFFSET(A$1,,,SUMPRODUCT(MAX(ROW(E$1:E4060)*(E2=E$1:E4060))))))</f>
        <v> </v>
      </c>
      <c r="K4061" s="25" t="str">
        <f>IF(OR(E4061="",E4061="!!!",F4061="NEW"),"",INDEX(J$1:J4060,SUMPRODUCT(MAX(ROW(E$1:E4060)*(E4061=E$1:E4060)))))</f>
        <v> </v>
      </c>
      <c r="L4061" s="26"/>
    </row>
    <row r="4062" spans="1:12">
      <c r="A4062" s="20" t="s">
        <v>2321</v>
      </c>
      <c r="E4062" s="21">
        <f>IF(D4062="?OLD","!!!","")</f>
        <v/>
      </c>
      <c r="F4062" s="22" t="str">
        <f>IF(OR(E4062="",E4062="!!!"),"",IF(NOT(ISNA(VLOOKUP(E4062,E$1:E4061,1,FALSE()))),"OLD",IF(AND(E4062&lt;&gt;"",E4062&lt;&gt;"!!!"),"NEW","")))</f>
        <v> </v>
      </c>
      <c r="G4062" s="23" t="str">
        <f>IF(OR(E4062="",E4062="!!!"),"",IF(OR(J4062=0,AND(J4062=1,K4062=1),AND(J4062=1,I4062="SBJ"),AND(J4062=1,I4062=0)),"?IN_FOCUS",IF(J4062&lt;=2,"?ACTIVATED",IF(J4062&lt;&gt;"","?FAMILIAR",IF(F4062="NEW",IF(ISNA(VLOOKUP(E4062,#REF!,1,FALSE())),"?TYPE_IDENTIFIABLE","?REFERENTIAL"),"_")))))</f>
        <v> </v>
      </c>
      <c r="H4062" s="24" t="str">
        <f>IF(J4062&lt;&gt;1,"",IF(I4062="SBJ","CB","?"))</f>
        <v> </v>
      </c>
      <c r="I4062" s="25" t="str">
        <f>IF(OR(E4062="",E4062="!!!",F4062="NEW"),"",INDEX(B4061:B$2,-1+SUMPRODUCT(MAX(ROW(E4061:E$2)*(E4062=E4061:E$2)))))</f>
        <v> </v>
      </c>
      <c r="J4062" s="25" t="str">
        <f>IF(OR(E4062="",E4062="!!!",F4062="NEW"),"",COUNTBLANK(OFFSET(A$1,,,SUMPRODUCT(MAX(ROW(E$2:E4062)*(E4062=E$2:E4062)))))-COUNTBLANK(OFFSET(A$1,,,SUMPRODUCT(MAX(ROW(E$1:E4061)*(E2=E$1:E4061))))))</f>
        <v> </v>
      </c>
      <c r="K4062" s="25" t="str">
        <f>IF(OR(E4062="",E4062="!!!",F4062="NEW"),"",INDEX(J$1:J4061,SUMPRODUCT(MAX(ROW(E$1:E4061)*(E4062=E$1:E4061)))))</f>
        <v> </v>
      </c>
      <c r="L4062" s="26"/>
    </row>
    <row r="4063" spans="1:12">
      <c r="A4063" s="20" t="s">
        <v>1080</v>
      </c>
      <c r="E4063" s="21">
        <f>IF(D4063="?OLD","!!!","")</f>
        <v/>
      </c>
      <c r="F4063" s="22" t="str">
        <f>IF(OR(E4063="",E4063="!!!"),"",IF(NOT(ISNA(VLOOKUP(E4063,E$1:E4062,1,FALSE()))),"OLD",IF(AND(E4063&lt;&gt;"",E4063&lt;&gt;"!!!"),"NEW","")))</f>
        <v> </v>
      </c>
      <c r="G4063" s="23" t="str">
        <f>IF(OR(E4063="",E4063="!!!"),"",IF(OR(J4063=0,AND(J4063=1,K4063=1),AND(J4063=1,I4063="SBJ"),AND(J4063=1,I4063=0)),"?IN_FOCUS",IF(J4063&lt;=2,"?ACTIVATED",IF(J4063&lt;&gt;"","?FAMILIAR",IF(F4063="NEW",IF(ISNA(VLOOKUP(E4063,#REF!,1,FALSE())),"?TYPE_IDENTIFIABLE","?REFERENTIAL"),"_")))))</f>
        <v> </v>
      </c>
      <c r="H4063" s="24" t="str">
        <f>IF(J4063&lt;&gt;1,"",IF(I4063="SBJ","CB","?"))</f>
        <v> </v>
      </c>
      <c r="I4063" s="25" t="str">
        <f>IF(OR(E4063="",E4063="!!!",F4063="NEW"),"",INDEX(B4062:B$2,-1+SUMPRODUCT(MAX(ROW(E4062:E$2)*(E4063=E4062:E$2)))))</f>
        <v> </v>
      </c>
      <c r="J4063" s="25" t="str">
        <f>IF(OR(E4063="",E4063="!!!",F4063="NEW"),"",COUNTBLANK(OFFSET(A$1,,,SUMPRODUCT(MAX(ROW(E$2:E4063)*(E4063=E$2:E4063)))))-COUNTBLANK(OFFSET(A$1,,,SUMPRODUCT(MAX(ROW(E$1:E4062)*(E2=E$1:E4062))))))</f>
        <v> </v>
      </c>
      <c r="K4063" s="25" t="str">
        <f>IF(OR(E4063="",E4063="!!!",F4063="NEW"),"",INDEX(J$1:J4062,SUMPRODUCT(MAX(ROW(E$1:E4062)*(E4063=E$1:E4062)))))</f>
        <v> </v>
      </c>
      <c r="L4063" s="26"/>
    </row>
    <row r="4064" spans="1:12">
      <c r="A4064" s="20"/>
    </row>
    <row r="4065" spans="1:12">
      <c r="A4065" s="20" t="s">
        <v>2322</v>
      </c>
    </row>
    <row r="4066" spans="1:12">
      <c r="A4066" s="20" t="s">
        <v>1158</v>
      </c>
      <c r="E4066" s="21">
        <f>IF(D4066="?OLD","!!!","")</f>
        <v/>
      </c>
      <c r="F4066" s="22" t="str">
        <f>IF(OR(E4066="",E4066="!!!"),"",IF(NOT(ISNA(VLOOKUP(E4066,E$1:E4065,1,FALSE()))),"OLD",IF(AND(E4066&lt;&gt;"",E4066&lt;&gt;"!!!"),"NEW","")))</f>
        <v> </v>
      </c>
      <c r="G4066" s="23" t="str">
        <f>IF(OR(E4066="",E4066="!!!"),"",IF(OR(J4066=0,AND(J4066=1,K4066=1),AND(J4066=1,I4066="SBJ"),AND(J4066=1,I4066=0)),"?IN_FOCUS",IF(J4066&lt;=2,"?ACTIVATED",IF(J4066&lt;&gt;"","?FAMILIAR",IF(F4066="NEW",IF(ISNA(VLOOKUP(E4066,#REF!,1,FALSE())),"?TYPE_IDENTIFIABLE","?REFERENTIAL"),"_")))))</f>
        <v> </v>
      </c>
      <c r="H4066" s="24" t="str">
        <f>IF(J4066&lt;&gt;1,"",IF(I4066="SBJ","CB","?"))</f>
        <v> </v>
      </c>
      <c r="I4066" s="25" t="str">
        <f>IF(OR(E4066="",E4066="!!!",F4066="NEW"),"",INDEX(B4065:B$2,-1+SUMPRODUCT(MAX(ROW(E4065:E$2)*(E4066=E4065:E$2)))))</f>
        <v> </v>
      </c>
      <c r="J4066" s="25" t="str">
        <f>IF(OR(E4066="",E4066="!!!",F4066="NEW"),"",COUNTBLANK(OFFSET(A$1,,,SUMPRODUCT(MAX(ROW(E$2:E4066)*(E4066=E$2:E4066)))))-COUNTBLANK(OFFSET(A$1,,,SUMPRODUCT(MAX(ROW(E$1:E4065)*(E2=E$1:E4065))))))</f>
        <v> </v>
      </c>
      <c r="K4066" s="25" t="str">
        <f>IF(OR(E4066="",E4066="!!!",F4066="NEW"),"",INDEX(J$1:J4065,SUMPRODUCT(MAX(ROW(E$1:E4065)*(E4066=E$1:E4065)))))</f>
        <v> </v>
      </c>
      <c r="L4066" s="26"/>
    </row>
    <row r="4067" spans="1:12">
      <c r="A4067" s="20" t="s">
        <v>1299</v>
      </c>
      <c r="E4067" s="21">
        <f>IF(D4067="?OLD","!!!","")</f>
        <v/>
      </c>
      <c r="F4067" s="22" t="str">
        <f>IF(OR(E4067="",E4067="!!!"),"",IF(NOT(ISNA(VLOOKUP(E4067,E$1:E4066,1,FALSE()))),"OLD",IF(AND(E4067&lt;&gt;"",E4067&lt;&gt;"!!!"),"NEW","")))</f>
        <v> </v>
      </c>
      <c r="G4067" s="23" t="str">
        <f>IF(OR(E4067="",E4067="!!!"),"",IF(OR(J4067=0,AND(J4067=1,K4067=1),AND(J4067=1,I4067="SBJ"),AND(J4067=1,I4067=0)),"?IN_FOCUS",IF(J4067&lt;=2,"?ACTIVATED",IF(J4067&lt;&gt;"","?FAMILIAR",IF(F4067="NEW",IF(ISNA(VLOOKUP(E4067,#REF!,1,FALSE())),"?TYPE_IDENTIFIABLE","?REFERENTIAL"),"_")))))</f>
        <v> </v>
      </c>
      <c r="H4067" s="24" t="str">
        <f>IF(J4067&lt;&gt;1,"",IF(I4067="SBJ","CB","?"))</f>
        <v> </v>
      </c>
      <c r="I4067" s="25" t="str">
        <f>IF(OR(E4067="",E4067="!!!",F4067="NEW"),"",INDEX(B4066:B$2,-1+SUMPRODUCT(MAX(ROW(E4066:E$2)*(E4067=E4066:E$2)))))</f>
        <v> </v>
      </c>
      <c r="J4067" s="25" t="str">
        <f>IF(OR(E4067="",E4067="!!!",F4067="NEW"),"",COUNTBLANK(OFFSET(A$1,,,SUMPRODUCT(MAX(ROW(E$2:E4067)*(E4067=E$2:E4067)))))-COUNTBLANK(OFFSET(A$1,,,SUMPRODUCT(MAX(ROW(E$1:E4066)*(E2=E$1:E4066))))))</f>
        <v> </v>
      </c>
      <c r="K4067" s="25" t="str">
        <f>IF(OR(E4067="",E4067="!!!",F4067="NEW"),"",INDEX(J$1:J4066,SUMPRODUCT(MAX(ROW(E$1:E4066)*(E4067=E$1:E4066)))))</f>
        <v> </v>
      </c>
      <c r="L4067" s="26"/>
    </row>
    <row r="4068" spans="1:12">
      <c r="A4068" s="20" t="s">
        <v>2323</v>
      </c>
      <c r="E4068" s="21">
        <f>IF(D4068="?OLD","!!!","")</f>
        <v/>
      </c>
      <c r="F4068" s="22" t="str">
        <f>IF(OR(E4068="",E4068="!!!"),"",IF(NOT(ISNA(VLOOKUP(E4068,E$1:E4067,1,FALSE()))),"OLD",IF(AND(E4068&lt;&gt;"",E4068&lt;&gt;"!!!"),"NEW","")))</f>
        <v> </v>
      </c>
      <c r="G4068" s="23" t="str">
        <f>IF(OR(E4068="",E4068="!!!"),"",IF(OR(J4068=0,AND(J4068=1,K4068=1),AND(J4068=1,I4068="SBJ"),AND(J4068=1,I4068=0)),"?IN_FOCUS",IF(J4068&lt;=2,"?ACTIVATED",IF(J4068&lt;&gt;"","?FAMILIAR",IF(F4068="NEW",IF(ISNA(VLOOKUP(E4068,#REF!,1,FALSE())),"?TYPE_IDENTIFIABLE","?REFERENTIAL"),"_")))))</f>
        <v> </v>
      </c>
      <c r="H4068" s="24" t="str">
        <f>IF(J4068&lt;&gt;1,"",IF(I4068="SBJ","CB","?"))</f>
        <v> </v>
      </c>
      <c r="I4068" s="25" t="str">
        <f>IF(OR(E4068="",E4068="!!!",F4068="NEW"),"",INDEX(B4067:B$2,-1+SUMPRODUCT(MAX(ROW(E4067:E$2)*(E4068=E4067:E$2)))))</f>
        <v> </v>
      </c>
      <c r="J4068" s="25" t="str">
        <f>IF(OR(E4068="",E4068="!!!",F4068="NEW"),"",COUNTBLANK(OFFSET(A$1,,,SUMPRODUCT(MAX(ROW(E$2:E4068)*(E4068=E$2:E4068)))))-COUNTBLANK(OFFSET(A$1,,,SUMPRODUCT(MAX(ROW(E$1:E4067)*(E2=E$1:E4067))))))</f>
        <v> </v>
      </c>
      <c r="K4068" s="25" t="str">
        <f>IF(OR(E4068="",E4068="!!!",F4068="NEW"),"",INDEX(J$1:J4067,SUMPRODUCT(MAX(ROW(E$1:E4067)*(E4068=E$1:E4067)))))</f>
        <v> </v>
      </c>
      <c r="L4068" s="26"/>
    </row>
    <row r="4069" spans="1:12">
      <c r="A4069" s="20" t="s">
        <v>2313</v>
      </c>
      <c r="B4069" s="27" t="s">
        <v>1067</v>
      </c>
      <c r="C4069" s="27" t="s">
        <v>1077</v>
      </c>
      <c r="E4069" s="21">
        <f>IF(D4069="?OLD","!!!","")</f>
        <v/>
      </c>
      <c r="F4069" s="22" t="str">
        <f>IF(OR(E4069="",E4069="!!!"),"",IF(NOT(ISNA(VLOOKUP(E4069,E$1:E4068,1,FALSE()))),"OLD",IF(AND(E4069&lt;&gt;"",E4069&lt;&gt;"!!!"),"NEW","")))</f>
        <v> </v>
      </c>
      <c r="G4069" s="23" t="str">
        <f>IF(OR(E4069="",E4069="!!!"),"",IF(OR(J4069=0,AND(J4069=1,K4069=1),AND(J4069=1,I4069="SBJ"),AND(J4069=1,I4069=0)),"?IN_FOCUS",IF(J4069&lt;=2,"?ACTIVATED",IF(J4069&lt;&gt;"","?FAMILIAR",IF(F4069="NEW",IF(ISNA(VLOOKUP(E4069,#REF!,1,FALSE())),"?TYPE_IDENTIFIABLE","?REFERENTIAL"),"_")))))</f>
        <v> </v>
      </c>
      <c r="H4069" s="24" t="str">
        <f>IF(J4069&lt;&gt;1,"",IF(I4069="SBJ","CB","?"))</f>
        <v> </v>
      </c>
      <c r="I4069" s="25" t="str">
        <f>IF(OR(E4069="",E4069="!!!",F4069="NEW"),"",INDEX(B4068:B$2,-1+SUMPRODUCT(MAX(ROW(E4068:E$2)*(E4069=E4068:E$2)))))</f>
        <v> </v>
      </c>
      <c r="J4069" s="25" t="str">
        <f>IF(OR(E4069="",E4069="!!!",F4069="NEW"),"",COUNTBLANK(OFFSET(A$1,,,SUMPRODUCT(MAX(ROW(E$2:E4069)*(E4069=E$2:E4069)))))-COUNTBLANK(OFFSET(A$1,,,SUMPRODUCT(MAX(ROW(E$1:E4068)*(E2=E$1:E4068))))))</f>
        <v> </v>
      </c>
      <c r="K4069" s="25" t="str">
        <f>IF(OR(E4069="",E4069="!!!",F4069="NEW"),"",INDEX(J$1:J4068,SUMPRODUCT(MAX(ROW(E$1:E4068)*(E4069=E$1:E4068)))))</f>
        <v> </v>
      </c>
      <c r="L4069" s="26"/>
    </row>
    <row r="4070" spans="1:12">
      <c r="A4070" s="20" t="s">
        <v>1078</v>
      </c>
      <c r="E4070" s="21">
        <f>IF(D4070="?OLD","!!!","")</f>
        <v/>
      </c>
      <c r="F4070" s="22" t="str">
        <f>IF(OR(E4070="",E4070="!!!"),"",IF(NOT(ISNA(VLOOKUP(E4070,E$1:E4069,1,FALSE()))),"OLD",IF(AND(E4070&lt;&gt;"",E4070&lt;&gt;"!!!"),"NEW","")))</f>
        <v> </v>
      </c>
      <c r="G4070" s="23" t="str">
        <f>IF(OR(E4070="",E4070="!!!"),"",IF(OR(J4070=0,AND(J4070=1,K4070=1),AND(J4070=1,I4070="SBJ"),AND(J4070=1,I4070=0)),"?IN_FOCUS",IF(J4070&lt;=2,"?ACTIVATED",IF(J4070&lt;&gt;"","?FAMILIAR",IF(F4070="NEW",IF(ISNA(VLOOKUP(E4070,#REF!,1,FALSE())),"?TYPE_IDENTIFIABLE","?REFERENTIAL"),"_")))))</f>
        <v> </v>
      </c>
      <c r="H4070" s="24" t="str">
        <f>IF(J4070&lt;&gt;1,"",IF(I4070="SBJ","CB","?"))</f>
        <v> </v>
      </c>
      <c r="I4070" s="25" t="str">
        <f>IF(OR(E4070="",E4070="!!!",F4070="NEW"),"",INDEX(B4069:B$2,-1+SUMPRODUCT(MAX(ROW(E4069:E$2)*(E4070=E4069:E$2)))))</f>
        <v> </v>
      </c>
      <c r="J4070" s="25" t="str">
        <f>IF(OR(E4070="",E4070="!!!",F4070="NEW"),"",COUNTBLANK(OFFSET(A$1,,,SUMPRODUCT(MAX(ROW(E$2:E4070)*(E4070=E$2:E4070)))))-COUNTBLANK(OFFSET(A$1,,,SUMPRODUCT(MAX(ROW(E$1:E4069)*(E2=E$1:E4069))))))</f>
        <v> </v>
      </c>
      <c r="K4070" s="25" t="str">
        <f>IF(OR(E4070="",E4070="!!!",F4070="NEW"),"",INDEX(J$1:J4069,SUMPRODUCT(MAX(ROW(E$1:E4069)*(E4070=E$1:E4069)))))</f>
        <v> </v>
      </c>
      <c r="L4070" s="26"/>
    </row>
    <row r="4071" spans="1:12">
      <c r="A4071" s="20" t="s">
        <v>1104</v>
      </c>
      <c r="E4071" s="21">
        <f>IF(D4071="?OLD","!!!","")</f>
        <v/>
      </c>
      <c r="F4071" s="22" t="str">
        <f>IF(OR(E4071="",E4071="!!!"),"",IF(NOT(ISNA(VLOOKUP(E4071,E$1:E4070,1,FALSE()))),"OLD",IF(AND(E4071&lt;&gt;"",E4071&lt;&gt;"!!!"),"NEW","")))</f>
        <v> </v>
      </c>
      <c r="G4071" s="23" t="str">
        <f>IF(OR(E4071="",E4071="!!!"),"",IF(OR(J4071=0,AND(J4071=1,K4071=1),AND(J4071=1,I4071="SBJ"),AND(J4071=1,I4071=0)),"?IN_FOCUS",IF(J4071&lt;=2,"?ACTIVATED",IF(J4071&lt;&gt;"","?FAMILIAR",IF(F4071="NEW",IF(ISNA(VLOOKUP(E4071,#REF!,1,FALSE())),"?TYPE_IDENTIFIABLE","?REFERENTIAL"),"_")))))</f>
        <v> </v>
      </c>
      <c r="H4071" s="24" t="str">
        <f>IF(J4071&lt;&gt;1,"",IF(I4071="SBJ","CB","?"))</f>
        <v> </v>
      </c>
      <c r="I4071" s="25" t="str">
        <f>IF(OR(E4071="",E4071="!!!",F4071="NEW"),"",INDEX(B4070:B$2,-1+SUMPRODUCT(MAX(ROW(E4070:E$2)*(E4071=E4070:E$2)))))</f>
        <v> </v>
      </c>
      <c r="J4071" s="25" t="str">
        <f>IF(OR(E4071="",E4071="!!!",F4071="NEW"),"",COUNTBLANK(OFFSET(A$1,,,SUMPRODUCT(MAX(ROW(E$2:E4071)*(E4071=E$2:E4071)))))-COUNTBLANK(OFFSET(A$1,,,SUMPRODUCT(MAX(ROW(E$1:E4070)*(E2=E$1:E4070))))))</f>
        <v> </v>
      </c>
      <c r="K4071" s="25" t="str">
        <f>IF(OR(E4071="",E4071="!!!",F4071="NEW"),"",INDEX(J$1:J4070,SUMPRODUCT(MAX(ROW(E$1:E4070)*(E4071=E$1:E4070)))))</f>
        <v> </v>
      </c>
      <c r="L4071" s="26"/>
    </row>
    <row r="4072" spans="1:12">
      <c r="A4072" s="20" t="s">
        <v>1130</v>
      </c>
      <c r="B4072" s="27" t="s">
        <v>1071</v>
      </c>
      <c r="C4072" s="27" t="s">
        <v>1086</v>
      </c>
      <c r="D4072" s="27" t="s">
        <v>1069</v>
      </c>
      <c r="E4072" s="21">
        <f>IF(D4072="?OLD","!!!","")</f>
        <v/>
      </c>
      <c r="F4072" s="22" t="str">
        <f>IF(OR(E4072="",E4072="!!!"),"",IF(NOT(ISNA(VLOOKUP(E4072,E$1:E4071,1,FALSE()))),"OLD",IF(AND(E4072&lt;&gt;"",E4072&lt;&gt;"!!!"),"NEW","")))</f>
        <v> </v>
      </c>
      <c r="G4072" s="23" t="str">
        <f>IF(OR(E4072="",E4072="!!!"),"",IF(OR(J4072=0,AND(J4072=1,K4072=1),AND(J4072=1,I4072="SBJ"),AND(J4072=1,I4072=0)),"?IN_FOCUS",IF(J4072&lt;=2,"?ACTIVATED",IF(J4072&lt;&gt;"","?FAMILIAR",IF(F4072="NEW",IF(ISNA(VLOOKUP(E4072,#REF!,1,FALSE())),"?TYPE_IDENTIFIABLE","?REFERENTIAL"),"_")))))</f>
        <v> </v>
      </c>
      <c r="H4072" s="24" t="str">
        <f>IF(J4072&lt;&gt;1,"",IF(I4072="SBJ","CB","?"))</f>
        <v> </v>
      </c>
      <c r="I4072" s="25" t="str">
        <f>IF(OR(E4072="",E4072="!!!",F4072="NEW"),"",INDEX(B4071:B$2,-1+SUMPRODUCT(MAX(ROW(E4071:E$2)*(E4072=E4071:E$2)))))</f>
        <v> </v>
      </c>
      <c r="J4072" s="25" t="str">
        <f>IF(OR(E4072="",E4072="!!!",F4072="NEW"),"",COUNTBLANK(OFFSET(A$1,,,SUMPRODUCT(MAX(ROW(E$2:E4072)*(E4072=E$2:E4072)))))-COUNTBLANK(OFFSET(A$1,,,SUMPRODUCT(MAX(ROW(E$1:E4071)*(E2=E$1:E4071))))))</f>
        <v> </v>
      </c>
      <c r="K4072" s="25" t="str">
        <f>IF(OR(E4072="",E4072="!!!",F4072="NEW"),"",INDEX(J$1:J4071,SUMPRODUCT(MAX(ROW(E$1:E4071)*(E4072=E$1:E4071)))))</f>
        <v> </v>
      </c>
      <c r="L4072" s="26"/>
    </row>
    <row r="4073" spans="1:12">
      <c r="A4073" s="20" t="s">
        <v>1725</v>
      </c>
      <c r="E4073" s="21">
        <f>IF(D4073="?OLD","!!!","")</f>
        <v/>
      </c>
      <c r="F4073" s="22" t="str">
        <f>IF(OR(E4073="",E4073="!!!"),"",IF(NOT(ISNA(VLOOKUP(E4073,E$1:E4072,1,FALSE()))),"OLD",IF(AND(E4073&lt;&gt;"",E4073&lt;&gt;"!!!"),"NEW","")))</f>
        <v> </v>
      </c>
      <c r="G4073" s="23" t="str">
        <f>IF(OR(E4073="",E4073="!!!"),"",IF(OR(J4073=0,AND(J4073=1,K4073=1),AND(J4073=1,I4073="SBJ"),AND(J4073=1,I4073=0)),"?IN_FOCUS",IF(J4073&lt;=2,"?ACTIVATED",IF(J4073&lt;&gt;"","?FAMILIAR",IF(F4073="NEW",IF(ISNA(VLOOKUP(E4073,#REF!,1,FALSE())),"?TYPE_IDENTIFIABLE","?REFERENTIAL"),"_")))))</f>
        <v> </v>
      </c>
      <c r="H4073" s="24" t="str">
        <f>IF(J4073&lt;&gt;1,"",IF(I4073="SBJ","CB","?"))</f>
        <v> </v>
      </c>
      <c r="I4073" s="25" t="str">
        <f>IF(OR(E4073="",E4073="!!!",F4073="NEW"),"",INDEX(B4072:B$2,-1+SUMPRODUCT(MAX(ROW(E4072:E$2)*(E4073=E4072:E$2)))))</f>
        <v> </v>
      </c>
      <c r="J4073" s="25" t="str">
        <f>IF(OR(E4073="",E4073="!!!",F4073="NEW"),"",COUNTBLANK(OFFSET(A$1,,,SUMPRODUCT(MAX(ROW(E$2:E4073)*(E4073=E$2:E4073)))))-COUNTBLANK(OFFSET(A$1,,,SUMPRODUCT(MAX(ROW(E$1:E4072)*(E2=E$1:E4072))))))</f>
        <v> </v>
      </c>
      <c r="K4073" s="25" t="str">
        <f>IF(OR(E4073="",E4073="!!!",F4073="NEW"),"",INDEX(J$1:J4072,SUMPRODUCT(MAX(ROW(E$1:E4072)*(E4073=E$1:E4072)))))</f>
        <v> </v>
      </c>
      <c r="L4073" s="26"/>
    </row>
    <row r="4074" spans="1:12">
      <c r="A4074" s="20" t="s">
        <v>2324</v>
      </c>
      <c r="B4074" s="27" t="s">
        <v>1092</v>
      </c>
      <c r="C4074" s="27" t="s">
        <v>1086</v>
      </c>
      <c r="D4074" s="27" t="s">
        <v>1069</v>
      </c>
      <c r="E4074" s="21">
        <f>IF(D4074="?OLD","!!!","")</f>
        <v/>
      </c>
      <c r="F4074" s="22" t="str">
        <f>IF(OR(E4074="",E4074="!!!"),"",IF(NOT(ISNA(VLOOKUP(E4074,E$1:E4073,1,FALSE()))),"OLD",IF(AND(E4074&lt;&gt;"",E4074&lt;&gt;"!!!"),"NEW","")))</f>
        <v> </v>
      </c>
      <c r="G4074" s="23" t="str">
        <f>IF(OR(E4074="",E4074="!!!"),"",IF(OR(J4074=0,AND(J4074=1,K4074=1),AND(J4074=1,I4074="SBJ"),AND(J4074=1,I4074=0)),"?IN_FOCUS",IF(J4074&lt;=2,"?ACTIVATED",IF(J4074&lt;&gt;"","?FAMILIAR",IF(F4074="NEW",IF(ISNA(VLOOKUP(E4074,#REF!,1,FALSE())),"?TYPE_IDENTIFIABLE","?REFERENTIAL"),"_")))))</f>
        <v> </v>
      </c>
      <c r="H4074" s="24" t="str">
        <f>IF(J4074&lt;&gt;1,"",IF(I4074="SBJ","CB","?"))</f>
        <v> </v>
      </c>
      <c r="I4074" s="25" t="str">
        <f>IF(OR(E4074="",E4074="!!!",F4074="NEW"),"",INDEX(B4073:B$2,-1+SUMPRODUCT(MAX(ROW(E4073:E$2)*(E4074=E4073:E$2)))))</f>
        <v> </v>
      </c>
      <c r="J4074" s="25" t="str">
        <f>IF(OR(E4074="",E4074="!!!",F4074="NEW"),"",COUNTBLANK(OFFSET(A$1,,,SUMPRODUCT(MAX(ROW(E$2:E4074)*(E4074=E$2:E4074)))))-COUNTBLANK(OFFSET(A$1,,,SUMPRODUCT(MAX(ROW(E$1:E4073)*(E2=E$1:E4073))))))</f>
        <v> </v>
      </c>
      <c r="K4074" s="25" t="str">
        <f>IF(OR(E4074="",E4074="!!!",F4074="NEW"),"",INDEX(J$1:J4073,SUMPRODUCT(MAX(ROW(E$1:E4073)*(E4074=E$1:E4073)))))</f>
        <v> </v>
      </c>
      <c r="L4074" s="26"/>
    </row>
    <row r="4075" spans="1:12">
      <c r="A4075" s="20" t="s">
        <v>2325</v>
      </c>
      <c r="E4075" s="21">
        <f>IF(D4075="?OLD","!!!","")</f>
        <v/>
      </c>
      <c r="F4075" s="22" t="str">
        <f>IF(OR(E4075="",E4075="!!!"),"",IF(NOT(ISNA(VLOOKUP(E4075,E$1:E4074,1,FALSE()))),"OLD",IF(AND(E4075&lt;&gt;"",E4075&lt;&gt;"!!!"),"NEW","")))</f>
        <v> </v>
      </c>
      <c r="G4075" s="23" t="str">
        <f>IF(OR(E4075="",E4075="!!!"),"",IF(OR(J4075=0,AND(J4075=1,K4075=1),AND(J4075=1,I4075="SBJ"),AND(J4075=1,I4075=0)),"?IN_FOCUS",IF(J4075&lt;=2,"?ACTIVATED",IF(J4075&lt;&gt;"","?FAMILIAR",IF(F4075="NEW",IF(ISNA(VLOOKUP(E4075,#REF!,1,FALSE())),"?TYPE_IDENTIFIABLE","?REFERENTIAL"),"_")))))</f>
        <v> </v>
      </c>
      <c r="H4075" s="24" t="str">
        <f>IF(J4075&lt;&gt;1,"",IF(I4075="SBJ","CB","?"))</f>
        <v> </v>
      </c>
      <c r="I4075" s="25" t="str">
        <f>IF(OR(E4075="",E4075="!!!",F4075="NEW"),"",INDEX(B4074:B$2,-1+SUMPRODUCT(MAX(ROW(E4074:E$2)*(E4075=E4074:E$2)))))</f>
        <v> </v>
      </c>
      <c r="J4075" s="25" t="str">
        <f>IF(OR(E4075="",E4075="!!!",F4075="NEW"),"",COUNTBLANK(OFFSET(A$1,,,SUMPRODUCT(MAX(ROW(E$2:E4075)*(E4075=E$2:E4075)))))-COUNTBLANK(OFFSET(A$1,,,SUMPRODUCT(MAX(ROW(E$1:E4074)*(E2=E$1:E4074))))))</f>
        <v> </v>
      </c>
      <c r="K4075" s="25" t="str">
        <f>IF(OR(E4075="",E4075="!!!",F4075="NEW"),"",INDEX(J$1:J4074,SUMPRODUCT(MAX(ROW(E$1:E4074)*(E4075=E$1:E4074)))))</f>
        <v> </v>
      </c>
      <c r="L4075" s="26"/>
    </row>
    <row r="4076" spans="1:12">
      <c r="A4076" s="20" t="s">
        <v>1224</v>
      </c>
      <c r="E4076" s="21">
        <f>IF(D4076="?OLD","!!!","")</f>
        <v/>
      </c>
      <c r="F4076" s="22" t="str">
        <f>IF(OR(E4076="",E4076="!!!"),"",IF(NOT(ISNA(VLOOKUP(E4076,E$1:E4075,1,FALSE()))),"OLD",IF(AND(E4076&lt;&gt;"",E4076&lt;&gt;"!!!"),"NEW","")))</f>
        <v> </v>
      </c>
      <c r="G4076" s="23" t="str">
        <f>IF(OR(E4076="",E4076="!!!"),"",IF(OR(J4076=0,AND(J4076=1,K4076=1),AND(J4076=1,I4076="SBJ"),AND(J4076=1,I4076=0)),"?IN_FOCUS",IF(J4076&lt;=2,"?ACTIVATED",IF(J4076&lt;&gt;"","?FAMILIAR",IF(F4076="NEW",IF(ISNA(VLOOKUP(E4076,#REF!,1,FALSE())),"?TYPE_IDENTIFIABLE","?REFERENTIAL"),"_")))))</f>
        <v> </v>
      </c>
      <c r="H4076" s="24" t="str">
        <f>IF(J4076&lt;&gt;1,"",IF(I4076="SBJ","CB","?"))</f>
        <v> </v>
      </c>
      <c r="I4076" s="25" t="str">
        <f>IF(OR(E4076="",E4076="!!!",F4076="NEW"),"",INDEX(B4075:B$2,-1+SUMPRODUCT(MAX(ROW(E4075:E$2)*(E4076=E4075:E$2)))))</f>
        <v> </v>
      </c>
      <c r="J4076" s="25" t="str">
        <f>IF(OR(E4076="",E4076="!!!",F4076="NEW"),"",COUNTBLANK(OFFSET(A$1,,,SUMPRODUCT(MAX(ROW(E$2:E4076)*(E4076=E$2:E4076)))))-COUNTBLANK(OFFSET(A$1,,,SUMPRODUCT(MAX(ROW(E$1:E4075)*(E2=E$1:E4075))))))</f>
        <v> </v>
      </c>
      <c r="K4076" s="25" t="str">
        <f>IF(OR(E4076="",E4076="!!!",F4076="NEW"),"",INDEX(J$1:J4075,SUMPRODUCT(MAX(ROW(E$1:E4075)*(E4076=E$1:E4075)))))</f>
        <v> </v>
      </c>
      <c r="L4076" s="26"/>
    </row>
    <row r="4077" spans="1:12">
      <c r="A4077" s="20" t="s">
        <v>2326</v>
      </c>
      <c r="B4077" s="27" t="s">
        <v>1074</v>
      </c>
      <c r="C4077" s="27" t="s">
        <v>1134</v>
      </c>
      <c r="D4077" s="27" t="s">
        <v>1069</v>
      </c>
      <c r="E4077" s="21">
        <f>IF(D4077="?OLD","!!!","")</f>
        <v/>
      </c>
      <c r="F4077" s="22" t="str">
        <f>IF(OR(E4077="",E4077="!!!"),"",IF(NOT(ISNA(VLOOKUP(E4077,E$1:E4076,1,FALSE()))),"OLD",IF(AND(E4077&lt;&gt;"",E4077&lt;&gt;"!!!"),"NEW","")))</f>
        <v> </v>
      </c>
      <c r="G4077" s="23" t="str">
        <f>IF(OR(E4077="",E4077="!!!"),"",IF(OR(J4077=0,AND(J4077=1,K4077=1),AND(J4077=1,I4077="SBJ"),AND(J4077=1,I4077=0)),"?IN_FOCUS",IF(J4077&lt;=2,"?ACTIVATED",IF(J4077&lt;&gt;"","?FAMILIAR",IF(F4077="NEW",IF(ISNA(VLOOKUP(E4077,#REF!,1,FALSE())),"?TYPE_IDENTIFIABLE","?REFERENTIAL"),"_")))))</f>
        <v> </v>
      </c>
      <c r="H4077" s="24" t="str">
        <f>IF(J4077&lt;&gt;1,"",IF(I4077="SBJ","CB","?"))</f>
        <v> </v>
      </c>
      <c r="I4077" s="25" t="str">
        <f>IF(OR(E4077="",E4077="!!!",F4077="NEW"),"",INDEX(B4076:B$2,-1+SUMPRODUCT(MAX(ROW(E4076:E$2)*(E4077=E4076:E$2)))))</f>
        <v> </v>
      </c>
      <c r="J4077" s="25" t="str">
        <f>IF(OR(E4077="",E4077="!!!",F4077="NEW"),"",COUNTBLANK(OFFSET(A$1,,,SUMPRODUCT(MAX(ROW(E$2:E4077)*(E4077=E$2:E4077)))))-COUNTBLANK(OFFSET(A$1,,,SUMPRODUCT(MAX(ROW(E$1:E4076)*(E2=E$1:E4076))))))</f>
        <v> </v>
      </c>
      <c r="K4077" s="25" t="str">
        <f>IF(OR(E4077="",E4077="!!!",F4077="NEW"),"",INDEX(J$1:J4076,SUMPRODUCT(MAX(ROW(E$1:E4076)*(E4077=E$1:E4076)))))</f>
        <v> </v>
      </c>
      <c r="L4077" s="26"/>
    </row>
    <row r="4078" spans="1:12">
      <c r="A4078" s="20" t="s">
        <v>1087</v>
      </c>
      <c r="E4078" s="21">
        <f>IF(D4078="?OLD","!!!","")</f>
        <v/>
      </c>
      <c r="F4078" s="22" t="str">
        <f>IF(OR(E4078="",E4078="!!!"),"",IF(NOT(ISNA(VLOOKUP(E4078,E$1:E4077,1,FALSE()))),"OLD",IF(AND(E4078&lt;&gt;"",E4078&lt;&gt;"!!!"),"NEW","")))</f>
        <v> </v>
      </c>
      <c r="G4078" s="23" t="str">
        <f>IF(OR(E4078="",E4078="!!!"),"",IF(OR(J4078=0,AND(J4078=1,K4078=1),AND(J4078=1,I4078="SBJ"),AND(J4078=1,I4078=0)),"?IN_FOCUS",IF(J4078&lt;=2,"?ACTIVATED",IF(J4078&lt;&gt;"","?FAMILIAR",IF(F4078="NEW",IF(ISNA(VLOOKUP(E4078,#REF!,1,FALSE())),"?TYPE_IDENTIFIABLE","?REFERENTIAL"),"_")))))</f>
        <v> </v>
      </c>
      <c r="H4078" s="24" t="str">
        <f>IF(J4078&lt;&gt;1,"",IF(I4078="SBJ","CB","?"))</f>
        <v> </v>
      </c>
      <c r="I4078" s="25" t="str">
        <f>IF(OR(E4078="",E4078="!!!",F4078="NEW"),"",INDEX(B4077:B$2,-1+SUMPRODUCT(MAX(ROW(E4077:E$2)*(E4078=E4077:E$2)))))</f>
        <v> </v>
      </c>
      <c r="J4078" s="25" t="str">
        <f>IF(OR(E4078="",E4078="!!!",F4078="NEW"),"",COUNTBLANK(OFFSET(A$1,,,SUMPRODUCT(MAX(ROW(E$2:E4078)*(E4078=E$2:E4078)))))-COUNTBLANK(OFFSET(A$1,,,SUMPRODUCT(MAX(ROW(E$1:E4077)*(E2=E$1:E4077))))))</f>
        <v> </v>
      </c>
      <c r="K4078" s="25" t="str">
        <f>IF(OR(E4078="",E4078="!!!",F4078="NEW"),"",INDEX(J$1:J4077,SUMPRODUCT(MAX(ROW(E$1:E4077)*(E4078=E$1:E4077)))))</f>
        <v> </v>
      </c>
      <c r="L4078" s="26"/>
    </row>
    <row r="4079" spans="1:12">
      <c r="A4079" s="20" t="s">
        <v>2327</v>
      </c>
      <c r="B4079" s="27" t="s">
        <v>1071</v>
      </c>
      <c r="C4079" s="27" t="s">
        <v>1134</v>
      </c>
      <c r="D4079" s="27" t="s">
        <v>1069</v>
      </c>
      <c r="E4079" s="21">
        <f>IF(D4079="?OLD","!!!","")</f>
        <v/>
      </c>
      <c r="F4079" s="22" t="str">
        <f>IF(OR(E4079="",E4079="!!!"),"",IF(NOT(ISNA(VLOOKUP(E4079,E$1:E4078,1,FALSE()))),"OLD",IF(AND(E4079&lt;&gt;"",E4079&lt;&gt;"!!!"),"NEW","")))</f>
        <v> </v>
      </c>
      <c r="G4079" s="23" t="str">
        <f>IF(OR(E4079="",E4079="!!!"),"",IF(OR(J4079=0,AND(J4079=1,K4079=1),AND(J4079=1,I4079="SBJ"),AND(J4079=1,I4079=0)),"?IN_FOCUS",IF(J4079&lt;=2,"?ACTIVATED",IF(J4079&lt;&gt;"","?FAMILIAR",IF(F4079="NEW",IF(ISNA(VLOOKUP(E4079,#REF!,1,FALSE())),"?TYPE_IDENTIFIABLE","?REFERENTIAL"),"_")))))</f>
        <v> </v>
      </c>
      <c r="H4079" s="24" t="str">
        <f>IF(J4079&lt;&gt;1,"",IF(I4079="SBJ","CB","?"))</f>
        <v> </v>
      </c>
      <c r="I4079" s="25" t="str">
        <f>IF(OR(E4079="",E4079="!!!",F4079="NEW"),"",INDEX(B4078:B$2,-1+SUMPRODUCT(MAX(ROW(E4078:E$2)*(E4079=E4078:E$2)))))</f>
        <v> </v>
      </c>
      <c r="J4079" s="25" t="str">
        <f>IF(OR(E4079="",E4079="!!!",F4079="NEW"),"",COUNTBLANK(OFFSET(A$1,,,SUMPRODUCT(MAX(ROW(E$2:E4079)*(E4079=E$2:E4079)))))-COUNTBLANK(OFFSET(A$1,,,SUMPRODUCT(MAX(ROW(E$1:E4078)*(E2=E$1:E4078))))))</f>
        <v> </v>
      </c>
      <c r="K4079" s="25" t="str">
        <f>IF(OR(E4079="",E4079="!!!",F4079="NEW"),"",INDEX(J$1:J4078,SUMPRODUCT(MAX(ROW(E$1:E4078)*(E4079=E$1:E4078)))))</f>
        <v> </v>
      </c>
      <c r="L4079" s="26"/>
    </row>
    <row r="4080" spans="1:12">
      <c r="A4080" s="20" t="s">
        <v>1087</v>
      </c>
      <c r="E4080" s="21">
        <f>IF(D4080="?OLD","!!!","")</f>
        <v/>
      </c>
      <c r="F4080" s="22" t="str">
        <f>IF(OR(E4080="",E4080="!!!"),"",IF(NOT(ISNA(VLOOKUP(E4080,E$1:E4079,1,FALSE()))),"OLD",IF(AND(E4080&lt;&gt;"",E4080&lt;&gt;"!!!"),"NEW","")))</f>
        <v> </v>
      </c>
      <c r="G4080" s="23" t="str">
        <f>IF(OR(E4080="",E4080="!!!"),"",IF(OR(J4080=0,AND(J4080=1,K4080=1),AND(J4080=1,I4080="SBJ"),AND(J4080=1,I4080=0)),"?IN_FOCUS",IF(J4080&lt;=2,"?ACTIVATED",IF(J4080&lt;&gt;"","?FAMILIAR",IF(F4080="NEW",IF(ISNA(VLOOKUP(E4080,#REF!,1,FALSE())),"?TYPE_IDENTIFIABLE","?REFERENTIAL"),"_")))))</f>
        <v> </v>
      </c>
      <c r="H4080" s="24" t="str">
        <f>IF(J4080&lt;&gt;1,"",IF(I4080="SBJ","CB","?"))</f>
        <v> </v>
      </c>
      <c r="I4080" s="25" t="str">
        <f>IF(OR(E4080="",E4080="!!!",F4080="NEW"),"",INDEX(B4079:B$2,-1+SUMPRODUCT(MAX(ROW(E4079:E$2)*(E4080=E4079:E$2)))))</f>
        <v> </v>
      </c>
      <c r="J4080" s="25" t="str">
        <f>IF(OR(E4080="",E4080="!!!",F4080="NEW"),"",COUNTBLANK(OFFSET(A$1,,,SUMPRODUCT(MAX(ROW(E$2:E4080)*(E4080=E$2:E4080)))))-COUNTBLANK(OFFSET(A$1,,,SUMPRODUCT(MAX(ROW(E$1:E4079)*(E2=E$1:E4079))))))</f>
        <v> </v>
      </c>
      <c r="K4080" s="25" t="str">
        <f>IF(OR(E4080="",E4080="!!!",F4080="NEW"),"",INDEX(J$1:J4079,SUMPRODUCT(MAX(ROW(E$1:E4079)*(E4080=E$1:E4079)))))</f>
        <v> </v>
      </c>
      <c r="L4080" s="26"/>
    </row>
    <row r="4081" spans="1:12">
      <c r="A4081" s="20" t="s">
        <v>2077</v>
      </c>
      <c r="B4081" s="27" t="s">
        <v>1071</v>
      </c>
      <c r="C4081" s="27" t="s">
        <v>1134</v>
      </c>
      <c r="D4081" s="27" t="s">
        <v>1069</v>
      </c>
      <c r="E4081" s="21">
        <f>IF(D4081="?OLD","!!!","")</f>
        <v/>
      </c>
      <c r="F4081" s="22" t="str">
        <f>IF(OR(E4081="",E4081="!!!"),"",IF(NOT(ISNA(VLOOKUP(E4081,E$1:E4080,1,FALSE()))),"OLD",IF(AND(E4081&lt;&gt;"",E4081&lt;&gt;"!!!"),"NEW","")))</f>
        <v> </v>
      </c>
      <c r="G4081" s="23" t="str">
        <f>IF(OR(E4081="",E4081="!!!"),"",IF(OR(J4081=0,AND(J4081=1,K4081=1),AND(J4081=1,I4081="SBJ"),AND(J4081=1,I4081=0)),"?IN_FOCUS",IF(J4081&lt;=2,"?ACTIVATED",IF(J4081&lt;&gt;"","?FAMILIAR",IF(F4081="NEW",IF(ISNA(VLOOKUP(E4081,#REF!,1,FALSE())),"?TYPE_IDENTIFIABLE","?REFERENTIAL"),"_")))))</f>
        <v> </v>
      </c>
      <c r="H4081" s="24" t="str">
        <f>IF(J4081&lt;&gt;1,"",IF(I4081="SBJ","CB","?"))</f>
        <v> </v>
      </c>
      <c r="I4081" s="25" t="str">
        <f>IF(OR(E4081="",E4081="!!!",F4081="NEW"),"",INDEX(B4080:B$2,-1+SUMPRODUCT(MAX(ROW(E4080:E$2)*(E4081=E4080:E$2)))))</f>
        <v> </v>
      </c>
      <c r="J4081" s="25" t="str">
        <f>IF(OR(E4081="",E4081="!!!",F4081="NEW"),"",COUNTBLANK(OFFSET(A$1,,,SUMPRODUCT(MAX(ROW(E$2:E4081)*(E4081=E$2:E4081)))))-COUNTBLANK(OFFSET(A$1,,,SUMPRODUCT(MAX(ROW(E$1:E4080)*(E2=E$1:E4080))))))</f>
        <v> </v>
      </c>
      <c r="K4081" s="25" t="str">
        <f>IF(OR(E4081="",E4081="!!!",F4081="NEW"),"",INDEX(J$1:J4080,SUMPRODUCT(MAX(ROW(E$1:E4080)*(E4081=E$1:E4080)))))</f>
        <v> </v>
      </c>
      <c r="L4081" s="26"/>
    </row>
    <row r="4082" spans="1:12">
      <c r="A4082" s="20" t="s">
        <v>2328</v>
      </c>
      <c r="E4082" s="21">
        <f>IF(D4082="?OLD","!!!","")</f>
        <v/>
      </c>
      <c r="F4082" s="22" t="str">
        <f>IF(OR(E4082="",E4082="!!!"),"",IF(NOT(ISNA(VLOOKUP(E4082,E$1:E4081,1,FALSE()))),"OLD",IF(AND(E4082&lt;&gt;"",E4082&lt;&gt;"!!!"),"NEW","")))</f>
        <v> </v>
      </c>
      <c r="G4082" s="23" t="str">
        <f>IF(OR(E4082="",E4082="!!!"),"",IF(OR(J4082=0,AND(J4082=1,K4082=1),AND(J4082=1,I4082="SBJ"),AND(J4082=1,I4082=0)),"?IN_FOCUS",IF(J4082&lt;=2,"?ACTIVATED",IF(J4082&lt;&gt;"","?FAMILIAR",IF(F4082="NEW",IF(ISNA(VLOOKUP(E4082,#REF!,1,FALSE())),"?TYPE_IDENTIFIABLE","?REFERENTIAL"),"_")))))</f>
        <v> </v>
      </c>
      <c r="H4082" s="24" t="str">
        <f>IF(J4082&lt;&gt;1,"",IF(I4082="SBJ","CB","?"))</f>
        <v> </v>
      </c>
      <c r="I4082" s="25" t="str">
        <f>IF(OR(E4082="",E4082="!!!",F4082="NEW"),"",INDEX(B4081:B$2,-1+SUMPRODUCT(MAX(ROW(E4081:E$2)*(E4082=E4081:E$2)))))</f>
        <v> </v>
      </c>
      <c r="J4082" s="25" t="str">
        <f>IF(OR(E4082="",E4082="!!!",F4082="NEW"),"",COUNTBLANK(OFFSET(A$1,,,SUMPRODUCT(MAX(ROW(E$2:E4082)*(E4082=E$2:E4082)))))-COUNTBLANK(OFFSET(A$1,,,SUMPRODUCT(MAX(ROW(E$1:E4081)*(E2=E$1:E4081))))))</f>
        <v> </v>
      </c>
      <c r="K4082" s="25" t="str">
        <f>IF(OR(E4082="",E4082="!!!",F4082="NEW"),"",INDEX(J$1:J4081,SUMPRODUCT(MAX(ROW(E$1:E4081)*(E4082=E$1:E4081)))))</f>
        <v> </v>
      </c>
      <c r="L4082" s="26"/>
    </row>
    <row r="4083" spans="1:12">
      <c r="A4083" s="20"/>
    </row>
    <row r="4084" spans="1:12">
      <c r="A4084" s="20" t="s">
        <v>2329</v>
      </c>
    </row>
    <row r="4085" spans="1:12">
      <c r="A4085" s="20" t="s">
        <v>1311</v>
      </c>
      <c r="B4085" s="27" t="s">
        <v>1067</v>
      </c>
      <c r="C4085" s="27" t="s">
        <v>1068</v>
      </c>
      <c r="D4085" s="27" t="s">
        <v>1069</v>
      </c>
      <c r="E4085" s="21">
        <f>IF(D4085="?OLD","!!!","")</f>
        <v/>
      </c>
      <c r="F4085" s="22" t="str">
        <f>IF(OR(E4085="",E4085="!!!"),"",IF(NOT(ISNA(VLOOKUP(E4085,E$1:E4084,1,FALSE()))),"OLD",IF(AND(E4085&lt;&gt;"",E4085&lt;&gt;"!!!"),"NEW","")))</f>
        <v> </v>
      </c>
      <c r="G4085" s="23" t="str">
        <f>IF(OR(E4085="",E4085="!!!"),"",IF(OR(J4085=0,AND(J4085=1,K4085=1),AND(J4085=1,I4085="SBJ"),AND(J4085=1,I4085=0)),"?IN_FOCUS",IF(J4085&lt;=2,"?ACTIVATED",IF(J4085&lt;&gt;"","?FAMILIAR",IF(F4085="NEW",IF(ISNA(VLOOKUP(E4085,#REF!,1,FALSE())),"?TYPE_IDENTIFIABLE","?REFERENTIAL"),"_")))))</f>
        <v> </v>
      </c>
      <c r="H4085" s="24" t="str">
        <f>IF(J4085&lt;&gt;1,"",IF(I4085="SBJ","CB","?"))</f>
        <v> </v>
      </c>
      <c r="I4085" s="25" t="str">
        <f>IF(OR(E4085="",E4085="!!!",F4085="NEW"),"",INDEX(B4084:B$2,-1+SUMPRODUCT(MAX(ROW(E4084:E$2)*(E4085=E4084:E$2)))))</f>
        <v> </v>
      </c>
      <c r="J4085" s="25" t="str">
        <f>IF(OR(E4085="",E4085="!!!",F4085="NEW"),"",COUNTBLANK(OFFSET(A$1,,,SUMPRODUCT(MAX(ROW(E$2:E4085)*(E4085=E$2:E4085)))))-COUNTBLANK(OFFSET(A$1,,,SUMPRODUCT(MAX(ROW(E$1:E4084)*(E2=E$1:E4084))))))</f>
        <v> </v>
      </c>
      <c r="K4085" s="25" t="str">
        <f>IF(OR(E4085="",E4085="!!!",F4085="NEW"),"",INDEX(J$1:J4084,SUMPRODUCT(MAX(ROW(E$1:E4084)*(E4085=E$1:E4084)))))</f>
        <v> </v>
      </c>
      <c r="L4085" s="26"/>
    </row>
    <row r="4086" spans="1:12">
      <c r="A4086" s="20" t="s">
        <v>2305</v>
      </c>
      <c r="E4086" s="21">
        <f>IF(D4086="?OLD","!!!","")</f>
        <v/>
      </c>
      <c r="F4086" s="22" t="str">
        <f>IF(OR(E4086="",E4086="!!!"),"",IF(NOT(ISNA(VLOOKUP(E4086,E$1:E4085,1,FALSE()))),"OLD",IF(AND(E4086&lt;&gt;"",E4086&lt;&gt;"!!!"),"NEW","")))</f>
        <v> </v>
      </c>
      <c r="G4086" s="23" t="str">
        <f>IF(OR(E4086="",E4086="!!!"),"",IF(OR(J4086=0,AND(J4086=1,K4086=1),AND(J4086=1,I4086="SBJ"),AND(J4086=1,I4086=0)),"?IN_FOCUS",IF(J4086&lt;=2,"?ACTIVATED",IF(J4086&lt;&gt;"","?FAMILIAR",IF(F4086="NEW",IF(ISNA(VLOOKUP(E4086,#REF!,1,FALSE())),"?TYPE_IDENTIFIABLE","?REFERENTIAL"),"_")))))</f>
        <v> </v>
      </c>
      <c r="H4086" s="24" t="str">
        <f>IF(J4086&lt;&gt;1,"",IF(I4086="SBJ","CB","?"))</f>
        <v> </v>
      </c>
      <c r="I4086" s="25" t="str">
        <f>IF(OR(E4086="",E4086="!!!",F4086="NEW"),"",INDEX(B4085:B$2,-1+SUMPRODUCT(MAX(ROW(E4085:E$2)*(E4086=E4085:E$2)))))</f>
        <v> </v>
      </c>
      <c r="J4086" s="25" t="str">
        <f>IF(OR(E4086="",E4086="!!!",F4086="NEW"),"",COUNTBLANK(OFFSET(A$1,,,SUMPRODUCT(MAX(ROW(E$2:E4086)*(E4086=E$2:E4086)))))-COUNTBLANK(OFFSET(A$1,,,SUMPRODUCT(MAX(ROW(E$1:E4085)*(E2=E$1:E4085))))))</f>
        <v> </v>
      </c>
      <c r="K4086" s="25" t="str">
        <f>IF(OR(E4086="",E4086="!!!",F4086="NEW"),"",INDEX(J$1:J4085,SUMPRODUCT(MAX(ROW(E$1:E4085)*(E4086=E$1:E4085)))))</f>
        <v> </v>
      </c>
      <c r="L4086" s="26"/>
    </row>
    <row r="4087" spans="1:12">
      <c r="A4087" s="20" t="s">
        <v>1356</v>
      </c>
      <c r="E4087" s="21">
        <f>IF(D4087="?OLD","!!!","")</f>
        <v/>
      </c>
      <c r="F4087" s="22" t="str">
        <f>IF(OR(E4087="",E4087="!!!"),"",IF(NOT(ISNA(VLOOKUP(E4087,E$1:E4086,1,FALSE()))),"OLD",IF(AND(E4087&lt;&gt;"",E4087&lt;&gt;"!!!"),"NEW","")))</f>
        <v> </v>
      </c>
      <c r="G4087" s="23" t="str">
        <f>IF(OR(E4087="",E4087="!!!"),"",IF(OR(J4087=0,AND(J4087=1,K4087=1),AND(J4087=1,I4087="SBJ"),AND(J4087=1,I4087=0)),"?IN_FOCUS",IF(J4087&lt;=2,"?ACTIVATED",IF(J4087&lt;&gt;"","?FAMILIAR",IF(F4087="NEW",IF(ISNA(VLOOKUP(E4087,#REF!,1,FALSE())),"?TYPE_IDENTIFIABLE","?REFERENTIAL"),"_")))))</f>
        <v> </v>
      </c>
      <c r="H4087" s="24" t="str">
        <f>IF(J4087&lt;&gt;1,"",IF(I4087="SBJ","CB","?"))</f>
        <v> </v>
      </c>
      <c r="I4087" s="25" t="str">
        <f>IF(OR(E4087="",E4087="!!!",F4087="NEW"),"",INDEX(B4086:B$2,-1+SUMPRODUCT(MAX(ROW(E4086:E$2)*(E4087=E4086:E$2)))))</f>
        <v> </v>
      </c>
      <c r="J4087" s="25" t="str">
        <f>IF(OR(E4087="",E4087="!!!",F4087="NEW"),"",COUNTBLANK(OFFSET(A$1,,,SUMPRODUCT(MAX(ROW(E$2:E4087)*(E4087=E$2:E4087)))))-COUNTBLANK(OFFSET(A$1,,,SUMPRODUCT(MAX(ROW(E$1:E4086)*(E2=E$1:E4086))))))</f>
        <v> </v>
      </c>
      <c r="K4087" s="25" t="str">
        <f>IF(OR(E4087="",E4087="!!!",F4087="NEW"),"",INDEX(J$1:J4086,SUMPRODUCT(MAX(ROW(E$1:E4086)*(E4087=E$1:E4086)))))</f>
        <v> </v>
      </c>
      <c r="L4087" s="26"/>
    </row>
    <row r="4088" spans="1:12">
      <c r="A4088" s="20" t="s">
        <v>1078</v>
      </c>
      <c r="E4088" s="21">
        <f>IF(D4088="?OLD","!!!","")</f>
        <v/>
      </c>
      <c r="F4088" s="22" t="str">
        <f>IF(OR(E4088="",E4088="!!!"),"",IF(NOT(ISNA(VLOOKUP(E4088,E$1:E4087,1,FALSE()))),"OLD",IF(AND(E4088&lt;&gt;"",E4088&lt;&gt;"!!!"),"NEW","")))</f>
        <v> </v>
      </c>
      <c r="G4088" s="23" t="str">
        <f>IF(OR(E4088="",E4088="!!!"),"",IF(OR(J4088=0,AND(J4088=1,K4088=1),AND(J4088=1,I4088="SBJ"),AND(J4088=1,I4088=0)),"?IN_FOCUS",IF(J4088&lt;=2,"?ACTIVATED",IF(J4088&lt;&gt;"","?FAMILIAR",IF(F4088="NEW",IF(ISNA(VLOOKUP(E4088,#REF!,1,FALSE())),"?TYPE_IDENTIFIABLE","?REFERENTIAL"),"_")))))</f>
        <v> </v>
      </c>
      <c r="H4088" s="24" t="str">
        <f>IF(J4088&lt;&gt;1,"",IF(I4088="SBJ","CB","?"))</f>
        <v> </v>
      </c>
      <c r="I4088" s="25" t="str">
        <f>IF(OR(E4088="",E4088="!!!",F4088="NEW"),"",INDEX(B4087:B$2,-1+SUMPRODUCT(MAX(ROW(E4087:E$2)*(E4088=E4087:E$2)))))</f>
        <v> </v>
      </c>
      <c r="J4088" s="25" t="str">
        <f>IF(OR(E4088="",E4088="!!!",F4088="NEW"),"",COUNTBLANK(OFFSET(A$1,,,SUMPRODUCT(MAX(ROW(E$2:E4088)*(E4088=E$2:E4088)))))-COUNTBLANK(OFFSET(A$1,,,SUMPRODUCT(MAX(ROW(E$1:E4087)*(E2=E$1:E4087))))))</f>
        <v> </v>
      </c>
      <c r="K4088" s="25" t="str">
        <f>IF(OR(E4088="",E4088="!!!",F4088="NEW"),"",INDEX(J$1:J4087,SUMPRODUCT(MAX(ROW(E$1:E4087)*(E4088=E$1:E4087)))))</f>
        <v> </v>
      </c>
      <c r="L4088" s="26"/>
    </row>
    <row r="4089" spans="1:12">
      <c r="A4089" s="20" t="s">
        <v>1312</v>
      </c>
      <c r="E4089" s="21">
        <f>IF(D4089="?OLD","!!!","")</f>
        <v/>
      </c>
      <c r="F4089" s="22" t="str">
        <f>IF(OR(E4089="",E4089="!!!"),"",IF(NOT(ISNA(VLOOKUP(E4089,E$1:E4088,1,FALSE()))),"OLD",IF(AND(E4089&lt;&gt;"",E4089&lt;&gt;"!!!"),"NEW","")))</f>
        <v> </v>
      </c>
      <c r="G4089" s="23" t="str">
        <f>IF(OR(E4089="",E4089="!!!"),"",IF(OR(J4089=0,AND(J4089=1,K4089=1),AND(J4089=1,I4089="SBJ"),AND(J4089=1,I4089=0)),"?IN_FOCUS",IF(J4089&lt;=2,"?ACTIVATED",IF(J4089&lt;&gt;"","?FAMILIAR",IF(F4089="NEW",IF(ISNA(VLOOKUP(E4089,#REF!,1,FALSE())),"?TYPE_IDENTIFIABLE","?REFERENTIAL"),"_")))))</f>
        <v> </v>
      </c>
      <c r="H4089" s="24" t="str">
        <f>IF(J4089&lt;&gt;1,"",IF(I4089="SBJ","CB","?"))</f>
        <v> </v>
      </c>
      <c r="I4089" s="25" t="str">
        <f>IF(OR(E4089="",E4089="!!!",F4089="NEW"),"",INDEX(B4088:B$2,-1+SUMPRODUCT(MAX(ROW(E4088:E$2)*(E4089=E4088:E$2)))))</f>
        <v> </v>
      </c>
      <c r="J4089" s="25" t="str">
        <f>IF(OR(E4089="",E4089="!!!",F4089="NEW"),"",COUNTBLANK(OFFSET(A$1,,,SUMPRODUCT(MAX(ROW(E$2:E4089)*(E4089=E$2:E4089)))))-COUNTBLANK(OFFSET(A$1,,,SUMPRODUCT(MAX(ROW(E$1:E4088)*(E2=E$1:E4088))))))</f>
        <v> </v>
      </c>
      <c r="K4089" s="25" t="str">
        <f>IF(OR(E4089="",E4089="!!!",F4089="NEW"),"",INDEX(J$1:J4088,SUMPRODUCT(MAX(ROW(E$1:E4088)*(E4089=E$1:E4088)))))</f>
        <v> </v>
      </c>
      <c r="L4089" s="26"/>
    </row>
    <row r="4090" spans="1:12">
      <c r="A4090" s="20" t="s">
        <v>1113</v>
      </c>
      <c r="E4090" s="21">
        <f>IF(D4090="?OLD","!!!","")</f>
        <v/>
      </c>
      <c r="F4090" s="22" t="str">
        <f>IF(OR(E4090="",E4090="!!!"),"",IF(NOT(ISNA(VLOOKUP(E4090,E$1:E4089,1,FALSE()))),"OLD",IF(AND(E4090&lt;&gt;"",E4090&lt;&gt;"!!!"),"NEW","")))</f>
        <v> </v>
      </c>
      <c r="G4090" s="23" t="str">
        <f>IF(OR(E4090="",E4090="!!!"),"",IF(OR(J4090=0,AND(J4090=1,K4090=1),AND(J4090=1,I4090="SBJ"),AND(J4090=1,I4090=0)),"?IN_FOCUS",IF(J4090&lt;=2,"?ACTIVATED",IF(J4090&lt;&gt;"","?FAMILIAR",IF(F4090="NEW",IF(ISNA(VLOOKUP(E4090,#REF!,1,FALSE())),"?TYPE_IDENTIFIABLE","?REFERENTIAL"),"_")))))</f>
        <v> </v>
      </c>
      <c r="H4090" s="24" t="str">
        <f>IF(J4090&lt;&gt;1,"",IF(I4090="SBJ","CB","?"))</f>
        <v> </v>
      </c>
      <c r="I4090" s="25" t="str">
        <f>IF(OR(E4090="",E4090="!!!",F4090="NEW"),"",INDEX(B4089:B$2,-1+SUMPRODUCT(MAX(ROW(E4089:E$2)*(E4090=E4089:E$2)))))</f>
        <v> </v>
      </c>
      <c r="J4090" s="25" t="str">
        <f>IF(OR(E4090="",E4090="!!!",F4090="NEW"),"",COUNTBLANK(OFFSET(A$1,,,SUMPRODUCT(MAX(ROW(E$2:E4090)*(E4090=E$2:E4090)))))-COUNTBLANK(OFFSET(A$1,,,SUMPRODUCT(MAX(ROW(E$1:E4089)*(E2=E$1:E4089))))))</f>
        <v> </v>
      </c>
      <c r="K4090" s="25" t="str">
        <f>IF(OR(E4090="",E4090="!!!",F4090="NEW"),"",INDEX(J$1:J4089,SUMPRODUCT(MAX(ROW(E$1:E4089)*(E4090=E$1:E4089)))))</f>
        <v> </v>
      </c>
      <c r="L4090" s="26"/>
    </row>
    <row r="4091" spans="1:12">
      <c r="A4091" s="20" t="s">
        <v>2330</v>
      </c>
      <c r="B4091" s="27" t="s">
        <v>1090</v>
      </c>
      <c r="C4091" s="27" t="s">
        <v>1086</v>
      </c>
      <c r="D4091" s="27" t="s">
        <v>1069</v>
      </c>
      <c r="E4091" s="21">
        <f>IF(D4091="?OLD","!!!","")</f>
        <v/>
      </c>
      <c r="F4091" s="22" t="str">
        <f>IF(OR(E4091="",E4091="!!!"),"",IF(NOT(ISNA(VLOOKUP(E4091,E$1:E4090,1,FALSE()))),"OLD",IF(AND(E4091&lt;&gt;"",E4091&lt;&gt;"!!!"),"NEW","")))</f>
        <v> </v>
      </c>
      <c r="G4091" s="23" t="str">
        <f>IF(OR(E4091="",E4091="!!!"),"",IF(OR(J4091=0,AND(J4091=1,K4091=1),AND(J4091=1,I4091="SBJ"),AND(J4091=1,I4091=0)),"?IN_FOCUS",IF(J4091&lt;=2,"?ACTIVATED",IF(J4091&lt;&gt;"","?FAMILIAR",IF(F4091="NEW",IF(ISNA(VLOOKUP(E4091,#REF!,1,FALSE())),"?TYPE_IDENTIFIABLE","?REFERENTIAL"),"_")))))</f>
        <v> </v>
      </c>
      <c r="H4091" s="24" t="str">
        <f>IF(J4091&lt;&gt;1,"",IF(I4091="SBJ","CB","?"))</f>
        <v> </v>
      </c>
      <c r="I4091" s="25" t="str">
        <f>IF(OR(E4091="",E4091="!!!",F4091="NEW"),"",INDEX(B4090:B$2,-1+SUMPRODUCT(MAX(ROW(E4090:E$2)*(E4091=E4090:E$2)))))</f>
        <v> </v>
      </c>
      <c r="J4091" s="25" t="str">
        <f>IF(OR(E4091="",E4091="!!!",F4091="NEW"),"",COUNTBLANK(OFFSET(A$1,,,SUMPRODUCT(MAX(ROW(E$2:E4091)*(E4091=E$2:E4091)))))-COUNTBLANK(OFFSET(A$1,,,SUMPRODUCT(MAX(ROW(E$1:E4090)*(E2=E$1:E4090))))))</f>
        <v> </v>
      </c>
      <c r="K4091" s="25" t="str">
        <f>IF(OR(E4091="",E4091="!!!",F4091="NEW"),"",INDEX(J$1:J4090,SUMPRODUCT(MAX(ROW(E$1:E4090)*(E4091=E$1:E4090)))))</f>
        <v> </v>
      </c>
      <c r="L4091" s="26"/>
    </row>
    <row r="4092" spans="1:12">
      <c r="A4092" s="20" t="s">
        <v>2331</v>
      </c>
      <c r="E4092" s="21">
        <f>IF(D4092="?OLD","!!!","")</f>
        <v/>
      </c>
      <c r="F4092" s="22" t="str">
        <f>IF(OR(E4092="",E4092="!!!"),"",IF(NOT(ISNA(VLOOKUP(E4092,E$1:E4091,1,FALSE()))),"OLD",IF(AND(E4092&lt;&gt;"",E4092&lt;&gt;"!!!"),"NEW","")))</f>
        <v> </v>
      </c>
      <c r="G4092" s="23" t="str">
        <f>IF(OR(E4092="",E4092="!!!"),"",IF(OR(J4092=0,AND(J4092=1,K4092=1),AND(J4092=1,I4092="SBJ"),AND(J4092=1,I4092=0)),"?IN_FOCUS",IF(J4092&lt;=2,"?ACTIVATED",IF(J4092&lt;&gt;"","?FAMILIAR",IF(F4092="NEW",IF(ISNA(VLOOKUP(E4092,#REF!,1,FALSE())),"?TYPE_IDENTIFIABLE","?REFERENTIAL"),"_")))))</f>
        <v> </v>
      </c>
      <c r="H4092" s="24" t="str">
        <f>IF(J4092&lt;&gt;1,"",IF(I4092="SBJ","CB","?"))</f>
        <v> </v>
      </c>
      <c r="I4092" s="25" t="str">
        <f>IF(OR(E4092="",E4092="!!!",F4092="NEW"),"",INDEX(B4091:B$2,-1+SUMPRODUCT(MAX(ROW(E4091:E$2)*(E4092=E4091:E$2)))))</f>
        <v> </v>
      </c>
      <c r="J4092" s="25" t="str">
        <f>IF(OR(E4092="",E4092="!!!",F4092="NEW"),"",COUNTBLANK(OFFSET(A$1,,,SUMPRODUCT(MAX(ROW(E$2:E4092)*(E4092=E$2:E4092)))))-COUNTBLANK(OFFSET(A$1,,,SUMPRODUCT(MAX(ROW(E$1:E4091)*(E2=E$1:E4091))))))</f>
        <v> </v>
      </c>
      <c r="K4092" s="25" t="str">
        <f>IF(OR(E4092="",E4092="!!!",F4092="NEW"),"",INDEX(J$1:J4091,SUMPRODUCT(MAX(ROW(E$1:E4091)*(E4092=E$1:E4091)))))</f>
        <v> </v>
      </c>
      <c r="L4092" s="26"/>
    </row>
    <row r="4093" spans="1:12">
      <c r="A4093" s="20" t="s">
        <v>1078</v>
      </c>
      <c r="E4093" s="21">
        <f>IF(D4093="?OLD","!!!","")</f>
        <v/>
      </c>
      <c r="F4093" s="22" t="str">
        <f>IF(OR(E4093="",E4093="!!!"),"",IF(NOT(ISNA(VLOOKUP(E4093,E$1:E4092,1,FALSE()))),"OLD",IF(AND(E4093&lt;&gt;"",E4093&lt;&gt;"!!!"),"NEW","")))</f>
        <v> </v>
      </c>
      <c r="G4093" s="23" t="str">
        <f>IF(OR(E4093="",E4093="!!!"),"",IF(OR(J4093=0,AND(J4093=1,K4093=1),AND(J4093=1,I4093="SBJ"),AND(J4093=1,I4093=0)),"?IN_FOCUS",IF(J4093&lt;=2,"?ACTIVATED",IF(J4093&lt;&gt;"","?FAMILIAR",IF(F4093="NEW",IF(ISNA(VLOOKUP(E4093,#REF!,1,FALSE())),"?TYPE_IDENTIFIABLE","?REFERENTIAL"),"_")))))</f>
        <v> </v>
      </c>
      <c r="H4093" s="24" t="str">
        <f>IF(J4093&lt;&gt;1,"",IF(I4093="SBJ","CB","?"))</f>
        <v> </v>
      </c>
      <c r="I4093" s="25" t="str">
        <f>IF(OR(E4093="",E4093="!!!",F4093="NEW"),"",INDEX(B4092:B$2,-1+SUMPRODUCT(MAX(ROW(E4092:E$2)*(E4093=E4092:E$2)))))</f>
        <v> </v>
      </c>
      <c r="J4093" s="25" t="str">
        <f>IF(OR(E4093="",E4093="!!!",F4093="NEW"),"",COUNTBLANK(OFFSET(A$1,,,SUMPRODUCT(MAX(ROW(E$2:E4093)*(E4093=E$2:E4093)))))-COUNTBLANK(OFFSET(A$1,,,SUMPRODUCT(MAX(ROW(E$1:E4092)*(E2=E$1:E4092))))))</f>
        <v> </v>
      </c>
      <c r="K4093" s="25" t="str">
        <f>IF(OR(E4093="",E4093="!!!",F4093="NEW"),"",INDEX(J$1:J4092,SUMPRODUCT(MAX(ROW(E$1:E4092)*(E4093=E$1:E4092)))))</f>
        <v> </v>
      </c>
      <c r="L4093" s="26"/>
    </row>
    <row r="4094" spans="1:12">
      <c r="A4094" s="20" t="s">
        <v>1305</v>
      </c>
      <c r="E4094" s="21">
        <f>IF(D4094="?OLD","!!!","")</f>
        <v/>
      </c>
      <c r="F4094" s="22" t="str">
        <f>IF(OR(E4094="",E4094="!!!"),"",IF(NOT(ISNA(VLOOKUP(E4094,E$1:E4093,1,FALSE()))),"OLD",IF(AND(E4094&lt;&gt;"",E4094&lt;&gt;"!!!"),"NEW","")))</f>
        <v> </v>
      </c>
      <c r="G4094" s="23" t="str">
        <f>IF(OR(E4094="",E4094="!!!"),"",IF(OR(J4094=0,AND(J4094=1,K4094=1),AND(J4094=1,I4094="SBJ"),AND(J4094=1,I4094=0)),"?IN_FOCUS",IF(J4094&lt;=2,"?ACTIVATED",IF(J4094&lt;&gt;"","?FAMILIAR",IF(F4094="NEW",IF(ISNA(VLOOKUP(E4094,#REF!,1,FALSE())),"?TYPE_IDENTIFIABLE","?REFERENTIAL"),"_")))))</f>
        <v> </v>
      </c>
      <c r="H4094" s="24" t="str">
        <f>IF(J4094&lt;&gt;1,"",IF(I4094="SBJ","CB","?"))</f>
        <v> </v>
      </c>
      <c r="I4094" s="25" t="str">
        <f>IF(OR(E4094="",E4094="!!!",F4094="NEW"),"",INDEX(B4093:B$2,-1+SUMPRODUCT(MAX(ROW(E4093:E$2)*(E4094=E4093:E$2)))))</f>
        <v> </v>
      </c>
      <c r="J4094" s="25" t="str">
        <f>IF(OR(E4094="",E4094="!!!",F4094="NEW"),"",COUNTBLANK(OFFSET(A$1,,,SUMPRODUCT(MAX(ROW(E$2:E4094)*(E4094=E$2:E4094)))))-COUNTBLANK(OFFSET(A$1,,,SUMPRODUCT(MAX(ROW(E$1:E4093)*(E2=E$1:E4093))))))</f>
        <v> </v>
      </c>
      <c r="K4094" s="25" t="str">
        <f>IF(OR(E4094="",E4094="!!!",F4094="NEW"),"",INDEX(J$1:J4093,SUMPRODUCT(MAX(ROW(E$1:E4093)*(E4094=E$1:E4093)))))</f>
        <v> </v>
      </c>
      <c r="L4094" s="26"/>
    </row>
    <row r="4095" spans="1:12">
      <c r="A4095" s="20" t="s">
        <v>2312</v>
      </c>
      <c r="E4095" s="21">
        <f>IF(D4095="?OLD","!!!","")</f>
        <v/>
      </c>
      <c r="F4095" s="22" t="str">
        <f>IF(OR(E4095="",E4095="!!!"),"",IF(NOT(ISNA(VLOOKUP(E4095,E$1:E4094,1,FALSE()))),"OLD",IF(AND(E4095&lt;&gt;"",E4095&lt;&gt;"!!!"),"NEW","")))</f>
        <v> </v>
      </c>
      <c r="G4095" s="23" t="str">
        <f>IF(OR(E4095="",E4095="!!!"),"",IF(OR(J4095=0,AND(J4095=1,K4095=1),AND(J4095=1,I4095="SBJ"),AND(J4095=1,I4095=0)),"?IN_FOCUS",IF(J4095&lt;=2,"?ACTIVATED",IF(J4095&lt;&gt;"","?FAMILIAR",IF(F4095="NEW",IF(ISNA(VLOOKUP(E4095,#REF!,1,FALSE())),"?TYPE_IDENTIFIABLE","?REFERENTIAL"),"_")))))</f>
        <v> </v>
      </c>
      <c r="H4095" s="24" t="str">
        <f>IF(J4095&lt;&gt;1,"",IF(I4095="SBJ","CB","?"))</f>
        <v> </v>
      </c>
      <c r="I4095" s="25" t="str">
        <f>IF(OR(E4095="",E4095="!!!",F4095="NEW"),"",INDEX(B4094:B$2,-1+SUMPRODUCT(MAX(ROW(E4094:E$2)*(E4095=E4094:E$2)))))</f>
        <v> </v>
      </c>
      <c r="J4095" s="25" t="str">
        <f>IF(OR(E4095="",E4095="!!!",F4095="NEW"),"",COUNTBLANK(OFFSET(A$1,,,SUMPRODUCT(MAX(ROW(E$2:E4095)*(E4095=E$2:E4095)))))-COUNTBLANK(OFFSET(A$1,,,SUMPRODUCT(MAX(ROW(E$1:E4094)*(E2=E$1:E4094))))))</f>
        <v> </v>
      </c>
      <c r="K4095" s="25" t="str">
        <f>IF(OR(E4095="",E4095="!!!",F4095="NEW"),"",INDEX(J$1:J4094,SUMPRODUCT(MAX(ROW(E$1:E4094)*(E4095=E$1:E4094)))))</f>
        <v> </v>
      </c>
      <c r="L4095" s="26"/>
    </row>
    <row r="4096" spans="1:12">
      <c r="A4096" s="20" t="s">
        <v>1087</v>
      </c>
      <c r="E4096" s="21">
        <f>IF(D4096="?OLD","!!!","")</f>
        <v/>
      </c>
      <c r="F4096" s="22" t="str">
        <f>IF(OR(E4096="",E4096="!!!"),"",IF(NOT(ISNA(VLOOKUP(E4096,E$1:E4095,1,FALSE()))),"OLD",IF(AND(E4096&lt;&gt;"",E4096&lt;&gt;"!!!"),"NEW","")))</f>
        <v> </v>
      </c>
      <c r="G4096" s="23" t="str">
        <f>IF(OR(E4096="",E4096="!!!"),"",IF(OR(J4096=0,AND(J4096=1,K4096=1),AND(J4096=1,I4096="SBJ"),AND(J4096=1,I4096=0)),"?IN_FOCUS",IF(J4096&lt;=2,"?ACTIVATED",IF(J4096&lt;&gt;"","?FAMILIAR",IF(F4096="NEW",IF(ISNA(VLOOKUP(E4096,#REF!,1,FALSE())),"?TYPE_IDENTIFIABLE","?REFERENTIAL"),"_")))))</f>
        <v> </v>
      </c>
      <c r="H4096" s="24" t="str">
        <f>IF(J4096&lt;&gt;1,"",IF(I4096="SBJ","CB","?"))</f>
        <v> </v>
      </c>
      <c r="I4096" s="25" t="str">
        <f>IF(OR(E4096="",E4096="!!!",F4096="NEW"),"",INDEX(B4095:B$2,-1+SUMPRODUCT(MAX(ROW(E4095:E$2)*(E4096=E4095:E$2)))))</f>
        <v> </v>
      </c>
      <c r="J4096" s="25" t="str">
        <f>IF(OR(E4096="",E4096="!!!",F4096="NEW"),"",COUNTBLANK(OFFSET(A$1,,,SUMPRODUCT(MAX(ROW(E$2:E4096)*(E4096=E$2:E4096)))))-COUNTBLANK(OFFSET(A$1,,,SUMPRODUCT(MAX(ROW(E$1:E4095)*(E2=E$1:E4095))))))</f>
        <v> </v>
      </c>
      <c r="K4096" s="25" t="str">
        <f>IF(OR(E4096="",E4096="!!!",F4096="NEW"),"",INDEX(J$1:J4095,SUMPRODUCT(MAX(ROW(E$1:E4095)*(E4096=E$1:E4095)))))</f>
        <v> </v>
      </c>
      <c r="L4096" s="26"/>
    </row>
    <row r="4097" spans="1:12">
      <c r="A4097" s="20" t="s">
        <v>1166</v>
      </c>
      <c r="E4097" s="21">
        <f>IF(D4097="?OLD","!!!","")</f>
        <v/>
      </c>
      <c r="F4097" s="22" t="str">
        <f>IF(OR(E4097="",E4097="!!!"),"",IF(NOT(ISNA(VLOOKUP(E4097,E$1:E4096,1,FALSE()))),"OLD",IF(AND(E4097&lt;&gt;"",E4097&lt;&gt;"!!!"),"NEW","")))</f>
        <v> </v>
      </c>
      <c r="G4097" s="23" t="str">
        <f>IF(OR(E4097="",E4097="!!!"),"",IF(OR(J4097=0,AND(J4097=1,K4097=1),AND(J4097=1,I4097="SBJ"),AND(J4097=1,I4097=0)),"?IN_FOCUS",IF(J4097&lt;=2,"?ACTIVATED",IF(J4097&lt;&gt;"","?FAMILIAR",IF(F4097="NEW",IF(ISNA(VLOOKUP(E4097,#REF!,1,FALSE())),"?TYPE_IDENTIFIABLE","?REFERENTIAL"),"_")))))</f>
        <v> </v>
      </c>
      <c r="H4097" s="24" t="str">
        <f>IF(J4097&lt;&gt;1,"",IF(I4097="SBJ","CB","?"))</f>
        <v> </v>
      </c>
      <c r="I4097" s="25" t="str">
        <f>IF(OR(E4097="",E4097="!!!",F4097="NEW"),"",INDEX(B4096:B$2,-1+SUMPRODUCT(MAX(ROW(E4096:E$2)*(E4097=E4096:E$2)))))</f>
        <v> </v>
      </c>
      <c r="J4097" s="25" t="str">
        <f>IF(OR(E4097="",E4097="!!!",F4097="NEW"),"",COUNTBLANK(OFFSET(A$1,,,SUMPRODUCT(MAX(ROW(E$2:E4097)*(E4097=E$2:E4097)))))-COUNTBLANK(OFFSET(A$1,,,SUMPRODUCT(MAX(ROW(E$1:E4096)*(E2=E$1:E4096))))))</f>
        <v> </v>
      </c>
      <c r="K4097" s="25" t="str">
        <f>IF(OR(E4097="",E4097="!!!",F4097="NEW"),"",INDEX(J$1:J4096,SUMPRODUCT(MAX(ROW(E$1:E4096)*(E4097=E$1:E4096)))))</f>
        <v> </v>
      </c>
      <c r="L4097" s="26"/>
    </row>
    <row r="4098" spans="1:12">
      <c r="A4098" s="20" t="s">
        <v>2135</v>
      </c>
      <c r="B4098" s="27" t="s">
        <v>1133</v>
      </c>
      <c r="C4098" s="27" t="s">
        <v>1129</v>
      </c>
      <c r="D4098" s="27" t="s">
        <v>1069</v>
      </c>
      <c r="E4098" s="21">
        <f>IF(D4098="?OLD","!!!","")</f>
        <v/>
      </c>
      <c r="F4098" s="22" t="str">
        <f>IF(OR(E4098="",E4098="!!!"),"",IF(NOT(ISNA(VLOOKUP(E4098,E$1:E4097,1,FALSE()))),"OLD",IF(AND(E4098&lt;&gt;"",E4098&lt;&gt;"!!!"),"NEW","")))</f>
        <v> </v>
      </c>
      <c r="G4098" s="23" t="str">
        <f>IF(OR(E4098="",E4098="!!!"),"",IF(OR(J4098=0,AND(J4098=1,K4098=1),AND(J4098=1,I4098="SBJ"),AND(J4098=1,I4098=0)),"?IN_FOCUS",IF(J4098&lt;=2,"?ACTIVATED",IF(J4098&lt;&gt;"","?FAMILIAR",IF(F4098="NEW",IF(ISNA(VLOOKUP(E4098,#REF!,1,FALSE())),"?TYPE_IDENTIFIABLE","?REFERENTIAL"),"_")))))</f>
        <v> </v>
      </c>
      <c r="H4098" s="24" t="str">
        <f>IF(J4098&lt;&gt;1,"",IF(I4098="SBJ","CB","?"))</f>
        <v> </v>
      </c>
      <c r="I4098" s="25" t="str">
        <f>IF(OR(E4098="",E4098="!!!",F4098="NEW"),"",INDEX(B4097:B$2,-1+SUMPRODUCT(MAX(ROW(E4097:E$2)*(E4098=E4097:E$2)))))</f>
        <v> </v>
      </c>
      <c r="J4098" s="25" t="str">
        <f>IF(OR(E4098="",E4098="!!!",F4098="NEW"),"",COUNTBLANK(OFFSET(A$1,,,SUMPRODUCT(MAX(ROW(E$2:E4098)*(E4098=E$2:E4098)))))-COUNTBLANK(OFFSET(A$1,,,SUMPRODUCT(MAX(ROW(E$1:E4097)*(E2=E$1:E4097))))))</f>
        <v> </v>
      </c>
      <c r="K4098" s="25" t="str">
        <f>IF(OR(E4098="",E4098="!!!",F4098="NEW"),"",INDEX(J$1:J4097,SUMPRODUCT(MAX(ROW(E$1:E4097)*(E4098=E$1:E4097)))))</f>
        <v> </v>
      </c>
      <c r="L4098" s="26"/>
    </row>
    <row r="4099" spans="1:12">
      <c r="A4099" s="20" t="s">
        <v>1070</v>
      </c>
      <c r="B4099" s="27" t="s">
        <v>1141</v>
      </c>
      <c r="C4099" s="27" t="s">
        <v>1072</v>
      </c>
      <c r="E4099" s="21">
        <f>IF(D4099="?OLD","!!!","")</f>
        <v/>
      </c>
      <c r="F4099" s="22" t="str">
        <f>IF(OR(E4099="",E4099="!!!"),"",IF(NOT(ISNA(VLOOKUP(E4099,E$1:E4098,1,FALSE()))),"OLD",IF(AND(E4099&lt;&gt;"",E4099&lt;&gt;"!!!"),"NEW","")))</f>
        <v> </v>
      </c>
      <c r="G4099" s="23" t="str">
        <f>IF(OR(E4099="",E4099="!!!"),"",IF(OR(J4099=0,AND(J4099=1,K4099=1),AND(J4099=1,I4099="SBJ"),AND(J4099=1,I4099=0)),"?IN_FOCUS",IF(J4099&lt;=2,"?ACTIVATED",IF(J4099&lt;&gt;"","?FAMILIAR",IF(F4099="NEW",IF(ISNA(VLOOKUP(E4099,#REF!,1,FALSE())),"?TYPE_IDENTIFIABLE","?REFERENTIAL"),"_")))))</f>
        <v> </v>
      </c>
      <c r="H4099" s="24" t="str">
        <f>IF(J4099&lt;&gt;1,"",IF(I4099="SBJ","CB","?"))</f>
        <v> </v>
      </c>
      <c r="I4099" s="25" t="str">
        <f>IF(OR(E4099="",E4099="!!!",F4099="NEW"),"",INDEX(B4098:B$2,-1+SUMPRODUCT(MAX(ROW(E4098:E$2)*(E4099=E4098:E$2)))))</f>
        <v> </v>
      </c>
      <c r="J4099" s="25" t="str">
        <f>IF(OR(E4099="",E4099="!!!",F4099="NEW"),"",COUNTBLANK(OFFSET(A$1,,,SUMPRODUCT(MAX(ROW(E$2:E4099)*(E4099=E$2:E4099)))))-COUNTBLANK(OFFSET(A$1,,,SUMPRODUCT(MAX(ROW(E$1:E4098)*(E2=E$1:E4098))))))</f>
        <v> </v>
      </c>
      <c r="K4099" s="25" t="str">
        <f>IF(OR(E4099="",E4099="!!!",F4099="NEW"),"",INDEX(J$1:J4098,SUMPRODUCT(MAX(ROW(E$1:E4098)*(E4099=E$1:E4098)))))</f>
        <v> </v>
      </c>
      <c r="L4099" s="26"/>
    </row>
    <row r="4100" spans="1:12">
      <c r="A4100" s="20" t="s">
        <v>1097</v>
      </c>
      <c r="E4100" s="21">
        <f>IF(D4100="?OLD","!!!","")</f>
        <v/>
      </c>
      <c r="F4100" s="22" t="str">
        <f>IF(OR(E4100="",E4100="!!!"),"",IF(NOT(ISNA(VLOOKUP(E4100,E$1:E4099,1,FALSE()))),"OLD",IF(AND(E4100&lt;&gt;"",E4100&lt;&gt;"!!!"),"NEW","")))</f>
        <v> </v>
      </c>
      <c r="G4100" s="23" t="str">
        <f>IF(OR(E4100="",E4100="!!!"),"",IF(OR(J4100=0,AND(J4100=1,K4100=1),AND(J4100=1,I4100="SBJ"),AND(J4100=1,I4100=0)),"?IN_FOCUS",IF(J4100&lt;=2,"?ACTIVATED",IF(J4100&lt;&gt;"","?FAMILIAR",IF(F4100="NEW",IF(ISNA(VLOOKUP(E4100,#REF!,1,FALSE())),"?TYPE_IDENTIFIABLE","?REFERENTIAL"),"_")))))</f>
        <v> </v>
      </c>
      <c r="H4100" s="24" t="str">
        <f>IF(J4100&lt;&gt;1,"",IF(I4100="SBJ","CB","?"))</f>
        <v> </v>
      </c>
      <c r="I4100" s="25" t="str">
        <f>IF(OR(E4100="",E4100="!!!",F4100="NEW"),"",INDEX(B4099:B$2,-1+SUMPRODUCT(MAX(ROW(E4099:E$2)*(E4100=E4099:E$2)))))</f>
        <v> </v>
      </c>
      <c r="J4100" s="25" t="str">
        <f>IF(OR(E4100="",E4100="!!!",F4100="NEW"),"",COUNTBLANK(OFFSET(A$1,,,SUMPRODUCT(MAX(ROW(E$2:E4100)*(E4100=E$2:E4100)))))-COUNTBLANK(OFFSET(A$1,,,SUMPRODUCT(MAX(ROW(E$1:E4099)*(E2=E$1:E4099))))))</f>
        <v> </v>
      </c>
      <c r="K4100" s="25" t="str">
        <f>IF(OR(E4100="",E4100="!!!",F4100="NEW"),"",INDEX(J$1:J4099,SUMPRODUCT(MAX(ROW(E$1:E4099)*(E4100=E$1:E4099)))))</f>
        <v> </v>
      </c>
      <c r="L4100" s="26"/>
    </row>
    <row r="4101" spans="1:12">
      <c r="A4101" s="20" t="s">
        <v>2332</v>
      </c>
      <c r="B4101" s="27" t="s">
        <v>1092</v>
      </c>
      <c r="C4101" s="27" t="s">
        <v>1134</v>
      </c>
      <c r="D4101" s="27" t="s">
        <v>1069</v>
      </c>
      <c r="E4101" s="21">
        <f>IF(D4101="?OLD","!!!","")</f>
        <v/>
      </c>
      <c r="F4101" s="22" t="str">
        <f>IF(OR(E4101="",E4101="!!!"),"",IF(NOT(ISNA(VLOOKUP(E4101,E$1:E4100,1,FALSE()))),"OLD",IF(AND(E4101&lt;&gt;"",E4101&lt;&gt;"!!!"),"NEW","")))</f>
        <v> </v>
      </c>
      <c r="G4101" s="23" t="str">
        <f>IF(OR(E4101="",E4101="!!!"),"",IF(OR(J4101=0,AND(J4101=1,K4101=1),AND(J4101=1,I4101="SBJ"),AND(J4101=1,I4101=0)),"?IN_FOCUS",IF(J4101&lt;=2,"?ACTIVATED",IF(J4101&lt;&gt;"","?FAMILIAR",IF(F4101="NEW",IF(ISNA(VLOOKUP(E4101,#REF!,1,FALSE())),"?TYPE_IDENTIFIABLE","?REFERENTIAL"),"_")))))</f>
        <v> </v>
      </c>
      <c r="H4101" s="24" t="str">
        <f>IF(J4101&lt;&gt;1,"",IF(I4101="SBJ","CB","?"))</f>
        <v> </v>
      </c>
      <c r="I4101" s="25" t="str">
        <f>IF(OR(E4101="",E4101="!!!",F4101="NEW"),"",INDEX(B4100:B$2,-1+SUMPRODUCT(MAX(ROW(E4100:E$2)*(E4101=E4100:E$2)))))</f>
        <v> </v>
      </c>
      <c r="J4101" s="25" t="str">
        <f>IF(OR(E4101="",E4101="!!!",F4101="NEW"),"",COUNTBLANK(OFFSET(A$1,,,SUMPRODUCT(MAX(ROW(E$2:E4101)*(E4101=E$2:E4101)))))-COUNTBLANK(OFFSET(A$1,,,SUMPRODUCT(MAX(ROW(E$1:E4100)*(E2=E$1:E4100))))))</f>
        <v> </v>
      </c>
      <c r="K4101" s="25" t="str">
        <f>IF(OR(E4101="",E4101="!!!",F4101="NEW"),"",INDEX(J$1:J4100,SUMPRODUCT(MAX(ROW(E$1:E4100)*(E4101=E$1:E4100)))))</f>
        <v> </v>
      </c>
      <c r="L4101" s="26"/>
    </row>
    <row r="4102" spans="1:12">
      <c r="A4102" s="20" t="s">
        <v>2333</v>
      </c>
      <c r="E4102" s="21">
        <f>IF(D4102="?OLD","!!!","")</f>
        <v/>
      </c>
      <c r="F4102" s="22" t="str">
        <f>IF(OR(E4102="",E4102="!!!"),"",IF(NOT(ISNA(VLOOKUP(E4102,E$1:E4101,1,FALSE()))),"OLD",IF(AND(E4102&lt;&gt;"",E4102&lt;&gt;"!!!"),"NEW","")))</f>
        <v> </v>
      </c>
      <c r="G4102" s="23" t="str">
        <f>IF(OR(E4102="",E4102="!!!"),"",IF(OR(J4102=0,AND(J4102=1,K4102=1),AND(J4102=1,I4102="SBJ"),AND(J4102=1,I4102=0)),"?IN_FOCUS",IF(J4102&lt;=2,"?ACTIVATED",IF(J4102&lt;&gt;"","?FAMILIAR",IF(F4102="NEW",IF(ISNA(VLOOKUP(E4102,#REF!,1,FALSE())),"?TYPE_IDENTIFIABLE","?REFERENTIAL"),"_")))))</f>
        <v> </v>
      </c>
      <c r="H4102" s="24" t="str">
        <f>IF(J4102&lt;&gt;1,"",IF(I4102="SBJ","CB","?"))</f>
        <v> </v>
      </c>
      <c r="I4102" s="25" t="str">
        <f>IF(OR(E4102="",E4102="!!!",F4102="NEW"),"",INDEX(B4101:B$2,-1+SUMPRODUCT(MAX(ROW(E4101:E$2)*(E4102=E4101:E$2)))))</f>
        <v> </v>
      </c>
      <c r="J4102" s="25" t="str">
        <f>IF(OR(E4102="",E4102="!!!",F4102="NEW"),"",COUNTBLANK(OFFSET(A$1,,,SUMPRODUCT(MAX(ROW(E$2:E4102)*(E4102=E$2:E4102)))))-COUNTBLANK(OFFSET(A$1,,,SUMPRODUCT(MAX(ROW(E$1:E4101)*(E2=E$1:E4101))))))</f>
        <v> </v>
      </c>
      <c r="K4102" s="25" t="str">
        <f>IF(OR(E4102="",E4102="!!!",F4102="NEW"),"",INDEX(J$1:J4101,SUMPRODUCT(MAX(ROW(E$1:E4101)*(E4102=E$1:E4101)))))</f>
        <v> </v>
      </c>
      <c r="L4102" s="26"/>
    </row>
    <row r="4103" spans="1:12">
      <c r="A4103" s="20" t="s">
        <v>1080</v>
      </c>
      <c r="E4103" s="21">
        <f>IF(D4103="?OLD","!!!","")</f>
        <v/>
      </c>
      <c r="F4103" s="22" t="str">
        <f>IF(OR(E4103="",E4103="!!!"),"",IF(NOT(ISNA(VLOOKUP(E4103,E$1:E4102,1,FALSE()))),"OLD",IF(AND(E4103&lt;&gt;"",E4103&lt;&gt;"!!!"),"NEW","")))</f>
        <v> </v>
      </c>
      <c r="G4103" s="23" t="str">
        <f>IF(OR(E4103="",E4103="!!!"),"",IF(OR(J4103=0,AND(J4103=1,K4103=1),AND(J4103=1,I4103="SBJ"),AND(J4103=1,I4103=0)),"?IN_FOCUS",IF(J4103&lt;=2,"?ACTIVATED",IF(J4103&lt;&gt;"","?FAMILIAR",IF(F4103="NEW",IF(ISNA(VLOOKUP(E4103,#REF!,1,FALSE())),"?TYPE_IDENTIFIABLE","?REFERENTIAL"),"_")))))</f>
        <v> </v>
      </c>
      <c r="H4103" s="24" t="str">
        <f>IF(J4103&lt;&gt;1,"",IF(I4103="SBJ","CB","?"))</f>
        <v> </v>
      </c>
      <c r="I4103" s="25" t="str">
        <f>IF(OR(E4103="",E4103="!!!",F4103="NEW"),"",INDEX(B4102:B$2,-1+SUMPRODUCT(MAX(ROW(E4102:E$2)*(E4103=E4102:E$2)))))</f>
        <v> </v>
      </c>
      <c r="J4103" s="25" t="str">
        <f>IF(OR(E4103="",E4103="!!!",F4103="NEW"),"",COUNTBLANK(OFFSET(A$1,,,SUMPRODUCT(MAX(ROW(E$2:E4103)*(E4103=E$2:E4103)))))-COUNTBLANK(OFFSET(A$1,,,SUMPRODUCT(MAX(ROW(E$1:E4102)*(E2=E$1:E4102))))))</f>
        <v> </v>
      </c>
      <c r="K4103" s="25" t="str">
        <f>IF(OR(E4103="",E4103="!!!",F4103="NEW"),"",INDEX(J$1:J4102,SUMPRODUCT(MAX(ROW(E$1:E4102)*(E4103=E$1:E4102)))))</f>
        <v> </v>
      </c>
      <c r="L4103" s="26"/>
    </row>
    <row r="4104" spans="1:12">
      <c r="A4104" s="20"/>
    </row>
    <row r="4105" spans="1:12">
      <c r="A4105" s="20" t="s">
        <v>2334</v>
      </c>
    </row>
    <row r="4106" spans="1:12">
      <c r="A4106" s="20" t="s">
        <v>1311</v>
      </c>
      <c r="B4106" s="27" t="s">
        <v>1067</v>
      </c>
      <c r="C4106" s="27" t="s">
        <v>1068</v>
      </c>
      <c r="D4106" s="27" t="s">
        <v>1069</v>
      </c>
      <c r="E4106" s="21">
        <f>IF(D4106="?OLD","!!!","")</f>
        <v/>
      </c>
      <c r="F4106" s="22" t="str">
        <f>IF(OR(E4106="",E4106="!!!"),"",IF(NOT(ISNA(VLOOKUP(E4106,E$1:E4105,1,FALSE()))),"OLD",IF(AND(E4106&lt;&gt;"",E4106&lt;&gt;"!!!"),"NEW","")))</f>
        <v> </v>
      </c>
      <c r="G4106" s="23" t="str">
        <f>IF(OR(E4106="",E4106="!!!"),"",IF(OR(J4106=0,AND(J4106=1,K4106=1),AND(J4106=1,I4106="SBJ"),AND(J4106=1,I4106=0)),"?IN_FOCUS",IF(J4106&lt;=2,"?ACTIVATED",IF(J4106&lt;&gt;"","?FAMILIAR",IF(F4106="NEW",IF(ISNA(VLOOKUP(E4106,#REF!,1,FALSE())),"?TYPE_IDENTIFIABLE","?REFERENTIAL"),"_")))))</f>
        <v> </v>
      </c>
      <c r="H4106" s="24" t="str">
        <f>IF(J4106&lt;&gt;1,"",IF(I4106="SBJ","CB","?"))</f>
        <v> </v>
      </c>
      <c r="I4106" s="25" t="str">
        <f>IF(OR(E4106="",E4106="!!!",F4106="NEW"),"",INDEX(B4105:B$2,-1+SUMPRODUCT(MAX(ROW(E4105:E$2)*(E4106=E4105:E$2)))))</f>
        <v> </v>
      </c>
      <c r="J4106" s="25" t="str">
        <f>IF(OR(E4106="",E4106="!!!",F4106="NEW"),"",COUNTBLANK(OFFSET(A$1,,,SUMPRODUCT(MAX(ROW(E$2:E4106)*(E4106=E$2:E4106)))))-COUNTBLANK(OFFSET(A$1,,,SUMPRODUCT(MAX(ROW(E$1:E4105)*(E2=E$1:E4105))))))</f>
        <v> </v>
      </c>
      <c r="K4106" s="25" t="str">
        <f>IF(OR(E4106="",E4106="!!!",F4106="NEW"),"",INDEX(J$1:J4105,SUMPRODUCT(MAX(ROW(E$1:E4105)*(E4106=E$1:E4105)))))</f>
        <v> </v>
      </c>
      <c r="L4106" s="26"/>
    </row>
    <row r="4107" spans="1:12">
      <c r="A4107" s="20" t="s">
        <v>2335</v>
      </c>
      <c r="E4107" s="21">
        <f>IF(D4107="?OLD","!!!","")</f>
        <v/>
      </c>
      <c r="F4107" s="22" t="str">
        <f>IF(OR(E4107="",E4107="!!!"),"",IF(NOT(ISNA(VLOOKUP(E4107,E$1:E4106,1,FALSE()))),"OLD",IF(AND(E4107&lt;&gt;"",E4107&lt;&gt;"!!!"),"NEW","")))</f>
        <v> </v>
      </c>
      <c r="G4107" s="23" t="str">
        <f>IF(OR(E4107="",E4107="!!!"),"",IF(OR(J4107=0,AND(J4107=1,K4107=1),AND(J4107=1,I4107="SBJ"),AND(J4107=1,I4107=0)),"?IN_FOCUS",IF(J4107&lt;=2,"?ACTIVATED",IF(J4107&lt;&gt;"","?FAMILIAR",IF(F4107="NEW",IF(ISNA(VLOOKUP(E4107,#REF!,1,FALSE())),"?TYPE_IDENTIFIABLE","?REFERENTIAL"),"_")))))</f>
        <v> </v>
      </c>
      <c r="H4107" s="24" t="str">
        <f>IF(J4107&lt;&gt;1,"",IF(I4107="SBJ","CB","?"))</f>
        <v> </v>
      </c>
      <c r="I4107" s="25" t="str">
        <f>IF(OR(E4107="",E4107="!!!",F4107="NEW"),"",INDEX(B4106:B$2,-1+SUMPRODUCT(MAX(ROW(E4106:E$2)*(E4107=E4106:E$2)))))</f>
        <v> </v>
      </c>
      <c r="J4107" s="25" t="str">
        <f>IF(OR(E4107="",E4107="!!!",F4107="NEW"),"",COUNTBLANK(OFFSET(A$1,,,SUMPRODUCT(MAX(ROW(E$2:E4107)*(E4107=E$2:E4107)))))-COUNTBLANK(OFFSET(A$1,,,SUMPRODUCT(MAX(ROW(E$1:E4106)*(E2=E$1:E4106))))))</f>
        <v> </v>
      </c>
      <c r="K4107" s="25" t="str">
        <f>IF(OR(E4107="",E4107="!!!",F4107="NEW"),"",INDEX(J$1:J4106,SUMPRODUCT(MAX(ROW(E$1:E4106)*(E4107=E$1:E4106)))))</f>
        <v> </v>
      </c>
      <c r="L4107" s="26"/>
    </row>
    <row r="4108" spans="1:12">
      <c r="A4108" s="20" t="s">
        <v>1533</v>
      </c>
      <c r="E4108" s="21">
        <f>IF(D4108="?OLD","!!!","")</f>
        <v/>
      </c>
      <c r="F4108" s="22" t="str">
        <f>IF(OR(E4108="",E4108="!!!"),"",IF(NOT(ISNA(VLOOKUP(E4108,E$1:E4107,1,FALSE()))),"OLD",IF(AND(E4108&lt;&gt;"",E4108&lt;&gt;"!!!"),"NEW","")))</f>
        <v> </v>
      </c>
      <c r="G4108" s="23" t="str">
        <f>IF(OR(E4108="",E4108="!!!"),"",IF(OR(J4108=0,AND(J4108=1,K4108=1),AND(J4108=1,I4108="SBJ"),AND(J4108=1,I4108=0)),"?IN_FOCUS",IF(J4108&lt;=2,"?ACTIVATED",IF(J4108&lt;&gt;"","?FAMILIAR",IF(F4108="NEW",IF(ISNA(VLOOKUP(E4108,#REF!,1,FALSE())),"?TYPE_IDENTIFIABLE","?REFERENTIAL"),"_")))))</f>
        <v> </v>
      </c>
      <c r="H4108" s="24" t="str">
        <f>IF(J4108&lt;&gt;1,"",IF(I4108="SBJ","CB","?"))</f>
        <v> </v>
      </c>
      <c r="I4108" s="25" t="str">
        <f>IF(OR(E4108="",E4108="!!!",F4108="NEW"),"",INDEX(B4107:B$2,-1+SUMPRODUCT(MAX(ROW(E4107:E$2)*(E4108=E4107:E$2)))))</f>
        <v> </v>
      </c>
      <c r="J4108" s="25" t="str">
        <f>IF(OR(E4108="",E4108="!!!",F4108="NEW"),"",COUNTBLANK(OFFSET(A$1,,,SUMPRODUCT(MAX(ROW(E$2:E4108)*(E4108=E$2:E4108)))))-COUNTBLANK(OFFSET(A$1,,,SUMPRODUCT(MAX(ROW(E$1:E4107)*(E2=E$1:E4107))))))</f>
        <v> </v>
      </c>
      <c r="K4108" s="25" t="str">
        <f>IF(OR(E4108="",E4108="!!!",F4108="NEW"),"",INDEX(J$1:J4107,SUMPRODUCT(MAX(ROW(E$1:E4107)*(E4108=E$1:E4107)))))</f>
        <v> </v>
      </c>
      <c r="L4108" s="26"/>
    </row>
    <row r="4109" spans="1:12">
      <c r="A4109" s="20" t="s">
        <v>1080</v>
      </c>
      <c r="E4109" s="21">
        <f>IF(D4109="?OLD","!!!","")</f>
        <v/>
      </c>
      <c r="F4109" s="22" t="str">
        <f>IF(OR(E4109="",E4109="!!!"),"",IF(NOT(ISNA(VLOOKUP(E4109,E$1:E4108,1,FALSE()))),"OLD",IF(AND(E4109&lt;&gt;"",E4109&lt;&gt;"!!!"),"NEW","")))</f>
        <v> </v>
      </c>
      <c r="G4109" s="23" t="str">
        <f>IF(OR(E4109="",E4109="!!!"),"",IF(OR(J4109=0,AND(J4109=1,K4109=1),AND(J4109=1,I4109="SBJ"),AND(J4109=1,I4109=0)),"?IN_FOCUS",IF(J4109&lt;=2,"?ACTIVATED",IF(J4109&lt;&gt;"","?FAMILIAR",IF(F4109="NEW",IF(ISNA(VLOOKUP(E4109,#REF!,1,FALSE())),"?TYPE_IDENTIFIABLE","?REFERENTIAL"),"_")))))</f>
        <v> </v>
      </c>
      <c r="H4109" s="24" t="str">
        <f>IF(J4109&lt;&gt;1,"",IF(I4109="SBJ","CB","?"))</f>
        <v> </v>
      </c>
      <c r="I4109" s="25" t="str">
        <f>IF(OR(E4109="",E4109="!!!",F4109="NEW"),"",INDEX(B4108:B$2,-1+SUMPRODUCT(MAX(ROW(E4108:E$2)*(E4109=E4108:E$2)))))</f>
        <v> </v>
      </c>
      <c r="J4109" s="25" t="str">
        <f>IF(OR(E4109="",E4109="!!!",F4109="NEW"),"",COUNTBLANK(OFFSET(A$1,,,SUMPRODUCT(MAX(ROW(E$2:E4109)*(E4109=E$2:E4109)))))-COUNTBLANK(OFFSET(A$1,,,SUMPRODUCT(MAX(ROW(E$1:E4108)*(E2=E$1:E4108))))))</f>
        <v> </v>
      </c>
      <c r="K4109" s="25" t="str">
        <f>IF(OR(E4109="",E4109="!!!",F4109="NEW"),"",INDEX(J$1:J4108,SUMPRODUCT(MAX(ROW(E$1:E4108)*(E4109=E$1:E4108)))))</f>
        <v> </v>
      </c>
      <c r="L4109" s="26"/>
    </row>
    <row r="4110" spans="1:12">
      <c r="A4110" s="20"/>
    </row>
    <row r="4111" spans="1:12">
      <c r="A4111" s="20" t="s">
        <v>2336</v>
      </c>
    </row>
    <row r="4112" spans="1:12">
      <c r="A4112" s="20" t="s">
        <v>2036</v>
      </c>
      <c r="E4112" s="21">
        <f>IF(D4112="?OLD","!!!","")</f>
        <v/>
      </c>
      <c r="F4112" s="22" t="str">
        <f>IF(OR(E4112="",E4112="!!!"),"",IF(NOT(ISNA(VLOOKUP(E4112,E$1:E4111,1,FALSE()))),"OLD",IF(AND(E4112&lt;&gt;"",E4112&lt;&gt;"!!!"),"NEW","")))</f>
        <v> </v>
      </c>
      <c r="G4112" s="23" t="str">
        <f>IF(OR(E4112="",E4112="!!!"),"",IF(OR(J4112=0,AND(J4112=1,K4112=1),AND(J4112=1,I4112="SBJ"),AND(J4112=1,I4112=0)),"?IN_FOCUS",IF(J4112&lt;=2,"?ACTIVATED",IF(J4112&lt;&gt;"","?FAMILIAR",IF(F4112="NEW",IF(ISNA(VLOOKUP(E4112,#REF!,1,FALSE())),"?TYPE_IDENTIFIABLE","?REFERENTIAL"),"_")))))</f>
        <v> </v>
      </c>
      <c r="H4112" s="24" t="str">
        <f>IF(J4112&lt;&gt;1,"",IF(I4112="SBJ","CB","?"))</f>
        <v> </v>
      </c>
      <c r="I4112" s="25" t="str">
        <f>IF(OR(E4112="",E4112="!!!",F4112="NEW"),"",INDEX(B4111:B$2,-1+SUMPRODUCT(MAX(ROW(E4111:E$2)*(E4112=E4111:E$2)))))</f>
        <v> </v>
      </c>
      <c r="J4112" s="25" t="str">
        <f>IF(OR(E4112="",E4112="!!!",F4112="NEW"),"",COUNTBLANK(OFFSET(A$1,,,SUMPRODUCT(MAX(ROW(E$2:E4112)*(E4112=E$2:E4112)))))-COUNTBLANK(OFFSET(A$1,,,SUMPRODUCT(MAX(ROW(E$1:E4111)*(E2=E$1:E4111))))))</f>
        <v> </v>
      </c>
      <c r="K4112" s="25" t="str">
        <f>IF(OR(E4112="",E4112="!!!",F4112="NEW"),"",INDEX(J$1:J4111,SUMPRODUCT(MAX(ROW(E$1:E4111)*(E4112=E$1:E4111)))))</f>
        <v> </v>
      </c>
      <c r="L4112" s="26"/>
    </row>
    <row r="4113" spans="1:12">
      <c r="A4113" s="20" t="s">
        <v>1197</v>
      </c>
      <c r="B4113" s="27" t="s">
        <v>1067</v>
      </c>
      <c r="C4113" s="27" t="s">
        <v>1068</v>
      </c>
      <c r="D4113" s="27" t="s">
        <v>1069</v>
      </c>
      <c r="E4113" s="21">
        <f>IF(D4113="?OLD","!!!","")</f>
        <v/>
      </c>
      <c r="F4113" s="22" t="str">
        <f>IF(OR(E4113="",E4113="!!!"),"",IF(NOT(ISNA(VLOOKUP(E4113,E$1:E4112,1,FALSE()))),"OLD",IF(AND(E4113&lt;&gt;"",E4113&lt;&gt;"!!!"),"NEW","")))</f>
        <v> </v>
      </c>
      <c r="G4113" s="23" t="str">
        <f>IF(OR(E4113="",E4113="!!!"),"",IF(OR(J4113=0,AND(J4113=1,K4113=1),AND(J4113=1,I4113="SBJ"),AND(J4113=1,I4113=0)),"?IN_FOCUS",IF(J4113&lt;=2,"?ACTIVATED",IF(J4113&lt;&gt;"","?FAMILIAR",IF(F4113="NEW",IF(ISNA(VLOOKUP(E4113,#REF!,1,FALSE())),"?TYPE_IDENTIFIABLE","?REFERENTIAL"),"_")))))</f>
        <v> </v>
      </c>
      <c r="H4113" s="24" t="str">
        <f>IF(J4113&lt;&gt;1,"",IF(I4113="SBJ","CB","?"))</f>
        <v> </v>
      </c>
      <c r="I4113" s="25" t="str">
        <f>IF(OR(E4113="",E4113="!!!",F4113="NEW"),"",INDEX(B4112:B$2,-1+SUMPRODUCT(MAX(ROW(E4112:E$2)*(E4113=E4112:E$2)))))</f>
        <v> </v>
      </c>
      <c r="J4113" s="25" t="str">
        <f>IF(OR(E4113="",E4113="!!!",F4113="NEW"),"",COUNTBLANK(OFFSET(A$1,,,SUMPRODUCT(MAX(ROW(E$2:E4113)*(E4113=E$2:E4113)))))-COUNTBLANK(OFFSET(A$1,,,SUMPRODUCT(MAX(ROW(E$1:E4112)*(E2=E$1:E4112))))))</f>
        <v> </v>
      </c>
      <c r="K4113" s="25" t="str">
        <f>IF(OR(E4113="",E4113="!!!",F4113="NEW"),"",INDEX(J$1:J4112,SUMPRODUCT(MAX(ROW(E$1:E4112)*(E4113=E$1:E4112)))))</f>
        <v> </v>
      </c>
      <c r="L4113" s="26"/>
    </row>
    <row r="4114" spans="1:12">
      <c r="A4114" s="20" t="s">
        <v>1087</v>
      </c>
      <c r="E4114" s="21">
        <f>IF(D4114="?OLD","!!!","")</f>
        <v/>
      </c>
      <c r="F4114" s="22" t="str">
        <f>IF(OR(E4114="",E4114="!!!"),"",IF(NOT(ISNA(VLOOKUP(E4114,E$1:E4113,1,FALSE()))),"OLD",IF(AND(E4114&lt;&gt;"",E4114&lt;&gt;"!!!"),"NEW","")))</f>
        <v> </v>
      </c>
      <c r="G4114" s="23" t="str">
        <f>IF(OR(E4114="",E4114="!!!"),"",IF(OR(J4114=0,AND(J4114=1,K4114=1),AND(J4114=1,I4114="SBJ"),AND(J4114=1,I4114=0)),"?IN_FOCUS",IF(J4114&lt;=2,"?ACTIVATED",IF(J4114&lt;&gt;"","?FAMILIAR",IF(F4114="NEW",IF(ISNA(VLOOKUP(E4114,#REF!,1,FALSE())),"?TYPE_IDENTIFIABLE","?REFERENTIAL"),"_")))))</f>
        <v> </v>
      </c>
      <c r="H4114" s="24" t="str">
        <f>IF(J4114&lt;&gt;1,"",IF(I4114="SBJ","CB","?"))</f>
        <v> </v>
      </c>
      <c r="I4114" s="25" t="str">
        <f>IF(OR(E4114="",E4114="!!!",F4114="NEW"),"",INDEX(B4113:B$2,-1+SUMPRODUCT(MAX(ROW(E4113:E$2)*(E4114=E4113:E$2)))))</f>
        <v> </v>
      </c>
      <c r="J4114" s="25" t="str">
        <f>IF(OR(E4114="",E4114="!!!",F4114="NEW"),"",COUNTBLANK(OFFSET(A$1,,,SUMPRODUCT(MAX(ROW(E$2:E4114)*(E4114=E$2:E4114)))))-COUNTBLANK(OFFSET(A$1,,,SUMPRODUCT(MAX(ROW(E$1:E4113)*(E2=E$1:E4113))))))</f>
        <v> </v>
      </c>
      <c r="K4114" s="25" t="str">
        <f>IF(OR(E4114="",E4114="!!!",F4114="NEW"),"",INDEX(J$1:J4113,SUMPRODUCT(MAX(ROW(E$1:E4113)*(E4114=E$1:E4113)))))</f>
        <v> </v>
      </c>
      <c r="L4114" s="26"/>
    </row>
    <row r="4115" spans="1:12">
      <c r="A4115" s="20" t="s">
        <v>1104</v>
      </c>
      <c r="E4115" s="21">
        <f>IF(D4115="?OLD","!!!","")</f>
        <v/>
      </c>
      <c r="F4115" s="22" t="str">
        <f>IF(OR(E4115="",E4115="!!!"),"",IF(NOT(ISNA(VLOOKUP(E4115,E$1:E4114,1,FALSE()))),"OLD",IF(AND(E4115&lt;&gt;"",E4115&lt;&gt;"!!!"),"NEW","")))</f>
        <v> </v>
      </c>
      <c r="G4115" s="23" t="str">
        <f>IF(OR(E4115="",E4115="!!!"),"",IF(OR(J4115=0,AND(J4115=1,K4115=1),AND(J4115=1,I4115="SBJ"),AND(J4115=1,I4115=0)),"?IN_FOCUS",IF(J4115&lt;=2,"?ACTIVATED",IF(J4115&lt;&gt;"","?FAMILIAR",IF(F4115="NEW",IF(ISNA(VLOOKUP(E4115,#REF!,1,FALSE())),"?TYPE_IDENTIFIABLE","?REFERENTIAL"),"_")))))</f>
        <v> </v>
      </c>
      <c r="H4115" s="24" t="str">
        <f>IF(J4115&lt;&gt;1,"",IF(I4115="SBJ","CB","?"))</f>
        <v> </v>
      </c>
      <c r="I4115" s="25" t="str">
        <f>IF(OR(E4115="",E4115="!!!",F4115="NEW"),"",INDEX(B4114:B$2,-1+SUMPRODUCT(MAX(ROW(E4114:E$2)*(E4115=E4114:E$2)))))</f>
        <v> </v>
      </c>
      <c r="J4115" s="25" t="str">
        <f>IF(OR(E4115="",E4115="!!!",F4115="NEW"),"",COUNTBLANK(OFFSET(A$1,,,SUMPRODUCT(MAX(ROW(E$2:E4115)*(E4115=E$2:E4115)))))-COUNTBLANK(OFFSET(A$1,,,SUMPRODUCT(MAX(ROW(E$1:E4114)*(E2=E$1:E4114))))))</f>
        <v> </v>
      </c>
      <c r="K4115" s="25" t="str">
        <f>IF(OR(E4115="",E4115="!!!",F4115="NEW"),"",INDEX(J$1:J4114,SUMPRODUCT(MAX(ROW(E$1:E4114)*(E4115=E$1:E4114)))))</f>
        <v> </v>
      </c>
      <c r="L4115" s="26"/>
    </row>
    <row r="4116" spans="1:12">
      <c r="A4116" s="20" t="s">
        <v>2337</v>
      </c>
      <c r="B4116" s="27" t="s">
        <v>1095</v>
      </c>
      <c r="C4116" s="27" t="s">
        <v>1086</v>
      </c>
      <c r="D4116" s="27" t="s">
        <v>1069</v>
      </c>
      <c r="E4116" s="21">
        <f>IF(D4116="?OLD","!!!","")</f>
        <v/>
      </c>
      <c r="F4116" s="22" t="str">
        <f>IF(OR(E4116="",E4116="!!!"),"",IF(NOT(ISNA(VLOOKUP(E4116,E$1:E4115,1,FALSE()))),"OLD",IF(AND(E4116&lt;&gt;"",E4116&lt;&gt;"!!!"),"NEW","")))</f>
        <v> </v>
      </c>
      <c r="G4116" s="23" t="str">
        <f>IF(OR(E4116="",E4116="!!!"),"",IF(OR(J4116=0,AND(J4116=1,K4116=1),AND(J4116=1,I4116="SBJ"),AND(J4116=1,I4116=0)),"?IN_FOCUS",IF(J4116&lt;=2,"?ACTIVATED",IF(J4116&lt;&gt;"","?FAMILIAR",IF(F4116="NEW",IF(ISNA(VLOOKUP(E4116,#REF!,1,FALSE())),"?TYPE_IDENTIFIABLE","?REFERENTIAL"),"_")))))</f>
        <v> </v>
      </c>
      <c r="H4116" s="24" t="str">
        <f>IF(J4116&lt;&gt;1,"",IF(I4116="SBJ","CB","?"))</f>
        <v> </v>
      </c>
      <c r="I4116" s="25" t="str">
        <f>IF(OR(E4116="",E4116="!!!",F4116="NEW"),"",INDEX(B4115:B$2,-1+SUMPRODUCT(MAX(ROW(E4115:E$2)*(E4116=E4115:E$2)))))</f>
        <v> </v>
      </c>
      <c r="J4116" s="25" t="str">
        <f>IF(OR(E4116="",E4116="!!!",F4116="NEW"),"",COUNTBLANK(OFFSET(A$1,,,SUMPRODUCT(MAX(ROW(E$2:E4116)*(E4116=E$2:E4116)))))-COUNTBLANK(OFFSET(A$1,,,SUMPRODUCT(MAX(ROW(E$1:E4115)*(E2=E$1:E4115))))))</f>
        <v> </v>
      </c>
      <c r="K4116" s="25" t="str">
        <f>IF(OR(E4116="",E4116="!!!",F4116="NEW"),"",INDEX(J$1:J4115,SUMPRODUCT(MAX(ROW(E$1:E4115)*(E4116=E$1:E4115)))))</f>
        <v> </v>
      </c>
      <c r="L4116" s="26"/>
    </row>
    <row r="4117" spans="1:12">
      <c r="A4117" s="20" t="s">
        <v>1078</v>
      </c>
      <c r="E4117" s="21">
        <f>IF(D4117="?OLD","!!!","")</f>
        <v/>
      </c>
      <c r="F4117" s="22" t="str">
        <f>IF(OR(E4117="",E4117="!!!"),"",IF(NOT(ISNA(VLOOKUP(E4117,E$1:E4116,1,FALSE()))),"OLD",IF(AND(E4117&lt;&gt;"",E4117&lt;&gt;"!!!"),"NEW","")))</f>
        <v> </v>
      </c>
      <c r="G4117" s="23" t="str">
        <f>IF(OR(E4117="",E4117="!!!"),"",IF(OR(J4117=0,AND(J4117=1,K4117=1),AND(J4117=1,I4117="SBJ"),AND(J4117=1,I4117=0)),"?IN_FOCUS",IF(J4117&lt;=2,"?ACTIVATED",IF(J4117&lt;&gt;"","?FAMILIAR",IF(F4117="NEW",IF(ISNA(VLOOKUP(E4117,#REF!,1,FALSE())),"?TYPE_IDENTIFIABLE","?REFERENTIAL"),"_")))))</f>
        <v> </v>
      </c>
      <c r="H4117" s="24" t="str">
        <f>IF(J4117&lt;&gt;1,"",IF(I4117="SBJ","CB","?"))</f>
        <v> </v>
      </c>
      <c r="I4117" s="25" t="str">
        <f>IF(OR(E4117="",E4117="!!!",F4117="NEW"),"",INDEX(B4116:B$2,-1+SUMPRODUCT(MAX(ROW(E4116:E$2)*(E4117=E4116:E$2)))))</f>
        <v> </v>
      </c>
      <c r="J4117" s="25" t="str">
        <f>IF(OR(E4117="",E4117="!!!",F4117="NEW"),"",COUNTBLANK(OFFSET(A$1,,,SUMPRODUCT(MAX(ROW(E$2:E4117)*(E4117=E$2:E4117)))))-COUNTBLANK(OFFSET(A$1,,,SUMPRODUCT(MAX(ROW(E$1:E4116)*(E2=E$1:E4116))))))</f>
        <v> </v>
      </c>
      <c r="K4117" s="25" t="str">
        <f>IF(OR(E4117="",E4117="!!!",F4117="NEW"),"",INDEX(J$1:J4116,SUMPRODUCT(MAX(ROW(E$1:E4116)*(E4117=E$1:E4116)))))</f>
        <v> </v>
      </c>
      <c r="L4117" s="26"/>
    </row>
    <row r="4118" spans="1:12">
      <c r="A4118" s="20" t="s">
        <v>2338</v>
      </c>
      <c r="B4118" s="27" t="s">
        <v>1092</v>
      </c>
      <c r="C4118" s="27" t="s">
        <v>1134</v>
      </c>
      <c r="D4118" s="27" t="s">
        <v>1069</v>
      </c>
      <c r="E4118" s="21">
        <f>IF(D4118="?OLD","!!!","")</f>
        <v/>
      </c>
      <c r="F4118" s="22" t="str">
        <f>IF(OR(E4118="",E4118="!!!"),"",IF(NOT(ISNA(VLOOKUP(E4118,E$1:E4117,1,FALSE()))),"OLD",IF(AND(E4118&lt;&gt;"",E4118&lt;&gt;"!!!"),"NEW","")))</f>
        <v> </v>
      </c>
      <c r="G4118" s="23" t="str">
        <f>IF(OR(E4118="",E4118="!!!"),"",IF(OR(J4118=0,AND(J4118=1,K4118=1),AND(J4118=1,I4118="SBJ"),AND(J4118=1,I4118=0)),"?IN_FOCUS",IF(J4118&lt;=2,"?ACTIVATED",IF(J4118&lt;&gt;"","?FAMILIAR",IF(F4118="NEW",IF(ISNA(VLOOKUP(E4118,#REF!,1,FALSE())),"?TYPE_IDENTIFIABLE","?REFERENTIAL"),"_")))))</f>
        <v> </v>
      </c>
      <c r="H4118" s="24" t="str">
        <f>IF(J4118&lt;&gt;1,"",IF(I4118="SBJ","CB","?"))</f>
        <v> </v>
      </c>
      <c r="I4118" s="25" t="str">
        <f>IF(OR(E4118="",E4118="!!!",F4118="NEW"),"",INDEX(B4117:B$2,-1+SUMPRODUCT(MAX(ROW(E4117:E$2)*(E4118=E4117:E$2)))))</f>
        <v> </v>
      </c>
      <c r="J4118" s="25" t="str">
        <f>IF(OR(E4118="",E4118="!!!",F4118="NEW"),"",COUNTBLANK(OFFSET(A$1,,,SUMPRODUCT(MAX(ROW(E$2:E4118)*(E4118=E$2:E4118)))))-COUNTBLANK(OFFSET(A$1,,,SUMPRODUCT(MAX(ROW(E$1:E4117)*(E2=E$1:E4117))))))</f>
        <v> </v>
      </c>
      <c r="K4118" s="25" t="str">
        <f>IF(OR(E4118="",E4118="!!!",F4118="NEW"),"",INDEX(J$1:J4117,SUMPRODUCT(MAX(ROW(E$1:E4117)*(E4118=E$1:E4117)))))</f>
        <v> </v>
      </c>
      <c r="L4118" s="26"/>
    </row>
    <row r="4119" spans="1:12">
      <c r="A4119" s="20" t="s">
        <v>157</v>
      </c>
      <c r="E4119" s="21">
        <f>IF(D4119="?OLD","!!!","")</f>
        <v/>
      </c>
      <c r="F4119" s="22" t="str">
        <f>IF(OR(E4119="",E4119="!!!"),"",IF(NOT(ISNA(VLOOKUP(E4119,E$1:E4118,1,FALSE()))),"OLD",IF(AND(E4119&lt;&gt;"",E4119&lt;&gt;"!!!"),"NEW","")))</f>
        <v> </v>
      </c>
      <c r="G4119" s="23" t="str">
        <f>IF(OR(E4119="",E4119="!!!"),"",IF(OR(J4119=0,AND(J4119=1,K4119=1),AND(J4119=1,I4119="SBJ"),AND(J4119=1,I4119=0)),"?IN_FOCUS",IF(J4119&lt;=2,"?ACTIVATED",IF(J4119&lt;&gt;"","?FAMILIAR",IF(F4119="NEW",IF(ISNA(VLOOKUP(E4119,#REF!,1,FALSE())),"?TYPE_IDENTIFIABLE","?REFERENTIAL"),"_")))))</f>
        <v> </v>
      </c>
      <c r="H4119" s="24" t="str">
        <f>IF(J4119&lt;&gt;1,"",IF(I4119="SBJ","CB","?"))</f>
        <v> </v>
      </c>
      <c r="I4119" s="25" t="str">
        <f>IF(OR(E4119="",E4119="!!!",F4119="NEW"),"",INDEX(B4118:B$2,-1+SUMPRODUCT(MAX(ROW(E4118:E$2)*(E4119=E4118:E$2)))))</f>
        <v> </v>
      </c>
      <c r="J4119" s="25" t="str">
        <f>IF(OR(E4119="",E4119="!!!",F4119="NEW"),"",COUNTBLANK(OFFSET(A$1,,,SUMPRODUCT(MAX(ROW(E$2:E4119)*(E4119=E$2:E4119)))))-COUNTBLANK(OFFSET(A$1,,,SUMPRODUCT(MAX(ROW(E$1:E4118)*(E2=E$1:E4118))))))</f>
        <v> </v>
      </c>
      <c r="K4119" s="25" t="str">
        <f>IF(OR(E4119="",E4119="!!!",F4119="NEW"),"",INDEX(J$1:J4118,SUMPRODUCT(MAX(ROW(E$1:E4118)*(E4119=E$1:E4118)))))</f>
        <v> </v>
      </c>
      <c r="L4119" s="26"/>
    </row>
    <row r="4120" spans="1:12">
      <c r="A4120" s="20" t="s">
        <v>17</v>
      </c>
      <c r="B4120" s="27" t="s">
        <v>1090</v>
      </c>
      <c r="C4120" s="27" t="s">
        <v>1072</v>
      </c>
      <c r="E4120" s="21">
        <f>IF(D4120="?OLD","!!!","")</f>
        <v/>
      </c>
      <c r="F4120" s="22" t="str">
        <f>IF(OR(E4120="",E4120="!!!"),"",IF(NOT(ISNA(VLOOKUP(E4120,E$1:E4119,1,FALSE()))),"OLD",IF(AND(E4120&lt;&gt;"",E4120&lt;&gt;"!!!"),"NEW","")))</f>
        <v> </v>
      </c>
      <c r="G4120" s="23" t="str">
        <f>IF(OR(E4120="",E4120="!!!"),"",IF(OR(J4120=0,AND(J4120=1,K4120=1),AND(J4120=1,I4120="SBJ"),AND(J4120=1,I4120=0)),"?IN_FOCUS",IF(J4120&lt;=2,"?ACTIVATED",IF(J4120&lt;&gt;"","?FAMILIAR",IF(F4120="NEW",IF(ISNA(VLOOKUP(E4120,#REF!,1,FALSE())),"?TYPE_IDENTIFIABLE","?REFERENTIAL"),"_")))))</f>
        <v> </v>
      </c>
      <c r="H4120" s="24" t="str">
        <f>IF(J4120&lt;&gt;1,"",IF(I4120="SBJ","CB","?"))</f>
        <v> </v>
      </c>
      <c r="I4120" s="25" t="str">
        <f>IF(OR(E4120="",E4120="!!!",F4120="NEW"),"",INDEX(B4119:B$2,-1+SUMPRODUCT(MAX(ROW(E4119:E$2)*(E4120=E4119:E$2)))))</f>
        <v> </v>
      </c>
      <c r="J4120" s="25" t="str">
        <f>IF(OR(E4120="",E4120="!!!",F4120="NEW"),"",COUNTBLANK(OFFSET(A$1,,,SUMPRODUCT(MAX(ROW(E$2:E4120)*(E4120=E$2:E4120)))))-COUNTBLANK(OFFSET(A$1,,,SUMPRODUCT(MAX(ROW(E$1:E4119)*(E2=E$1:E4119))))))</f>
        <v> </v>
      </c>
      <c r="K4120" s="25" t="str">
        <f>IF(OR(E4120="",E4120="!!!",F4120="NEW"),"",INDEX(J$1:J4119,SUMPRODUCT(MAX(ROW(E$1:E4119)*(E4120=E$1:E4119)))))</f>
        <v> </v>
      </c>
      <c r="L4120" s="26"/>
    </row>
    <row r="4121" spans="1:12">
      <c r="A4121" s="20" t="s">
        <v>1224</v>
      </c>
      <c r="E4121" s="21">
        <f>IF(D4121="?OLD","!!!","")</f>
        <v/>
      </c>
      <c r="F4121" s="22" t="str">
        <f>IF(OR(E4121="",E4121="!!!"),"",IF(NOT(ISNA(VLOOKUP(E4121,E$1:E4120,1,FALSE()))),"OLD",IF(AND(E4121&lt;&gt;"",E4121&lt;&gt;"!!!"),"NEW","")))</f>
        <v> </v>
      </c>
      <c r="G4121" s="23" t="str">
        <f>IF(OR(E4121="",E4121="!!!"),"",IF(OR(J4121=0,AND(J4121=1,K4121=1),AND(J4121=1,I4121="SBJ"),AND(J4121=1,I4121=0)),"?IN_FOCUS",IF(J4121&lt;=2,"?ACTIVATED",IF(J4121&lt;&gt;"","?FAMILIAR",IF(F4121="NEW",IF(ISNA(VLOOKUP(E4121,#REF!,1,FALSE())),"?TYPE_IDENTIFIABLE","?REFERENTIAL"),"_")))))</f>
        <v> </v>
      </c>
      <c r="H4121" s="24" t="str">
        <f>IF(J4121&lt;&gt;1,"",IF(I4121="SBJ","CB","?"))</f>
        <v> </v>
      </c>
      <c r="I4121" s="25" t="str">
        <f>IF(OR(E4121="",E4121="!!!",F4121="NEW"),"",INDEX(B4120:B$2,-1+SUMPRODUCT(MAX(ROW(E4120:E$2)*(E4121=E4120:E$2)))))</f>
        <v> </v>
      </c>
      <c r="J4121" s="25" t="str">
        <f>IF(OR(E4121="",E4121="!!!",F4121="NEW"),"",COUNTBLANK(OFFSET(A$1,,,SUMPRODUCT(MAX(ROW(E$2:E4121)*(E4121=E$2:E4121)))))-COUNTBLANK(OFFSET(A$1,,,SUMPRODUCT(MAX(ROW(E$1:E4120)*(E2=E$1:E4120))))))</f>
        <v> </v>
      </c>
      <c r="K4121" s="25" t="str">
        <f>IF(OR(E4121="",E4121="!!!",F4121="NEW"),"",INDEX(J$1:J4120,SUMPRODUCT(MAX(ROW(E$1:E4120)*(E4121=E$1:E4120)))))</f>
        <v> </v>
      </c>
      <c r="L4121" s="26"/>
    </row>
    <row r="4122" spans="1:12">
      <c r="A4122" s="20" t="s">
        <v>1104</v>
      </c>
      <c r="E4122" s="21">
        <f>IF(D4122="?OLD","!!!","")</f>
        <v/>
      </c>
      <c r="F4122" s="22" t="str">
        <f>IF(OR(E4122="",E4122="!!!"),"",IF(NOT(ISNA(VLOOKUP(E4122,E$1:E4121,1,FALSE()))),"OLD",IF(AND(E4122&lt;&gt;"",E4122&lt;&gt;"!!!"),"NEW","")))</f>
        <v> </v>
      </c>
      <c r="G4122" s="23" t="str">
        <f>IF(OR(E4122="",E4122="!!!"),"",IF(OR(J4122=0,AND(J4122=1,K4122=1),AND(J4122=1,I4122="SBJ"),AND(J4122=1,I4122=0)),"?IN_FOCUS",IF(J4122&lt;=2,"?ACTIVATED",IF(J4122&lt;&gt;"","?FAMILIAR",IF(F4122="NEW",IF(ISNA(VLOOKUP(E4122,#REF!,1,FALSE())),"?TYPE_IDENTIFIABLE","?REFERENTIAL"),"_")))))</f>
        <v> </v>
      </c>
      <c r="H4122" s="24" t="str">
        <f>IF(J4122&lt;&gt;1,"",IF(I4122="SBJ","CB","?"))</f>
        <v> </v>
      </c>
      <c r="I4122" s="25" t="str">
        <f>IF(OR(E4122="",E4122="!!!",F4122="NEW"),"",INDEX(B4121:B$2,-1+SUMPRODUCT(MAX(ROW(E4121:E$2)*(E4122=E4121:E$2)))))</f>
        <v> </v>
      </c>
      <c r="J4122" s="25" t="str">
        <f>IF(OR(E4122="",E4122="!!!",F4122="NEW"),"",COUNTBLANK(OFFSET(A$1,,,SUMPRODUCT(MAX(ROW(E$2:E4122)*(E4122=E$2:E4122)))))-COUNTBLANK(OFFSET(A$1,,,SUMPRODUCT(MAX(ROW(E$1:E4121)*(E2=E$1:E4121))))))</f>
        <v> </v>
      </c>
      <c r="K4122" s="25" t="str">
        <f>IF(OR(E4122="",E4122="!!!",F4122="NEW"),"",INDEX(J$1:J4121,SUMPRODUCT(MAX(ROW(E$1:E4121)*(E4122=E$1:E4121)))))</f>
        <v> </v>
      </c>
      <c r="L4122" s="26"/>
    </row>
    <row r="4123" spans="1:12">
      <c r="A4123" s="20" t="s">
        <v>1402</v>
      </c>
      <c r="B4123" s="27" t="s">
        <v>1092</v>
      </c>
      <c r="C4123" s="27" t="s">
        <v>1086</v>
      </c>
      <c r="D4123" s="27" t="s">
        <v>1069</v>
      </c>
      <c r="E4123" s="21">
        <f>IF(D4123="?OLD","!!!","")</f>
        <v/>
      </c>
      <c r="F4123" s="22" t="str">
        <f>IF(OR(E4123="",E4123="!!!"),"",IF(NOT(ISNA(VLOOKUP(E4123,E$1:E4122,1,FALSE()))),"OLD",IF(AND(E4123&lt;&gt;"",E4123&lt;&gt;"!!!"),"NEW","")))</f>
        <v> </v>
      </c>
      <c r="G4123" s="23" t="str">
        <f>IF(OR(E4123="",E4123="!!!"),"",IF(OR(J4123=0,AND(J4123=1,K4123=1),AND(J4123=1,I4123="SBJ"),AND(J4123=1,I4123=0)),"?IN_FOCUS",IF(J4123&lt;=2,"?ACTIVATED",IF(J4123&lt;&gt;"","?FAMILIAR",IF(F4123="NEW",IF(ISNA(VLOOKUP(E4123,#REF!,1,FALSE())),"?TYPE_IDENTIFIABLE","?REFERENTIAL"),"_")))))</f>
        <v> </v>
      </c>
      <c r="H4123" s="24" t="str">
        <f>IF(J4123&lt;&gt;1,"",IF(I4123="SBJ","CB","?"))</f>
        <v> </v>
      </c>
      <c r="I4123" s="25" t="str">
        <f>IF(OR(E4123="",E4123="!!!",F4123="NEW"),"",INDEX(B4122:B$2,-1+SUMPRODUCT(MAX(ROW(E4122:E$2)*(E4123=E4122:E$2)))))</f>
        <v> </v>
      </c>
      <c r="J4123" s="25" t="str">
        <f>IF(OR(E4123="",E4123="!!!",F4123="NEW"),"",COUNTBLANK(OFFSET(A$1,,,SUMPRODUCT(MAX(ROW(E$2:E4123)*(E4123=E$2:E4123)))))-COUNTBLANK(OFFSET(A$1,,,SUMPRODUCT(MAX(ROW(E$1:E4122)*(E2=E$1:E4122))))))</f>
        <v> </v>
      </c>
      <c r="K4123" s="25" t="str">
        <f>IF(OR(E4123="",E4123="!!!",F4123="NEW"),"",INDEX(J$1:J4122,SUMPRODUCT(MAX(ROW(E$1:E4122)*(E4123=E$1:E4122)))))</f>
        <v> </v>
      </c>
      <c r="L4123" s="26"/>
    </row>
    <row r="4124" spans="1:12">
      <c r="A4124" s="20" t="s">
        <v>2232</v>
      </c>
      <c r="E4124" s="21">
        <f>IF(D4124="?OLD","!!!","")</f>
        <v/>
      </c>
      <c r="F4124" s="22" t="str">
        <f>IF(OR(E4124="",E4124="!!!"),"",IF(NOT(ISNA(VLOOKUP(E4124,E$1:E4123,1,FALSE()))),"OLD",IF(AND(E4124&lt;&gt;"",E4124&lt;&gt;"!!!"),"NEW","")))</f>
        <v> </v>
      </c>
      <c r="G4124" s="23" t="str">
        <f>IF(OR(E4124="",E4124="!!!"),"",IF(OR(J4124=0,AND(J4124=1,K4124=1),AND(J4124=1,I4124="SBJ"),AND(J4124=1,I4124=0)),"?IN_FOCUS",IF(J4124&lt;=2,"?ACTIVATED",IF(J4124&lt;&gt;"","?FAMILIAR",IF(F4124="NEW",IF(ISNA(VLOOKUP(E4124,#REF!,1,FALSE())),"?TYPE_IDENTIFIABLE","?REFERENTIAL"),"_")))))</f>
        <v> </v>
      </c>
      <c r="H4124" s="24" t="str">
        <f>IF(J4124&lt;&gt;1,"",IF(I4124="SBJ","CB","?"))</f>
        <v> </v>
      </c>
      <c r="I4124" s="25" t="str">
        <f>IF(OR(E4124="",E4124="!!!",F4124="NEW"),"",INDEX(B4123:B$2,-1+SUMPRODUCT(MAX(ROW(E4123:E$2)*(E4124=E4123:E$2)))))</f>
        <v> </v>
      </c>
      <c r="J4124" s="25" t="str">
        <f>IF(OR(E4124="",E4124="!!!",F4124="NEW"),"",COUNTBLANK(OFFSET(A$1,,,SUMPRODUCT(MAX(ROW(E$2:E4124)*(E4124=E$2:E4124)))))-COUNTBLANK(OFFSET(A$1,,,SUMPRODUCT(MAX(ROW(E$1:E4123)*(E2=E$1:E4123))))))</f>
        <v> </v>
      </c>
      <c r="K4124" s="25" t="str">
        <f>IF(OR(E4124="",E4124="!!!",F4124="NEW"),"",INDEX(J$1:J4123,SUMPRODUCT(MAX(ROW(E$1:E4123)*(E4124=E$1:E4123)))))</f>
        <v> </v>
      </c>
      <c r="L4124" s="26"/>
    </row>
    <row r="4125" spans="1:12">
      <c r="A4125" s="20" t="s">
        <v>1080</v>
      </c>
      <c r="E4125" s="21">
        <f>IF(D4125="?OLD","!!!","")</f>
        <v/>
      </c>
      <c r="F4125" s="22" t="str">
        <f>IF(OR(E4125="",E4125="!!!"),"",IF(NOT(ISNA(VLOOKUP(E4125,E$1:E4124,1,FALSE()))),"OLD",IF(AND(E4125&lt;&gt;"",E4125&lt;&gt;"!!!"),"NEW","")))</f>
        <v> </v>
      </c>
      <c r="G4125" s="23" t="str">
        <f>IF(OR(E4125="",E4125="!!!"),"",IF(OR(J4125=0,AND(J4125=1,K4125=1),AND(J4125=1,I4125="SBJ"),AND(J4125=1,I4125=0)),"?IN_FOCUS",IF(J4125&lt;=2,"?ACTIVATED",IF(J4125&lt;&gt;"","?FAMILIAR",IF(F4125="NEW",IF(ISNA(VLOOKUP(E4125,#REF!,1,FALSE())),"?TYPE_IDENTIFIABLE","?REFERENTIAL"),"_")))))</f>
        <v> </v>
      </c>
      <c r="H4125" s="24" t="str">
        <f>IF(J4125&lt;&gt;1,"",IF(I4125="SBJ","CB","?"))</f>
        <v> </v>
      </c>
      <c r="I4125" s="25" t="str">
        <f>IF(OR(E4125="",E4125="!!!",F4125="NEW"),"",INDEX(B4124:B$2,-1+SUMPRODUCT(MAX(ROW(E4124:E$2)*(E4125=E4124:E$2)))))</f>
        <v> </v>
      </c>
      <c r="J4125" s="25" t="str">
        <f>IF(OR(E4125="",E4125="!!!",F4125="NEW"),"",COUNTBLANK(OFFSET(A$1,,,SUMPRODUCT(MAX(ROW(E$2:E4125)*(E4125=E$2:E4125)))))-COUNTBLANK(OFFSET(A$1,,,SUMPRODUCT(MAX(ROW(E$1:E4124)*(E2=E$1:E4124))))))</f>
        <v> </v>
      </c>
      <c r="K4125" s="25" t="str">
        <f>IF(OR(E4125="",E4125="!!!",F4125="NEW"),"",INDEX(J$1:J4124,SUMPRODUCT(MAX(ROW(E$1:E4124)*(E4125=E$1:E4124)))))</f>
        <v> </v>
      </c>
      <c r="L4125" s="26"/>
    </row>
    <row r="4126" spans="1:12">
      <c r="A4126" s="20"/>
    </row>
    <row r="4127" spans="1:12">
      <c r="A4127" s="20" t="s">
        <v>2339</v>
      </c>
    </row>
    <row r="4128" spans="1:12">
      <c r="A4128" s="20" t="s">
        <v>2340</v>
      </c>
      <c r="B4128" s="27" t="s">
        <v>1067</v>
      </c>
      <c r="C4128" s="27" t="s">
        <v>1129</v>
      </c>
      <c r="D4128" s="27" t="s">
        <v>1069</v>
      </c>
      <c r="E4128" s="21">
        <f>IF(D4128="?OLD","!!!","")</f>
        <v/>
      </c>
      <c r="F4128" s="22" t="str">
        <f>IF(OR(E4128="",E4128="!!!"),"",IF(NOT(ISNA(VLOOKUP(E4128,E$1:E4127,1,FALSE()))),"OLD",IF(AND(E4128&lt;&gt;"",E4128&lt;&gt;"!!!"),"NEW","")))</f>
        <v> </v>
      </c>
      <c r="G4128" s="23" t="str">
        <f>IF(OR(E4128="",E4128="!!!"),"",IF(OR(J4128=0,AND(J4128=1,K4128=1),AND(J4128=1,I4128="SBJ"),AND(J4128=1,I4128=0)),"?IN_FOCUS",IF(J4128&lt;=2,"?ACTIVATED",IF(J4128&lt;&gt;"","?FAMILIAR",IF(F4128="NEW",IF(ISNA(VLOOKUP(E4128,#REF!,1,FALSE())),"?TYPE_IDENTIFIABLE","?REFERENTIAL"),"_")))))</f>
        <v> </v>
      </c>
      <c r="H4128" s="24" t="str">
        <f>IF(J4128&lt;&gt;1,"",IF(I4128="SBJ","CB","?"))</f>
        <v> </v>
      </c>
      <c r="I4128" s="25" t="str">
        <f>IF(OR(E4128="",E4128="!!!",F4128="NEW"),"",INDEX(B4127:B$2,-1+SUMPRODUCT(MAX(ROW(E4127:E$2)*(E4128=E4127:E$2)))))</f>
        <v> </v>
      </c>
      <c r="J4128" s="25" t="str">
        <f>IF(OR(E4128="",E4128="!!!",F4128="NEW"),"",COUNTBLANK(OFFSET(A$1,,,SUMPRODUCT(MAX(ROW(E$2:E4128)*(E4128=E$2:E4128)))))-COUNTBLANK(OFFSET(A$1,,,SUMPRODUCT(MAX(ROW(E$1:E4127)*(E2=E$1:E4127))))))</f>
        <v> </v>
      </c>
      <c r="K4128" s="25" t="str">
        <f>IF(OR(E4128="",E4128="!!!",F4128="NEW"),"",INDEX(J$1:J4127,SUMPRODUCT(MAX(ROW(E$1:E4127)*(E4128=E$1:E4127)))))</f>
        <v> </v>
      </c>
      <c r="L4128" s="26"/>
    </row>
    <row r="4129" spans="1:12">
      <c r="A4129" s="20" t="s">
        <v>1191</v>
      </c>
      <c r="E4129" s="21">
        <f>IF(D4129="?OLD","!!!","")</f>
        <v/>
      </c>
      <c r="F4129" s="22" t="str">
        <f>IF(OR(E4129="",E4129="!!!"),"",IF(NOT(ISNA(VLOOKUP(E4129,E$1:E4128,1,FALSE()))),"OLD",IF(AND(E4129&lt;&gt;"",E4129&lt;&gt;"!!!"),"NEW","")))</f>
        <v> </v>
      </c>
      <c r="G4129" s="23" t="str">
        <f>IF(OR(E4129="",E4129="!!!"),"",IF(OR(J4129=0,AND(J4129=1,K4129=1),AND(J4129=1,I4129="SBJ"),AND(J4129=1,I4129=0)),"?IN_FOCUS",IF(J4129&lt;=2,"?ACTIVATED",IF(J4129&lt;&gt;"","?FAMILIAR",IF(F4129="NEW",IF(ISNA(VLOOKUP(E4129,#REF!,1,FALSE())),"?TYPE_IDENTIFIABLE","?REFERENTIAL"),"_")))))</f>
        <v> </v>
      </c>
      <c r="H4129" s="24" t="str">
        <f>IF(J4129&lt;&gt;1,"",IF(I4129="SBJ","CB","?"))</f>
        <v> </v>
      </c>
      <c r="I4129" s="25" t="str">
        <f>IF(OR(E4129="",E4129="!!!",F4129="NEW"),"",INDEX(B4128:B$2,-1+SUMPRODUCT(MAX(ROW(E4128:E$2)*(E4129=E4128:E$2)))))</f>
        <v> </v>
      </c>
      <c r="J4129" s="25" t="str">
        <f>IF(OR(E4129="",E4129="!!!",F4129="NEW"),"",COUNTBLANK(OFFSET(A$1,,,SUMPRODUCT(MAX(ROW(E$2:E4129)*(E4129=E$2:E4129)))))-COUNTBLANK(OFFSET(A$1,,,SUMPRODUCT(MAX(ROW(E$1:E4128)*(E2=E$1:E4128))))))</f>
        <v> </v>
      </c>
      <c r="K4129" s="25" t="str">
        <f>IF(OR(E4129="",E4129="!!!",F4129="NEW"),"",INDEX(J$1:J4128,SUMPRODUCT(MAX(ROW(E$1:E4128)*(E4129=E$1:E4128)))))</f>
        <v> </v>
      </c>
      <c r="L4129" s="26"/>
    </row>
    <row r="4130" spans="1:12">
      <c r="A4130" s="20" t="s">
        <v>1185</v>
      </c>
      <c r="E4130" s="21">
        <f>IF(D4130="?OLD","!!!","")</f>
        <v/>
      </c>
      <c r="F4130" s="22" t="str">
        <f>IF(OR(E4130="",E4130="!!!"),"",IF(NOT(ISNA(VLOOKUP(E4130,E$1:E4129,1,FALSE()))),"OLD",IF(AND(E4130&lt;&gt;"",E4130&lt;&gt;"!!!"),"NEW","")))</f>
        <v> </v>
      </c>
      <c r="G4130" s="23" t="str">
        <f>IF(OR(E4130="",E4130="!!!"),"",IF(OR(J4130=0,AND(J4130=1,K4130=1),AND(J4130=1,I4130="SBJ"),AND(J4130=1,I4130=0)),"?IN_FOCUS",IF(J4130&lt;=2,"?ACTIVATED",IF(J4130&lt;&gt;"","?FAMILIAR",IF(F4130="NEW",IF(ISNA(VLOOKUP(E4130,#REF!,1,FALSE())),"?TYPE_IDENTIFIABLE","?REFERENTIAL"),"_")))))</f>
        <v> </v>
      </c>
      <c r="H4130" s="24" t="str">
        <f>IF(J4130&lt;&gt;1,"",IF(I4130="SBJ","CB","?"))</f>
        <v> </v>
      </c>
      <c r="I4130" s="25" t="str">
        <f>IF(OR(E4130="",E4130="!!!",F4130="NEW"),"",INDEX(B4129:B$2,-1+SUMPRODUCT(MAX(ROW(E4129:E$2)*(E4130=E4129:E$2)))))</f>
        <v> </v>
      </c>
      <c r="J4130" s="25" t="str">
        <f>IF(OR(E4130="",E4130="!!!",F4130="NEW"),"",COUNTBLANK(OFFSET(A$1,,,SUMPRODUCT(MAX(ROW(E$2:E4130)*(E4130=E$2:E4130)))))-COUNTBLANK(OFFSET(A$1,,,SUMPRODUCT(MAX(ROW(E$1:E4129)*(E2=E$1:E4129))))))</f>
        <v> </v>
      </c>
      <c r="K4130" s="25" t="str">
        <f>IF(OR(E4130="",E4130="!!!",F4130="NEW"),"",INDEX(J$1:J4129,SUMPRODUCT(MAX(ROW(E$1:E4129)*(E4130=E$1:E4129)))))</f>
        <v> </v>
      </c>
      <c r="L4130" s="26"/>
    </row>
    <row r="4131" spans="1:12">
      <c r="A4131" s="20" t="s">
        <v>2341</v>
      </c>
      <c r="B4131" s="27" t="s">
        <v>1074</v>
      </c>
      <c r="C4131" s="27" t="s">
        <v>1120</v>
      </c>
      <c r="E4131" s="21">
        <f>IF(D4131="?OLD","!!!","")</f>
        <v/>
      </c>
      <c r="F4131" s="22" t="str">
        <f>IF(OR(E4131="",E4131="!!!"),"",IF(NOT(ISNA(VLOOKUP(E4131,E$1:E4130,1,FALSE()))),"OLD",IF(AND(E4131&lt;&gt;"",E4131&lt;&gt;"!!!"),"NEW","")))</f>
        <v> </v>
      </c>
      <c r="G4131" s="23" t="str">
        <f>IF(OR(E4131="",E4131="!!!"),"",IF(OR(J4131=0,AND(J4131=1,K4131=1),AND(J4131=1,I4131="SBJ"),AND(J4131=1,I4131=0)),"?IN_FOCUS",IF(J4131&lt;=2,"?ACTIVATED",IF(J4131&lt;&gt;"","?FAMILIAR",IF(F4131="NEW",IF(ISNA(VLOOKUP(E4131,#REF!,1,FALSE())),"?TYPE_IDENTIFIABLE","?REFERENTIAL"),"_")))))</f>
        <v> </v>
      </c>
      <c r="H4131" s="24" t="str">
        <f>IF(J4131&lt;&gt;1,"",IF(I4131="SBJ","CB","?"))</f>
        <v> </v>
      </c>
      <c r="I4131" s="25" t="str">
        <f>IF(OR(E4131="",E4131="!!!",F4131="NEW"),"",INDEX(B4130:B$2,-1+SUMPRODUCT(MAX(ROW(E4130:E$2)*(E4131=E4130:E$2)))))</f>
        <v> </v>
      </c>
      <c r="J4131" s="25" t="str">
        <f>IF(OR(E4131="",E4131="!!!",F4131="NEW"),"",COUNTBLANK(OFFSET(A$1,,,SUMPRODUCT(MAX(ROW(E$2:E4131)*(E4131=E$2:E4131)))))-COUNTBLANK(OFFSET(A$1,,,SUMPRODUCT(MAX(ROW(E$1:E4130)*(E2=E$1:E4130))))))</f>
        <v> </v>
      </c>
      <c r="K4131" s="25" t="str">
        <f>IF(OR(E4131="",E4131="!!!",F4131="NEW"),"",INDEX(J$1:J4130,SUMPRODUCT(MAX(ROW(E$1:E4130)*(E4131=E$1:E4130)))))</f>
        <v> </v>
      </c>
      <c r="L4131" s="26"/>
    </row>
    <row r="4132" spans="1:12">
      <c r="A4132" s="20" t="s">
        <v>1200</v>
      </c>
      <c r="E4132" s="21">
        <f>IF(D4132="?OLD","!!!","")</f>
        <v/>
      </c>
      <c r="F4132" s="22" t="str">
        <f>IF(OR(E4132="",E4132="!!!"),"",IF(NOT(ISNA(VLOOKUP(E4132,E$1:E4131,1,FALSE()))),"OLD",IF(AND(E4132&lt;&gt;"",E4132&lt;&gt;"!!!"),"NEW","")))</f>
        <v> </v>
      </c>
      <c r="G4132" s="23" t="str">
        <f>IF(OR(E4132="",E4132="!!!"),"",IF(OR(J4132=0,AND(J4132=1,K4132=1),AND(J4132=1,I4132="SBJ"),AND(J4132=1,I4132=0)),"?IN_FOCUS",IF(J4132&lt;=2,"?ACTIVATED",IF(J4132&lt;&gt;"","?FAMILIAR",IF(F4132="NEW",IF(ISNA(VLOOKUP(E4132,#REF!,1,FALSE())),"?TYPE_IDENTIFIABLE","?REFERENTIAL"),"_")))))</f>
        <v> </v>
      </c>
      <c r="H4132" s="24" t="str">
        <f>IF(J4132&lt;&gt;1,"",IF(I4132="SBJ","CB","?"))</f>
        <v> </v>
      </c>
      <c r="I4132" s="25" t="str">
        <f>IF(OR(E4132="",E4132="!!!",F4132="NEW"),"",INDEX(B4131:B$2,-1+SUMPRODUCT(MAX(ROW(E4131:E$2)*(E4132=E4131:E$2)))))</f>
        <v> </v>
      </c>
      <c r="J4132" s="25" t="str">
        <f>IF(OR(E4132="",E4132="!!!",F4132="NEW"),"",COUNTBLANK(OFFSET(A$1,,,SUMPRODUCT(MAX(ROW(E$2:E4132)*(E4132=E$2:E4132)))))-COUNTBLANK(OFFSET(A$1,,,SUMPRODUCT(MAX(ROW(E$1:E4131)*(E2=E$1:E4131))))))</f>
        <v> </v>
      </c>
      <c r="K4132" s="25" t="str">
        <f>IF(OR(E4132="",E4132="!!!",F4132="NEW"),"",INDEX(J$1:J4131,SUMPRODUCT(MAX(ROW(E$1:E4131)*(E4132=E$1:E4131)))))</f>
        <v> </v>
      </c>
      <c r="L4132" s="26"/>
    </row>
    <row r="4133" spans="1:12">
      <c r="A4133" s="20" t="s">
        <v>571</v>
      </c>
      <c r="B4133" s="27" t="s">
        <v>1074</v>
      </c>
      <c r="C4133" s="27" t="s">
        <v>1120</v>
      </c>
      <c r="E4133" s="21">
        <f>IF(D4133="?OLD","!!!","")</f>
        <v/>
      </c>
      <c r="F4133" s="22" t="str">
        <f>IF(OR(E4133="",E4133="!!!"),"",IF(NOT(ISNA(VLOOKUP(E4133,E$1:E4132,1,FALSE()))),"OLD",IF(AND(E4133&lt;&gt;"",E4133&lt;&gt;"!!!"),"NEW","")))</f>
        <v> </v>
      </c>
      <c r="G4133" s="23" t="str">
        <f>IF(OR(E4133="",E4133="!!!"),"",IF(OR(J4133=0,AND(J4133=1,K4133=1),AND(J4133=1,I4133="SBJ"),AND(J4133=1,I4133=0)),"?IN_FOCUS",IF(J4133&lt;=2,"?ACTIVATED",IF(J4133&lt;&gt;"","?FAMILIAR",IF(F4133="NEW",IF(ISNA(VLOOKUP(E4133,#REF!,1,FALSE())),"?TYPE_IDENTIFIABLE","?REFERENTIAL"),"_")))))</f>
        <v> </v>
      </c>
      <c r="H4133" s="24" t="str">
        <f>IF(J4133&lt;&gt;1,"",IF(I4133="SBJ","CB","?"))</f>
        <v> </v>
      </c>
      <c r="I4133" s="25" t="str">
        <f>IF(OR(E4133="",E4133="!!!",F4133="NEW"),"",INDEX(B4132:B$2,-1+SUMPRODUCT(MAX(ROW(E4132:E$2)*(E4133=E4132:E$2)))))</f>
        <v> </v>
      </c>
      <c r="J4133" s="25" t="str">
        <f>IF(OR(E4133="",E4133="!!!",F4133="NEW"),"",COUNTBLANK(OFFSET(A$1,,,SUMPRODUCT(MAX(ROW(E$2:E4133)*(E4133=E$2:E4133)))))-COUNTBLANK(OFFSET(A$1,,,SUMPRODUCT(MAX(ROW(E$1:E4132)*(E2=E$1:E4132))))))</f>
        <v> </v>
      </c>
      <c r="K4133" s="25" t="str">
        <f>IF(OR(E4133="",E4133="!!!",F4133="NEW"),"",INDEX(J$1:J4132,SUMPRODUCT(MAX(ROW(E$1:E4132)*(E4133=E$1:E4132)))))</f>
        <v> </v>
      </c>
      <c r="L4133" s="26"/>
    </row>
    <row r="4134" spans="1:12">
      <c r="A4134" s="20" t="s">
        <v>1087</v>
      </c>
      <c r="E4134" s="21">
        <f>IF(D4134="?OLD","!!!","")</f>
        <v/>
      </c>
      <c r="F4134" s="22" t="str">
        <f>IF(OR(E4134="",E4134="!!!"),"",IF(NOT(ISNA(VLOOKUP(E4134,E$1:E4133,1,FALSE()))),"OLD",IF(AND(E4134&lt;&gt;"",E4134&lt;&gt;"!!!"),"NEW","")))</f>
        <v> </v>
      </c>
      <c r="G4134" s="23" t="str">
        <f>IF(OR(E4134="",E4134="!!!"),"",IF(OR(J4134=0,AND(J4134=1,K4134=1),AND(J4134=1,I4134="SBJ"),AND(J4134=1,I4134=0)),"?IN_FOCUS",IF(J4134&lt;=2,"?ACTIVATED",IF(J4134&lt;&gt;"","?FAMILIAR",IF(F4134="NEW",IF(ISNA(VLOOKUP(E4134,#REF!,1,FALSE())),"?TYPE_IDENTIFIABLE","?REFERENTIAL"),"_")))))</f>
        <v> </v>
      </c>
      <c r="H4134" s="24" t="str">
        <f>IF(J4134&lt;&gt;1,"",IF(I4134="SBJ","CB","?"))</f>
        <v> </v>
      </c>
      <c r="I4134" s="25" t="str">
        <f>IF(OR(E4134="",E4134="!!!",F4134="NEW"),"",INDEX(B4133:B$2,-1+SUMPRODUCT(MAX(ROW(E4133:E$2)*(E4134=E4133:E$2)))))</f>
        <v> </v>
      </c>
      <c r="J4134" s="25" t="str">
        <f>IF(OR(E4134="",E4134="!!!",F4134="NEW"),"",COUNTBLANK(OFFSET(A$1,,,SUMPRODUCT(MAX(ROW(E$2:E4134)*(E4134=E$2:E4134)))))-COUNTBLANK(OFFSET(A$1,,,SUMPRODUCT(MAX(ROW(E$1:E4133)*(E2=E$1:E4133))))))</f>
        <v> </v>
      </c>
      <c r="K4134" s="25" t="str">
        <f>IF(OR(E4134="",E4134="!!!",F4134="NEW"),"",INDEX(J$1:J4133,SUMPRODUCT(MAX(ROW(E$1:E4133)*(E4134=E$1:E4133)))))</f>
        <v> </v>
      </c>
      <c r="L4134" s="26"/>
    </row>
    <row r="4135" spans="1:12">
      <c r="A4135" s="20" t="s">
        <v>1104</v>
      </c>
      <c r="B4135" s="27" t="s">
        <v>1133</v>
      </c>
      <c r="E4135" s="21">
        <f>IF(D4135="?OLD","!!!","")</f>
        <v/>
      </c>
      <c r="F4135" s="22" t="str">
        <f>IF(OR(E4135="",E4135="!!!"),"",IF(NOT(ISNA(VLOOKUP(E4135,E$1:E4134,1,FALSE()))),"OLD",IF(AND(E4135&lt;&gt;"",E4135&lt;&gt;"!!!"),"NEW","")))</f>
        <v> </v>
      </c>
      <c r="G4135" s="23" t="str">
        <f>IF(OR(E4135="",E4135="!!!"),"",IF(OR(J4135=0,AND(J4135=1,K4135=1),AND(J4135=1,I4135="SBJ"),AND(J4135=1,I4135=0)),"?IN_FOCUS",IF(J4135&lt;=2,"?ACTIVATED",IF(J4135&lt;&gt;"","?FAMILIAR",IF(F4135="NEW",IF(ISNA(VLOOKUP(E4135,#REF!,1,FALSE())),"?TYPE_IDENTIFIABLE","?REFERENTIAL"),"_")))))</f>
        <v> </v>
      </c>
      <c r="H4135" s="24" t="str">
        <f>IF(J4135&lt;&gt;1,"",IF(I4135="SBJ","CB","?"))</f>
        <v> </v>
      </c>
      <c r="I4135" s="25" t="str">
        <f>IF(OR(E4135="",E4135="!!!",F4135="NEW"),"",INDEX(B4134:B$2,-1+SUMPRODUCT(MAX(ROW(E4134:E$2)*(E4135=E4134:E$2)))))</f>
        <v> </v>
      </c>
      <c r="J4135" s="25" t="str">
        <f>IF(OR(E4135="",E4135="!!!",F4135="NEW"),"",COUNTBLANK(OFFSET(A$1,,,SUMPRODUCT(MAX(ROW(E$2:E4135)*(E4135=E$2:E4135)))))-COUNTBLANK(OFFSET(A$1,,,SUMPRODUCT(MAX(ROW(E$1:E4134)*(E2=E$1:E4134))))))</f>
        <v> </v>
      </c>
      <c r="K4135" s="25" t="str">
        <f>IF(OR(E4135="",E4135="!!!",F4135="NEW"),"",INDEX(J$1:J4134,SUMPRODUCT(MAX(ROW(E$1:E4134)*(E4135=E$1:E4134)))))</f>
        <v> </v>
      </c>
      <c r="L4135" s="26"/>
    </row>
    <row r="4136" spans="1:12">
      <c r="A4136" s="20" t="s">
        <v>2232</v>
      </c>
      <c r="E4136" s="21">
        <f>IF(D4136="?OLD","!!!","")</f>
        <v/>
      </c>
      <c r="F4136" s="22" t="str">
        <f>IF(OR(E4136="",E4136="!!!"),"",IF(NOT(ISNA(VLOOKUP(E4136,E$1:E4135,1,FALSE()))),"OLD",IF(AND(E4136&lt;&gt;"",E4136&lt;&gt;"!!!"),"NEW","")))</f>
        <v> </v>
      </c>
      <c r="G4136" s="23" t="str">
        <f>IF(OR(E4136="",E4136="!!!"),"",IF(OR(J4136=0,AND(J4136=1,K4136=1),AND(J4136=1,I4136="SBJ"),AND(J4136=1,I4136=0)),"?IN_FOCUS",IF(J4136&lt;=2,"?ACTIVATED",IF(J4136&lt;&gt;"","?FAMILIAR",IF(F4136="NEW",IF(ISNA(VLOOKUP(E4136,#REF!,1,FALSE())),"?TYPE_IDENTIFIABLE","?REFERENTIAL"),"_")))))</f>
        <v> </v>
      </c>
      <c r="H4136" s="24" t="str">
        <f>IF(J4136&lt;&gt;1,"",IF(I4136="SBJ","CB","?"))</f>
        <v> </v>
      </c>
      <c r="I4136" s="25" t="str">
        <f>IF(OR(E4136="",E4136="!!!",F4136="NEW"),"",INDEX(B4135:B$2,-1+SUMPRODUCT(MAX(ROW(E4135:E$2)*(E4136=E4135:E$2)))))</f>
        <v> </v>
      </c>
      <c r="J4136" s="25" t="str">
        <f>IF(OR(E4136="",E4136="!!!",F4136="NEW"),"",COUNTBLANK(OFFSET(A$1,,,SUMPRODUCT(MAX(ROW(E$2:E4136)*(E4136=E$2:E4136)))))-COUNTBLANK(OFFSET(A$1,,,SUMPRODUCT(MAX(ROW(E$1:E4135)*(E2=E$1:E4135))))))</f>
        <v> </v>
      </c>
      <c r="K4136" s="25" t="str">
        <f>IF(OR(E4136="",E4136="!!!",F4136="NEW"),"",INDEX(J$1:J4135,SUMPRODUCT(MAX(ROW(E$1:E4135)*(E4136=E$1:E4135)))))</f>
        <v> </v>
      </c>
      <c r="L4136" s="26"/>
    </row>
    <row r="4137" spans="1:12">
      <c r="A4137" s="20" t="s">
        <v>1628</v>
      </c>
      <c r="E4137" s="21">
        <f>IF(D4137="?OLD","!!!","")</f>
        <v/>
      </c>
      <c r="F4137" s="22" t="str">
        <f>IF(OR(E4137="",E4137="!!!"),"",IF(NOT(ISNA(VLOOKUP(E4137,E$1:E4136,1,FALSE()))),"OLD",IF(AND(E4137&lt;&gt;"",E4137&lt;&gt;"!!!"),"NEW","")))</f>
        <v> </v>
      </c>
      <c r="G4137" s="23" t="str">
        <f>IF(OR(E4137="",E4137="!!!"),"",IF(OR(J4137=0,AND(J4137=1,K4137=1),AND(J4137=1,I4137="SBJ"),AND(J4137=1,I4137=0)),"?IN_FOCUS",IF(J4137&lt;=2,"?ACTIVATED",IF(J4137&lt;&gt;"","?FAMILIAR",IF(F4137="NEW",IF(ISNA(VLOOKUP(E4137,#REF!,1,FALSE())),"?TYPE_IDENTIFIABLE","?REFERENTIAL"),"_")))))</f>
        <v> </v>
      </c>
      <c r="H4137" s="24" t="str">
        <f>IF(J4137&lt;&gt;1,"",IF(I4137="SBJ","CB","?"))</f>
        <v> </v>
      </c>
      <c r="I4137" s="25" t="str">
        <f>IF(OR(E4137="",E4137="!!!",F4137="NEW"),"",INDEX(B4136:B$2,-1+SUMPRODUCT(MAX(ROW(E4136:E$2)*(E4137=E4136:E$2)))))</f>
        <v> </v>
      </c>
      <c r="J4137" s="25" t="str">
        <f>IF(OR(E4137="",E4137="!!!",F4137="NEW"),"",COUNTBLANK(OFFSET(A$1,,,SUMPRODUCT(MAX(ROW(E$2:E4137)*(E4137=E$2:E4137)))))-COUNTBLANK(OFFSET(A$1,,,SUMPRODUCT(MAX(ROW(E$1:E4136)*(E2=E$1:E4136))))))</f>
        <v> </v>
      </c>
      <c r="K4137" s="25" t="str">
        <f>IF(OR(E4137="",E4137="!!!",F4137="NEW"),"",INDEX(J$1:J4136,SUMPRODUCT(MAX(ROW(E$1:E4136)*(E4137=E$1:E4136)))))</f>
        <v> </v>
      </c>
      <c r="L4137" s="26"/>
    </row>
    <row r="4138" spans="1:12">
      <c r="A4138" s="20" t="s">
        <v>1080</v>
      </c>
      <c r="E4138" s="21">
        <f>IF(D4138="?OLD","!!!","")</f>
        <v/>
      </c>
      <c r="F4138" s="22" t="str">
        <f>IF(OR(E4138="",E4138="!!!"),"",IF(NOT(ISNA(VLOOKUP(E4138,E$1:E4137,1,FALSE()))),"OLD",IF(AND(E4138&lt;&gt;"",E4138&lt;&gt;"!!!"),"NEW","")))</f>
        <v> </v>
      </c>
      <c r="G4138" s="23" t="str">
        <f>IF(OR(E4138="",E4138="!!!"),"",IF(OR(J4138=0,AND(J4138=1,K4138=1),AND(J4138=1,I4138="SBJ"),AND(J4138=1,I4138=0)),"?IN_FOCUS",IF(J4138&lt;=2,"?ACTIVATED",IF(J4138&lt;&gt;"","?FAMILIAR",IF(F4138="NEW",IF(ISNA(VLOOKUP(E4138,#REF!,1,FALSE())),"?TYPE_IDENTIFIABLE","?REFERENTIAL"),"_")))))</f>
        <v> </v>
      </c>
      <c r="H4138" s="24" t="str">
        <f>IF(J4138&lt;&gt;1,"",IF(I4138="SBJ","CB","?"))</f>
        <v> </v>
      </c>
      <c r="I4138" s="25" t="str">
        <f>IF(OR(E4138="",E4138="!!!",F4138="NEW"),"",INDEX(B4137:B$2,-1+SUMPRODUCT(MAX(ROW(E4137:E$2)*(E4138=E4137:E$2)))))</f>
        <v> </v>
      </c>
      <c r="J4138" s="25" t="str">
        <f>IF(OR(E4138="",E4138="!!!",F4138="NEW"),"",COUNTBLANK(OFFSET(A$1,,,SUMPRODUCT(MAX(ROW(E$2:E4138)*(E4138=E$2:E4138)))))-COUNTBLANK(OFFSET(A$1,,,SUMPRODUCT(MAX(ROW(E$1:E4137)*(E2=E$1:E4137))))))</f>
        <v> </v>
      </c>
      <c r="K4138" s="25" t="str">
        <f>IF(OR(E4138="",E4138="!!!",F4138="NEW"),"",INDEX(J$1:J4137,SUMPRODUCT(MAX(ROW(E$1:E4137)*(E4138=E$1:E4137)))))</f>
        <v> </v>
      </c>
      <c r="L4138" s="26"/>
    </row>
    <row r="4139" spans="1:12">
      <c r="A4139" s="20"/>
    </row>
    <row r="4140" spans="1:12">
      <c r="A4140" s="20" t="s">
        <v>2342</v>
      </c>
    </row>
    <row r="4141" spans="1:12">
      <c r="A4141" s="20" t="s">
        <v>1175</v>
      </c>
      <c r="B4141" s="27" t="s">
        <v>1095</v>
      </c>
      <c r="C4141" s="27" t="s">
        <v>1129</v>
      </c>
      <c r="D4141" s="27" t="s">
        <v>1069</v>
      </c>
      <c r="E4141" s="21">
        <f>IF(D4141="?OLD","!!!","")</f>
        <v/>
      </c>
      <c r="F4141" s="22" t="str">
        <f>IF(OR(E4141="",E4141="!!!"),"",IF(NOT(ISNA(VLOOKUP(E4141,E$1:E4140,1,FALSE()))),"OLD",IF(AND(E4141&lt;&gt;"",E4141&lt;&gt;"!!!"),"NEW","")))</f>
        <v> </v>
      </c>
      <c r="G4141" s="23" t="str">
        <f>IF(OR(E4141="",E4141="!!!"),"",IF(OR(J4141=0,AND(J4141=1,K4141=1),AND(J4141=1,I4141="SBJ"),AND(J4141=1,I4141=0)),"?IN_FOCUS",IF(J4141&lt;=2,"?ACTIVATED",IF(J4141&lt;&gt;"","?FAMILIAR",IF(F4141="NEW",IF(ISNA(VLOOKUP(E4141,#REF!,1,FALSE())),"?TYPE_IDENTIFIABLE","?REFERENTIAL"),"_")))))</f>
        <v> </v>
      </c>
      <c r="H4141" s="24" t="str">
        <f>IF(J4141&lt;&gt;1,"",IF(I4141="SBJ","CB","?"))</f>
        <v> </v>
      </c>
      <c r="I4141" s="25" t="str">
        <f>IF(OR(E4141="",E4141="!!!",F4141="NEW"),"",INDEX(B4140:B$2,-1+SUMPRODUCT(MAX(ROW(E4140:E$2)*(E4141=E4140:E$2)))))</f>
        <v> </v>
      </c>
      <c r="J4141" s="25" t="str">
        <f>IF(OR(E4141="",E4141="!!!",F4141="NEW"),"",COUNTBLANK(OFFSET(A$1,,,SUMPRODUCT(MAX(ROW(E$2:E4141)*(E4141=E$2:E4141)))))-COUNTBLANK(OFFSET(A$1,,,SUMPRODUCT(MAX(ROW(E$1:E4140)*(E2=E$1:E4140))))))</f>
        <v> </v>
      </c>
      <c r="K4141" s="25" t="str">
        <f>IF(OR(E4141="",E4141="!!!",F4141="NEW"),"",INDEX(J$1:J4140,SUMPRODUCT(MAX(ROW(E$1:E4140)*(E4141=E$1:E4140)))))</f>
        <v> </v>
      </c>
      <c r="L4141" s="26"/>
    </row>
    <row r="4142" spans="1:12">
      <c r="A4142" s="20" t="s">
        <v>1191</v>
      </c>
      <c r="E4142" s="21">
        <f>IF(D4142="?OLD","!!!","")</f>
        <v/>
      </c>
      <c r="F4142" s="22" t="str">
        <f>IF(OR(E4142="",E4142="!!!"),"",IF(NOT(ISNA(VLOOKUP(E4142,E$1:E4141,1,FALSE()))),"OLD",IF(AND(E4142&lt;&gt;"",E4142&lt;&gt;"!!!"),"NEW","")))</f>
        <v> </v>
      </c>
      <c r="G4142" s="23" t="str">
        <f>IF(OR(E4142="",E4142="!!!"),"",IF(OR(J4142=0,AND(J4142=1,K4142=1),AND(J4142=1,I4142="SBJ"),AND(J4142=1,I4142=0)),"?IN_FOCUS",IF(J4142&lt;=2,"?ACTIVATED",IF(J4142&lt;&gt;"","?FAMILIAR",IF(F4142="NEW",IF(ISNA(VLOOKUP(E4142,#REF!,1,FALSE())),"?TYPE_IDENTIFIABLE","?REFERENTIAL"),"_")))))</f>
        <v> </v>
      </c>
      <c r="H4142" s="24" t="str">
        <f>IF(J4142&lt;&gt;1,"",IF(I4142="SBJ","CB","?"))</f>
        <v> </v>
      </c>
      <c r="I4142" s="25" t="str">
        <f>IF(OR(E4142="",E4142="!!!",F4142="NEW"),"",INDEX(B4141:B$2,-1+SUMPRODUCT(MAX(ROW(E4141:E$2)*(E4142=E4141:E$2)))))</f>
        <v> </v>
      </c>
      <c r="J4142" s="25" t="str">
        <f>IF(OR(E4142="",E4142="!!!",F4142="NEW"),"",COUNTBLANK(OFFSET(A$1,,,SUMPRODUCT(MAX(ROW(E$2:E4142)*(E4142=E$2:E4142)))))-COUNTBLANK(OFFSET(A$1,,,SUMPRODUCT(MAX(ROW(E$1:E4141)*(E2=E$1:E4141))))))</f>
        <v> </v>
      </c>
      <c r="K4142" s="25" t="str">
        <f>IF(OR(E4142="",E4142="!!!",F4142="NEW"),"",INDEX(J$1:J4141,SUMPRODUCT(MAX(ROW(E$1:E4141)*(E4142=E$1:E4141)))))</f>
        <v> </v>
      </c>
      <c r="L4142" s="26"/>
    </row>
    <row r="4143" spans="1:12">
      <c r="A4143" s="20" t="s">
        <v>141</v>
      </c>
      <c r="E4143" s="21">
        <f>IF(D4143="?OLD","!!!","")</f>
        <v/>
      </c>
      <c r="F4143" s="22" t="str">
        <f>IF(OR(E4143="",E4143="!!!"),"",IF(NOT(ISNA(VLOOKUP(E4143,E$1:E4142,1,FALSE()))),"OLD",IF(AND(E4143&lt;&gt;"",E4143&lt;&gt;"!!!"),"NEW","")))</f>
        <v> </v>
      </c>
      <c r="G4143" s="23" t="str">
        <f>IF(OR(E4143="",E4143="!!!"),"",IF(OR(J4143=0,AND(J4143=1,K4143=1),AND(J4143=1,I4143="SBJ"),AND(J4143=1,I4143=0)),"?IN_FOCUS",IF(J4143&lt;=2,"?ACTIVATED",IF(J4143&lt;&gt;"","?FAMILIAR",IF(F4143="NEW",IF(ISNA(VLOOKUP(E4143,#REF!,1,FALSE())),"?TYPE_IDENTIFIABLE","?REFERENTIAL"),"_")))))</f>
        <v> </v>
      </c>
      <c r="H4143" s="24" t="str">
        <f>IF(J4143&lt;&gt;1,"",IF(I4143="SBJ","CB","?"))</f>
        <v> </v>
      </c>
      <c r="I4143" s="25" t="str">
        <f>IF(OR(E4143="",E4143="!!!",F4143="NEW"),"",INDEX(B4142:B$2,-1+SUMPRODUCT(MAX(ROW(E4142:E$2)*(E4143=E4142:E$2)))))</f>
        <v> </v>
      </c>
      <c r="J4143" s="25" t="str">
        <f>IF(OR(E4143="",E4143="!!!",F4143="NEW"),"",COUNTBLANK(OFFSET(A$1,,,SUMPRODUCT(MAX(ROW(E$2:E4143)*(E4143=E$2:E4143)))))-COUNTBLANK(OFFSET(A$1,,,SUMPRODUCT(MAX(ROW(E$1:E4142)*(E2=E$1:E4142))))))</f>
        <v> </v>
      </c>
      <c r="K4143" s="25" t="str">
        <f>IF(OR(E4143="",E4143="!!!",F4143="NEW"),"",INDEX(J$1:J4142,SUMPRODUCT(MAX(ROW(E$1:E4142)*(E4143=E$1:E4142)))))</f>
        <v> </v>
      </c>
      <c r="L4143" s="26"/>
    </row>
    <row r="4144" spans="1:12">
      <c r="A4144" s="20" t="s">
        <v>1137</v>
      </c>
      <c r="E4144" s="21">
        <f>IF(D4144="?OLD","!!!","")</f>
        <v/>
      </c>
      <c r="F4144" s="22" t="str">
        <f>IF(OR(E4144="",E4144="!!!"),"",IF(NOT(ISNA(VLOOKUP(E4144,E$1:E4143,1,FALSE()))),"OLD",IF(AND(E4144&lt;&gt;"",E4144&lt;&gt;"!!!"),"NEW","")))</f>
        <v> </v>
      </c>
      <c r="G4144" s="23" t="str">
        <f>IF(OR(E4144="",E4144="!!!"),"",IF(OR(J4144=0,AND(J4144=1,K4144=1),AND(J4144=1,I4144="SBJ"),AND(J4144=1,I4144=0)),"?IN_FOCUS",IF(J4144&lt;=2,"?ACTIVATED",IF(J4144&lt;&gt;"","?FAMILIAR",IF(F4144="NEW",IF(ISNA(VLOOKUP(E4144,#REF!,1,FALSE())),"?TYPE_IDENTIFIABLE","?REFERENTIAL"),"_")))))</f>
        <v> </v>
      </c>
      <c r="H4144" s="24" t="str">
        <f>IF(J4144&lt;&gt;1,"",IF(I4144="SBJ","CB","?"))</f>
        <v> </v>
      </c>
      <c r="I4144" s="25" t="str">
        <f>IF(OR(E4144="",E4144="!!!",F4144="NEW"),"",INDEX(B4143:B$2,-1+SUMPRODUCT(MAX(ROW(E4143:E$2)*(E4144=E4143:E$2)))))</f>
        <v> </v>
      </c>
      <c r="J4144" s="25" t="str">
        <f>IF(OR(E4144="",E4144="!!!",F4144="NEW"),"",COUNTBLANK(OFFSET(A$1,,,SUMPRODUCT(MAX(ROW(E$2:E4144)*(E4144=E$2:E4144)))))-COUNTBLANK(OFFSET(A$1,,,SUMPRODUCT(MAX(ROW(E$1:E4143)*(E2=E$1:E4143))))))</f>
        <v> </v>
      </c>
      <c r="K4144" s="25" t="str">
        <f>IF(OR(E4144="",E4144="!!!",F4144="NEW"),"",INDEX(J$1:J4143,SUMPRODUCT(MAX(ROW(E$1:E4143)*(E4144=E$1:E4143)))))</f>
        <v> </v>
      </c>
      <c r="L4144" s="26"/>
    </row>
    <row r="4145" spans="1:12">
      <c r="A4145" s="20" t="s">
        <v>2242</v>
      </c>
      <c r="B4145" s="27" t="s">
        <v>1067</v>
      </c>
      <c r="C4145" s="27" t="s">
        <v>1120</v>
      </c>
      <c r="E4145" s="21">
        <f>IF(D4145="?OLD","!!!","")</f>
        <v/>
      </c>
      <c r="F4145" s="22" t="str">
        <f>IF(OR(E4145="",E4145="!!!"),"",IF(NOT(ISNA(VLOOKUP(E4145,E$1:E4144,1,FALSE()))),"OLD",IF(AND(E4145&lt;&gt;"",E4145&lt;&gt;"!!!"),"NEW","")))</f>
        <v> </v>
      </c>
      <c r="G4145" s="23" t="str">
        <f>IF(OR(E4145="",E4145="!!!"),"",IF(OR(J4145=0,AND(J4145=1,K4145=1),AND(J4145=1,I4145="SBJ"),AND(J4145=1,I4145=0)),"?IN_FOCUS",IF(J4145&lt;=2,"?ACTIVATED",IF(J4145&lt;&gt;"","?FAMILIAR",IF(F4145="NEW",IF(ISNA(VLOOKUP(E4145,#REF!,1,FALSE())),"?TYPE_IDENTIFIABLE","?REFERENTIAL"),"_")))))</f>
        <v> </v>
      </c>
      <c r="H4145" s="24" t="str">
        <f>IF(J4145&lt;&gt;1,"",IF(I4145="SBJ","CB","?"))</f>
        <v> </v>
      </c>
      <c r="I4145" s="25" t="str">
        <f>IF(OR(E4145="",E4145="!!!",F4145="NEW"),"",INDEX(B4144:B$2,-1+SUMPRODUCT(MAX(ROW(E4144:E$2)*(E4145=E4144:E$2)))))</f>
        <v> </v>
      </c>
      <c r="J4145" s="25" t="str">
        <f>IF(OR(E4145="",E4145="!!!",F4145="NEW"),"",COUNTBLANK(OFFSET(A$1,,,SUMPRODUCT(MAX(ROW(E$2:E4145)*(E4145=E$2:E4145)))))-COUNTBLANK(OFFSET(A$1,,,SUMPRODUCT(MAX(ROW(E$1:E4144)*(E2=E$1:E4144))))))</f>
        <v> </v>
      </c>
      <c r="K4145" s="25" t="str">
        <f>IF(OR(E4145="",E4145="!!!",F4145="NEW"),"",INDEX(J$1:J4144,SUMPRODUCT(MAX(ROW(E$1:E4144)*(E4145=E$1:E4144)))))</f>
        <v> </v>
      </c>
      <c r="L4145" s="26"/>
    </row>
    <row r="4146" spans="1:12">
      <c r="A4146" s="20" t="s">
        <v>2041</v>
      </c>
      <c r="E4146" s="21">
        <f>IF(D4146="?OLD","!!!","")</f>
        <v/>
      </c>
      <c r="F4146" s="22" t="str">
        <f>IF(OR(E4146="",E4146="!!!"),"",IF(NOT(ISNA(VLOOKUP(E4146,E$1:E4145,1,FALSE()))),"OLD",IF(AND(E4146&lt;&gt;"",E4146&lt;&gt;"!!!"),"NEW","")))</f>
        <v> </v>
      </c>
      <c r="G4146" s="23" t="str">
        <f>IF(OR(E4146="",E4146="!!!"),"",IF(OR(J4146=0,AND(J4146=1,K4146=1),AND(J4146=1,I4146="SBJ"),AND(J4146=1,I4146=0)),"?IN_FOCUS",IF(J4146&lt;=2,"?ACTIVATED",IF(J4146&lt;&gt;"","?FAMILIAR",IF(F4146="NEW",IF(ISNA(VLOOKUP(E4146,#REF!,1,FALSE())),"?TYPE_IDENTIFIABLE","?REFERENTIAL"),"_")))))</f>
        <v> </v>
      </c>
      <c r="H4146" s="24" t="str">
        <f>IF(J4146&lt;&gt;1,"",IF(I4146="SBJ","CB","?"))</f>
        <v> </v>
      </c>
      <c r="I4146" s="25" t="str">
        <f>IF(OR(E4146="",E4146="!!!",F4146="NEW"),"",INDEX(B4145:B$2,-1+SUMPRODUCT(MAX(ROW(E4145:E$2)*(E4146=E4145:E$2)))))</f>
        <v> </v>
      </c>
      <c r="J4146" s="25" t="str">
        <f>IF(OR(E4146="",E4146="!!!",F4146="NEW"),"",COUNTBLANK(OFFSET(A$1,,,SUMPRODUCT(MAX(ROW(E$2:E4146)*(E4146=E$2:E4146)))))-COUNTBLANK(OFFSET(A$1,,,SUMPRODUCT(MAX(ROW(E$1:E4145)*(E2=E$1:E4145))))))</f>
        <v> </v>
      </c>
      <c r="K4146" s="25" t="str">
        <f>IF(OR(E4146="",E4146="!!!",F4146="NEW"),"",INDEX(J$1:J4145,SUMPRODUCT(MAX(ROW(E$1:E4145)*(E4146=E$1:E4145)))))</f>
        <v> </v>
      </c>
      <c r="L4146" s="26"/>
    </row>
    <row r="4147" spans="1:12">
      <c r="A4147" s="20" t="s">
        <v>1087</v>
      </c>
      <c r="E4147" s="21">
        <f>IF(D4147="?OLD","!!!","")</f>
        <v/>
      </c>
      <c r="F4147" s="22" t="str">
        <f>IF(OR(E4147="",E4147="!!!"),"",IF(NOT(ISNA(VLOOKUP(E4147,E$1:E4146,1,FALSE()))),"OLD",IF(AND(E4147&lt;&gt;"",E4147&lt;&gt;"!!!"),"NEW","")))</f>
        <v> </v>
      </c>
      <c r="G4147" s="23" t="str">
        <f>IF(OR(E4147="",E4147="!!!"),"",IF(OR(J4147=0,AND(J4147=1,K4147=1),AND(J4147=1,I4147="SBJ"),AND(J4147=1,I4147=0)),"?IN_FOCUS",IF(J4147&lt;=2,"?ACTIVATED",IF(J4147&lt;&gt;"","?FAMILIAR",IF(F4147="NEW",IF(ISNA(VLOOKUP(E4147,#REF!,1,FALSE())),"?TYPE_IDENTIFIABLE","?REFERENTIAL"),"_")))))</f>
        <v> </v>
      </c>
      <c r="H4147" s="24" t="str">
        <f>IF(J4147&lt;&gt;1,"",IF(I4147="SBJ","CB","?"))</f>
        <v> </v>
      </c>
      <c r="I4147" s="25" t="str">
        <f>IF(OR(E4147="",E4147="!!!",F4147="NEW"),"",INDEX(B4146:B$2,-1+SUMPRODUCT(MAX(ROW(E4146:E$2)*(E4147=E4146:E$2)))))</f>
        <v> </v>
      </c>
      <c r="J4147" s="25" t="str">
        <f>IF(OR(E4147="",E4147="!!!",F4147="NEW"),"",COUNTBLANK(OFFSET(A$1,,,SUMPRODUCT(MAX(ROW(E$2:E4147)*(E4147=E$2:E4147)))))-COUNTBLANK(OFFSET(A$1,,,SUMPRODUCT(MAX(ROW(E$1:E4146)*(E2=E$1:E4146))))))</f>
        <v> </v>
      </c>
      <c r="K4147" s="25" t="str">
        <f>IF(OR(E4147="",E4147="!!!",F4147="NEW"),"",INDEX(J$1:J4146,SUMPRODUCT(MAX(ROW(E$1:E4146)*(E4147=E$1:E4146)))))</f>
        <v> </v>
      </c>
      <c r="L4147" s="26"/>
    </row>
    <row r="4148" spans="1:12">
      <c r="A4148" s="20" t="s">
        <v>1301</v>
      </c>
      <c r="E4148" s="21">
        <f>IF(D4148="?OLD","!!!","")</f>
        <v/>
      </c>
      <c r="F4148" s="22" t="str">
        <f>IF(OR(E4148="",E4148="!!!"),"",IF(NOT(ISNA(VLOOKUP(E4148,E$1:E4147,1,FALSE()))),"OLD",IF(AND(E4148&lt;&gt;"",E4148&lt;&gt;"!!!"),"NEW","")))</f>
        <v> </v>
      </c>
      <c r="G4148" s="23" t="str">
        <f>IF(OR(E4148="",E4148="!!!"),"",IF(OR(J4148=0,AND(J4148=1,K4148=1),AND(J4148=1,I4148="SBJ"),AND(J4148=1,I4148=0)),"?IN_FOCUS",IF(J4148&lt;=2,"?ACTIVATED",IF(J4148&lt;&gt;"","?FAMILIAR",IF(F4148="NEW",IF(ISNA(VLOOKUP(E4148,#REF!,1,FALSE())),"?TYPE_IDENTIFIABLE","?REFERENTIAL"),"_")))))</f>
        <v> </v>
      </c>
      <c r="H4148" s="24" t="str">
        <f>IF(J4148&lt;&gt;1,"",IF(I4148="SBJ","CB","?"))</f>
        <v> </v>
      </c>
      <c r="I4148" s="25" t="str">
        <f>IF(OR(E4148="",E4148="!!!",F4148="NEW"),"",INDEX(B4147:B$2,-1+SUMPRODUCT(MAX(ROW(E4147:E$2)*(E4148=E4147:E$2)))))</f>
        <v> </v>
      </c>
      <c r="J4148" s="25" t="str">
        <f>IF(OR(E4148="",E4148="!!!",F4148="NEW"),"",COUNTBLANK(OFFSET(A$1,,,SUMPRODUCT(MAX(ROW(E$2:E4148)*(E4148=E$2:E4148)))))-COUNTBLANK(OFFSET(A$1,,,SUMPRODUCT(MAX(ROW(E$1:E4147)*(E2=E$1:E4147))))))</f>
        <v> </v>
      </c>
      <c r="K4148" s="25" t="str">
        <f>IF(OR(E4148="",E4148="!!!",F4148="NEW"),"",INDEX(J$1:J4147,SUMPRODUCT(MAX(ROW(E$1:E4147)*(E4148=E$1:E4147)))))</f>
        <v> </v>
      </c>
      <c r="L4148" s="26"/>
    </row>
    <row r="4149" spans="1:12">
      <c r="A4149" s="20" t="s">
        <v>1167</v>
      </c>
      <c r="B4149" s="27" t="s">
        <v>1109</v>
      </c>
      <c r="C4149" s="27" t="s">
        <v>1068</v>
      </c>
      <c r="D4149" s="27" t="s">
        <v>1069</v>
      </c>
      <c r="E4149" s="21">
        <f>IF(D4149="?OLD","!!!","")</f>
        <v/>
      </c>
      <c r="F4149" s="22" t="str">
        <f>IF(OR(E4149="",E4149="!!!"),"",IF(NOT(ISNA(VLOOKUP(E4149,E$1:E4148,1,FALSE()))),"OLD",IF(AND(E4149&lt;&gt;"",E4149&lt;&gt;"!!!"),"NEW","")))</f>
        <v> </v>
      </c>
      <c r="G4149" s="23" t="str">
        <f>IF(OR(E4149="",E4149="!!!"),"",IF(OR(J4149=0,AND(J4149=1,K4149=1),AND(J4149=1,I4149="SBJ"),AND(J4149=1,I4149=0)),"?IN_FOCUS",IF(J4149&lt;=2,"?ACTIVATED",IF(J4149&lt;&gt;"","?FAMILIAR",IF(F4149="NEW",IF(ISNA(VLOOKUP(E4149,#REF!,1,FALSE())),"?TYPE_IDENTIFIABLE","?REFERENTIAL"),"_")))))</f>
        <v> </v>
      </c>
      <c r="H4149" s="24" t="str">
        <f>IF(J4149&lt;&gt;1,"",IF(I4149="SBJ","CB","?"))</f>
        <v> </v>
      </c>
      <c r="I4149" s="25" t="str">
        <f>IF(OR(E4149="",E4149="!!!",F4149="NEW"),"",INDEX(B4148:B$2,-1+SUMPRODUCT(MAX(ROW(E4148:E$2)*(E4149=E4148:E$2)))))</f>
        <v> </v>
      </c>
      <c r="J4149" s="25" t="str">
        <f>IF(OR(E4149="",E4149="!!!",F4149="NEW"),"",COUNTBLANK(OFFSET(A$1,,,SUMPRODUCT(MAX(ROW(E$2:E4149)*(E4149=E$2:E4149)))))-COUNTBLANK(OFFSET(A$1,,,SUMPRODUCT(MAX(ROW(E$1:E4148)*(E2=E$1:E4148))))))</f>
        <v> </v>
      </c>
      <c r="K4149" s="25" t="str">
        <f>IF(OR(E4149="",E4149="!!!",F4149="NEW"),"",INDEX(J$1:J4148,SUMPRODUCT(MAX(ROW(E$1:E4148)*(E4149=E$1:E4148)))))</f>
        <v> </v>
      </c>
      <c r="L4149" s="26"/>
    </row>
    <row r="4150" spans="1:12">
      <c r="A4150" s="20" t="s">
        <v>1191</v>
      </c>
      <c r="E4150" s="21">
        <f>IF(D4150="?OLD","!!!","")</f>
        <v/>
      </c>
      <c r="F4150" s="22" t="str">
        <f>IF(OR(E4150="",E4150="!!!"),"",IF(NOT(ISNA(VLOOKUP(E4150,E$1:E4149,1,FALSE()))),"OLD",IF(AND(E4150&lt;&gt;"",E4150&lt;&gt;"!!!"),"NEW","")))</f>
        <v> </v>
      </c>
      <c r="G4150" s="23" t="str">
        <f>IF(OR(E4150="",E4150="!!!"),"",IF(OR(J4150=0,AND(J4150=1,K4150=1),AND(J4150=1,I4150="SBJ"),AND(J4150=1,I4150=0)),"?IN_FOCUS",IF(J4150&lt;=2,"?ACTIVATED",IF(J4150&lt;&gt;"","?FAMILIAR",IF(F4150="NEW",IF(ISNA(VLOOKUP(E4150,#REF!,1,FALSE())),"?TYPE_IDENTIFIABLE","?REFERENTIAL"),"_")))))</f>
        <v> </v>
      </c>
      <c r="H4150" s="24" t="str">
        <f>IF(J4150&lt;&gt;1,"",IF(I4150="SBJ","CB","?"))</f>
        <v> </v>
      </c>
      <c r="I4150" s="25" t="str">
        <f>IF(OR(E4150="",E4150="!!!",F4150="NEW"),"",INDEX(B4149:B$2,-1+SUMPRODUCT(MAX(ROW(E4149:E$2)*(E4150=E4149:E$2)))))</f>
        <v> </v>
      </c>
      <c r="J4150" s="25" t="str">
        <f>IF(OR(E4150="",E4150="!!!",F4150="NEW"),"",COUNTBLANK(OFFSET(A$1,,,SUMPRODUCT(MAX(ROW(E$2:E4150)*(E4150=E$2:E4150)))))-COUNTBLANK(OFFSET(A$1,,,SUMPRODUCT(MAX(ROW(E$1:E4149)*(E2=E$1:E4149))))))</f>
        <v> </v>
      </c>
      <c r="K4150" s="25" t="str">
        <f>IF(OR(E4150="",E4150="!!!",F4150="NEW"),"",INDEX(J$1:J4149,SUMPRODUCT(MAX(ROW(E$1:E4149)*(E4150=E$1:E4149)))))</f>
        <v> </v>
      </c>
      <c r="L4150" s="26"/>
    </row>
    <row r="4151" spans="1:12">
      <c r="A4151" s="20" t="s">
        <v>1166</v>
      </c>
      <c r="E4151" s="21">
        <f>IF(D4151="?OLD","!!!","")</f>
        <v/>
      </c>
      <c r="F4151" s="22" t="str">
        <f>IF(OR(E4151="",E4151="!!!"),"",IF(NOT(ISNA(VLOOKUP(E4151,E$1:E4150,1,FALSE()))),"OLD",IF(AND(E4151&lt;&gt;"",E4151&lt;&gt;"!!!"),"NEW","")))</f>
        <v> </v>
      </c>
      <c r="G4151" s="23" t="str">
        <f>IF(OR(E4151="",E4151="!!!"),"",IF(OR(J4151=0,AND(J4151=1,K4151=1),AND(J4151=1,I4151="SBJ"),AND(J4151=1,I4151=0)),"?IN_FOCUS",IF(J4151&lt;=2,"?ACTIVATED",IF(J4151&lt;&gt;"","?FAMILIAR",IF(F4151="NEW",IF(ISNA(VLOOKUP(E4151,#REF!,1,FALSE())),"?TYPE_IDENTIFIABLE","?REFERENTIAL"),"_")))))</f>
        <v> </v>
      </c>
      <c r="H4151" s="24" t="str">
        <f>IF(J4151&lt;&gt;1,"",IF(I4151="SBJ","CB","?"))</f>
        <v> </v>
      </c>
      <c r="I4151" s="25" t="str">
        <f>IF(OR(E4151="",E4151="!!!",F4151="NEW"),"",INDEX(B4150:B$2,-1+SUMPRODUCT(MAX(ROW(E4150:E$2)*(E4151=E4150:E$2)))))</f>
        <v> </v>
      </c>
      <c r="J4151" s="25" t="str">
        <f>IF(OR(E4151="",E4151="!!!",F4151="NEW"),"",COUNTBLANK(OFFSET(A$1,,,SUMPRODUCT(MAX(ROW(E$2:E4151)*(E4151=E$2:E4151)))))-COUNTBLANK(OFFSET(A$1,,,SUMPRODUCT(MAX(ROW(E$1:E4150)*(E2=E$1:E4150))))))</f>
        <v> </v>
      </c>
      <c r="K4151" s="25" t="str">
        <f>IF(OR(E4151="",E4151="!!!",F4151="NEW"),"",INDEX(J$1:J4150,SUMPRODUCT(MAX(ROW(E$1:E4150)*(E4151=E$1:E4150)))))</f>
        <v> </v>
      </c>
      <c r="L4151" s="26"/>
    </row>
    <row r="4152" spans="1:12">
      <c r="A4152" s="20" t="s">
        <v>141</v>
      </c>
      <c r="E4152" s="21">
        <f>IF(D4152="?OLD","!!!","")</f>
        <v/>
      </c>
      <c r="F4152" s="22" t="str">
        <f>IF(OR(E4152="",E4152="!!!"),"",IF(NOT(ISNA(VLOOKUP(E4152,E$1:E4151,1,FALSE()))),"OLD",IF(AND(E4152&lt;&gt;"",E4152&lt;&gt;"!!!"),"NEW","")))</f>
        <v> </v>
      </c>
      <c r="G4152" s="23" t="str">
        <f>IF(OR(E4152="",E4152="!!!"),"",IF(OR(J4152=0,AND(J4152=1,K4152=1),AND(J4152=1,I4152="SBJ"),AND(J4152=1,I4152=0)),"?IN_FOCUS",IF(J4152&lt;=2,"?ACTIVATED",IF(J4152&lt;&gt;"","?FAMILIAR",IF(F4152="NEW",IF(ISNA(VLOOKUP(E4152,#REF!,1,FALSE())),"?TYPE_IDENTIFIABLE","?REFERENTIAL"),"_")))))</f>
        <v> </v>
      </c>
      <c r="H4152" s="24" t="str">
        <f>IF(J4152&lt;&gt;1,"",IF(I4152="SBJ","CB","?"))</f>
        <v> </v>
      </c>
      <c r="I4152" s="25" t="str">
        <f>IF(OR(E4152="",E4152="!!!",F4152="NEW"),"",INDEX(B4151:B$2,-1+SUMPRODUCT(MAX(ROW(E4151:E$2)*(E4152=E4151:E$2)))))</f>
        <v> </v>
      </c>
      <c r="J4152" s="25" t="str">
        <f>IF(OR(E4152="",E4152="!!!",F4152="NEW"),"",COUNTBLANK(OFFSET(A$1,,,SUMPRODUCT(MAX(ROW(E$2:E4152)*(E4152=E$2:E4152)))))-COUNTBLANK(OFFSET(A$1,,,SUMPRODUCT(MAX(ROW(E$1:E4151)*(E2=E$1:E4151))))))</f>
        <v> </v>
      </c>
      <c r="K4152" s="25" t="str">
        <f>IF(OR(E4152="",E4152="!!!",F4152="NEW"),"",INDEX(J$1:J4151,SUMPRODUCT(MAX(ROW(E$1:E4151)*(E4152=E$1:E4151)))))</f>
        <v> </v>
      </c>
      <c r="L4152" s="26"/>
    </row>
    <row r="4153" spans="1:12">
      <c r="A4153" s="20" t="s">
        <v>2343</v>
      </c>
      <c r="E4153" s="21">
        <f>IF(D4153="?OLD","!!!","")</f>
        <v/>
      </c>
      <c r="F4153" s="22" t="str">
        <f>IF(OR(E4153="",E4153="!!!"),"",IF(NOT(ISNA(VLOOKUP(E4153,E$1:E4152,1,FALSE()))),"OLD",IF(AND(E4153&lt;&gt;"",E4153&lt;&gt;"!!!"),"NEW","")))</f>
        <v> </v>
      </c>
      <c r="G4153" s="23" t="str">
        <f>IF(OR(E4153="",E4153="!!!"),"",IF(OR(J4153=0,AND(J4153=1,K4153=1),AND(J4153=1,I4153="SBJ"),AND(J4153=1,I4153=0)),"?IN_FOCUS",IF(J4153&lt;=2,"?ACTIVATED",IF(J4153&lt;&gt;"","?FAMILIAR",IF(F4153="NEW",IF(ISNA(VLOOKUP(E4153,#REF!,1,FALSE())),"?TYPE_IDENTIFIABLE","?REFERENTIAL"),"_")))))</f>
        <v> </v>
      </c>
      <c r="H4153" s="24" t="str">
        <f>IF(J4153&lt;&gt;1,"",IF(I4153="SBJ","CB","?"))</f>
        <v> </v>
      </c>
      <c r="I4153" s="25" t="str">
        <f>IF(OR(E4153="",E4153="!!!",F4153="NEW"),"",INDEX(B4152:B$2,-1+SUMPRODUCT(MAX(ROW(E4152:E$2)*(E4153=E4152:E$2)))))</f>
        <v> </v>
      </c>
      <c r="J4153" s="25" t="str">
        <f>IF(OR(E4153="",E4153="!!!",F4153="NEW"),"",COUNTBLANK(OFFSET(A$1,,,SUMPRODUCT(MAX(ROW(E$2:E4153)*(E4153=E$2:E4153)))))-COUNTBLANK(OFFSET(A$1,,,SUMPRODUCT(MAX(ROW(E$1:E4152)*(E2=E$1:E4152))))))</f>
        <v> </v>
      </c>
      <c r="K4153" s="25" t="str">
        <f>IF(OR(E4153="",E4153="!!!",F4153="NEW"),"",INDEX(J$1:J4152,SUMPRODUCT(MAX(ROW(E$1:E4152)*(E4153=E$1:E4152)))))</f>
        <v> </v>
      </c>
      <c r="L4153" s="26"/>
    </row>
    <row r="4154" spans="1:12">
      <c r="A4154" s="20" t="s">
        <v>2006</v>
      </c>
      <c r="B4154" s="27" t="s">
        <v>1141</v>
      </c>
      <c r="C4154" s="27" t="s">
        <v>1120</v>
      </c>
      <c r="E4154" s="21">
        <f>IF(D4154="?OLD","!!!","")</f>
        <v/>
      </c>
      <c r="F4154" s="22" t="str">
        <f>IF(OR(E4154="",E4154="!!!"),"",IF(NOT(ISNA(VLOOKUP(E4154,E$1:E4153,1,FALSE()))),"OLD",IF(AND(E4154&lt;&gt;"",E4154&lt;&gt;"!!!"),"NEW","")))</f>
        <v> </v>
      </c>
      <c r="G4154" s="23" t="str">
        <f>IF(OR(E4154="",E4154="!!!"),"",IF(OR(J4154=0,AND(J4154=1,K4154=1),AND(J4154=1,I4154="SBJ"),AND(J4154=1,I4154=0)),"?IN_FOCUS",IF(J4154&lt;=2,"?ACTIVATED",IF(J4154&lt;&gt;"","?FAMILIAR",IF(F4154="NEW",IF(ISNA(VLOOKUP(E4154,#REF!,1,FALSE())),"?TYPE_IDENTIFIABLE","?REFERENTIAL"),"_")))))</f>
        <v> </v>
      </c>
      <c r="H4154" s="24" t="str">
        <f>IF(J4154&lt;&gt;1,"",IF(I4154="SBJ","CB","?"))</f>
        <v> </v>
      </c>
      <c r="I4154" s="25" t="str">
        <f>IF(OR(E4154="",E4154="!!!",F4154="NEW"),"",INDEX(B4153:B$2,-1+SUMPRODUCT(MAX(ROW(E4153:E$2)*(E4154=E4153:E$2)))))</f>
        <v> </v>
      </c>
      <c r="J4154" s="25" t="str">
        <f>IF(OR(E4154="",E4154="!!!",F4154="NEW"),"",COUNTBLANK(OFFSET(A$1,,,SUMPRODUCT(MAX(ROW(E$2:E4154)*(E4154=E$2:E4154)))))-COUNTBLANK(OFFSET(A$1,,,SUMPRODUCT(MAX(ROW(E$1:E4153)*(E2=E$1:E4153))))))</f>
        <v> </v>
      </c>
      <c r="K4154" s="25" t="str">
        <f>IF(OR(E4154="",E4154="!!!",F4154="NEW"),"",INDEX(J$1:J4153,SUMPRODUCT(MAX(ROW(E$1:E4153)*(E4154=E$1:E4153)))))</f>
        <v> </v>
      </c>
      <c r="L4154" s="26"/>
    </row>
    <row r="4155" spans="1:12">
      <c r="A4155" s="20" t="s">
        <v>1078</v>
      </c>
      <c r="E4155" s="21">
        <f>IF(D4155="?OLD","!!!","")</f>
        <v/>
      </c>
      <c r="F4155" s="22" t="str">
        <f>IF(OR(E4155="",E4155="!!!"),"",IF(NOT(ISNA(VLOOKUP(E4155,E$1:E4154,1,FALSE()))),"OLD",IF(AND(E4155&lt;&gt;"",E4155&lt;&gt;"!!!"),"NEW","")))</f>
        <v> </v>
      </c>
      <c r="G4155" s="23" t="str">
        <f>IF(OR(E4155="",E4155="!!!"),"",IF(OR(J4155=0,AND(J4155=1,K4155=1),AND(J4155=1,I4155="SBJ"),AND(J4155=1,I4155=0)),"?IN_FOCUS",IF(J4155&lt;=2,"?ACTIVATED",IF(J4155&lt;&gt;"","?FAMILIAR",IF(F4155="NEW",IF(ISNA(VLOOKUP(E4155,#REF!,1,FALSE())),"?TYPE_IDENTIFIABLE","?REFERENTIAL"),"_")))))</f>
        <v> </v>
      </c>
      <c r="H4155" s="24" t="str">
        <f>IF(J4155&lt;&gt;1,"",IF(I4155="SBJ","CB","?"))</f>
        <v> </v>
      </c>
      <c r="I4155" s="25" t="str">
        <f>IF(OR(E4155="",E4155="!!!",F4155="NEW"),"",INDEX(B4154:B$2,-1+SUMPRODUCT(MAX(ROW(E4154:E$2)*(E4155=E4154:E$2)))))</f>
        <v> </v>
      </c>
      <c r="J4155" s="25" t="str">
        <f>IF(OR(E4155="",E4155="!!!",F4155="NEW"),"",COUNTBLANK(OFFSET(A$1,,,SUMPRODUCT(MAX(ROW(E$2:E4155)*(E4155=E$2:E4155)))))-COUNTBLANK(OFFSET(A$1,,,SUMPRODUCT(MAX(ROW(E$1:E4154)*(E2=E$1:E4154))))))</f>
        <v> </v>
      </c>
      <c r="K4155" s="25" t="str">
        <f>IF(OR(E4155="",E4155="!!!",F4155="NEW"),"",INDEX(J$1:J4154,SUMPRODUCT(MAX(ROW(E$1:E4154)*(E4155=E$1:E4154)))))</f>
        <v> </v>
      </c>
      <c r="L4155" s="26"/>
    </row>
    <row r="4156" spans="1:12">
      <c r="A4156" s="20" t="s">
        <v>1269</v>
      </c>
      <c r="B4156" s="27" t="s">
        <v>1141</v>
      </c>
      <c r="C4156" s="27" t="s">
        <v>1072</v>
      </c>
      <c r="E4156" s="21">
        <f>IF(D4156="?OLD","!!!","")</f>
        <v/>
      </c>
      <c r="F4156" s="22" t="str">
        <f>IF(OR(E4156="",E4156="!!!"),"",IF(NOT(ISNA(VLOOKUP(E4156,E$1:E4155,1,FALSE()))),"OLD",IF(AND(E4156&lt;&gt;"",E4156&lt;&gt;"!!!"),"NEW","")))</f>
        <v> </v>
      </c>
      <c r="G4156" s="23" t="str">
        <f>IF(OR(E4156="",E4156="!!!"),"",IF(OR(J4156=0,AND(J4156=1,K4156=1),AND(J4156=1,I4156="SBJ"),AND(J4156=1,I4156=0)),"?IN_FOCUS",IF(J4156&lt;=2,"?ACTIVATED",IF(J4156&lt;&gt;"","?FAMILIAR",IF(F4156="NEW",IF(ISNA(VLOOKUP(E4156,#REF!,1,FALSE())),"?TYPE_IDENTIFIABLE","?REFERENTIAL"),"_")))))</f>
        <v> </v>
      </c>
      <c r="H4156" s="24" t="str">
        <f>IF(J4156&lt;&gt;1,"",IF(I4156="SBJ","CB","?"))</f>
        <v> </v>
      </c>
      <c r="I4156" s="25" t="str">
        <f>IF(OR(E4156="",E4156="!!!",F4156="NEW"),"",INDEX(B4155:B$2,-1+SUMPRODUCT(MAX(ROW(E4155:E$2)*(E4156=E4155:E$2)))))</f>
        <v> </v>
      </c>
      <c r="J4156" s="25" t="str">
        <f>IF(OR(E4156="",E4156="!!!",F4156="NEW"),"",COUNTBLANK(OFFSET(A$1,,,SUMPRODUCT(MAX(ROW(E$2:E4156)*(E4156=E$2:E4156)))))-COUNTBLANK(OFFSET(A$1,,,SUMPRODUCT(MAX(ROW(E$1:E4155)*(E2=E$1:E4155))))))</f>
        <v> </v>
      </c>
      <c r="K4156" s="25" t="str">
        <f>IF(OR(E4156="",E4156="!!!",F4156="NEW"),"",INDEX(J$1:J4155,SUMPRODUCT(MAX(ROW(E$1:E4155)*(E4156=E$1:E4155)))))</f>
        <v> </v>
      </c>
      <c r="L4156" s="26"/>
    </row>
    <row r="4157" spans="1:12">
      <c r="A4157" s="20" t="s">
        <v>2181</v>
      </c>
      <c r="B4157" s="27" t="s">
        <v>1133</v>
      </c>
      <c r="C4157" s="27" t="s">
        <v>1117</v>
      </c>
      <c r="E4157" s="21">
        <f>IF(D4157="?OLD","!!!","")</f>
        <v/>
      </c>
      <c r="F4157" s="22" t="str">
        <f>IF(OR(E4157="",E4157="!!!"),"",IF(NOT(ISNA(VLOOKUP(E4157,E$1:E4156,1,FALSE()))),"OLD",IF(AND(E4157&lt;&gt;"",E4157&lt;&gt;"!!!"),"NEW","")))</f>
        <v> </v>
      </c>
      <c r="G4157" s="23" t="str">
        <f>IF(OR(E4157="",E4157="!!!"),"",IF(OR(J4157=0,AND(J4157=1,K4157=1),AND(J4157=1,I4157="SBJ"),AND(J4157=1,I4157=0)),"?IN_FOCUS",IF(J4157&lt;=2,"?ACTIVATED",IF(J4157&lt;&gt;"","?FAMILIAR",IF(F4157="NEW",IF(ISNA(VLOOKUP(E4157,#REF!,1,FALSE())),"?TYPE_IDENTIFIABLE","?REFERENTIAL"),"_")))))</f>
        <v> </v>
      </c>
      <c r="H4157" s="24" t="str">
        <f>IF(J4157&lt;&gt;1,"",IF(I4157="SBJ","CB","?"))</f>
        <v> </v>
      </c>
      <c r="I4157" s="25" t="str">
        <f>IF(OR(E4157="",E4157="!!!",F4157="NEW"),"",INDEX(B4156:B$2,-1+SUMPRODUCT(MAX(ROW(E4156:E$2)*(E4157=E4156:E$2)))))</f>
        <v> </v>
      </c>
      <c r="J4157" s="25" t="str">
        <f>IF(OR(E4157="",E4157="!!!",F4157="NEW"),"",COUNTBLANK(OFFSET(A$1,,,SUMPRODUCT(MAX(ROW(E$2:E4157)*(E4157=E$2:E4157)))))-COUNTBLANK(OFFSET(A$1,,,SUMPRODUCT(MAX(ROW(E$1:E4156)*(E2=E$1:E4156))))))</f>
        <v> </v>
      </c>
      <c r="K4157" s="25" t="str">
        <f>IF(OR(E4157="",E4157="!!!",F4157="NEW"),"",INDEX(J$1:J4156,SUMPRODUCT(MAX(ROW(E$1:E4156)*(E4157=E$1:E4156)))))</f>
        <v> </v>
      </c>
      <c r="L4157" s="26"/>
    </row>
    <row r="4158" spans="1:12">
      <c r="A4158" s="20" t="s">
        <v>157</v>
      </c>
      <c r="E4158" s="21">
        <f>IF(D4158="?OLD","!!!","")</f>
        <v/>
      </c>
      <c r="F4158" s="22" t="str">
        <f>IF(OR(E4158="",E4158="!!!"),"",IF(NOT(ISNA(VLOOKUP(E4158,E$1:E4157,1,FALSE()))),"OLD",IF(AND(E4158&lt;&gt;"",E4158&lt;&gt;"!!!"),"NEW","")))</f>
        <v> </v>
      </c>
      <c r="G4158" s="23" t="str">
        <f>IF(OR(E4158="",E4158="!!!"),"",IF(OR(J4158=0,AND(J4158=1,K4158=1),AND(J4158=1,I4158="SBJ"),AND(J4158=1,I4158=0)),"?IN_FOCUS",IF(J4158&lt;=2,"?ACTIVATED",IF(J4158&lt;&gt;"","?FAMILIAR",IF(F4158="NEW",IF(ISNA(VLOOKUP(E4158,#REF!,1,FALSE())),"?TYPE_IDENTIFIABLE","?REFERENTIAL"),"_")))))</f>
        <v> </v>
      </c>
      <c r="H4158" s="24" t="str">
        <f>IF(J4158&lt;&gt;1,"",IF(I4158="SBJ","CB","?"))</f>
        <v> </v>
      </c>
      <c r="I4158" s="25" t="str">
        <f>IF(OR(E4158="",E4158="!!!",F4158="NEW"),"",INDEX(B4157:B$2,-1+SUMPRODUCT(MAX(ROW(E4157:E$2)*(E4158=E4157:E$2)))))</f>
        <v> </v>
      </c>
      <c r="J4158" s="25" t="str">
        <f>IF(OR(E4158="",E4158="!!!",F4158="NEW"),"",COUNTBLANK(OFFSET(A$1,,,SUMPRODUCT(MAX(ROW(E$2:E4158)*(E4158=E$2:E4158)))))-COUNTBLANK(OFFSET(A$1,,,SUMPRODUCT(MAX(ROW(E$1:E4157)*(E2=E$1:E4157))))))</f>
        <v> </v>
      </c>
      <c r="K4158" s="25" t="str">
        <f>IF(OR(E4158="",E4158="!!!",F4158="NEW"),"",INDEX(J$1:J4157,SUMPRODUCT(MAX(ROW(E$1:E4157)*(E4158=E$1:E4157)))))</f>
        <v> </v>
      </c>
      <c r="L4158" s="26"/>
    </row>
    <row r="4159" spans="1:12">
      <c r="A4159" s="20" t="s">
        <v>1128</v>
      </c>
      <c r="B4159" s="27" t="s">
        <v>1106</v>
      </c>
      <c r="C4159" s="27" t="s">
        <v>1129</v>
      </c>
      <c r="D4159" s="27" t="s">
        <v>1069</v>
      </c>
      <c r="E4159" s="21">
        <f>IF(D4159="?OLD","!!!","")</f>
        <v/>
      </c>
      <c r="F4159" s="22" t="str">
        <f>IF(OR(E4159="",E4159="!!!"),"",IF(NOT(ISNA(VLOOKUP(E4159,E$1:E4158,1,FALSE()))),"OLD",IF(AND(E4159&lt;&gt;"",E4159&lt;&gt;"!!!"),"NEW","")))</f>
        <v> </v>
      </c>
      <c r="G4159" s="23" t="str">
        <f>IF(OR(E4159="",E4159="!!!"),"",IF(OR(J4159=0,AND(J4159=1,K4159=1),AND(J4159=1,I4159="SBJ"),AND(J4159=1,I4159=0)),"?IN_FOCUS",IF(J4159&lt;=2,"?ACTIVATED",IF(J4159&lt;&gt;"","?FAMILIAR",IF(F4159="NEW",IF(ISNA(VLOOKUP(E4159,#REF!,1,FALSE())),"?TYPE_IDENTIFIABLE","?REFERENTIAL"),"_")))))</f>
        <v> </v>
      </c>
      <c r="H4159" s="24" t="str">
        <f>IF(J4159&lt;&gt;1,"",IF(I4159="SBJ","CB","?"))</f>
        <v> </v>
      </c>
      <c r="I4159" s="25" t="str">
        <f>IF(OR(E4159="",E4159="!!!",F4159="NEW"),"",INDEX(B4158:B$2,-1+SUMPRODUCT(MAX(ROW(E4158:E$2)*(E4159=E4158:E$2)))))</f>
        <v> </v>
      </c>
      <c r="J4159" s="25" t="str">
        <f>IF(OR(E4159="",E4159="!!!",F4159="NEW"),"",COUNTBLANK(OFFSET(A$1,,,SUMPRODUCT(MAX(ROW(E$2:E4159)*(E4159=E$2:E4159)))))-COUNTBLANK(OFFSET(A$1,,,SUMPRODUCT(MAX(ROW(E$1:E4158)*(E2=E$1:E4158))))))</f>
        <v> </v>
      </c>
      <c r="K4159" s="25" t="str">
        <f>IF(OR(E4159="",E4159="!!!",F4159="NEW"),"",INDEX(J$1:J4158,SUMPRODUCT(MAX(ROW(E$1:E4158)*(E4159=E$1:E4158)))))</f>
        <v> </v>
      </c>
      <c r="L4159" s="26"/>
    </row>
    <row r="4160" spans="1:12">
      <c r="A4160" s="20" t="s">
        <v>2344</v>
      </c>
      <c r="E4160" s="21">
        <f>IF(D4160="?OLD","!!!","")</f>
        <v/>
      </c>
      <c r="F4160" s="22" t="str">
        <f>IF(OR(E4160="",E4160="!!!"),"",IF(NOT(ISNA(VLOOKUP(E4160,E$1:E4159,1,FALSE()))),"OLD",IF(AND(E4160&lt;&gt;"",E4160&lt;&gt;"!!!"),"NEW","")))</f>
        <v> </v>
      </c>
      <c r="G4160" s="23" t="str">
        <f>IF(OR(E4160="",E4160="!!!"),"",IF(OR(J4160=0,AND(J4160=1,K4160=1),AND(J4160=1,I4160="SBJ"),AND(J4160=1,I4160=0)),"?IN_FOCUS",IF(J4160&lt;=2,"?ACTIVATED",IF(J4160&lt;&gt;"","?FAMILIAR",IF(F4160="NEW",IF(ISNA(VLOOKUP(E4160,#REF!,1,FALSE())),"?TYPE_IDENTIFIABLE","?REFERENTIAL"),"_")))))</f>
        <v> </v>
      </c>
      <c r="H4160" s="24" t="str">
        <f>IF(J4160&lt;&gt;1,"",IF(I4160="SBJ","CB","?"))</f>
        <v> </v>
      </c>
      <c r="I4160" s="25" t="str">
        <f>IF(OR(E4160="",E4160="!!!",F4160="NEW"),"",INDEX(B4159:B$2,-1+SUMPRODUCT(MAX(ROW(E4159:E$2)*(E4160=E4159:E$2)))))</f>
        <v> </v>
      </c>
      <c r="J4160" s="25" t="str">
        <f>IF(OR(E4160="",E4160="!!!",F4160="NEW"),"",COUNTBLANK(OFFSET(A$1,,,SUMPRODUCT(MAX(ROW(E$2:E4160)*(E4160=E$2:E4160)))))-COUNTBLANK(OFFSET(A$1,,,SUMPRODUCT(MAX(ROW(E$1:E4159)*(E2=E$1:E4159))))))</f>
        <v> </v>
      </c>
      <c r="K4160" s="25" t="str">
        <f>IF(OR(E4160="",E4160="!!!",F4160="NEW"),"",INDEX(J$1:J4159,SUMPRODUCT(MAX(ROW(E$1:E4159)*(E4160=E$1:E4159)))))</f>
        <v> </v>
      </c>
      <c r="L4160" s="26"/>
    </row>
    <row r="4161" spans="1:12">
      <c r="A4161" s="20" t="s">
        <v>1087</v>
      </c>
      <c r="E4161" s="21">
        <f>IF(D4161="?OLD","!!!","")</f>
        <v/>
      </c>
      <c r="F4161" s="22" t="str">
        <f>IF(OR(E4161="",E4161="!!!"),"",IF(NOT(ISNA(VLOOKUP(E4161,E$1:E4160,1,FALSE()))),"OLD",IF(AND(E4161&lt;&gt;"",E4161&lt;&gt;"!!!"),"NEW","")))</f>
        <v> </v>
      </c>
      <c r="G4161" s="23" t="str">
        <f>IF(OR(E4161="",E4161="!!!"),"",IF(OR(J4161=0,AND(J4161=1,K4161=1),AND(J4161=1,I4161="SBJ"),AND(J4161=1,I4161=0)),"?IN_FOCUS",IF(J4161&lt;=2,"?ACTIVATED",IF(J4161&lt;&gt;"","?FAMILIAR",IF(F4161="NEW",IF(ISNA(VLOOKUP(E4161,#REF!,1,FALSE())),"?TYPE_IDENTIFIABLE","?REFERENTIAL"),"_")))))</f>
        <v> </v>
      </c>
      <c r="H4161" s="24" t="str">
        <f>IF(J4161&lt;&gt;1,"",IF(I4161="SBJ","CB","?"))</f>
        <v> </v>
      </c>
      <c r="I4161" s="25" t="str">
        <f>IF(OR(E4161="",E4161="!!!",F4161="NEW"),"",INDEX(B4160:B$2,-1+SUMPRODUCT(MAX(ROW(E4160:E$2)*(E4161=E4160:E$2)))))</f>
        <v> </v>
      </c>
      <c r="J4161" s="25" t="str">
        <f>IF(OR(E4161="",E4161="!!!",F4161="NEW"),"",COUNTBLANK(OFFSET(A$1,,,SUMPRODUCT(MAX(ROW(E$2:E4161)*(E4161=E$2:E4161)))))-COUNTBLANK(OFFSET(A$1,,,SUMPRODUCT(MAX(ROW(E$1:E4160)*(E2=E$1:E4160))))))</f>
        <v> </v>
      </c>
      <c r="K4161" s="25" t="str">
        <f>IF(OR(E4161="",E4161="!!!",F4161="NEW"),"",INDEX(J$1:J4160,SUMPRODUCT(MAX(ROW(E$1:E4160)*(E4161=E$1:E4160)))))</f>
        <v> </v>
      </c>
      <c r="L4161" s="26"/>
    </row>
    <row r="4162" spans="1:12">
      <c r="A4162" s="20" t="s">
        <v>1232</v>
      </c>
      <c r="E4162" s="21">
        <f>IF(D4162="?OLD","!!!","")</f>
        <v/>
      </c>
      <c r="F4162" s="22" t="str">
        <f>IF(OR(E4162="",E4162="!!!"),"",IF(NOT(ISNA(VLOOKUP(E4162,E$1:E4161,1,FALSE()))),"OLD",IF(AND(E4162&lt;&gt;"",E4162&lt;&gt;"!!!"),"NEW","")))</f>
        <v> </v>
      </c>
      <c r="G4162" s="23" t="str">
        <f>IF(OR(E4162="",E4162="!!!"),"",IF(OR(J4162=0,AND(J4162=1,K4162=1),AND(J4162=1,I4162="SBJ"),AND(J4162=1,I4162=0)),"?IN_FOCUS",IF(J4162&lt;=2,"?ACTIVATED",IF(J4162&lt;&gt;"","?FAMILIAR",IF(F4162="NEW",IF(ISNA(VLOOKUP(E4162,#REF!,1,FALSE())),"?TYPE_IDENTIFIABLE","?REFERENTIAL"),"_")))))</f>
        <v> </v>
      </c>
      <c r="H4162" s="24" t="str">
        <f>IF(J4162&lt;&gt;1,"",IF(I4162="SBJ","CB","?"))</f>
        <v> </v>
      </c>
      <c r="I4162" s="25" t="str">
        <f>IF(OR(E4162="",E4162="!!!",F4162="NEW"),"",INDEX(B4161:B$2,-1+SUMPRODUCT(MAX(ROW(E4161:E$2)*(E4162=E4161:E$2)))))</f>
        <v> </v>
      </c>
      <c r="J4162" s="25" t="str">
        <f>IF(OR(E4162="",E4162="!!!",F4162="NEW"),"",COUNTBLANK(OFFSET(A$1,,,SUMPRODUCT(MAX(ROW(E$2:E4162)*(E4162=E$2:E4162)))))-COUNTBLANK(OFFSET(A$1,,,SUMPRODUCT(MAX(ROW(E$1:E4161)*(E2=E$1:E4161))))))</f>
        <v> </v>
      </c>
      <c r="K4162" s="25" t="str">
        <f>IF(OR(E4162="",E4162="!!!",F4162="NEW"),"",INDEX(J$1:J4161,SUMPRODUCT(MAX(ROW(E$1:E4161)*(E4162=E$1:E4161)))))</f>
        <v> </v>
      </c>
      <c r="L4162" s="26"/>
    </row>
    <row r="4163" spans="1:12">
      <c r="A4163" s="20" t="s">
        <v>1191</v>
      </c>
      <c r="E4163" s="21">
        <f>IF(D4163="?OLD","!!!","")</f>
        <v/>
      </c>
      <c r="F4163" s="22" t="str">
        <f>IF(OR(E4163="",E4163="!!!"),"",IF(NOT(ISNA(VLOOKUP(E4163,E$1:E4162,1,FALSE()))),"OLD",IF(AND(E4163&lt;&gt;"",E4163&lt;&gt;"!!!"),"NEW","")))</f>
        <v> </v>
      </c>
      <c r="G4163" s="23" t="str">
        <f>IF(OR(E4163="",E4163="!!!"),"",IF(OR(J4163=0,AND(J4163=1,K4163=1),AND(J4163=1,I4163="SBJ"),AND(J4163=1,I4163=0)),"?IN_FOCUS",IF(J4163&lt;=2,"?ACTIVATED",IF(J4163&lt;&gt;"","?FAMILIAR",IF(F4163="NEW",IF(ISNA(VLOOKUP(E4163,#REF!,1,FALSE())),"?TYPE_IDENTIFIABLE","?REFERENTIAL"),"_")))))</f>
        <v> </v>
      </c>
      <c r="H4163" s="24" t="str">
        <f>IF(J4163&lt;&gt;1,"",IF(I4163="SBJ","CB","?"))</f>
        <v> </v>
      </c>
      <c r="I4163" s="25" t="str">
        <f>IF(OR(E4163="",E4163="!!!",F4163="NEW"),"",INDEX(B4162:B$2,-1+SUMPRODUCT(MAX(ROW(E4162:E$2)*(E4163=E4162:E$2)))))</f>
        <v> </v>
      </c>
      <c r="J4163" s="25" t="str">
        <f>IF(OR(E4163="",E4163="!!!",F4163="NEW"),"",COUNTBLANK(OFFSET(A$1,,,SUMPRODUCT(MAX(ROW(E$2:E4163)*(E4163=E$2:E4163)))))-COUNTBLANK(OFFSET(A$1,,,SUMPRODUCT(MAX(ROW(E$1:E4162)*(E2=E$1:E4162))))))</f>
        <v> </v>
      </c>
      <c r="K4163" s="25" t="str">
        <f>IF(OR(E4163="",E4163="!!!",F4163="NEW"),"",INDEX(J$1:J4162,SUMPRODUCT(MAX(ROW(E$1:E4162)*(E4163=E$1:E4162)))))</f>
        <v> </v>
      </c>
      <c r="L4163" s="26"/>
    </row>
    <row r="4164" spans="1:12">
      <c r="A4164" s="20" t="s">
        <v>1407</v>
      </c>
      <c r="B4164" s="27" t="s">
        <v>1074</v>
      </c>
      <c r="C4164" s="27" t="s">
        <v>1072</v>
      </c>
      <c r="E4164" s="21">
        <f>IF(D4164="?OLD","!!!","")</f>
        <v/>
      </c>
      <c r="F4164" s="22" t="str">
        <f>IF(OR(E4164="",E4164="!!!"),"",IF(NOT(ISNA(VLOOKUP(E4164,E$1:E4163,1,FALSE()))),"OLD",IF(AND(E4164&lt;&gt;"",E4164&lt;&gt;"!!!"),"NEW","")))</f>
        <v> </v>
      </c>
      <c r="G4164" s="23" t="str">
        <f>IF(OR(E4164="",E4164="!!!"),"",IF(OR(J4164=0,AND(J4164=1,K4164=1),AND(J4164=1,I4164="SBJ"),AND(J4164=1,I4164=0)),"?IN_FOCUS",IF(J4164&lt;=2,"?ACTIVATED",IF(J4164&lt;&gt;"","?FAMILIAR",IF(F4164="NEW",IF(ISNA(VLOOKUP(E4164,#REF!,1,FALSE())),"?TYPE_IDENTIFIABLE","?REFERENTIAL"),"_")))))</f>
        <v> </v>
      </c>
      <c r="H4164" s="24" t="str">
        <f>IF(J4164&lt;&gt;1,"",IF(I4164="SBJ","CB","?"))</f>
        <v> </v>
      </c>
      <c r="I4164" s="25" t="str">
        <f>IF(OR(E4164="",E4164="!!!",F4164="NEW"),"",INDEX(B4163:B$2,-1+SUMPRODUCT(MAX(ROW(E4163:E$2)*(E4164=E4163:E$2)))))</f>
        <v> </v>
      </c>
      <c r="J4164" s="25" t="str">
        <f>IF(OR(E4164="",E4164="!!!",F4164="NEW"),"",COUNTBLANK(OFFSET(A$1,,,SUMPRODUCT(MAX(ROW(E$2:E4164)*(E4164=E$2:E4164)))))-COUNTBLANK(OFFSET(A$1,,,SUMPRODUCT(MAX(ROW(E$1:E4163)*(E2=E$1:E4163))))))</f>
        <v> </v>
      </c>
      <c r="K4164" s="25" t="str">
        <f>IF(OR(E4164="",E4164="!!!",F4164="NEW"),"",INDEX(J$1:J4163,SUMPRODUCT(MAX(ROW(E$1:E4163)*(E4164=E$1:E4163)))))</f>
        <v> </v>
      </c>
      <c r="L4164" s="26"/>
    </row>
    <row r="4165" spans="1:12">
      <c r="A4165" s="20" t="s">
        <v>1087</v>
      </c>
      <c r="E4165" s="21">
        <f>IF(D4165="?OLD","!!!","")</f>
        <v/>
      </c>
      <c r="F4165" s="22" t="str">
        <f>IF(OR(E4165="",E4165="!!!"),"",IF(NOT(ISNA(VLOOKUP(E4165,E$1:E4164,1,FALSE()))),"OLD",IF(AND(E4165&lt;&gt;"",E4165&lt;&gt;"!!!"),"NEW","")))</f>
        <v> </v>
      </c>
      <c r="G4165" s="23" t="str">
        <f>IF(OR(E4165="",E4165="!!!"),"",IF(OR(J4165=0,AND(J4165=1,K4165=1),AND(J4165=1,I4165="SBJ"),AND(J4165=1,I4165=0)),"?IN_FOCUS",IF(J4165&lt;=2,"?ACTIVATED",IF(J4165&lt;&gt;"","?FAMILIAR",IF(F4165="NEW",IF(ISNA(VLOOKUP(E4165,#REF!,1,FALSE())),"?TYPE_IDENTIFIABLE","?REFERENTIAL"),"_")))))</f>
        <v> </v>
      </c>
      <c r="H4165" s="24" t="str">
        <f>IF(J4165&lt;&gt;1,"",IF(I4165="SBJ","CB","?"))</f>
        <v> </v>
      </c>
      <c r="I4165" s="25" t="str">
        <f>IF(OR(E4165="",E4165="!!!",F4165="NEW"),"",INDEX(B4164:B$2,-1+SUMPRODUCT(MAX(ROW(E4164:E$2)*(E4165=E4164:E$2)))))</f>
        <v> </v>
      </c>
      <c r="J4165" s="25" t="str">
        <f>IF(OR(E4165="",E4165="!!!",F4165="NEW"),"",COUNTBLANK(OFFSET(A$1,,,SUMPRODUCT(MAX(ROW(E$2:E4165)*(E4165=E$2:E4165)))))-COUNTBLANK(OFFSET(A$1,,,SUMPRODUCT(MAX(ROW(E$1:E4164)*(E2=E$1:E4164))))))</f>
        <v> </v>
      </c>
      <c r="K4165" s="25" t="str">
        <f>IF(OR(E4165="",E4165="!!!",F4165="NEW"),"",INDEX(J$1:J4164,SUMPRODUCT(MAX(ROW(E$1:E4164)*(E4165=E$1:E4164)))))</f>
        <v> </v>
      </c>
      <c r="L4165" s="26"/>
    </row>
    <row r="4166" spans="1:12">
      <c r="A4166" s="20" t="s">
        <v>1097</v>
      </c>
      <c r="B4166" s="27" t="s">
        <v>1095</v>
      </c>
      <c r="E4166" s="21">
        <f>IF(D4166="?OLD","!!!","")</f>
        <v/>
      </c>
      <c r="F4166" s="22" t="str">
        <f>IF(OR(E4166="",E4166="!!!"),"",IF(NOT(ISNA(VLOOKUP(E4166,E$1:E4165,1,FALSE()))),"OLD",IF(AND(E4166&lt;&gt;"",E4166&lt;&gt;"!!!"),"NEW","")))</f>
        <v> </v>
      </c>
      <c r="G4166" s="23" t="str">
        <f>IF(OR(E4166="",E4166="!!!"),"",IF(OR(J4166=0,AND(J4166=1,K4166=1),AND(J4166=1,I4166="SBJ"),AND(J4166=1,I4166=0)),"?IN_FOCUS",IF(J4166&lt;=2,"?ACTIVATED",IF(J4166&lt;&gt;"","?FAMILIAR",IF(F4166="NEW",IF(ISNA(VLOOKUP(E4166,#REF!,1,FALSE())),"?TYPE_IDENTIFIABLE","?REFERENTIAL"),"_")))))</f>
        <v> </v>
      </c>
      <c r="H4166" s="24" t="str">
        <f>IF(J4166&lt;&gt;1,"",IF(I4166="SBJ","CB","?"))</f>
        <v> </v>
      </c>
      <c r="I4166" s="25" t="str">
        <f>IF(OR(E4166="",E4166="!!!",F4166="NEW"),"",INDEX(B4165:B$2,-1+SUMPRODUCT(MAX(ROW(E4165:E$2)*(E4166=E4165:E$2)))))</f>
        <v> </v>
      </c>
      <c r="J4166" s="25" t="str">
        <f>IF(OR(E4166="",E4166="!!!",F4166="NEW"),"",COUNTBLANK(OFFSET(A$1,,,SUMPRODUCT(MAX(ROW(E$2:E4166)*(E4166=E$2:E4166)))))-COUNTBLANK(OFFSET(A$1,,,SUMPRODUCT(MAX(ROW(E$1:E4165)*(E2=E$1:E4165))))))</f>
        <v> </v>
      </c>
      <c r="K4166" s="25" t="str">
        <f>IF(OR(E4166="",E4166="!!!",F4166="NEW"),"",INDEX(J$1:J4165,SUMPRODUCT(MAX(ROW(E$1:E4165)*(E4166=E$1:E4165)))))</f>
        <v> </v>
      </c>
      <c r="L4166" s="26"/>
    </row>
    <row r="4167" spans="1:12">
      <c r="A4167" s="20" t="s">
        <v>1228</v>
      </c>
      <c r="E4167" s="21">
        <f>IF(D4167="?OLD","!!!","")</f>
        <v/>
      </c>
      <c r="F4167" s="22" t="str">
        <f>IF(OR(E4167="",E4167="!!!"),"",IF(NOT(ISNA(VLOOKUP(E4167,E$1:E4166,1,FALSE()))),"OLD",IF(AND(E4167&lt;&gt;"",E4167&lt;&gt;"!!!"),"NEW","")))</f>
        <v> </v>
      </c>
      <c r="G4167" s="23" t="str">
        <f>IF(OR(E4167="",E4167="!!!"),"",IF(OR(J4167=0,AND(J4167=1,K4167=1),AND(J4167=1,I4167="SBJ"),AND(J4167=1,I4167=0)),"?IN_FOCUS",IF(J4167&lt;=2,"?ACTIVATED",IF(J4167&lt;&gt;"","?FAMILIAR",IF(F4167="NEW",IF(ISNA(VLOOKUP(E4167,#REF!,1,FALSE())),"?TYPE_IDENTIFIABLE","?REFERENTIAL"),"_")))))</f>
        <v> </v>
      </c>
      <c r="H4167" s="24" t="str">
        <f>IF(J4167&lt;&gt;1,"",IF(I4167="SBJ","CB","?"))</f>
        <v> </v>
      </c>
      <c r="I4167" s="25" t="str">
        <f>IF(OR(E4167="",E4167="!!!",F4167="NEW"),"",INDEX(B4166:B$2,-1+SUMPRODUCT(MAX(ROW(E4166:E$2)*(E4167=E4166:E$2)))))</f>
        <v> </v>
      </c>
      <c r="J4167" s="25" t="str">
        <f>IF(OR(E4167="",E4167="!!!",F4167="NEW"),"",COUNTBLANK(OFFSET(A$1,,,SUMPRODUCT(MAX(ROW(E$2:E4167)*(E4167=E$2:E4167)))))-COUNTBLANK(OFFSET(A$1,,,SUMPRODUCT(MAX(ROW(E$1:E4166)*(E2=E$1:E4166))))))</f>
        <v> </v>
      </c>
      <c r="K4167" s="25" t="str">
        <f>IF(OR(E4167="",E4167="!!!",F4167="NEW"),"",INDEX(J$1:J4166,SUMPRODUCT(MAX(ROW(E$1:E4166)*(E4167=E$1:E4166)))))</f>
        <v> </v>
      </c>
      <c r="L4167" s="26"/>
    </row>
    <row r="4168" spans="1:12">
      <c r="A4168" s="20" t="s">
        <v>2345</v>
      </c>
      <c r="E4168" s="21">
        <f>IF(D4168="?OLD","!!!","")</f>
        <v/>
      </c>
      <c r="F4168" s="22" t="str">
        <f>IF(OR(E4168="",E4168="!!!"),"",IF(NOT(ISNA(VLOOKUP(E4168,E$1:E4167,1,FALSE()))),"OLD",IF(AND(E4168&lt;&gt;"",E4168&lt;&gt;"!!!"),"NEW","")))</f>
        <v> </v>
      </c>
      <c r="G4168" s="23" t="str">
        <f>IF(OR(E4168="",E4168="!!!"),"",IF(OR(J4168=0,AND(J4168=1,K4168=1),AND(J4168=1,I4168="SBJ"),AND(J4168=1,I4168=0)),"?IN_FOCUS",IF(J4168&lt;=2,"?ACTIVATED",IF(J4168&lt;&gt;"","?FAMILIAR",IF(F4168="NEW",IF(ISNA(VLOOKUP(E4168,#REF!,1,FALSE())),"?TYPE_IDENTIFIABLE","?REFERENTIAL"),"_")))))</f>
        <v> </v>
      </c>
      <c r="H4168" s="24" t="str">
        <f>IF(J4168&lt;&gt;1,"",IF(I4168="SBJ","CB","?"))</f>
        <v> </v>
      </c>
      <c r="I4168" s="25" t="str">
        <f>IF(OR(E4168="",E4168="!!!",F4168="NEW"),"",INDEX(B4167:B$2,-1+SUMPRODUCT(MAX(ROW(E4167:E$2)*(E4168=E4167:E$2)))))</f>
        <v> </v>
      </c>
      <c r="J4168" s="25" t="str">
        <f>IF(OR(E4168="",E4168="!!!",F4168="NEW"),"",COUNTBLANK(OFFSET(A$1,,,SUMPRODUCT(MAX(ROW(E$2:E4168)*(E4168=E$2:E4168)))))-COUNTBLANK(OFFSET(A$1,,,SUMPRODUCT(MAX(ROW(E$1:E4167)*(E2=E$1:E4167))))))</f>
        <v> </v>
      </c>
      <c r="K4168" s="25" t="str">
        <f>IF(OR(E4168="",E4168="!!!",F4168="NEW"),"",INDEX(J$1:J4167,SUMPRODUCT(MAX(ROW(E$1:E4167)*(E4168=E$1:E4167)))))</f>
        <v> </v>
      </c>
      <c r="L4168" s="26"/>
    </row>
    <row r="4169" spans="1:12">
      <c r="A4169" s="20" t="s">
        <v>2006</v>
      </c>
      <c r="B4169" s="27" t="s">
        <v>1090</v>
      </c>
      <c r="C4169" s="27" t="s">
        <v>1120</v>
      </c>
      <c r="E4169" s="21">
        <f>IF(D4169="?OLD","!!!","")</f>
        <v/>
      </c>
      <c r="F4169" s="22" t="str">
        <f>IF(OR(E4169="",E4169="!!!"),"",IF(NOT(ISNA(VLOOKUP(E4169,E$1:E4168,1,FALSE()))),"OLD",IF(AND(E4169&lt;&gt;"",E4169&lt;&gt;"!!!"),"NEW","")))</f>
        <v> </v>
      </c>
      <c r="G4169" s="23" t="str">
        <f>IF(OR(E4169="",E4169="!!!"),"",IF(OR(J4169=0,AND(J4169=1,K4169=1),AND(J4169=1,I4169="SBJ"),AND(J4169=1,I4169=0)),"?IN_FOCUS",IF(J4169&lt;=2,"?ACTIVATED",IF(J4169&lt;&gt;"","?FAMILIAR",IF(F4169="NEW",IF(ISNA(VLOOKUP(E4169,#REF!,1,FALSE())),"?TYPE_IDENTIFIABLE","?REFERENTIAL"),"_")))))</f>
        <v> </v>
      </c>
      <c r="H4169" s="24" t="str">
        <f>IF(J4169&lt;&gt;1,"",IF(I4169="SBJ","CB","?"))</f>
        <v> </v>
      </c>
      <c r="I4169" s="25" t="str">
        <f>IF(OR(E4169="",E4169="!!!",F4169="NEW"),"",INDEX(B4168:B$2,-1+SUMPRODUCT(MAX(ROW(E4168:E$2)*(E4169=E4168:E$2)))))</f>
        <v> </v>
      </c>
      <c r="J4169" s="25" t="str">
        <f>IF(OR(E4169="",E4169="!!!",F4169="NEW"),"",COUNTBLANK(OFFSET(A$1,,,SUMPRODUCT(MAX(ROW(E$2:E4169)*(E4169=E$2:E4169)))))-COUNTBLANK(OFFSET(A$1,,,SUMPRODUCT(MAX(ROW(E$1:E4168)*(E2=E$1:E4168))))))</f>
        <v> </v>
      </c>
      <c r="K4169" s="25" t="str">
        <f>IF(OR(E4169="",E4169="!!!",F4169="NEW"),"",INDEX(J$1:J4168,SUMPRODUCT(MAX(ROW(E$1:E4168)*(E4169=E$1:E4168)))))</f>
        <v> </v>
      </c>
      <c r="L4169" s="26"/>
    </row>
    <row r="4170" spans="1:12">
      <c r="A4170" s="20" t="s">
        <v>2346</v>
      </c>
      <c r="E4170" s="21">
        <f>IF(D4170="?OLD","!!!","")</f>
        <v/>
      </c>
      <c r="F4170" s="22" t="str">
        <f>IF(OR(E4170="",E4170="!!!"),"",IF(NOT(ISNA(VLOOKUP(E4170,E$1:E4169,1,FALSE()))),"OLD",IF(AND(E4170&lt;&gt;"",E4170&lt;&gt;"!!!"),"NEW","")))</f>
        <v> </v>
      </c>
      <c r="G4170" s="23" t="str">
        <f>IF(OR(E4170="",E4170="!!!"),"",IF(OR(J4170=0,AND(J4170=1,K4170=1),AND(J4170=1,I4170="SBJ"),AND(J4170=1,I4170=0)),"?IN_FOCUS",IF(J4170&lt;=2,"?ACTIVATED",IF(J4170&lt;&gt;"","?FAMILIAR",IF(F4170="NEW",IF(ISNA(VLOOKUP(E4170,#REF!,1,FALSE())),"?TYPE_IDENTIFIABLE","?REFERENTIAL"),"_")))))</f>
        <v> </v>
      </c>
      <c r="H4170" s="24" t="str">
        <f>IF(J4170&lt;&gt;1,"",IF(I4170="SBJ","CB","?"))</f>
        <v> </v>
      </c>
      <c r="I4170" s="25" t="str">
        <f>IF(OR(E4170="",E4170="!!!",F4170="NEW"),"",INDEX(B4169:B$2,-1+SUMPRODUCT(MAX(ROW(E4169:E$2)*(E4170=E4169:E$2)))))</f>
        <v> </v>
      </c>
      <c r="J4170" s="25" t="str">
        <f>IF(OR(E4170="",E4170="!!!",F4170="NEW"),"",COUNTBLANK(OFFSET(A$1,,,SUMPRODUCT(MAX(ROW(E$2:E4170)*(E4170=E$2:E4170)))))-COUNTBLANK(OFFSET(A$1,,,SUMPRODUCT(MAX(ROW(E$1:E4169)*(E2=E$1:E4169))))))</f>
        <v> </v>
      </c>
      <c r="K4170" s="25" t="str">
        <f>IF(OR(E4170="",E4170="!!!",F4170="NEW"),"",INDEX(J$1:J4169,SUMPRODUCT(MAX(ROW(E$1:E4169)*(E4170=E$1:E4169)))))</f>
        <v> </v>
      </c>
      <c r="L4170" s="26"/>
    </row>
    <row r="4171" spans="1:12">
      <c r="A4171" s="20" t="s">
        <v>1268</v>
      </c>
      <c r="E4171" s="21">
        <f>IF(D4171="?OLD","!!!","")</f>
        <v/>
      </c>
      <c r="F4171" s="22" t="str">
        <f>IF(OR(E4171="",E4171="!!!"),"",IF(NOT(ISNA(VLOOKUP(E4171,E$1:E4170,1,FALSE()))),"OLD",IF(AND(E4171&lt;&gt;"",E4171&lt;&gt;"!!!"),"NEW","")))</f>
        <v> </v>
      </c>
      <c r="G4171" s="23" t="str">
        <f>IF(OR(E4171="",E4171="!!!"),"",IF(OR(J4171=0,AND(J4171=1,K4171=1),AND(J4171=1,I4171="SBJ"),AND(J4171=1,I4171=0)),"?IN_FOCUS",IF(J4171&lt;=2,"?ACTIVATED",IF(J4171&lt;&gt;"","?FAMILIAR",IF(F4171="NEW",IF(ISNA(VLOOKUP(E4171,#REF!,1,FALSE())),"?TYPE_IDENTIFIABLE","?REFERENTIAL"),"_")))))</f>
        <v> </v>
      </c>
      <c r="H4171" s="24" t="str">
        <f>IF(J4171&lt;&gt;1,"",IF(I4171="SBJ","CB","?"))</f>
        <v> </v>
      </c>
      <c r="I4171" s="25" t="str">
        <f>IF(OR(E4171="",E4171="!!!",F4171="NEW"),"",INDEX(B4170:B$2,-1+SUMPRODUCT(MAX(ROW(E4170:E$2)*(E4171=E4170:E$2)))))</f>
        <v> </v>
      </c>
      <c r="J4171" s="25" t="str">
        <f>IF(OR(E4171="",E4171="!!!",F4171="NEW"),"",COUNTBLANK(OFFSET(A$1,,,SUMPRODUCT(MAX(ROW(E$2:E4171)*(E4171=E$2:E4171)))))-COUNTBLANK(OFFSET(A$1,,,SUMPRODUCT(MAX(ROW(E$1:E4170)*(E2=E$1:E4170))))))</f>
        <v> </v>
      </c>
      <c r="K4171" s="25" t="str">
        <f>IF(OR(E4171="",E4171="!!!",F4171="NEW"),"",INDEX(J$1:J4170,SUMPRODUCT(MAX(ROW(E$1:E4170)*(E4171=E$1:E4170)))))</f>
        <v> </v>
      </c>
      <c r="L4171" s="26"/>
    </row>
    <row r="4172" spans="1:12">
      <c r="A4172" s="20" t="s">
        <v>1087</v>
      </c>
      <c r="E4172" s="21">
        <f>IF(D4172="?OLD","!!!","")</f>
        <v/>
      </c>
      <c r="F4172" s="22" t="str">
        <f>IF(OR(E4172="",E4172="!!!"),"",IF(NOT(ISNA(VLOOKUP(E4172,E$1:E4171,1,FALSE()))),"OLD",IF(AND(E4172&lt;&gt;"",E4172&lt;&gt;"!!!"),"NEW","")))</f>
        <v> </v>
      </c>
      <c r="G4172" s="23" t="str">
        <f>IF(OR(E4172="",E4172="!!!"),"",IF(OR(J4172=0,AND(J4172=1,K4172=1),AND(J4172=1,I4172="SBJ"),AND(J4172=1,I4172=0)),"?IN_FOCUS",IF(J4172&lt;=2,"?ACTIVATED",IF(J4172&lt;&gt;"","?FAMILIAR",IF(F4172="NEW",IF(ISNA(VLOOKUP(E4172,#REF!,1,FALSE())),"?TYPE_IDENTIFIABLE","?REFERENTIAL"),"_")))))</f>
        <v> </v>
      </c>
      <c r="H4172" s="24" t="str">
        <f>IF(J4172&lt;&gt;1,"",IF(I4172="SBJ","CB","?"))</f>
        <v> </v>
      </c>
      <c r="I4172" s="25" t="str">
        <f>IF(OR(E4172="",E4172="!!!",F4172="NEW"),"",INDEX(B4171:B$2,-1+SUMPRODUCT(MAX(ROW(E4171:E$2)*(E4172=E4171:E$2)))))</f>
        <v> </v>
      </c>
      <c r="J4172" s="25" t="str">
        <f>IF(OR(E4172="",E4172="!!!",F4172="NEW"),"",COUNTBLANK(OFFSET(A$1,,,SUMPRODUCT(MAX(ROW(E$2:E4172)*(E4172=E$2:E4172)))))-COUNTBLANK(OFFSET(A$1,,,SUMPRODUCT(MAX(ROW(E$1:E4171)*(E2=E$1:E4171))))))</f>
        <v> </v>
      </c>
      <c r="K4172" s="25" t="str">
        <f>IF(OR(E4172="",E4172="!!!",F4172="NEW"),"",INDEX(J$1:J4171,SUMPRODUCT(MAX(ROW(E$1:E4171)*(E4172=E$1:E4171)))))</f>
        <v> </v>
      </c>
      <c r="L4172" s="26"/>
    </row>
    <row r="4173" spans="1:12">
      <c r="A4173" s="20" t="s">
        <v>141</v>
      </c>
      <c r="E4173" s="21">
        <f>IF(D4173="?OLD","!!!","")</f>
        <v/>
      </c>
      <c r="F4173" s="22" t="str">
        <f>IF(OR(E4173="",E4173="!!!"),"",IF(NOT(ISNA(VLOOKUP(E4173,E$1:E4172,1,FALSE()))),"OLD",IF(AND(E4173&lt;&gt;"",E4173&lt;&gt;"!!!"),"NEW","")))</f>
        <v> </v>
      </c>
      <c r="G4173" s="23" t="str">
        <f>IF(OR(E4173="",E4173="!!!"),"",IF(OR(J4173=0,AND(J4173=1,K4173=1),AND(J4173=1,I4173="SBJ"),AND(J4173=1,I4173=0)),"?IN_FOCUS",IF(J4173&lt;=2,"?ACTIVATED",IF(J4173&lt;&gt;"","?FAMILIAR",IF(F4173="NEW",IF(ISNA(VLOOKUP(E4173,#REF!,1,FALSE())),"?TYPE_IDENTIFIABLE","?REFERENTIAL"),"_")))))</f>
        <v> </v>
      </c>
      <c r="H4173" s="24" t="str">
        <f>IF(J4173&lt;&gt;1,"",IF(I4173="SBJ","CB","?"))</f>
        <v> </v>
      </c>
      <c r="I4173" s="25" t="str">
        <f>IF(OR(E4173="",E4173="!!!",F4173="NEW"),"",INDEX(B4172:B$2,-1+SUMPRODUCT(MAX(ROW(E4172:E$2)*(E4173=E4172:E$2)))))</f>
        <v> </v>
      </c>
      <c r="J4173" s="25" t="str">
        <f>IF(OR(E4173="",E4173="!!!",F4173="NEW"),"",COUNTBLANK(OFFSET(A$1,,,SUMPRODUCT(MAX(ROW(E$2:E4173)*(E4173=E$2:E4173)))))-COUNTBLANK(OFFSET(A$1,,,SUMPRODUCT(MAX(ROW(E$1:E4172)*(E2=E$1:E4172))))))</f>
        <v> </v>
      </c>
      <c r="K4173" s="25" t="str">
        <f>IF(OR(E4173="",E4173="!!!",F4173="NEW"),"",INDEX(J$1:J4172,SUMPRODUCT(MAX(ROW(E$1:E4172)*(E4173=E$1:E4172)))))</f>
        <v> </v>
      </c>
      <c r="L4173" s="26"/>
    </row>
    <row r="4174" spans="1:12">
      <c r="A4174" s="20" t="s">
        <v>2347</v>
      </c>
      <c r="B4174" s="27" t="s">
        <v>1133</v>
      </c>
      <c r="C4174" s="27" t="s">
        <v>1120</v>
      </c>
      <c r="E4174" s="21">
        <f>IF(D4174="?OLD","!!!","")</f>
        <v/>
      </c>
      <c r="F4174" s="22" t="str">
        <f>IF(OR(E4174="",E4174="!!!"),"",IF(NOT(ISNA(VLOOKUP(E4174,E$1:E4173,1,FALSE()))),"OLD",IF(AND(E4174&lt;&gt;"",E4174&lt;&gt;"!!!"),"NEW","")))</f>
        <v> </v>
      </c>
      <c r="G4174" s="23" t="str">
        <f>IF(OR(E4174="",E4174="!!!"),"",IF(OR(J4174=0,AND(J4174=1,K4174=1),AND(J4174=1,I4174="SBJ"),AND(J4174=1,I4174=0)),"?IN_FOCUS",IF(J4174&lt;=2,"?ACTIVATED",IF(J4174&lt;&gt;"","?FAMILIAR",IF(F4174="NEW",IF(ISNA(VLOOKUP(E4174,#REF!,1,FALSE())),"?TYPE_IDENTIFIABLE","?REFERENTIAL"),"_")))))</f>
        <v> </v>
      </c>
      <c r="H4174" s="24" t="str">
        <f>IF(J4174&lt;&gt;1,"",IF(I4174="SBJ","CB","?"))</f>
        <v> </v>
      </c>
      <c r="I4174" s="25" t="str">
        <f>IF(OR(E4174="",E4174="!!!",F4174="NEW"),"",INDEX(B4173:B$2,-1+SUMPRODUCT(MAX(ROW(E4173:E$2)*(E4174=E4173:E$2)))))</f>
        <v> </v>
      </c>
      <c r="J4174" s="25" t="str">
        <f>IF(OR(E4174="",E4174="!!!",F4174="NEW"),"",COUNTBLANK(OFFSET(A$1,,,SUMPRODUCT(MAX(ROW(E$2:E4174)*(E4174=E$2:E4174)))))-COUNTBLANK(OFFSET(A$1,,,SUMPRODUCT(MAX(ROW(E$1:E4173)*(E2=E$1:E4173))))))</f>
        <v> </v>
      </c>
      <c r="K4174" s="25" t="str">
        <f>IF(OR(E4174="",E4174="!!!",F4174="NEW"),"",INDEX(J$1:J4173,SUMPRODUCT(MAX(ROW(E$1:E4173)*(E4174=E$1:E4173)))))</f>
        <v> </v>
      </c>
      <c r="L4174" s="26"/>
    </row>
    <row r="4175" spans="1:12">
      <c r="A4175" s="20" t="s">
        <v>1127</v>
      </c>
      <c r="E4175" s="21">
        <f>IF(D4175="?OLD","!!!","")</f>
        <v/>
      </c>
      <c r="F4175" s="22" t="str">
        <f>IF(OR(E4175="",E4175="!!!"),"",IF(NOT(ISNA(VLOOKUP(E4175,E$1:E4174,1,FALSE()))),"OLD",IF(AND(E4175&lt;&gt;"",E4175&lt;&gt;"!!!"),"NEW","")))</f>
        <v> </v>
      </c>
      <c r="G4175" s="23" t="str">
        <f>IF(OR(E4175="",E4175="!!!"),"",IF(OR(J4175=0,AND(J4175=1,K4175=1),AND(J4175=1,I4175="SBJ"),AND(J4175=1,I4175=0)),"?IN_FOCUS",IF(J4175&lt;=2,"?ACTIVATED",IF(J4175&lt;&gt;"","?FAMILIAR",IF(F4175="NEW",IF(ISNA(VLOOKUP(E4175,#REF!,1,FALSE())),"?TYPE_IDENTIFIABLE","?REFERENTIAL"),"_")))))</f>
        <v> </v>
      </c>
      <c r="H4175" s="24" t="str">
        <f>IF(J4175&lt;&gt;1,"",IF(I4175="SBJ","CB","?"))</f>
        <v> </v>
      </c>
      <c r="I4175" s="25" t="str">
        <f>IF(OR(E4175="",E4175="!!!",F4175="NEW"),"",INDEX(B4174:B$2,-1+SUMPRODUCT(MAX(ROW(E4174:E$2)*(E4175=E4174:E$2)))))</f>
        <v> </v>
      </c>
      <c r="J4175" s="25" t="str">
        <f>IF(OR(E4175="",E4175="!!!",F4175="NEW"),"",COUNTBLANK(OFFSET(A$1,,,SUMPRODUCT(MAX(ROW(E$2:E4175)*(E4175=E$2:E4175)))))-COUNTBLANK(OFFSET(A$1,,,SUMPRODUCT(MAX(ROW(E$1:E4174)*(E2=E$1:E4174))))))</f>
        <v> </v>
      </c>
      <c r="K4175" s="25" t="str">
        <f>IF(OR(E4175="",E4175="!!!",F4175="NEW"),"",INDEX(J$1:J4174,SUMPRODUCT(MAX(ROW(E$1:E4174)*(E4175=E$1:E4174)))))</f>
        <v> </v>
      </c>
      <c r="L4175" s="26"/>
    </row>
    <row r="4176" spans="1:12">
      <c r="A4176" s="20" t="s">
        <v>2044</v>
      </c>
      <c r="B4176" s="27" t="s">
        <v>1092</v>
      </c>
      <c r="C4176" s="27" t="s">
        <v>1093</v>
      </c>
      <c r="D4176" s="27" t="s">
        <v>1069</v>
      </c>
      <c r="E4176" s="21">
        <f>IF(D4176="?OLD","!!!","")</f>
        <v/>
      </c>
      <c r="F4176" s="22" t="str">
        <f>IF(OR(E4176="",E4176="!!!"),"",IF(NOT(ISNA(VLOOKUP(E4176,E$1:E4175,1,FALSE()))),"OLD",IF(AND(E4176&lt;&gt;"",E4176&lt;&gt;"!!!"),"NEW","")))</f>
        <v> </v>
      </c>
      <c r="G4176" s="23" t="str">
        <f>IF(OR(E4176="",E4176="!!!"),"",IF(OR(J4176=0,AND(J4176=1,K4176=1),AND(J4176=1,I4176="SBJ"),AND(J4176=1,I4176=0)),"?IN_FOCUS",IF(J4176&lt;=2,"?ACTIVATED",IF(J4176&lt;&gt;"","?FAMILIAR",IF(F4176="NEW",IF(ISNA(VLOOKUP(E4176,#REF!,1,FALSE())),"?TYPE_IDENTIFIABLE","?REFERENTIAL"),"_")))))</f>
        <v> </v>
      </c>
      <c r="H4176" s="24" t="str">
        <f>IF(J4176&lt;&gt;1,"",IF(I4176="SBJ","CB","?"))</f>
        <v> </v>
      </c>
      <c r="I4176" s="25" t="str">
        <f>IF(OR(E4176="",E4176="!!!",F4176="NEW"),"",INDEX(B4175:B$2,-1+SUMPRODUCT(MAX(ROW(E4175:E$2)*(E4176=E4175:E$2)))))</f>
        <v> </v>
      </c>
      <c r="J4176" s="25" t="str">
        <f>IF(OR(E4176="",E4176="!!!",F4176="NEW"),"",COUNTBLANK(OFFSET(A$1,,,SUMPRODUCT(MAX(ROW(E$2:E4176)*(E4176=E$2:E4176)))))-COUNTBLANK(OFFSET(A$1,,,SUMPRODUCT(MAX(ROW(E$1:E4175)*(E2=E$1:E4175))))))</f>
        <v> </v>
      </c>
      <c r="K4176" s="25" t="str">
        <f>IF(OR(E4176="",E4176="!!!",F4176="NEW"),"",INDEX(J$1:J4175,SUMPRODUCT(MAX(ROW(E$1:E4175)*(E4176=E$1:E4175)))))</f>
        <v> </v>
      </c>
      <c r="L4176" s="26"/>
    </row>
    <row r="4177" spans="1:12">
      <c r="A4177" s="20" t="s">
        <v>1536</v>
      </c>
      <c r="E4177" s="21">
        <f>IF(D4177="?OLD","!!!","")</f>
        <v/>
      </c>
      <c r="F4177" s="22" t="str">
        <f>IF(OR(E4177="",E4177="!!!"),"",IF(NOT(ISNA(VLOOKUP(E4177,E$1:E4176,1,FALSE()))),"OLD",IF(AND(E4177&lt;&gt;"",E4177&lt;&gt;"!!!"),"NEW","")))</f>
        <v> </v>
      </c>
      <c r="G4177" s="23" t="str">
        <f>IF(OR(E4177="",E4177="!!!"),"",IF(OR(J4177=0,AND(J4177=1,K4177=1),AND(J4177=1,I4177="SBJ"),AND(J4177=1,I4177=0)),"?IN_FOCUS",IF(J4177&lt;=2,"?ACTIVATED",IF(J4177&lt;&gt;"","?FAMILIAR",IF(F4177="NEW",IF(ISNA(VLOOKUP(E4177,#REF!,1,FALSE())),"?TYPE_IDENTIFIABLE","?REFERENTIAL"),"_")))))</f>
        <v> </v>
      </c>
      <c r="H4177" s="24" t="str">
        <f>IF(J4177&lt;&gt;1,"",IF(I4177="SBJ","CB","?"))</f>
        <v> </v>
      </c>
      <c r="I4177" s="25" t="str">
        <f>IF(OR(E4177="",E4177="!!!",F4177="NEW"),"",INDEX(B4176:B$2,-1+SUMPRODUCT(MAX(ROW(E4176:E$2)*(E4177=E4176:E$2)))))</f>
        <v> </v>
      </c>
      <c r="J4177" s="25" t="str">
        <f>IF(OR(E4177="",E4177="!!!",F4177="NEW"),"",COUNTBLANK(OFFSET(A$1,,,SUMPRODUCT(MAX(ROW(E$2:E4177)*(E4177=E$2:E4177)))))-COUNTBLANK(OFFSET(A$1,,,SUMPRODUCT(MAX(ROW(E$1:E4176)*(E2=E$1:E4176))))))</f>
        <v> </v>
      </c>
      <c r="K4177" s="25" t="str">
        <f>IF(OR(E4177="",E4177="!!!",F4177="NEW"),"",INDEX(J$1:J4176,SUMPRODUCT(MAX(ROW(E$1:E4176)*(E4177=E$1:E4176)))))</f>
        <v> </v>
      </c>
      <c r="L4177" s="26"/>
    </row>
    <row r="4178" spans="1:12">
      <c r="A4178" s="20" t="s">
        <v>1080</v>
      </c>
      <c r="E4178" s="21">
        <f>IF(D4178="?OLD","!!!","")</f>
        <v/>
      </c>
      <c r="F4178" s="22" t="str">
        <f>IF(OR(E4178="",E4178="!!!"),"",IF(NOT(ISNA(VLOOKUP(E4178,E$1:E4177,1,FALSE()))),"OLD",IF(AND(E4178&lt;&gt;"",E4178&lt;&gt;"!!!"),"NEW","")))</f>
        <v> </v>
      </c>
      <c r="G4178" s="23" t="str">
        <f>IF(OR(E4178="",E4178="!!!"),"",IF(OR(J4178=0,AND(J4178=1,K4178=1),AND(J4178=1,I4178="SBJ"),AND(J4178=1,I4178=0)),"?IN_FOCUS",IF(J4178&lt;=2,"?ACTIVATED",IF(J4178&lt;&gt;"","?FAMILIAR",IF(F4178="NEW",IF(ISNA(VLOOKUP(E4178,#REF!,1,FALSE())),"?TYPE_IDENTIFIABLE","?REFERENTIAL"),"_")))))</f>
        <v> </v>
      </c>
      <c r="H4178" s="24" t="str">
        <f>IF(J4178&lt;&gt;1,"",IF(I4178="SBJ","CB","?"))</f>
        <v> </v>
      </c>
      <c r="I4178" s="25" t="str">
        <f>IF(OR(E4178="",E4178="!!!",F4178="NEW"),"",INDEX(B4177:B$2,-1+SUMPRODUCT(MAX(ROW(E4177:E$2)*(E4178=E4177:E$2)))))</f>
        <v> </v>
      </c>
      <c r="J4178" s="25" t="str">
        <f>IF(OR(E4178="",E4178="!!!",F4178="NEW"),"",COUNTBLANK(OFFSET(A$1,,,SUMPRODUCT(MAX(ROW(E$2:E4178)*(E4178=E$2:E4178)))))-COUNTBLANK(OFFSET(A$1,,,SUMPRODUCT(MAX(ROW(E$1:E4177)*(E2=E$1:E4177))))))</f>
        <v> </v>
      </c>
      <c r="K4178" s="25" t="str">
        <f>IF(OR(E4178="",E4178="!!!",F4178="NEW"),"",INDEX(J$1:J4177,SUMPRODUCT(MAX(ROW(E$1:E4177)*(E4178=E$1:E4177)))))</f>
        <v> </v>
      </c>
      <c r="L4178" s="26"/>
    </row>
    <row r="4179" spans="1:12">
      <c r="A4179" s="20"/>
    </row>
    <row r="4180" spans="1:12">
      <c r="A4180" s="20" t="s">
        <v>2348</v>
      </c>
    </row>
    <row r="4181" spans="1:12">
      <c r="A4181" s="20" t="s">
        <v>2258</v>
      </c>
      <c r="B4181" s="27" t="s">
        <v>1074</v>
      </c>
      <c r="C4181" s="27" t="s">
        <v>1134</v>
      </c>
      <c r="D4181" s="27" t="s">
        <v>1069</v>
      </c>
      <c r="E4181" s="21">
        <f>IF(D4181="?OLD","!!!","")</f>
        <v/>
      </c>
      <c r="F4181" s="22" t="str">
        <f>IF(OR(E4181="",E4181="!!!"),"",IF(NOT(ISNA(VLOOKUP(E4181,E$1:E4180,1,FALSE()))),"OLD",IF(AND(E4181&lt;&gt;"",E4181&lt;&gt;"!!!"),"NEW","")))</f>
        <v> </v>
      </c>
      <c r="G4181" s="23" t="str">
        <f>IF(OR(E4181="",E4181="!!!"),"",IF(OR(J4181=0,AND(J4181=1,K4181=1),AND(J4181=1,I4181="SBJ"),AND(J4181=1,I4181=0)),"?IN_FOCUS",IF(J4181&lt;=2,"?ACTIVATED",IF(J4181&lt;&gt;"","?FAMILIAR",IF(F4181="NEW",IF(ISNA(VLOOKUP(E4181,#REF!,1,FALSE())),"?TYPE_IDENTIFIABLE","?REFERENTIAL"),"_")))))</f>
        <v> </v>
      </c>
      <c r="H4181" s="24" t="str">
        <f>IF(J4181&lt;&gt;1,"",IF(I4181="SBJ","CB","?"))</f>
        <v> </v>
      </c>
      <c r="I4181" s="25" t="str">
        <f>IF(OR(E4181="",E4181="!!!",F4181="NEW"),"",INDEX(B4180:B$2,-1+SUMPRODUCT(MAX(ROW(E4180:E$2)*(E4181=E4180:E$2)))))</f>
        <v> </v>
      </c>
      <c r="J4181" s="25" t="str">
        <f>IF(OR(E4181="",E4181="!!!",F4181="NEW"),"",COUNTBLANK(OFFSET(A$1,,,SUMPRODUCT(MAX(ROW(E$2:E4181)*(E4181=E$2:E4181)))))-COUNTBLANK(OFFSET(A$1,,,SUMPRODUCT(MAX(ROW(E$1:E4180)*(E2=E$1:E4180))))))</f>
        <v> </v>
      </c>
      <c r="K4181" s="25" t="str">
        <f>IF(OR(E4181="",E4181="!!!",F4181="NEW"),"",INDEX(J$1:J4180,SUMPRODUCT(MAX(ROW(E$1:E4180)*(E4181=E$1:E4180)))))</f>
        <v> </v>
      </c>
      <c r="L4181" s="26"/>
    </row>
    <row r="4182" spans="1:12">
      <c r="A4182" s="20" t="s">
        <v>1317</v>
      </c>
      <c r="E4182" s="21">
        <f>IF(D4182="?OLD","!!!","")</f>
        <v/>
      </c>
      <c r="F4182" s="22" t="str">
        <f>IF(OR(E4182="",E4182="!!!"),"",IF(NOT(ISNA(VLOOKUP(E4182,E$1:E4181,1,FALSE()))),"OLD",IF(AND(E4182&lt;&gt;"",E4182&lt;&gt;"!!!"),"NEW","")))</f>
        <v> </v>
      </c>
      <c r="G4182" s="23" t="str">
        <f>IF(OR(E4182="",E4182="!!!"),"",IF(OR(J4182=0,AND(J4182=1,K4182=1),AND(J4182=1,I4182="SBJ"),AND(J4182=1,I4182=0)),"?IN_FOCUS",IF(J4182&lt;=2,"?ACTIVATED",IF(J4182&lt;&gt;"","?FAMILIAR",IF(F4182="NEW",IF(ISNA(VLOOKUP(E4182,#REF!,1,FALSE())),"?TYPE_IDENTIFIABLE","?REFERENTIAL"),"_")))))</f>
        <v> </v>
      </c>
      <c r="H4182" s="24" t="str">
        <f>IF(J4182&lt;&gt;1,"",IF(I4182="SBJ","CB","?"))</f>
        <v> </v>
      </c>
      <c r="I4182" s="25" t="str">
        <f>IF(OR(E4182="",E4182="!!!",F4182="NEW"),"",INDEX(B4181:B$2,-1+SUMPRODUCT(MAX(ROW(E4181:E$2)*(E4182=E4181:E$2)))))</f>
        <v> </v>
      </c>
      <c r="J4182" s="25" t="str">
        <f>IF(OR(E4182="",E4182="!!!",F4182="NEW"),"",COUNTBLANK(OFFSET(A$1,,,SUMPRODUCT(MAX(ROW(E$2:E4182)*(E4182=E$2:E4182)))))-COUNTBLANK(OFFSET(A$1,,,SUMPRODUCT(MAX(ROW(E$1:E4181)*(E2=E$1:E4181))))))</f>
        <v> </v>
      </c>
      <c r="K4182" s="25" t="str">
        <f>IF(OR(E4182="",E4182="!!!",F4182="NEW"),"",INDEX(J$1:J4181,SUMPRODUCT(MAX(ROW(E$1:E4181)*(E4182=E$1:E4181)))))</f>
        <v> </v>
      </c>
      <c r="L4182" s="26"/>
    </row>
    <row r="4183" spans="1:12">
      <c r="A4183" s="20"/>
    </row>
    <row r="4184" spans="1:12">
      <c r="A4184" s="20" t="s">
        <v>2349</v>
      </c>
    </row>
    <row r="4185" spans="1:12">
      <c r="A4185" s="20" t="s">
        <v>1375</v>
      </c>
      <c r="E4185" s="21">
        <f>IF(D4185="?OLD","!!!","")</f>
        <v/>
      </c>
      <c r="F4185" s="22" t="str">
        <f>IF(OR(E4185="",E4185="!!!"),"",IF(NOT(ISNA(VLOOKUP(E4185,E$1:E4184,1,FALSE()))),"OLD",IF(AND(E4185&lt;&gt;"",E4185&lt;&gt;"!!!"),"NEW","")))</f>
        <v> </v>
      </c>
      <c r="G4185" s="23" t="str">
        <f>IF(OR(E4185="",E4185="!!!"),"",IF(OR(J4185=0,AND(J4185=1,K4185=1),AND(J4185=1,I4185="SBJ"),AND(J4185=1,I4185=0)),"?IN_FOCUS",IF(J4185&lt;=2,"?ACTIVATED",IF(J4185&lt;&gt;"","?FAMILIAR",IF(F4185="NEW",IF(ISNA(VLOOKUP(E4185,#REF!,1,FALSE())),"?TYPE_IDENTIFIABLE","?REFERENTIAL"),"_")))))</f>
        <v> </v>
      </c>
      <c r="H4185" s="24" t="str">
        <f>IF(J4185&lt;&gt;1,"",IF(I4185="SBJ","CB","?"))</f>
        <v> </v>
      </c>
      <c r="I4185" s="25" t="str">
        <f>IF(OR(E4185="",E4185="!!!",F4185="NEW"),"",INDEX(B4184:B$2,-1+SUMPRODUCT(MAX(ROW(E4184:E$2)*(E4185=E4184:E$2)))))</f>
        <v> </v>
      </c>
      <c r="J4185" s="25" t="str">
        <f>IF(OR(E4185="",E4185="!!!",F4185="NEW"),"",COUNTBLANK(OFFSET(A$1,,,SUMPRODUCT(MAX(ROW(E$2:E4185)*(E4185=E$2:E4185)))))-COUNTBLANK(OFFSET(A$1,,,SUMPRODUCT(MAX(ROW(E$1:E4184)*(E2=E$1:E4184))))))</f>
        <v> </v>
      </c>
      <c r="K4185" s="25" t="str">
        <f>IF(OR(E4185="",E4185="!!!",F4185="NEW"),"",INDEX(J$1:J4184,SUMPRODUCT(MAX(ROW(E$1:E4184)*(E4185=E$1:E4184)))))</f>
        <v> </v>
      </c>
      <c r="L4185" s="26"/>
    </row>
    <row r="4186" spans="1:12">
      <c r="A4186" s="20" t="s">
        <v>2350</v>
      </c>
      <c r="B4186" s="27" t="s">
        <v>1071</v>
      </c>
      <c r="C4186" s="27" t="s">
        <v>1093</v>
      </c>
      <c r="D4186" s="27" t="s">
        <v>1069</v>
      </c>
      <c r="E4186" s="21">
        <f>IF(D4186="?OLD","!!!","")</f>
        <v/>
      </c>
      <c r="F4186" s="22" t="str">
        <f>IF(OR(E4186="",E4186="!!!"),"",IF(NOT(ISNA(VLOOKUP(E4186,E$1:E4185,1,FALSE()))),"OLD",IF(AND(E4186&lt;&gt;"",E4186&lt;&gt;"!!!"),"NEW","")))</f>
        <v> </v>
      </c>
      <c r="G4186" s="23" t="str">
        <f>IF(OR(E4186="",E4186="!!!"),"",IF(OR(J4186=0,AND(J4186=1,K4186=1),AND(J4186=1,I4186="SBJ"),AND(J4186=1,I4186=0)),"?IN_FOCUS",IF(J4186&lt;=2,"?ACTIVATED",IF(J4186&lt;&gt;"","?FAMILIAR",IF(F4186="NEW",IF(ISNA(VLOOKUP(E4186,#REF!,1,FALSE())),"?TYPE_IDENTIFIABLE","?REFERENTIAL"),"_")))))</f>
        <v> </v>
      </c>
      <c r="H4186" s="24" t="str">
        <f>IF(J4186&lt;&gt;1,"",IF(I4186="SBJ","CB","?"))</f>
        <v> </v>
      </c>
      <c r="I4186" s="25" t="str">
        <f>IF(OR(E4186="",E4186="!!!",F4186="NEW"),"",INDEX(B4185:B$2,-1+SUMPRODUCT(MAX(ROW(E4185:E$2)*(E4186=E4185:E$2)))))</f>
        <v> </v>
      </c>
      <c r="J4186" s="25" t="str">
        <f>IF(OR(E4186="",E4186="!!!",F4186="NEW"),"",COUNTBLANK(OFFSET(A$1,,,SUMPRODUCT(MAX(ROW(E$2:E4186)*(E4186=E$2:E4186)))))-COUNTBLANK(OFFSET(A$1,,,SUMPRODUCT(MAX(ROW(E$1:E4185)*(E2=E$1:E4185))))))</f>
        <v> </v>
      </c>
      <c r="K4186" s="25" t="str">
        <f>IF(OR(E4186="",E4186="!!!",F4186="NEW"),"",INDEX(J$1:J4185,SUMPRODUCT(MAX(ROW(E$1:E4185)*(E4186=E$1:E4185)))))</f>
        <v> </v>
      </c>
      <c r="L4186" s="26"/>
    </row>
    <row r="4187" spans="1:12">
      <c r="A4187" s="20" t="s">
        <v>1614</v>
      </c>
      <c r="B4187" s="27" t="s">
        <v>1074</v>
      </c>
      <c r="C4187" s="27" t="s">
        <v>1077</v>
      </c>
      <c r="E4187" s="21">
        <f>IF(D4187="?OLD","!!!","")</f>
        <v/>
      </c>
      <c r="F4187" s="22" t="str">
        <f>IF(OR(E4187="",E4187="!!!"),"",IF(NOT(ISNA(VLOOKUP(E4187,E$1:E4186,1,FALSE()))),"OLD",IF(AND(E4187&lt;&gt;"",E4187&lt;&gt;"!!!"),"NEW","")))</f>
        <v> </v>
      </c>
      <c r="G4187" s="23" t="str">
        <f>IF(OR(E4187="",E4187="!!!"),"",IF(OR(J4187=0,AND(J4187=1,K4187=1),AND(J4187=1,I4187="SBJ"),AND(J4187=1,I4187=0)),"?IN_FOCUS",IF(J4187&lt;=2,"?ACTIVATED",IF(J4187&lt;&gt;"","?FAMILIAR",IF(F4187="NEW",IF(ISNA(VLOOKUP(E4187,#REF!,1,FALSE())),"?TYPE_IDENTIFIABLE","?REFERENTIAL"),"_")))))</f>
        <v> </v>
      </c>
      <c r="H4187" s="24" t="str">
        <f>IF(J4187&lt;&gt;1,"",IF(I4187="SBJ","CB","?"))</f>
        <v> </v>
      </c>
      <c r="I4187" s="25" t="str">
        <f>IF(OR(E4187="",E4187="!!!",F4187="NEW"),"",INDEX(B4186:B$2,-1+SUMPRODUCT(MAX(ROW(E4186:E$2)*(E4187=E4186:E$2)))))</f>
        <v> </v>
      </c>
      <c r="J4187" s="25" t="str">
        <f>IF(OR(E4187="",E4187="!!!",F4187="NEW"),"",COUNTBLANK(OFFSET(A$1,,,SUMPRODUCT(MAX(ROW(E$2:E4187)*(E4187=E$2:E4187)))))-COUNTBLANK(OFFSET(A$1,,,SUMPRODUCT(MAX(ROW(E$1:E4186)*(E2=E$1:E4186))))))</f>
        <v> </v>
      </c>
      <c r="K4187" s="25" t="str">
        <f>IF(OR(E4187="",E4187="!!!",F4187="NEW"),"",INDEX(J$1:J4186,SUMPRODUCT(MAX(ROW(E$1:E4186)*(E4187=E$1:E4186)))))</f>
        <v> </v>
      </c>
      <c r="L4187" s="26"/>
    </row>
    <row r="4188" spans="1:12">
      <c r="A4188" s="20" t="s">
        <v>1317</v>
      </c>
      <c r="E4188" s="21">
        <f>IF(D4188="?OLD","!!!","")</f>
        <v/>
      </c>
      <c r="F4188" s="22" t="str">
        <f>IF(OR(E4188="",E4188="!!!"),"",IF(NOT(ISNA(VLOOKUP(E4188,E$1:E4187,1,FALSE()))),"OLD",IF(AND(E4188&lt;&gt;"",E4188&lt;&gt;"!!!"),"NEW","")))</f>
        <v> </v>
      </c>
      <c r="G4188" s="23" t="str">
        <f>IF(OR(E4188="",E4188="!!!"),"",IF(OR(J4188=0,AND(J4188=1,K4188=1),AND(J4188=1,I4188="SBJ"),AND(J4188=1,I4188=0)),"?IN_FOCUS",IF(J4188&lt;=2,"?ACTIVATED",IF(J4188&lt;&gt;"","?FAMILIAR",IF(F4188="NEW",IF(ISNA(VLOOKUP(E4188,#REF!,1,FALSE())),"?TYPE_IDENTIFIABLE","?REFERENTIAL"),"_")))))</f>
        <v> </v>
      </c>
      <c r="H4188" s="24" t="str">
        <f>IF(J4188&lt;&gt;1,"",IF(I4188="SBJ","CB","?"))</f>
        <v> </v>
      </c>
      <c r="I4188" s="25" t="str">
        <f>IF(OR(E4188="",E4188="!!!",F4188="NEW"),"",INDEX(B4187:B$2,-1+SUMPRODUCT(MAX(ROW(E4187:E$2)*(E4188=E4187:E$2)))))</f>
        <v> </v>
      </c>
      <c r="J4188" s="25" t="str">
        <f>IF(OR(E4188="",E4188="!!!",F4188="NEW"),"",COUNTBLANK(OFFSET(A$1,,,SUMPRODUCT(MAX(ROW(E$2:E4188)*(E4188=E$2:E4188)))))-COUNTBLANK(OFFSET(A$1,,,SUMPRODUCT(MAX(ROW(E$1:E4187)*(E2=E$1:E4187))))))</f>
        <v> </v>
      </c>
      <c r="K4188" s="25" t="str">
        <f>IF(OR(E4188="",E4188="!!!",F4188="NEW"),"",INDEX(J$1:J4187,SUMPRODUCT(MAX(ROW(E$1:E4187)*(E4188=E$1:E4187)))))</f>
        <v> </v>
      </c>
      <c r="L4188" s="26"/>
    </row>
    <row r="4189" spans="1:12">
      <c r="A4189" s="20" t="s">
        <v>2351</v>
      </c>
      <c r="B4189" s="27" t="s">
        <v>1071</v>
      </c>
      <c r="C4189" s="27" t="s">
        <v>1077</v>
      </c>
      <c r="E4189" s="21">
        <f>IF(D4189="?OLD","!!!","")</f>
        <v/>
      </c>
      <c r="F4189" s="22" t="str">
        <f>IF(OR(E4189="",E4189="!!!"),"",IF(NOT(ISNA(VLOOKUP(E4189,E$1:E4188,1,FALSE()))),"OLD",IF(AND(E4189&lt;&gt;"",E4189&lt;&gt;"!!!"),"NEW","")))</f>
        <v> </v>
      </c>
      <c r="G4189" s="23" t="str">
        <f>IF(OR(E4189="",E4189="!!!"),"",IF(OR(J4189=0,AND(J4189=1,K4189=1),AND(J4189=1,I4189="SBJ"),AND(J4189=1,I4189=0)),"?IN_FOCUS",IF(J4189&lt;=2,"?ACTIVATED",IF(J4189&lt;&gt;"","?FAMILIAR",IF(F4189="NEW",IF(ISNA(VLOOKUP(E4189,#REF!,1,FALSE())),"?TYPE_IDENTIFIABLE","?REFERENTIAL"),"_")))))</f>
        <v> </v>
      </c>
      <c r="H4189" s="24" t="str">
        <f>IF(J4189&lt;&gt;1,"",IF(I4189="SBJ","CB","?"))</f>
        <v> </v>
      </c>
      <c r="I4189" s="25" t="str">
        <f>IF(OR(E4189="",E4189="!!!",F4189="NEW"),"",INDEX(B4188:B$2,-1+SUMPRODUCT(MAX(ROW(E4188:E$2)*(E4189=E4188:E$2)))))</f>
        <v> </v>
      </c>
      <c r="J4189" s="25" t="str">
        <f>IF(OR(E4189="",E4189="!!!",F4189="NEW"),"",COUNTBLANK(OFFSET(A$1,,,SUMPRODUCT(MAX(ROW(E$2:E4189)*(E4189=E$2:E4189)))))-COUNTBLANK(OFFSET(A$1,,,SUMPRODUCT(MAX(ROW(E$1:E4188)*(E2=E$1:E4188))))))</f>
        <v> </v>
      </c>
      <c r="K4189" s="25" t="str">
        <f>IF(OR(E4189="",E4189="!!!",F4189="NEW"),"",INDEX(J$1:J4188,SUMPRODUCT(MAX(ROW(E$1:E4188)*(E4189=E$1:E4188)))))</f>
        <v> </v>
      </c>
      <c r="L4189" s="26"/>
    </row>
    <row r="4190" spans="1:12">
      <c r="A4190" s="20" t="s">
        <v>1078</v>
      </c>
      <c r="E4190" s="21">
        <f>IF(D4190="?OLD","!!!","")</f>
        <v/>
      </c>
      <c r="F4190" s="22" t="str">
        <f>IF(OR(E4190="",E4190="!!!"),"",IF(NOT(ISNA(VLOOKUP(E4190,E$1:E4189,1,FALSE()))),"OLD",IF(AND(E4190&lt;&gt;"",E4190&lt;&gt;"!!!"),"NEW","")))</f>
        <v> </v>
      </c>
      <c r="G4190" s="23" t="str">
        <f>IF(OR(E4190="",E4190="!!!"),"",IF(OR(J4190=0,AND(J4190=1,K4190=1),AND(J4190=1,I4190="SBJ"),AND(J4190=1,I4190=0)),"?IN_FOCUS",IF(J4190&lt;=2,"?ACTIVATED",IF(J4190&lt;&gt;"","?FAMILIAR",IF(F4190="NEW",IF(ISNA(VLOOKUP(E4190,#REF!,1,FALSE())),"?TYPE_IDENTIFIABLE","?REFERENTIAL"),"_")))))</f>
        <v> </v>
      </c>
      <c r="H4190" s="24" t="str">
        <f>IF(J4190&lt;&gt;1,"",IF(I4190="SBJ","CB","?"))</f>
        <v> </v>
      </c>
      <c r="I4190" s="25" t="str">
        <f>IF(OR(E4190="",E4190="!!!",F4190="NEW"),"",INDEX(B4189:B$2,-1+SUMPRODUCT(MAX(ROW(E4189:E$2)*(E4190=E4189:E$2)))))</f>
        <v> </v>
      </c>
      <c r="J4190" s="25" t="str">
        <f>IF(OR(E4190="",E4190="!!!",F4190="NEW"),"",COUNTBLANK(OFFSET(A$1,,,SUMPRODUCT(MAX(ROW(E$2:E4190)*(E4190=E$2:E4190)))))-COUNTBLANK(OFFSET(A$1,,,SUMPRODUCT(MAX(ROW(E$1:E4189)*(E2=E$1:E4189))))))</f>
        <v> </v>
      </c>
      <c r="K4190" s="25" t="str">
        <f>IF(OR(E4190="",E4190="!!!",F4190="NEW"),"",INDEX(J$1:J4189,SUMPRODUCT(MAX(ROW(E$1:E4189)*(E4190=E$1:E4189)))))</f>
        <v> </v>
      </c>
      <c r="L4190" s="26"/>
    </row>
    <row r="4191" spans="1:12">
      <c r="A4191" s="20" t="s">
        <v>2352</v>
      </c>
      <c r="B4191" s="27" t="s">
        <v>1092</v>
      </c>
      <c r="C4191" s="27" t="s">
        <v>1077</v>
      </c>
      <c r="E4191" s="21">
        <f>IF(D4191="?OLD","!!!","")</f>
        <v/>
      </c>
      <c r="F4191" s="22" t="str">
        <f>IF(OR(E4191="",E4191="!!!"),"",IF(NOT(ISNA(VLOOKUP(E4191,E$1:E4190,1,FALSE()))),"OLD",IF(AND(E4191&lt;&gt;"",E4191&lt;&gt;"!!!"),"NEW","")))</f>
        <v> </v>
      </c>
      <c r="G4191" s="23" t="str">
        <f>IF(OR(E4191="",E4191="!!!"),"",IF(OR(J4191=0,AND(J4191=1,K4191=1),AND(J4191=1,I4191="SBJ"),AND(J4191=1,I4191=0)),"?IN_FOCUS",IF(J4191&lt;=2,"?ACTIVATED",IF(J4191&lt;&gt;"","?FAMILIAR",IF(F4191="NEW",IF(ISNA(VLOOKUP(E4191,#REF!,1,FALSE())),"?TYPE_IDENTIFIABLE","?REFERENTIAL"),"_")))))</f>
        <v> </v>
      </c>
      <c r="H4191" s="24" t="str">
        <f>IF(J4191&lt;&gt;1,"",IF(I4191="SBJ","CB","?"))</f>
        <v> </v>
      </c>
      <c r="I4191" s="25" t="str">
        <f>IF(OR(E4191="",E4191="!!!",F4191="NEW"),"",INDEX(B4190:B$2,-1+SUMPRODUCT(MAX(ROW(E4190:E$2)*(E4191=E4190:E$2)))))</f>
        <v> </v>
      </c>
      <c r="J4191" s="25" t="str">
        <f>IF(OR(E4191="",E4191="!!!",F4191="NEW"),"",COUNTBLANK(OFFSET(A$1,,,SUMPRODUCT(MAX(ROW(E$2:E4191)*(E4191=E$2:E4191)))))-COUNTBLANK(OFFSET(A$1,,,SUMPRODUCT(MAX(ROW(E$1:E4190)*(E2=E$1:E4190))))))</f>
        <v> </v>
      </c>
      <c r="K4191" s="25" t="str">
        <f>IF(OR(E4191="",E4191="!!!",F4191="NEW"),"",INDEX(J$1:J4190,SUMPRODUCT(MAX(ROW(E$1:E4190)*(E4191=E$1:E4190)))))</f>
        <v> </v>
      </c>
      <c r="L4191" s="26"/>
    </row>
    <row r="4192" spans="1:12">
      <c r="A4192" s="20" t="s">
        <v>1165</v>
      </c>
      <c r="E4192" s="21">
        <f>IF(D4192="?OLD","!!!","")</f>
        <v/>
      </c>
      <c r="F4192" s="22" t="str">
        <f>IF(OR(E4192="",E4192="!!!"),"",IF(NOT(ISNA(VLOOKUP(E4192,E$1:E4191,1,FALSE()))),"OLD",IF(AND(E4192&lt;&gt;"",E4192&lt;&gt;"!!!"),"NEW","")))</f>
        <v> </v>
      </c>
      <c r="G4192" s="23" t="str">
        <f>IF(OR(E4192="",E4192="!!!"),"",IF(OR(J4192=0,AND(J4192=1,K4192=1),AND(J4192=1,I4192="SBJ"),AND(J4192=1,I4192=0)),"?IN_FOCUS",IF(J4192&lt;=2,"?ACTIVATED",IF(J4192&lt;&gt;"","?FAMILIAR",IF(F4192="NEW",IF(ISNA(VLOOKUP(E4192,#REF!,1,FALSE())),"?TYPE_IDENTIFIABLE","?REFERENTIAL"),"_")))))</f>
        <v> </v>
      </c>
      <c r="H4192" s="24" t="str">
        <f>IF(J4192&lt;&gt;1,"",IF(I4192="SBJ","CB","?"))</f>
        <v> </v>
      </c>
      <c r="I4192" s="25" t="str">
        <f>IF(OR(E4192="",E4192="!!!",F4192="NEW"),"",INDEX(B4191:B$2,-1+SUMPRODUCT(MAX(ROW(E4191:E$2)*(E4192=E4191:E$2)))))</f>
        <v> </v>
      </c>
      <c r="J4192" s="25" t="str">
        <f>IF(OR(E4192="",E4192="!!!",F4192="NEW"),"",COUNTBLANK(OFFSET(A$1,,,SUMPRODUCT(MAX(ROW(E$2:E4192)*(E4192=E$2:E4192)))))-COUNTBLANK(OFFSET(A$1,,,SUMPRODUCT(MAX(ROW(E$1:E4191)*(E2=E$1:E4191))))))</f>
        <v> </v>
      </c>
      <c r="K4192" s="25" t="str">
        <f>IF(OR(E4192="",E4192="!!!",F4192="NEW"),"",INDEX(J$1:J4191,SUMPRODUCT(MAX(ROW(E$1:E4191)*(E4192=E$1:E4191)))))</f>
        <v> </v>
      </c>
      <c r="L4192" s="26"/>
    </row>
    <row r="4193" spans="1:12">
      <c r="A4193" s="20" t="s">
        <v>17</v>
      </c>
      <c r="E4193" s="21">
        <f>IF(D4193="?OLD","!!!","")</f>
        <v/>
      </c>
      <c r="F4193" s="22" t="str">
        <f>IF(OR(E4193="",E4193="!!!"),"",IF(NOT(ISNA(VLOOKUP(E4193,E$1:E4192,1,FALSE()))),"OLD",IF(AND(E4193&lt;&gt;"",E4193&lt;&gt;"!!!"),"NEW","")))</f>
        <v> </v>
      </c>
      <c r="G4193" s="23" t="str">
        <f>IF(OR(E4193="",E4193="!!!"),"",IF(OR(J4193=0,AND(J4193=1,K4193=1),AND(J4193=1,I4193="SBJ"),AND(J4193=1,I4193=0)),"?IN_FOCUS",IF(J4193&lt;=2,"?ACTIVATED",IF(J4193&lt;&gt;"","?FAMILIAR",IF(F4193="NEW",IF(ISNA(VLOOKUP(E4193,#REF!,1,FALSE())),"?TYPE_IDENTIFIABLE","?REFERENTIAL"),"_")))))</f>
        <v> </v>
      </c>
      <c r="H4193" s="24" t="str">
        <f>IF(J4193&lt;&gt;1,"",IF(I4193="SBJ","CB","?"))</f>
        <v> </v>
      </c>
      <c r="I4193" s="25" t="str">
        <f>IF(OR(E4193="",E4193="!!!",F4193="NEW"),"",INDEX(B4192:B$2,-1+SUMPRODUCT(MAX(ROW(E4192:E$2)*(E4193=E4192:E$2)))))</f>
        <v> </v>
      </c>
      <c r="J4193" s="25" t="str">
        <f>IF(OR(E4193="",E4193="!!!",F4193="NEW"),"",COUNTBLANK(OFFSET(A$1,,,SUMPRODUCT(MAX(ROW(E$2:E4193)*(E4193=E$2:E4193)))))-COUNTBLANK(OFFSET(A$1,,,SUMPRODUCT(MAX(ROW(E$1:E4192)*(E2=E$1:E4192))))))</f>
        <v> </v>
      </c>
      <c r="K4193" s="25" t="str">
        <f>IF(OR(E4193="",E4193="!!!",F4193="NEW"),"",INDEX(J$1:J4192,SUMPRODUCT(MAX(ROW(E$1:E4192)*(E4193=E$1:E4192)))))</f>
        <v> </v>
      </c>
      <c r="L4193" s="26"/>
    </row>
    <row r="4194" spans="1:12">
      <c r="A4194" s="20" t="s">
        <v>1320</v>
      </c>
      <c r="E4194" s="21">
        <f>IF(D4194="?OLD","!!!","")</f>
        <v/>
      </c>
      <c r="F4194" s="22" t="str">
        <f>IF(OR(E4194="",E4194="!!!"),"",IF(NOT(ISNA(VLOOKUP(E4194,E$1:E4193,1,FALSE()))),"OLD",IF(AND(E4194&lt;&gt;"",E4194&lt;&gt;"!!!"),"NEW","")))</f>
        <v> </v>
      </c>
      <c r="G4194" s="23" t="str">
        <f>IF(OR(E4194="",E4194="!!!"),"",IF(OR(J4194=0,AND(J4194=1,K4194=1),AND(J4194=1,I4194="SBJ"),AND(J4194=1,I4194=0)),"?IN_FOCUS",IF(J4194&lt;=2,"?ACTIVATED",IF(J4194&lt;&gt;"","?FAMILIAR",IF(F4194="NEW",IF(ISNA(VLOOKUP(E4194,#REF!,1,FALSE())),"?TYPE_IDENTIFIABLE","?REFERENTIAL"),"_")))))</f>
        <v> </v>
      </c>
      <c r="H4194" s="24" t="str">
        <f>IF(J4194&lt;&gt;1,"",IF(I4194="SBJ","CB","?"))</f>
        <v> </v>
      </c>
      <c r="I4194" s="25" t="str">
        <f>IF(OR(E4194="",E4194="!!!",F4194="NEW"),"",INDEX(B4193:B$2,-1+SUMPRODUCT(MAX(ROW(E4193:E$2)*(E4194=E4193:E$2)))))</f>
        <v> </v>
      </c>
      <c r="J4194" s="25" t="str">
        <f>IF(OR(E4194="",E4194="!!!",F4194="NEW"),"",COUNTBLANK(OFFSET(A$1,,,SUMPRODUCT(MAX(ROW(E$2:E4194)*(E4194=E$2:E4194)))))-COUNTBLANK(OFFSET(A$1,,,SUMPRODUCT(MAX(ROW(E$1:E4193)*(E2=E$1:E4193))))))</f>
        <v> </v>
      </c>
      <c r="K4194" s="25" t="str">
        <f>IF(OR(E4194="",E4194="!!!",F4194="NEW"),"",INDEX(J$1:J4193,SUMPRODUCT(MAX(ROW(E$1:E4193)*(E4194=E$1:E4193)))))</f>
        <v> </v>
      </c>
      <c r="L4194" s="26"/>
    </row>
    <row r="4195" spans="1:12">
      <c r="A4195" s="20" t="s">
        <v>1224</v>
      </c>
      <c r="E4195" s="21">
        <f>IF(D4195="?OLD","!!!","")</f>
        <v/>
      </c>
      <c r="F4195" s="22" t="str">
        <f>IF(OR(E4195="",E4195="!!!"),"",IF(NOT(ISNA(VLOOKUP(E4195,E$1:E4194,1,FALSE()))),"OLD",IF(AND(E4195&lt;&gt;"",E4195&lt;&gt;"!!!"),"NEW","")))</f>
        <v> </v>
      </c>
      <c r="G4195" s="23" t="str">
        <f>IF(OR(E4195="",E4195="!!!"),"",IF(OR(J4195=0,AND(J4195=1,K4195=1),AND(J4195=1,I4195="SBJ"),AND(J4195=1,I4195=0)),"?IN_FOCUS",IF(J4195&lt;=2,"?ACTIVATED",IF(J4195&lt;&gt;"","?FAMILIAR",IF(F4195="NEW",IF(ISNA(VLOOKUP(E4195,#REF!,1,FALSE())),"?TYPE_IDENTIFIABLE","?REFERENTIAL"),"_")))))</f>
        <v> </v>
      </c>
      <c r="H4195" s="24" t="str">
        <f>IF(J4195&lt;&gt;1,"",IF(I4195="SBJ","CB","?"))</f>
        <v> </v>
      </c>
      <c r="I4195" s="25" t="str">
        <f>IF(OR(E4195="",E4195="!!!",F4195="NEW"),"",INDEX(B4194:B$2,-1+SUMPRODUCT(MAX(ROW(E4194:E$2)*(E4195=E4194:E$2)))))</f>
        <v> </v>
      </c>
      <c r="J4195" s="25" t="str">
        <f>IF(OR(E4195="",E4195="!!!",F4195="NEW"),"",COUNTBLANK(OFFSET(A$1,,,SUMPRODUCT(MAX(ROW(E$2:E4195)*(E4195=E$2:E4195)))))-COUNTBLANK(OFFSET(A$1,,,SUMPRODUCT(MAX(ROW(E$1:E4194)*(E2=E$1:E4194))))))</f>
        <v> </v>
      </c>
      <c r="K4195" s="25" t="str">
        <f>IF(OR(E4195="",E4195="!!!",F4195="NEW"),"",INDEX(J$1:J4194,SUMPRODUCT(MAX(ROW(E$1:E4194)*(E4195=E$1:E4194)))))</f>
        <v> </v>
      </c>
      <c r="L4195" s="26"/>
    </row>
    <row r="4196" spans="1:12">
      <c r="A4196" s="20" t="s">
        <v>1083</v>
      </c>
      <c r="E4196" s="21">
        <f>IF(D4196="?OLD","!!!","")</f>
        <v/>
      </c>
      <c r="F4196" s="22" t="str">
        <f>IF(OR(E4196="",E4196="!!!"),"",IF(NOT(ISNA(VLOOKUP(E4196,E$1:E4195,1,FALSE()))),"OLD",IF(AND(E4196&lt;&gt;"",E4196&lt;&gt;"!!!"),"NEW","")))</f>
        <v> </v>
      </c>
      <c r="G4196" s="23" t="str">
        <f>IF(OR(E4196="",E4196="!!!"),"",IF(OR(J4196=0,AND(J4196=1,K4196=1),AND(J4196=1,I4196="SBJ"),AND(J4196=1,I4196=0)),"?IN_FOCUS",IF(J4196&lt;=2,"?ACTIVATED",IF(J4196&lt;&gt;"","?FAMILIAR",IF(F4196="NEW",IF(ISNA(VLOOKUP(E4196,#REF!,1,FALSE())),"?TYPE_IDENTIFIABLE","?REFERENTIAL"),"_")))))</f>
        <v> </v>
      </c>
      <c r="H4196" s="24" t="str">
        <f>IF(J4196&lt;&gt;1,"",IF(I4196="SBJ","CB","?"))</f>
        <v> </v>
      </c>
      <c r="I4196" s="25" t="str">
        <f>IF(OR(E4196="",E4196="!!!",F4196="NEW"),"",INDEX(B4195:B$2,-1+SUMPRODUCT(MAX(ROW(E4195:E$2)*(E4196=E4195:E$2)))))</f>
        <v> </v>
      </c>
      <c r="J4196" s="25" t="str">
        <f>IF(OR(E4196="",E4196="!!!",F4196="NEW"),"",COUNTBLANK(OFFSET(A$1,,,SUMPRODUCT(MAX(ROW(E$2:E4196)*(E4196=E$2:E4196)))))-COUNTBLANK(OFFSET(A$1,,,SUMPRODUCT(MAX(ROW(E$1:E4195)*(E2=E$1:E4195))))))</f>
        <v> </v>
      </c>
      <c r="K4196" s="25" t="str">
        <f>IF(OR(E4196="",E4196="!!!",F4196="NEW"),"",INDEX(J$1:J4195,SUMPRODUCT(MAX(ROW(E$1:E4195)*(E4196=E$1:E4195)))))</f>
        <v> </v>
      </c>
      <c r="L4196" s="26"/>
    </row>
    <row r="4197" spans="1:12">
      <c r="A4197" s="20" t="s">
        <v>1119</v>
      </c>
      <c r="B4197" s="27" t="s">
        <v>1074</v>
      </c>
      <c r="C4197" s="27" t="s">
        <v>1086</v>
      </c>
      <c r="D4197" s="27" t="s">
        <v>1069</v>
      </c>
      <c r="E4197" s="21">
        <f>IF(D4197="?OLD","!!!","")</f>
        <v/>
      </c>
      <c r="F4197" s="22" t="str">
        <f>IF(OR(E4197="",E4197="!!!"),"",IF(NOT(ISNA(VLOOKUP(E4197,E$1:E4196,1,FALSE()))),"OLD",IF(AND(E4197&lt;&gt;"",E4197&lt;&gt;"!!!"),"NEW","")))</f>
        <v> </v>
      </c>
      <c r="G4197" s="23" t="str">
        <f>IF(OR(E4197="",E4197="!!!"),"",IF(OR(J4197=0,AND(J4197=1,K4197=1),AND(J4197=1,I4197="SBJ"),AND(J4197=1,I4197=0)),"?IN_FOCUS",IF(J4197&lt;=2,"?ACTIVATED",IF(J4197&lt;&gt;"","?FAMILIAR",IF(F4197="NEW",IF(ISNA(VLOOKUP(E4197,#REF!,1,FALSE())),"?TYPE_IDENTIFIABLE","?REFERENTIAL"),"_")))))</f>
        <v> </v>
      </c>
      <c r="H4197" s="24" t="str">
        <f>IF(J4197&lt;&gt;1,"",IF(I4197="SBJ","CB","?"))</f>
        <v> </v>
      </c>
      <c r="I4197" s="25" t="str">
        <f>IF(OR(E4197="",E4197="!!!",F4197="NEW"),"",INDEX(B4196:B$2,-1+SUMPRODUCT(MAX(ROW(E4196:E$2)*(E4197=E4196:E$2)))))</f>
        <v> </v>
      </c>
      <c r="J4197" s="25" t="str">
        <f>IF(OR(E4197="",E4197="!!!",F4197="NEW"),"",COUNTBLANK(OFFSET(A$1,,,SUMPRODUCT(MAX(ROW(E$2:E4197)*(E4197=E$2:E4197)))))-COUNTBLANK(OFFSET(A$1,,,SUMPRODUCT(MAX(ROW(E$1:E4196)*(E2=E$1:E4196))))))</f>
        <v> </v>
      </c>
      <c r="K4197" s="25" t="str">
        <f>IF(OR(E4197="",E4197="!!!",F4197="NEW"),"",INDEX(J$1:J4196,SUMPRODUCT(MAX(ROW(E$1:E4196)*(E4197=E$1:E4196)))))</f>
        <v> </v>
      </c>
      <c r="L4197" s="26"/>
    </row>
    <row r="4198" spans="1:12">
      <c r="A4198" s="20" t="s">
        <v>1070</v>
      </c>
      <c r="E4198" s="21">
        <f>IF(D4198="?OLD","!!!","")</f>
        <v/>
      </c>
      <c r="F4198" s="22" t="str">
        <f>IF(OR(E4198="",E4198="!!!"),"",IF(NOT(ISNA(VLOOKUP(E4198,E$1:E4197,1,FALSE()))),"OLD",IF(AND(E4198&lt;&gt;"",E4198&lt;&gt;"!!!"),"NEW","")))</f>
        <v> </v>
      </c>
      <c r="G4198" s="23" t="str">
        <f>IF(OR(E4198="",E4198="!!!"),"",IF(OR(J4198=0,AND(J4198=1,K4198=1),AND(J4198=1,I4198="SBJ"),AND(J4198=1,I4198=0)),"?IN_FOCUS",IF(J4198&lt;=2,"?ACTIVATED",IF(J4198&lt;&gt;"","?FAMILIAR",IF(F4198="NEW",IF(ISNA(VLOOKUP(E4198,#REF!,1,FALSE())),"?TYPE_IDENTIFIABLE","?REFERENTIAL"),"_")))))</f>
        <v> </v>
      </c>
      <c r="H4198" s="24" t="str">
        <f>IF(J4198&lt;&gt;1,"",IF(I4198="SBJ","CB","?"))</f>
        <v> </v>
      </c>
      <c r="I4198" s="25" t="str">
        <f>IF(OR(E4198="",E4198="!!!",F4198="NEW"),"",INDEX(B4197:B$2,-1+SUMPRODUCT(MAX(ROW(E4197:E$2)*(E4198=E4197:E$2)))))</f>
        <v> </v>
      </c>
      <c r="J4198" s="25" t="str">
        <f>IF(OR(E4198="",E4198="!!!",F4198="NEW"),"",COUNTBLANK(OFFSET(A$1,,,SUMPRODUCT(MAX(ROW(E$2:E4198)*(E4198=E$2:E4198)))))-COUNTBLANK(OFFSET(A$1,,,SUMPRODUCT(MAX(ROW(E$1:E4197)*(E2=E$1:E4197))))))</f>
        <v> </v>
      </c>
      <c r="K4198" s="25" t="str">
        <f>IF(OR(E4198="",E4198="!!!",F4198="NEW"),"",INDEX(J$1:J4197,SUMPRODUCT(MAX(ROW(E$1:E4197)*(E4198=E$1:E4197)))))</f>
        <v> </v>
      </c>
      <c r="L4198" s="26"/>
    </row>
    <row r="4199" spans="1:12">
      <c r="A4199" s="20" t="s">
        <v>864</v>
      </c>
      <c r="E4199" s="21">
        <f>IF(D4199="?OLD","!!!","")</f>
        <v/>
      </c>
      <c r="F4199" s="22" t="str">
        <f>IF(OR(E4199="",E4199="!!!"),"",IF(NOT(ISNA(VLOOKUP(E4199,E$1:E4198,1,FALSE()))),"OLD",IF(AND(E4199&lt;&gt;"",E4199&lt;&gt;"!!!"),"NEW","")))</f>
        <v> </v>
      </c>
      <c r="G4199" s="23" t="str">
        <f>IF(OR(E4199="",E4199="!!!"),"",IF(OR(J4199=0,AND(J4199=1,K4199=1),AND(J4199=1,I4199="SBJ"),AND(J4199=1,I4199=0)),"?IN_FOCUS",IF(J4199&lt;=2,"?ACTIVATED",IF(J4199&lt;&gt;"","?FAMILIAR",IF(F4199="NEW",IF(ISNA(VLOOKUP(E4199,#REF!,1,FALSE())),"?TYPE_IDENTIFIABLE","?REFERENTIAL"),"_")))))</f>
        <v> </v>
      </c>
      <c r="H4199" s="24" t="str">
        <f>IF(J4199&lt;&gt;1,"",IF(I4199="SBJ","CB","?"))</f>
        <v> </v>
      </c>
      <c r="I4199" s="25" t="str">
        <f>IF(OR(E4199="",E4199="!!!",F4199="NEW"),"",INDEX(B4198:B$2,-1+SUMPRODUCT(MAX(ROW(E4198:E$2)*(E4199=E4198:E$2)))))</f>
        <v> </v>
      </c>
      <c r="J4199" s="25" t="str">
        <f>IF(OR(E4199="",E4199="!!!",F4199="NEW"),"",COUNTBLANK(OFFSET(A$1,,,SUMPRODUCT(MAX(ROW(E$2:E4199)*(E4199=E$2:E4199)))))-COUNTBLANK(OFFSET(A$1,,,SUMPRODUCT(MAX(ROW(E$1:E4198)*(E2=E$1:E4198))))))</f>
        <v> </v>
      </c>
      <c r="K4199" s="25" t="str">
        <f>IF(OR(E4199="",E4199="!!!",F4199="NEW"),"",INDEX(J$1:J4198,SUMPRODUCT(MAX(ROW(E$1:E4198)*(E4199=E$1:E4198)))))</f>
        <v> </v>
      </c>
      <c r="L4199" s="26"/>
    </row>
    <row r="4200" spans="1:12">
      <c r="A4200" s="20" t="s">
        <v>1324</v>
      </c>
      <c r="E4200" s="21">
        <f>IF(D4200="?OLD","!!!","")</f>
        <v/>
      </c>
      <c r="F4200" s="22" t="str">
        <f>IF(OR(E4200="",E4200="!!!"),"",IF(NOT(ISNA(VLOOKUP(E4200,E$1:E4199,1,FALSE()))),"OLD",IF(AND(E4200&lt;&gt;"",E4200&lt;&gt;"!!!"),"NEW","")))</f>
        <v> </v>
      </c>
      <c r="G4200" s="23" t="str">
        <f>IF(OR(E4200="",E4200="!!!"),"",IF(OR(J4200=0,AND(J4200=1,K4200=1),AND(J4200=1,I4200="SBJ"),AND(J4200=1,I4200=0)),"?IN_FOCUS",IF(J4200&lt;=2,"?ACTIVATED",IF(J4200&lt;&gt;"","?FAMILIAR",IF(F4200="NEW",IF(ISNA(VLOOKUP(E4200,#REF!,1,FALSE())),"?TYPE_IDENTIFIABLE","?REFERENTIAL"),"_")))))</f>
        <v> </v>
      </c>
      <c r="H4200" s="24" t="str">
        <f>IF(J4200&lt;&gt;1,"",IF(I4200="SBJ","CB","?"))</f>
        <v> </v>
      </c>
      <c r="I4200" s="25" t="str">
        <f>IF(OR(E4200="",E4200="!!!",F4200="NEW"),"",INDEX(B4199:B$2,-1+SUMPRODUCT(MAX(ROW(E4199:E$2)*(E4200=E4199:E$2)))))</f>
        <v> </v>
      </c>
      <c r="J4200" s="25" t="str">
        <f>IF(OR(E4200="",E4200="!!!",F4200="NEW"),"",COUNTBLANK(OFFSET(A$1,,,SUMPRODUCT(MAX(ROW(E$2:E4200)*(E4200=E$2:E4200)))))-COUNTBLANK(OFFSET(A$1,,,SUMPRODUCT(MAX(ROW(E$1:E4199)*(E2=E$1:E4199))))))</f>
        <v> </v>
      </c>
      <c r="K4200" s="25" t="str">
        <f>IF(OR(E4200="",E4200="!!!",F4200="NEW"),"",INDEX(J$1:J4199,SUMPRODUCT(MAX(ROW(E$1:E4199)*(E4200=E$1:E4199)))))</f>
        <v> </v>
      </c>
      <c r="L4200" s="26"/>
    </row>
    <row r="4201" spans="1:12">
      <c r="A4201" s="20"/>
    </row>
    <row r="4202" spans="1:12">
      <c r="A4202" s="20" t="s">
        <v>2353</v>
      </c>
    </row>
    <row r="4203" spans="1:12">
      <c r="A4203" s="20" t="s">
        <v>785</v>
      </c>
      <c r="B4203" s="27" t="s">
        <v>1074</v>
      </c>
      <c r="C4203" s="27" t="s">
        <v>1134</v>
      </c>
      <c r="D4203" s="27" t="s">
        <v>1069</v>
      </c>
      <c r="E4203" s="21">
        <f>IF(D4203="?OLD","!!!","")</f>
        <v/>
      </c>
      <c r="F4203" s="22" t="str">
        <f>IF(OR(E4203="",E4203="!!!"),"",IF(NOT(ISNA(VLOOKUP(E4203,E$1:E4202,1,FALSE()))),"OLD",IF(AND(E4203&lt;&gt;"",E4203&lt;&gt;"!!!"),"NEW","")))</f>
        <v> </v>
      </c>
      <c r="G4203" s="23" t="str">
        <f>IF(OR(E4203="",E4203="!!!"),"",IF(OR(J4203=0,AND(J4203=1,K4203=1),AND(J4203=1,I4203="SBJ"),AND(J4203=1,I4203=0)),"?IN_FOCUS",IF(J4203&lt;=2,"?ACTIVATED",IF(J4203&lt;&gt;"","?FAMILIAR",IF(F4203="NEW",IF(ISNA(VLOOKUP(E4203,#REF!,1,FALSE())),"?TYPE_IDENTIFIABLE","?REFERENTIAL"),"_")))))</f>
        <v> </v>
      </c>
      <c r="H4203" s="24" t="str">
        <f>IF(J4203&lt;&gt;1,"",IF(I4203="SBJ","CB","?"))</f>
        <v> </v>
      </c>
      <c r="I4203" s="25" t="str">
        <f>IF(OR(E4203="",E4203="!!!",F4203="NEW"),"",INDEX(B4202:B$2,-1+SUMPRODUCT(MAX(ROW(E4202:E$2)*(E4203=E4202:E$2)))))</f>
        <v> </v>
      </c>
      <c r="J4203" s="25" t="str">
        <f>IF(OR(E4203="",E4203="!!!",F4203="NEW"),"",COUNTBLANK(OFFSET(A$1,,,SUMPRODUCT(MAX(ROW(E$2:E4203)*(E4203=E$2:E4203)))))-COUNTBLANK(OFFSET(A$1,,,SUMPRODUCT(MAX(ROW(E$1:E4202)*(E2=E$1:E4202))))))</f>
        <v> </v>
      </c>
      <c r="K4203" s="25" t="str">
        <f>IF(OR(E4203="",E4203="!!!",F4203="NEW"),"",INDEX(J$1:J4202,SUMPRODUCT(MAX(ROW(E$1:E4202)*(E4203=E$1:E4202)))))</f>
        <v> </v>
      </c>
      <c r="L4203" s="26"/>
    </row>
    <row r="4204" spans="1:12">
      <c r="A4204" s="20" t="s">
        <v>1317</v>
      </c>
      <c r="E4204" s="21">
        <f>IF(D4204="?OLD","!!!","")</f>
        <v/>
      </c>
      <c r="F4204" s="22" t="str">
        <f>IF(OR(E4204="",E4204="!!!"),"",IF(NOT(ISNA(VLOOKUP(E4204,E$1:E4203,1,FALSE()))),"OLD",IF(AND(E4204&lt;&gt;"",E4204&lt;&gt;"!!!"),"NEW","")))</f>
        <v> </v>
      </c>
      <c r="G4204" s="23" t="str">
        <f>IF(OR(E4204="",E4204="!!!"),"",IF(OR(J4204=0,AND(J4204=1,K4204=1),AND(J4204=1,I4204="SBJ"),AND(J4204=1,I4204=0)),"?IN_FOCUS",IF(J4204&lt;=2,"?ACTIVATED",IF(J4204&lt;&gt;"","?FAMILIAR",IF(F4204="NEW",IF(ISNA(VLOOKUP(E4204,#REF!,1,FALSE())),"?TYPE_IDENTIFIABLE","?REFERENTIAL"),"_")))))</f>
        <v> </v>
      </c>
      <c r="H4204" s="24" t="str">
        <f>IF(J4204&lt;&gt;1,"",IF(I4204="SBJ","CB","?"))</f>
        <v> </v>
      </c>
      <c r="I4204" s="25" t="str">
        <f>IF(OR(E4204="",E4204="!!!",F4204="NEW"),"",INDEX(B4203:B$2,-1+SUMPRODUCT(MAX(ROW(E4203:E$2)*(E4204=E4203:E$2)))))</f>
        <v> </v>
      </c>
      <c r="J4204" s="25" t="str">
        <f>IF(OR(E4204="",E4204="!!!",F4204="NEW"),"",COUNTBLANK(OFFSET(A$1,,,SUMPRODUCT(MAX(ROW(E$2:E4204)*(E4204=E$2:E4204)))))-COUNTBLANK(OFFSET(A$1,,,SUMPRODUCT(MAX(ROW(E$1:E4203)*(E2=E$1:E4203))))))</f>
        <v> </v>
      </c>
      <c r="K4204" s="25" t="str">
        <f>IF(OR(E4204="",E4204="!!!",F4204="NEW"),"",INDEX(J$1:J4203,SUMPRODUCT(MAX(ROW(E$1:E4203)*(E4204=E$1:E4203)))))</f>
        <v> </v>
      </c>
      <c r="L4204" s="26"/>
    </row>
    <row r="4205" spans="1:12">
      <c r="A4205" s="20" t="s">
        <v>1210</v>
      </c>
      <c r="B4205" s="27" t="s">
        <v>1074</v>
      </c>
      <c r="C4205" s="27" t="s">
        <v>1134</v>
      </c>
      <c r="D4205" s="27" t="s">
        <v>1069</v>
      </c>
      <c r="E4205" s="21">
        <f>IF(D4205="?OLD","!!!","")</f>
        <v/>
      </c>
      <c r="F4205" s="22" t="str">
        <f>IF(OR(E4205="",E4205="!!!"),"",IF(NOT(ISNA(VLOOKUP(E4205,E$1:E4204,1,FALSE()))),"OLD",IF(AND(E4205&lt;&gt;"",E4205&lt;&gt;"!!!"),"NEW","")))</f>
        <v> </v>
      </c>
      <c r="G4205" s="23" t="str">
        <f>IF(OR(E4205="",E4205="!!!"),"",IF(OR(J4205=0,AND(J4205=1,K4205=1),AND(J4205=1,I4205="SBJ"),AND(J4205=1,I4205=0)),"?IN_FOCUS",IF(J4205&lt;=2,"?ACTIVATED",IF(J4205&lt;&gt;"","?FAMILIAR",IF(F4205="NEW",IF(ISNA(VLOOKUP(E4205,#REF!,1,FALSE())),"?TYPE_IDENTIFIABLE","?REFERENTIAL"),"_")))))</f>
        <v> </v>
      </c>
      <c r="H4205" s="24" t="str">
        <f>IF(J4205&lt;&gt;1,"",IF(I4205="SBJ","CB","?"))</f>
        <v> </v>
      </c>
      <c r="I4205" s="25" t="str">
        <f>IF(OR(E4205="",E4205="!!!",F4205="NEW"),"",INDEX(B4204:B$2,-1+SUMPRODUCT(MAX(ROW(E4204:E$2)*(E4205=E4204:E$2)))))</f>
        <v> </v>
      </c>
      <c r="J4205" s="25" t="str">
        <f>IF(OR(E4205="",E4205="!!!",F4205="NEW"),"",COUNTBLANK(OFFSET(A$1,,,SUMPRODUCT(MAX(ROW(E$2:E4205)*(E4205=E$2:E4205)))))-COUNTBLANK(OFFSET(A$1,,,SUMPRODUCT(MAX(ROW(E$1:E4204)*(E2=E$1:E4204))))))</f>
        <v> </v>
      </c>
      <c r="K4205" s="25" t="str">
        <f>IF(OR(E4205="",E4205="!!!",F4205="NEW"),"",INDEX(J$1:J4204,SUMPRODUCT(MAX(ROW(E$1:E4204)*(E4205=E$1:E4204)))))</f>
        <v> </v>
      </c>
      <c r="L4205" s="26"/>
    </row>
    <row r="4206" spans="1:12">
      <c r="A4206" s="20" t="s">
        <v>1108</v>
      </c>
      <c r="B4206" s="27" t="s">
        <v>1133</v>
      </c>
      <c r="C4206" s="27" t="s">
        <v>1110</v>
      </c>
      <c r="D4206" s="27" t="s">
        <v>1069</v>
      </c>
      <c r="E4206" s="21">
        <f>IF(D4206="?OLD","!!!","")</f>
        <v/>
      </c>
      <c r="F4206" s="22" t="str">
        <f>IF(OR(E4206="",E4206="!!!"),"",IF(NOT(ISNA(VLOOKUP(E4206,E$1:E4205,1,FALSE()))),"OLD",IF(AND(E4206&lt;&gt;"",E4206&lt;&gt;"!!!"),"NEW","")))</f>
        <v> </v>
      </c>
      <c r="G4206" s="23" t="str">
        <f>IF(OR(E4206="",E4206="!!!"),"",IF(OR(J4206=0,AND(J4206=1,K4206=1),AND(J4206=1,I4206="SBJ"),AND(J4206=1,I4206=0)),"?IN_FOCUS",IF(J4206&lt;=2,"?ACTIVATED",IF(J4206&lt;&gt;"","?FAMILIAR",IF(F4206="NEW",IF(ISNA(VLOOKUP(E4206,#REF!,1,FALSE())),"?TYPE_IDENTIFIABLE","?REFERENTIAL"),"_")))))</f>
        <v> </v>
      </c>
      <c r="H4206" s="24" t="str">
        <f>IF(J4206&lt;&gt;1,"",IF(I4206="SBJ","CB","?"))</f>
        <v> </v>
      </c>
      <c r="I4206" s="25" t="str">
        <f>IF(OR(E4206="",E4206="!!!",F4206="NEW"),"",INDEX(B4205:B$2,-1+SUMPRODUCT(MAX(ROW(E4205:E$2)*(E4206=E4205:E$2)))))</f>
        <v> </v>
      </c>
      <c r="J4206" s="25" t="str">
        <f>IF(OR(E4206="",E4206="!!!",F4206="NEW"),"",COUNTBLANK(OFFSET(A$1,,,SUMPRODUCT(MAX(ROW(E$2:E4206)*(E4206=E$2:E4206)))))-COUNTBLANK(OFFSET(A$1,,,SUMPRODUCT(MAX(ROW(E$1:E4205)*(E2=E$1:E4205))))))</f>
        <v> </v>
      </c>
      <c r="K4206" s="25" t="str">
        <f>IF(OR(E4206="",E4206="!!!",F4206="NEW"),"",INDEX(J$1:J4205,SUMPRODUCT(MAX(ROW(E$1:E4205)*(E4206=E$1:E4205)))))</f>
        <v> </v>
      </c>
      <c r="L4206" s="26"/>
    </row>
    <row r="4207" spans="1:12">
      <c r="A4207" s="20" t="s">
        <v>282</v>
      </c>
      <c r="E4207" s="21">
        <f>IF(D4207="?OLD","!!!","")</f>
        <v/>
      </c>
      <c r="F4207" s="22" t="str">
        <f>IF(OR(E4207="",E4207="!!!"),"",IF(NOT(ISNA(VLOOKUP(E4207,E$1:E4206,1,FALSE()))),"OLD",IF(AND(E4207&lt;&gt;"",E4207&lt;&gt;"!!!"),"NEW","")))</f>
        <v> </v>
      </c>
      <c r="G4207" s="23" t="str">
        <f>IF(OR(E4207="",E4207="!!!"),"",IF(OR(J4207=0,AND(J4207=1,K4207=1),AND(J4207=1,I4207="SBJ"),AND(J4207=1,I4207=0)),"?IN_FOCUS",IF(J4207&lt;=2,"?ACTIVATED",IF(J4207&lt;&gt;"","?FAMILIAR",IF(F4207="NEW",IF(ISNA(VLOOKUP(E4207,#REF!,1,FALSE())),"?TYPE_IDENTIFIABLE","?REFERENTIAL"),"_")))))</f>
        <v> </v>
      </c>
      <c r="H4207" s="24" t="str">
        <f>IF(J4207&lt;&gt;1,"",IF(I4207="SBJ","CB","?"))</f>
        <v> </v>
      </c>
      <c r="I4207" s="25" t="str">
        <f>IF(OR(E4207="",E4207="!!!",F4207="NEW"),"",INDEX(B4206:B$2,-1+SUMPRODUCT(MAX(ROW(E4206:E$2)*(E4207=E4206:E$2)))))</f>
        <v> </v>
      </c>
      <c r="J4207" s="25" t="str">
        <f>IF(OR(E4207="",E4207="!!!",F4207="NEW"),"",COUNTBLANK(OFFSET(A$1,,,SUMPRODUCT(MAX(ROW(E$2:E4207)*(E4207=E$2:E4207)))))-COUNTBLANK(OFFSET(A$1,,,SUMPRODUCT(MAX(ROW(E$1:E4206)*(E2=E$1:E4206))))))</f>
        <v> </v>
      </c>
      <c r="K4207" s="25" t="str">
        <f>IF(OR(E4207="",E4207="!!!",F4207="NEW"),"",INDEX(J$1:J4206,SUMPRODUCT(MAX(ROW(E$1:E4206)*(E4207=E$1:E4206)))))</f>
        <v> </v>
      </c>
      <c r="L4207" s="26"/>
    </row>
    <row r="4208" spans="1:12">
      <c r="A4208" s="20" t="s">
        <v>1953</v>
      </c>
      <c r="B4208" s="27" t="s">
        <v>1106</v>
      </c>
      <c r="C4208" s="27" t="s">
        <v>1110</v>
      </c>
      <c r="D4208" s="27" t="s">
        <v>1069</v>
      </c>
      <c r="E4208" s="21">
        <f>IF(D4208="?OLD","!!!","")</f>
        <v/>
      </c>
      <c r="F4208" s="22" t="str">
        <f>IF(OR(E4208="",E4208="!!!"),"",IF(NOT(ISNA(VLOOKUP(E4208,E$1:E4207,1,FALSE()))),"OLD",IF(AND(E4208&lt;&gt;"",E4208&lt;&gt;"!!!"),"NEW","")))</f>
        <v> </v>
      </c>
      <c r="G4208" s="23" t="str">
        <f>IF(OR(E4208="",E4208="!!!"),"",IF(OR(J4208=0,AND(J4208=1,K4208=1),AND(J4208=1,I4208="SBJ"),AND(J4208=1,I4208=0)),"?IN_FOCUS",IF(J4208&lt;=2,"?ACTIVATED",IF(J4208&lt;&gt;"","?FAMILIAR",IF(F4208="NEW",IF(ISNA(VLOOKUP(E4208,#REF!,1,FALSE())),"?TYPE_IDENTIFIABLE","?REFERENTIAL"),"_")))))</f>
        <v> </v>
      </c>
      <c r="H4208" s="24" t="str">
        <f>IF(J4208&lt;&gt;1,"",IF(I4208="SBJ","CB","?"))</f>
        <v> </v>
      </c>
      <c r="I4208" s="25" t="str">
        <f>IF(OR(E4208="",E4208="!!!",F4208="NEW"),"",INDEX(B4207:B$2,-1+SUMPRODUCT(MAX(ROW(E4207:E$2)*(E4208=E4207:E$2)))))</f>
        <v> </v>
      </c>
      <c r="J4208" s="25" t="str">
        <f>IF(OR(E4208="",E4208="!!!",F4208="NEW"),"",COUNTBLANK(OFFSET(A$1,,,SUMPRODUCT(MAX(ROW(E$2:E4208)*(E4208=E$2:E4208)))))-COUNTBLANK(OFFSET(A$1,,,SUMPRODUCT(MAX(ROW(E$1:E4207)*(E2=E$1:E4207))))))</f>
        <v> </v>
      </c>
      <c r="K4208" s="25" t="str">
        <f>IF(OR(E4208="",E4208="!!!",F4208="NEW"),"",INDEX(J$1:J4207,SUMPRODUCT(MAX(ROW(E$1:E4207)*(E4208=E$1:E4207)))))</f>
        <v> </v>
      </c>
      <c r="L4208" s="26"/>
    </row>
    <row r="4209" spans="1:12">
      <c r="A4209" s="20" t="s">
        <v>1421</v>
      </c>
      <c r="B4209" s="27" t="s">
        <v>1109</v>
      </c>
      <c r="C4209" s="27" t="s">
        <v>1129</v>
      </c>
      <c r="D4209" s="27" t="s">
        <v>1069</v>
      </c>
      <c r="E4209" s="21">
        <f>IF(D4209="?OLD","!!!","")</f>
        <v/>
      </c>
      <c r="F4209" s="22" t="str">
        <f>IF(OR(E4209="",E4209="!!!"),"",IF(NOT(ISNA(VLOOKUP(E4209,E$1:E4208,1,FALSE()))),"OLD",IF(AND(E4209&lt;&gt;"",E4209&lt;&gt;"!!!"),"NEW","")))</f>
        <v> </v>
      </c>
      <c r="G4209" s="23" t="str">
        <f>IF(OR(E4209="",E4209="!!!"),"",IF(OR(J4209=0,AND(J4209=1,K4209=1),AND(J4209=1,I4209="SBJ"),AND(J4209=1,I4209=0)),"?IN_FOCUS",IF(J4209&lt;=2,"?ACTIVATED",IF(J4209&lt;&gt;"","?FAMILIAR",IF(F4209="NEW",IF(ISNA(VLOOKUP(E4209,#REF!,1,FALSE())),"?TYPE_IDENTIFIABLE","?REFERENTIAL"),"_")))))</f>
        <v> </v>
      </c>
      <c r="H4209" s="24" t="str">
        <f>IF(J4209&lt;&gt;1,"",IF(I4209="SBJ","CB","?"))</f>
        <v> </v>
      </c>
      <c r="I4209" s="25" t="str">
        <f>IF(OR(E4209="",E4209="!!!",F4209="NEW"),"",INDEX(B4208:B$2,-1+SUMPRODUCT(MAX(ROW(E4208:E$2)*(E4209=E4208:E$2)))))</f>
        <v> </v>
      </c>
      <c r="J4209" s="25" t="str">
        <f>IF(OR(E4209="",E4209="!!!",F4209="NEW"),"",COUNTBLANK(OFFSET(A$1,,,SUMPRODUCT(MAX(ROW(E$2:E4209)*(E4209=E$2:E4209)))))-COUNTBLANK(OFFSET(A$1,,,SUMPRODUCT(MAX(ROW(E$1:E4208)*(E2=E$1:E4208))))))</f>
        <v> </v>
      </c>
      <c r="K4209" s="25" t="str">
        <f>IF(OR(E4209="",E4209="!!!",F4209="NEW"),"",INDEX(J$1:J4208,SUMPRODUCT(MAX(ROW(E$1:E4208)*(E4209=E$1:E4208)))))</f>
        <v> </v>
      </c>
      <c r="L4209" s="26"/>
    </row>
    <row r="4210" spans="1:12">
      <c r="A4210" s="20" t="s">
        <v>2354</v>
      </c>
      <c r="E4210" s="21">
        <f>IF(D4210="?OLD","!!!","")</f>
        <v/>
      </c>
      <c r="F4210" s="22" t="str">
        <f>IF(OR(E4210="",E4210="!!!"),"",IF(NOT(ISNA(VLOOKUP(E4210,E$1:E4209,1,FALSE()))),"OLD",IF(AND(E4210&lt;&gt;"",E4210&lt;&gt;"!!!"),"NEW","")))</f>
        <v> </v>
      </c>
      <c r="G4210" s="23" t="str">
        <f>IF(OR(E4210="",E4210="!!!"),"",IF(OR(J4210=0,AND(J4210=1,K4210=1),AND(J4210=1,I4210="SBJ"),AND(J4210=1,I4210=0)),"?IN_FOCUS",IF(J4210&lt;=2,"?ACTIVATED",IF(J4210&lt;&gt;"","?FAMILIAR",IF(F4210="NEW",IF(ISNA(VLOOKUP(E4210,#REF!,1,FALSE())),"?TYPE_IDENTIFIABLE","?REFERENTIAL"),"_")))))</f>
        <v> </v>
      </c>
      <c r="H4210" s="24" t="str">
        <f>IF(J4210&lt;&gt;1,"",IF(I4210="SBJ","CB","?"))</f>
        <v> </v>
      </c>
      <c r="I4210" s="25" t="str">
        <f>IF(OR(E4210="",E4210="!!!",F4210="NEW"),"",INDEX(B4209:B$2,-1+SUMPRODUCT(MAX(ROW(E4209:E$2)*(E4210=E4209:E$2)))))</f>
        <v> </v>
      </c>
      <c r="J4210" s="25" t="str">
        <f>IF(OR(E4210="",E4210="!!!",F4210="NEW"),"",COUNTBLANK(OFFSET(A$1,,,SUMPRODUCT(MAX(ROW(E$2:E4210)*(E4210=E$2:E4210)))))-COUNTBLANK(OFFSET(A$1,,,SUMPRODUCT(MAX(ROW(E$1:E4209)*(E2=E$1:E4209))))))</f>
        <v> </v>
      </c>
      <c r="K4210" s="25" t="str">
        <f>IF(OR(E4210="",E4210="!!!",F4210="NEW"),"",INDEX(J$1:J4209,SUMPRODUCT(MAX(ROW(E$1:E4209)*(E4210=E$1:E4209)))))</f>
        <v> </v>
      </c>
      <c r="L4210" s="26"/>
    </row>
    <row r="4211" spans="1:12">
      <c r="A4211" s="20" t="s">
        <v>1087</v>
      </c>
      <c r="E4211" s="21">
        <f>IF(D4211="?OLD","!!!","")</f>
        <v/>
      </c>
      <c r="F4211" s="22" t="str">
        <f>IF(OR(E4211="",E4211="!!!"),"",IF(NOT(ISNA(VLOOKUP(E4211,E$1:E4210,1,FALSE()))),"OLD",IF(AND(E4211&lt;&gt;"",E4211&lt;&gt;"!!!"),"NEW","")))</f>
        <v> </v>
      </c>
      <c r="G4211" s="23" t="str">
        <f>IF(OR(E4211="",E4211="!!!"),"",IF(OR(J4211=0,AND(J4211=1,K4211=1),AND(J4211=1,I4211="SBJ"),AND(J4211=1,I4211=0)),"?IN_FOCUS",IF(J4211&lt;=2,"?ACTIVATED",IF(J4211&lt;&gt;"","?FAMILIAR",IF(F4211="NEW",IF(ISNA(VLOOKUP(E4211,#REF!,1,FALSE())),"?TYPE_IDENTIFIABLE","?REFERENTIAL"),"_")))))</f>
        <v> </v>
      </c>
      <c r="H4211" s="24" t="str">
        <f>IF(J4211&lt;&gt;1,"",IF(I4211="SBJ","CB","?"))</f>
        <v> </v>
      </c>
      <c r="I4211" s="25" t="str">
        <f>IF(OR(E4211="",E4211="!!!",F4211="NEW"),"",INDEX(B4210:B$2,-1+SUMPRODUCT(MAX(ROW(E4210:E$2)*(E4211=E4210:E$2)))))</f>
        <v> </v>
      </c>
      <c r="J4211" s="25" t="str">
        <f>IF(OR(E4211="",E4211="!!!",F4211="NEW"),"",COUNTBLANK(OFFSET(A$1,,,SUMPRODUCT(MAX(ROW(E$2:E4211)*(E4211=E$2:E4211)))))-COUNTBLANK(OFFSET(A$1,,,SUMPRODUCT(MAX(ROW(E$1:E4210)*(E2=E$1:E4210))))))</f>
        <v> </v>
      </c>
      <c r="K4211" s="25" t="str">
        <f>IF(OR(E4211="",E4211="!!!",F4211="NEW"),"",INDEX(J$1:J4210,SUMPRODUCT(MAX(ROW(E$1:E4210)*(E4211=E$1:E4210)))))</f>
        <v> </v>
      </c>
      <c r="L4211" s="26"/>
    </row>
    <row r="4212" spans="1:12">
      <c r="A4212" s="20" t="s">
        <v>2355</v>
      </c>
      <c r="E4212" s="21">
        <f>IF(D4212="?OLD","!!!","")</f>
        <v/>
      </c>
      <c r="F4212" s="22" t="str">
        <f>IF(OR(E4212="",E4212="!!!"),"",IF(NOT(ISNA(VLOOKUP(E4212,E$1:E4211,1,FALSE()))),"OLD",IF(AND(E4212&lt;&gt;"",E4212&lt;&gt;"!!!"),"NEW","")))</f>
        <v> </v>
      </c>
      <c r="G4212" s="23" t="str">
        <f>IF(OR(E4212="",E4212="!!!"),"",IF(OR(J4212=0,AND(J4212=1,K4212=1),AND(J4212=1,I4212="SBJ"),AND(J4212=1,I4212=0)),"?IN_FOCUS",IF(J4212&lt;=2,"?ACTIVATED",IF(J4212&lt;&gt;"","?FAMILIAR",IF(F4212="NEW",IF(ISNA(VLOOKUP(E4212,#REF!,1,FALSE())),"?TYPE_IDENTIFIABLE","?REFERENTIAL"),"_")))))</f>
        <v> </v>
      </c>
      <c r="H4212" s="24" t="str">
        <f>IF(J4212&lt;&gt;1,"",IF(I4212="SBJ","CB","?"))</f>
        <v> </v>
      </c>
      <c r="I4212" s="25" t="str">
        <f>IF(OR(E4212="",E4212="!!!",F4212="NEW"),"",INDEX(B4211:B$2,-1+SUMPRODUCT(MAX(ROW(E4211:E$2)*(E4212=E4211:E$2)))))</f>
        <v> </v>
      </c>
      <c r="J4212" s="25" t="str">
        <f>IF(OR(E4212="",E4212="!!!",F4212="NEW"),"",COUNTBLANK(OFFSET(A$1,,,SUMPRODUCT(MAX(ROW(E$2:E4212)*(E4212=E$2:E4212)))))-COUNTBLANK(OFFSET(A$1,,,SUMPRODUCT(MAX(ROW(E$1:E4211)*(E2=E$1:E4211))))))</f>
        <v> </v>
      </c>
      <c r="K4212" s="25" t="str">
        <f>IF(OR(E4212="",E4212="!!!",F4212="NEW"),"",INDEX(J$1:J4211,SUMPRODUCT(MAX(ROW(E$1:E4211)*(E4212=E$1:E4211)))))</f>
        <v> </v>
      </c>
      <c r="L4212" s="26"/>
    </row>
    <row r="4213" spans="1:12">
      <c r="A4213" s="20" t="s">
        <v>1105</v>
      </c>
      <c r="B4213" s="27" t="s">
        <v>1250</v>
      </c>
      <c r="C4213" s="27" t="s">
        <v>1077</v>
      </c>
      <c r="E4213" s="21">
        <f>IF(D4213="?OLD","!!!","")</f>
        <v/>
      </c>
      <c r="F4213" s="22" t="str">
        <f>IF(OR(E4213="",E4213="!!!"),"",IF(NOT(ISNA(VLOOKUP(E4213,E$1:E4212,1,FALSE()))),"OLD",IF(AND(E4213&lt;&gt;"",E4213&lt;&gt;"!!!"),"NEW","")))</f>
        <v> </v>
      </c>
      <c r="G4213" s="23" t="str">
        <f>IF(OR(E4213="",E4213="!!!"),"",IF(OR(J4213=0,AND(J4213=1,K4213=1),AND(J4213=1,I4213="SBJ"),AND(J4213=1,I4213=0)),"?IN_FOCUS",IF(J4213&lt;=2,"?ACTIVATED",IF(J4213&lt;&gt;"","?FAMILIAR",IF(F4213="NEW",IF(ISNA(VLOOKUP(E4213,#REF!,1,FALSE())),"?TYPE_IDENTIFIABLE","?REFERENTIAL"),"_")))))</f>
        <v> </v>
      </c>
      <c r="H4213" s="24" t="str">
        <f>IF(J4213&lt;&gt;1,"",IF(I4213="SBJ","CB","?"))</f>
        <v> </v>
      </c>
      <c r="I4213" s="25" t="str">
        <f>IF(OR(E4213="",E4213="!!!",F4213="NEW"),"",INDEX(B4212:B$2,-1+SUMPRODUCT(MAX(ROW(E4212:E$2)*(E4213=E4212:E$2)))))</f>
        <v> </v>
      </c>
      <c r="J4213" s="25" t="str">
        <f>IF(OR(E4213="",E4213="!!!",F4213="NEW"),"",COUNTBLANK(OFFSET(A$1,,,SUMPRODUCT(MAX(ROW(E$2:E4213)*(E4213=E$2:E4213)))))-COUNTBLANK(OFFSET(A$1,,,SUMPRODUCT(MAX(ROW(E$1:E4212)*(E2=E$1:E4212))))))</f>
        <v> </v>
      </c>
      <c r="K4213" s="25" t="str">
        <f>IF(OR(E4213="",E4213="!!!",F4213="NEW"),"",INDEX(J$1:J4212,SUMPRODUCT(MAX(ROW(E$1:E4212)*(E4213=E$1:E4212)))))</f>
        <v> </v>
      </c>
      <c r="L4213" s="26"/>
    </row>
    <row r="4214" spans="1:12">
      <c r="A4214" s="20" t="s">
        <v>1087</v>
      </c>
      <c r="E4214" s="21">
        <f>IF(D4214="?OLD","!!!","")</f>
        <v/>
      </c>
      <c r="F4214" s="22" t="str">
        <f>IF(OR(E4214="",E4214="!!!"),"",IF(NOT(ISNA(VLOOKUP(E4214,E$1:E4213,1,FALSE()))),"OLD",IF(AND(E4214&lt;&gt;"",E4214&lt;&gt;"!!!"),"NEW","")))</f>
        <v> </v>
      </c>
      <c r="G4214" s="23" t="str">
        <f>IF(OR(E4214="",E4214="!!!"),"",IF(OR(J4214=0,AND(J4214=1,K4214=1),AND(J4214=1,I4214="SBJ"),AND(J4214=1,I4214=0)),"?IN_FOCUS",IF(J4214&lt;=2,"?ACTIVATED",IF(J4214&lt;&gt;"","?FAMILIAR",IF(F4214="NEW",IF(ISNA(VLOOKUP(E4214,#REF!,1,FALSE())),"?TYPE_IDENTIFIABLE","?REFERENTIAL"),"_")))))</f>
        <v> </v>
      </c>
      <c r="H4214" s="24" t="str">
        <f>IF(J4214&lt;&gt;1,"",IF(I4214="SBJ","CB","?"))</f>
        <v> </v>
      </c>
      <c r="I4214" s="25" t="str">
        <f>IF(OR(E4214="",E4214="!!!",F4214="NEW"),"",INDEX(B4213:B$2,-1+SUMPRODUCT(MAX(ROW(E4213:E$2)*(E4214=E4213:E$2)))))</f>
        <v> </v>
      </c>
      <c r="J4214" s="25" t="str">
        <f>IF(OR(E4214="",E4214="!!!",F4214="NEW"),"",COUNTBLANK(OFFSET(A$1,,,SUMPRODUCT(MAX(ROW(E$2:E4214)*(E4214=E$2:E4214)))))-COUNTBLANK(OFFSET(A$1,,,SUMPRODUCT(MAX(ROW(E$1:E4213)*(E2=E$1:E4213))))))</f>
        <v> </v>
      </c>
      <c r="K4214" s="25" t="str">
        <f>IF(OR(E4214="",E4214="!!!",F4214="NEW"),"",INDEX(J$1:J4213,SUMPRODUCT(MAX(ROW(E$1:E4213)*(E4214=E$1:E4213)))))</f>
        <v> </v>
      </c>
      <c r="L4214" s="26"/>
    </row>
    <row r="4215" spans="1:12">
      <c r="A4215" s="20" t="s">
        <v>1104</v>
      </c>
      <c r="B4215" s="27" t="s">
        <v>1508</v>
      </c>
      <c r="C4215" s="27" t="s">
        <v>1110</v>
      </c>
      <c r="D4215" s="27" t="s">
        <v>1069</v>
      </c>
      <c r="E4215" s="21">
        <f>IF(D4215="?OLD","!!!","")</f>
        <v/>
      </c>
      <c r="F4215" s="22" t="str">
        <f>IF(OR(E4215="",E4215="!!!"),"",IF(NOT(ISNA(VLOOKUP(E4215,E$1:E4214,1,FALSE()))),"OLD",IF(AND(E4215&lt;&gt;"",E4215&lt;&gt;"!!!"),"NEW","")))</f>
        <v> </v>
      </c>
      <c r="G4215" s="23" t="str">
        <f>IF(OR(E4215="",E4215="!!!"),"",IF(OR(J4215=0,AND(J4215=1,K4215=1),AND(J4215=1,I4215="SBJ"),AND(J4215=1,I4215=0)),"?IN_FOCUS",IF(J4215&lt;=2,"?ACTIVATED",IF(J4215&lt;&gt;"","?FAMILIAR",IF(F4215="NEW",IF(ISNA(VLOOKUP(E4215,#REF!,1,FALSE())),"?TYPE_IDENTIFIABLE","?REFERENTIAL"),"_")))))</f>
        <v> </v>
      </c>
      <c r="H4215" s="24" t="str">
        <f>IF(J4215&lt;&gt;1,"",IF(I4215="SBJ","CB","?"))</f>
        <v> </v>
      </c>
      <c r="I4215" s="25" t="str">
        <f>IF(OR(E4215="",E4215="!!!",F4215="NEW"),"",INDEX(B4214:B$2,-1+SUMPRODUCT(MAX(ROW(E4214:E$2)*(E4215=E4214:E$2)))))</f>
        <v> </v>
      </c>
      <c r="J4215" s="25" t="str">
        <f>IF(OR(E4215="",E4215="!!!",F4215="NEW"),"",COUNTBLANK(OFFSET(A$1,,,SUMPRODUCT(MAX(ROW(E$2:E4215)*(E4215=E$2:E4215)))))-COUNTBLANK(OFFSET(A$1,,,SUMPRODUCT(MAX(ROW(E$1:E4214)*(E2=E$1:E4214))))))</f>
        <v> </v>
      </c>
      <c r="K4215" s="25" t="str">
        <f>IF(OR(E4215="",E4215="!!!",F4215="NEW"),"",INDEX(J$1:J4214,SUMPRODUCT(MAX(ROW(E$1:E4214)*(E4215=E$1:E4214)))))</f>
        <v> </v>
      </c>
      <c r="L4215" s="26"/>
    </row>
    <row r="4216" spans="1:12">
      <c r="A4216" s="20" t="s">
        <v>1193</v>
      </c>
      <c r="E4216" s="21">
        <f>IF(D4216="?OLD","!!!","")</f>
        <v/>
      </c>
      <c r="F4216" s="22" t="str">
        <f>IF(OR(E4216="",E4216="!!!"),"",IF(NOT(ISNA(VLOOKUP(E4216,E$1:E4215,1,FALSE()))),"OLD",IF(AND(E4216&lt;&gt;"",E4216&lt;&gt;"!!!"),"NEW","")))</f>
        <v> </v>
      </c>
      <c r="G4216" s="23" t="str">
        <f>IF(OR(E4216="",E4216="!!!"),"",IF(OR(J4216=0,AND(J4216=1,K4216=1),AND(J4216=1,I4216="SBJ"),AND(J4216=1,I4216=0)),"?IN_FOCUS",IF(J4216&lt;=2,"?ACTIVATED",IF(J4216&lt;&gt;"","?FAMILIAR",IF(F4216="NEW",IF(ISNA(VLOOKUP(E4216,#REF!,1,FALSE())),"?TYPE_IDENTIFIABLE","?REFERENTIAL"),"_")))))</f>
        <v> </v>
      </c>
      <c r="H4216" s="24" t="str">
        <f>IF(J4216&lt;&gt;1,"",IF(I4216="SBJ","CB","?"))</f>
        <v> </v>
      </c>
      <c r="I4216" s="25" t="str">
        <f>IF(OR(E4216="",E4216="!!!",F4216="NEW"),"",INDEX(B4215:B$2,-1+SUMPRODUCT(MAX(ROW(E4215:E$2)*(E4216=E4215:E$2)))))</f>
        <v> </v>
      </c>
      <c r="J4216" s="25" t="str">
        <f>IF(OR(E4216="",E4216="!!!",F4216="NEW"),"",COUNTBLANK(OFFSET(A$1,,,SUMPRODUCT(MAX(ROW(E$2:E4216)*(E4216=E$2:E4216)))))-COUNTBLANK(OFFSET(A$1,,,SUMPRODUCT(MAX(ROW(E$1:E4215)*(E2=E$1:E4215))))))</f>
        <v> </v>
      </c>
      <c r="K4216" s="25" t="str">
        <f>IF(OR(E4216="",E4216="!!!",F4216="NEW"),"",INDEX(J$1:J4215,SUMPRODUCT(MAX(ROW(E$1:E4215)*(E4216=E$1:E4215)))))</f>
        <v> </v>
      </c>
      <c r="L4216" s="26"/>
    </row>
    <row r="4217" spans="1:12">
      <c r="A4217" s="20" t="s">
        <v>2029</v>
      </c>
      <c r="E4217" s="21">
        <f>IF(D4217="?OLD","!!!","")</f>
        <v/>
      </c>
      <c r="F4217" s="22" t="str">
        <f>IF(OR(E4217="",E4217="!!!"),"",IF(NOT(ISNA(VLOOKUP(E4217,E$1:E4216,1,FALSE()))),"OLD",IF(AND(E4217&lt;&gt;"",E4217&lt;&gt;"!!!"),"NEW","")))</f>
        <v> </v>
      </c>
      <c r="G4217" s="23" t="str">
        <f>IF(OR(E4217="",E4217="!!!"),"",IF(OR(J4217=0,AND(J4217=1,K4217=1),AND(J4217=1,I4217="SBJ"),AND(J4217=1,I4217=0)),"?IN_FOCUS",IF(J4217&lt;=2,"?ACTIVATED",IF(J4217&lt;&gt;"","?FAMILIAR",IF(F4217="NEW",IF(ISNA(VLOOKUP(E4217,#REF!,1,FALSE())),"?TYPE_IDENTIFIABLE","?REFERENTIAL"),"_")))))</f>
        <v> </v>
      </c>
      <c r="H4217" s="24" t="str">
        <f>IF(J4217&lt;&gt;1,"",IF(I4217="SBJ","CB","?"))</f>
        <v> </v>
      </c>
      <c r="I4217" s="25" t="str">
        <f>IF(OR(E4217="",E4217="!!!",F4217="NEW"),"",INDEX(B4216:B$2,-1+SUMPRODUCT(MAX(ROW(E4216:E$2)*(E4217=E4216:E$2)))))</f>
        <v> </v>
      </c>
      <c r="J4217" s="25" t="str">
        <f>IF(OR(E4217="",E4217="!!!",F4217="NEW"),"",COUNTBLANK(OFFSET(A$1,,,SUMPRODUCT(MAX(ROW(E$2:E4217)*(E4217=E$2:E4217)))))-COUNTBLANK(OFFSET(A$1,,,SUMPRODUCT(MAX(ROW(E$1:E4216)*(E2=E$1:E4216))))))</f>
        <v> </v>
      </c>
      <c r="K4217" s="25" t="str">
        <f>IF(OR(E4217="",E4217="!!!",F4217="NEW"),"",INDEX(J$1:J4216,SUMPRODUCT(MAX(ROW(E$1:E4216)*(E4217=E$1:E4216)))))</f>
        <v> </v>
      </c>
      <c r="L4217" s="26"/>
    </row>
    <row r="4218" spans="1:12">
      <c r="A4218" s="20" t="s">
        <v>1124</v>
      </c>
      <c r="E4218" s="21">
        <f>IF(D4218="?OLD","!!!","")</f>
        <v/>
      </c>
      <c r="F4218" s="22" t="str">
        <f>IF(OR(E4218="",E4218="!!!"),"",IF(NOT(ISNA(VLOOKUP(E4218,E$1:E4217,1,FALSE()))),"OLD",IF(AND(E4218&lt;&gt;"",E4218&lt;&gt;"!!!"),"NEW","")))</f>
        <v> </v>
      </c>
      <c r="G4218" s="23" t="str">
        <f>IF(OR(E4218="",E4218="!!!"),"",IF(OR(J4218=0,AND(J4218=1,K4218=1),AND(J4218=1,I4218="SBJ"),AND(J4218=1,I4218=0)),"?IN_FOCUS",IF(J4218&lt;=2,"?ACTIVATED",IF(J4218&lt;&gt;"","?FAMILIAR",IF(F4218="NEW",IF(ISNA(VLOOKUP(E4218,#REF!,1,FALSE())),"?TYPE_IDENTIFIABLE","?REFERENTIAL"),"_")))))</f>
        <v> </v>
      </c>
      <c r="H4218" s="24" t="str">
        <f>IF(J4218&lt;&gt;1,"",IF(I4218="SBJ","CB","?"))</f>
        <v> </v>
      </c>
      <c r="I4218" s="25" t="str">
        <f>IF(OR(E4218="",E4218="!!!",F4218="NEW"),"",INDEX(B4217:B$2,-1+SUMPRODUCT(MAX(ROW(E4217:E$2)*(E4218=E4217:E$2)))))</f>
        <v> </v>
      </c>
      <c r="J4218" s="25" t="str">
        <f>IF(OR(E4218="",E4218="!!!",F4218="NEW"),"",COUNTBLANK(OFFSET(A$1,,,SUMPRODUCT(MAX(ROW(E$2:E4218)*(E4218=E$2:E4218)))))-COUNTBLANK(OFFSET(A$1,,,SUMPRODUCT(MAX(ROW(E$1:E4217)*(E2=E$1:E4217))))))</f>
        <v> </v>
      </c>
      <c r="K4218" s="25" t="str">
        <f>IF(OR(E4218="",E4218="!!!",F4218="NEW"),"",INDEX(J$1:J4217,SUMPRODUCT(MAX(ROW(E$1:E4217)*(E4218=E$1:E4217)))))</f>
        <v> </v>
      </c>
      <c r="L4218" s="26"/>
    </row>
    <row r="4219" spans="1:12">
      <c r="A4219" s="20" t="s">
        <v>1087</v>
      </c>
      <c r="E4219" s="21">
        <f>IF(D4219="?OLD","!!!","")</f>
        <v/>
      </c>
      <c r="F4219" s="22" t="str">
        <f>IF(OR(E4219="",E4219="!!!"),"",IF(NOT(ISNA(VLOOKUP(E4219,E$1:E4218,1,FALSE()))),"OLD",IF(AND(E4219&lt;&gt;"",E4219&lt;&gt;"!!!"),"NEW","")))</f>
        <v> </v>
      </c>
      <c r="G4219" s="23" t="str">
        <f>IF(OR(E4219="",E4219="!!!"),"",IF(OR(J4219=0,AND(J4219=1,K4219=1),AND(J4219=1,I4219="SBJ"),AND(J4219=1,I4219=0)),"?IN_FOCUS",IF(J4219&lt;=2,"?ACTIVATED",IF(J4219&lt;&gt;"","?FAMILIAR",IF(F4219="NEW",IF(ISNA(VLOOKUP(E4219,#REF!,1,FALSE())),"?TYPE_IDENTIFIABLE","?REFERENTIAL"),"_")))))</f>
        <v> </v>
      </c>
      <c r="H4219" s="24" t="str">
        <f>IF(J4219&lt;&gt;1,"",IF(I4219="SBJ","CB","?"))</f>
        <v> </v>
      </c>
      <c r="I4219" s="25" t="str">
        <f>IF(OR(E4219="",E4219="!!!",F4219="NEW"),"",INDEX(B4218:B$2,-1+SUMPRODUCT(MAX(ROW(E4218:E$2)*(E4219=E4218:E$2)))))</f>
        <v> </v>
      </c>
      <c r="J4219" s="25" t="str">
        <f>IF(OR(E4219="",E4219="!!!",F4219="NEW"),"",COUNTBLANK(OFFSET(A$1,,,SUMPRODUCT(MAX(ROW(E$2:E4219)*(E4219=E$2:E4219)))))-COUNTBLANK(OFFSET(A$1,,,SUMPRODUCT(MAX(ROW(E$1:E4218)*(E2=E$1:E4218))))))</f>
        <v> </v>
      </c>
      <c r="K4219" s="25" t="str">
        <f>IF(OR(E4219="",E4219="!!!",F4219="NEW"),"",INDEX(J$1:J4218,SUMPRODUCT(MAX(ROW(E$1:E4218)*(E4219=E$1:E4218)))))</f>
        <v> </v>
      </c>
      <c r="L4219" s="26"/>
    </row>
    <row r="4220" spans="1:12">
      <c r="A4220" s="20" t="s">
        <v>1108</v>
      </c>
      <c r="B4220" s="27" t="s">
        <v>1109</v>
      </c>
      <c r="C4220" s="27" t="s">
        <v>1110</v>
      </c>
      <c r="D4220" s="27" t="s">
        <v>1069</v>
      </c>
      <c r="E4220" s="21">
        <f>IF(D4220="?OLD","!!!","")</f>
        <v/>
      </c>
      <c r="F4220" s="22" t="str">
        <f>IF(OR(E4220="",E4220="!!!"),"",IF(NOT(ISNA(VLOOKUP(E4220,E$1:E4219,1,FALSE()))),"OLD",IF(AND(E4220&lt;&gt;"",E4220&lt;&gt;"!!!"),"NEW","")))</f>
        <v> </v>
      </c>
      <c r="G4220" s="23" t="str">
        <f>IF(OR(E4220="",E4220="!!!"),"",IF(OR(J4220=0,AND(J4220=1,K4220=1),AND(J4220=1,I4220="SBJ"),AND(J4220=1,I4220=0)),"?IN_FOCUS",IF(J4220&lt;=2,"?ACTIVATED",IF(J4220&lt;&gt;"","?FAMILIAR",IF(F4220="NEW",IF(ISNA(VLOOKUP(E4220,#REF!,1,FALSE())),"?TYPE_IDENTIFIABLE","?REFERENTIAL"),"_")))))</f>
        <v> </v>
      </c>
      <c r="H4220" s="24" t="str">
        <f>IF(J4220&lt;&gt;1,"",IF(I4220="SBJ","CB","?"))</f>
        <v> </v>
      </c>
      <c r="I4220" s="25" t="str">
        <f>IF(OR(E4220="",E4220="!!!",F4220="NEW"),"",INDEX(B4219:B$2,-1+SUMPRODUCT(MAX(ROW(E4219:E$2)*(E4220=E4219:E$2)))))</f>
        <v> </v>
      </c>
      <c r="J4220" s="25" t="str">
        <f>IF(OR(E4220="",E4220="!!!",F4220="NEW"),"",COUNTBLANK(OFFSET(A$1,,,SUMPRODUCT(MAX(ROW(E$2:E4220)*(E4220=E$2:E4220)))))-COUNTBLANK(OFFSET(A$1,,,SUMPRODUCT(MAX(ROW(E$1:E4219)*(E2=E$1:E4219))))))</f>
        <v> </v>
      </c>
      <c r="K4220" s="25" t="str">
        <f>IF(OR(E4220="",E4220="!!!",F4220="NEW"),"",INDEX(J$1:J4219,SUMPRODUCT(MAX(ROW(E$1:E4219)*(E4220=E$1:E4219)))))</f>
        <v> </v>
      </c>
      <c r="L4220" s="26"/>
    </row>
    <row r="4221" spans="1:12">
      <c r="A4221" s="20" t="s">
        <v>157</v>
      </c>
      <c r="E4221" s="21">
        <f>IF(D4221="?OLD","!!!","")</f>
        <v/>
      </c>
      <c r="F4221" s="22" t="str">
        <f>IF(OR(E4221="",E4221="!!!"),"",IF(NOT(ISNA(VLOOKUP(E4221,E$1:E4220,1,FALSE()))),"OLD",IF(AND(E4221&lt;&gt;"",E4221&lt;&gt;"!!!"),"NEW","")))</f>
        <v> </v>
      </c>
      <c r="G4221" s="23" t="str">
        <f>IF(OR(E4221="",E4221="!!!"),"",IF(OR(J4221=0,AND(J4221=1,K4221=1),AND(J4221=1,I4221="SBJ"),AND(J4221=1,I4221=0)),"?IN_FOCUS",IF(J4221&lt;=2,"?ACTIVATED",IF(J4221&lt;&gt;"","?FAMILIAR",IF(F4221="NEW",IF(ISNA(VLOOKUP(E4221,#REF!,1,FALSE())),"?TYPE_IDENTIFIABLE","?REFERENTIAL"),"_")))))</f>
        <v> </v>
      </c>
      <c r="H4221" s="24" t="str">
        <f>IF(J4221&lt;&gt;1,"",IF(I4221="SBJ","CB","?"))</f>
        <v> </v>
      </c>
      <c r="I4221" s="25" t="str">
        <f>IF(OR(E4221="",E4221="!!!",F4221="NEW"),"",INDEX(B4220:B$2,-1+SUMPRODUCT(MAX(ROW(E4220:E$2)*(E4221=E4220:E$2)))))</f>
        <v> </v>
      </c>
      <c r="J4221" s="25" t="str">
        <f>IF(OR(E4221="",E4221="!!!",F4221="NEW"),"",COUNTBLANK(OFFSET(A$1,,,SUMPRODUCT(MAX(ROW(E$2:E4221)*(E4221=E$2:E4221)))))-COUNTBLANK(OFFSET(A$1,,,SUMPRODUCT(MAX(ROW(E$1:E4220)*(E2=E$1:E4220))))))</f>
        <v> </v>
      </c>
      <c r="K4221" s="25" t="str">
        <f>IF(OR(E4221="",E4221="!!!",F4221="NEW"),"",INDEX(J$1:J4220,SUMPRODUCT(MAX(ROW(E$1:E4220)*(E4221=E$1:E4220)))))</f>
        <v> </v>
      </c>
      <c r="L4221" s="26"/>
    </row>
    <row r="4222" spans="1:12">
      <c r="A4222" s="20" t="s">
        <v>86</v>
      </c>
      <c r="E4222" s="21">
        <f>IF(D4222="?OLD","!!!","")</f>
        <v/>
      </c>
      <c r="F4222" s="22" t="str">
        <f>IF(OR(E4222="",E4222="!!!"),"",IF(NOT(ISNA(VLOOKUP(E4222,E$1:E4221,1,FALSE()))),"OLD",IF(AND(E4222&lt;&gt;"",E4222&lt;&gt;"!!!"),"NEW","")))</f>
        <v> </v>
      </c>
      <c r="G4222" s="23" t="str">
        <f>IF(OR(E4222="",E4222="!!!"),"",IF(OR(J4222=0,AND(J4222=1,K4222=1),AND(J4222=1,I4222="SBJ"),AND(J4222=1,I4222=0)),"?IN_FOCUS",IF(J4222&lt;=2,"?ACTIVATED",IF(J4222&lt;&gt;"","?FAMILIAR",IF(F4222="NEW",IF(ISNA(VLOOKUP(E4222,#REF!,1,FALSE())),"?TYPE_IDENTIFIABLE","?REFERENTIAL"),"_")))))</f>
        <v> </v>
      </c>
      <c r="H4222" s="24" t="str">
        <f>IF(J4222&lt;&gt;1,"",IF(I4222="SBJ","CB","?"))</f>
        <v> </v>
      </c>
      <c r="I4222" s="25" t="str">
        <f>IF(OR(E4222="",E4222="!!!",F4222="NEW"),"",INDEX(B4221:B$2,-1+SUMPRODUCT(MAX(ROW(E4221:E$2)*(E4222=E4221:E$2)))))</f>
        <v> </v>
      </c>
      <c r="J4222" s="25" t="str">
        <f>IF(OR(E4222="",E4222="!!!",F4222="NEW"),"",COUNTBLANK(OFFSET(A$1,,,SUMPRODUCT(MAX(ROW(E$2:E4222)*(E4222=E$2:E4222)))))-COUNTBLANK(OFFSET(A$1,,,SUMPRODUCT(MAX(ROW(E$1:E4221)*(E2=E$1:E4221))))))</f>
        <v> </v>
      </c>
      <c r="K4222" s="25" t="str">
        <f>IF(OR(E4222="",E4222="!!!",F4222="NEW"),"",INDEX(J$1:J4221,SUMPRODUCT(MAX(ROW(E$1:E4221)*(E4222=E$1:E4221)))))</f>
        <v> </v>
      </c>
      <c r="L4222" s="26"/>
    </row>
    <row r="4223" spans="1:12">
      <c r="A4223" s="20" t="s">
        <v>1154</v>
      </c>
      <c r="B4223" s="27" t="s">
        <v>1678</v>
      </c>
      <c r="C4223" s="27" t="s">
        <v>1117</v>
      </c>
      <c r="E4223" s="21">
        <f>IF(D4223="?OLD","!!!","")</f>
        <v/>
      </c>
      <c r="F4223" s="22" t="str">
        <f>IF(OR(E4223="",E4223="!!!"),"",IF(NOT(ISNA(VLOOKUP(E4223,E$1:E4222,1,FALSE()))),"OLD",IF(AND(E4223&lt;&gt;"",E4223&lt;&gt;"!!!"),"NEW","")))</f>
        <v> </v>
      </c>
      <c r="G4223" s="23" t="str">
        <f>IF(OR(E4223="",E4223="!!!"),"",IF(OR(J4223=0,AND(J4223=1,K4223=1),AND(J4223=1,I4223="SBJ"),AND(J4223=1,I4223=0)),"?IN_FOCUS",IF(J4223&lt;=2,"?ACTIVATED",IF(J4223&lt;&gt;"","?FAMILIAR",IF(F4223="NEW",IF(ISNA(VLOOKUP(E4223,#REF!,1,FALSE())),"?TYPE_IDENTIFIABLE","?REFERENTIAL"),"_")))))</f>
        <v> </v>
      </c>
      <c r="H4223" s="24" t="str">
        <f>IF(J4223&lt;&gt;1,"",IF(I4223="SBJ","CB","?"))</f>
        <v> </v>
      </c>
      <c r="I4223" s="25" t="str">
        <f>IF(OR(E4223="",E4223="!!!",F4223="NEW"),"",INDEX(B4222:B$2,-1+SUMPRODUCT(MAX(ROW(E4222:E$2)*(E4223=E4222:E$2)))))</f>
        <v> </v>
      </c>
      <c r="J4223" s="25" t="str">
        <f>IF(OR(E4223="",E4223="!!!",F4223="NEW"),"",COUNTBLANK(OFFSET(A$1,,,SUMPRODUCT(MAX(ROW(E$2:E4223)*(E4223=E$2:E4223)))))-COUNTBLANK(OFFSET(A$1,,,SUMPRODUCT(MAX(ROW(E$1:E4222)*(E2=E$1:E4222))))))</f>
        <v> </v>
      </c>
      <c r="K4223" s="25" t="str">
        <f>IF(OR(E4223="",E4223="!!!",F4223="NEW"),"",INDEX(J$1:J4222,SUMPRODUCT(MAX(ROW(E$1:E4222)*(E4223=E$1:E4222)))))</f>
        <v> </v>
      </c>
      <c r="L4223" s="26"/>
    </row>
    <row r="4224" spans="1:12">
      <c r="A4224" s="20" t="s">
        <v>1070</v>
      </c>
      <c r="B4224" s="27" t="s">
        <v>1678</v>
      </c>
      <c r="C4224" s="27" t="s">
        <v>1072</v>
      </c>
      <c r="E4224" s="21">
        <f>IF(D4224="?OLD","!!!","")</f>
        <v/>
      </c>
      <c r="F4224" s="22" t="str">
        <f>IF(OR(E4224="",E4224="!!!"),"",IF(NOT(ISNA(VLOOKUP(E4224,E$1:E4223,1,FALSE()))),"OLD",IF(AND(E4224&lt;&gt;"",E4224&lt;&gt;"!!!"),"NEW","")))</f>
        <v> </v>
      </c>
      <c r="G4224" s="23" t="str">
        <f>IF(OR(E4224="",E4224="!!!"),"",IF(OR(J4224=0,AND(J4224=1,K4224=1),AND(J4224=1,I4224="SBJ"),AND(J4224=1,I4224=0)),"?IN_FOCUS",IF(J4224&lt;=2,"?ACTIVATED",IF(J4224&lt;&gt;"","?FAMILIAR",IF(F4224="NEW",IF(ISNA(VLOOKUP(E4224,#REF!,1,FALSE())),"?TYPE_IDENTIFIABLE","?REFERENTIAL"),"_")))))</f>
        <v> </v>
      </c>
      <c r="H4224" s="24" t="str">
        <f>IF(J4224&lt;&gt;1,"",IF(I4224="SBJ","CB","?"))</f>
        <v> </v>
      </c>
      <c r="I4224" s="25" t="str">
        <f>IF(OR(E4224="",E4224="!!!",F4224="NEW"),"",INDEX(B4223:B$2,-1+SUMPRODUCT(MAX(ROW(E4223:E$2)*(E4224=E4223:E$2)))))</f>
        <v> </v>
      </c>
      <c r="J4224" s="25" t="str">
        <f>IF(OR(E4224="",E4224="!!!",F4224="NEW"),"",COUNTBLANK(OFFSET(A$1,,,SUMPRODUCT(MAX(ROW(E$2:E4224)*(E4224=E$2:E4224)))))-COUNTBLANK(OFFSET(A$1,,,SUMPRODUCT(MAX(ROW(E$1:E4223)*(E2=E$1:E4223))))))</f>
        <v> </v>
      </c>
      <c r="K4224" s="25" t="str">
        <f>IF(OR(E4224="",E4224="!!!",F4224="NEW"),"",INDEX(J$1:J4223,SUMPRODUCT(MAX(ROW(E$1:E4223)*(E4224=E$1:E4223)))))</f>
        <v> </v>
      </c>
      <c r="L4224" s="26"/>
    </row>
    <row r="4225" spans="1:12">
      <c r="A4225" s="20" t="s">
        <v>1143</v>
      </c>
      <c r="E4225" s="21">
        <f>IF(D4225="?OLD","!!!","")</f>
        <v/>
      </c>
      <c r="F4225" s="22" t="str">
        <f>IF(OR(E4225="",E4225="!!!"),"",IF(NOT(ISNA(VLOOKUP(E4225,E$1:E4224,1,FALSE()))),"OLD",IF(AND(E4225&lt;&gt;"",E4225&lt;&gt;"!!!"),"NEW","")))</f>
        <v> </v>
      </c>
      <c r="G4225" s="23" t="str">
        <f>IF(OR(E4225="",E4225="!!!"),"",IF(OR(J4225=0,AND(J4225=1,K4225=1),AND(J4225=1,I4225="SBJ"),AND(J4225=1,I4225=0)),"?IN_FOCUS",IF(J4225&lt;=2,"?ACTIVATED",IF(J4225&lt;&gt;"","?FAMILIAR",IF(F4225="NEW",IF(ISNA(VLOOKUP(E4225,#REF!,1,FALSE())),"?TYPE_IDENTIFIABLE","?REFERENTIAL"),"_")))))</f>
        <v> </v>
      </c>
      <c r="H4225" s="24" t="str">
        <f>IF(J4225&lt;&gt;1,"",IF(I4225="SBJ","CB","?"))</f>
        <v> </v>
      </c>
      <c r="I4225" s="25" t="str">
        <f>IF(OR(E4225="",E4225="!!!",F4225="NEW"),"",INDEX(B4224:B$2,-1+SUMPRODUCT(MAX(ROW(E4224:E$2)*(E4225=E4224:E$2)))))</f>
        <v> </v>
      </c>
      <c r="J4225" s="25" t="str">
        <f>IF(OR(E4225="",E4225="!!!",F4225="NEW"),"",COUNTBLANK(OFFSET(A$1,,,SUMPRODUCT(MAX(ROW(E$2:E4225)*(E4225=E$2:E4225)))))-COUNTBLANK(OFFSET(A$1,,,SUMPRODUCT(MAX(ROW(E$1:E4224)*(E2=E$1:E4224))))))</f>
        <v> </v>
      </c>
      <c r="K4225" s="25" t="str">
        <f>IF(OR(E4225="",E4225="!!!",F4225="NEW"),"",INDEX(J$1:J4224,SUMPRODUCT(MAX(ROW(E$1:E4224)*(E4225=E$1:E4224)))))</f>
        <v> </v>
      </c>
      <c r="L4225" s="26"/>
    </row>
    <row r="4226" spans="1:12">
      <c r="A4226" s="20" t="s">
        <v>2356</v>
      </c>
      <c r="B4226" s="27" t="s">
        <v>1116</v>
      </c>
      <c r="C4226" s="27" t="s">
        <v>1086</v>
      </c>
      <c r="D4226" s="27" t="s">
        <v>1069</v>
      </c>
      <c r="E4226" s="21">
        <f>IF(D4226="?OLD","!!!","")</f>
        <v/>
      </c>
      <c r="F4226" s="22" t="str">
        <f>IF(OR(E4226="",E4226="!!!"),"",IF(NOT(ISNA(VLOOKUP(E4226,E$1:E4225,1,FALSE()))),"OLD",IF(AND(E4226&lt;&gt;"",E4226&lt;&gt;"!!!"),"NEW","")))</f>
        <v> </v>
      </c>
      <c r="G4226" s="23" t="str">
        <f>IF(OR(E4226="",E4226="!!!"),"",IF(OR(J4226=0,AND(J4226=1,K4226=1),AND(J4226=1,I4226="SBJ"),AND(J4226=1,I4226=0)),"?IN_FOCUS",IF(J4226&lt;=2,"?ACTIVATED",IF(J4226&lt;&gt;"","?FAMILIAR",IF(F4226="NEW",IF(ISNA(VLOOKUP(E4226,#REF!,1,FALSE())),"?TYPE_IDENTIFIABLE","?REFERENTIAL"),"_")))))</f>
        <v> </v>
      </c>
      <c r="H4226" s="24" t="str">
        <f>IF(J4226&lt;&gt;1,"",IF(I4226="SBJ","CB","?"))</f>
        <v> </v>
      </c>
      <c r="I4226" s="25" t="str">
        <f>IF(OR(E4226="",E4226="!!!",F4226="NEW"),"",INDEX(B4225:B$2,-1+SUMPRODUCT(MAX(ROW(E4225:E$2)*(E4226=E4225:E$2)))))</f>
        <v> </v>
      </c>
      <c r="J4226" s="25" t="str">
        <f>IF(OR(E4226="",E4226="!!!",F4226="NEW"),"",COUNTBLANK(OFFSET(A$1,,,SUMPRODUCT(MAX(ROW(E$2:E4226)*(E4226=E$2:E4226)))))-COUNTBLANK(OFFSET(A$1,,,SUMPRODUCT(MAX(ROW(E$1:E4225)*(E2=E$1:E4225))))))</f>
        <v> </v>
      </c>
      <c r="K4226" s="25" t="str">
        <f>IF(OR(E4226="",E4226="!!!",F4226="NEW"),"",INDEX(J$1:J4225,SUMPRODUCT(MAX(ROW(E$1:E4225)*(E4226=E$1:E4225)))))</f>
        <v> </v>
      </c>
      <c r="L4226" s="26"/>
    </row>
    <row r="4227" spans="1:12">
      <c r="A4227" s="20" t="s">
        <v>1078</v>
      </c>
      <c r="E4227" s="21">
        <f>IF(D4227="?OLD","!!!","")</f>
        <v/>
      </c>
      <c r="F4227" s="22" t="str">
        <f>IF(OR(E4227="",E4227="!!!"),"",IF(NOT(ISNA(VLOOKUP(E4227,E$1:E4226,1,FALSE()))),"OLD",IF(AND(E4227&lt;&gt;"",E4227&lt;&gt;"!!!"),"NEW","")))</f>
        <v> </v>
      </c>
      <c r="G4227" s="23" t="str">
        <f>IF(OR(E4227="",E4227="!!!"),"",IF(OR(J4227=0,AND(J4227=1,K4227=1),AND(J4227=1,I4227="SBJ"),AND(J4227=1,I4227=0)),"?IN_FOCUS",IF(J4227&lt;=2,"?ACTIVATED",IF(J4227&lt;&gt;"","?FAMILIAR",IF(F4227="NEW",IF(ISNA(VLOOKUP(E4227,#REF!,1,FALSE())),"?TYPE_IDENTIFIABLE","?REFERENTIAL"),"_")))))</f>
        <v> </v>
      </c>
      <c r="H4227" s="24" t="str">
        <f>IF(J4227&lt;&gt;1,"",IF(I4227="SBJ","CB","?"))</f>
        <v> </v>
      </c>
      <c r="I4227" s="25" t="str">
        <f>IF(OR(E4227="",E4227="!!!",F4227="NEW"),"",INDEX(B4226:B$2,-1+SUMPRODUCT(MAX(ROW(E4226:E$2)*(E4227=E4226:E$2)))))</f>
        <v> </v>
      </c>
      <c r="J4227" s="25" t="str">
        <f>IF(OR(E4227="",E4227="!!!",F4227="NEW"),"",COUNTBLANK(OFFSET(A$1,,,SUMPRODUCT(MAX(ROW(E$2:E4227)*(E4227=E$2:E4227)))))-COUNTBLANK(OFFSET(A$1,,,SUMPRODUCT(MAX(ROW(E$1:E4226)*(E2=E$1:E4226))))))</f>
        <v> </v>
      </c>
      <c r="K4227" s="25" t="str">
        <f>IF(OR(E4227="",E4227="!!!",F4227="NEW"),"",INDEX(J$1:J4226,SUMPRODUCT(MAX(ROW(E$1:E4226)*(E4227=E$1:E4226)))))</f>
        <v> </v>
      </c>
      <c r="L4227" s="26"/>
    </row>
    <row r="4228" spans="1:12">
      <c r="A4228" s="20" t="s">
        <v>1352</v>
      </c>
      <c r="E4228" s="21">
        <f>IF(D4228="?OLD","!!!","")</f>
        <v/>
      </c>
      <c r="F4228" s="22" t="str">
        <f>IF(OR(E4228="",E4228="!!!"),"",IF(NOT(ISNA(VLOOKUP(E4228,E$1:E4227,1,FALSE()))),"OLD",IF(AND(E4228&lt;&gt;"",E4228&lt;&gt;"!!!"),"NEW","")))</f>
        <v> </v>
      </c>
      <c r="G4228" s="23" t="str">
        <f>IF(OR(E4228="",E4228="!!!"),"",IF(OR(J4228=0,AND(J4228=1,K4228=1),AND(J4228=1,I4228="SBJ"),AND(J4228=1,I4228=0)),"?IN_FOCUS",IF(J4228&lt;=2,"?ACTIVATED",IF(J4228&lt;&gt;"","?FAMILIAR",IF(F4228="NEW",IF(ISNA(VLOOKUP(E4228,#REF!,1,FALSE())),"?TYPE_IDENTIFIABLE","?REFERENTIAL"),"_")))))</f>
        <v> </v>
      </c>
      <c r="H4228" s="24" t="str">
        <f>IF(J4228&lt;&gt;1,"",IF(I4228="SBJ","CB","?"))</f>
        <v> </v>
      </c>
      <c r="I4228" s="25" t="str">
        <f>IF(OR(E4228="",E4228="!!!",F4228="NEW"),"",INDEX(B4227:B$2,-1+SUMPRODUCT(MAX(ROW(E4227:E$2)*(E4228=E4227:E$2)))))</f>
        <v> </v>
      </c>
      <c r="J4228" s="25" t="str">
        <f>IF(OR(E4228="",E4228="!!!",F4228="NEW"),"",COUNTBLANK(OFFSET(A$1,,,SUMPRODUCT(MAX(ROW(E$2:E4228)*(E4228=E$2:E4228)))))-COUNTBLANK(OFFSET(A$1,,,SUMPRODUCT(MAX(ROW(E$1:E4227)*(E2=E$1:E4227))))))</f>
        <v> </v>
      </c>
      <c r="K4228" s="25" t="str">
        <f>IF(OR(E4228="",E4228="!!!",F4228="NEW"),"",INDEX(J$1:J4227,SUMPRODUCT(MAX(ROW(E$1:E4227)*(E4228=E$1:E4227)))))</f>
        <v> </v>
      </c>
      <c r="L4228" s="26"/>
    </row>
    <row r="4229" spans="1:12">
      <c r="A4229" s="20" t="s">
        <v>86</v>
      </c>
      <c r="E4229" s="21">
        <f>IF(D4229="?OLD","!!!","")</f>
        <v/>
      </c>
      <c r="F4229" s="22" t="str">
        <f>IF(OR(E4229="",E4229="!!!"),"",IF(NOT(ISNA(VLOOKUP(E4229,E$1:E4228,1,FALSE()))),"OLD",IF(AND(E4229&lt;&gt;"",E4229&lt;&gt;"!!!"),"NEW","")))</f>
        <v> </v>
      </c>
      <c r="G4229" s="23" t="str">
        <f>IF(OR(E4229="",E4229="!!!"),"",IF(OR(J4229=0,AND(J4229=1,K4229=1),AND(J4229=1,I4229="SBJ"),AND(J4229=1,I4229=0)),"?IN_FOCUS",IF(J4229&lt;=2,"?ACTIVATED",IF(J4229&lt;&gt;"","?FAMILIAR",IF(F4229="NEW",IF(ISNA(VLOOKUP(E4229,#REF!,1,FALSE())),"?TYPE_IDENTIFIABLE","?REFERENTIAL"),"_")))))</f>
        <v> </v>
      </c>
      <c r="H4229" s="24" t="str">
        <f>IF(J4229&lt;&gt;1,"",IF(I4229="SBJ","CB","?"))</f>
        <v> </v>
      </c>
      <c r="I4229" s="25" t="str">
        <f>IF(OR(E4229="",E4229="!!!",F4229="NEW"),"",INDEX(B4228:B$2,-1+SUMPRODUCT(MAX(ROW(E4228:E$2)*(E4229=E4228:E$2)))))</f>
        <v> </v>
      </c>
      <c r="J4229" s="25" t="str">
        <f>IF(OR(E4229="",E4229="!!!",F4229="NEW"),"",COUNTBLANK(OFFSET(A$1,,,SUMPRODUCT(MAX(ROW(E$2:E4229)*(E4229=E$2:E4229)))))-COUNTBLANK(OFFSET(A$1,,,SUMPRODUCT(MAX(ROW(E$1:E4228)*(E2=E$1:E4228))))))</f>
        <v> </v>
      </c>
      <c r="K4229" s="25" t="str">
        <f>IF(OR(E4229="",E4229="!!!",F4229="NEW"),"",INDEX(J$1:J4228,SUMPRODUCT(MAX(ROW(E$1:E4228)*(E4229=E$1:E4228)))))</f>
        <v> </v>
      </c>
      <c r="L4229" s="26"/>
    </row>
    <row r="4230" spans="1:12">
      <c r="A4230" s="20" t="s">
        <v>1154</v>
      </c>
      <c r="B4230" s="27" t="s">
        <v>1678</v>
      </c>
      <c r="C4230" s="27" t="s">
        <v>1117</v>
      </c>
      <c r="E4230" s="21">
        <f>IF(D4230="?OLD","!!!","")</f>
        <v/>
      </c>
      <c r="F4230" s="22" t="str">
        <f>IF(OR(E4230="",E4230="!!!"),"",IF(NOT(ISNA(VLOOKUP(E4230,E$1:E4229,1,FALSE()))),"OLD",IF(AND(E4230&lt;&gt;"",E4230&lt;&gt;"!!!"),"NEW","")))</f>
        <v> </v>
      </c>
      <c r="G4230" s="23" t="str">
        <f>IF(OR(E4230="",E4230="!!!"),"",IF(OR(J4230=0,AND(J4230=1,K4230=1),AND(J4230=1,I4230="SBJ"),AND(J4230=1,I4230=0)),"?IN_FOCUS",IF(J4230&lt;=2,"?ACTIVATED",IF(J4230&lt;&gt;"","?FAMILIAR",IF(F4230="NEW",IF(ISNA(VLOOKUP(E4230,#REF!,1,FALSE())),"?TYPE_IDENTIFIABLE","?REFERENTIAL"),"_")))))</f>
        <v> </v>
      </c>
      <c r="H4230" s="24" t="str">
        <f>IF(J4230&lt;&gt;1,"",IF(I4230="SBJ","CB","?"))</f>
        <v> </v>
      </c>
      <c r="I4230" s="25" t="str">
        <f>IF(OR(E4230="",E4230="!!!",F4230="NEW"),"",INDEX(B4229:B$2,-1+SUMPRODUCT(MAX(ROW(E4229:E$2)*(E4230=E4229:E$2)))))</f>
        <v> </v>
      </c>
      <c r="J4230" s="25" t="str">
        <f>IF(OR(E4230="",E4230="!!!",F4230="NEW"),"",COUNTBLANK(OFFSET(A$1,,,SUMPRODUCT(MAX(ROW(E$2:E4230)*(E4230=E$2:E4230)))))-COUNTBLANK(OFFSET(A$1,,,SUMPRODUCT(MAX(ROW(E$1:E4229)*(E2=E$1:E4229))))))</f>
        <v> </v>
      </c>
      <c r="K4230" s="25" t="str">
        <f>IF(OR(E4230="",E4230="!!!",F4230="NEW"),"",INDEX(J$1:J4229,SUMPRODUCT(MAX(ROW(E$1:E4229)*(E4230=E$1:E4229)))))</f>
        <v> </v>
      </c>
      <c r="L4230" s="26"/>
    </row>
    <row r="4231" spans="1:12">
      <c r="A4231" s="20" t="s">
        <v>1070</v>
      </c>
      <c r="B4231" s="27" t="s">
        <v>1678</v>
      </c>
      <c r="C4231" s="27" t="s">
        <v>1072</v>
      </c>
      <c r="E4231" s="21">
        <f>IF(D4231="?OLD","!!!","")</f>
        <v/>
      </c>
      <c r="F4231" s="22" t="str">
        <f>IF(OR(E4231="",E4231="!!!"),"",IF(NOT(ISNA(VLOOKUP(E4231,E$1:E4230,1,FALSE()))),"OLD",IF(AND(E4231&lt;&gt;"",E4231&lt;&gt;"!!!"),"NEW","")))</f>
        <v> </v>
      </c>
      <c r="G4231" s="23" t="str">
        <f>IF(OR(E4231="",E4231="!!!"),"",IF(OR(J4231=0,AND(J4231=1,K4231=1),AND(J4231=1,I4231="SBJ"),AND(J4231=1,I4231=0)),"?IN_FOCUS",IF(J4231&lt;=2,"?ACTIVATED",IF(J4231&lt;&gt;"","?FAMILIAR",IF(F4231="NEW",IF(ISNA(VLOOKUP(E4231,#REF!,1,FALSE())),"?TYPE_IDENTIFIABLE","?REFERENTIAL"),"_")))))</f>
        <v> </v>
      </c>
      <c r="H4231" s="24" t="str">
        <f>IF(J4231&lt;&gt;1,"",IF(I4231="SBJ","CB","?"))</f>
        <v> </v>
      </c>
      <c r="I4231" s="25" t="str">
        <f>IF(OR(E4231="",E4231="!!!",F4231="NEW"),"",INDEX(B4230:B$2,-1+SUMPRODUCT(MAX(ROW(E4230:E$2)*(E4231=E4230:E$2)))))</f>
        <v> </v>
      </c>
      <c r="J4231" s="25" t="str">
        <f>IF(OR(E4231="",E4231="!!!",F4231="NEW"),"",COUNTBLANK(OFFSET(A$1,,,SUMPRODUCT(MAX(ROW(E$2:E4231)*(E4231=E$2:E4231)))))-COUNTBLANK(OFFSET(A$1,,,SUMPRODUCT(MAX(ROW(E$1:E4230)*(E2=E$1:E4230))))))</f>
        <v> </v>
      </c>
      <c r="K4231" s="25" t="str">
        <f>IF(OR(E4231="",E4231="!!!",F4231="NEW"),"",INDEX(J$1:J4230,SUMPRODUCT(MAX(ROW(E$1:E4230)*(E4231=E$1:E4230)))))</f>
        <v> </v>
      </c>
      <c r="L4231" s="26"/>
    </row>
    <row r="4232" spans="1:12">
      <c r="A4232" s="20" t="s">
        <v>1143</v>
      </c>
      <c r="E4232" s="21">
        <f>IF(D4232="?OLD","!!!","")</f>
        <v/>
      </c>
      <c r="F4232" s="22" t="str">
        <f>IF(OR(E4232="",E4232="!!!"),"",IF(NOT(ISNA(VLOOKUP(E4232,E$1:E4231,1,FALSE()))),"OLD",IF(AND(E4232&lt;&gt;"",E4232&lt;&gt;"!!!"),"NEW","")))</f>
        <v> </v>
      </c>
      <c r="G4232" s="23" t="str">
        <f>IF(OR(E4232="",E4232="!!!"),"",IF(OR(J4232=0,AND(J4232=1,K4232=1),AND(J4232=1,I4232="SBJ"),AND(J4232=1,I4232=0)),"?IN_FOCUS",IF(J4232&lt;=2,"?ACTIVATED",IF(J4232&lt;&gt;"","?FAMILIAR",IF(F4232="NEW",IF(ISNA(VLOOKUP(E4232,#REF!,1,FALSE())),"?TYPE_IDENTIFIABLE","?REFERENTIAL"),"_")))))</f>
        <v> </v>
      </c>
      <c r="H4232" s="24" t="str">
        <f>IF(J4232&lt;&gt;1,"",IF(I4232="SBJ","CB","?"))</f>
        <v> </v>
      </c>
      <c r="I4232" s="25" t="str">
        <f>IF(OR(E4232="",E4232="!!!",F4232="NEW"),"",INDEX(B4231:B$2,-1+SUMPRODUCT(MAX(ROW(E4231:E$2)*(E4232=E4231:E$2)))))</f>
        <v> </v>
      </c>
      <c r="J4232" s="25" t="str">
        <f>IF(OR(E4232="",E4232="!!!",F4232="NEW"),"",COUNTBLANK(OFFSET(A$1,,,SUMPRODUCT(MAX(ROW(E$2:E4232)*(E4232=E$2:E4232)))))-COUNTBLANK(OFFSET(A$1,,,SUMPRODUCT(MAX(ROW(E$1:E4231)*(E2=E$1:E4231))))))</f>
        <v> </v>
      </c>
      <c r="K4232" s="25" t="str">
        <f>IF(OR(E4232="",E4232="!!!",F4232="NEW"),"",INDEX(J$1:J4231,SUMPRODUCT(MAX(ROW(E$1:E4231)*(E4232=E$1:E4231)))))</f>
        <v> </v>
      </c>
      <c r="L4232" s="26"/>
    </row>
    <row r="4233" spans="1:12">
      <c r="A4233" s="20" t="s">
        <v>2357</v>
      </c>
      <c r="B4233" s="27" t="s">
        <v>1116</v>
      </c>
      <c r="C4233" s="27" t="s">
        <v>1086</v>
      </c>
      <c r="D4233" s="27" t="s">
        <v>1069</v>
      </c>
      <c r="E4233" s="21">
        <f>IF(D4233="?OLD","!!!","")</f>
        <v/>
      </c>
      <c r="F4233" s="22" t="str">
        <f>IF(OR(E4233="",E4233="!!!"),"",IF(NOT(ISNA(VLOOKUP(E4233,E$1:E4232,1,FALSE()))),"OLD",IF(AND(E4233&lt;&gt;"",E4233&lt;&gt;"!!!"),"NEW","")))</f>
        <v> </v>
      </c>
      <c r="G4233" s="23" t="str">
        <f>IF(OR(E4233="",E4233="!!!"),"",IF(OR(J4233=0,AND(J4233=1,K4233=1),AND(J4233=1,I4233="SBJ"),AND(J4233=1,I4233=0)),"?IN_FOCUS",IF(J4233&lt;=2,"?ACTIVATED",IF(J4233&lt;&gt;"","?FAMILIAR",IF(F4233="NEW",IF(ISNA(VLOOKUP(E4233,#REF!,1,FALSE())),"?TYPE_IDENTIFIABLE","?REFERENTIAL"),"_")))))</f>
        <v> </v>
      </c>
      <c r="H4233" s="24" t="str">
        <f>IF(J4233&lt;&gt;1,"",IF(I4233="SBJ","CB","?"))</f>
        <v> </v>
      </c>
      <c r="I4233" s="25" t="str">
        <f>IF(OR(E4233="",E4233="!!!",F4233="NEW"),"",INDEX(B4232:B$2,-1+SUMPRODUCT(MAX(ROW(E4232:E$2)*(E4233=E4232:E$2)))))</f>
        <v> </v>
      </c>
      <c r="J4233" s="25" t="str">
        <f>IF(OR(E4233="",E4233="!!!",F4233="NEW"),"",COUNTBLANK(OFFSET(A$1,,,SUMPRODUCT(MAX(ROW(E$2:E4233)*(E4233=E$2:E4233)))))-COUNTBLANK(OFFSET(A$1,,,SUMPRODUCT(MAX(ROW(E$1:E4232)*(E2=E$1:E4232))))))</f>
        <v> </v>
      </c>
      <c r="K4233" s="25" t="str">
        <f>IF(OR(E4233="",E4233="!!!",F4233="NEW"),"",INDEX(J$1:J4232,SUMPRODUCT(MAX(ROW(E$1:E4232)*(E4233=E$1:E4232)))))</f>
        <v> </v>
      </c>
      <c r="L4233" s="26"/>
    </row>
    <row r="4234" spans="1:12">
      <c r="A4234" s="20" t="s">
        <v>1080</v>
      </c>
      <c r="E4234" s="21">
        <f>IF(D4234="?OLD","!!!","")</f>
        <v/>
      </c>
      <c r="F4234" s="22" t="str">
        <f>IF(OR(E4234="",E4234="!!!"),"",IF(NOT(ISNA(VLOOKUP(E4234,E$1:E4233,1,FALSE()))),"OLD",IF(AND(E4234&lt;&gt;"",E4234&lt;&gt;"!!!"),"NEW","")))</f>
        <v> </v>
      </c>
      <c r="G4234" s="23" t="str">
        <f>IF(OR(E4234="",E4234="!!!"),"",IF(OR(J4234=0,AND(J4234=1,K4234=1),AND(J4234=1,I4234="SBJ"),AND(J4234=1,I4234=0)),"?IN_FOCUS",IF(J4234&lt;=2,"?ACTIVATED",IF(J4234&lt;&gt;"","?FAMILIAR",IF(F4234="NEW",IF(ISNA(VLOOKUP(E4234,#REF!,1,FALSE())),"?TYPE_IDENTIFIABLE","?REFERENTIAL"),"_")))))</f>
        <v> </v>
      </c>
      <c r="H4234" s="24" t="str">
        <f>IF(J4234&lt;&gt;1,"",IF(I4234="SBJ","CB","?"))</f>
        <v> </v>
      </c>
      <c r="I4234" s="25" t="str">
        <f>IF(OR(E4234="",E4234="!!!",F4234="NEW"),"",INDEX(B4233:B$2,-1+SUMPRODUCT(MAX(ROW(E4233:E$2)*(E4234=E4233:E$2)))))</f>
        <v> </v>
      </c>
      <c r="J4234" s="25" t="str">
        <f>IF(OR(E4234="",E4234="!!!",F4234="NEW"),"",COUNTBLANK(OFFSET(A$1,,,SUMPRODUCT(MAX(ROW(E$2:E4234)*(E4234=E$2:E4234)))))-COUNTBLANK(OFFSET(A$1,,,SUMPRODUCT(MAX(ROW(E$1:E4233)*(E2=E$1:E4233))))))</f>
        <v> </v>
      </c>
      <c r="K4234" s="25" t="str">
        <f>IF(OR(E4234="",E4234="!!!",F4234="NEW"),"",INDEX(J$1:J4233,SUMPRODUCT(MAX(ROW(E$1:E4233)*(E4234=E$1:E4233)))))</f>
        <v> </v>
      </c>
      <c r="L4234" s="26"/>
    </row>
    <row r="4235" spans="1:12">
      <c r="A4235" s="20"/>
    </row>
    <row r="4236" spans="1:12">
      <c r="A4236" s="20" t="s">
        <v>2358</v>
      </c>
    </row>
    <row r="4237" spans="1:12">
      <c r="A4237" s="20" t="s">
        <v>1175</v>
      </c>
      <c r="B4237" s="27" t="s">
        <v>1067</v>
      </c>
      <c r="C4237" s="27" t="s">
        <v>1129</v>
      </c>
      <c r="D4237" s="27" t="s">
        <v>1069</v>
      </c>
      <c r="E4237" s="21">
        <f>IF(D4237="?OLD","!!!","")</f>
        <v/>
      </c>
      <c r="F4237" s="22" t="str">
        <f>IF(OR(E4237="",E4237="!!!"),"",IF(NOT(ISNA(VLOOKUP(E4237,E$1:E4236,1,FALSE()))),"OLD",IF(AND(E4237&lt;&gt;"",E4237&lt;&gt;"!!!"),"NEW","")))</f>
        <v> </v>
      </c>
      <c r="G4237" s="23" t="str">
        <f>IF(OR(E4237="",E4237="!!!"),"",IF(OR(J4237=0,AND(J4237=1,K4237=1),AND(J4237=1,I4237="SBJ"),AND(J4237=1,I4237=0)),"?IN_FOCUS",IF(J4237&lt;=2,"?ACTIVATED",IF(J4237&lt;&gt;"","?FAMILIAR",IF(F4237="NEW",IF(ISNA(VLOOKUP(E4237,#REF!,1,FALSE())),"?TYPE_IDENTIFIABLE","?REFERENTIAL"),"_")))))</f>
        <v> </v>
      </c>
      <c r="H4237" s="24" t="str">
        <f>IF(J4237&lt;&gt;1,"",IF(I4237="SBJ","CB","?"))</f>
        <v> </v>
      </c>
      <c r="I4237" s="25" t="str">
        <f>IF(OR(E4237="",E4237="!!!",F4237="NEW"),"",INDEX(B4236:B$2,-1+SUMPRODUCT(MAX(ROW(E4236:E$2)*(E4237=E4236:E$2)))))</f>
        <v> </v>
      </c>
      <c r="J4237" s="25" t="str">
        <f>IF(OR(E4237="",E4237="!!!",F4237="NEW"),"",COUNTBLANK(OFFSET(A$1,,,SUMPRODUCT(MAX(ROW(E$2:E4237)*(E4237=E$2:E4237)))))-COUNTBLANK(OFFSET(A$1,,,SUMPRODUCT(MAX(ROW(E$1:E4236)*(E2=E$1:E4236))))))</f>
        <v> </v>
      </c>
      <c r="K4237" s="25" t="str">
        <f>IF(OR(E4237="",E4237="!!!",F4237="NEW"),"",INDEX(J$1:J4236,SUMPRODUCT(MAX(ROW(E$1:E4236)*(E4237=E$1:E4236)))))</f>
        <v> </v>
      </c>
      <c r="L4237" s="26"/>
    </row>
    <row r="4238" spans="1:12">
      <c r="A4238" s="20" t="s">
        <v>1191</v>
      </c>
      <c r="E4238" s="21">
        <f>IF(D4238="?OLD","!!!","")</f>
        <v/>
      </c>
      <c r="F4238" s="22" t="str">
        <f>IF(OR(E4238="",E4238="!!!"),"",IF(NOT(ISNA(VLOOKUP(E4238,E$1:E4237,1,FALSE()))),"OLD",IF(AND(E4238&lt;&gt;"",E4238&lt;&gt;"!!!"),"NEW","")))</f>
        <v> </v>
      </c>
      <c r="G4238" s="23" t="str">
        <f>IF(OR(E4238="",E4238="!!!"),"",IF(OR(J4238=0,AND(J4238=1,K4238=1),AND(J4238=1,I4238="SBJ"),AND(J4238=1,I4238=0)),"?IN_FOCUS",IF(J4238&lt;=2,"?ACTIVATED",IF(J4238&lt;&gt;"","?FAMILIAR",IF(F4238="NEW",IF(ISNA(VLOOKUP(E4238,#REF!,1,FALSE())),"?TYPE_IDENTIFIABLE","?REFERENTIAL"),"_")))))</f>
        <v> </v>
      </c>
      <c r="H4238" s="24" t="str">
        <f>IF(J4238&lt;&gt;1,"",IF(I4238="SBJ","CB","?"))</f>
        <v> </v>
      </c>
      <c r="I4238" s="25" t="str">
        <f>IF(OR(E4238="",E4238="!!!",F4238="NEW"),"",INDEX(B4237:B$2,-1+SUMPRODUCT(MAX(ROW(E4237:E$2)*(E4238=E4237:E$2)))))</f>
        <v> </v>
      </c>
      <c r="J4238" s="25" t="str">
        <f>IF(OR(E4238="",E4238="!!!",F4238="NEW"),"",COUNTBLANK(OFFSET(A$1,,,SUMPRODUCT(MAX(ROW(E$2:E4238)*(E4238=E$2:E4238)))))-COUNTBLANK(OFFSET(A$1,,,SUMPRODUCT(MAX(ROW(E$1:E4237)*(E2=E$1:E4237))))))</f>
        <v> </v>
      </c>
      <c r="K4238" s="25" t="str">
        <f>IF(OR(E4238="",E4238="!!!",F4238="NEW"),"",INDEX(J$1:J4237,SUMPRODUCT(MAX(ROW(E$1:E4237)*(E4238=E$1:E4237)))))</f>
        <v> </v>
      </c>
      <c r="L4238" s="26"/>
    </row>
    <row r="4239" spans="1:12">
      <c r="A4239" s="20" t="s">
        <v>1353</v>
      </c>
      <c r="E4239" s="21">
        <f>IF(D4239="?OLD","!!!","")</f>
        <v/>
      </c>
      <c r="F4239" s="22" t="str">
        <f>IF(OR(E4239="",E4239="!!!"),"",IF(NOT(ISNA(VLOOKUP(E4239,E$1:E4238,1,FALSE()))),"OLD",IF(AND(E4239&lt;&gt;"",E4239&lt;&gt;"!!!"),"NEW","")))</f>
        <v> </v>
      </c>
      <c r="G4239" s="23" t="str">
        <f>IF(OR(E4239="",E4239="!!!"),"",IF(OR(J4239=0,AND(J4239=1,K4239=1),AND(J4239=1,I4239="SBJ"),AND(J4239=1,I4239=0)),"?IN_FOCUS",IF(J4239&lt;=2,"?ACTIVATED",IF(J4239&lt;&gt;"","?FAMILIAR",IF(F4239="NEW",IF(ISNA(VLOOKUP(E4239,#REF!,1,FALSE())),"?TYPE_IDENTIFIABLE","?REFERENTIAL"),"_")))))</f>
        <v> </v>
      </c>
      <c r="H4239" s="24" t="str">
        <f>IF(J4239&lt;&gt;1,"",IF(I4239="SBJ","CB","?"))</f>
        <v> </v>
      </c>
      <c r="I4239" s="25" t="str">
        <f>IF(OR(E4239="",E4239="!!!",F4239="NEW"),"",INDEX(B4238:B$2,-1+SUMPRODUCT(MAX(ROW(E4238:E$2)*(E4239=E4238:E$2)))))</f>
        <v> </v>
      </c>
      <c r="J4239" s="25" t="str">
        <f>IF(OR(E4239="",E4239="!!!",F4239="NEW"),"",COUNTBLANK(OFFSET(A$1,,,SUMPRODUCT(MAX(ROW(E$2:E4239)*(E4239=E$2:E4239)))))-COUNTBLANK(OFFSET(A$1,,,SUMPRODUCT(MAX(ROW(E$1:E4238)*(E2=E$1:E4238))))))</f>
        <v> </v>
      </c>
      <c r="K4239" s="25" t="str">
        <f>IF(OR(E4239="",E4239="!!!",F4239="NEW"),"",INDEX(J$1:J4238,SUMPRODUCT(MAX(ROW(E$1:E4238)*(E4239=E$1:E4238)))))</f>
        <v> </v>
      </c>
      <c r="L4239" s="26"/>
    </row>
    <row r="4240" spans="1:12">
      <c r="A4240" s="20" t="s">
        <v>1104</v>
      </c>
      <c r="E4240" s="21">
        <f>IF(D4240="?OLD","!!!","")</f>
        <v/>
      </c>
      <c r="F4240" s="22" t="str">
        <f>IF(OR(E4240="",E4240="!!!"),"",IF(NOT(ISNA(VLOOKUP(E4240,E$1:E4239,1,FALSE()))),"OLD",IF(AND(E4240&lt;&gt;"",E4240&lt;&gt;"!!!"),"NEW","")))</f>
        <v> </v>
      </c>
      <c r="G4240" s="23" t="str">
        <f>IF(OR(E4240="",E4240="!!!"),"",IF(OR(J4240=0,AND(J4240=1,K4240=1),AND(J4240=1,I4240="SBJ"),AND(J4240=1,I4240=0)),"?IN_FOCUS",IF(J4240&lt;=2,"?ACTIVATED",IF(J4240&lt;&gt;"","?FAMILIAR",IF(F4240="NEW",IF(ISNA(VLOOKUP(E4240,#REF!,1,FALSE())),"?TYPE_IDENTIFIABLE","?REFERENTIAL"),"_")))))</f>
        <v> </v>
      </c>
      <c r="H4240" s="24" t="str">
        <f>IF(J4240&lt;&gt;1,"",IF(I4240="SBJ","CB","?"))</f>
        <v> </v>
      </c>
      <c r="I4240" s="25" t="str">
        <f>IF(OR(E4240="",E4240="!!!",F4240="NEW"),"",INDEX(B4239:B$2,-1+SUMPRODUCT(MAX(ROW(E4239:E$2)*(E4240=E4239:E$2)))))</f>
        <v> </v>
      </c>
      <c r="J4240" s="25" t="str">
        <f>IF(OR(E4240="",E4240="!!!",F4240="NEW"),"",COUNTBLANK(OFFSET(A$1,,,SUMPRODUCT(MAX(ROW(E$2:E4240)*(E4240=E$2:E4240)))))-COUNTBLANK(OFFSET(A$1,,,SUMPRODUCT(MAX(ROW(E$1:E4239)*(E2=E$1:E4239))))))</f>
        <v> </v>
      </c>
      <c r="K4240" s="25" t="str">
        <f>IF(OR(E4240="",E4240="!!!",F4240="NEW"),"",INDEX(J$1:J4239,SUMPRODUCT(MAX(ROW(E$1:E4239)*(E4240=E$1:E4239)))))</f>
        <v> </v>
      </c>
      <c r="L4240" s="26"/>
    </row>
    <row r="4241" spans="1:12">
      <c r="A4241" s="20" t="s">
        <v>1595</v>
      </c>
      <c r="B4241" s="27" t="s">
        <v>1074</v>
      </c>
      <c r="C4241" s="27" t="s">
        <v>1086</v>
      </c>
      <c r="D4241" s="27" t="s">
        <v>1069</v>
      </c>
      <c r="E4241" s="21">
        <f>IF(D4241="?OLD","!!!","")</f>
        <v/>
      </c>
      <c r="F4241" s="22" t="str">
        <f>IF(OR(E4241="",E4241="!!!"),"",IF(NOT(ISNA(VLOOKUP(E4241,E$1:E4240,1,FALSE()))),"OLD",IF(AND(E4241&lt;&gt;"",E4241&lt;&gt;"!!!"),"NEW","")))</f>
        <v> </v>
      </c>
      <c r="G4241" s="23" t="str">
        <f>IF(OR(E4241="",E4241="!!!"),"",IF(OR(J4241=0,AND(J4241=1,K4241=1),AND(J4241=1,I4241="SBJ"),AND(J4241=1,I4241=0)),"?IN_FOCUS",IF(J4241&lt;=2,"?ACTIVATED",IF(J4241&lt;&gt;"","?FAMILIAR",IF(F4241="NEW",IF(ISNA(VLOOKUP(E4241,#REF!,1,FALSE())),"?TYPE_IDENTIFIABLE","?REFERENTIAL"),"_")))))</f>
        <v> </v>
      </c>
      <c r="H4241" s="24" t="str">
        <f>IF(J4241&lt;&gt;1,"",IF(I4241="SBJ","CB","?"))</f>
        <v> </v>
      </c>
      <c r="I4241" s="25" t="str">
        <f>IF(OR(E4241="",E4241="!!!",F4241="NEW"),"",INDEX(B4240:B$2,-1+SUMPRODUCT(MAX(ROW(E4240:E$2)*(E4241=E4240:E$2)))))</f>
        <v> </v>
      </c>
      <c r="J4241" s="25" t="str">
        <f>IF(OR(E4241="",E4241="!!!",F4241="NEW"),"",COUNTBLANK(OFFSET(A$1,,,SUMPRODUCT(MAX(ROW(E$2:E4241)*(E4241=E$2:E4241)))))-COUNTBLANK(OFFSET(A$1,,,SUMPRODUCT(MAX(ROW(E$1:E4240)*(E2=E$1:E4240))))))</f>
        <v> </v>
      </c>
      <c r="K4241" s="25" t="str">
        <f>IF(OR(E4241="",E4241="!!!",F4241="NEW"),"",INDEX(J$1:J4240,SUMPRODUCT(MAX(ROW(E$1:E4240)*(E4241=E$1:E4240)))))</f>
        <v> </v>
      </c>
      <c r="L4241" s="26"/>
    </row>
    <row r="4242" spans="1:12">
      <c r="A4242" s="20" t="s">
        <v>1087</v>
      </c>
      <c r="E4242" s="21">
        <f>IF(D4242="?OLD","!!!","")</f>
        <v/>
      </c>
      <c r="F4242" s="22" t="str">
        <f>IF(OR(E4242="",E4242="!!!"),"",IF(NOT(ISNA(VLOOKUP(E4242,E$1:E4241,1,FALSE()))),"OLD",IF(AND(E4242&lt;&gt;"",E4242&lt;&gt;"!!!"),"NEW","")))</f>
        <v> </v>
      </c>
      <c r="G4242" s="23" t="str">
        <f>IF(OR(E4242="",E4242="!!!"),"",IF(OR(J4242=0,AND(J4242=1,K4242=1),AND(J4242=1,I4242="SBJ"),AND(J4242=1,I4242=0)),"?IN_FOCUS",IF(J4242&lt;=2,"?ACTIVATED",IF(J4242&lt;&gt;"","?FAMILIAR",IF(F4242="NEW",IF(ISNA(VLOOKUP(E4242,#REF!,1,FALSE())),"?TYPE_IDENTIFIABLE","?REFERENTIAL"),"_")))))</f>
        <v> </v>
      </c>
      <c r="H4242" s="24" t="str">
        <f>IF(J4242&lt;&gt;1,"",IF(I4242="SBJ","CB","?"))</f>
        <v> </v>
      </c>
      <c r="I4242" s="25" t="str">
        <f>IF(OR(E4242="",E4242="!!!",F4242="NEW"),"",INDEX(B4241:B$2,-1+SUMPRODUCT(MAX(ROW(E4241:E$2)*(E4242=E4241:E$2)))))</f>
        <v> </v>
      </c>
      <c r="J4242" s="25" t="str">
        <f>IF(OR(E4242="",E4242="!!!",F4242="NEW"),"",COUNTBLANK(OFFSET(A$1,,,SUMPRODUCT(MAX(ROW(E$2:E4242)*(E4242=E$2:E4242)))))-COUNTBLANK(OFFSET(A$1,,,SUMPRODUCT(MAX(ROW(E$1:E4241)*(E2=E$1:E4241))))))</f>
        <v> </v>
      </c>
      <c r="K4242" s="25" t="str">
        <f>IF(OR(E4242="",E4242="!!!",F4242="NEW"),"",INDEX(J$1:J4241,SUMPRODUCT(MAX(ROW(E$1:E4241)*(E4242=E$1:E4241)))))</f>
        <v> </v>
      </c>
      <c r="L4242" s="26"/>
    </row>
    <row r="4243" spans="1:12">
      <c r="A4243" s="20" t="s">
        <v>1104</v>
      </c>
      <c r="B4243" s="27" t="s">
        <v>1095</v>
      </c>
      <c r="E4243" s="21">
        <f>IF(D4243="?OLD","!!!","")</f>
        <v/>
      </c>
      <c r="F4243" s="22" t="str">
        <f>IF(OR(E4243="",E4243="!!!"),"",IF(NOT(ISNA(VLOOKUP(E4243,E$1:E4242,1,FALSE()))),"OLD",IF(AND(E4243&lt;&gt;"",E4243&lt;&gt;"!!!"),"NEW","")))</f>
        <v> </v>
      </c>
      <c r="G4243" s="23" t="str">
        <f>IF(OR(E4243="",E4243="!!!"),"",IF(OR(J4243=0,AND(J4243=1,K4243=1),AND(J4243=1,I4243="SBJ"),AND(J4243=1,I4243=0)),"?IN_FOCUS",IF(J4243&lt;=2,"?ACTIVATED",IF(J4243&lt;&gt;"","?FAMILIAR",IF(F4243="NEW",IF(ISNA(VLOOKUP(E4243,#REF!,1,FALSE())),"?TYPE_IDENTIFIABLE","?REFERENTIAL"),"_")))))</f>
        <v> </v>
      </c>
      <c r="H4243" s="24" t="str">
        <f>IF(J4243&lt;&gt;1,"",IF(I4243="SBJ","CB","?"))</f>
        <v> </v>
      </c>
      <c r="I4243" s="25" t="str">
        <f>IF(OR(E4243="",E4243="!!!",F4243="NEW"),"",INDEX(B4242:B$2,-1+SUMPRODUCT(MAX(ROW(E4242:E$2)*(E4243=E4242:E$2)))))</f>
        <v> </v>
      </c>
      <c r="J4243" s="25" t="str">
        <f>IF(OR(E4243="",E4243="!!!",F4243="NEW"),"",COUNTBLANK(OFFSET(A$1,,,SUMPRODUCT(MAX(ROW(E$2:E4243)*(E4243=E$2:E4243)))))-COUNTBLANK(OFFSET(A$1,,,SUMPRODUCT(MAX(ROW(E$1:E4242)*(E2=E$1:E4242))))))</f>
        <v> </v>
      </c>
      <c r="K4243" s="25" t="str">
        <f>IF(OR(E4243="",E4243="!!!",F4243="NEW"),"",INDEX(J$1:J4242,SUMPRODUCT(MAX(ROW(E$1:E4242)*(E4243=E$1:E4242)))))</f>
        <v> </v>
      </c>
      <c r="L4243" s="26"/>
    </row>
    <row r="4244" spans="1:12">
      <c r="A4244" s="20" t="s">
        <v>1242</v>
      </c>
      <c r="B4244" s="27" t="s">
        <v>1090</v>
      </c>
      <c r="C4244" s="27" t="s">
        <v>1110</v>
      </c>
      <c r="D4244" s="27" t="s">
        <v>1069</v>
      </c>
      <c r="E4244" s="21">
        <f>IF(D4244="?OLD","!!!","")</f>
        <v/>
      </c>
      <c r="F4244" s="22" t="str">
        <f>IF(OR(E4244="",E4244="!!!"),"",IF(NOT(ISNA(VLOOKUP(E4244,E$1:E4243,1,FALSE()))),"OLD",IF(AND(E4244&lt;&gt;"",E4244&lt;&gt;"!!!"),"NEW","")))</f>
        <v> </v>
      </c>
      <c r="G4244" s="23" t="str">
        <f>IF(OR(E4244="",E4244="!!!"),"",IF(OR(J4244=0,AND(J4244=1,K4244=1),AND(J4244=1,I4244="SBJ"),AND(J4244=1,I4244=0)),"?IN_FOCUS",IF(J4244&lt;=2,"?ACTIVATED",IF(J4244&lt;&gt;"","?FAMILIAR",IF(F4244="NEW",IF(ISNA(VLOOKUP(E4244,#REF!,1,FALSE())),"?TYPE_IDENTIFIABLE","?REFERENTIAL"),"_")))))</f>
        <v> </v>
      </c>
      <c r="H4244" s="24" t="str">
        <f>IF(J4244&lt;&gt;1,"",IF(I4244="SBJ","CB","?"))</f>
        <v> </v>
      </c>
      <c r="I4244" s="25" t="str">
        <f>IF(OR(E4244="",E4244="!!!",F4244="NEW"),"",INDEX(B4243:B$2,-1+SUMPRODUCT(MAX(ROW(E4243:E$2)*(E4244=E4243:E$2)))))</f>
        <v> </v>
      </c>
      <c r="J4244" s="25" t="str">
        <f>IF(OR(E4244="",E4244="!!!",F4244="NEW"),"",COUNTBLANK(OFFSET(A$1,,,SUMPRODUCT(MAX(ROW(E$2:E4244)*(E4244=E$2:E4244)))))-COUNTBLANK(OFFSET(A$1,,,SUMPRODUCT(MAX(ROW(E$1:E4243)*(E2=E$1:E4243))))))</f>
        <v> </v>
      </c>
      <c r="K4244" s="25" t="str">
        <f>IF(OR(E4244="",E4244="!!!",F4244="NEW"),"",INDEX(J$1:J4243,SUMPRODUCT(MAX(ROW(E$1:E4243)*(E4244=E$1:E4243)))))</f>
        <v> </v>
      </c>
      <c r="L4244" s="26"/>
    </row>
    <row r="4245" spans="1:12">
      <c r="A4245" s="20" t="s">
        <v>1104</v>
      </c>
      <c r="E4245" s="21">
        <f>IF(D4245="?OLD","!!!","")</f>
        <v/>
      </c>
      <c r="F4245" s="22" t="str">
        <f>IF(OR(E4245="",E4245="!!!"),"",IF(NOT(ISNA(VLOOKUP(E4245,E$1:E4244,1,FALSE()))),"OLD",IF(AND(E4245&lt;&gt;"",E4245&lt;&gt;"!!!"),"NEW","")))</f>
        <v> </v>
      </c>
      <c r="G4245" s="23" t="str">
        <f>IF(OR(E4245="",E4245="!!!"),"",IF(OR(J4245=0,AND(J4245=1,K4245=1),AND(J4245=1,I4245="SBJ"),AND(J4245=1,I4245=0)),"?IN_FOCUS",IF(J4245&lt;=2,"?ACTIVATED",IF(J4245&lt;&gt;"","?FAMILIAR",IF(F4245="NEW",IF(ISNA(VLOOKUP(E4245,#REF!,1,FALSE())),"?TYPE_IDENTIFIABLE","?REFERENTIAL"),"_")))))</f>
        <v> </v>
      </c>
      <c r="H4245" s="24" t="str">
        <f>IF(J4245&lt;&gt;1,"",IF(I4245="SBJ","CB","?"))</f>
        <v> </v>
      </c>
      <c r="I4245" s="25" t="str">
        <f>IF(OR(E4245="",E4245="!!!",F4245="NEW"),"",INDEX(B4244:B$2,-1+SUMPRODUCT(MAX(ROW(E4244:E$2)*(E4245=E4244:E$2)))))</f>
        <v> </v>
      </c>
      <c r="J4245" s="25" t="str">
        <f>IF(OR(E4245="",E4245="!!!",F4245="NEW"),"",COUNTBLANK(OFFSET(A$1,,,SUMPRODUCT(MAX(ROW(E$2:E4245)*(E4245=E$2:E4245)))))-COUNTBLANK(OFFSET(A$1,,,SUMPRODUCT(MAX(ROW(E$1:E4244)*(E2=E$1:E4244))))))</f>
        <v> </v>
      </c>
      <c r="K4245" s="25" t="str">
        <f>IF(OR(E4245="",E4245="!!!",F4245="NEW"),"",INDEX(J$1:J4244,SUMPRODUCT(MAX(ROW(E$1:E4244)*(E4245=E$1:E4244)))))</f>
        <v> </v>
      </c>
      <c r="L4245" s="26"/>
    </row>
    <row r="4246" spans="1:12">
      <c r="A4246" s="20" t="s">
        <v>2359</v>
      </c>
      <c r="B4246" s="27" t="s">
        <v>1090</v>
      </c>
      <c r="C4246" s="27" t="s">
        <v>1086</v>
      </c>
      <c r="D4246" s="27" t="s">
        <v>1069</v>
      </c>
      <c r="E4246" s="21">
        <f>IF(D4246="?OLD","!!!","")</f>
        <v/>
      </c>
      <c r="F4246" s="22" t="str">
        <f>IF(OR(E4246="",E4246="!!!"),"",IF(NOT(ISNA(VLOOKUP(E4246,E$1:E4245,1,FALSE()))),"OLD",IF(AND(E4246&lt;&gt;"",E4246&lt;&gt;"!!!"),"NEW","")))</f>
        <v> </v>
      </c>
      <c r="G4246" s="23" t="str">
        <f>IF(OR(E4246="",E4246="!!!"),"",IF(OR(J4246=0,AND(J4246=1,K4246=1),AND(J4246=1,I4246="SBJ"),AND(J4246=1,I4246=0)),"?IN_FOCUS",IF(J4246&lt;=2,"?ACTIVATED",IF(J4246&lt;&gt;"","?FAMILIAR",IF(F4246="NEW",IF(ISNA(VLOOKUP(E4246,#REF!,1,FALSE())),"?TYPE_IDENTIFIABLE","?REFERENTIAL"),"_")))))</f>
        <v> </v>
      </c>
      <c r="H4246" s="24" t="str">
        <f>IF(J4246&lt;&gt;1,"",IF(I4246="SBJ","CB","?"))</f>
        <v> </v>
      </c>
      <c r="I4246" s="25" t="str">
        <f>IF(OR(E4246="",E4246="!!!",F4246="NEW"),"",INDEX(B4245:B$2,-1+SUMPRODUCT(MAX(ROW(E4245:E$2)*(E4246=E4245:E$2)))))</f>
        <v> </v>
      </c>
      <c r="J4246" s="25" t="str">
        <f>IF(OR(E4246="",E4246="!!!",F4246="NEW"),"",COUNTBLANK(OFFSET(A$1,,,SUMPRODUCT(MAX(ROW(E$2:E4246)*(E4246=E$2:E4246)))))-COUNTBLANK(OFFSET(A$1,,,SUMPRODUCT(MAX(ROW(E$1:E4245)*(E2=E$1:E4245))))))</f>
        <v> </v>
      </c>
      <c r="K4246" s="25" t="str">
        <f>IF(OR(E4246="",E4246="!!!",F4246="NEW"),"",INDEX(J$1:J4245,SUMPRODUCT(MAX(ROW(E$1:E4245)*(E4246=E$1:E4245)))))</f>
        <v> </v>
      </c>
      <c r="L4246" s="26"/>
    </row>
    <row r="4247" spans="1:12">
      <c r="A4247" s="20" t="s">
        <v>2360</v>
      </c>
      <c r="E4247" s="21">
        <f>IF(D4247="?OLD","!!!","")</f>
        <v/>
      </c>
      <c r="F4247" s="22" t="str">
        <f>IF(OR(E4247="",E4247="!!!"),"",IF(NOT(ISNA(VLOOKUP(E4247,E$1:E4246,1,FALSE()))),"OLD",IF(AND(E4247&lt;&gt;"",E4247&lt;&gt;"!!!"),"NEW","")))</f>
        <v> </v>
      </c>
      <c r="G4247" s="23" t="str">
        <f>IF(OR(E4247="",E4247="!!!"),"",IF(OR(J4247=0,AND(J4247=1,K4247=1),AND(J4247=1,I4247="SBJ"),AND(J4247=1,I4247=0)),"?IN_FOCUS",IF(J4247&lt;=2,"?ACTIVATED",IF(J4247&lt;&gt;"","?FAMILIAR",IF(F4247="NEW",IF(ISNA(VLOOKUP(E4247,#REF!,1,FALSE())),"?TYPE_IDENTIFIABLE","?REFERENTIAL"),"_")))))</f>
        <v> </v>
      </c>
      <c r="H4247" s="24" t="str">
        <f>IF(J4247&lt;&gt;1,"",IF(I4247="SBJ","CB","?"))</f>
        <v> </v>
      </c>
      <c r="I4247" s="25" t="str">
        <f>IF(OR(E4247="",E4247="!!!",F4247="NEW"),"",INDEX(B4246:B$2,-1+SUMPRODUCT(MAX(ROW(E4246:E$2)*(E4247=E4246:E$2)))))</f>
        <v> </v>
      </c>
      <c r="J4247" s="25" t="str">
        <f>IF(OR(E4247="",E4247="!!!",F4247="NEW"),"",COUNTBLANK(OFFSET(A$1,,,SUMPRODUCT(MAX(ROW(E$2:E4247)*(E4247=E$2:E4247)))))-COUNTBLANK(OFFSET(A$1,,,SUMPRODUCT(MAX(ROW(E$1:E4246)*(E2=E$1:E4246))))))</f>
        <v> </v>
      </c>
      <c r="K4247" s="25" t="str">
        <f>IF(OR(E4247="",E4247="!!!",F4247="NEW"),"",INDEX(J$1:J4246,SUMPRODUCT(MAX(ROW(E$1:E4246)*(E4247=E$1:E4246)))))</f>
        <v> </v>
      </c>
      <c r="L4247" s="26"/>
    </row>
    <row r="4248" spans="1:12">
      <c r="A4248" s="20" t="s">
        <v>1268</v>
      </c>
      <c r="E4248" s="21">
        <f>IF(D4248="?OLD","!!!","")</f>
        <v/>
      </c>
      <c r="F4248" s="22" t="str">
        <f>IF(OR(E4248="",E4248="!!!"),"",IF(NOT(ISNA(VLOOKUP(E4248,E$1:E4247,1,FALSE()))),"OLD",IF(AND(E4248&lt;&gt;"",E4248&lt;&gt;"!!!"),"NEW","")))</f>
        <v> </v>
      </c>
      <c r="G4248" s="23" t="str">
        <f>IF(OR(E4248="",E4248="!!!"),"",IF(OR(J4248=0,AND(J4248=1,K4248=1),AND(J4248=1,I4248="SBJ"),AND(J4248=1,I4248=0)),"?IN_FOCUS",IF(J4248&lt;=2,"?ACTIVATED",IF(J4248&lt;&gt;"","?FAMILIAR",IF(F4248="NEW",IF(ISNA(VLOOKUP(E4248,#REF!,1,FALSE())),"?TYPE_IDENTIFIABLE","?REFERENTIAL"),"_")))))</f>
        <v> </v>
      </c>
      <c r="H4248" s="24" t="str">
        <f>IF(J4248&lt;&gt;1,"",IF(I4248="SBJ","CB","?"))</f>
        <v> </v>
      </c>
      <c r="I4248" s="25" t="str">
        <f>IF(OR(E4248="",E4248="!!!",F4248="NEW"),"",INDEX(B4247:B$2,-1+SUMPRODUCT(MAX(ROW(E4247:E$2)*(E4248=E4247:E$2)))))</f>
        <v> </v>
      </c>
      <c r="J4248" s="25" t="str">
        <f>IF(OR(E4248="",E4248="!!!",F4248="NEW"),"",COUNTBLANK(OFFSET(A$1,,,SUMPRODUCT(MAX(ROW(E$2:E4248)*(E4248=E$2:E4248)))))-COUNTBLANK(OFFSET(A$1,,,SUMPRODUCT(MAX(ROW(E$1:E4247)*(E2=E$1:E4247))))))</f>
        <v> </v>
      </c>
      <c r="K4248" s="25" t="str">
        <f>IF(OR(E4248="",E4248="!!!",F4248="NEW"),"",INDEX(J$1:J4247,SUMPRODUCT(MAX(ROW(E$1:E4247)*(E4248=E$1:E4247)))))</f>
        <v> </v>
      </c>
      <c r="L4248" s="26"/>
    </row>
    <row r="4249" spans="1:12">
      <c r="A4249" s="20" t="s">
        <v>1087</v>
      </c>
      <c r="E4249" s="21">
        <f>IF(D4249="?OLD","!!!","")</f>
        <v/>
      </c>
      <c r="F4249" s="22" t="str">
        <f>IF(OR(E4249="",E4249="!!!"),"",IF(NOT(ISNA(VLOOKUP(E4249,E$1:E4248,1,FALSE()))),"OLD",IF(AND(E4249&lt;&gt;"",E4249&lt;&gt;"!!!"),"NEW","")))</f>
        <v> </v>
      </c>
      <c r="G4249" s="23" t="str">
        <f>IF(OR(E4249="",E4249="!!!"),"",IF(OR(J4249=0,AND(J4249=1,K4249=1),AND(J4249=1,I4249="SBJ"),AND(J4249=1,I4249=0)),"?IN_FOCUS",IF(J4249&lt;=2,"?ACTIVATED",IF(J4249&lt;&gt;"","?FAMILIAR",IF(F4249="NEW",IF(ISNA(VLOOKUP(E4249,#REF!,1,FALSE())),"?TYPE_IDENTIFIABLE","?REFERENTIAL"),"_")))))</f>
        <v> </v>
      </c>
      <c r="H4249" s="24" t="str">
        <f>IF(J4249&lt;&gt;1,"",IF(I4249="SBJ","CB","?"))</f>
        <v> </v>
      </c>
      <c r="I4249" s="25" t="str">
        <f>IF(OR(E4249="",E4249="!!!",F4249="NEW"),"",INDEX(B4248:B$2,-1+SUMPRODUCT(MAX(ROW(E4248:E$2)*(E4249=E4248:E$2)))))</f>
        <v> </v>
      </c>
      <c r="J4249" s="25" t="str">
        <f>IF(OR(E4249="",E4249="!!!",F4249="NEW"),"",COUNTBLANK(OFFSET(A$1,,,SUMPRODUCT(MAX(ROW(E$2:E4249)*(E4249=E$2:E4249)))))-COUNTBLANK(OFFSET(A$1,,,SUMPRODUCT(MAX(ROW(E$1:E4248)*(E2=E$1:E4248))))))</f>
        <v> </v>
      </c>
      <c r="K4249" s="25" t="str">
        <f>IF(OR(E4249="",E4249="!!!",F4249="NEW"),"",INDEX(J$1:J4248,SUMPRODUCT(MAX(ROW(E$1:E4248)*(E4249=E$1:E4248)))))</f>
        <v> </v>
      </c>
      <c r="L4249" s="26"/>
    </row>
    <row r="4250" spans="1:12">
      <c r="A4250" s="20" t="s">
        <v>1104</v>
      </c>
      <c r="B4250" s="27" t="s">
        <v>1090</v>
      </c>
      <c r="E4250" s="21">
        <f>IF(D4250="?OLD","!!!","")</f>
        <v/>
      </c>
      <c r="F4250" s="22" t="str">
        <f>IF(OR(E4250="",E4250="!!!"),"",IF(NOT(ISNA(VLOOKUP(E4250,E$1:E4249,1,FALSE()))),"OLD",IF(AND(E4250&lt;&gt;"",E4250&lt;&gt;"!!!"),"NEW","")))</f>
        <v> </v>
      </c>
      <c r="G4250" s="23" t="str">
        <f>IF(OR(E4250="",E4250="!!!"),"",IF(OR(J4250=0,AND(J4250=1,K4250=1),AND(J4250=1,I4250="SBJ"),AND(J4250=1,I4250=0)),"?IN_FOCUS",IF(J4250&lt;=2,"?ACTIVATED",IF(J4250&lt;&gt;"","?FAMILIAR",IF(F4250="NEW",IF(ISNA(VLOOKUP(E4250,#REF!,1,FALSE())),"?TYPE_IDENTIFIABLE","?REFERENTIAL"),"_")))))</f>
        <v> </v>
      </c>
      <c r="H4250" s="24" t="str">
        <f>IF(J4250&lt;&gt;1,"",IF(I4250="SBJ","CB","?"))</f>
        <v> </v>
      </c>
      <c r="I4250" s="25" t="str">
        <f>IF(OR(E4250="",E4250="!!!",F4250="NEW"),"",INDEX(B4249:B$2,-1+SUMPRODUCT(MAX(ROW(E4249:E$2)*(E4250=E4249:E$2)))))</f>
        <v> </v>
      </c>
      <c r="J4250" s="25" t="str">
        <f>IF(OR(E4250="",E4250="!!!",F4250="NEW"),"",COUNTBLANK(OFFSET(A$1,,,SUMPRODUCT(MAX(ROW(E$2:E4250)*(E4250=E$2:E4250)))))-COUNTBLANK(OFFSET(A$1,,,SUMPRODUCT(MAX(ROW(E$1:E4249)*(E2=E$1:E4249))))))</f>
        <v> </v>
      </c>
      <c r="K4250" s="25" t="str">
        <f>IF(OR(E4250="",E4250="!!!",F4250="NEW"),"",INDEX(J$1:J4249,SUMPRODUCT(MAX(ROW(E$1:E4249)*(E4250=E$1:E4249)))))</f>
        <v> </v>
      </c>
      <c r="L4250" s="26"/>
    </row>
    <row r="4251" spans="1:12">
      <c r="A4251" s="20" t="s">
        <v>1108</v>
      </c>
      <c r="B4251" s="27" t="s">
        <v>1095</v>
      </c>
      <c r="C4251" s="27" t="s">
        <v>1110</v>
      </c>
      <c r="D4251" s="27" t="s">
        <v>1069</v>
      </c>
      <c r="E4251" s="21">
        <f>IF(D4251="?OLD","!!!","")</f>
        <v/>
      </c>
      <c r="F4251" s="22" t="str">
        <f>IF(OR(E4251="",E4251="!!!"),"",IF(NOT(ISNA(VLOOKUP(E4251,E$1:E4250,1,FALSE()))),"OLD",IF(AND(E4251&lt;&gt;"",E4251&lt;&gt;"!!!"),"NEW","")))</f>
        <v> </v>
      </c>
      <c r="G4251" s="23" t="str">
        <f>IF(OR(E4251="",E4251="!!!"),"",IF(OR(J4251=0,AND(J4251=1,K4251=1),AND(J4251=1,I4251="SBJ"),AND(J4251=1,I4251=0)),"?IN_FOCUS",IF(J4251&lt;=2,"?ACTIVATED",IF(J4251&lt;&gt;"","?FAMILIAR",IF(F4251="NEW",IF(ISNA(VLOOKUP(E4251,#REF!,1,FALSE())),"?TYPE_IDENTIFIABLE","?REFERENTIAL"),"_")))))</f>
        <v> </v>
      </c>
      <c r="H4251" s="24" t="str">
        <f>IF(J4251&lt;&gt;1,"",IF(I4251="SBJ","CB","?"))</f>
        <v> </v>
      </c>
      <c r="I4251" s="25" t="str">
        <f>IF(OR(E4251="",E4251="!!!",F4251="NEW"),"",INDEX(B4250:B$2,-1+SUMPRODUCT(MAX(ROW(E4250:E$2)*(E4251=E4250:E$2)))))</f>
        <v> </v>
      </c>
      <c r="J4251" s="25" t="str">
        <f>IF(OR(E4251="",E4251="!!!",F4251="NEW"),"",COUNTBLANK(OFFSET(A$1,,,SUMPRODUCT(MAX(ROW(E$2:E4251)*(E4251=E$2:E4251)))))-COUNTBLANK(OFFSET(A$1,,,SUMPRODUCT(MAX(ROW(E$1:E4250)*(E2=E$1:E4250))))))</f>
        <v> </v>
      </c>
      <c r="K4251" s="25" t="str">
        <f>IF(OR(E4251="",E4251="!!!",F4251="NEW"),"",INDEX(J$1:J4250,SUMPRODUCT(MAX(ROW(E$1:E4250)*(E4251=E$1:E4250)))))</f>
        <v> </v>
      </c>
      <c r="L4251" s="26"/>
    </row>
    <row r="4252" spans="1:12">
      <c r="A4252" s="20" t="s">
        <v>2361</v>
      </c>
      <c r="E4252" s="21">
        <f>IF(D4252="?OLD","!!!","")</f>
        <v/>
      </c>
      <c r="F4252" s="22" t="str">
        <f>IF(OR(E4252="",E4252="!!!"),"",IF(NOT(ISNA(VLOOKUP(E4252,E$1:E4251,1,FALSE()))),"OLD",IF(AND(E4252&lt;&gt;"",E4252&lt;&gt;"!!!"),"NEW","")))</f>
        <v> </v>
      </c>
      <c r="G4252" s="23" t="str">
        <f>IF(OR(E4252="",E4252="!!!"),"",IF(OR(J4252=0,AND(J4252=1,K4252=1),AND(J4252=1,I4252="SBJ"),AND(J4252=1,I4252=0)),"?IN_FOCUS",IF(J4252&lt;=2,"?ACTIVATED",IF(J4252&lt;&gt;"","?FAMILIAR",IF(F4252="NEW",IF(ISNA(VLOOKUP(E4252,#REF!,1,FALSE())),"?TYPE_IDENTIFIABLE","?REFERENTIAL"),"_")))))</f>
        <v> </v>
      </c>
      <c r="H4252" s="24" t="str">
        <f>IF(J4252&lt;&gt;1,"",IF(I4252="SBJ","CB","?"))</f>
        <v> </v>
      </c>
      <c r="I4252" s="25" t="str">
        <f>IF(OR(E4252="",E4252="!!!",F4252="NEW"),"",INDEX(B4251:B$2,-1+SUMPRODUCT(MAX(ROW(E4251:E$2)*(E4252=E4251:E$2)))))</f>
        <v> </v>
      </c>
      <c r="J4252" s="25" t="str">
        <f>IF(OR(E4252="",E4252="!!!",F4252="NEW"),"",COUNTBLANK(OFFSET(A$1,,,SUMPRODUCT(MAX(ROW(E$2:E4252)*(E4252=E$2:E4252)))))-COUNTBLANK(OFFSET(A$1,,,SUMPRODUCT(MAX(ROW(E$1:E4251)*(E2=E$1:E4251))))))</f>
        <v> </v>
      </c>
      <c r="K4252" s="25" t="str">
        <f>IF(OR(E4252="",E4252="!!!",F4252="NEW"),"",INDEX(J$1:J4251,SUMPRODUCT(MAX(ROW(E$1:E4251)*(E4252=E$1:E4251)))))</f>
        <v> </v>
      </c>
      <c r="L4252" s="26"/>
    </row>
    <row r="4253" spans="1:12">
      <c r="A4253" s="20" t="s">
        <v>129</v>
      </c>
      <c r="E4253" s="21">
        <f>IF(D4253="?OLD","!!!","")</f>
        <v/>
      </c>
      <c r="F4253" s="22" t="str">
        <f>IF(OR(E4253="",E4253="!!!"),"",IF(NOT(ISNA(VLOOKUP(E4253,E$1:E4252,1,FALSE()))),"OLD",IF(AND(E4253&lt;&gt;"",E4253&lt;&gt;"!!!"),"NEW","")))</f>
        <v> </v>
      </c>
      <c r="G4253" s="23" t="str">
        <f>IF(OR(E4253="",E4253="!!!"),"",IF(OR(J4253=0,AND(J4253=1,K4253=1),AND(J4253=1,I4253="SBJ"),AND(J4253=1,I4253=0)),"?IN_FOCUS",IF(J4253&lt;=2,"?ACTIVATED",IF(J4253&lt;&gt;"","?FAMILIAR",IF(F4253="NEW",IF(ISNA(VLOOKUP(E4253,#REF!,1,FALSE())),"?TYPE_IDENTIFIABLE","?REFERENTIAL"),"_")))))</f>
        <v> </v>
      </c>
      <c r="H4253" s="24" t="str">
        <f>IF(J4253&lt;&gt;1,"",IF(I4253="SBJ","CB","?"))</f>
        <v> </v>
      </c>
      <c r="I4253" s="25" t="str">
        <f>IF(OR(E4253="",E4253="!!!",F4253="NEW"),"",INDEX(B4252:B$2,-1+SUMPRODUCT(MAX(ROW(E4252:E$2)*(E4253=E4252:E$2)))))</f>
        <v> </v>
      </c>
      <c r="J4253" s="25" t="str">
        <f>IF(OR(E4253="",E4253="!!!",F4253="NEW"),"",COUNTBLANK(OFFSET(A$1,,,SUMPRODUCT(MAX(ROW(E$2:E4253)*(E4253=E$2:E4253)))))-COUNTBLANK(OFFSET(A$1,,,SUMPRODUCT(MAX(ROW(E$1:E4252)*(E2=E$1:E4252))))))</f>
        <v> </v>
      </c>
      <c r="K4253" s="25" t="str">
        <f>IF(OR(E4253="",E4253="!!!",F4253="NEW"),"",INDEX(J$1:J4252,SUMPRODUCT(MAX(ROW(E$1:E4252)*(E4253=E$1:E4252)))))</f>
        <v> </v>
      </c>
      <c r="L4253" s="26"/>
    </row>
    <row r="4254" spans="1:12">
      <c r="A4254" s="20" t="s">
        <v>1080</v>
      </c>
      <c r="E4254" s="21">
        <f>IF(D4254="?OLD","!!!","")</f>
        <v/>
      </c>
      <c r="F4254" s="22" t="str">
        <f>IF(OR(E4254="",E4254="!!!"),"",IF(NOT(ISNA(VLOOKUP(E4254,E$1:E4253,1,FALSE()))),"OLD",IF(AND(E4254&lt;&gt;"",E4254&lt;&gt;"!!!"),"NEW","")))</f>
        <v> </v>
      </c>
      <c r="G4254" s="23" t="str">
        <f>IF(OR(E4254="",E4254="!!!"),"",IF(OR(J4254=0,AND(J4254=1,K4254=1),AND(J4254=1,I4254="SBJ"),AND(J4254=1,I4254=0)),"?IN_FOCUS",IF(J4254&lt;=2,"?ACTIVATED",IF(J4254&lt;&gt;"","?FAMILIAR",IF(F4254="NEW",IF(ISNA(VLOOKUP(E4254,#REF!,1,FALSE())),"?TYPE_IDENTIFIABLE","?REFERENTIAL"),"_")))))</f>
        <v> </v>
      </c>
      <c r="H4254" s="24" t="str">
        <f>IF(J4254&lt;&gt;1,"",IF(I4254="SBJ","CB","?"))</f>
        <v> </v>
      </c>
      <c r="I4254" s="25" t="str">
        <f>IF(OR(E4254="",E4254="!!!",F4254="NEW"),"",INDEX(B4253:B$2,-1+SUMPRODUCT(MAX(ROW(E4253:E$2)*(E4254=E4253:E$2)))))</f>
        <v> </v>
      </c>
      <c r="J4254" s="25" t="str">
        <f>IF(OR(E4254="",E4254="!!!",F4254="NEW"),"",COUNTBLANK(OFFSET(A$1,,,SUMPRODUCT(MAX(ROW(E$2:E4254)*(E4254=E$2:E4254)))))-COUNTBLANK(OFFSET(A$1,,,SUMPRODUCT(MAX(ROW(E$1:E4253)*(E2=E$1:E4253))))))</f>
        <v> </v>
      </c>
      <c r="K4254" s="25" t="str">
        <f>IF(OR(E4254="",E4254="!!!",F4254="NEW"),"",INDEX(J$1:J4253,SUMPRODUCT(MAX(ROW(E$1:E4253)*(E4254=E$1:E4253)))))</f>
        <v> </v>
      </c>
      <c r="L4254" s="26"/>
    </row>
    <row r="4255" spans="1:12">
      <c r="A4255" s="20"/>
    </row>
    <row r="4256" spans="1:12">
      <c r="A4256" s="20" t="s">
        <v>2362</v>
      </c>
    </row>
    <row r="4257" spans="1:12">
      <c r="A4257" s="20" t="s">
        <v>1082</v>
      </c>
      <c r="E4257" s="21">
        <f>IF(D4257="?OLD","!!!","")</f>
        <v/>
      </c>
      <c r="F4257" s="22" t="str">
        <f>IF(OR(E4257="",E4257="!!!"),"",IF(NOT(ISNA(VLOOKUP(E4257,E$1:E4256,1,FALSE()))),"OLD",IF(AND(E4257&lt;&gt;"",E4257&lt;&gt;"!!!"),"NEW","")))</f>
        <v> </v>
      </c>
      <c r="G4257" s="23" t="str">
        <f>IF(OR(E4257="",E4257="!!!"),"",IF(OR(J4257=0,AND(J4257=1,K4257=1),AND(J4257=1,I4257="SBJ"),AND(J4257=1,I4257=0)),"?IN_FOCUS",IF(J4257&lt;=2,"?ACTIVATED",IF(J4257&lt;&gt;"","?FAMILIAR",IF(F4257="NEW",IF(ISNA(VLOOKUP(E4257,#REF!,1,FALSE())),"?TYPE_IDENTIFIABLE","?REFERENTIAL"),"_")))))</f>
        <v> </v>
      </c>
      <c r="H4257" s="24" t="str">
        <f>IF(J4257&lt;&gt;1,"",IF(I4257="SBJ","CB","?"))</f>
        <v> </v>
      </c>
      <c r="I4257" s="25" t="str">
        <f>IF(OR(E4257="",E4257="!!!",F4257="NEW"),"",INDEX(B4256:B$2,-1+SUMPRODUCT(MAX(ROW(E4256:E$2)*(E4257=E4256:E$2)))))</f>
        <v> </v>
      </c>
      <c r="J4257" s="25" t="str">
        <f>IF(OR(E4257="",E4257="!!!",F4257="NEW"),"",COUNTBLANK(OFFSET(A$1,,,SUMPRODUCT(MAX(ROW(E$2:E4257)*(E4257=E$2:E4257)))))-COUNTBLANK(OFFSET(A$1,,,SUMPRODUCT(MAX(ROW(E$1:E4256)*(E2=E$1:E4256))))))</f>
        <v> </v>
      </c>
      <c r="K4257" s="25" t="str">
        <f>IF(OR(E4257="",E4257="!!!",F4257="NEW"),"",INDEX(J$1:J4256,SUMPRODUCT(MAX(ROW(E$1:E4256)*(E4257=E$1:E4256)))))</f>
        <v> </v>
      </c>
      <c r="L4257" s="26"/>
    </row>
    <row r="4258" spans="1:12">
      <c r="A4258" s="20" t="s">
        <v>1087</v>
      </c>
      <c r="E4258" s="21">
        <f>IF(D4258="?OLD","!!!","")</f>
        <v/>
      </c>
      <c r="F4258" s="22" t="str">
        <f>IF(OR(E4258="",E4258="!!!"),"",IF(NOT(ISNA(VLOOKUP(E4258,E$1:E4257,1,FALSE()))),"OLD",IF(AND(E4258&lt;&gt;"",E4258&lt;&gt;"!!!"),"NEW","")))</f>
        <v> </v>
      </c>
      <c r="G4258" s="23" t="str">
        <f>IF(OR(E4258="",E4258="!!!"),"",IF(OR(J4258=0,AND(J4258=1,K4258=1),AND(J4258=1,I4258="SBJ"),AND(J4258=1,I4258=0)),"?IN_FOCUS",IF(J4258&lt;=2,"?ACTIVATED",IF(J4258&lt;&gt;"","?FAMILIAR",IF(F4258="NEW",IF(ISNA(VLOOKUP(E4258,#REF!,1,FALSE())),"?TYPE_IDENTIFIABLE","?REFERENTIAL"),"_")))))</f>
        <v> </v>
      </c>
      <c r="H4258" s="24" t="str">
        <f>IF(J4258&lt;&gt;1,"",IF(I4258="SBJ","CB","?"))</f>
        <v> </v>
      </c>
      <c r="I4258" s="25" t="str">
        <f>IF(OR(E4258="",E4258="!!!",F4258="NEW"),"",INDEX(B4257:B$2,-1+SUMPRODUCT(MAX(ROW(E4257:E$2)*(E4258=E4257:E$2)))))</f>
        <v> </v>
      </c>
      <c r="J4258" s="25" t="str">
        <f>IF(OR(E4258="",E4258="!!!",F4258="NEW"),"",COUNTBLANK(OFFSET(A$1,,,SUMPRODUCT(MAX(ROW(E$2:E4258)*(E4258=E$2:E4258)))))-COUNTBLANK(OFFSET(A$1,,,SUMPRODUCT(MAX(ROW(E$1:E4257)*(E2=E$1:E4257))))))</f>
        <v> </v>
      </c>
      <c r="K4258" s="25" t="str">
        <f>IF(OR(E4258="",E4258="!!!",F4258="NEW"),"",INDEX(J$1:J4257,SUMPRODUCT(MAX(ROW(E$1:E4257)*(E4258=E$1:E4257)))))</f>
        <v> </v>
      </c>
      <c r="L4258" s="26"/>
    </row>
    <row r="4259" spans="1:12">
      <c r="A4259" s="20" t="s">
        <v>605</v>
      </c>
      <c r="E4259" s="21">
        <f>IF(D4259="?OLD","!!!","")</f>
        <v/>
      </c>
      <c r="F4259" s="22" t="str">
        <f>IF(OR(E4259="",E4259="!!!"),"",IF(NOT(ISNA(VLOOKUP(E4259,E$1:E4258,1,FALSE()))),"OLD",IF(AND(E4259&lt;&gt;"",E4259&lt;&gt;"!!!"),"NEW","")))</f>
        <v> </v>
      </c>
      <c r="G4259" s="23" t="str">
        <f>IF(OR(E4259="",E4259="!!!"),"",IF(OR(J4259=0,AND(J4259=1,K4259=1),AND(J4259=1,I4259="SBJ"),AND(J4259=1,I4259=0)),"?IN_FOCUS",IF(J4259&lt;=2,"?ACTIVATED",IF(J4259&lt;&gt;"","?FAMILIAR",IF(F4259="NEW",IF(ISNA(VLOOKUP(E4259,#REF!,1,FALSE())),"?TYPE_IDENTIFIABLE","?REFERENTIAL"),"_")))))</f>
        <v> </v>
      </c>
      <c r="H4259" s="24" t="str">
        <f>IF(J4259&lt;&gt;1,"",IF(I4259="SBJ","CB","?"))</f>
        <v> </v>
      </c>
      <c r="I4259" s="25" t="str">
        <f>IF(OR(E4259="",E4259="!!!",F4259="NEW"),"",INDEX(B4258:B$2,-1+SUMPRODUCT(MAX(ROW(E4258:E$2)*(E4259=E4258:E$2)))))</f>
        <v> </v>
      </c>
      <c r="J4259" s="25" t="str">
        <f>IF(OR(E4259="",E4259="!!!",F4259="NEW"),"",COUNTBLANK(OFFSET(A$1,,,SUMPRODUCT(MAX(ROW(E$2:E4259)*(E4259=E$2:E4259)))))-COUNTBLANK(OFFSET(A$1,,,SUMPRODUCT(MAX(ROW(E$1:E4258)*(E2=E$1:E4258))))))</f>
        <v> </v>
      </c>
      <c r="K4259" s="25" t="str">
        <f>IF(OR(E4259="",E4259="!!!",F4259="NEW"),"",INDEX(J$1:J4258,SUMPRODUCT(MAX(ROW(E$1:E4258)*(E4259=E$1:E4258)))))</f>
        <v> </v>
      </c>
      <c r="L4259" s="26"/>
    </row>
    <row r="4260" spans="1:12">
      <c r="A4260" s="20" t="s">
        <v>1197</v>
      </c>
      <c r="B4260" s="27" t="s">
        <v>1095</v>
      </c>
      <c r="C4260" s="27" t="s">
        <v>1068</v>
      </c>
      <c r="D4260" s="27" t="s">
        <v>1069</v>
      </c>
      <c r="E4260" s="21">
        <f>IF(D4260="?OLD","!!!","")</f>
        <v/>
      </c>
      <c r="F4260" s="22" t="str">
        <f>IF(OR(E4260="",E4260="!!!"),"",IF(NOT(ISNA(VLOOKUP(E4260,E$1:E4259,1,FALSE()))),"OLD",IF(AND(E4260&lt;&gt;"",E4260&lt;&gt;"!!!"),"NEW","")))</f>
        <v> </v>
      </c>
      <c r="G4260" s="23" t="str">
        <f>IF(OR(E4260="",E4260="!!!"),"",IF(OR(J4260=0,AND(J4260=1,K4260=1),AND(J4260=1,I4260="SBJ"),AND(J4260=1,I4260=0)),"?IN_FOCUS",IF(J4260&lt;=2,"?ACTIVATED",IF(J4260&lt;&gt;"","?FAMILIAR",IF(F4260="NEW",IF(ISNA(VLOOKUP(E4260,#REF!,1,FALSE())),"?TYPE_IDENTIFIABLE","?REFERENTIAL"),"_")))))</f>
        <v> </v>
      </c>
      <c r="H4260" s="24" t="str">
        <f>IF(J4260&lt;&gt;1,"",IF(I4260="SBJ","CB","?"))</f>
        <v> </v>
      </c>
      <c r="I4260" s="25" t="str">
        <f>IF(OR(E4260="",E4260="!!!",F4260="NEW"),"",INDEX(B4259:B$2,-1+SUMPRODUCT(MAX(ROW(E4259:E$2)*(E4260=E4259:E$2)))))</f>
        <v> </v>
      </c>
      <c r="J4260" s="25" t="str">
        <f>IF(OR(E4260="",E4260="!!!",F4260="NEW"),"",COUNTBLANK(OFFSET(A$1,,,SUMPRODUCT(MAX(ROW(E$2:E4260)*(E4260=E$2:E4260)))))-COUNTBLANK(OFFSET(A$1,,,SUMPRODUCT(MAX(ROW(E$1:E4259)*(E2=E$1:E4259))))))</f>
        <v> </v>
      </c>
      <c r="K4260" s="25" t="str">
        <f>IF(OR(E4260="",E4260="!!!",F4260="NEW"),"",INDEX(J$1:J4259,SUMPRODUCT(MAX(ROW(E$1:E4259)*(E4260=E$1:E4259)))))</f>
        <v> </v>
      </c>
      <c r="L4260" s="26"/>
    </row>
    <row r="4261" spans="1:12">
      <c r="A4261" s="20" t="s">
        <v>1087</v>
      </c>
      <c r="E4261" s="21">
        <f>IF(D4261="?OLD","!!!","")</f>
        <v/>
      </c>
      <c r="F4261" s="22" t="str">
        <f>IF(OR(E4261="",E4261="!!!"),"",IF(NOT(ISNA(VLOOKUP(E4261,E$1:E4260,1,FALSE()))),"OLD",IF(AND(E4261&lt;&gt;"",E4261&lt;&gt;"!!!"),"NEW","")))</f>
        <v> </v>
      </c>
      <c r="G4261" s="23" t="str">
        <f>IF(OR(E4261="",E4261="!!!"),"",IF(OR(J4261=0,AND(J4261=1,K4261=1),AND(J4261=1,I4261="SBJ"),AND(J4261=1,I4261=0)),"?IN_FOCUS",IF(J4261&lt;=2,"?ACTIVATED",IF(J4261&lt;&gt;"","?FAMILIAR",IF(F4261="NEW",IF(ISNA(VLOOKUP(E4261,#REF!,1,FALSE())),"?TYPE_IDENTIFIABLE","?REFERENTIAL"),"_")))))</f>
        <v> </v>
      </c>
      <c r="H4261" s="24" t="str">
        <f>IF(J4261&lt;&gt;1,"",IF(I4261="SBJ","CB","?"))</f>
        <v> </v>
      </c>
      <c r="I4261" s="25" t="str">
        <f>IF(OR(E4261="",E4261="!!!",F4261="NEW"),"",INDEX(B4260:B$2,-1+SUMPRODUCT(MAX(ROW(E4260:E$2)*(E4261=E4260:E$2)))))</f>
        <v> </v>
      </c>
      <c r="J4261" s="25" t="str">
        <f>IF(OR(E4261="",E4261="!!!",F4261="NEW"),"",COUNTBLANK(OFFSET(A$1,,,SUMPRODUCT(MAX(ROW(E$2:E4261)*(E4261=E$2:E4261)))))-COUNTBLANK(OFFSET(A$1,,,SUMPRODUCT(MAX(ROW(E$1:E4260)*(E2=E$1:E4260))))))</f>
        <v> </v>
      </c>
      <c r="K4261" s="25" t="str">
        <f>IF(OR(E4261="",E4261="!!!",F4261="NEW"),"",INDEX(J$1:J4260,SUMPRODUCT(MAX(ROW(E$1:E4260)*(E4261=E$1:E4260)))))</f>
        <v> </v>
      </c>
      <c r="L4261" s="26"/>
    </row>
    <row r="4262" spans="1:12">
      <c r="A4262" s="20" t="s">
        <v>1950</v>
      </c>
      <c r="B4262" s="27" t="s">
        <v>1090</v>
      </c>
      <c r="C4262" s="27" t="s">
        <v>1077</v>
      </c>
      <c r="E4262" s="21">
        <f>IF(D4262="?OLD","!!!","")</f>
        <v/>
      </c>
      <c r="F4262" s="22" t="str">
        <f>IF(OR(E4262="",E4262="!!!"),"",IF(NOT(ISNA(VLOOKUP(E4262,E$1:E4261,1,FALSE()))),"OLD",IF(AND(E4262&lt;&gt;"",E4262&lt;&gt;"!!!"),"NEW","")))</f>
        <v> </v>
      </c>
      <c r="G4262" s="23" t="str">
        <f>IF(OR(E4262="",E4262="!!!"),"",IF(OR(J4262=0,AND(J4262=1,K4262=1),AND(J4262=1,I4262="SBJ"),AND(J4262=1,I4262=0)),"?IN_FOCUS",IF(J4262&lt;=2,"?ACTIVATED",IF(J4262&lt;&gt;"","?FAMILIAR",IF(F4262="NEW",IF(ISNA(VLOOKUP(E4262,#REF!,1,FALSE())),"?TYPE_IDENTIFIABLE","?REFERENTIAL"),"_")))))</f>
        <v> </v>
      </c>
      <c r="H4262" s="24" t="str">
        <f>IF(J4262&lt;&gt;1,"",IF(I4262="SBJ","CB","?"))</f>
        <v> </v>
      </c>
      <c r="I4262" s="25" t="str">
        <f>IF(OR(E4262="",E4262="!!!",F4262="NEW"),"",INDEX(B4261:B$2,-1+SUMPRODUCT(MAX(ROW(E4261:E$2)*(E4262=E4261:E$2)))))</f>
        <v> </v>
      </c>
      <c r="J4262" s="25" t="str">
        <f>IF(OR(E4262="",E4262="!!!",F4262="NEW"),"",COUNTBLANK(OFFSET(A$1,,,SUMPRODUCT(MAX(ROW(E$2:E4262)*(E4262=E$2:E4262)))))-COUNTBLANK(OFFSET(A$1,,,SUMPRODUCT(MAX(ROW(E$1:E4261)*(E2=E$1:E4261))))))</f>
        <v> </v>
      </c>
      <c r="K4262" s="25" t="str">
        <f>IF(OR(E4262="",E4262="!!!",F4262="NEW"),"",INDEX(J$1:J4261,SUMPRODUCT(MAX(ROW(E$1:E4261)*(E4262=E$1:E4261)))))</f>
        <v> </v>
      </c>
      <c r="L4262" s="26"/>
    </row>
    <row r="4263" spans="1:12">
      <c r="A4263" s="20" t="s">
        <v>1087</v>
      </c>
      <c r="E4263" s="21">
        <f>IF(D4263="?OLD","!!!","")</f>
        <v/>
      </c>
      <c r="F4263" s="22" t="str">
        <f>IF(OR(E4263="",E4263="!!!"),"",IF(NOT(ISNA(VLOOKUP(E4263,E$1:E4262,1,FALSE()))),"OLD",IF(AND(E4263&lt;&gt;"",E4263&lt;&gt;"!!!"),"NEW","")))</f>
        <v> </v>
      </c>
      <c r="G4263" s="23" t="str">
        <f>IF(OR(E4263="",E4263="!!!"),"",IF(OR(J4263=0,AND(J4263=1,K4263=1),AND(J4263=1,I4263="SBJ"),AND(J4263=1,I4263=0)),"?IN_FOCUS",IF(J4263&lt;=2,"?ACTIVATED",IF(J4263&lt;&gt;"","?FAMILIAR",IF(F4263="NEW",IF(ISNA(VLOOKUP(E4263,#REF!,1,FALSE())),"?TYPE_IDENTIFIABLE","?REFERENTIAL"),"_")))))</f>
        <v> </v>
      </c>
      <c r="H4263" s="24" t="str">
        <f>IF(J4263&lt;&gt;1,"",IF(I4263="SBJ","CB","?"))</f>
        <v> </v>
      </c>
      <c r="I4263" s="25" t="str">
        <f>IF(OR(E4263="",E4263="!!!",F4263="NEW"),"",INDEX(B4262:B$2,-1+SUMPRODUCT(MAX(ROW(E4262:E$2)*(E4263=E4262:E$2)))))</f>
        <v> </v>
      </c>
      <c r="J4263" s="25" t="str">
        <f>IF(OR(E4263="",E4263="!!!",F4263="NEW"),"",COUNTBLANK(OFFSET(A$1,,,SUMPRODUCT(MAX(ROW(E$2:E4263)*(E4263=E$2:E4263)))))-COUNTBLANK(OFFSET(A$1,,,SUMPRODUCT(MAX(ROW(E$1:E4262)*(E2=E$1:E4262))))))</f>
        <v> </v>
      </c>
      <c r="K4263" s="25" t="str">
        <f>IF(OR(E4263="",E4263="!!!",F4263="NEW"),"",INDEX(J$1:J4262,SUMPRODUCT(MAX(ROW(E$1:E4262)*(E4263=E$1:E4262)))))</f>
        <v> </v>
      </c>
      <c r="L4263" s="26"/>
    </row>
    <row r="4264" spans="1:12">
      <c r="A4264" s="20" t="s">
        <v>1196</v>
      </c>
      <c r="E4264" s="21">
        <f>IF(D4264="?OLD","!!!","")</f>
        <v/>
      </c>
      <c r="F4264" s="22" t="str">
        <f>IF(OR(E4264="",E4264="!!!"),"",IF(NOT(ISNA(VLOOKUP(E4264,E$1:E4263,1,FALSE()))),"OLD",IF(AND(E4264&lt;&gt;"",E4264&lt;&gt;"!!!"),"NEW","")))</f>
        <v> </v>
      </c>
      <c r="G4264" s="23" t="str">
        <f>IF(OR(E4264="",E4264="!!!"),"",IF(OR(J4264=0,AND(J4264=1,K4264=1),AND(J4264=1,I4264="SBJ"),AND(J4264=1,I4264=0)),"?IN_FOCUS",IF(J4264&lt;=2,"?ACTIVATED",IF(J4264&lt;&gt;"","?FAMILIAR",IF(F4264="NEW",IF(ISNA(VLOOKUP(E4264,#REF!,1,FALSE())),"?TYPE_IDENTIFIABLE","?REFERENTIAL"),"_")))))</f>
        <v> </v>
      </c>
      <c r="H4264" s="24" t="str">
        <f>IF(J4264&lt;&gt;1,"",IF(I4264="SBJ","CB","?"))</f>
        <v> </v>
      </c>
      <c r="I4264" s="25" t="str">
        <f>IF(OR(E4264="",E4264="!!!",F4264="NEW"),"",INDEX(B4263:B$2,-1+SUMPRODUCT(MAX(ROW(E4263:E$2)*(E4264=E4263:E$2)))))</f>
        <v> </v>
      </c>
      <c r="J4264" s="25" t="str">
        <f>IF(OR(E4264="",E4264="!!!",F4264="NEW"),"",COUNTBLANK(OFFSET(A$1,,,SUMPRODUCT(MAX(ROW(E$2:E4264)*(E4264=E$2:E4264)))))-COUNTBLANK(OFFSET(A$1,,,SUMPRODUCT(MAX(ROW(E$1:E4263)*(E2=E$1:E4263))))))</f>
        <v> </v>
      </c>
      <c r="K4264" s="25" t="str">
        <f>IF(OR(E4264="",E4264="!!!",F4264="NEW"),"",INDEX(J$1:J4263,SUMPRODUCT(MAX(ROW(E$1:E4263)*(E4264=E$1:E4263)))))</f>
        <v> </v>
      </c>
      <c r="L4264" s="26"/>
    </row>
    <row r="4265" spans="1:12">
      <c r="A4265" s="20" t="s">
        <v>1453</v>
      </c>
      <c r="B4265" s="27" t="s">
        <v>1133</v>
      </c>
      <c r="C4265" s="27" t="s">
        <v>1072</v>
      </c>
      <c r="E4265" s="21">
        <f>IF(D4265="?OLD","!!!","")</f>
        <v/>
      </c>
      <c r="F4265" s="22" t="str">
        <f>IF(OR(E4265="",E4265="!!!"),"",IF(NOT(ISNA(VLOOKUP(E4265,E$1:E4264,1,FALSE()))),"OLD",IF(AND(E4265&lt;&gt;"",E4265&lt;&gt;"!!!"),"NEW","")))</f>
        <v> </v>
      </c>
      <c r="G4265" s="23" t="str">
        <f>IF(OR(E4265="",E4265="!!!"),"",IF(OR(J4265=0,AND(J4265=1,K4265=1),AND(J4265=1,I4265="SBJ"),AND(J4265=1,I4265=0)),"?IN_FOCUS",IF(J4265&lt;=2,"?ACTIVATED",IF(J4265&lt;&gt;"","?FAMILIAR",IF(F4265="NEW",IF(ISNA(VLOOKUP(E4265,#REF!,1,FALSE())),"?TYPE_IDENTIFIABLE","?REFERENTIAL"),"_")))))</f>
        <v> </v>
      </c>
      <c r="H4265" s="24" t="str">
        <f>IF(J4265&lt;&gt;1,"",IF(I4265="SBJ","CB","?"))</f>
        <v> </v>
      </c>
      <c r="I4265" s="25" t="str">
        <f>IF(OR(E4265="",E4265="!!!",F4265="NEW"),"",INDEX(B4264:B$2,-1+SUMPRODUCT(MAX(ROW(E4264:E$2)*(E4265=E4264:E$2)))))</f>
        <v> </v>
      </c>
      <c r="J4265" s="25" t="str">
        <f>IF(OR(E4265="",E4265="!!!",F4265="NEW"),"",COUNTBLANK(OFFSET(A$1,,,SUMPRODUCT(MAX(ROW(E$2:E4265)*(E4265=E$2:E4265)))))-COUNTBLANK(OFFSET(A$1,,,SUMPRODUCT(MAX(ROW(E$1:E4264)*(E2=E$1:E4264))))))</f>
        <v> </v>
      </c>
      <c r="K4265" s="25" t="str">
        <f>IF(OR(E4265="",E4265="!!!",F4265="NEW"),"",INDEX(J$1:J4264,SUMPRODUCT(MAX(ROW(E$1:E4264)*(E4265=E$1:E4264)))))</f>
        <v> </v>
      </c>
      <c r="L4265" s="26"/>
    </row>
    <row r="4266" spans="1:12">
      <c r="A4266" s="20" t="s">
        <v>1777</v>
      </c>
      <c r="E4266" s="21">
        <f>IF(D4266="?OLD","!!!","")</f>
        <v/>
      </c>
      <c r="F4266" s="22" t="str">
        <f>IF(OR(E4266="",E4266="!!!"),"",IF(NOT(ISNA(VLOOKUP(E4266,E$1:E4265,1,FALSE()))),"OLD",IF(AND(E4266&lt;&gt;"",E4266&lt;&gt;"!!!"),"NEW","")))</f>
        <v> </v>
      </c>
      <c r="G4266" s="23" t="str">
        <f>IF(OR(E4266="",E4266="!!!"),"",IF(OR(J4266=0,AND(J4266=1,K4266=1),AND(J4266=1,I4266="SBJ"),AND(J4266=1,I4266=0)),"?IN_FOCUS",IF(J4266&lt;=2,"?ACTIVATED",IF(J4266&lt;&gt;"","?FAMILIAR",IF(F4266="NEW",IF(ISNA(VLOOKUP(E4266,#REF!,1,FALSE())),"?TYPE_IDENTIFIABLE","?REFERENTIAL"),"_")))))</f>
        <v> </v>
      </c>
      <c r="H4266" s="24" t="str">
        <f>IF(J4266&lt;&gt;1,"",IF(I4266="SBJ","CB","?"))</f>
        <v> </v>
      </c>
      <c r="I4266" s="25" t="str">
        <f>IF(OR(E4266="",E4266="!!!",F4266="NEW"),"",INDEX(B4265:B$2,-1+SUMPRODUCT(MAX(ROW(E4265:E$2)*(E4266=E4265:E$2)))))</f>
        <v> </v>
      </c>
      <c r="J4266" s="25" t="str">
        <f>IF(OR(E4266="",E4266="!!!",F4266="NEW"),"",COUNTBLANK(OFFSET(A$1,,,SUMPRODUCT(MAX(ROW(E$2:E4266)*(E4266=E$2:E4266)))))-COUNTBLANK(OFFSET(A$1,,,SUMPRODUCT(MAX(ROW(E$1:E4265)*(E2=E$1:E4265))))))</f>
        <v> </v>
      </c>
      <c r="K4266" s="25" t="str">
        <f>IF(OR(E4266="",E4266="!!!",F4266="NEW"),"",INDEX(J$1:J4265,SUMPRODUCT(MAX(ROW(E$1:E4265)*(E4266=E$1:E4265)))))</f>
        <v> </v>
      </c>
      <c r="L4266" s="26"/>
    </row>
    <row r="4267" spans="1:12">
      <c r="A4267" s="20" t="s">
        <v>2253</v>
      </c>
      <c r="E4267" s="21">
        <f>IF(D4267="?OLD","!!!","")</f>
        <v/>
      </c>
      <c r="F4267" s="22" t="str">
        <f>IF(OR(E4267="",E4267="!!!"),"",IF(NOT(ISNA(VLOOKUP(E4267,E$1:E4266,1,FALSE()))),"OLD",IF(AND(E4267&lt;&gt;"",E4267&lt;&gt;"!!!"),"NEW","")))</f>
        <v> </v>
      </c>
      <c r="G4267" s="23" t="str">
        <f>IF(OR(E4267="",E4267="!!!"),"",IF(OR(J4267=0,AND(J4267=1,K4267=1),AND(J4267=1,I4267="SBJ"),AND(J4267=1,I4267=0)),"?IN_FOCUS",IF(J4267&lt;=2,"?ACTIVATED",IF(J4267&lt;&gt;"","?FAMILIAR",IF(F4267="NEW",IF(ISNA(VLOOKUP(E4267,#REF!,1,FALSE())),"?TYPE_IDENTIFIABLE","?REFERENTIAL"),"_")))))</f>
        <v> </v>
      </c>
      <c r="H4267" s="24" t="str">
        <f>IF(J4267&lt;&gt;1,"",IF(I4267="SBJ","CB","?"))</f>
        <v> </v>
      </c>
      <c r="I4267" s="25" t="str">
        <f>IF(OR(E4267="",E4267="!!!",F4267="NEW"),"",INDEX(B4266:B$2,-1+SUMPRODUCT(MAX(ROW(E4266:E$2)*(E4267=E4266:E$2)))))</f>
        <v> </v>
      </c>
      <c r="J4267" s="25" t="str">
        <f>IF(OR(E4267="",E4267="!!!",F4267="NEW"),"",COUNTBLANK(OFFSET(A$1,,,SUMPRODUCT(MAX(ROW(E$2:E4267)*(E4267=E$2:E4267)))))-COUNTBLANK(OFFSET(A$1,,,SUMPRODUCT(MAX(ROW(E$1:E4266)*(E2=E$1:E4266))))))</f>
        <v> </v>
      </c>
      <c r="K4267" s="25" t="str">
        <f>IF(OR(E4267="",E4267="!!!",F4267="NEW"),"",INDEX(J$1:J4266,SUMPRODUCT(MAX(ROW(E$1:E4266)*(E4267=E$1:E4266)))))</f>
        <v> </v>
      </c>
      <c r="L4267" s="26"/>
    </row>
    <row r="4268" spans="1:12">
      <c r="A4268" s="20" t="s">
        <v>1087</v>
      </c>
      <c r="E4268" s="21">
        <f>IF(D4268="?OLD","!!!","")</f>
        <v/>
      </c>
      <c r="F4268" s="22" t="str">
        <f>IF(OR(E4268="",E4268="!!!"),"",IF(NOT(ISNA(VLOOKUP(E4268,E$1:E4267,1,FALSE()))),"OLD",IF(AND(E4268&lt;&gt;"",E4268&lt;&gt;"!!!"),"NEW","")))</f>
        <v> </v>
      </c>
      <c r="G4268" s="23" t="str">
        <f>IF(OR(E4268="",E4268="!!!"),"",IF(OR(J4268=0,AND(J4268=1,K4268=1),AND(J4268=1,I4268="SBJ"),AND(J4268=1,I4268=0)),"?IN_FOCUS",IF(J4268&lt;=2,"?ACTIVATED",IF(J4268&lt;&gt;"","?FAMILIAR",IF(F4268="NEW",IF(ISNA(VLOOKUP(E4268,#REF!,1,FALSE())),"?TYPE_IDENTIFIABLE","?REFERENTIAL"),"_")))))</f>
        <v> </v>
      </c>
      <c r="H4268" s="24" t="str">
        <f>IF(J4268&lt;&gt;1,"",IF(I4268="SBJ","CB","?"))</f>
        <v> </v>
      </c>
      <c r="I4268" s="25" t="str">
        <f>IF(OR(E4268="",E4268="!!!",F4268="NEW"),"",INDEX(B4267:B$2,-1+SUMPRODUCT(MAX(ROW(E4267:E$2)*(E4268=E4267:E$2)))))</f>
        <v> </v>
      </c>
      <c r="J4268" s="25" t="str">
        <f>IF(OR(E4268="",E4268="!!!",F4268="NEW"),"",COUNTBLANK(OFFSET(A$1,,,SUMPRODUCT(MAX(ROW(E$2:E4268)*(E4268=E$2:E4268)))))-COUNTBLANK(OFFSET(A$1,,,SUMPRODUCT(MAX(ROW(E$1:E4267)*(E2=E$1:E4267))))))</f>
        <v> </v>
      </c>
      <c r="K4268" s="25" t="str">
        <f>IF(OR(E4268="",E4268="!!!",F4268="NEW"),"",INDEX(J$1:J4267,SUMPRODUCT(MAX(ROW(E$1:E4267)*(E4268=E$1:E4267)))))</f>
        <v> </v>
      </c>
      <c r="L4268" s="26"/>
    </row>
    <row r="4269" spans="1:12">
      <c r="A4269" s="20" t="s">
        <v>1078</v>
      </c>
      <c r="E4269" s="21">
        <f>IF(D4269="?OLD","!!!","")</f>
        <v/>
      </c>
      <c r="F4269" s="22" t="str">
        <f>IF(OR(E4269="",E4269="!!!"),"",IF(NOT(ISNA(VLOOKUP(E4269,E$1:E4268,1,FALSE()))),"OLD",IF(AND(E4269&lt;&gt;"",E4269&lt;&gt;"!!!"),"NEW","")))</f>
        <v> </v>
      </c>
      <c r="G4269" s="23" t="str">
        <f>IF(OR(E4269="",E4269="!!!"),"",IF(OR(J4269=0,AND(J4269=1,K4269=1),AND(J4269=1,I4269="SBJ"),AND(J4269=1,I4269=0)),"?IN_FOCUS",IF(J4269&lt;=2,"?ACTIVATED",IF(J4269&lt;&gt;"","?FAMILIAR",IF(F4269="NEW",IF(ISNA(VLOOKUP(E4269,#REF!,1,FALSE())),"?TYPE_IDENTIFIABLE","?REFERENTIAL"),"_")))))</f>
        <v> </v>
      </c>
      <c r="H4269" s="24" t="str">
        <f>IF(J4269&lt;&gt;1,"",IF(I4269="SBJ","CB","?"))</f>
        <v> </v>
      </c>
      <c r="I4269" s="25" t="str">
        <f>IF(OR(E4269="",E4269="!!!",F4269="NEW"),"",INDEX(B4268:B$2,-1+SUMPRODUCT(MAX(ROW(E4268:E$2)*(E4269=E4268:E$2)))))</f>
        <v> </v>
      </c>
      <c r="J4269" s="25" t="str">
        <f>IF(OR(E4269="",E4269="!!!",F4269="NEW"),"",COUNTBLANK(OFFSET(A$1,,,SUMPRODUCT(MAX(ROW(E$2:E4269)*(E4269=E$2:E4269)))))-COUNTBLANK(OFFSET(A$1,,,SUMPRODUCT(MAX(ROW(E$1:E4268)*(E2=E$1:E4268))))))</f>
        <v> </v>
      </c>
      <c r="K4269" s="25" t="str">
        <f>IF(OR(E4269="",E4269="!!!",F4269="NEW"),"",INDEX(J$1:J4268,SUMPRODUCT(MAX(ROW(E$1:E4268)*(E4269=E$1:E4268)))))</f>
        <v> </v>
      </c>
      <c r="L4269" s="26"/>
    </row>
    <row r="4270" spans="1:12">
      <c r="A4270" s="20" t="s">
        <v>1083</v>
      </c>
      <c r="B4270" s="27" t="s">
        <v>1133</v>
      </c>
      <c r="C4270" s="27" t="s">
        <v>1129</v>
      </c>
      <c r="D4270" s="27" t="s">
        <v>1069</v>
      </c>
      <c r="E4270" s="21">
        <f>IF(D4270="?OLD","!!!","")</f>
        <v/>
      </c>
      <c r="F4270" s="22" t="str">
        <f>IF(OR(E4270="",E4270="!!!"),"",IF(NOT(ISNA(VLOOKUP(E4270,E$1:E4269,1,FALSE()))),"OLD",IF(AND(E4270&lt;&gt;"",E4270&lt;&gt;"!!!"),"NEW","")))</f>
        <v> </v>
      </c>
      <c r="G4270" s="23" t="str">
        <f>IF(OR(E4270="",E4270="!!!"),"",IF(OR(J4270=0,AND(J4270=1,K4270=1),AND(J4270=1,I4270="SBJ"),AND(J4270=1,I4270=0)),"?IN_FOCUS",IF(J4270&lt;=2,"?ACTIVATED",IF(J4270&lt;&gt;"","?FAMILIAR",IF(F4270="NEW",IF(ISNA(VLOOKUP(E4270,#REF!,1,FALSE())),"?TYPE_IDENTIFIABLE","?REFERENTIAL"),"_")))))</f>
        <v> </v>
      </c>
      <c r="H4270" s="24" t="str">
        <f>IF(J4270&lt;&gt;1,"",IF(I4270="SBJ","CB","?"))</f>
        <v> </v>
      </c>
      <c r="I4270" s="25" t="str">
        <f>IF(OR(E4270="",E4270="!!!",F4270="NEW"),"",INDEX(B4269:B$2,-1+SUMPRODUCT(MAX(ROW(E4269:E$2)*(E4270=E4269:E$2)))))</f>
        <v> </v>
      </c>
      <c r="J4270" s="25" t="str">
        <f>IF(OR(E4270="",E4270="!!!",F4270="NEW"),"",COUNTBLANK(OFFSET(A$1,,,SUMPRODUCT(MAX(ROW(E$2:E4270)*(E4270=E$2:E4270)))))-COUNTBLANK(OFFSET(A$1,,,SUMPRODUCT(MAX(ROW(E$1:E4269)*(E2=E$1:E4269))))))</f>
        <v> </v>
      </c>
      <c r="K4270" s="25" t="str">
        <f>IF(OR(E4270="",E4270="!!!",F4270="NEW"),"",INDEX(J$1:J4269,SUMPRODUCT(MAX(ROW(E$1:E4269)*(E4270=E$1:E4269)))))</f>
        <v> </v>
      </c>
      <c r="L4270" s="26"/>
    </row>
    <row r="4271" spans="1:12">
      <c r="A4271" s="20" t="s">
        <v>1191</v>
      </c>
      <c r="E4271" s="21">
        <f>IF(D4271="?OLD","!!!","")</f>
        <v/>
      </c>
      <c r="F4271" s="22" t="str">
        <f>IF(OR(E4271="",E4271="!!!"),"",IF(NOT(ISNA(VLOOKUP(E4271,E$1:E4270,1,FALSE()))),"OLD",IF(AND(E4271&lt;&gt;"",E4271&lt;&gt;"!!!"),"NEW","")))</f>
        <v> </v>
      </c>
      <c r="G4271" s="23" t="str">
        <f>IF(OR(E4271="",E4271="!!!"),"",IF(OR(J4271=0,AND(J4271=1,K4271=1),AND(J4271=1,I4271="SBJ"),AND(J4271=1,I4271=0)),"?IN_FOCUS",IF(J4271&lt;=2,"?ACTIVATED",IF(J4271&lt;&gt;"","?FAMILIAR",IF(F4271="NEW",IF(ISNA(VLOOKUP(E4271,#REF!,1,FALSE())),"?TYPE_IDENTIFIABLE","?REFERENTIAL"),"_")))))</f>
        <v> </v>
      </c>
      <c r="H4271" s="24" t="str">
        <f>IF(J4271&lt;&gt;1,"",IF(I4271="SBJ","CB","?"))</f>
        <v> </v>
      </c>
      <c r="I4271" s="25" t="str">
        <f>IF(OR(E4271="",E4271="!!!",F4271="NEW"),"",INDEX(B4270:B$2,-1+SUMPRODUCT(MAX(ROW(E4270:E$2)*(E4271=E4270:E$2)))))</f>
        <v> </v>
      </c>
      <c r="J4271" s="25" t="str">
        <f>IF(OR(E4271="",E4271="!!!",F4271="NEW"),"",COUNTBLANK(OFFSET(A$1,,,SUMPRODUCT(MAX(ROW(E$2:E4271)*(E4271=E$2:E4271)))))-COUNTBLANK(OFFSET(A$1,,,SUMPRODUCT(MAX(ROW(E$1:E4270)*(E2=E$1:E4270))))))</f>
        <v> </v>
      </c>
      <c r="K4271" s="25" t="str">
        <f>IF(OR(E4271="",E4271="!!!",F4271="NEW"),"",INDEX(J$1:J4270,SUMPRODUCT(MAX(ROW(E$1:E4270)*(E4271=E$1:E4270)))))</f>
        <v> </v>
      </c>
      <c r="L4271" s="26"/>
    </row>
    <row r="4272" spans="1:12">
      <c r="A4272" s="20" t="s">
        <v>141</v>
      </c>
      <c r="E4272" s="21">
        <f>IF(D4272="?OLD","!!!","")</f>
        <v/>
      </c>
      <c r="F4272" s="22" t="str">
        <f>IF(OR(E4272="",E4272="!!!"),"",IF(NOT(ISNA(VLOOKUP(E4272,E$1:E4271,1,FALSE()))),"OLD",IF(AND(E4272&lt;&gt;"",E4272&lt;&gt;"!!!"),"NEW","")))</f>
        <v> </v>
      </c>
      <c r="G4272" s="23" t="str">
        <f>IF(OR(E4272="",E4272="!!!"),"",IF(OR(J4272=0,AND(J4272=1,K4272=1),AND(J4272=1,I4272="SBJ"),AND(J4272=1,I4272=0)),"?IN_FOCUS",IF(J4272&lt;=2,"?ACTIVATED",IF(J4272&lt;&gt;"","?FAMILIAR",IF(F4272="NEW",IF(ISNA(VLOOKUP(E4272,#REF!,1,FALSE())),"?TYPE_IDENTIFIABLE","?REFERENTIAL"),"_")))))</f>
        <v> </v>
      </c>
      <c r="H4272" s="24" t="str">
        <f>IF(J4272&lt;&gt;1,"",IF(I4272="SBJ","CB","?"))</f>
        <v> </v>
      </c>
      <c r="I4272" s="25" t="str">
        <f>IF(OR(E4272="",E4272="!!!",F4272="NEW"),"",INDEX(B4271:B$2,-1+SUMPRODUCT(MAX(ROW(E4271:E$2)*(E4272=E4271:E$2)))))</f>
        <v> </v>
      </c>
      <c r="J4272" s="25" t="str">
        <f>IF(OR(E4272="",E4272="!!!",F4272="NEW"),"",COUNTBLANK(OFFSET(A$1,,,SUMPRODUCT(MAX(ROW(E$2:E4272)*(E4272=E$2:E4272)))))-COUNTBLANK(OFFSET(A$1,,,SUMPRODUCT(MAX(ROW(E$1:E4271)*(E2=E$1:E4271))))))</f>
        <v> </v>
      </c>
      <c r="K4272" s="25" t="str">
        <f>IF(OR(E4272="",E4272="!!!",F4272="NEW"),"",INDEX(J$1:J4271,SUMPRODUCT(MAX(ROW(E$1:E4271)*(E4272=E$1:E4271)))))</f>
        <v> </v>
      </c>
      <c r="L4272" s="26"/>
    </row>
    <row r="4273" spans="1:12">
      <c r="A4273" s="20" t="s">
        <v>2363</v>
      </c>
      <c r="E4273" s="21">
        <f>IF(D4273="?OLD","!!!","")</f>
        <v/>
      </c>
      <c r="F4273" s="22" t="str">
        <f>IF(OR(E4273="",E4273="!!!"),"",IF(NOT(ISNA(VLOOKUP(E4273,E$1:E4272,1,FALSE()))),"OLD",IF(AND(E4273&lt;&gt;"",E4273&lt;&gt;"!!!"),"NEW","")))</f>
        <v> </v>
      </c>
      <c r="G4273" s="23" t="str">
        <f>IF(OR(E4273="",E4273="!!!"),"",IF(OR(J4273=0,AND(J4273=1,K4273=1),AND(J4273=1,I4273="SBJ"),AND(J4273=1,I4273=0)),"?IN_FOCUS",IF(J4273&lt;=2,"?ACTIVATED",IF(J4273&lt;&gt;"","?FAMILIAR",IF(F4273="NEW",IF(ISNA(VLOOKUP(E4273,#REF!,1,FALSE())),"?TYPE_IDENTIFIABLE","?REFERENTIAL"),"_")))))</f>
        <v> </v>
      </c>
      <c r="H4273" s="24" t="str">
        <f>IF(J4273&lt;&gt;1,"",IF(I4273="SBJ","CB","?"))</f>
        <v> </v>
      </c>
      <c r="I4273" s="25" t="str">
        <f>IF(OR(E4273="",E4273="!!!",F4273="NEW"),"",INDEX(B4272:B$2,-1+SUMPRODUCT(MAX(ROW(E4272:E$2)*(E4273=E4272:E$2)))))</f>
        <v> </v>
      </c>
      <c r="J4273" s="25" t="str">
        <f>IF(OR(E4273="",E4273="!!!",F4273="NEW"),"",COUNTBLANK(OFFSET(A$1,,,SUMPRODUCT(MAX(ROW(E$2:E4273)*(E4273=E$2:E4273)))))-COUNTBLANK(OFFSET(A$1,,,SUMPRODUCT(MAX(ROW(E$1:E4272)*(E2=E$1:E4272))))))</f>
        <v> </v>
      </c>
      <c r="K4273" s="25" t="str">
        <f>IF(OR(E4273="",E4273="!!!",F4273="NEW"),"",INDEX(J$1:J4272,SUMPRODUCT(MAX(ROW(E$1:E4272)*(E4273=E$1:E4272)))))</f>
        <v> </v>
      </c>
      <c r="L4273" s="26"/>
    </row>
    <row r="4274" spans="1:12">
      <c r="A4274" s="20" t="s">
        <v>686</v>
      </c>
      <c r="B4274" s="27" t="s">
        <v>1071</v>
      </c>
      <c r="C4274" s="27" t="s">
        <v>1120</v>
      </c>
      <c r="E4274" s="21">
        <f>IF(D4274="?OLD","!!!","")</f>
        <v/>
      </c>
      <c r="F4274" s="22" t="str">
        <f>IF(OR(E4274="",E4274="!!!"),"",IF(NOT(ISNA(VLOOKUP(E4274,E$1:E4273,1,FALSE()))),"OLD",IF(AND(E4274&lt;&gt;"",E4274&lt;&gt;"!!!"),"NEW","")))</f>
        <v> </v>
      </c>
      <c r="G4274" s="23" t="str">
        <f>IF(OR(E4274="",E4274="!!!"),"",IF(OR(J4274=0,AND(J4274=1,K4274=1),AND(J4274=1,I4274="SBJ"),AND(J4274=1,I4274=0)),"?IN_FOCUS",IF(J4274&lt;=2,"?ACTIVATED",IF(J4274&lt;&gt;"","?FAMILIAR",IF(F4274="NEW",IF(ISNA(VLOOKUP(E4274,#REF!,1,FALSE())),"?TYPE_IDENTIFIABLE","?REFERENTIAL"),"_")))))</f>
        <v> </v>
      </c>
      <c r="H4274" s="24" t="str">
        <f>IF(J4274&lt;&gt;1,"",IF(I4274="SBJ","CB","?"))</f>
        <v> </v>
      </c>
      <c r="I4274" s="25" t="str">
        <f>IF(OR(E4274="",E4274="!!!",F4274="NEW"),"",INDEX(B4273:B$2,-1+SUMPRODUCT(MAX(ROW(E4273:E$2)*(E4274=E4273:E$2)))))</f>
        <v> </v>
      </c>
      <c r="J4274" s="25" t="str">
        <f>IF(OR(E4274="",E4274="!!!",F4274="NEW"),"",COUNTBLANK(OFFSET(A$1,,,SUMPRODUCT(MAX(ROW(E$2:E4274)*(E4274=E$2:E4274)))))-COUNTBLANK(OFFSET(A$1,,,SUMPRODUCT(MAX(ROW(E$1:E4273)*(E2=E$1:E4273))))))</f>
        <v> </v>
      </c>
      <c r="K4274" s="25" t="str">
        <f>IF(OR(E4274="",E4274="!!!",F4274="NEW"),"",INDEX(J$1:J4273,SUMPRODUCT(MAX(ROW(E$1:E4273)*(E4274=E$1:E4273)))))</f>
        <v> </v>
      </c>
      <c r="L4274" s="26"/>
    </row>
    <row r="4275" spans="1:12">
      <c r="A4275" s="20" t="s">
        <v>1087</v>
      </c>
      <c r="E4275" s="21">
        <f>IF(D4275="?OLD","!!!","")</f>
        <v/>
      </c>
      <c r="F4275" s="22" t="str">
        <f>IF(OR(E4275="",E4275="!!!"),"",IF(NOT(ISNA(VLOOKUP(E4275,E$1:E4274,1,FALSE()))),"OLD",IF(AND(E4275&lt;&gt;"",E4275&lt;&gt;"!!!"),"NEW","")))</f>
        <v> </v>
      </c>
      <c r="G4275" s="23" t="str">
        <f>IF(OR(E4275="",E4275="!!!"),"",IF(OR(J4275=0,AND(J4275=1,K4275=1),AND(J4275=1,I4275="SBJ"),AND(J4275=1,I4275=0)),"?IN_FOCUS",IF(J4275&lt;=2,"?ACTIVATED",IF(J4275&lt;&gt;"","?FAMILIAR",IF(F4275="NEW",IF(ISNA(VLOOKUP(E4275,#REF!,1,FALSE())),"?TYPE_IDENTIFIABLE","?REFERENTIAL"),"_")))))</f>
        <v> </v>
      </c>
      <c r="H4275" s="24" t="str">
        <f>IF(J4275&lt;&gt;1,"",IF(I4275="SBJ","CB","?"))</f>
        <v> </v>
      </c>
      <c r="I4275" s="25" t="str">
        <f>IF(OR(E4275="",E4275="!!!",F4275="NEW"),"",INDEX(B4274:B$2,-1+SUMPRODUCT(MAX(ROW(E4274:E$2)*(E4275=E4274:E$2)))))</f>
        <v> </v>
      </c>
      <c r="J4275" s="25" t="str">
        <f>IF(OR(E4275="",E4275="!!!",F4275="NEW"),"",COUNTBLANK(OFFSET(A$1,,,SUMPRODUCT(MAX(ROW(E$2:E4275)*(E4275=E$2:E4275)))))-COUNTBLANK(OFFSET(A$1,,,SUMPRODUCT(MAX(ROW(E$1:E4274)*(E2=E$1:E4274))))))</f>
        <v> </v>
      </c>
      <c r="K4275" s="25" t="str">
        <f>IF(OR(E4275="",E4275="!!!",F4275="NEW"),"",INDEX(J$1:J4274,SUMPRODUCT(MAX(ROW(E$1:E4274)*(E4275=E$1:E4274)))))</f>
        <v> </v>
      </c>
      <c r="L4275" s="26"/>
    </row>
    <row r="4276" spans="1:12">
      <c r="A4276" s="20" t="s">
        <v>2150</v>
      </c>
      <c r="E4276" s="21">
        <f>IF(D4276="?OLD","!!!","")</f>
        <v/>
      </c>
      <c r="F4276" s="22" t="str">
        <f>IF(OR(E4276="",E4276="!!!"),"",IF(NOT(ISNA(VLOOKUP(E4276,E$1:E4275,1,FALSE()))),"OLD",IF(AND(E4276&lt;&gt;"",E4276&lt;&gt;"!!!"),"NEW","")))</f>
        <v> </v>
      </c>
      <c r="G4276" s="23" t="str">
        <f>IF(OR(E4276="",E4276="!!!"),"",IF(OR(J4276=0,AND(J4276=1,K4276=1),AND(J4276=1,I4276="SBJ"),AND(J4276=1,I4276=0)),"?IN_FOCUS",IF(J4276&lt;=2,"?ACTIVATED",IF(J4276&lt;&gt;"","?FAMILIAR",IF(F4276="NEW",IF(ISNA(VLOOKUP(E4276,#REF!,1,FALSE())),"?TYPE_IDENTIFIABLE","?REFERENTIAL"),"_")))))</f>
        <v> </v>
      </c>
      <c r="H4276" s="24" t="str">
        <f>IF(J4276&lt;&gt;1,"",IF(I4276="SBJ","CB","?"))</f>
        <v> </v>
      </c>
      <c r="I4276" s="25" t="str">
        <f>IF(OR(E4276="",E4276="!!!",F4276="NEW"),"",INDEX(B4275:B$2,-1+SUMPRODUCT(MAX(ROW(E4275:E$2)*(E4276=E4275:E$2)))))</f>
        <v> </v>
      </c>
      <c r="J4276" s="25" t="str">
        <f>IF(OR(E4276="",E4276="!!!",F4276="NEW"),"",COUNTBLANK(OFFSET(A$1,,,SUMPRODUCT(MAX(ROW(E$2:E4276)*(E4276=E$2:E4276)))))-COUNTBLANK(OFFSET(A$1,,,SUMPRODUCT(MAX(ROW(E$1:E4275)*(E2=E$1:E4275))))))</f>
        <v> </v>
      </c>
      <c r="K4276" s="25" t="str">
        <f>IF(OR(E4276="",E4276="!!!",F4276="NEW"),"",INDEX(J$1:J4275,SUMPRODUCT(MAX(ROW(E$1:E4275)*(E4276=E$1:E4275)))))</f>
        <v> </v>
      </c>
      <c r="L4276" s="26"/>
    </row>
    <row r="4277" spans="1:12">
      <c r="A4277" s="20" t="s">
        <v>1083</v>
      </c>
      <c r="B4277" s="27" t="s">
        <v>1067</v>
      </c>
      <c r="E4277" s="21">
        <f>IF(D4277="?OLD","!!!","")</f>
        <v/>
      </c>
      <c r="F4277" s="22" t="str">
        <f>IF(OR(E4277="",E4277="!!!"),"",IF(NOT(ISNA(VLOOKUP(E4277,E$1:E4276,1,FALSE()))),"OLD",IF(AND(E4277&lt;&gt;"",E4277&lt;&gt;"!!!"),"NEW","")))</f>
        <v> </v>
      </c>
      <c r="G4277" s="23" t="str">
        <f>IF(OR(E4277="",E4277="!!!"),"",IF(OR(J4277=0,AND(J4277=1,K4277=1),AND(J4277=1,I4277="SBJ"),AND(J4277=1,I4277=0)),"?IN_FOCUS",IF(J4277&lt;=2,"?ACTIVATED",IF(J4277&lt;&gt;"","?FAMILIAR",IF(F4277="NEW",IF(ISNA(VLOOKUP(E4277,#REF!,1,FALSE())),"?TYPE_IDENTIFIABLE","?REFERENTIAL"),"_")))))</f>
        <v> </v>
      </c>
      <c r="H4277" s="24" t="str">
        <f>IF(J4277&lt;&gt;1,"",IF(I4277="SBJ","CB","?"))</f>
        <v> </v>
      </c>
      <c r="I4277" s="25" t="str">
        <f>IF(OR(E4277="",E4277="!!!",F4277="NEW"),"",INDEX(B4276:B$2,-1+SUMPRODUCT(MAX(ROW(E4276:E$2)*(E4277=E4276:E$2)))))</f>
        <v> </v>
      </c>
      <c r="J4277" s="25" t="str">
        <f>IF(OR(E4277="",E4277="!!!",F4277="NEW"),"",COUNTBLANK(OFFSET(A$1,,,SUMPRODUCT(MAX(ROW(E$2:E4277)*(E4277=E$2:E4277)))))-COUNTBLANK(OFFSET(A$1,,,SUMPRODUCT(MAX(ROW(E$1:E4276)*(E2=E$1:E4276))))))</f>
        <v> </v>
      </c>
      <c r="K4277" s="25" t="str">
        <f>IF(OR(E4277="",E4277="!!!",F4277="NEW"),"",INDEX(J$1:J4276,SUMPRODUCT(MAX(ROW(E$1:E4276)*(E4277=E$1:E4276)))))</f>
        <v> </v>
      </c>
      <c r="L4277" s="26"/>
    </row>
    <row r="4278" spans="1:12">
      <c r="A4278" s="20" t="s">
        <v>1870</v>
      </c>
      <c r="E4278" s="21">
        <f>IF(D4278="?OLD","!!!","")</f>
        <v/>
      </c>
      <c r="F4278" s="22" t="str">
        <f>IF(OR(E4278="",E4278="!!!"),"",IF(NOT(ISNA(VLOOKUP(E4278,E$1:E4277,1,FALSE()))),"OLD",IF(AND(E4278&lt;&gt;"",E4278&lt;&gt;"!!!"),"NEW","")))</f>
        <v> </v>
      </c>
      <c r="G4278" s="23" t="str">
        <f>IF(OR(E4278="",E4278="!!!"),"",IF(OR(J4278=0,AND(J4278=1,K4278=1),AND(J4278=1,I4278="SBJ"),AND(J4278=1,I4278=0)),"?IN_FOCUS",IF(J4278&lt;=2,"?ACTIVATED",IF(J4278&lt;&gt;"","?FAMILIAR",IF(F4278="NEW",IF(ISNA(VLOOKUP(E4278,#REF!,1,FALSE())),"?TYPE_IDENTIFIABLE","?REFERENTIAL"),"_")))))</f>
        <v> </v>
      </c>
      <c r="H4278" s="24" t="str">
        <f>IF(J4278&lt;&gt;1,"",IF(I4278="SBJ","CB","?"))</f>
        <v> </v>
      </c>
      <c r="I4278" s="25" t="str">
        <f>IF(OR(E4278="",E4278="!!!",F4278="NEW"),"",INDEX(B4277:B$2,-1+SUMPRODUCT(MAX(ROW(E4277:E$2)*(E4278=E4277:E$2)))))</f>
        <v> </v>
      </c>
      <c r="J4278" s="25" t="str">
        <f>IF(OR(E4278="",E4278="!!!",F4278="NEW"),"",COUNTBLANK(OFFSET(A$1,,,SUMPRODUCT(MAX(ROW(E$2:E4278)*(E4278=E$2:E4278)))))-COUNTBLANK(OFFSET(A$1,,,SUMPRODUCT(MAX(ROW(E$1:E4277)*(E2=E$1:E4277))))))</f>
        <v> </v>
      </c>
      <c r="K4278" s="25" t="str">
        <f>IF(OR(E4278="",E4278="!!!",F4278="NEW"),"",INDEX(J$1:J4277,SUMPRODUCT(MAX(ROW(E$1:E4277)*(E4278=E$1:E4277)))))</f>
        <v> </v>
      </c>
      <c r="L4278" s="26"/>
    </row>
    <row r="4279" spans="1:12">
      <c r="A4279" s="20" t="s">
        <v>875</v>
      </c>
      <c r="E4279" s="21">
        <f>IF(D4279="?OLD","!!!","")</f>
        <v/>
      </c>
      <c r="F4279" s="22" t="str">
        <f>IF(OR(E4279="",E4279="!!!"),"",IF(NOT(ISNA(VLOOKUP(E4279,E$1:E4278,1,FALSE()))),"OLD",IF(AND(E4279&lt;&gt;"",E4279&lt;&gt;"!!!"),"NEW","")))</f>
        <v> </v>
      </c>
      <c r="G4279" s="23" t="str">
        <f>IF(OR(E4279="",E4279="!!!"),"",IF(OR(J4279=0,AND(J4279=1,K4279=1),AND(J4279=1,I4279="SBJ"),AND(J4279=1,I4279=0)),"?IN_FOCUS",IF(J4279&lt;=2,"?ACTIVATED",IF(J4279&lt;&gt;"","?FAMILIAR",IF(F4279="NEW",IF(ISNA(VLOOKUP(E4279,#REF!,1,FALSE())),"?TYPE_IDENTIFIABLE","?REFERENTIAL"),"_")))))</f>
        <v> </v>
      </c>
      <c r="H4279" s="24" t="str">
        <f>IF(J4279&lt;&gt;1,"",IF(I4279="SBJ","CB","?"))</f>
        <v> </v>
      </c>
      <c r="I4279" s="25" t="str">
        <f>IF(OR(E4279="",E4279="!!!",F4279="NEW"),"",INDEX(B4278:B$2,-1+SUMPRODUCT(MAX(ROW(E4278:E$2)*(E4279=E4278:E$2)))))</f>
        <v> </v>
      </c>
      <c r="J4279" s="25" t="str">
        <f>IF(OR(E4279="",E4279="!!!",F4279="NEW"),"",COUNTBLANK(OFFSET(A$1,,,SUMPRODUCT(MAX(ROW(E$2:E4279)*(E4279=E$2:E4279)))))-COUNTBLANK(OFFSET(A$1,,,SUMPRODUCT(MAX(ROW(E$1:E4278)*(E2=E$1:E4278))))))</f>
        <v> </v>
      </c>
      <c r="K4279" s="25" t="str">
        <f>IF(OR(E4279="",E4279="!!!",F4279="NEW"),"",INDEX(J$1:J4278,SUMPRODUCT(MAX(ROW(E$1:E4278)*(E4279=E$1:E4278)))))</f>
        <v> </v>
      </c>
      <c r="L4279" s="26"/>
    </row>
    <row r="4280" spans="1:12">
      <c r="A4280" s="20" t="s">
        <v>1080</v>
      </c>
      <c r="E4280" s="21">
        <f>IF(D4280="?OLD","!!!","")</f>
        <v/>
      </c>
      <c r="F4280" s="22" t="str">
        <f>IF(OR(E4280="",E4280="!!!"),"",IF(NOT(ISNA(VLOOKUP(E4280,E$1:E4279,1,FALSE()))),"OLD",IF(AND(E4280&lt;&gt;"",E4280&lt;&gt;"!!!"),"NEW","")))</f>
        <v> </v>
      </c>
      <c r="G4280" s="23" t="str">
        <f>IF(OR(E4280="",E4280="!!!"),"",IF(OR(J4280=0,AND(J4280=1,K4280=1),AND(J4280=1,I4280="SBJ"),AND(J4280=1,I4280=0)),"?IN_FOCUS",IF(J4280&lt;=2,"?ACTIVATED",IF(J4280&lt;&gt;"","?FAMILIAR",IF(F4280="NEW",IF(ISNA(VLOOKUP(E4280,#REF!,1,FALSE())),"?TYPE_IDENTIFIABLE","?REFERENTIAL"),"_")))))</f>
        <v> </v>
      </c>
      <c r="H4280" s="24" t="str">
        <f>IF(J4280&lt;&gt;1,"",IF(I4280="SBJ","CB","?"))</f>
        <v> </v>
      </c>
      <c r="I4280" s="25" t="str">
        <f>IF(OR(E4280="",E4280="!!!",F4280="NEW"),"",INDEX(B4279:B$2,-1+SUMPRODUCT(MAX(ROW(E4279:E$2)*(E4280=E4279:E$2)))))</f>
        <v> </v>
      </c>
      <c r="J4280" s="25" t="str">
        <f>IF(OR(E4280="",E4280="!!!",F4280="NEW"),"",COUNTBLANK(OFFSET(A$1,,,SUMPRODUCT(MAX(ROW(E$2:E4280)*(E4280=E$2:E4280)))))-COUNTBLANK(OFFSET(A$1,,,SUMPRODUCT(MAX(ROW(E$1:E4279)*(E2=E$1:E4279))))))</f>
        <v> </v>
      </c>
      <c r="K4280" s="25" t="str">
        <f>IF(OR(E4280="",E4280="!!!",F4280="NEW"),"",INDEX(J$1:J4279,SUMPRODUCT(MAX(ROW(E$1:E4279)*(E4280=E$1:E4279)))))</f>
        <v> </v>
      </c>
      <c r="L4280" s="26"/>
    </row>
    <row r="4281" spans="1:12">
      <c r="A4281" s="20"/>
    </row>
    <row r="4282" spans="1:12">
      <c r="A4282" s="20" t="s">
        <v>2364</v>
      </c>
    </row>
    <row r="4283" spans="1:12">
      <c r="A4283" s="20" t="s">
        <v>1082</v>
      </c>
      <c r="E4283" s="21">
        <f>IF(D4283="?OLD","!!!","")</f>
        <v/>
      </c>
      <c r="F4283" s="22" t="str">
        <f>IF(OR(E4283="",E4283="!!!"),"",IF(NOT(ISNA(VLOOKUP(E4283,E$1:E4282,1,FALSE()))),"OLD",IF(AND(E4283&lt;&gt;"",E4283&lt;&gt;"!!!"),"NEW","")))</f>
        <v> </v>
      </c>
      <c r="G4283" s="23" t="str">
        <f>IF(OR(E4283="",E4283="!!!"),"",IF(OR(J4283=0,AND(J4283=1,K4283=1),AND(J4283=1,I4283="SBJ"),AND(J4283=1,I4283=0)),"?IN_FOCUS",IF(J4283&lt;=2,"?ACTIVATED",IF(J4283&lt;&gt;"","?FAMILIAR",IF(F4283="NEW",IF(ISNA(VLOOKUP(E4283,#REF!,1,FALSE())),"?TYPE_IDENTIFIABLE","?REFERENTIAL"),"_")))))</f>
        <v> </v>
      </c>
      <c r="H4283" s="24" t="str">
        <f>IF(J4283&lt;&gt;1,"",IF(I4283="SBJ","CB","?"))</f>
        <v> </v>
      </c>
      <c r="I4283" s="25" t="str">
        <f>IF(OR(E4283="",E4283="!!!",F4283="NEW"),"",INDEX(B4282:B$2,-1+SUMPRODUCT(MAX(ROW(E4282:E$2)*(E4283=E4282:E$2)))))</f>
        <v> </v>
      </c>
      <c r="J4283" s="25" t="str">
        <f>IF(OR(E4283="",E4283="!!!",F4283="NEW"),"",COUNTBLANK(OFFSET(A$1,,,SUMPRODUCT(MAX(ROW(E$2:E4283)*(E4283=E$2:E4283)))))-COUNTBLANK(OFFSET(A$1,,,SUMPRODUCT(MAX(ROW(E$1:E4282)*(E2=E$1:E4282))))))</f>
        <v> </v>
      </c>
      <c r="K4283" s="25" t="str">
        <f>IF(OR(E4283="",E4283="!!!",F4283="NEW"),"",INDEX(J$1:J4282,SUMPRODUCT(MAX(ROW(E$1:E4282)*(E4283=E$1:E4282)))))</f>
        <v> </v>
      </c>
      <c r="L4283" s="26"/>
    </row>
    <row r="4284" spans="1:12">
      <c r="A4284" s="20" t="s">
        <v>2365</v>
      </c>
      <c r="E4284" s="21">
        <f>IF(D4284="?OLD","!!!","")</f>
        <v/>
      </c>
      <c r="F4284" s="22" t="str">
        <f>IF(OR(E4284="",E4284="!!!"),"",IF(NOT(ISNA(VLOOKUP(E4284,E$1:E4283,1,FALSE()))),"OLD",IF(AND(E4284&lt;&gt;"",E4284&lt;&gt;"!!!"),"NEW","")))</f>
        <v> </v>
      </c>
      <c r="G4284" s="23" t="str">
        <f>IF(OR(E4284="",E4284="!!!"),"",IF(OR(J4284=0,AND(J4284=1,K4284=1),AND(J4284=1,I4284="SBJ"),AND(J4284=1,I4284=0)),"?IN_FOCUS",IF(J4284&lt;=2,"?ACTIVATED",IF(J4284&lt;&gt;"","?FAMILIAR",IF(F4284="NEW",IF(ISNA(VLOOKUP(E4284,#REF!,1,FALSE())),"?TYPE_IDENTIFIABLE","?REFERENTIAL"),"_")))))</f>
        <v> </v>
      </c>
      <c r="H4284" s="24" t="str">
        <f>IF(J4284&lt;&gt;1,"",IF(I4284="SBJ","CB","?"))</f>
        <v> </v>
      </c>
      <c r="I4284" s="25" t="str">
        <f>IF(OR(E4284="",E4284="!!!",F4284="NEW"),"",INDEX(B4283:B$2,-1+SUMPRODUCT(MAX(ROW(E4283:E$2)*(E4284=E4283:E$2)))))</f>
        <v> </v>
      </c>
      <c r="J4284" s="25" t="str">
        <f>IF(OR(E4284="",E4284="!!!",F4284="NEW"),"",COUNTBLANK(OFFSET(A$1,,,SUMPRODUCT(MAX(ROW(E$2:E4284)*(E4284=E$2:E4284)))))-COUNTBLANK(OFFSET(A$1,,,SUMPRODUCT(MAX(ROW(E$1:E4283)*(E2=E$1:E4283))))))</f>
        <v> </v>
      </c>
      <c r="K4284" s="25" t="str">
        <f>IF(OR(E4284="",E4284="!!!",F4284="NEW"),"",INDEX(J$1:J4283,SUMPRODUCT(MAX(ROW(E$1:E4283)*(E4284=E$1:E4283)))))</f>
        <v> </v>
      </c>
      <c r="L4284" s="26"/>
    </row>
    <row r="4285" spans="1:12">
      <c r="A4285" s="20" t="s">
        <v>1299</v>
      </c>
      <c r="E4285" s="21">
        <f>IF(D4285="?OLD","!!!","")</f>
        <v/>
      </c>
      <c r="F4285" s="22" t="str">
        <f>IF(OR(E4285="",E4285="!!!"),"",IF(NOT(ISNA(VLOOKUP(E4285,E$1:E4284,1,FALSE()))),"OLD",IF(AND(E4285&lt;&gt;"",E4285&lt;&gt;"!!!"),"NEW","")))</f>
        <v> </v>
      </c>
      <c r="G4285" s="23" t="str">
        <f>IF(OR(E4285="",E4285="!!!"),"",IF(OR(J4285=0,AND(J4285=1,K4285=1),AND(J4285=1,I4285="SBJ"),AND(J4285=1,I4285=0)),"?IN_FOCUS",IF(J4285&lt;=2,"?ACTIVATED",IF(J4285&lt;&gt;"","?FAMILIAR",IF(F4285="NEW",IF(ISNA(VLOOKUP(E4285,#REF!,1,FALSE())),"?TYPE_IDENTIFIABLE","?REFERENTIAL"),"_")))))</f>
        <v> </v>
      </c>
      <c r="H4285" s="24" t="str">
        <f>IF(J4285&lt;&gt;1,"",IF(I4285="SBJ","CB","?"))</f>
        <v> </v>
      </c>
      <c r="I4285" s="25" t="str">
        <f>IF(OR(E4285="",E4285="!!!",F4285="NEW"),"",INDEX(B4284:B$2,-1+SUMPRODUCT(MAX(ROW(E4284:E$2)*(E4285=E4284:E$2)))))</f>
        <v> </v>
      </c>
      <c r="J4285" s="25" t="str">
        <f>IF(OR(E4285="",E4285="!!!",F4285="NEW"),"",COUNTBLANK(OFFSET(A$1,,,SUMPRODUCT(MAX(ROW(E$2:E4285)*(E4285=E$2:E4285)))))-COUNTBLANK(OFFSET(A$1,,,SUMPRODUCT(MAX(ROW(E$1:E4284)*(E2=E$1:E4284))))))</f>
        <v> </v>
      </c>
      <c r="K4285" s="25" t="str">
        <f>IF(OR(E4285="",E4285="!!!",F4285="NEW"),"",INDEX(J$1:J4284,SUMPRODUCT(MAX(ROW(E$1:E4284)*(E4285=E$1:E4284)))))</f>
        <v> </v>
      </c>
      <c r="L4285" s="26"/>
    </row>
    <row r="4286" spans="1:12">
      <c r="A4286" s="20" t="s">
        <v>1167</v>
      </c>
      <c r="E4286" s="21">
        <f>IF(D4286="?OLD","!!!","")</f>
        <v/>
      </c>
      <c r="F4286" s="22" t="str">
        <f>IF(OR(E4286="",E4286="!!!"),"",IF(NOT(ISNA(VLOOKUP(E4286,E$1:E4285,1,FALSE()))),"OLD",IF(AND(E4286&lt;&gt;"",E4286&lt;&gt;"!!!"),"NEW","")))</f>
        <v> </v>
      </c>
      <c r="G4286" s="23" t="str">
        <f>IF(OR(E4286="",E4286="!!!"),"",IF(OR(J4286=0,AND(J4286=1,K4286=1),AND(J4286=1,I4286="SBJ"),AND(J4286=1,I4286=0)),"?IN_FOCUS",IF(J4286&lt;=2,"?ACTIVATED",IF(J4286&lt;&gt;"","?FAMILIAR",IF(F4286="NEW",IF(ISNA(VLOOKUP(E4286,#REF!,1,FALSE())),"?TYPE_IDENTIFIABLE","?REFERENTIAL"),"_")))))</f>
        <v> </v>
      </c>
      <c r="H4286" s="24" t="str">
        <f>IF(J4286&lt;&gt;1,"",IF(I4286="SBJ","CB","?"))</f>
        <v> </v>
      </c>
      <c r="I4286" s="25" t="str">
        <f>IF(OR(E4286="",E4286="!!!",F4286="NEW"),"",INDEX(B4285:B$2,-1+SUMPRODUCT(MAX(ROW(E4285:E$2)*(E4286=E4285:E$2)))))</f>
        <v> </v>
      </c>
      <c r="J4286" s="25" t="str">
        <f>IF(OR(E4286="",E4286="!!!",F4286="NEW"),"",COUNTBLANK(OFFSET(A$1,,,SUMPRODUCT(MAX(ROW(E$2:E4286)*(E4286=E$2:E4286)))))-COUNTBLANK(OFFSET(A$1,,,SUMPRODUCT(MAX(ROW(E$1:E4285)*(E2=E$1:E4285))))))</f>
        <v> </v>
      </c>
      <c r="K4286" s="25" t="str">
        <f>IF(OR(E4286="",E4286="!!!",F4286="NEW"),"",INDEX(J$1:J4285,SUMPRODUCT(MAX(ROW(E$1:E4285)*(E4286=E$1:E4285)))))</f>
        <v> </v>
      </c>
      <c r="L4286" s="26"/>
    </row>
    <row r="4287" spans="1:12">
      <c r="A4287" s="20" t="s">
        <v>2018</v>
      </c>
      <c r="E4287" s="21">
        <f>IF(D4287="?OLD","!!!","")</f>
        <v/>
      </c>
      <c r="F4287" s="22" t="str">
        <f>IF(OR(E4287="",E4287="!!!"),"",IF(NOT(ISNA(VLOOKUP(E4287,E$1:E4286,1,FALSE()))),"OLD",IF(AND(E4287&lt;&gt;"",E4287&lt;&gt;"!!!"),"NEW","")))</f>
        <v> </v>
      </c>
      <c r="G4287" s="23" t="str">
        <f>IF(OR(E4287="",E4287="!!!"),"",IF(OR(J4287=0,AND(J4287=1,K4287=1),AND(J4287=1,I4287="SBJ"),AND(J4287=1,I4287=0)),"?IN_FOCUS",IF(J4287&lt;=2,"?ACTIVATED",IF(J4287&lt;&gt;"","?FAMILIAR",IF(F4287="NEW",IF(ISNA(VLOOKUP(E4287,#REF!,1,FALSE())),"?TYPE_IDENTIFIABLE","?REFERENTIAL"),"_")))))</f>
        <v> </v>
      </c>
      <c r="H4287" s="24" t="str">
        <f>IF(J4287&lt;&gt;1,"",IF(I4287="SBJ","CB","?"))</f>
        <v> </v>
      </c>
      <c r="I4287" s="25" t="str">
        <f>IF(OR(E4287="",E4287="!!!",F4287="NEW"),"",INDEX(B4286:B$2,-1+SUMPRODUCT(MAX(ROW(E4286:E$2)*(E4287=E4286:E$2)))))</f>
        <v> </v>
      </c>
      <c r="J4287" s="25" t="str">
        <f>IF(OR(E4287="",E4287="!!!",F4287="NEW"),"",COUNTBLANK(OFFSET(A$1,,,SUMPRODUCT(MAX(ROW(E$2:E4287)*(E4287=E$2:E4287)))))-COUNTBLANK(OFFSET(A$1,,,SUMPRODUCT(MAX(ROW(E$1:E4286)*(E2=E$1:E4286))))))</f>
        <v> </v>
      </c>
      <c r="K4287" s="25" t="str">
        <f>IF(OR(E4287="",E4287="!!!",F4287="NEW"),"",INDEX(J$1:J4286,SUMPRODUCT(MAX(ROW(E$1:E4286)*(E4287=E$1:E4286)))))</f>
        <v> </v>
      </c>
      <c r="L4287" s="26"/>
    </row>
    <row r="4288" spans="1:12">
      <c r="A4288" s="20" t="s">
        <v>2366</v>
      </c>
      <c r="B4288" s="27" t="s">
        <v>1160</v>
      </c>
      <c r="C4288" s="27" t="s">
        <v>1077</v>
      </c>
      <c r="E4288" s="21">
        <f>IF(D4288="?OLD","!!!","")</f>
        <v/>
      </c>
      <c r="F4288" s="22" t="str">
        <f>IF(OR(E4288="",E4288="!!!"),"",IF(NOT(ISNA(VLOOKUP(E4288,E$1:E4287,1,FALSE()))),"OLD",IF(AND(E4288&lt;&gt;"",E4288&lt;&gt;"!!!"),"NEW","")))</f>
        <v> </v>
      </c>
      <c r="G4288" s="23" t="str">
        <f>IF(OR(E4288="",E4288="!!!"),"",IF(OR(J4288=0,AND(J4288=1,K4288=1),AND(J4288=1,I4288="SBJ"),AND(J4288=1,I4288=0)),"?IN_FOCUS",IF(J4288&lt;=2,"?ACTIVATED",IF(J4288&lt;&gt;"","?FAMILIAR",IF(F4288="NEW",IF(ISNA(VLOOKUP(E4288,#REF!,1,FALSE())),"?TYPE_IDENTIFIABLE","?REFERENTIAL"),"_")))))</f>
        <v> </v>
      </c>
      <c r="H4288" s="24" t="str">
        <f>IF(J4288&lt;&gt;1,"",IF(I4288="SBJ","CB","?"))</f>
        <v> </v>
      </c>
      <c r="I4288" s="25" t="str">
        <f>IF(OR(E4288="",E4288="!!!",F4288="NEW"),"",INDEX(B4287:B$2,-1+SUMPRODUCT(MAX(ROW(E4287:E$2)*(E4288=E4287:E$2)))))</f>
        <v> </v>
      </c>
      <c r="J4288" s="25" t="str">
        <f>IF(OR(E4288="",E4288="!!!",F4288="NEW"),"",COUNTBLANK(OFFSET(A$1,,,SUMPRODUCT(MAX(ROW(E$2:E4288)*(E4288=E$2:E4288)))))-COUNTBLANK(OFFSET(A$1,,,SUMPRODUCT(MAX(ROW(E$1:E4287)*(E2=E$1:E4287))))))</f>
        <v> </v>
      </c>
      <c r="K4288" s="25" t="str">
        <f>IF(OR(E4288="",E4288="!!!",F4288="NEW"),"",INDEX(J$1:J4287,SUMPRODUCT(MAX(ROW(E$1:E4287)*(E4288=E$1:E4287)))))</f>
        <v> </v>
      </c>
      <c r="L4288" s="26"/>
    </row>
    <row r="4289" spans="1:12">
      <c r="A4289" s="20" t="s">
        <v>1199</v>
      </c>
      <c r="E4289" s="21">
        <f>IF(D4289="?OLD","!!!","")</f>
        <v/>
      </c>
      <c r="F4289" s="22" t="str">
        <f>IF(OR(E4289="",E4289="!!!"),"",IF(NOT(ISNA(VLOOKUP(E4289,E$1:E4288,1,FALSE()))),"OLD",IF(AND(E4289&lt;&gt;"",E4289&lt;&gt;"!!!"),"NEW","")))</f>
        <v> </v>
      </c>
      <c r="G4289" s="23" t="str">
        <f>IF(OR(E4289="",E4289="!!!"),"",IF(OR(J4289=0,AND(J4289=1,K4289=1),AND(J4289=1,I4289="SBJ"),AND(J4289=1,I4289=0)),"?IN_FOCUS",IF(J4289&lt;=2,"?ACTIVATED",IF(J4289&lt;&gt;"","?FAMILIAR",IF(F4289="NEW",IF(ISNA(VLOOKUP(E4289,#REF!,1,FALSE())),"?TYPE_IDENTIFIABLE","?REFERENTIAL"),"_")))))</f>
        <v> </v>
      </c>
      <c r="H4289" s="24" t="str">
        <f>IF(J4289&lt;&gt;1,"",IF(I4289="SBJ","CB","?"))</f>
        <v> </v>
      </c>
      <c r="I4289" s="25" t="str">
        <f>IF(OR(E4289="",E4289="!!!",F4289="NEW"),"",INDEX(B4288:B$2,-1+SUMPRODUCT(MAX(ROW(E4288:E$2)*(E4289=E4288:E$2)))))</f>
        <v> </v>
      </c>
      <c r="J4289" s="25" t="str">
        <f>IF(OR(E4289="",E4289="!!!",F4289="NEW"),"",COUNTBLANK(OFFSET(A$1,,,SUMPRODUCT(MAX(ROW(E$2:E4289)*(E4289=E$2:E4289)))))-COUNTBLANK(OFFSET(A$1,,,SUMPRODUCT(MAX(ROW(E$1:E4288)*(E2=E$1:E4288))))))</f>
        <v> </v>
      </c>
      <c r="K4289" s="25" t="str">
        <f>IF(OR(E4289="",E4289="!!!",F4289="NEW"),"",INDEX(J$1:J4288,SUMPRODUCT(MAX(ROW(E$1:E4288)*(E4289=E$1:E4288)))))</f>
        <v> </v>
      </c>
      <c r="L4289" s="26"/>
    </row>
    <row r="4290" spans="1:12">
      <c r="A4290" s="20" t="s">
        <v>1894</v>
      </c>
      <c r="B4290" s="27" t="s">
        <v>1071</v>
      </c>
      <c r="C4290" s="27" t="s">
        <v>1077</v>
      </c>
      <c r="E4290" s="21">
        <f>IF(D4290="?OLD","!!!","")</f>
        <v/>
      </c>
      <c r="F4290" s="22" t="str">
        <f>IF(OR(E4290="",E4290="!!!"),"",IF(NOT(ISNA(VLOOKUP(E4290,E$1:E4289,1,FALSE()))),"OLD",IF(AND(E4290&lt;&gt;"",E4290&lt;&gt;"!!!"),"NEW","")))</f>
        <v> </v>
      </c>
      <c r="G4290" s="23" t="str">
        <f>IF(OR(E4290="",E4290="!!!"),"",IF(OR(J4290=0,AND(J4290=1,K4290=1),AND(J4290=1,I4290="SBJ"),AND(J4290=1,I4290=0)),"?IN_FOCUS",IF(J4290&lt;=2,"?ACTIVATED",IF(J4290&lt;&gt;"","?FAMILIAR",IF(F4290="NEW",IF(ISNA(VLOOKUP(E4290,#REF!,1,FALSE())),"?TYPE_IDENTIFIABLE","?REFERENTIAL"),"_")))))</f>
        <v> </v>
      </c>
      <c r="H4290" s="24" t="str">
        <f>IF(J4290&lt;&gt;1,"",IF(I4290="SBJ","CB","?"))</f>
        <v> </v>
      </c>
      <c r="I4290" s="25" t="str">
        <f>IF(OR(E4290="",E4290="!!!",F4290="NEW"),"",INDEX(B4289:B$2,-1+SUMPRODUCT(MAX(ROW(E4289:E$2)*(E4290=E4289:E$2)))))</f>
        <v> </v>
      </c>
      <c r="J4290" s="25" t="str">
        <f>IF(OR(E4290="",E4290="!!!",F4290="NEW"),"",COUNTBLANK(OFFSET(A$1,,,SUMPRODUCT(MAX(ROW(E$2:E4290)*(E4290=E$2:E4290)))))-COUNTBLANK(OFFSET(A$1,,,SUMPRODUCT(MAX(ROW(E$1:E4289)*(E2=E$1:E4289))))))</f>
        <v> </v>
      </c>
      <c r="K4290" s="25" t="str">
        <f>IF(OR(E4290="",E4290="!!!",F4290="NEW"),"",INDEX(J$1:J4289,SUMPRODUCT(MAX(ROW(E$1:E4289)*(E4290=E$1:E4289)))))</f>
        <v> </v>
      </c>
      <c r="L4290" s="26"/>
    </row>
    <row r="4291" spans="1:12">
      <c r="A4291" s="20" t="s">
        <v>1087</v>
      </c>
      <c r="E4291" s="21">
        <f>IF(D4291="?OLD","!!!","")</f>
        <v/>
      </c>
      <c r="F4291" s="22" t="str">
        <f>IF(OR(E4291="",E4291="!!!"),"",IF(NOT(ISNA(VLOOKUP(E4291,E$1:E4290,1,FALSE()))),"OLD",IF(AND(E4291&lt;&gt;"",E4291&lt;&gt;"!!!"),"NEW","")))</f>
        <v> </v>
      </c>
      <c r="G4291" s="23" t="str">
        <f>IF(OR(E4291="",E4291="!!!"),"",IF(OR(J4291=0,AND(J4291=1,K4291=1),AND(J4291=1,I4291="SBJ"),AND(J4291=1,I4291=0)),"?IN_FOCUS",IF(J4291&lt;=2,"?ACTIVATED",IF(J4291&lt;&gt;"","?FAMILIAR",IF(F4291="NEW",IF(ISNA(VLOOKUP(E4291,#REF!,1,FALSE())),"?TYPE_IDENTIFIABLE","?REFERENTIAL"),"_")))))</f>
        <v> </v>
      </c>
      <c r="H4291" s="24" t="str">
        <f>IF(J4291&lt;&gt;1,"",IF(I4291="SBJ","CB","?"))</f>
        <v> </v>
      </c>
      <c r="I4291" s="25" t="str">
        <f>IF(OR(E4291="",E4291="!!!",F4291="NEW"),"",INDEX(B4290:B$2,-1+SUMPRODUCT(MAX(ROW(E4290:E$2)*(E4291=E4290:E$2)))))</f>
        <v> </v>
      </c>
      <c r="J4291" s="25" t="str">
        <f>IF(OR(E4291="",E4291="!!!",F4291="NEW"),"",COUNTBLANK(OFFSET(A$1,,,SUMPRODUCT(MAX(ROW(E$2:E4291)*(E4291=E$2:E4291)))))-COUNTBLANK(OFFSET(A$1,,,SUMPRODUCT(MAX(ROW(E$1:E4290)*(E2=E$1:E4290))))))</f>
        <v> </v>
      </c>
      <c r="K4291" s="25" t="str">
        <f>IF(OR(E4291="",E4291="!!!",F4291="NEW"),"",INDEX(J$1:J4290,SUMPRODUCT(MAX(ROW(E$1:E4290)*(E4291=E$1:E4290)))))</f>
        <v> </v>
      </c>
      <c r="L4291" s="26"/>
    </row>
    <row r="4292" spans="1:12">
      <c r="A4292" s="20" t="s">
        <v>1078</v>
      </c>
      <c r="E4292" s="21">
        <f>IF(D4292="?OLD","!!!","")</f>
        <v/>
      </c>
      <c r="F4292" s="22" t="str">
        <f>IF(OR(E4292="",E4292="!!!"),"",IF(NOT(ISNA(VLOOKUP(E4292,E$1:E4291,1,FALSE()))),"OLD",IF(AND(E4292&lt;&gt;"",E4292&lt;&gt;"!!!"),"NEW","")))</f>
        <v> </v>
      </c>
      <c r="G4292" s="23" t="str">
        <f>IF(OR(E4292="",E4292="!!!"),"",IF(OR(J4292=0,AND(J4292=1,K4292=1),AND(J4292=1,I4292="SBJ"),AND(J4292=1,I4292=0)),"?IN_FOCUS",IF(J4292&lt;=2,"?ACTIVATED",IF(J4292&lt;&gt;"","?FAMILIAR",IF(F4292="NEW",IF(ISNA(VLOOKUP(E4292,#REF!,1,FALSE())),"?TYPE_IDENTIFIABLE","?REFERENTIAL"),"_")))))</f>
        <v> </v>
      </c>
      <c r="H4292" s="24" t="str">
        <f>IF(J4292&lt;&gt;1,"",IF(I4292="SBJ","CB","?"))</f>
        <v> </v>
      </c>
      <c r="I4292" s="25" t="str">
        <f>IF(OR(E4292="",E4292="!!!",F4292="NEW"),"",INDEX(B4291:B$2,-1+SUMPRODUCT(MAX(ROW(E4291:E$2)*(E4292=E4291:E$2)))))</f>
        <v> </v>
      </c>
      <c r="J4292" s="25" t="str">
        <f>IF(OR(E4292="",E4292="!!!",F4292="NEW"),"",COUNTBLANK(OFFSET(A$1,,,SUMPRODUCT(MAX(ROW(E$2:E4292)*(E4292=E$2:E4292)))))-COUNTBLANK(OFFSET(A$1,,,SUMPRODUCT(MAX(ROW(E$1:E4291)*(E2=E$1:E4291))))))</f>
        <v> </v>
      </c>
      <c r="K4292" s="25" t="str">
        <f>IF(OR(E4292="",E4292="!!!",F4292="NEW"),"",INDEX(J$1:J4291,SUMPRODUCT(MAX(ROW(E$1:E4291)*(E4292=E$1:E4291)))))</f>
        <v> </v>
      </c>
      <c r="L4292" s="26"/>
    </row>
    <row r="4293" spans="1:12">
      <c r="A4293" s="20" t="s">
        <v>1108</v>
      </c>
      <c r="B4293" s="27" t="s">
        <v>1235</v>
      </c>
      <c r="C4293" s="27" t="s">
        <v>1110</v>
      </c>
      <c r="D4293" s="27" t="s">
        <v>1069</v>
      </c>
      <c r="E4293" s="21">
        <f>IF(D4293="?OLD","!!!","")</f>
        <v/>
      </c>
      <c r="F4293" s="22" t="str">
        <f>IF(OR(E4293="",E4293="!!!"),"",IF(NOT(ISNA(VLOOKUP(E4293,E$1:E4292,1,FALSE()))),"OLD",IF(AND(E4293&lt;&gt;"",E4293&lt;&gt;"!!!"),"NEW","")))</f>
        <v> </v>
      </c>
      <c r="G4293" s="23" t="str">
        <f>IF(OR(E4293="",E4293="!!!"),"",IF(OR(J4293=0,AND(J4293=1,K4293=1),AND(J4293=1,I4293="SBJ"),AND(J4293=1,I4293=0)),"?IN_FOCUS",IF(J4293&lt;=2,"?ACTIVATED",IF(J4293&lt;&gt;"","?FAMILIAR",IF(F4293="NEW",IF(ISNA(VLOOKUP(E4293,#REF!,1,FALSE())),"?TYPE_IDENTIFIABLE","?REFERENTIAL"),"_")))))</f>
        <v> </v>
      </c>
      <c r="H4293" s="24" t="str">
        <f>IF(J4293&lt;&gt;1,"",IF(I4293="SBJ","CB","?"))</f>
        <v> </v>
      </c>
      <c r="I4293" s="25" t="str">
        <f>IF(OR(E4293="",E4293="!!!",F4293="NEW"),"",INDEX(B4292:B$2,-1+SUMPRODUCT(MAX(ROW(E4292:E$2)*(E4293=E4292:E$2)))))</f>
        <v> </v>
      </c>
      <c r="J4293" s="25" t="str">
        <f>IF(OR(E4293="",E4293="!!!",F4293="NEW"),"",COUNTBLANK(OFFSET(A$1,,,SUMPRODUCT(MAX(ROW(E$2:E4293)*(E4293=E$2:E4293)))))-COUNTBLANK(OFFSET(A$1,,,SUMPRODUCT(MAX(ROW(E$1:E4292)*(E2=E$1:E4292))))))</f>
        <v> </v>
      </c>
      <c r="K4293" s="25" t="str">
        <f>IF(OR(E4293="",E4293="!!!",F4293="NEW"),"",INDEX(J$1:J4292,SUMPRODUCT(MAX(ROW(E$1:E4292)*(E4293=E$1:E4292)))))</f>
        <v> </v>
      </c>
      <c r="L4293" s="26"/>
    </row>
    <row r="4294" spans="1:12">
      <c r="A4294" s="20" t="s">
        <v>282</v>
      </c>
      <c r="E4294" s="21">
        <f>IF(D4294="?OLD","!!!","")</f>
        <v/>
      </c>
      <c r="F4294" s="22" t="str">
        <f>IF(OR(E4294="",E4294="!!!"),"",IF(NOT(ISNA(VLOOKUP(E4294,E$1:E4293,1,FALSE()))),"OLD",IF(AND(E4294&lt;&gt;"",E4294&lt;&gt;"!!!"),"NEW","")))</f>
        <v> </v>
      </c>
      <c r="G4294" s="23" t="str">
        <f>IF(OR(E4294="",E4294="!!!"),"",IF(OR(J4294=0,AND(J4294=1,K4294=1),AND(J4294=1,I4294="SBJ"),AND(J4294=1,I4294=0)),"?IN_FOCUS",IF(J4294&lt;=2,"?ACTIVATED",IF(J4294&lt;&gt;"","?FAMILIAR",IF(F4294="NEW",IF(ISNA(VLOOKUP(E4294,#REF!,1,FALSE())),"?TYPE_IDENTIFIABLE","?REFERENTIAL"),"_")))))</f>
        <v> </v>
      </c>
      <c r="H4294" s="24" t="str">
        <f>IF(J4294&lt;&gt;1,"",IF(I4294="SBJ","CB","?"))</f>
        <v> </v>
      </c>
      <c r="I4294" s="25" t="str">
        <f>IF(OR(E4294="",E4294="!!!",F4294="NEW"),"",INDEX(B4293:B$2,-1+SUMPRODUCT(MAX(ROW(E4293:E$2)*(E4294=E4293:E$2)))))</f>
        <v> </v>
      </c>
      <c r="J4294" s="25" t="str">
        <f>IF(OR(E4294="",E4294="!!!",F4294="NEW"),"",COUNTBLANK(OFFSET(A$1,,,SUMPRODUCT(MAX(ROW(E$2:E4294)*(E4294=E$2:E4294)))))-COUNTBLANK(OFFSET(A$1,,,SUMPRODUCT(MAX(ROW(E$1:E4293)*(E2=E$1:E4293))))))</f>
        <v> </v>
      </c>
      <c r="K4294" s="25" t="str">
        <f>IF(OR(E4294="",E4294="!!!",F4294="NEW"),"",INDEX(J$1:J4293,SUMPRODUCT(MAX(ROW(E$1:E4293)*(E4294=E$1:E4293)))))</f>
        <v> </v>
      </c>
      <c r="L4294" s="26"/>
    </row>
    <row r="4295" spans="1:12">
      <c r="A4295" s="20" t="s">
        <v>1898</v>
      </c>
      <c r="B4295" s="27" t="s">
        <v>1092</v>
      </c>
      <c r="C4295" s="27" t="s">
        <v>1077</v>
      </c>
      <c r="E4295" s="21">
        <f>IF(D4295="?OLD","!!!","")</f>
        <v/>
      </c>
      <c r="F4295" s="22" t="str">
        <f>IF(OR(E4295="",E4295="!!!"),"",IF(NOT(ISNA(VLOOKUP(E4295,E$1:E4294,1,FALSE()))),"OLD",IF(AND(E4295&lt;&gt;"",E4295&lt;&gt;"!!!"),"NEW","")))</f>
        <v> </v>
      </c>
      <c r="G4295" s="23" t="str">
        <f>IF(OR(E4295="",E4295="!!!"),"",IF(OR(J4295=0,AND(J4295=1,K4295=1),AND(J4295=1,I4295="SBJ"),AND(J4295=1,I4295=0)),"?IN_FOCUS",IF(J4295&lt;=2,"?ACTIVATED",IF(J4295&lt;&gt;"","?FAMILIAR",IF(F4295="NEW",IF(ISNA(VLOOKUP(E4295,#REF!,1,FALSE())),"?TYPE_IDENTIFIABLE","?REFERENTIAL"),"_")))))</f>
        <v> </v>
      </c>
      <c r="H4295" s="24" t="str">
        <f>IF(J4295&lt;&gt;1,"",IF(I4295="SBJ","CB","?"))</f>
        <v> </v>
      </c>
      <c r="I4295" s="25" t="str">
        <f>IF(OR(E4295="",E4295="!!!",F4295="NEW"),"",INDEX(B4294:B$2,-1+SUMPRODUCT(MAX(ROW(E4294:E$2)*(E4295=E4294:E$2)))))</f>
        <v> </v>
      </c>
      <c r="J4295" s="25" t="str">
        <f>IF(OR(E4295="",E4295="!!!",F4295="NEW"),"",COUNTBLANK(OFFSET(A$1,,,SUMPRODUCT(MAX(ROW(E$2:E4295)*(E4295=E$2:E4295)))))-COUNTBLANK(OFFSET(A$1,,,SUMPRODUCT(MAX(ROW(E$1:E4294)*(E2=E$1:E4294))))))</f>
        <v> </v>
      </c>
      <c r="K4295" s="25" t="str">
        <f>IF(OR(E4295="",E4295="!!!",F4295="NEW"),"",INDEX(J$1:J4294,SUMPRODUCT(MAX(ROW(E$1:E4294)*(E4295=E$1:E4294)))))</f>
        <v> </v>
      </c>
      <c r="L4295" s="26"/>
    </row>
    <row r="4296" spans="1:12">
      <c r="A4296" s="20" t="s">
        <v>1087</v>
      </c>
      <c r="E4296" s="21">
        <f>IF(D4296="?OLD","!!!","")</f>
        <v/>
      </c>
      <c r="F4296" s="22" t="str">
        <f>IF(OR(E4296="",E4296="!!!"),"",IF(NOT(ISNA(VLOOKUP(E4296,E$1:E4295,1,FALSE()))),"OLD",IF(AND(E4296&lt;&gt;"",E4296&lt;&gt;"!!!"),"NEW","")))</f>
        <v> </v>
      </c>
      <c r="G4296" s="23" t="str">
        <f>IF(OR(E4296="",E4296="!!!"),"",IF(OR(J4296=0,AND(J4296=1,K4296=1),AND(J4296=1,I4296="SBJ"),AND(J4296=1,I4296=0)),"?IN_FOCUS",IF(J4296&lt;=2,"?ACTIVATED",IF(J4296&lt;&gt;"","?FAMILIAR",IF(F4296="NEW",IF(ISNA(VLOOKUP(E4296,#REF!,1,FALSE())),"?TYPE_IDENTIFIABLE","?REFERENTIAL"),"_")))))</f>
        <v> </v>
      </c>
      <c r="H4296" s="24" t="str">
        <f>IF(J4296&lt;&gt;1,"",IF(I4296="SBJ","CB","?"))</f>
        <v> </v>
      </c>
      <c r="I4296" s="25" t="str">
        <f>IF(OR(E4296="",E4296="!!!",F4296="NEW"),"",INDEX(B4295:B$2,-1+SUMPRODUCT(MAX(ROW(E4295:E$2)*(E4296=E4295:E$2)))))</f>
        <v> </v>
      </c>
      <c r="J4296" s="25" t="str">
        <f>IF(OR(E4296="",E4296="!!!",F4296="NEW"),"",COUNTBLANK(OFFSET(A$1,,,SUMPRODUCT(MAX(ROW(E$2:E4296)*(E4296=E$2:E4296)))))-COUNTBLANK(OFFSET(A$1,,,SUMPRODUCT(MAX(ROW(E$1:E4295)*(E2=E$1:E4295))))))</f>
        <v> </v>
      </c>
      <c r="K4296" s="25" t="str">
        <f>IF(OR(E4296="",E4296="!!!",F4296="NEW"),"",INDEX(J$1:J4295,SUMPRODUCT(MAX(ROW(E$1:E4295)*(E4296=E$1:E4295)))))</f>
        <v> </v>
      </c>
      <c r="L4296" s="26"/>
    </row>
    <row r="4297" spans="1:12">
      <c r="A4297" s="20" t="s">
        <v>1104</v>
      </c>
      <c r="B4297" s="27" t="s">
        <v>1235</v>
      </c>
      <c r="E4297" s="21">
        <f>IF(D4297="?OLD","!!!","")</f>
        <v/>
      </c>
      <c r="F4297" s="22" t="str">
        <f>IF(OR(E4297="",E4297="!!!"),"",IF(NOT(ISNA(VLOOKUP(E4297,E$1:E4296,1,FALSE()))),"OLD",IF(AND(E4297&lt;&gt;"",E4297&lt;&gt;"!!!"),"NEW","")))</f>
        <v> </v>
      </c>
      <c r="G4297" s="23" t="str">
        <f>IF(OR(E4297="",E4297="!!!"),"",IF(OR(J4297=0,AND(J4297=1,K4297=1),AND(J4297=1,I4297="SBJ"),AND(J4297=1,I4297=0)),"?IN_FOCUS",IF(J4297&lt;=2,"?ACTIVATED",IF(J4297&lt;&gt;"","?FAMILIAR",IF(F4297="NEW",IF(ISNA(VLOOKUP(E4297,#REF!,1,FALSE())),"?TYPE_IDENTIFIABLE","?REFERENTIAL"),"_")))))</f>
        <v> </v>
      </c>
      <c r="H4297" s="24" t="str">
        <f>IF(J4297&lt;&gt;1,"",IF(I4297="SBJ","CB","?"))</f>
        <v> </v>
      </c>
      <c r="I4297" s="25" t="str">
        <f>IF(OR(E4297="",E4297="!!!",F4297="NEW"),"",INDEX(B4296:B$2,-1+SUMPRODUCT(MAX(ROW(E4296:E$2)*(E4297=E4296:E$2)))))</f>
        <v> </v>
      </c>
      <c r="J4297" s="25" t="str">
        <f>IF(OR(E4297="",E4297="!!!",F4297="NEW"),"",COUNTBLANK(OFFSET(A$1,,,SUMPRODUCT(MAX(ROW(E$2:E4297)*(E4297=E$2:E4297)))))-COUNTBLANK(OFFSET(A$1,,,SUMPRODUCT(MAX(ROW(E$1:E4296)*(E2=E$1:E4296))))))</f>
        <v> </v>
      </c>
      <c r="K4297" s="25" t="str">
        <f>IF(OR(E4297="",E4297="!!!",F4297="NEW"),"",INDEX(J$1:J4296,SUMPRODUCT(MAX(ROW(E$1:E4296)*(E4297=E$1:E4296)))))</f>
        <v> </v>
      </c>
      <c r="L4297" s="26"/>
    </row>
    <row r="4298" spans="1:12">
      <c r="A4298" s="20" t="s">
        <v>1087</v>
      </c>
      <c r="E4298" s="21">
        <f>IF(D4298="?OLD","!!!","")</f>
        <v/>
      </c>
      <c r="F4298" s="22" t="str">
        <f>IF(OR(E4298="",E4298="!!!"),"",IF(NOT(ISNA(VLOOKUP(E4298,E$1:E4297,1,FALSE()))),"OLD",IF(AND(E4298&lt;&gt;"",E4298&lt;&gt;"!!!"),"NEW","")))</f>
        <v> </v>
      </c>
      <c r="G4298" s="23" t="str">
        <f>IF(OR(E4298="",E4298="!!!"),"",IF(OR(J4298=0,AND(J4298=1,K4298=1),AND(J4298=1,I4298="SBJ"),AND(J4298=1,I4298=0)),"?IN_FOCUS",IF(J4298&lt;=2,"?ACTIVATED",IF(J4298&lt;&gt;"","?FAMILIAR",IF(F4298="NEW",IF(ISNA(VLOOKUP(E4298,#REF!,1,FALSE())),"?TYPE_IDENTIFIABLE","?REFERENTIAL"),"_")))))</f>
        <v> </v>
      </c>
      <c r="H4298" s="24" t="str">
        <f>IF(J4298&lt;&gt;1,"",IF(I4298="SBJ","CB","?"))</f>
        <v> </v>
      </c>
      <c r="I4298" s="25" t="str">
        <f>IF(OR(E4298="",E4298="!!!",F4298="NEW"),"",INDEX(B4297:B$2,-1+SUMPRODUCT(MAX(ROW(E4297:E$2)*(E4298=E4297:E$2)))))</f>
        <v> </v>
      </c>
      <c r="J4298" s="25" t="str">
        <f>IF(OR(E4298="",E4298="!!!",F4298="NEW"),"",COUNTBLANK(OFFSET(A$1,,,SUMPRODUCT(MAX(ROW(E$2:E4298)*(E4298=E$2:E4298)))))-COUNTBLANK(OFFSET(A$1,,,SUMPRODUCT(MAX(ROW(E$1:E4297)*(E2=E$1:E4297))))))</f>
        <v> </v>
      </c>
      <c r="K4298" s="25" t="str">
        <f>IF(OR(E4298="",E4298="!!!",F4298="NEW"),"",INDEX(J$1:J4297,SUMPRODUCT(MAX(ROW(E$1:E4297)*(E4298=E$1:E4297)))))</f>
        <v> </v>
      </c>
      <c r="L4298" s="26"/>
    </row>
    <row r="4299" spans="1:12">
      <c r="A4299" s="20" t="s">
        <v>1818</v>
      </c>
      <c r="E4299" s="21">
        <f>IF(D4299="?OLD","!!!","")</f>
        <v/>
      </c>
      <c r="F4299" s="22" t="str">
        <f>IF(OR(E4299="",E4299="!!!"),"",IF(NOT(ISNA(VLOOKUP(E4299,E$1:E4298,1,FALSE()))),"OLD",IF(AND(E4299&lt;&gt;"",E4299&lt;&gt;"!!!"),"NEW","")))</f>
        <v> </v>
      </c>
      <c r="G4299" s="23" t="str">
        <f>IF(OR(E4299="",E4299="!!!"),"",IF(OR(J4299=0,AND(J4299=1,K4299=1),AND(J4299=1,I4299="SBJ"),AND(J4299=1,I4299=0)),"?IN_FOCUS",IF(J4299&lt;=2,"?ACTIVATED",IF(J4299&lt;&gt;"","?FAMILIAR",IF(F4299="NEW",IF(ISNA(VLOOKUP(E4299,#REF!,1,FALSE())),"?TYPE_IDENTIFIABLE","?REFERENTIAL"),"_")))))</f>
        <v> </v>
      </c>
      <c r="H4299" s="24" t="str">
        <f>IF(J4299&lt;&gt;1,"",IF(I4299="SBJ","CB","?"))</f>
        <v> </v>
      </c>
      <c r="I4299" s="25" t="str">
        <f>IF(OR(E4299="",E4299="!!!",F4299="NEW"),"",INDEX(B4298:B$2,-1+SUMPRODUCT(MAX(ROW(E4298:E$2)*(E4299=E4298:E$2)))))</f>
        <v> </v>
      </c>
      <c r="J4299" s="25" t="str">
        <f>IF(OR(E4299="",E4299="!!!",F4299="NEW"),"",COUNTBLANK(OFFSET(A$1,,,SUMPRODUCT(MAX(ROW(E$2:E4299)*(E4299=E$2:E4299)))))-COUNTBLANK(OFFSET(A$1,,,SUMPRODUCT(MAX(ROW(E$1:E4298)*(E2=E$1:E4298))))))</f>
        <v> </v>
      </c>
      <c r="K4299" s="25" t="str">
        <f>IF(OR(E4299="",E4299="!!!",F4299="NEW"),"",INDEX(J$1:J4298,SUMPRODUCT(MAX(ROW(E$1:E4298)*(E4299=E$1:E4298)))))</f>
        <v> </v>
      </c>
      <c r="L4299" s="26"/>
    </row>
    <row r="4300" spans="1:12">
      <c r="A4300" s="20" t="s">
        <v>1087</v>
      </c>
      <c r="E4300" s="21">
        <f>IF(D4300="?OLD","!!!","")</f>
        <v/>
      </c>
      <c r="F4300" s="22" t="str">
        <f>IF(OR(E4300="",E4300="!!!"),"",IF(NOT(ISNA(VLOOKUP(E4300,E$1:E4299,1,FALSE()))),"OLD",IF(AND(E4300&lt;&gt;"",E4300&lt;&gt;"!!!"),"NEW","")))</f>
        <v> </v>
      </c>
      <c r="G4300" s="23" t="str">
        <f>IF(OR(E4300="",E4300="!!!"),"",IF(OR(J4300=0,AND(J4300=1,K4300=1),AND(J4300=1,I4300="SBJ"),AND(J4300=1,I4300=0)),"?IN_FOCUS",IF(J4300&lt;=2,"?ACTIVATED",IF(J4300&lt;&gt;"","?FAMILIAR",IF(F4300="NEW",IF(ISNA(VLOOKUP(E4300,#REF!,1,FALSE())),"?TYPE_IDENTIFIABLE","?REFERENTIAL"),"_")))))</f>
        <v> </v>
      </c>
      <c r="H4300" s="24" t="str">
        <f>IF(J4300&lt;&gt;1,"",IF(I4300="SBJ","CB","?"))</f>
        <v> </v>
      </c>
      <c r="I4300" s="25" t="str">
        <f>IF(OR(E4300="",E4300="!!!",F4300="NEW"),"",INDEX(B4299:B$2,-1+SUMPRODUCT(MAX(ROW(E4299:E$2)*(E4300=E4299:E$2)))))</f>
        <v> </v>
      </c>
      <c r="J4300" s="25" t="str">
        <f>IF(OR(E4300="",E4300="!!!",F4300="NEW"),"",COUNTBLANK(OFFSET(A$1,,,SUMPRODUCT(MAX(ROW(E$2:E4300)*(E4300=E$2:E4300)))))-COUNTBLANK(OFFSET(A$1,,,SUMPRODUCT(MAX(ROW(E$1:E4299)*(E2=E$1:E4299))))))</f>
        <v> </v>
      </c>
      <c r="K4300" s="25" t="str">
        <f>IF(OR(E4300="",E4300="!!!",F4300="NEW"),"",INDEX(J$1:J4299,SUMPRODUCT(MAX(ROW(E$1:E4299)*(E4300=E$1:E4299)))))</f>
        <v> </v>
      </c>
      <c r="L4300" s="26"/>
    </row>
    <row r="4301" spans="1:12">
      <c r="A4301" s="20" t="s">
        <v>1196</v>
      </c>
      <c r="E4301" s="21">
        <f>IF(D4301="?OLD","!!!","")</f>
        <v/>
      </c>
      <c r="F4301" s="22" t="str">
        <f>IF(OR(E4301="",E4301="!!!"),"",IF(NOT(ISNA(VLOOKUP(E4301,E$1:E4300,1,FALSE()))),"OLD",IF(AND(E4301&lt;&gt;"",E4301&lt;&gt;"!!!"),"NEW","")))</f>
        <v> </v>
      </c>
      <c r="G4301" s="23" t="str">
        <f>IF(OR(E4301="",E4301="!!!"),"",IF(OR(J4301=0,AND(J4301=1,K4301=1),AND(J4301=1,I4301="SBJ"),AND(J4301=1,I4301=0)),"?IN_FOCUS",IF(J4301&lt;=2,"?ACTIVATED",IF(J4301&lt;&gt;"","?FAMILIAR",IF(F4301="NEW",IF(ISNA(VLOOKUP(E4301,#REF!,1,FALSE())),"?TYPE_IDENTIFIABLE","?REFERENTIAL"),"_")))))</f>
        <v> </v>
      </c>
      <c r="H4301" s="24" t="str">
        <f>IF(J4301&lt;&gt;1,"",IF(I4301="SBJ","CB","?"))</f>
        <v> </v>
      </c>
      <c r="I4301" s="25" t="str">
        <f>IF(OR(E4301="",E4301="!!!",F4301="NEW"),"",INDEX(B4300:B$2,-1+SUMPRODUCT(MAX(ROW(E4300:E$2)*(E4301=E4300:E$2)))))</f>
        <v> </v>
      </c>
      <c r="J4301" s="25" t="str">
        <f>IF(OR(E4301="",E4301="!!!",F4301="NEW"),"",COUNTBLANK(OFFSET(A$1,,,SUMPRODUCT(MAX(ROW(E$2:E4301)*(E4301=E$2:E4301)))))-COUNTBLANK(OFFSET(A$1,,,SUMPRODUCT(MAX(ROW(E$1:E4300)*(E2=E$1:E4300))))))</f>
        <v> </v>
      </c>
      <c r="K4301" s="25" t="str">
        <f>IF(OR(E4301="",E4301="!!!",F4301="NEW"),"",INDEX(J$1:J4300,SUMPRODUCT(MAX(ROW(E$1:E4300)*(E4301=E$1:E4300)))))</f>
        <v> </v>
      </c>
      <c r="L4301" s="26"/>
    </row>
    <row r="4302" spans="1:12">
      <c r="A4302" s="20" t="s">
        <v>1150</v>
      </c>
      <c r="B4302" s="27" t="s">
        <v>1678</v>
      </c>
      <c r="C4302" s="27" t="s">
        <v>1129</v>
      </c>
      <c r="D4302" s="27" t="s">
        <v>1069</v>
      </c>
      <c r="E4302" s="21">
        <f>IF(D4302="?OLD","!!!","")</f>
        <v/>
      </c>
      <c r="F4302" s="22" t="str">
        <f>IF(OR(E4302="",E4302="!!!"),"",IF(NOT(ISNA(VLOOKUP(E4302,E$1:E4301,1,FALSE()))),"OLD",IF(AND(E4302&lt;&gt;"",E4302&lt;&gt;"!!!"),"NEW","")))</f>
        <v> </v>
      </c>
      <c r="G4302" s="23" t="str">
        <f>IF(OR(E4302="",E4302="!!!"),"",IF(OR(J4302=0,AND(J4302=1,K4302=1),AND(J4302=1,I4302="SBJ"),AND(J4302=1,I4302=0)),"?IN_FOCUS",IF(J4302&lt;=2,"?ACTIVATED",IF(J4302&lt;&gt;"","?FAMILIAR",IF(F4302="NEW",IF(ISNA(VLOOKUP(E4302,#REF!,1,FALSE())),"?TYPE_IDENTIFIABLE","?REFERENTIAL"),"_")))))</f>
        <v> </v>
      </c>
      <c r="H4302" s="24" t="str">
        <f>IF(J4302&lt;&gt;1,"",IF(I4302="SBJ","CB","?"))</f>
        <v> </v>
      </c>
      <c r="I4302" s="25" t="str">
        <f>IF(OR(E4302="",E4302="!!!",F4302="NEW"),"",INDEX(B4301:B$2,-1+SUMPRODUCT(MAX(ROW(E4301:E$2)*(E4302=E4301:E$2)))))</f>
        <v> </v>
      </c>
      <c r="J4302" s="25" t="str">
        <f>IF(OR(E4302="",E4302="!!!",F4302="NEW"),"",COUNTBLANK(OFFSET(A$1,,,SUMPRODUCT(MAX(ROW(E$2:E4302)*(E4302=E$2:E4302)))))-COUNTBLANK(OFFSET(A$1,,,SUMPRODUCT(MAX(ROW(E$1:E4301)*(E2=E$1:E4301))))))</f>
        <v> </v>
      </c>
      <c r="K4302" s="25" t="str">
        <f>IF(OR(E4302="",E4302="!!!",F4302="NEW"),"",INDEX(J$1:J4301,SUMPRODUCT(MAX(ROW(E$1:E4301)*(E4302=E$1:E4301)))))</f>
        <v> </v>
      </c>
      <c r="L4302" s="26"/>
    </row>
    <row r="4303" spans="1:12">
      <c r="A4303" s="20" t="s">
        <v>2367</v>
      </c>
      <c r="B4303" s="27" t="s">
        <v>1109</v>
      </c>
      <c r="C4303" s="27" t="s">
        <v>1131</v>
      </c>
      <c r="D4303" s="27" t="s">
        <v>1069</v>
      </c>
      <c r="E4303" s="21">
        <f>IF(D4303="?OLD","!!!","")</f>
        <v/>
      </c>
      <c r="F4303" s="22" t="str">
        <f>IF(OR(E4303="",E4303="!!!"),"",IF(NOT(ISNA(VLOOKUP(E4303,E$1:E4302,1,FALSE()))),"OLD",IF(AND(E4303&lt;&gt;"",E4303&lt;&gt;"!!!"),"NEW","")))</f>
        <v> </v>
      </c>
      <c r="G4303" s="23" t="str">
        <f>IF(OR(E4303="",E4303="!!!"),"",IF(OR(J4303=0,AND(J4303=1,K4303=1),AND(J4303=1,I4303="SBJ"),AND(J4303=1,I4303=0)),"?IN_FOCUS",IF(J4303&lt;=2,"?ACTIVATED",IF(J4303&lt;&gt;"","?FAMILIAR",IF(F4303="NEW",IF(ISNA(VLOOKUP(E4303,#REF!,1,FALSE())),"?TYPE_IDENTIFIABLE","?REFERENTIAL"),"_")))))</f>
        <v> </v>
      </c>
      <c r="H4303" s="24" t="str">
        <f>IF(J4303&lt;&gt;1,"",IF(I4303="SBJ","CB","?"))</f>
        <v> </v>
      </c>
      <c r="I4303" s="25" t="str">
        <f>IF(OR(E4303="",E4303="!!!",F4303="NEW"),"",INDEX(B4302:B$2,-1+SUMPRODUCT(MAX(ROW(E4302:E$2)*(E4303=E4302:E$2)))))</f>
        <v> </v>
      </c>
      <c r="J4303" s="25" t="str">
        <f>IF(OR(E4303="",E4303="!!!",F4303="NEW"),"",COUNTBLANK(OFFSET(A$1,,,SUMPRODUCT(MAX(ROW(E$2:E4303)*(E4303=E$2:E4303)))))-COUNTBLANK(OFFSET(A$1,,,SUMPRODUCT(MAX(ROW(E$1:E4302)*(E2=E$1:E4302))))))</f>
        <v> </v>
      </c>
      <c r="K4303" s="25" t="str">
        <f>IF(OR(E4303="",E4303="!!!",F4303="NEW"),"",INDEX(J$1:J4302,SUMPRODUCT(MAX(ROW(E$1:E4302)*(E4303=E$1:E4302)))))</f>
        <v> </v>
      </c>
      <c r="L4303" s="26"/>
    </row>
    <row r="4304" spans="1:12">
      <c r="A4304" s="20" t="s">
        <v>1972</v>
      </c>
      <c r="E4304" s="21">
        <f>IF(D4304="?OLD","!!!","")</f>
        <v/>
      </c>
      <c r="F4304" s="22" t="str">
        <f>IF(OR(E4304="",E4304="!!!"),"",IF(NOT(ISNA(VLOOKUP(E4304,E$1:E4303,1,FALSE()))),"OLD",IF(AND(E4304&lt;&gt;"",E4304&lt;&gt;"!!!"),"NEW","")))</f>
        <v> </v>
      </c>
      <c r="G4304" s="23" t="str">
        <f>IF(OR(E4304="",E4304="!!!"),"",IF(OR(J4304=0,AND(J4304=1,K4304=1),AND(J4304=1,I4304="SBJ"),AND(J4304=1,I4304=0)),"?IN_FOCUS",IF(J4304&lt;=2,"?ACTIVATED",IF(J4304&lt;&gt;"","?FAMILIAR",IF(F4304="NEW",IF(ISNA(VLOOKUP(E4304,#REF!,1,FALSE())),"?TYPE_IDENTIFIABLE","?REFERENTIAL"),"_")))))</f>
        <v> </v>
      </c>
      <c r="H4304" s="24" t="str">
        <f>IF(J4304&lt;&gt;1,"",IF(I4304="SBJ","CB","?"))</f>
        <v> </v>
      </c>
      <c r="I4304" s="25" t="str">
        <f>IF(OR(E4304="",E4304="!!!",F4304="NEW"),"",INDEX(B4303:B$2,-1+SUMPRODUCT(MAX(ROW(E4303:E$2)*(E4304=E4303:E$2)))))</f>
        <v> </v>
      </c>
      <c r="J4304" s="25" t="str">
        <f>IF(OR(E4304="",E4304="!!!",F4304="NEW"),"",COUNTBLANK(OFFSET(A$1,,,SUMPRODUCT(MAX(ROW(E$2:E4304)*(E4304=E$2:E4304)))))-COUNTBLANK(OFFSET(A$1,,,SUMPRODUCT(MAX(ROW(E$1:E4303)*(E2=E$1:E4303))))))</f>
        <v> </v>
      </c>
      <c r="K4304" s="25" t="str">
        <f>IF(OR(E4304="",E4304="!!!",F4304="NEW"),"",INDEX(J$1:J4303,SUMPRODUCT(MAX(ROW(E$1:E4303)*(E4304=E$1:E4303)))))</f>
        <v> </v>
      </c>
      <c r="L4304" s="26"/>
    </row>
    <row r="4305" spans="1:12">
      <c r="A4305" s="20" t="s">
        <v>1087</v>
      </c>
      <c r="E4305" s="21">
        <f>IF(D4305="?OLD","!!!","")</f>
        <v/>
      </c>
      <c r="F4305" s="22" t="str">
        <f>IF(OR(E4305="",E4305="!!!"),"",IF(NOT(ISNA(VLOOKUP(E4305,E$1:E4304,1,FALSE()))),"OLD",IF(AND(E4305&lt;&gt;"",E4305&lt;&gt;"!!!"),"NEW","")))</f>
        <v> </v>
      </c>
      <c r="G4305" s="23" t="str">
        <f>IF(OR(E4305="",E4305="!!!"),"",IF(OR(J4305=0,AND(J4305=1,K4305=1),AND(J4305=1,I4305="SBJ"),AND(J4305=1,I4305=0)),"?IN_FOCUS",IF(J4305&lt;=2,"?ACTIVATED",IF(J4305&lt;&gt;"","?FAMILIAR",IF(F4305="NEW",IF(ISNA(VLOOKUP(E4305,#REF!,1,FALSE())),"?TYPE_IDENTIFIABLE","?REFERENTIAL"),"_")))))</f>
        <v> </v>
      </c>
      <c r="H4305" s="24" t="str">
        <f>IF(J4305&lt;&gt;1,"",IF(I4305="SBJ","CB","?"))</f>
        <v> </v>
      </c>
      <c r="I4305" s="25" t="str">
        <f>IF(OR(E4305="",E4305="!!!",F4305="NEW"),"",INDEX(B4304:B$2,-1+SUMPRODUCT(MAX(ROW(E4304:E$2)*(E4305=E4304:E$2)))))</f>
        <v> </v>
      </c>
      <c r="J4305" s="25" t="str">
        <f>IF(OR(E4305="",E4305="!!!",F4305="NEW"),"",COUNTBLANK(OFFSET(A$1,,,SUMPRODUCT(MAX(ROW(E$2:E4305)*(E4305=E$2:E4305)))))-COUNTBLANK(OFFSET(A$1,,,SUMPRODUCT(MAX(ROW(E$1:E4304)*(E2=E$1:E4304))))))</f>
        <v> </v>
      </c>
      <c r="K4305" s="25" t="str">
        <f>IF(OR(E4305="",E4305="!!!",F4305="NEW"),"",INDEX(J$1:J4304,SUMPRODUCT(MAX(ROW(E$1:E4304)*(E4305=E$1:E4304)))))</f>
        <v> </v>
      </c>
      <c r="L4305" s="26"/>
    </row>
    <row r="4306" spans="1:12">
      <c r="A4306" s="20" t="s">
        <v>1104</v>
      </c>
      <c r="E4306" s="21">
        <f>IF(D4306="?OLD","!!!","")</f>
        <v/>
      </c>
      <c r="F4306" s="22" t="str">
        <f>IF(OR(E4306="",E4306="!!!"),"",IF(NOT(ISNA(VLOOKUP(E4306,E$1:E4305,1,FALSE()))),"OLD",IF(AND(E4306&lt;&gt;"",E4306&lt;&gt;"!!!"),"NEW","")))</f>
        <v> </v>
      </c>
      <c r="G4306" s="23" t="str">
        <f>IF(OR(E4306="",E4306="!!!"),"",IF(OR(J4306=0,AND(J4306=1,K4306=1),AND(J4306=1,I4306="SBJ"),AND(J4306=1,I4306=0)),"?IN_FOCUS",IF(J4306&lt;=2,"?ACTIVATED",IF(J4306&lt;&gt;"","?FAMILIAR",IF(F4306="NEW",IF(ISNA(VLOOKUP(E4306,#REF!,1,FALSE())),"?TYPE_IDENTIFIABLE","?REFERENTIAL"),"_")))))</f>
        <v> </v>
      </c>
      <c r="H4306" s="24" t="str">
        <f>IF(J4306&lt;&gt;1,"",IF(I4306="SBJ","CB","?"))</f>
        <v> </v>
      </c>
      <c r="I4306" s="25" t="str">
        <f>IF(OR(E4306="",E4306="!!!",F4306="NEW"),"",INDEX(B4305:B$2,-1+SUMPRODUCT(MAX(ROW(E4305:E$2)*(E4306=E4305:E$2)))))</f>
        <v> </v>
      </c>
      <c r="J4306" s="25" t="str">
        <f>IF(OR(E4306="",E4306="!!!",F4306="NEW"),"",COUNTBLANK(OFFSET(A$1,,,SUMPRODUCT(MAX(ROW(E$2:E4306)*(E4306=E$2:E4306)))))-COUNTBLANK(OFFSET(A$1,,,SUMPRODUCT(MAX(ROW(E$1:E4305)*(E2=E$1:E4305))))))</f>
        <v> </v>
      </c>
      <c r="K4306" s="25" t="str">
        <f>IF(OR(E4306="",E4306="!!!",F4306="NEW"),"",INDEX(J$1:J4305,SUMPRODUCT(MAX(ROW(E$1:E4305)*(E4306=E$1:E4305)))))</f>
        <v> </v>
      </c>
      <c r="L4306" s="26"/>
    </row>
    <row r="4307" spans="1:12">
      <c r="A4307" s="20" t="s">
        <v>2368</v>
      </c>
      <c r="B4307" s="27" t="s">
        <v>1250</v>
      </c>
      <c r="C4307" s="27" t="s">
        <v>1086</v>
      </c>
      <c r="D4307" s="27" t="s">
        <v>1069</v>
      </c>
      <c r="E4307" s="21">
        <f>IF(D4307="?OLD","!!!","")</f>
        <v/>
      </c>
      <c r="F4307" s="22" t="str">
        <f>IF(OR(E4307="",E4307="!!!"),"",IF(NOT(ISNA(VLOOKUP(E4307,E$1:E4306,1,FALSE()))),"OLD",IF(AND(E4307&lt;&gt;"",E4307&lt;&gt;"!!!"),"NEW","")))</f>
        <v> </v>
      </c>
      <c r="G4307" s="23" t="str">
        <f>IF(OR(E4307="",E4307="!!!"),"",IF(OR(J4307=0,AND(J4307=1,K4307=1),AND(J4307=1,I4307="SBJ"),AND(J4307=1,I4307=0)),"?IN_FOCUS",IF(J4307&lt;=2,"?ACTIVATED",IF(J4307&lt;&gt;"","?FAMILIAR",IF(F4307="NEW",IF(ISNA(VLOOKUP(E4307,#REF!,1,FALSE())),"?TYPE_IDENTIFIABLE","?REFERENTIAL"),"_")))))</f>
        <v> </v>
      </c>
      <c r="H4307" s="24" t="str">
        <f>IF(J4307&lt;&gt;1,"",IF(I4307="SBJ","CB","?"))</f>
        <v> </v>
      </c>
      <c r="I4307" s="25" t="str">
        <f>IF(OR(E4307="",E4307="!!!",F4307="NEW"),"",INDEX(B4306:B$2,-1+SUMPRODUCT(MAX(ROW(E4306:E$2)*(E4307=E4306:E$2)))))</f>
        <v> </v>
      </c>
      <c r="J4307" s="25" t="str">
        <f>IF(OR(E4307="",E4307="!!!",F4307="NEW"),"",COUNTBLANK(OFFSET(A$1,,,SUMPRODUCT(MAX(ROW(E$2:E4307)*(E4307=E$2:E4307)))))-COUNTBLANK(OFFSET(A$1,,,SUMPRODUCT(MAX(ROW(E$1:E4306)*(E2=E$1:E4306))))))</f>
        <v> </v>
      </c>
      <c r="K4307" s="25" t="str">
        <f>IF(OR(E4307="",E4307="!!!",F4307="NEW"),"",INDEX(J$1:J4306,SUMPRODUCT(MAX(ROW(E$1:E4306)*(E4307=E$1:E4306)))))</f>
        <v> </v>
      </c>
      <c r="L4307" s="26"/>
    </row>
    <row r="4308" spans="1:12">
      <c r="A4308" s="20" t="s">
        <v>1127</v>
      </c>
      <c r="E4308" s="21">
        <f>IF(D4308="?OLD","!!!","")</f>
        <v/>
      </c>
      <c r="F4308" s="22" t="str">
        <f>IF(OR(E4308="",E4308="!!!"),"",IF(NOT(ISNA(VLOOKUP(E4308,E$1:E4307,1,FALSE()))),"OLD",IF(AND(E4308&lt;&gt;"",E4308&lt;&gt;"!!!"),"NEW","")))</f>
        <v> </v>
      </c>
      <c r="G4308" s="23" t="str">
        <f>IF(OR(E4308="",E4308="!!!"),"",IF(OR(J4308=0,AND(J4308=1,K4308=1),AND(J4308=1,I4308="SBJ"),AND(J4308=1,I4308=0)),"?IN_FOCUS",IF(J4308&lt;=2,"?ACTIVATED",IF(J4308&lt;&gt;"","?FAMILIAR",IF(F4308="NEW",IF(ISNA(VLOOKUP(E4308,#REF!,1,FALSE())),"?TYPE_IDENTIFIABLE","?REFERENTIAL"),"_")))))</f>
        <v> </v>
      </c>
      <c r="H4308" s="24" t="str">
        <f>IF(J4308&lt;&gt;1,"",IF(I4308="SBJ","CB","?"))</f>
        <v> </v>
      </c>
      <c r="I4308" s="25" t="str">
        <f>IF(OR(E4308="",E4308="!!!",F4308="NEW"),"",INDEX(B4307:B$2,-1+SUMPRODUCT(MAX(ROW(E4307:E$2)*(E4308=E4307:E$2)))))</f>
        <v> </v>
      </c>
      <c r="J4308" s="25" t="str">
        <f>IF(OR(E4308="",E4308="!!!",F4308="NEW"),"",COUNTBLANK(OFFSET(A$1,,,SUMPRODUCT(MAX(ROW(E$2:E4308)*(E4308=E$2:E4308)))))-COUNTBLANK(OFFSET(A$1,,,SUMPRODUCT(MAX(ROW(E$1:E4307)*(E2=E$1:E4307))))))</f>
        <v> </v>
      </c>
      <c r="K4308" s="25" t="str">
        <f>IF(OR(E4308="",E4308="!!!",F4308="NEW"),"",INDEX(J$1:J4307,SUMPRODUCT(MAX(ROW(E$1:E4307)*(E4308=E$1:E4307)))))</f>
        <v> </v>
      </c>
      <c r="L4308" s="26"/>
    </row>
    <row r="4309" spans="1:12">
      <c r="A4309" s="20" t="s">
        <v>1168</v>
      </c>
      <c r="E4309" s="21">
        <f>IF(D4309="?OLD","!!!","")</f>
        <v/>
      </c>
      <c r="F4309" s="22" t="str">
        <f>IF(OR(E4309="",E4309="!!!"),"",IF(NOT(ISNA(VLOOKUP(E4309,E$1:E4308,1,FALSE()))),"OLD",IF(AND(E4309&lt;&gt;"",E4309&lt;&gt;"!!!"),"NEW","")))</f>
        <v> </v>
      </c>
      <c r="G4309" s="23" t="str">
        <f>IF(OR(E4309="",E4309="!!!"),"",IF(OR(J4309=0,AND(J4309=1,K4309=1),AND(J4309=1,I4309="SBJ"),AND(J4309=1,I4309=0)),"?IN_FOCUS",IF(J4309&lt;=2,"?ACTIVATED",IF(J4309&lt;&gt;"","?FAMILIAR",IF(F4309="NEW",IF(ISNA(VLOOKUP(E4309,#REF!,1,FALSE())),"?TYPE_IDENTIFIABLE","?REFERENTIAL"),"_")))))</f>
        <v> </v>
      </c>
      <c r="H4309" s="24" t="str">
        <f>IF(J4309&lt;&gt;1,"",IF(I4309="SBJ","CB","?"))</f>
        <v> </v>
      </c>
      <c r="I4309" s="25" t="str">
        <f>IF(OR(E4309="",E4309="!!!",F4309="NEW"),"",INDEX(B4308:B$2,-1+SUMPRODUCT(MAX(ROW(E4308:E$2)*(E4309=E4308:E$2)))))</f>
        <v> </v>
      </c>
      <c r="J4309" s="25" t="str">
        <f>IF(OR(E4309="",E4309="!!!",F4309="NEW"),"",COUNTBLANK(OFFSET(A$1,,,SUMPRODUCT(MAX(ROW(E$2:E4309)*(E4309=E$2:E4309)))))-COUNTBLANK(OFFSET(A$1,,,SUMPRODUCT(MAX(ROW(E$1:E4308)*(E2=E$1:E4308))))))</f>
        <v> </v>
      </c>
      <c r="K4309" s="25" t="str">
        <f>IF(OR(E4309="",E4309="!!!",F4309="NEW"),"",INDEX(J$1:J4308,SUMPRODUCT(MAX(ROW(E$1:E4308)*(E4309=E$1:E4308)))))</f>
        <v> </v>
      </c>
      <c r="L4309" s="26"/>
    </row>
    <row r="4310" spans="1:12">
      <c r="A4310" s="20" t="s">
        <v>2369</v>
      </c>
      <c r="B4310" s="27" t="s">
        <v>1116</v>
      </c>
      <c r="C4310" s="27" t="s">
        <v>1171</v>
      </c>
      <c r="E4310" s="21">
        <f>IF(D4310="?OLD","!!!","")</f>
        <v/>
      </c>
      <c r="F4310" s="22" t="str">
        <f>IF(OR(E4310="",E4310="!!!"),"",IF(NOT(ISNA(VLOOKUP(E4310,E$1:E4309,1,FALSE()))),"OLD",IF(AND(E4310&lt;&gt;"",E4310&lt;&gt;"!!!"),"NEW","")))</f>
        <v> </v>
      </c>
      <c r="G4310" s="23" t="str">
        <f>IF(OR(E4310="",E4310="!!!"),"",IF(OR(J4310=0,AND(J4310=1,K4310=1),AND(J4310=1,I4310="SBJ"),AND(J4310=1,I4310=0)),"?IN_FOCUS",IF(J4310&lt;=2,"?ACTIVATED",IF(J4310&lt;&gt;"","?FAMILIAR",IF(F4310="NEW",IF(ISNA(VLOOKUP(E4310,#REF!,1,FALSE())),"?TYPE_IDENTIFIABLE","?REFERENTIAL"),"_")))))</f>
        <v> </v>
      </c>
      <c r="H4310" s="24" t="str">
        <f>IF(J4310&lt;&gt;1,"",IF(I4310="SBJ","CB","?"))</f>
        <v> </v>
      </c>
      <c r="I4310" s="25" t="str">
        <f>IF(OR(E4310="",E4310="!!!",F4310="NEW"),"",INDEX(B4309:B$2,-1+SUMPRODUCT(MAX(ROW(E4309:E$2)*(E4310=E4309:E$2)))))</f>
        <v> </v>
      </c>
      <c r="J4310" s="25" t="str">
        <f>IF(OR(E4310="",E4310="!!!",F4310="NEW"),"",COUNTBLANK(OFFSET(A$1,,,SUMPRODUCT(MAX(ROW(E$2:E4310)*(E4310=E$2:E4310)))))-COUNTBLANK(OFFSET(A$1,,,SUMPRODUCT(MAX(ROW(E$1:E4309)*(E2=E$1:E4309))))))</f>
        <v> </v>
      </c>
      <c r="K4310" s="25" t="str">
        <f>IF(OR(E4310="",E4310="!!!",F4310="NEW"),"",INDEX(J$1:J4309,SUMPRODUCT(MAX(ROW(E$1:E4309)*(E4310=E$1:E4309)))))</f>
        <v> </v>
      </c>
      <c r="L4310" s="26"/>
    </row>
    <row r="4311" spans="1:12">
      <c r="A4311" s="20" t="s">
        <v>2239</v>
      </c>
      <c r="E4311" s="21">
        <f>IF(D4311="?OLD","!!!","")</f>
        <v/>
      </c>
      <c r="F4311" s="22" t="str">
        <f>IF(OR(E4311="",E4311="!!!"),"",IF(NOT(ISNA(VLOOKUP(E4311,E$1:E4310,1,FALSE()))),"OLD",IF(AND(E4311&lt;&gt;"",E4311&lt;&gt;"!!!"),"NEW","")))</f>
        <v> </v>
      </c>
      <c r="G4311" s="23" t="str">
        <f>IF(OR(E4311="",E4311="!!!"),"",IF(OR(J4311=0,AND(J4311=1,K4311=1),AND(J4311=1,I4311="SBJ"),AND(J4311=1,I4311=0)),"?IN_FOCUS",IF(J4311&lt;=2,"?ACTIVATED",IF(J4311&lt;&gt;"","?FAMILIAR",IF(F4311="NEW",IF(ISNA(VLOOKUP(E4311,#REF!,1,FALSE())),"?TYPE_IDENTIFIABLE","?REFERENTIAL"),"_")))))</f>
        <v> </v>
      </c>
      <c r="H4311" s="24" t="str">
        <f>IF(J4311&lt;&gt;1,"",IF(I4311="SBJ","CB","?"))</f>
        <v> </v>
      </c>
      <c r="I4311" s="25" t="str">
        <f>IF(OR(E4311="",E4311="!!!",F4311="NEW"),"",INDEX(B4310:B$2,-1+SUMPRODUCT(MAX(ROW(E4310:E$2)*(E4311=E4310:E$2)))))</f>
        <v> </v>
      </c>
      <c r="J4311" s="25" t="str">
        <f>IF(OR(E4311="",E4311="!!!",F4311="NEW"),"",COUNTBLANK(OFFSET(A$1,,,SUMPRODUCT(MAX(ROW(E$2:E4311)*(E4311=E$2:E4311)))))-COUNTBLANK(OFFSET(A$1,,,SUMPRODUCT(MAX(ROW(E$1:E4310)*(E2=E$1:E4310))))))</f>
        <v> </v>
      </c>
      <c r="K4311" s="25" t="str">
        <f>IF(OR(E4311="",E4311="!!!",F4311="NEW"),"",INDEX(J$1:J4310,SUMPRODUCT(MAX(ROW(E$1:E4310)*(E4311=E$1:E4310)))))</f>
        <v> </v>
      </c>
      <c r="L4311" s="26"/>
    </row>
    <row r="4312" spans="1:12">
      <c r="A4312" s="20" t="s">
        <v>1087</v>
      </c>
      <c r="E4312" s="21">
        <f>IF(D4312="?OLD","!!!","")</f>
        <v/>
      </c>
      <c r="F4312" s="22" t="str">
        <f>IF(OR(E4312="",E4312="!!!"),"",IF(NOT(ISNA(VLOOKUP(E4312,E$1:E4311,1,FALSE()))),"OLD",IF(AND(E4312&lt;&gt;"",E4312&lt;&gt;"!!!"),"NEW","")))</f>
        <v> </v>
      </c>
      <c r="G4312" s="23" t="str">
        <f>IF(OR(E4312="",E4312="!!!"),"",IF(OR(J4312=0,AND(J4312=1,K4312=1),AND(J4312=1,I4312="SBJ"),AND(J4312=1,I4312=0)),"?IN_FOCUS",IF(J4312&lt;=2,"?ACTIVATED",IF(J4312&lt;&gt;"","?FAMILIAR",IF(F4312="NEW",IF(ISNA(VLOOKUP(E4312,#REF!,1,FALSE())),"?TYPE_IDENTIFIABLE","?REFERENTIAL"),"_")))))</f>
        <v> </v>
      </c>
      <c r="H4312" s="24" t="str">
        <f>IF(J4312&lt;&gt;1,"",IF(I4312="SBJ","CB","?"))</f>
        <v> </v>
      </c>
      <c r="I4312" s="25" t="str">
        <f>IF(OR(E4312="",E4312="!!!",F4312="NEW"),"",INDEX(B4311:B$2,-1+SUMPRODUCT(MAX(ROW(E4311:E$2)*(E4312=E4311:E$2)))))</f>
        <v> </v>
      </c>
      <c r="J4312" s="25" t="str">
        <f>IF(OR(E4312="",E4312="!!!",F4312="NEW"),"",COUNTBLANK(OFFSET(A$1,,,SUMPRODUCT(MAX(ROW(E$2:E4312)*(E4312=E$2:E4312)))))-COUNTBLANK(OFFSET(A$1,,,SUMPRODUCT(MAX(ROW(E$1:E4311)*(E2=E$1:E4311))))))</f>
        <v> </v>
      </c>
      <c r="K4312" s="25" t="str">
        <f>IF(OR(E4312="",E4312="!!!",F4312="NEW"),"",INDEX(J$1:J4311,SUMPRODUCT(MAX(ROW(E$1:E4311)*(E4312=E$1:E4311)))))</f>
        <v> </v>
      </c>
      <c r="L4312" s="26"/>
    </row>
    <row r="4313" spans="1:12">
      <c r="A4313" s="20" t="s">
        <v>2138</v>
      </c>
      <c r="E4313" s="21">
        <f>IF(D4313="?OLD","!!!","")</f>
        <v/>
      </c>
      <c r="F4313" s="22" t="str">
        <f>IF(OR(E4313="",E4313="!!!"),"",IF(NOT(ISNA(VLOOKUP(E4313,E$1:E4312,1,FALSE()))),"OLD",IF(AND(E4313&lt;&gt;"",E4313&lt;&gt;"!!!"),"NEW","")))</f>
        <v> </v>
      </c>
      <c r="G4313" s="23" t="str">
        <f>IF(OR(E4313="",E4313="!!!"),"",IF(OR(J4313=0,AND(J4313=1,K4313=1),AND(J4313=1,I4313="SBJ"),AND(J4313=1,I4313=0)),"?IN_FOCUS",IF(J4313&lt;=2,"?ACTIVATED",IF(J4313&lt;&gt;"","?FAMILIAR",IF(F4313="NEW",IF(ISNA(VLOOKUP(E4313,#REF!,1,FALSE())),"?TYPE_IDENTIFIABLE","?REFERENTIAL"),"_")))))</f>
        <v> </v>
      </c>
      <c r="H4313" s="24" t="str">
        <f>IF(J4313&lt;&gt;1,"",IF(I4313="SBJ","CB","?"))</f>
        <v> </v>
      </c>
      <c r="I4313" s="25" t="str">
        <f>IF(OR(E4313="",E4313="!!!",F4313="NEW"),"",INDEX(B4312:B$2,-1+SUMPRODUCT(MAX(ROW(E4312:E$2)*(E4313=E4312:E$2)))))</f>
        <v> </v>
      </c>
      <c r="J4313" s="25" t="str">
        <f>IF(OR(E4313="",E4313="!!!",F4313="NEW"),"",COUNTBLANK(OFFSET(A$1,,,SUMPRODUCT(MAX(ROW(E$2:E4313)*(E4313=E$2:E4313)))))-COUNTBLANK(OFFSET(A$1,,,SUMPRODUCT(MAX(ROW(E$1:E4312)*(E2=E$1:E4312))))))</f>
        <v> </v>
      </c>
      <c r="K4313" s="25" t="str">
        <f>IF(OR(E4313="",E4313="!!!",F4313="NEW"),"",INDEX(J$1:J4312,SUMPRODUCT(MAX(ROW(E$1:E4312)*(E4313=E$1:E4312)))))</f>
        <v> </v>
      </c>
      <c r="L4313" s="26"/>
    </row>
    <row r="4314" spans="1:12">
      <c r="A4314" s="20" t="s">
        <v>2370</v>
      </c>
      <c r="E4314" s="21">
        <f>IF(D4314="?OLD","!!!","")</f>
        <v/>
      </c>
      <c r="F4314" s="22" t="str">
        <f>IF(OR(E4314="",E4314="!!!"),"",IF(NOT(ISNA(VLOOKUP(E4314,E$1:E4313,1,FALSE()))),"OLD",IF(AND(E4314&lt;&gt;"",E4314&lt;&gt;"!!!"),"NEW","")))</f>
        <v> </v>
      </c>
      <c r="G4314" s="23" t="str">
        <f>IF(OR(E4314="",E4314="!!!"),"",IF(OR(J4314=0,AND(J4314=1,K4314=1),AND(J4314=1,I4314="SBJ"),AND(J4314=1,I4314=0)),"?IN_FOCUS",IF(J4314&lt;=2,"?ACTIVATED",IF(J4314&lt;&gt;"","?FAMILIAR",IF(F4314="NEW",IF(ISNA(VLOOKUP(E4314,#REF!,1,FALSE())),"?TYPE_IDENTIFIABLE","?REFERENTIAL"),"_")))))</f>
        <v> </v>
      </c>
      <c r="H4314" s="24" t="str">
        <f>IF(J4314&lt;&gt;1,"",IF(I4314="SBJ","CB","?"))</f>
        <v> </v>
      </c>
      <c r="I4314" s="25" t="str">
        <f>IF(OR(E4314="",E4314="!!!",F4314="NEW"),"",INDEX(B4313:B$2,-1+SUMPRODUCT(MAX(ROW(E4313:E$2)*(E4314=E4313:E$2)))))</f>
        <v> </v>
      </c>
      <c r="J4314" s="25" t="str">
        <f>IF(OR(E4314="",E4314="!!!",F4314="NEW"),"",COUNTBLANK(OFFSET(A$1,,,SUMPRODUCT(MAX(ROW(E$2:E4314)*(E4314=E$2:E4314)))))-COUNTBLANK(OFFSET(A$1,,,SUMPRODUCT(MAX(ROW(E$1:E4313)*(E2=E$1:E4313))))))</f>
        <v> </v>
      </c>
      <c r="K4314" s="25" t="str">
        <f>IF(OR(E4314="",E4314="!!!",F4314="NEW"),"",INDEX(J$1:J4313,SUMPRODUCT(MAX(ROW(E$1:E4313)*(E4314=E$1:E4313)))))</f>
        <v> </v>
      </c>
      <c r="L4314" s="26"/>
    </row>
    <row r="4315" spans="1:12">
      <c r="A4315" s="20" t="s">
        <v>1236</v>
      </c>
      <c r="E4315" s="21">
        <f>IF(D4315="?OLD","!!!","")</f>
        <v/>
      </c>
      <c r="F4315" s="22" t="str">
        <f>IF(OR(E4315="",E4315="!!!"),"",IF(NOT(ISNA(VLOOKUP(E4315,E$1:E4314,1,FALSE()))),"OLD",IF(AND(E4315&lt;&gt;"",E4315&lt;&gt;"!!!"),"NEW","")))</f>
        <v> </v>
      </c>
      <c r="G4315" s="23" t="str">
        <f>IF(OR(E4315="",E4315="!!!"),"",IF(OR(J4315=0,AND(J4315=1,K4315=1),AND(J4315=1,I4315="SBJ"),AND(J4315=1,I4315=0)),"?IN_FOCUS",IF(J4315&lt;=2,"?ACTIVATED",IF(J4315&lt;&gt;"","?FAMILIAR",IF(F4315="NEW",IF(ISNA(VLOOKUP(E4315,#REF!,1,FALSE())),"?TYPE_IDENTIFIABLE","?REFERENTIAL"),"_")))))</f>
        <v> </v>
      </c>
      <c r="H4315" s="24" t="str">
        <f>IF(J4315&lt;&gt;1,"",IF(I4315="SBJ","CB","?"))</f>
        <v> </v>
      </c>
      <c r="I4315" s="25" t="str">
        <f>IF(OR(E4315="",E4315="!!!",F4315="NEW"),"",INDEX(B4314:B$2,-1+SUMPRODUCT(MAX(ROW(E4314:E$2)*(E4315=E4314:E$2)))))</f>
        <v> </v>
      </c>
      <c r="J4315" s="25" t="str">
        <f>IF(OR(E4315="",E4315="!!!",F4315="NEW"),"",COUNTBLANK(OFFSET(A$1,,,SUMPRODUCT(MAX(ROW(E$2:E4315)*(E4315=E$2:E4315)))))-COUNTBLANK(OFFSET(A$1,,,SUMPRODUCT(MAX(ROW(E$1:E4314)*(E2=E$1:E4314))))))</f>
        <v> </v>
      </c>
      <c r="K4315" s="25" t="str">
        <f>IF(OR(E4315="",E4315="!!!",F4315="NEW"),"",INDEX(J$1:J4314,SUMPRODUCT(MAX(ROW(E$1:E4314)*(E4315=E$1:E4314)))))</f>
        <v> </v>
      </c>
      <c r="L4315" s="26"/>
    </row>
    <row r="4316" spans="1:12">
      <c r="A4316" s="20" t="s">
        <v>1080</v>
      </c>
      <c r="E4316" s="21">
        <f>IF(D4316="?OLD","!!!","")</f>
        <v/>
      </c>
      <c r="F4316" s="22" t="str">
        <f>IF(OR(E4316="",E4316="!!!"),"",IF(NOT(ISNA(VLOOKUP(E4316,E$1:E4315,1,FALSE()))),"OLD",IF(AND(E4316&lt;&gt;"",E4316&lt;&gt;"!!!"),"NEW","")))</f>
        <v> </v>
      </c>
      <c r="G4316" s="23" t="str">
        <f>IF(OR(E4316="",E4316="!!!"),"",IF(OR(J4316=0,AND(J4316=1,K4316=1),AND(J4316=1,I4316="SBJ"),AND(J4316=1,I4316=0)),"?IN_FOCUS",IF(J4316&lt;=2,"?ACTIVATED",IF(J4316&lt;&gt;"","?FAMILIAR",IF(F4316="NEW",IF(ISNA(VLOOKUP(E4316,#REF!,1,FALSE())),"?TYPE_IDENTIFIABLE","?REFERENTIAL"),"_")))))</f>
        <v> </v>
      </c>
      <c r="H4316" s="24" t="str">
        <f>IF(J4316&lt;&gt;1,"",IF(I4316="SBJ","CB","?"))</f>
        <v> </v>
      </c>
      <c r="I4316" s="25" t="str">
        <f>IF(OR(E4316="",E4316="!!!",F4316="NEW"),"",INDEX(B4315:B$2,-1+SUMPRODUCT(MAX(ROW(E4315:E$2)*(E4316=E4315:E$2)))))</f>
        <v> </v>
      </c>
      <c r="J4316" s="25" t="str">
        <f>IF(OR(E4316="",E4316="!!!",F4316="NEW"),"",COUNTBLANK(OFFSET(A$1,,,SUMPRODUCT(MAX(ROW(E$2:E4316)*(E4316=E$2:E4316)))))-COUNTBLANK(OFFSET(A$1,,,SUMPRODUCT(MAX(ROW(E$1:E4315)*(E2=E$1:E4315))))))</f>
        <v> </v>
      </c>
      <c r="K4316" s="25" t="str">
        <f>IF(OR(E4316="",E4316="!!!",F4316="NEW"),"",INDEX(J$1:J4315,SUMPRODUCT(MAX(ROW(E$1:E4315)*(E4316=E$1:E4315)))))</f>
        <v> </v>
      </c>
      <c r="L4316" s="26"/>
    </row>
    <row r="4317" spans="1:12">
      <c r="A4317" s="20"/>
    </row>
    <row r="4318" spans="1:12">
      <c r="A4318" s="20" t="s">
        <v>2371</v>
      </c>
    </row>
    <row r="4319" spans="1:12">
      <c r="A4319" s="20" t="s">
        <v>1082</v>
      </c>
      <c r="E4319" s="21">
        <f>IF(D4319="?OLD","!!!","")</f>
        <v/>
      </c>
      <c r="F4319" s="22" t="str">
        <f>IF(OR(E4319="",E4319="!!!"),"",IF(NOT(ISNA(VLOOKUP(E4319,E$1:E4318,1,FALSE()))),"OLD",IF(AND(E4319&lt;&gt;"",E4319&lt;&gt;"!!!"),"NEW","")))</f>
        <v> </v>
      </c>
      <c r="G4319" s="23" t="str">
        <f>IF(OR(E4319="",E4319="!!!"),"",IF(OR(J4319=0,AND(J4319=1,K4319=1),AND(J4319=1,I4319="SBJ"),AND(J4319=1,I4319=0)),"?IN_FOCUS",IF(J4319&lt;=2,"?ACTIVATED",IF(J4319&lt;&gt;"","?FAMILIAR",IF(F4319="NEW",IF(ISNA(VLOOKUP(E4319,#REF!,1,FALSE())),"?TYPE_IDENTIFIABLE","?REFERENTIAL"),"_")))))</f>
        <v> </v>
      </c>
      <c r="H4319" s="24" t="str">
        <f>IF(J4319&lt;&gt;1,"",IF(I4319="SBJ","CB","?"))</f>
        <v> </v>
      </c>
      <c r="I4319" s="25" t="str">
        <f>IF(OR(E4319="",E4319="!!!",F4319="NEW"),"",INDEX(B4318:B$2,-1+SUMPRODUCT(MAX(ROW(E4318:E$2)*(E4319=E4318:E$2)))))</f>
        <v> </v>
      </c>
      <c r="J4319" s="25" t="str">
        <f>IF(OR(E4319="",E4319="!!!",F4319="NEW"),"",COUNTBLANK(OFFSET(A$1,,,SUMPRODUCT(MAX(ROW(E$2:E4319)*(E4319=E$2:E4319)))))-COUNTBLANK(OFFSET(A$1,,,SUMPRODUCT(MAX(ROW(E$1:E4318)*(E2=E$1:E4318))))))</f>
        <v> </v>
      </c>
      <c r="K4319" s="25" t="str">
        <f>IF(OR(E4319="",E4319="!!!",F4319="NEW"),"",INDEX(J$1:J4318,SUMPRODUCT(MAX(ROW(E$1:E4318)*(E4319=E$1:E4318)))))</f>
        <v> </v>
      </c>
      <c r="L4319" s="26"/>
    </row>
    <row r="4320" spans="1:12">
      <c r="A4320" s="20" t="s">
        <v>1167</v>
      </c>
      <c r="B4320" s="27" t="s">
        <v>1067</v>
      </c>
      <c r="C4320" s="27" t="s">
        <v>1068</v>
      </c>
      <c r="D4320" s="27" t="s">
        <v>1069</v>
      </c>
      <c r="E4320" s="21">
        <f>IF(D4320="?OLD","!!!","")</f>
        <v/>
      </c>
      <c r="F4320" s="22" t="str">
        <f>IF(OR(E4320="",E4320="!!!"),"",IF(NOT(ISNA(VLOOKUP(E4320,E$1:E4319,1,FALSE()))),"OLD",IF(AND(E4320&lt;&gt;"",E4320&lt;&gt;"!!!"),"NEW","")))</f>
        <v> </v>
      </c>
      <c r="G4320" s="23" t="str">
        <f>IF(OR(E4320="",E4320="!!!"),"",IF(OR(J4320=0,AND(J4320=1,K4320=1),AND(J4320=1,I4320="SBJ"),AND(J4320=1,I4320=0)),"?IN_FOCUS",IF(J4320&lt;=2,"?ACTIVATED",IF(J4320&lt;&gt;"","?FAMILIAR",IF(F4320="NEW",IF(ISNA(VLOOKUP(E4320,#REF!,1,FALSE())),"?TYPE_IDENTIFIABLE","?REFERENTIAL"),"_")))))</f>
        <v> </v>
      </c>
      <c r="H4320" s="24" t="str">
        <f>IF(J4320&lt;&gt;1,"",IF(I4320="SBJ","CB","?"))</f>
        <v> </v>
      </c>
      <c r="I4320" s="25" t="str">
        <f>IF(OR(E4320="",E4320="!!!",F4320="NEW"),"",INDEX(B4319:B$2,-1+SUMPRODUCT(MAX(ROW(E4319:E$2)*(E4320=E4319:E$2)))))</f>
        <v> </v>
      </c>
      <c r="J4320" s="25" t="str">
        <f>IF(OR(E4320="",E4320="!!!",F4320="NEW"),"",COUNTBLANK(OFFSET(A$1,,,SUMPRODUCT(MAX(ROW(E$2:E4320)*(E4320=E$2:E4320)))))-COUNTBLANK(OFFSET(A$1,,,SUMPRODUCT(MAX(ROW(E$1:E4319)*(E2=E$1:E4319))))))</f>
        <v> </v>
      </c>
      <c r="K4320" s="25" t="str">
        <f>IF(OR(E4320="",E4320="!!!",F4320="NEW"),"",INDEX(J$1:J4319,SUMPRODUCT(MAX(ROW(E$1:E4319)*(E4320=E$1:E4319)))))</f>
        <v> </v>
      </c>
      <c r="L4320" s="26"/>
    </row>
    <row r="4321" spans="1:12">
      <c r="A4321" s="20" t="s">
        <v>1205</v>
      </c>
      <c r="E4321" s="21">
        <f>IF(D4321="?OLD","!!!","")</f>
        <v/>
      </c>
      <c r="F4321" s="22" t="str">
        <f>IF(OR(E4321="",E4321="!!!"),"",IF(NOT(ISNA(VLOOKUP(E4321,E$1:E4320,1,FALSE()))),"OLD",IF(AND(E4321&lt;&gt;"",E4321&lt;&gt;"!!!"),"NEW","")))</f>
        <v> </v>
      </c>
      <c r="G4321" s="23" t="str">
        <f>IF(OR(E4321="",E4321="!!!"),"",IF(OR(J4321=0,AND(J4321=1,K4321=1),AND(J4321=1,I4321="SBJ"),AND(J4321=1,I4321=0)),"?IN_FOCUS",IF(J4321&lt;=2,"?ACTIVATED",IF(J4321&lt;&gt;"","?FAMILIAR",IF(F4321="NEW",IF(ISNA(VLOOKUP(E4321,#REF!,1,FALSE())),"?TYPE_IDENTIFIABLE","?REFERENTIAL"),"_")))))</f>
        <v> </v>
      </c>
      <c r="H4321" s="24" t="str">
        <f>IF(J4321&lt;&gt;1,"",IF(I4321="SBJ","CB","?"))</f>
        <v> </v>
      </c>
      <c r="I4321" s="25" t="str">
        <f>IF(OR(E4321="",E4321="!!!",F4321="NEW"),"",INDEX(B4320:B$2,-1+SUMPRODUCT(MAX(ROW(E4320:E$2)*(E4321=E4320:E$2)))))</f>
        <v> </v>
      </c>
      <c r="J4321" s="25" t="str">
        <f>IF(OR(E4321="",E4321="!!!",F4321="NEW"),"",COUNTBLANK(OFFSET(A$1,,,SUMPRODUCT(MAX(ROW(E$2:E4321)*(E4321=E$2:E4321)))))-COUNTBLANK(OFFSET(A$1,,,SUMPRODUCT(MAX(ROW(E$1:E4320)*(E2=E$1:E4320))))))</f>
        <v> </v>
      </c>
      <c r="K4321" s="25" t="str">
        <f>IF(OR(E4321="",E4321="!!!",F4321="NEW"),"",INDEX(J$1:J4320,SUMPRODUCT(MAX(ROW(E$1:E4320)*(E4321=E$1:E4320)))))</f>
        <v> </v>
      </c>
      <c r="L4321" s="26"/>
    </row>
    <row r="4322" spans="1:12">
      <c r="A4322" s="20" t="s">
        <v>1207</v>
      </c>
      <c r="E4322" s="21">
        <f>IF(D4322="?OLD","!!!","")</f>
        <v/>
      </c>
      <c r="F4322" s="22" t="str">
        <f>IF(OR(E4322="",E4322="!!!"),"",IF(NOT(ISNA(VLOOKUP(E4322,E$1:E4321,1,FALSE()))),"OLD",IF(AND(E4322&lt;&gt;"",E4322&lt;&gt;"!!!"),"NEW","")))</f>
        <v> </v>
      </c>
      <c r="G4322" s="23" t="str">
        <f>IF(OR(E4322="",E4322="!!!"),"",IF(OR(J4322=0,AND(J4322=1,K4322=1),AND(J4322=1,I4322="SBJ"),AND(J4322=1,I4322=0)),"?IN_FOCUS",IF(J4322&lt;=2,"?ACTIVATED",IF(J4322&lt;&gt;"","?FAMILIAR",IF(F4322="NEW",IF(ISNA(VLOOKUP(E4322,#REF!,1,FALSE())),"?TYPE_IDENTIFIABLE","?REFERENTIAL"),"_")))))</f>
        <v> </v>
      </c>
      <c r="H4322" s="24" t="str">
        <f>IF(J4322&lt;&gt;1,"",IF(I4322="SBJ","CB","?"))</f>
        <v> </v>
      </c>
      <c r="I4322" s="25" t="str">
        <f>IF(OR(E4322="",E4322="!!!",F4322="NEW"),"",INDEX(B4321:B$2,-1+SUMPRODUCT(MAX(ROW(E4321:E$2)*(E4322=E4321:E$2)))))</f>
        <v> </v>
      </c>
      <c r="J4322" s="25" t="str">
        <f>IF(OR(E4322="",E4322="!!!",F4322="NEW"),"",COUNTBLANK(OFFSET(A$1,,,SUMPRODUCT(MAX(ROW(E$2:E4322)*(E4322=E$2:E4322)))))-COUNTBLANK(OFFSET(A$1,,,SUMPRODUCT(MAX(ROW(E$1:E4321)*(E2=E$1:E4321))))))</f>
        <v> </v>
      </c>
      <c r="K4322" s="25" t="str">
        <f>IF(OR(E4322="",E4322="!!!",F4322="NEW"),"",INDEX(J$1:J4321,SUMPRODUCT(MAX(ROW(E$1:E4321)*(E4322=E$1:E4321)))))</f>
        <v> </v>
      </c>
      <c r="L4322" s="26"/>
    </row>
    <row r="4323" spans="1:12">
      <c r="A4323" s="20" t="s">
        <v>1143</v>
      </c>
      <c r="E4323" s="21">
        <f>IF(D4323="?OLD","!!!","")</f>
        <v/>
      </c>
      <c r="F4323" s="22" t="str">
        <f>IF(OR(E4323="",E4323="!!!"),"",IF(NOT(ISNA(VLOOKUP(E4323,E$1:E4322,1,FALSE()))),"OLD",IF(AND(E4323&lt;&gt;"",E4323&lt;&gt;"!!!"),"NEW","")))</f>
        <v> </v>
      </c>
      <c r="G4323" s="23" t="str">
        <f>IF(OR(E4323="",E4323="!!!"),"",IF(OR(J4323=0,AND(J4323=1,K4323=1),AND(J4323=1,I4323="SBJ"),AND(J4323=1,I4323=0)),"?IN_FOCUS",IF(J4323&lt;=2,"?ACTIVATED",IF(J4323&lt;&gt;"","?FAMILIAR",IF(F4323="NEW",IF(ISNA(VLOOKUP(E4323,#REF!,1,FALSE())),"?TYPE_IDENTIFIABLE","?REFERENTIAL"),"_")))))</f>
        <v> </v>
      </c>
      <c r="H4323" s="24" t="str">
        <f>IF(J4323&lt;&gt;1,"",IF(I4323="SBJ","CB","?"))</f>
        <v> </v>
      </c>
      <c r="I4323" s="25" t="str">
        <f>IF(OR(E4323="",E4323="!!!",F4323="NEW"),"",INDEX(B4322:B$2,-1+SUMPRODUCT(MAX(ROW(E4322:E$2)*(E4323=E4322:E$2)))))</f>
        <v> </v>
      </c>
      <c r="J4323" s="25" t="str">
        <f>IF(OR(E4323="",E4323="!!!",F4323="NEW"),"",COUNTBLANK(OFFSET(A$1,,,SUMPRODUCT(MAX(ROW(E$2:E4323)*(E4323=E$2:E4323)))))-COUNTBLANK(OFFSET(A$1,,,SUMPRODUCT(MAX(ROW(E$1:E4322)*(E2=E$1:E4322))))))</f>
        <v> </v>
      </c>
      <c r="K4323" s="25" t="str">
        <f>IF(OR(E4323="",E4323="!!!",F4323="NEW"),"",INDEX(J$1:J4322,SUMPRODUCT(MAX(ROW(E$1:E4322)*(E4323=E$1:E4322)))))</f>
        <v> </v>
      </c>
      <c r="L4323" s="26"/>
    </row>
    <row r="4324" spans="1:12">
      <c r="A4324" s="20" t="s">
        <v>2372</v>
      </c>
      <c r="B4324" s="27" t="s">
        <v>1074</v>
      </c>
      <c r="C4324" s="27" t="s">
        <v>1086</v>
      </c>
      <c r="D4324" s="27" t="s">
        <v>1069</v>
      </c>
      <c r="E4324" s="21">
        <f>IF(D4324="?OLD","!!!","")</f>
        <v/>
      </c>
      <c r="F4324" s="22" t="str">
        <f>IF(OR(E4324="",E4324="!!!"),"",IF(NOT(ISNA(VLOOKUP(E4324,E$1:E4323,1,FALSE()))),"OLD",IF(AND(E4324&lt;&gt;"",E4324&lt;&gt;"!!!"),"NEW","")))</f>
        <v> </v>
      </c>
      <c r="G4324" s="23" t="str">
        <f>IF(OR(E4324="",E4324="!!!"),"",IF(OR(J4324=0,AND(J4324=1,K4324=1),AND(J4324=1,I4324="SBJ"),AND(J4324=1,I4324=0)),"?IN_FOCUS",IF(J4324&lt;=2,"?ACTIVATED",IF(J4324&lt;&gt;"","?FAMILIAR",IF(F4324="NEW",IF(ISNA(VLOOKUP(E4324,#REF!,1,FALSE())),"?TYPE_IDENTIFIABLE","?REFERENTIAL"),"_")))))</f>
        <v> </v>
      </c>
      <c r="H4324" s="24" t="str">
        <f>IF(J4324&lt;&gt;1,"",IF(I4324="SBJ","CB","?"))</f>
        <v> </v>
      </c>
      <c r="I4324" s="25" t="str">
        <f>IF(OR(E4324="",E4324="!!!",F4324="NEW"),"",INDEX(B4323:B$2,-1+SUMPRODUCT(MAX(ROW(E4323:E$2)*(E4324=E4323:E$2)))))</f>
        <v> </v>
      </c>
      <c r="J4324" s="25" t="str">
        <f>IF(OR(E4324="",E4324="!!!",F4324="NEW"),"",COUNTBLANK(OFFSET(A$1,,,SUMPRODUCT(MAX(ROW(E$2:E4324)*(E4324=E$2:E4324)))))-COUNTBLANK(OFFSET(A$1,,,SUMPRODUCT(MAX(ROW(E$1:E4323)*(E2=E$1:E4323))))))</f>
        <v> </v>
      </c>
      <c r="K4324" s="25" t="str">
        <f>IF(OR(E4324="",E4324="!!!",F4324="NEW"),"",INDEX(J$1:J4323,SUMPRODUCT(MAX(ROW(E$1:E4323)*(E4324=E$1:E4323)))))</f>
        <v> </v>
      </c>
      <c r="L4324" s="26"/>
    </row>
    <row r="4325" spans="1:12">
      <c r="A4325" s="20" t="s">
        <v>1087</v>
      </c>
      <c r="E4325" s="21">
        <f>IF(D4325="?OLD","!!!","")</f>
        <v/>
      </c>
      <c r="F4325" s="22" t="str">
        <f>IF(OR(E4325="",E4325="!!!"),"",IF(NOT(ISNA(VLOOKUP(E4325,E$1:E4324,1,FALSE()))),"OLD",IF(AND(E4325&lt;&gt;"",E4325&lt;&gt;"!!!"),"NEW","")))</f>
        <v> </v>
      </c>
      <c r="G4325" s="23" t="str">
        <f>IF(OR(E4325="",E4325="!!!"),"",IF(OR(J4325=0,AND(J4325=1,K4325=1),AND(J4325=1,I4325="SBJ"),AND(J4325=1,I4325=0)),"?IN_FOCUS",IF(J4325&lt;=2,"?ACTIVATED",IF(J4325&lt;&gt;"","?FAMILIAR",IF(F4325="NEW",IF(ISNA(VLOOKUP(E4325,#REF!,1,FALSE())),"?TYPE_IDENTIFIABLE","?REFERENTIAL"),"_")))))</f>
        <v> </v>
      </c>
      <c r="H4325" s="24" t="str">
        <f>IF(J4325&lt;&gt;1,"",IF(I4325="SBJ","CB","?"))</f>
        <v> </v>
      </c>
      <c r="I4325" s="25" t="str">
        <f>IF(OR(E4325="",E4325="!!!",F4325="NEW"),"",INDEX(B4324:B$2,-1+SUMPRODUCT(MAX(ROW(E4324:E$2)*(E4325=E4324:E$2)))))</f>
        <v> </v>
      </c>
      <c r="J4325" s="25" t="str">
        <f>IF(OR(E4325="",E4325="!!!",F4325="NEW"),"",COUNTBLANK(OFFSET(A$1,,,SUMPRODUCT(MAX(ROW(E$2:E4325)*(E4325=E$2:E4325)))))-COUNTBLANK(OFFSET(A$1,,,SUMPRODUCT(MAX(ROW(E$1:E4324)*(E2=E$1:E4324))))))</f>
        <v> </v>
      </c>
      <c r="K4325" s="25" t="str">
        <f>IF(OR(E4325="",E4325="!!!",F4325="NEW"),"",INDEX(J$1:J4324,SUMPRODUCT(MAX(ROW(E$1:E4324)*(E4325=E$1:E4324)))))</f>
        <v> </v>
      </c>
      <c r="L4325" s="26"/>
    </row>
    <row r="4326" spans="1:12">
      <c r="A4326" s="20" t="s">
        <v>1196</v>
      </c>
      <c r="E4326" s="21">
        <f>IF(D4326="?OLD","!!!","")</f>
        <v/>
      </c>
      <c r="F4326" s="22" t="str">
        <f>IF(OR(E4326="",E4326="!!!"),"",IF(NOT(ISNA(VLOOKUP(E4326,E$1:E4325,1,FALSE()))),"OLD",IF(AND(E4326&lt;&gt;"",E4326&lt;&gt;"!!!"),"NEW","")))</f>
        <v> </v>
      </c>
      <c r="G4326" s="23" t="str">
        <f>IF(OR(E4326="",E4326="!!!"),"",IF(OR(J4326=0,AND(J4326=1,K4326=1),AND(J4326=1,I4326="SBJ"),AND(J4326=1,I4326=0)),"?IN_FOCUS",IF(J4326&lt;=2,"?ACTIVATED",IF(J4326&lt;&gt;"","?FAMILIAR",IF(F4326="NEW",IF(ISNA(VLOOKUP(E4326,#REF!,1,FALSE())),"?TYPE_IDENTIFIABLE","?REFERENTIAL"),"_")))))</f>
        <v> </v>
      </c>
      <c r="H4326" s="24" t="str">
        <f>IF(J4326&lt;&gt;1,"",IF(I4326="SBJ","CB","?"))</f>
        <v> </v>
      </c>
      <c r="I4326" s="25" t="str">
        <f>IF(OR(E4326="",E4326="!!!",F4326="NEW"),"",INDEX(B4325:B$2,-1+SUMPRODUCT(MAX(ROW(E4325:E$2)*(E4326=E4325:E$2)))))</f>
        <v> </v>
      </c>
      <c r="J4326" s="25" t="str">
        <f>IF(OR(E4326="",E4326="!!!",F4326="NEW"),"",COUNTBLANK(OFFSET(A$1,,,SUMPRODUCT(MAX(ROW(E$2:E4326)*(E4326=E$2:E4326)))))-COUNTBLANK(OFFSET(A$1,,,SUMPRODUCT(MAX(ROW(E$1:E4325)*(E2=E$1:E4325))))))</f>
        <v> </v>
      </c>
      <c r="K4326" s="25" t="str">
        <f>IF(OR(E4326="",E4326="!!!",F4326="NEW"),"",INDEX(J$1:J4325,SUMPRODUCT(MAX(ROW(E$1:E4325)*(E4326=E$1:E4325)))))</f>
        <v> </v>
      </c>
      <c r="L4326" s="26"/>
    </row>
    <row r="4327" spans="1:12">
      <c r="A4327" s="20" t="s">
        <v>1167</v>
      </c>
      <c r="B4327" s="27" t="s">
        <v>1095</v>
      </c>
      <c r="C4327" s="27" t="s">
        <v>1068</v>
      </c>
      <c r="D4327" s="27" t="s">
        <v>1069</v>
      </c>
      <c r="E4327" s="21">
        <f>IF(D4327="?OLD","!!!","")</f>
        <v/>
      </c>
      <c r="F4327" s="22" t="str">
        <f>IF(OR(E4327="",E4327="!!!"),"",IF(NOT(ISNA(VLOOKUP(E4327,E$1:E4326,1,FALSE()))),"OLD",IF(AND(E4327&lt;&gt;"",E4327&lt;&gt;"!!!"),"NEW","")))</f>
        <v> </v>
      </c>
      <c r="G4327" s="23" t="str">
        <f>IF(OR(E4327="",E4327="!!!"),"",IF(OR(J4327=0,AND(J4327=1,K4327=1),AND(J4327=1,I4327="SBJ"),AND(J4327=1,I4327=0)),"?IN_FOCUS",IF(J4327&lt;=2,"?ACTIVATED",IF(J4327&lt;&gt;"","?FAMILIAR",IF(F4327="NEW",IF(ISNA(VLOOKUP(E4327,#REF!,1,FALSE())),"?TYPE_IDENTIFIABLE","?REFERENTIAL"),"_")))))</f>
        <v> </v>
      </c>
      <c r="H4327" s="24" t="str">
        <f>IF(J4327&lt;&gt;1,"",IF(I4327="SBJ","CB","?"))</f>
        <v> </v>
      </c>
      <c r="I4327" s="25" t="str">
        <f>IF(OR(E4327="",E4327="!!!",F4327="NEW"),"",INDEX(B4326:B$2,-1+SUMPRODUCT(MAX(ROW(E4326:E$2)*(E4327=E4326:E$2)))))</f>
        <v> </v>
      </c>
      <c r="J4327" s="25" t="str">
        <f>IF(OR(E4327="",E4327="!!!",F4327="NEW"),"",COUNTBLANK(OFFSET(A$1,,,SUMPRODUCT(MAX(ROW(E$2:E4327)*(E4327=E$2:E4327)))))-COUNTBLANK(OFFSET(A$1,,,SUMPRODUCT(MAX(ROW(E$1:E4326)*(E2=E$1:E4326))))))</f>
        <v> </v>
      </c>
      <c r="K4327" s="25" t="str">
        <f>IF(OR(E4327="",E4327="!!!",F4327="NEW"),"",INDEX(J$1:J4326,SUMPRODUCT(MAX(ROW(E$1:E4326)*(E4327=E$1:E4326)))))</f>
        <v> </v>
      </c>
      <c r="L4327" s="26"/>
    </row>
    <row r="4328" spans="1:12">
      <c r="A4328" s="20" t="s">
        <v>1656</v>
      </c>
      <c r="B4328" s="27" t="s">
        <v>1090</v>
      </c>
      <c r="C4328" s="27" t="s">
        <v>1072</v>
      </c>
      <c r="E4328" s="21">
        <f>IF(D4328="?OLD","!!!","")</f>
        <v/>
      </c>
      <c r="F4328" s="22" t="str">
        <f>IF(OR(E4328="",E4328="!!!"),"",IF(NOT(ISNA(VLOOKUP(E4328,E$1:E4327,1,FALSE()))),"OLD",IF(AND(E4328&lt;&gt;"",E4328&lt;&gt;"!!!"),"NEW","")))</f>
        <v> </v>
      </c>
      <c r="G4328" s="23" t="str">
        <f>IF(OR(E4328="",E4328="!!!"),"",IF(OR(J4328=0,AND(J4328=1,K4328=1),AND(J4328=1,I4328="SBJ"),AND(J4328=1,I4328=0)),"?IN_FOCUS",IF(J4328&lt;=2,"?ACTIVATED",IF(J4328&lt;&gt;"","?FAMILIAR",IF(F4328="NEW",IF(ISNA(VLOOKUP(E4328,#REF!,1,FALSE())),"?TYPE_IDENTIFIABLE","?REFERENTIAL"),"_")))))</f>
        <v> </v>
      </c>
      <c r="H4328" s="24" t="str">
        <f>IF(J4328&lt;&gt;1,"",IF(I4328="SBJ","CB","?"))</f>
        <v> </v>
      </c>
      <c r="I4328" s="25" t="str">
        <f>IF(OR(E4328="",E4328="!!!",F4328="NEW"),"",INDEX(B4327:B$2,-1+SUMPRODUCT(MAX(ROW(E4327:E$2)*(E4328=E4327:E$2)))))</f>
        <v> </v>
      </c>
      <c r="J4328" s="25" t="str">
        <f>IF(OR(E4328="",E4328="!!!",F4328="NEW"),"",COUNTBLANK(OFFSET(A$1,,,SUMPRODUCT(MAX(ROW(E$2:E4328)*(E4328=E$2:E4328)))))-COUNTBLANK(OFFSET(A$1,,,SUMPRODUCT(MAX(ROW(E$1:E4327)*(E2=E$1:E4327))))))</f>
        <v> </v>
      </c>
      <c r="K4328" s="25" t="str">
        <f>IF(OR(E4328="",E4328="!!!",F4328="NEW"),"",INDEX(J$1:J4327,SUMPRODUCT(MAX(ROW(E$1:E4327)*(E4328=E$1:E4327)))))</f>
        <v> </v>
      </c>
      <c r="L4328" s="26"/>
    </row>
    <row r="4329" spans="1:12">
      <c r="A4329" s="20" t="s">
        <v>278</v>
      </c>
      <c r="E4329" s="21">
        <f>IF(D4329="?OLD","!!!","")</f>
        <v/>
      </c>
      <c r="F4329" s="22" t="str">
        <f>IF(OR(E4329="",E4329="!!!"),"",IF(NOT(ISNA(VLOOKUP(E4329,E$1:E4328,1,FALSE()))),"OLD",IF(AND(E4329&lt;&gt;"",E4329&lt;&gt;"!!!"),"NEW","")))</f>
        <v> </v>
      </c>
      <c r="G4329" s="23" t="str">
        <f>IF(OR(E4329="",E4329="!!!"),"",IF(OR(J4329=0,AND(J4329=1,K4329=1),AND(J4329=1,I4329="SBJ"),AND(J4329=1,I4329=0)),"?IN_FOCUS",IF(J4329&lt;=2,"?ACTIVATED",IF(J4329&lt;&gt;"","?FAMILIAR",IF(F4329="NEW",IF(ISNA(VLOOKUP(E4329,#REF!,1,FALSE())),"?TYPE_IDENTIFIABLE","?REFERENTIAL"),"_")))))</f>
        <v> </v>
      </c>
      <c r="H4329" s="24" t="str">
        <f>IF(J4329&lt;&gt;1,"",IF(I4329="SBJ","CB","?"))</f>
        <v> </v>
      </c>
      <c r="I4329" s="25" t="str">
        <f>IF(OR(E4329="",E4329="!!!",F4329="NEW"),"",INDEX(B4328:B$2,-1+SUMPRODUCT(MAX(ROW(E4328:E$2)*(E4329=E4328:E$2)))))</f>
        <v> </v>
      </c>
      <c r="J4329" s="25" t="str">
        <f>IF(OR(E4329="",E4329="!!!",F4329="NEW"),"",COUNTBLANK(OFFSET(A$1,,,SUMPRODUCT(MAX(ROW(E$2:E4329)*(E4329=E$2:E4329)))))-COUNTBLANK(OFFSET(A$1,,,SUMPRODUCT(MAX(ROW(E$1:E4328)*(E2=E$1:E4328))))))</f>
        <v> </v>
      </c>
      <c r="K4329" s="25" t="str">
        <f>IF(OR(E4329="",E4329="!!!",F4329="NEW"),"",INDEX(J$1:J4328,SUMPRODUCT(MAX(ROW(E$1:E4328)*(E4329=E$1:E4328)))))</f>
        <v> </v>
      </c>
      <c r="L4329" s="26"/>
    </row>
    <row r="4330" spans="1:12">
      <c r="A4330" s="20" t="s">
        <v>1087</v>
      </c>
      <c r="E4330" s="21">
        <f>IF(D4330="?OLD","!!!","")</f>
        <v/>
      </c>
      <c r="F4330" s="22" t="str">
        <f>IF(OR(E4330="",E4330="!!!"),"",IF(NOT(ISNA(VLOOKUP(E4330,E$1:E4329,1,FALSE()))),"OLD",IF(AND(E4330&lt;&gt;"",E4330&lt;&gt;"!!!"),"NEW","")))</f>
        <v> </v>
      </c>
      <c r="G4330" s="23" t="str">
        <f>IF(OR(E4330="",E4330="!!!"),"",IF(OR(J4330=0,AND(J4330=1,K4330=1),AND(J4330=1,I4330="SBJ"),AND(J4330=1,I4330=0)),"?IN_FOCUS",IF(J4330&lt;=2,"?ACTIVATED",IF(J4330&lt;&gt;"","?FAMILIAR",IF(F4330="NEW",IF(ISNA(VLOOKUP(E4330,#REF!,1,FALSE())),"?TYPE_IDENTIFIABLE","?REFERENTIAL"),"_")))))</f>
        <v> </v>
      </c>
      <c r="H4330" s="24" t="str">
        <f>IF(J4330&lt;&gt;1,"",IF(I4330="SBJ","CB","?"))</f>
        <v> </v>
      </c>
      <c r="I4330" s="25" t="str">
        <f>IF(OR(E4330="",E4330="!!!",F4330="NEW"),"",INDEX(B4329:B$2,-1+SUMPRODUCT(MAX(ROW(E4329:E$2)*(E4330=E4329:E$2)))))</f>
        <v> </v>
      </c>
      <c r="J4330" s="25" t="str">
        <f>IF(OR(E4330="",E4330="!!!",F4330="NEW"),"",COUNTBLANK(OFFSET(A$1,,,SUMPRODUCT(MAX(ROW(E$2:E4330)*(E4330=E$2:E4330)))))-COUNTBLANK(OFFSET(A$1,,,SUMPRODUCT(MAX(ROW(E$1:E4329)*(E2=E$1:E4329))))))</f>
        <v> </v>
      </c>
      <c r="K4330" s="25" t="str">
        <f>IF(OR(E4330="",E4330="!!!",F4330="NEW"),"",INDEX(J$1:J4329,SUMPRODUCT(MAX(ROW(E$1:E4329)*(E4330=E$1:E4329)))))</f>
        <v> </v>
      </c>
      <c r="L4330" s="26"/>
    </row>
    <row r="4331" spans="1:12">
      <c r="A4331" s="20" t="s">
        <v>1689</v>
      </c>
      <c r="E4331" s="21">
        <f>IF(D4331="?OLD","!!!","")</f>
        <v/>
      </c>
      <c r="F4331" s="22" t="str">
        <f>IF(OR(E4331="",E4331="!!!"),"",IF(NOT(ISNA(VLOOKUP(E4331,E$1:E4330,1,FALSE()))),"OLD",IF(AND(E4331&lt;&gt;"",E4331&lt;&gt;"!!!"),"NEW","")))</f>
        <v> </v>
      </c>
      <c r="G4331" s="23" t="str">
        <f>IF(OR(E4331="",E4331="!!!"),"",IF(OR(J4331=0,AND(J4331=1,K4331=1),AND(J4331=1,I4331="SBJ"),AND(J4331=1,I4331=0)),"?IN_FOCUS",IF(J4331&lt;=2,"?ACTIVATED",IF(J4331&lt;&gt;"","?FAMILIAR",IF(F4331="NEW",IF(ISNA(VLOOKUP(E4331,#REF!,1,FALSE())),"?TYPE_IDENTIFIABLE","?REFERENTIAL"),"_")))))</f>
        <v> </v>
      </c>
      <c r="H4331" s="24" t="str">
        <f>IF(J4331&lt;&gt;1,"",IF(I4331="SBJ","CB","?"))</f>
        <v> </v>
      </c>
      <c r="I4331" s="25" t="str">
        <f>IF(OR(E4331="",E4331="!!!",F4331="NEW"),"",INDEX(B4330:B$2,-1+SUMPRODUCT(MAX(ROW(E4330:E$2)*(E4331=E4330:E$2)))))</f>
        <v> </v>
      </c>
      <c r="J4331" s="25" t="str">
        <f>IF(OR(E4331="",E4331="!!!",F4331="NEW"),"",COUNTBLANK(OFFSET(A$1,,,SUMPRODUCT(MAX(ROW(E$2:E4331)*(E4331=E$2:E4331)))))-COUNTBLANK(OFFSET(A$1,,,SUMPRODUCT(MAX(ROW(E$1:E4330)*(E2=E$1:E4330))))))</f>
        <v> </v>
      </c>
      <c r="K4331" s="25" t="str">
        <f>IF(OR(E4331="",E4331="!!!",F4331="NEW"),"",INDEX(J$1:J4330,SUMPRODUCT(MAX(ROW(E$1:E4330)*(E4331=E$1:E4330)))))</f>
        <v> </v>
      </c>
      <c r="L4331" s="26"/>
    </row>
    <row r="4332" spans="1:12">
      <c r="A4332" s="20" t="s">
        <v>1352</v>
      </c>
      <c r="E4332" s="21">
        <f>IF(D4332="?OLD","!!!","")</f>
        <v/>
      </c>
      <c r="F4332" s="22" t="str">
        <f>IF(OR(E4332="",E4332="!!!"),"",IF(NOT(ISNA(VLOOKUP(E4332,E$1:E4331,1,FALSE()))),"OLD",IF(AND(E4332&lt;&gt;"",E4332&lt;&gt;"!!!"),"NEW","")))</f>
        <v> </v>
      </c>
      <c r="G4332" s="23" t="str">
        <f>IF(OR(E4332="",E4332="!!!"),"",IF(OR(J4332=0,AND(J4332=1,K4332=1),AND(J4332=1,I4332="SBJ"),AND(J4332=1,I4332=0)),"?IN_FOCUS",IF(J4332&lt;=2,"?ACTIVATED",IF(J4332&lt;&gt;"","?FAMILIAR",IF(F4332="NEW",IF(ISNA(VLOOKUP(E4332,#REF!,1,FALSE())),"?TYPE_IDENTIFIABLE","?REFERENTIAL"),"_")))))</f>
        <v> </v>
      </c>
      <c r="H4332" s="24" t="str">
        <f>IF(J4332&lt;&gt;1,"",IF(I4332="SBJ","CB","?"))</f>
        <v> </v>
      </c>
      <c r="I4332" s="25" t="str">
        <f>IF(OR(E4332="",E4332="!!!",F4332="NEW"),"",INDEX(B4331:B$2,-1+SUMPRODUCT(MAX(ROW(E4331:E$2)*(E4332=E4331:E$2)))))</f>
        <v> </v>
      </c>
      <c r="J4332" s="25" t="str">
        <f>IF(OR(E4332="",E4332="!!!",F4332="NEW"),"",COUNTBLANK(OFFSET(A$1,,,SUMPRODUCT(MAX(ROW(E$2:E4332)*(E4332=E$2:E4332)))))-COUNTBLANK(OFFSET(A$1,,,SUMPRODUCT(MAX(ROW(E$1:E4331)*(E2=E$1:E4331))))))</f>
        <v> </v>
      </c>
      <c r="K4332" s="25" t="str">
        <f>IF(OR(E4332="",E4332="!!!",F4332="NEW"),"",INDEX(J$1:J4331,SUMPRODUCT(MAX(ROW(E$1:E4331)*(E4332=E$1:E4331)))))</f>
        <v> </v>
      </c>
      <c r="L4332" s="26"/>
    </row>
    <row r="4333" spans="1:12">
      <c r="A4333" s="20" t="s">
        <v>2150</v>
      </c>
      <c r="E4333" s="21">
        <f>IF(D4333="?OLD","!!!","")</f>
        <v/>
      </c>
      <c r="F4333" s="22" t="str">
        <f>IF(OR(E4333="",E4333="!!!"),"",IF(NOT(ISNA(VLOOKUP(E4333,E$1:E4332,1,FALSE()))),"OLD",IF(AND(E4333&lt;&gt;"",E4333&lt;&gt;"!!!"),"NEW","")))</f>
        <v> </v>
      </c>
      <c r="G4333" s="23" t="str">
        <f>IF(OR(E4333="",E4333="!!!"),"",IF(OR(J4333=0,AND(J4333=1,K4333=1),AND(J4333=1,I4333="SBJ"),AND(J4333=1,I4333=0)),"?IN_FOCUS",IF(J4333&lt;=2,"?ACTIVATED",IF(J4333&lt;&gt;"","?FAMILIAR",IF(F4333="NEW",IF(ISNA(VLOOKUP(E4333,#REF!,1,FALSE())),"?TYPE_IDENTIFIABLE","?REFERENTIAL"),"_")))))</f>
        <v> </v>
      </c>
      <c r="H4333" s="24" t="str">
        <f>IF(J4333&lt;&gt;1,"",IF(I4333="SBJ","CB","?"))</f>
        <v> </v>
      </c>
      <c r="I4333" s="25" t="str">
        <f>IF(OR(E4333="",E4333="!!!",F4333="NEW"),"",INDEX(B4332:B$2,-1+SUMPRODUCT(MAX(ROW(E4332:E$2)*(E4333=E4332:E$2)))))</f>
        <v> </v>
      </c>
      <c r="J4333" s="25" t="str">
        <f>IF(OR(E4333="",E4333="!!!",F4333="NEW"),"",COUNTBLANK(OFFSET(A$1,,,SUMPRODUCT(MAX(ROW(E$2:E4333)*(E4333=E$2:E4333)))))-COUNTBLANK(OFFSET(A$1,,,SUMPRODUCT(MAX(ROW(E$1:E4332)*(E2=E$1:E4332))))))</f>
        <v> </v>
      </c>
      <c r="K4333" s="25" t="str">
        <f>IF(OR(E4333="",E4333="!!!",F4333="NEW"),"",INDEX(J$1:J4332,SUMPRODUCT(MAX(ROW(E$1:E4332)*(E4333=E$1:E4332)))))</f>
        <v> </v>
      </c>
      <c r="L4333" s="26"/>
    </row>
    <row r="4334" spans="1:12">
      <c r="A4334" s="20" t="s">
        <v>1351</v>
      </c>
      <c r="B4334" s="27" t="s">
        <v>1133</v>
      </c>
      <c r="C4334" s="27" t="s">
        <v>1072</v>
      </c>
      <c r="E4334" s="21">
        <f>IF(D4334="?OLD","!!!","")</f>
        <v/>
      </c>
      <c r="F4334" s="22" t="str">
        <f>IF(OR(E4334="",E4334="!!!"),"",IF(NOT(ISNA(VLOOKUP(E4334,E$1:E4333,1,FALSE()))),"OLD",IF(AND(E4334&lt;&gt;"",E4334&lt;&gt;"!!!"),"NEW","")))</f>
        <v> </v>
      </c>
      <c r="G4334" s="23" t="str">
        <f>IF(OR(E4334="",E4334="!!!"),"",IF(OR(J4334=0,AND(J4334=1,K4334=1),AND(J4334=1,I4334="SBJ"),AND(J4334=1,I4334=0)),"?IN_FOCUS",IF(J4334&lt;=2,"?ACTIVATED",IF(J4334&lt;&gt;"","?FAMILIAR",IF(F4334="NEW",IF(ISNA(VLOOKUP(E4334,#REF!,1,FALSE())),"?TYPE_IDENTIFIABLE","?REFERENTIAL"),"_")))))</f>
        <v> </v>
      </c>
      <c r="H4334" s="24" t="str">
        <f>IF(J4334&lt;&gt;1,"",IF(I4334="SBJ","CB","?"))</f>
        <v> </v>
      </c>
      <c r="I4334" s="25" t="str">
        <f>IF(OR(E4334="",E4334="!!!",F4334="NEW"),"",INDEX(B4333:B$2,-1+SUMPRODUCT(MAX(ROW(E4333:E$2)*(E4334=E4333:E$2)))))</f>
        <v> </v>
      </c>
      <c r="J4334" s="25" t="str">
        <f>IF(OR(E4334="",E4334="!!!",F4334="NEW"),"",COUNTBLANK(OFFSET(A$1,,,SUMPRODUCT(MAX(ROW(E$2:E4334)*(E4334=E$2:E4334)))))-COUNTBLANK(OFFSET(A$1,,,SUMPRODUCT(MAX(ROW(E$1:E4333)*(E2=E$1:E4333))))))</f>
        <v> </v>
      </c>
      <c r="K4334" s="25" t="str">
        <f>IF(OR(E4334="",E4334="!!!",F4334="NEW"),"",INDEX(J$1:J4333,SUMPRODUCT(MAX(ROW(E$1:E4333)*(E4334=E$1:E4333)))))</f>
        <v> </v>
      </c>
      <c r="L4334" s="26"/>
    </row>
    <row r="4335" spans="1:12">
      <c r="A4335" s="20" t="s">
        <v>1185</v>
      </c>
      <c r="E4335" s="21">
        <f>IF(D4335="?OLD","!!!","")</f>
        <v/>
      </c>
      <c r="F4335" s="22" t="str">
        <f>IF(OR(E4335="",E4335="!!!"),"",IF(NOT(ISNA(VLOOKUP(E4335,E$1:E4334,1,FALSE()))),"OLD",IF(AND(E4335&lt;&gt;"",E4335&lt;&gt;"!!!"),"NEW","")))</f>
        <v> </v>
      </c>
      <c r="G4335" s="23" t="str">
        <f>IF(OR(E4335="",E4335="!!!"),"",IF(OR(J4335=0,AND(J4335=1,K4335=1),AND(J4335=1,I4335="SBJ"),AND(J4335=1,I4335=0)),"?IN_FOCUS",IF(J4335&lt;=2,"?ACTIVATED",IF(J4335&lt;&gt;"","?FAMILIAR",IF(F4335="NEW",IF(ISNA(VLOOKUP(E4335,#REF!,1,FALSE())),"?TYPE_IDENTIFIABLE","?REFERENTIAL"),"_")))))</f>
        <v> </v>
      </c>
      <c r="H4335" s="24" t="str">
        <f>IF(J4335&lt;&gt;1,"",IF(I4335="SBJ","CB","?"))</f>
        <v> </v>
      </c>
      <c r="I4335" s="25" t="str">
        <f>IF(OR(E4335="",E4335="!!!",F4335="NEW"),"",INDEX(B4334:B$2,-1+SUMPRODUCT(MAX(ROW(E4334:E$2)*(E4335=E4334:E$2)))))</f>
        <v> </v>
      </c>
      <c r="J4335" s="25" t="str">
        <f>IF(OR(E4335="",E4335="!!!",F4335="NEW"),"",COUNTBLANK(OFFSET(A$1,,,SUMPRODUCT(MAX(ROW(E$2:E4335)*(E4335=E$2:E4335)))))-COUNTBLANK(OFFSET(A$1,,,SUMPRODUCT(MAX(ROW(E$1:E4334)*(E2=E$1:E4334))))))</f>
        <v> </v>
      </c>
      <c r="K4335" s="25" t="str">
        <f>IF(OR(E4335="",E4335="!!!",F4335="NEW"),"",INDEX(J$1:J4334,SUMPRODUCT(MAX(ROW(E$1:E4334)*(E4335=E$1:E4334)))))</f>
        <v> </v>
      </c>
      <c r="L4335" s="26"/>
    </row>
    <row r="4336" spans="1:12">
      <c r="A4336" s="20" t="s">
        <v>2373</v>
      </c>
      <c r="B4336" s="27" t="s">
        <v>1106</v>
      </c>
      <c r="C4336" s="27" t="s">
        <v>1120</v>
      </c>
      <c r="E4336" s="21">
        <f>IF(D4336="?OLD","!!!","")</f>
        <v/>
      </c>
      <c r="F4336" s="22" t="str">
        <f>IF(OR(E4336="",E4336="!!!"),"",IF(NOT(ISNA(VLOOKUP(E4336,E$1:E4335,1,FALSE()))),"OLD",IF(AND(E4336&lt;&gt;"",E4336&lt;&gt;"!!!"),"NEW","")))</f>
        <v> </v>
      </c>
      <c r="G4336" s="23" t="str">
        <f>IF(OR(E4336="",E4336="!!!"),"",IF(OR(J4336=0,AND(J4336=1,K4336=1),AND(J4336=1,I4336="SBJ"),AND(J4336=1,I4336=0)),"?IN_FOCUS",IF(J4336&lt;=2,"?ACTIVATED",IF(J4336&lt;&gt;"","?FAMILIAR",IF(F4336="NEW",IF(ISNA(VLOOKUP(E4336,#REF!,1,FALSE())),"?TYPE_IDENTIFIABLE","?REFERENTIAL"),"_")))))</f>
        <v> </v>
      </c>
      <c r="H4336" s="24" t="str">
        <f>IF(J4336&lt;&gt;1,"",IF(I4336="SBJ","CB","?"))</f>
        <v> </v>
      </c>
      <c r="I4336" s="25" t="str">
        <f>IF(OR(E4336="",E4336="!!!",F4336="NEW"),"",INDEX(B4335:B$2,-1+SUMPRODUCT(MAX(ROW(E4335:E$2)*(E4336=E4335:E$2)))))</f>
        <v> </v>
      </c>
      <c r="J4336" s="25" t="str">
        <f>IF(OR(E4336="",E4336="!!!",F4336="NEW"),"",COUNTBLANK(OFFSET(A$1,,,SUMPRODUCT(MAX(ROW(E$2:E4336)*(E4336=E$2:E4336)))))-COUNTBLANK(OFFSET(A$1,,,SUMPRODUCT(MAX(ROW(E$1:E4335)*(E2=E$1:E4335))))))</f>
        <v> </v>
      </c>
      <c r="K4336" s="25" t="str">
        <f>IF(OR(E4336="",E4336="!!!",F4336="NEW"),"",INDEX(J$1:J4335,SUMPRODUCT(MAX(ROW(E$1:E4335)*(E4336=E$1:E4335)))))</f>
        <v> </v>
      </c>
      <c r="L4336" s="26"/>
    </row>
    <row r="4337" spans="1:12">
      <c r="A4337" s="20" t="s">
        <v>1991</v>
      </c>
      <c r="E4337" s="21">
        <f>IF(D4337="?OLD","!!!","")</f>
        <v/>
      </c>
      <c r="F4337" s="22" t="str">
        <f>IF(OR(E4337="",E4337="!!!"),"",IF(NOT(ISNA(VLOOKUP(E4337,E$1:E4336,1,FALSE()))),"OLD",IF(AND(E4337&lt;&gt;"",E4337&lt;&gt;"!!!"),"NEW","")))</f>
        <v> </v>
      </c>
      <c r="G4337" s="23" t="str">
        <f>IF(OR(E4337="",E4337="!!!"),"",IF(OR(J4337=0,AND(J4337=1,K4337=1),AND(J4337=1,I4337="SBJ"),AND(J4337=1,I4337=0)),"?IN_FOCUS",IF(J4337&lt;=2,"?ACTIVATED",IF(J4337&lt;&gt;"","?FAMILIAR",IF(F4337="NEW",IF(ISNA(VLOOKUP(E4337,#REF!,1,FALSE())),"?TYPE_IDENTIFIABLE","?REFERENTIAL"),"_")))))</f>
        <v> </v>
      </c>
      <c r="H4337" s="24" t="str">
        <f>IF(J4337&lt;&gt;1,"",IF(I4337="SBJ","CB","?"))</f>
        <v> </v>
      </c>
      <c r="I4337" s="25" t="str">
        <f>IF(OR(E4337="",E4337="!!!",F4337="NEW"),"",INDEX(B4336:B$2,-1+SUMPRODUCT(MAX(ROW(E4336:E$2)*(E4337=E4336:E$2)))))</f>
        <v> </v>
      </c>
      <c r="J4337" s="25" t="str">
        <f>IF(OR(E4337="",E4337="!!!",F4337="NEW"),"",COUNTBLANK(OFFSET(A$1,,,SUMPRODUCT(MAX(ROW(E$2:E4337)*(E4337=E$2:E4337)))))-COUNTBLANK(OFFSET(A$1,,,SUMPRODUCT(MAX(ROW(E$1:E4336)*(E2=E$1:E4336))))))</f>
        <v> </v>
      </c>
      <c r="K4337" s="25" t="str">
        <f>IF(OR(E4337="",E4337="!!!",F4337="NEW"),"",INDEX(J$1:J4336,SUMPRODUCT(MAX(ROW(E$1:E4336)*(E4337=E$1:E4336)))))</f>
        <v> </v>
      </c>
      <c r="L4337" s="26"/>
    </row>
    <row r="4338" spans="1:12">
      <c r="A4338" s="20" t="s">
        <v>1080</v>
      </c>
      <c r="E4338" s="21">
        <f>IF(D4338="?OLD","!!!","")</f>
        <v/>
      </c>
      <c r="F4338" s="22" t="str">
        <f>IF(OR(E4338="",E4338="!!!"),"",IF(NOT(ISNA(VLOOKUP(E4338,E$1:E4337,1,FALSE()))),"OLD",IF(AND(E4338&lt;&gt;"",E4338&lt;&gt;"!!!"),"NEW","")))</f>
        <v> </v>
      </c>
      <c r="G4338" s="23" t="str">
        <f>IF(OR(E4338="",E4338="!!!"),"",IF(OR(J4338=0,AND(J4338=1,K4338=1),AND(J4338=1,I4338="SBJ"),AND(J4338=1,I4338=0)),"?IN_FOCUS",IF(J4338&lt;=2,"?ACTIVATED",IF(J4338&lt;&gt;"","?FAMILIAR",IF(F4338="NEW",IF(ISNA(VLOOKUP(E4338,#REF!,1,FALSE())),"?TYPE_IDENTIFIABLE","?REFERENTIAL"),"_")))))</f>
        <v> </v>
      </c>
      <c r="H4338" s="24" t="str">
        <f>IF(J4338&lt;&gt;1,"",IF(I4338="SBJ","CB","?"))</f>
        <v> </v>
      </c>
      <c r="I4338" s="25" t="str">
        <f>IF(OR(E4338="",E4338="!!!",F4338="NEW"),"",INDEX(B4337:B$2,-1+SUMPRODUCT(MAX(ROW(E4337:E$2)*(E4338=E4337:E$2)))))</f>
        <v> </v>
      </c>
      <c r="J4338" s="25" t="str">
        <f>IF(OR(E4338="",E4338="!!!",F4338="NEW"),"",COUNTBLANK(OFFSET(A$1,,,SUMPRODUCT(MAX(ROW(E$2:E4338)*(E4338=E$2:E4338)))))-COUNTBLANK(OFFSET(A$1,,,SUMPRODUCT(MAX(ROW(E$1:E4337)*(E2=E$1:E4337))))))</f>
        <v> </v>
      </c>
      <c r="K4338" s="25" t="str">
        <f>IF(OR(E4338="",E4338="!!!",F4338="NEW"),"",INDEX(J$1:J4337,SUMPRODUCT(MAX(ROW(E$1:E4337)*(E4338=E$1:E4337)))))</f>
        <v> </v>
      </c>
      <c r="L4338" s="26"/>
    </row>
    <row r="4339" spans="1:12">
      <c r="A4339" s="20"/>
    </row>
    <row r="4340" spans="1:12">
      <c r="A4340" s="20" t="s">
        <v>2374</v>
      </c>
    </row>
    <row r="4341" spans="1:12">
      <c r="A4341" s="20" t="s">
        <v>2375</v>
      </c>
      <c r="E4341" s="21">
        <f>IF(D4341="?OLD","!!!","")</f>
        <v/>
      </c>
      <c r="F4341" s="22" t="str">
        <f>IF(OR(E4341="",E4341="!!!"),"",IF(NOT(ISNA(VLOOKUP(E4341,E$1:E4340,1,FALSE()))),"OLD",IF(AND(E4341&lt;&gt;"",E4341&lt;&gt;"!!!"),"NEW","")))</f>
        <v> </v>
      </c>
      <c r="G4341" s="23" t="str">
        <f>IF(OR(E4341="",E4341="!!!"),"",IF(OR(J4341=0,AND(J4341=1,K4341=1),AND(J4341=1,I4341="SBJ"),AND(J4341=1,I4341=0)),"?IN_FOCUS",IF(J4341&lt;=2,"?ACTIVATED",IF(J4341&lt;&gt;"","?FAMILIAR",IF(F4341="NEW",IF(ISNA(VLOOKUP(E4341,#REF!,1,FALSE())),"?TYPE_IDENTIFIABLE","?REFERENTIAL"),"_")))))</f>
        <v> </v>
      </c>
      <c r="H4341" s="24" t="str">
        <f>IF(J4341&lt;&gt;1,"",IF(I4341="SBJ","CB","?"))</f>
        <v> </v>
      </c>
      <c r="I4341" s="25" t="str">
        <f>IF(OR(E4341="",E4341="!!!",F4341="NEW"),"",INDEX(B4340:B$2,-1+SUMPRODUCT(MAX(ROW(E4340:E$2)*(E4341=E4340:E$2)))))</f>
        <v> </v>
      </c>
      <c r="J4341" s="25" t="str">
        <f>IF(OR(E4341="",E4341="!!!",F4341="NEW"),"",COUNTBLANK(OFFSET(A$1,,,SUMPRODUCT(MAX(ROW(E$2:E4341)*(E4341=E$2:E4341)))))-COUNTBLANK(OFFSET(A$1,,,SUMPRODUCT(MAX(ROW(E$1:E4340)*(E2=E$1:E4340))))))</f>
        <v> </v>
      </c>
      <c r="K4341" s="25" t="str">
        <f>IF(OR(E4341="",E4341="!!!",F4341="NEW"),"",INDEX(J$1:J4340,SUMPRODUCT(MAX(ROW(E$1:E4340)*(E4341=E$1:E4340)))))</f>
        <v> </v>
      </c>
      <c r="L4341" s="26"/>
    </row>
    <row r="4342" spans="1:12">
      <c r="A4342" s="20" t="s">
        <v>1139</v>
      </c>
      <c r="B4342" s="27" t="s">
        <v>1071</v>
      </c>
      <c r="C4342" s="27" t="s">
        <v>1072</v>
      </c>
      <c r="E4342" s="21">
        <f>IF(D4342="?OLD","!!!","")</f>
        <v/>
      </c>
      <c r="F4342" s="22" t="str">
        <f>IF(OR(E4342="",E4342="!!!"),"",IF(NOT(ISNA(VLOOKUP(E4342,E$1:E4341,1,FALSE()))),"OLD",IF(AND(E4342&lt;&gt;"",E4342&lt;&gt;"!!!"),"NEW","")))</f>
        <v> </v>
      </c>
      <c r="G4342" s="23" t="str">
        <f>IF(OR(E4342="",E4342="!!!"),"",IF(OR(J4342=0,AND(J4342=1,K4342=1),AND(J4342=1,I4342="SBJ"),AND(J4342=1,I4342=0)),"?IN_FOCUS",IF(J4342&lt;=2,"?ACTIVATED",IF(J4342&lt;&gt;"","?FAMILIAR",IF(F4342="NEW",IF(ISNA(VLOOKUP(E4342,#REF!,1,FALSE())),"?TYPE_IDENTIFIABLE","?REFERENTIAL"),"_")))))</f>
        <v> </v>
      </c>
      <c r="H4342" s="24" t="str">
        <f>IF(J4342&lt;&gt;1,"",IF(I4342="SBJ","CB","?"))</f>
        <v> </v>
      </c>
      <c r="I4342" s="25" t="str">
        <f>IF(OR(E4342="",E4342="!!!",F4342="NEW"),"",INDEX(B4341:B$2,-1+SUMPRODUCT(MAX(ROW(E4341:E$2)*(E4342=E4341:E$2)))))</f>
        <v> </v>
      </c>
      <c r="J4342" s="25" t="str">
        <f>IF(OR(E4342="",E4342="!!!",F4342="NEW"),"",COUNTBLANK(OFFSET(A$1,,,SUMPRODUCT(MAX(ROW(E$2:E4342)*(E4342=E$2:E4342)))))-COUNTBLANK(OFFSET(A$1,,,SUMPRODUCT(MAX(ROW(E$1:E4341)*(E2=E$1:E4341))))))</f>
        <v> </v>
      </c>
      <c r="K4342" s="25" t="str">
        <f>IF(OR(E4342="",E4342="!!!",F4342="NEW"),"",INDEX(J$1:J4341,SUMPRODUCT(MAX(ROW(E$1:E4341)*(E4342=E$1:E4341)))))</f>
        <v> </v>
      </c>
      <c r="L4342" s="26"/>
    </row>
    <row r="4343" spans="1:12">
      <c r="A4343" s="20" t="s">
        <v>1230</v>
      </c>
      <c r="B4343" s="27" t="s">
        <v>1074</v>
      </c>
      <c r="C4343" s="27" t="s">
        <v>1077</v>
      </c>
      <c r="E4343" s="21">
        <f>IF(D4343="?OLD","!!!","")</f>
        <v/>
      </c>
      <c r="F4343" s="22" t="str">
        <f>IF(OR(E4343="",E4343="!!!"),"",IF(NOT(ISNA(VLOOKUP(E4343,E$1:E4342,1,FALSE()))),"OLD",IF(AND(E4343&lt;&gt;"",E4343&lt;&gt;"!!!"),"NEW","")))</f>
        <v> </v>
      </c>
      <c r="G4343" s="23" t="str">
        <f>IF(OR(E4343="",E4343="!!!"),"",IF(OR(J4343=0,AND(J4343=1,K4343=1),AND(J4343=1,I4343="SBJ"),AND(J4343=1,I4343=0)),"?IN_FOCUS",IF(J4343&lt;=2,"?ACTIVATED",IF(J4343&lt;&gt;"","?FAMILIAR",IF(F4343="NEW",IF(ISNA(VLOOKUP(E4343,#REF!,1,FALSE())),"?TYPE_IDENTIFIABLE","?REFERENTIAL"),"_")))))</f>
        <v> </v>
      </c>
      <c r="H4343" s="24" t="str">
        <f>IF(J4343&lt;&gt;1,"",IF(I4343="SBJ","CB","?"))</f>
        <v> </v>
      </c>
      <c r="I4343" s="25" t="str">
        <f>IF(OR(E4343="",E4343="!!!",F4343="NEW"),"",INDEX(B4342:B$2,-1+SUMPRODUCT(MAX(ROW(E4342:E$2)*(E4343=E4342:E$2)))))</f>
        <v> </v>
      </c>
      <c r="J4343" s="25" t="str">
        <f>IF(OR(E4343="",E4343="!!!",F4343="NEW"),"",COUNTBLANK(OFFSET(A$1,,,SUMPRODUCT(MAX(ROW(E$2:E4343)*(E4343=E$2:E4343)))))-COUNTBLANK(OFFSET(A$1,,,SUMPRODUCT(MAX(ROW(E$1:E4342)*(E2=E$1:E4342))))))</f>
        <v> </v>
      </c>
      <c r="K4343" s="25" t="str">
        <f>IF(OR(E4343="",E4343="!!!",F4343="NEW"),"",INDEX(J$1:J4342,SUMPRODUCT(MAX(ROW(E$1:E4342)*(E4343=E$1:E4342)))))</f>
        <v> </v>
      </c>
      <c r="L4343" s="26"/>
    </row>
    <row r="4344" spans="1:12">
      <c r="A4344" s="20" t="s">
        <v>282</v>
      </c>
      <c r="E4344" s="21">
        <f>IF(D4344="?OLD","!!!","")</f>
        <v/>
      </c>
      <c r="F4344" s="22" t="str">
        <f>IF(OR(E4344="",E4344="!!!"),"",IF(NOT(ISNA(VLOOKUP(E4344,E$1:E4343,1,FALSE()))),"OLD",IF(AND(E4344&lt;&gt;"",E4344&lt;&gt;"!!!"),"NEW","")))</f>
        <v> </v>
      </c>
      <c r="G4344" s="23" t="str">
        <f>IF(OR(E4344="",E4344="!!!"),"",IF(OR(J4344=0,AND(J4344=1,K4344=1),AND(J4344=1,I4344="SBJ"),AND(J4344=1,I4344=0)),"?IN_FOCUS",IF(J4344&lt;=2,"?ACTIVATED",IF(J4344&lt;&gt;"","?FAMILIAR",IF(F4344="NEW",IF(ISNA(VLOOKUP(E4344,#REF!,1,FALSE())),"?TYPE_IDENTIFIABLE","?REFERENTIAL"),"_")))))</f>
        <v> </v>
      </c>
      <c r="H4344" s="24" t="str">
        <f>IF(J4344&lt;&gt;1,"",IF(I4344="SBJ","CB","?"))</f>
        <v> </v>
      </c>
      <c r="I4344" s="25" t="str">
        <f>IF(OR(E4344="",E4344="!!!",F4344="NEW"),"",INDEX(B4343:B$2,-1+SUMPRODUCT(MAX(ROW(E4343:E$2)*(E4344=E4343:E$2)))))</f>
        <v> </v>
      </c>
      <c r="J4344" s="25" t="str">
        <f>IF(OR(E4344="",E4344="!!!",F4344="NEW"),"",COUNTBLANK(OFFSET(A$1,,,SUMPRODUCT(MAX(ROW(E$2:E4344)*(E4344=E$2:E4344)))))-COUNTBLANK(OFFSET(A$1,,,SUMPRODUCT(MAX(ROW(E$1:E4343)*(E2=E$1:E4343))))))</f>
        <v> </v>
      </c>
      <c r="K4344" s="25" t="str">
        <f>IF(OR(E4344="",E4344="!!!",F4344="NEW"),"",INDEX(J$1:J4343,SUMPRODUCT(MAX(ROW(E$1:E4343)*(E4344=E$1:E4343)))))</f>
        <v> </v>
      </c>
      <c r="L4344" s="26"/>
    </row>
    <row r="4345" spans="1:12">
      <c r="A4345" s="20" t="s">
        <v>1108</v>
      </c>
      <c r="B4345" s="27" t="s">
        <v>1067</v>
      </c>
      <c r="C4345" s="27" t="s">
        <v>1110</v>
      </c>
      <c r="D4345" s="27" t="s">
        <v>1069</v>
      </c>
      <c r="E4345" s="21">
        <f>IF(D4345="?OLD","!!!","")</f>
        <v/>
      </c>
      <c r="F4345" s="22" t="str">
        <f>IF(OR(E4345="",E4345="!!!"),"",IF(NOT(ISNA(VLOOKUP(E4345,E$1:E4344,1,FALSE()))),"OLD",IF(AND(E4345&lt;&gt;"",E4345&lt;&gt;"!!!"),"NEW","")))</f>
        <v> </v>
      </c>
      <c r="G4345" s="23" t="str">
        <f>IF(OR(E4345="",E4345="!!!"),"",IF(OR(J4345=0,AND(J4345=1,K4345=1),AND(J4345=1,I4345="SBJ"),AND(J4345=1,I4345=0)),"?IN_FOCUS",IF(J4345&lt;=2,"?ACTIVATED",IF(J4345&lt;&gt;"","?FAMILIAR",IF(F4345="NEW",IF(ISNA(VLOOKUP(E4345,#REF!,1,FALSE())),"?TYPE_IDENTIFIABLE","?REFERENTIAL"),"_")))))</f>
        <v> </v>
      </c>
      <c r="H4345" s="24" t="str">
        <f>IF(J4345&lt;&gt;1,"",IF(I4345="SBJ","CB","?"))</f>
        <v> </v>
      </c>
      <c r="I4345" s="25" t="str">
        <f>IF(OR(E4345="",E4345="!!!",F4345="NEW"),"",INDEX(B4344:B$2,-1+SUMPRODUCT(MAX(ROW(E4344:E$2)*(E4345=E4344:E$2)))))</f>
        <v> </v>
      </c>
      <c r="J4345" s="25" t="str">
        <f>IF(OR(E4345="",E4345="!!!",F4345="NEW"),"",COUNTBLANK(OFFSET(A$1,,,SUMPRODUCT(MAX(ROW(E$2:E4345)*(E4345=E$2:E4345)))))-COUNTBLANK(OFFSET(A$1,,,SUMPRODUCT(MAX(ROW(E$1:E4344)*(E2=E$1:E4344))))))</f>
        <v> </v>
      </c>
      <c r="K4345" s="25" t="str">
        <f>IF(OR(E4345="",E4345="!!!",F4345="NEW"),"",INDEX(J$1:J4344,SUMPRODUCT(MAX(ROW(E$1:E4344)*(E4345=E$1:E4344)))))</f>
        <v> </v>
      </c>
      <c r="L4345" s="26"/>
    </row>
    <row r="4346" spans="1:12">
      <c r="A4346" s="20" t="s">
        <v>1185</v>
      </c>
      <c r="E4346" s="21">
        <f>IF(D4346="?OLD","!!!","")</f>
        <v/>
      </c>
      <c r="F4346" s="22" t="str">
        <f>IF(OR(E4346="",E4346="!!!"),"",IF(NOT(ISNA(VLOOKUP(E4346,E$1:E4345,1,FALSE()))),"OLD",IF(AND(E4346&lt;&gt;"",E4346&lt;&gt;"!!!"),"NEW","")))</f>
        <v> </v>
      </c>
      <c r="G4346" s="23" t="str">
        <f>IF(OR(E4346="",E4346="!!!"),"",IF(OR(J4346=0,AND(J4346=1,K4346=1),AND(J4346=1,I4346="SBJ"),AND(J4346=1,I4346=0)),"?IN_FOCUS",IF(J4346&lt;=2,"?ACTIVATED",IF(J4346&lt;&gt;"","?FAMILIAR",IF(F4346="NEW",IF(ISNA(VLOOKUP(E4346,#REF!,1,FALSE())),"?TYPE_IDENTIFIABLE","?REFERENTIAL"),"_")))))</f>
        <v> </v>
      </c>
      <c r="H4346" s="24" t="str">
        <f>IF(J4346&lt;&gt;1,"",IF(I4346="SBJ","CB","?"))</f>
        <v> </v>
      </c>
      <c r="I4346" s="25" t="str">
        <f>IF(OR(E4346="",E4346="!!!",F4346="NEW"),"",INDEX(B4345:B$2,-1+SUMPRODUCT(MAX(ROW(E4345:E$2)*(E4346=E4345:E$2)))))</f>
        <v> </v>
      </c>
      <c r="J4346" s="25" t="str">
        <f>IF(OR(E4346="",E4346="!!!",F4346="NEW"),"",COUNTBLANK(OFFSET(A$1,,,SUMPRODUCT(MAX(ROW(E$2:E4346)*(E4346=E$2:E4346)))))-COUNTBLANK(OFFSET(A$1,,,SUMPRODUCT(MAX(ROW(E$1:E4345)*(E2=E$1:E4345))))))</f>
        <v> </v>
      </c>
      <c r="K4346" s="25" t="str">
        <f>IF(OR(E4346="",E4346="!!!",F4346="NEW"),"",INDEX(J$1:J4345,SUMPRODUCT(MAX(ROW(E$1:E4345)*(E4346=E$1:E4345)))))</f>
        <v> </v>
      </c>
      <c r="L4346" s="26"/>
    </row>
    <row r="4347" spans="1:12">
      <c r="A4347" s="20" t="s">
        <v>2290</v>
      </c>
      <c r="B4347" s="27" t="s">
        <v>1160</v>
      </c>
      <c r="C4347" s="27" t="s">
        <v>1120</v>
      </c>
      <c r="E4347" s="21">
        <f>IF(D4347="?OLD","!!!","")</f>
        <v/>
      </c>
      <c r="F4347" s="22" t="str">
        <f>IF(OR(E4347="",E4347="!!!"),"",IF(NOT(ISNA(VLOOKUP(E4347,E$1:E4346,1,FALSE()))),"OLD",IF(AND(E4347&lt;&gt;"",E4347&lt;&gt;"!!!"),"NEW","")))</f>
        <v> </v>
      </c>
      <c r="G4347" s="23" t="str">
        <f>IF(OR(E4347="",E4347="!!!"),"",IF(OR(J4347=0,AND(J4347=1,K4347=1),AND(J4347=1,I4347="SBJ"),AND(J4347=1,I4347=0)),"?IN_FOCUS",IF(J4347&lt;=2,"?ACTIVATED",IF(J4347&lt;&gt;"","?FAMILIAR",IF(F4347="NEW",IF(ISNA(VLOOKUP(E4347,#REF!,1,FALSE())),"?TYPE_IDENTIFIABLE","?REFERENTIAL"),"_")))))</f>
        <v> </v>
      </c>
      <c r="H4347" s="24" t="str">
        <f>IF(J4347&lt;&gt;1,"",IF(I4347="SBJ","CB","?"))</f>
        <v> </v>
      </c>
      <c r="I4347" s="25" t="str">
        <f>IF(OR(E4347="",E4347="!!!",F4347="NEW"),"",INDEX(B4346:B$2,-1+SUMPRODUCT(MAX(ROW(E4346:E$2)*(E4347=E4346:E$2)))))</f>
        <v> </v>
      </c>
      <c r="J4347" s="25" t="str">
        <f>IF(OR(E4347="",E4347="!!!",F4347="NEW"),"",COUNTBLANK(OFFSET(A$1,,,SUMPRODUCT(MAX(ROW(E$2:E4347)*(E4347=E$2:E4347)))))-COUNTBLANK(OFFSET(A$1,,,SUMPRODUCT(MAX(ROW(E$1:E4346)*(E2=E$1:E4346))))))</f>
        <v> </v>
      </c>
      <c r="K4347" s="25" t="str">
        <f>IF(OR(E4347="",E4347="!!!",F4347="NEW"),"",INDEX(J$1:J4346,SUMPRODUCT(MAX(ROW(E$1:E4346)*(E4347=E$1:E4346)))))</f>
        <v> </v>
      </c>
      <c r="L4347" s="26"/>
    </row>
    <row r="4348" spans="1:12">
      <c r="A4348" s="20" t="s">
        <v>1080</v>
      </c>
      <c r="E4348" s="21">
        <f>IF(D4348="?OLD","!!!","")</f>
        <v/>
      </c>
      <c r="F4348" s="22" t="str">
        <f>IF(OR(E4348="",E4348="!!!"),"",IF(NOT(ISNA(VLOOKUP(E4348,E$1:E4347,1,FALSE()))),"OLD",IF(AND(E4348&lt;&gt;"",E4348&lt;&gt;"!!!"),"NEW","")))</f>
        <v> </v>
      </c>
      <c r="G4348" s="23" t="str">
        <f>IF(OR(E4348="",E4348="!!!"),"",IF(OR(J4348=0,AND(J4348=1,K4348=1),AND(J4348=1,I4348="SBJ"),AND(J4348=1,I4348=0)),"?IN_FOCUS",IF(J4348&lt;=2,"?ACTIVATED",IF(J4348&lt;&gt;"","?FAMILIAR",IF(F4348="NEW",IF(ISNA(VLOOKUP(E4348,#REF!,1,FALSE())),"?TYPE_IDENTIFIABLE","?REFERENTIAL"),"_")))))</f>
        <v> </v>
      </c>
      <c r="H4348" s="24" t="str">
        <f>IF(J4348&lt;&gt;1,"",IF(I4348="SBJ","CB","?"))</f>
        <v> </v>
      </c>
      <c r="I4348" s="25" t="str">
        <f>IF(OR(E4348="",E4348="!!!",F4348="NEW"),"",INDEX(B4347:B$2,-1+SUMPRODUCT(MAX(ROW(E4347:E$2)*(E4348=E4347:E$2)))))</f>
        <v> </v>
      </c>
      <c r="J4348" s="25" t="str">
        <f>IF(OR(E4348="",E4348="!!!",F4348="NEW"),"",COUNTBLANK(OFFSET(A$1,,,SUMPRODUCT(MAX(ROW(E$2:E4348)*(E4348=E$2:E4348)))))-COUNTBLANK(OFFSET(A$1,,,SUMPRODUCT(MAX(ROW(E$1:E4347)*(E2=E$1:E4347))))))</f>
        <v> </v>
      </c>
      <c r="K4348" s="25" t="str">
        <f>IF(OR(E4348="",E4348="!!!",F4348="NEW"),"",INDEX(J$1:J4347,SUMPRODUCT(MAX(ROW(E$1:E4347)*(E4348=E$1:E4347)))))</f>
        <v> </v>
      </c>
      <c r="L4348" s="26"/>
    </row>
    <row r="4349" spans="1:12">
      <c r="A4349" s="20"/>
    </row>
    <row r="4350" spans="1:12">
      <c r="A4350" s="20" t="s">
        <v>2376</v>
      </c>
    </row>
    <row r="4351" spans="1:12">
      <c r="A4351" s="20" t="s">
        <v>2258</v>
      </c>
      <c r="E4351" s="21">
        <f>IF(D4351="?OLD","!!!","")</f>
        <v/>
      </c>
      <c r="F4351" s="22" t="str">
        <f>IF(OR(E4351="",E4351="!!!"),"",IF(NOT(ISNA(VLOOKUP(E4351,E$1:E4350,1,FALSE()))),"OLD",IF(AND(E4351&lt;&gt;"",E4351&lt;&gt;"!!!"),"NEW","")))</f>
        <v> </v>
      </c>
      <c r="G4351" s="23" t="str">
        <f>IF(OR(E4351="",E4351="!!!"),"",IF(OR(J4351=0,AND(J4351=1,K4351=1),AND(J4351=1,I4351="SBJ"),AND(J4351=1,I4351=0)),"?IN_FOCUS",IF(J4351&lt;=2,"?ACTIVATED",IF(J4351&lt;&gt;"","?FAMILIAR",IF(F4351="NEW",IF(ISNA(VLOOKUP(E4351,#REF!,1,FALSE())),"?TYPE_IDENTIFIABLE","?REFERENTIAL"),"_")))))</f>
        <v> </v>
      </c>
      <c r="H4351" s="24" t="str">
        <f>IF(J4351&lt;&gt;1,"",IF(I4351="SBJ","CB","?"))</f>
        <v> </v>
      </c>
      <c r="I4351" s="25" t="str">
        <f>IF(OR(E4351="",E4351="!!!",F4351="NEW"),"",INDEX(B4350:B$2,-1+SUMPRODUCT(MAX(ROW(E4350:E$2)*(E4351=E4350:E$2)))))</f>
        <v> </v>
      </c>
      <c r="J4351" s="25" t="str">
        <f>IF(OR(E4351="",E4351="!!!",F4351="NEW"),"",COUNTBLANK(OFFSET(A$1,,,SUMPRODUCT(MAX(ROW(E$2:E4351)*(E4351=E$2:E4351)))))-COUNTBLANK(OFFSET(A$1,,,SUMPRODUCT(MAX(ROW(E$1:E4350)*(E2=E$1:E4350))))))</f>
        <v> </v>
      </c>
      <c r="K4351" s="25" t="str">
        <f>IF(OR(E4351="",E4351="!!!",F4351="NEW"),"",INDEX(J$1:J4350,SUMPRODUCT(MAX(ROW(E$1:E4350)*(E4351=E$1:E4350)))))</f>
        <v> </v>
      </c>
      <c r="L4351" s="26"/>
    </row>
    <row r="4352" spans="1:12">
      <c r="A4352" s="20" t="s">
        <v>1317</v>
      </c>
      <c r="E4352" s="21">
        <f>IF(D4352="?OLD","!!!","")</f>
        <v/>
      </c>
      <c r="F4352" s="22" t="str">
        <f>IF(OR(E4352="",E4352="!!!"),"",IF(NOT(ISNA(VLOOKUP(E4352,E$1:E4351,1,FALSE()))),"OLD",IF(AND(E4352&lt;&gt;"",E4352&lt;&gt;"!!!"),"NEW","")))</f>
        <v> </v>
      </c>
      <c r="G4352" s="23" t="str">
        <f>IF(OR(E4352="",E4352="!!!"),"",IF(OR(J4352=0,AND(J4352=1,K4352=1),AND(J4352=1,I4352="SBJ"),AND(J4352=1,I4352=0)),"?IN_FOCUS",IF(J4352&lt;=2,"?ACTIVATED",IF(J4352&lt;&gt;"","?FAMILIAR",IF(F4352="NEW",IF(ISNA(VLOOKUP(E4352,#REF!,1,FALSE())),"?TYPE_IDENTIFIABLE","?REFERENTIAL"),"_")))))</f>
        <v> </v>
      </c>
      <c r="H4352" s="24" t="str">
        <f>IF(J4352&lt;&gt;1,"",IF(I4352="SBJ","CB","?"))</f>
        <v> </v>
      </c>
      <c r="I4352" s="25" t="str">
        <f>IF(OR(E4352="",E4352="!!!",F4352="NEW"),"",INDEX(B4351:B$2,-1+SUMPRODUCT(MAX(ROW(E4351:E$2)*(E4352=E4351:E$2)))))</f>
        <v> </v>
      </c>
      <c r="J4352" s="25" t="str">
        <f>IF(OR(E4352="",E4352="!!!",F4352="NEW"),"",COUNTBLANK(OFFSET(A$1,,,SUMPRODUCT(MAX(ROW(E$2:E4352)*(E4352=E$2:E4352)))))-COUNTBLANK(OFFSET(A$1,,,SUMPRODUCT(MAX(ROW(E$1:E4351)*(E2=E$1:E4351))))))</f>
        <v> </v>
      </c>
      <c r="K4352" s="25" t="str">
        <f>IF(OR(E4352="",E4352="!!!",F4352="NEW"),"",INDEX(J$1:J4351,SUMPRODUCT(MAX(ROW(E$1:E4351)*(E4352=E$1:E4351)))))</f>
        <v> </v>
      </c>
      <c r="L4352" s="26"/>
    </row>
    <row r="4353" spans="1:12">
      <c r="A4353" s="20" t="s">
        <v>2377</v>
      </c>
      <c r="E4353" s="21">
        <f>IF(D4353="?OLD","!!!","")</f>
        <v/>
      </c>
      <c r="F4353" s="22" t="str">
        <f>IF(OR(E4353="",E4353="!!!"),"",IF(NOT(ISNA(VLOOKUP(E4353,E$1:E4352,1,FALSE()))),"OLD",IF(AND(E4353&lt;&gt;"",E4353&lt;&gt;"!!!"),"NEW","")))</f>
        <v> </v>
      </c>
      <c r="G4353" s="23" t="str">
        <f>IF(OR(E4353="",E4353="!!!"),"",IF(OR(J4353=0,AND(J4353=1,K4353=1),AND(J4353=1,I4353="SBJ"),AND(J4353=1,I4353=0)),"?IN_FOCUS",IF(J4353&lt;=2,"?ACTIVATED",IF(J4353&lt;&gt;"","?FAMILIAR",IF(F4353="NEW",IF(ISNA(VLOOKUP(E4353,#REF!,1,FALSE())),"?TYPE_IDENTIFIABLE","?REFERENTIAL"),"_")))))</f>
        <v> </v>
      </c>
      <c r="H4353" s="24" t="str">
        <f>IF(J4353&lt;&gt;1,"",IF(I4353="SBJ","CB","?"))</f>
        <v> </v>
      </c>
      <c r="I4353" s="25" t="str">
        <f>IF(OR(E4353="",E4353="!!!",F4353="NEW"),"",INDEX(B4352:B$2,-1+SUMPRODUCT(MAX(ROW(E4352:E$2)*(E4353=E4352:E$2)))))</f>
        <v> </v>
      </c>
      <c r="J4353" s="25" t="str">
        <f>IF(OR(E4353="",E4353="!!!",F4353="NEW"),"",COUNTBLANK(OFFSET(A$1,,,SUMPRODUCT(MAX(ROW(E$2:E4353)*(E4353=E$2:E4353)))))-COUNTBLANK(OFFSET(A$1,,,SUMPRODUCT(MAX(ROW(E$1:E4352)*(E2=E$1:E4352))))))</f>
        <v> </v>
      </c>
      <c r="K4353" s="25" t="str">
        <f>IF(OR(E4353="",E4353="!!!",F4353="NEW"),"",INDEX(J$1:J4352,SUMPRODUCT(MAX(ROW(E$1:E4352)*(E4353=E$1:E4352)))))</f>
        <v> </v>
      </c>
      <c r="L4353" s="26"/>
    </row>
    <row r="4354" spans="1:12">
      <c r="A4354" s="20" t="s">
        <v>1097</v>
      </c>
      <c r="E4354" s="21">
        <f>IF(D4354="?OLD","!!!","")</f>
        <v/>
      </c>
      <c r="F4354" s="22" t="str">
        <f>IF(OR(E4354="",E4354="!!!"),"",IF(NOT(ISNA(VLOOKUP(E4354,E$1:E4353,1,FALSE()))),"OLD",IF(AND(E4354&lt;&gt;"",E4354&lt;&gt;"!!!"),"NEW","")))</f>
        <v> </v>
      </c>
      <c r="G4354" s="23" t="str">
        <f>IF(OR(E4354="",E4354="!!!"),"",IF(OR(J4354=0,AND(J4354=1,K4354=1),AND(J4354=1,I4354="SBJ"),AND(J4354=1,I4354=0)),"?IN_FOCUS",IF(J4354&lt;=2,"?ACTIVATED",IF(J4354&lt;&gt;"","?FAMILIAR",IF(F4354="NEW",IF(ISNA(VLOOKUP(E4354,#REF!,1,FALSE())),"?TYPE_IDENTIFIABLE","?REFERENTIAL"),"_")))))</f>
        <v> </v>
      </c>
      <c r="H4354" s="24" t="str">
        <f>IF(J4354&lt;&gt;1,"",IF(I4354="SBJ","CB","?"))</f>
        <v> </v>
      </c>
      <c r="I4354" s="25" t="str">
        <f>IF(OR(E4354="",E4354="!!!",F4354="NEW"),"",INDEX(B4353:B$2,-1+SUMPRODUCT(MAX(ROW(E4353:E$2)*(E4354=E4353:E$2)))))</f>
        <v> </v>
      </c>
      <c r="J4354" s="25" t="str">
        <f>IF(OR(E4354="",E4354="!!!",F4354="NEW"),"",COUNTBLANK(OFFSET(A$1,,,SUMPRODUCT(MAX(ROW(E$2:E4354)*(E4354=E$2:E4354)))))-COUNTBLANK(OFFSET(A$1,,,SUMPRODUCT(MAX(ROW(E$1:E4353)*(E2=E$1:E4353))))))</f>
        <v> </v>
      </c>
      <c r="K4354" s="25" t="str">
        <f>IF(OR(E4354="",E4354="!!!",F4354="NEW"),"",INDEX(J$1:J4353,SUMPRODUCT(MAX(ROW(E$1:E4353)*(E4354=E$1:E4353)))))</f>
        <v> </v>
      </c>
      <c r="L4354" s="26"/>
    </row>
    <row r="4355" spans="1:12">
      <c r="A4355" s="20" t="s">
        <v>1668</v>
      </c>
      <c r="E4355" s="21">
        <f>IF(D4355="?OLD","!!!","")</f>
        <v/>
      </c>
      <c r="F4355" s="22" t="str">
        <f>IF(OR(E4355="",E4355="!!!"),"",IF(NOT(ISNA(VLOOKUP(E4355,E$1:E4354,1,FALSE()))),"OLD",IF(AND(E4355&lt;&gt;"",E4355&lt;&gt;"!!!"),"NEW","")))</f>
        <v> </v>
      </c>
      <c r="G4355" s="23" t="str">
        <f>IF(OR(E4355="",E4355="!!!"),"",IF(OR(J4355=0,AND(J4355=1,K4355=1),AND(J4355=1,I4355="SBJ"),AND(J4355=1,I4355=0)),"?IN_FOCUS",IF(J4355&lt;=2,"?ACTIVATED",IF(J4355&lt;&gt;"","?FAMILIAR",IF(F4355="NEW",IF(ISNA(VLOOKUP(E4355,#REF!,1,FALSE())),"?TYPE_IDENTIFIABLE","?REFERENTIAL"),"_")))))</f>
        <v> </v>
      </c>
      <c r="H4355" s="24" t="str">
        <f>IF(J4355&lt;&gt;1,"",IF(I4355="SBJ","CB","?"))</f>
        <v> </v>
      </c>
      <c r="I4355" s="25" t="str">
        <f>IF(OR(E4355="",E4355="!!!",F4355="NEW"),"",INDEX(B4354:B$2,-1+SUMPRODUCT(MAX(ROW(E4354:E$2)*(E4355=E4354:E$2)))))</f>
        <v> </v>
      </c>
      <c r="J4355" s="25" t="str">
        <f>IF(OR(E4355="",E4355="!!!",F4355="NEW"),"",COUNTBLANK(OFFSET(A$1,,,SUMPRODUCT(MAX(ROW(E$2:E4355)*(E4355=E$2:E4355)))))-COUNTBLANK(OFFSET(A$1,,,SUMPRODUCT(MAX(ROW(E$1:E4354)*(E2=E$1:E4354))))))</f>
        <v> </v>
      </c>
      <c r="K4355" s="25" t="str">
        <f>IF(OR(E4355="",E4355="!!!",F4355="NEW"),"",INDEX(J$1:J4354,SUMPRODUCT(MAX(ROW(E$1:E4354)*(E4355=E$1:E4354)))))</f>
        <v> </v>
      </c>
      <c r="L4355" s="26"/>
    </row>
    <row r="4356" spans="1:12">
      <c r="A4356" s="20" t="s">
        <v>1651</v>
      </c>
      <c r="E4356" s="21">
        <f>IF(D4356="?OLD","!!!","")</f>
        <v/>
      </c>
      <c r="F4356" s="22" t="str">
        <f>IF(OR(E4356="",E4356="!!!"),"",IF(NOT(ISNA(VLOOKUP(E4356,E$1:E4355,1,FALSE()))),"OLD",IF(AND(E4356&lt;&gt;"",E4356&lt;&gt;"!!!"),"NEW","")))</f>
        <v> </v>
      </c>
      <c r="G4356" s="23" t="str">
        <f>IF(OR(E4356="",E4356="!!!"),"",IF(OR(J4356=0,AND(J4356=1,K4356=1),AND(J4356=1,I4356="SBJ"),AND(J4356=1,I4356=0)),"?IN_FOCUS",IF(J4356&lt;=2,"?ACTIVATED",IF(J4356&lt;&gt;"","?FAMILIAR",IF(F4356="NEW",IF(ISNA(VLOOKUP(E4356,#REF!,1,FALSE())),"?TYPE_IDENTIFIABLE","?REFERENTIAL"),"_")))))</f>
        <v> </v>
      </c>
      <c r="H4356" s="24" t="str">
        <f>IF(J4356&lt;&gt;1,"",IF(I4356="SBJ","CB","?"))</f>
        <v> </v>
      </c>
      <c r="I4356" s="25" t="str">
        <f>IF(OR(E4356="",E4356="!!!",F4356="NEW"),"",INDEX(B4355:B$2,-1+SUMPRODUCT(MAX(ROW(E4355:E$2)*(E4356=E4355:E$2)))))</f>
        <v> </v>
      </c>
      <c r="J4356" s="25" t="str">
        <f>IF(OR(E4356="",E4356="!!!",F4356="NEW"),"",COUNTBLANK(OFFSET(A$1,,,SUMPRODUCT(MAX(ROW(E$2:E4356)*(E4356=E$2:E4356)))))-COUNTBLANK(OFFSET(A$1,,,SUMPRODUCT(MAX(ROW(E$1:E4355)*(E2=E$1:E4355))))))</f>
        <v> </v>
      </c>
      <c r="K4356" s="25" t="str">
        <f>IF(OR(E4356="",E4356="!!!",F4356="NEW"),"",INDEX(J$1:J4355,SUMPRODUCT(MAX(ROW(E$1:E4355)*(E4356=E$1:E4355)))))</f>
        <v> </v>
      </c>
      <c r="L4356" s="26"/>
    </row>
    <row r="4357" spans="1:12">
      <c r="A4357" s="20" t="s">
        <v>2111</v>
      </c>
      <c r="B4357" s="27" t="s">
        <v>1074</v>
      </c>
      <c r="C4357" s="27" t="s">
        <v>1086</v>
      </c>
      <c r="D4357" s="27" t="s">
        <v>1069</v>
      </c>
      <c r="E4357" s="21">
        <f>IF(D4357="?OLD","!!!","")</f>
        <v/>
      </c>
      <c r="F4357" s="22" t="str">
        <f>IF(OR(E4357="",E4357="!!!"),"",IF(NOT(ISNA(VLOOKUP(E4357,E$1:E4356,1,FALSE()))),"OLD",IF(AND(E4357&lt;&gt;"",E4357&lt;&gt;"!!!"),"NEW","")))</f>
        <v> </v>
      </c>
      <c r="G4357" s="23" t="str">
        <f>IF(OR(E4357="",E4357="!!!"),"",IF(OR(J4357=0,AND(J4357=1,K4357=1),AND(J4357=1,I4357="SBJ"),AND(J4357=1,I4357=0)),"?IN_FOCUS",IF(J4357&lt;=2,"?ACTIVATED",IF(J4357&lt;&gt;"","?FAMILIAR",IF(F4357="NEW",IF(ISNA(VLOOKUP(E4357,#REF!,1,FALSE())),"?TYPE_IDENTIFIABLE","?REFERENTIAL"),"_")))))</f>
        <v> </v>
      </c>
      <c r="H4357" s="24" t="str">
        <f>IF(J4357&lt;&gt;1,"",IF(I4357="SBJ","CB","?"))</f>
        <v> </v>
      </c>
      <c r="I4357" s="25" t="str">
        <f>IF(OR(E4357="",E4357="!!!",F4357="NEW"),"",INDEX(B4356:B$2,-1+SUMPRODUCT(MAX(ROW(E4356:E$2)*(E4357=E4356:E$2)))))</f>
        <v> </v>
      </c>
      <c r="J4357" s="25" t="str">
        <f>IF(OR(E4357="",E4357="!!!",F4357="NEW"),"",COUNTBLANK(OFFSET(A$1,,,SUMPRODUCT(MAX(ROW(E$2:E4357)*(E4357=E$2:E4357)))))-COUNTBLANK(OFFSET(A$1,,,SUMPRODUCT(MAX(ROW(E$1:E4356)*(E2=E$1:E4356))))))</f>
        <v> </v>
      </c>
      <c r="K4357" s="25" t="str">
        <f>IF(OR(E4357="",E4357="!!!",F4357="NEW"),"",INDEX(J$1:J4356,SUMPRODUCT(MAX(ROW(E$1:E4356)*(E4357=E$1:E4356)))))</f>
        <v> </v>
      </c>
      <c r="L4357" s="26"/>
    </row>
    <row r="4358" spans="1:12">
      <c r="A4358" s="20" t="s">
        <v>1087</v>
      </c>
      <c r="E4358" s="21">
        <f>IF(D4358="?OLD","!!!","")</f>
        <v/>
      </c>
      <c r="F4358" s="22" t="str">
        <f>IF(OR(E4358="",E4358="!!!"),"",IF(NOT(ISNA(VLOOKUP(E4358,E$1:E4357,1,FALSE()))),"OLD",IF(AND(E4358&lt;&gt;"",E4358&lt;&gt;"!!!"),"NEW","")))</f>
        <v> </v>
      </c>
      <c r="G4358" s="23" t="str">
        <f>IF(OR(E4358="",E4358="!!!"),"",IF(OR(J4358=0,AND(J4358=1,K4358=1),AND(J4358=1,I4358="SBJ"),AND(J4358=1,I4358=0)),"?IN_FOCUS",IF(J4358&lt;=2,"?ACTIVATED",IF(J4358&lt;&gt;"","?FAMILIAR",IF(F4358="NEW",IF(ISNA(VLOOKUP(E4358,#REF!,1,FALSE())),"?TYPE_IDENTIFIABLE","?REFERENTIAL"),"_")))))</f>
        <v> </v>
      </c>
      <c r="H4358" s="24" t="str">
        <f>IF(J4358&lt;&gt;1,"",IF(I4358="SBJ","CB","?"))</f>
        <v> </v>
      </c>
      <c r="I4358" s="25" t="str">
        <f>IF(OR(E4358="",E4358="!!!",F4358="NEW"),"",INDEX(B4357:B$2,-1+SUMPRODUCT(MAX(ROW(E4357:E$2)*(E4358=E4357:E$2)))))</f>
        <v> </v>
      </c>
      <c r="J4358" s="25" t="str">
        <f>IF(OR(E4358="",E4358="!!!",F4358="NEW"),"",COUNTBLANK(OFFSET(A$1,,,SUMPRODUCT(MAX(ROW(E$2:E4358)*(E4358=E$2:E4358)))))-COUNTBLANK(OFFSET(A$1,,,SUMPRODUCT(MAX(ROW(E$1:E4357)*(E2=E$1:E4357))))))</f>
        <v> </v>
      </c>
      <c r="K4358" s="25" t="str">
        <f>IF(OR(E4358="",E4358="!!!",F4358="NEW"),"",INDEX(J$1:J4357,SUMPRODUCT(MAX(ROW(E$1:E4357)*(E4358=E$1:E4357)))))</f>
        <v> </v>
      </c>
      <c r="L4358" s="26"/>
    </row>
    <row r="4359" spans="1:12">
      <c r="A4359" s="20" t="s">
        <v>1191</v>
      </c>
      <c r="E4359" s="21">
        <f>IF(D4359="?OLD","!!!","")</f>
        <v/>
      </c>
      <c r="F4359" s="22" t="str">
        <f>IF(OR(E4359="",E4359="!!!"),"",IF(NOT(ISNA(VLOOKUP(E4359,E$1:E4358,1,FALSE()))),"OLD",IF(AND(E4359&lt;&gt;"",E4359&lt;&gt;"!!!"),"NEW","")))</f>
        <v> </v>
      </c>
      <c r="G4359" s="23" t="str">
        <f>IF(OR(E4359="",E4359="!!!"),"",IF(OR(J4359=0,AND(J4359=1,K4359=1),AND(J4359=1,I4359="SBJ"),AND(J4359=1,I4359=0)),"?IN_FOCUS",IF(J4359&lt;=2,"?ACTIVATED",IF(J4359&lt;&gt;"","?FAMILIAR",IF(F4359="NEW",IF(ISNA(VLOOKUP(E4359,#REF!,1,FALSE())),"?TYPE_IDENTIFIABLE","?REFERENTIAL"),"_")))))</f>
        <v> </v>
      </c>
      <c r="H4359" s="24" t="str">
        <f>IF(J4359&lt;&gt;1,"",IF(I4359="SBJ","CB","?"))</f>
        <v> </v>
      </c>
      <c r="I4359" s="25" t="str">
        <f>IF(OR(E4359="",E4359="!!!",F4359="NEW"),"",INDEX(B4358:B$2,-1+SUMPRODUCT(MAX(ROW(E4358:E$2)*(E4359=E4358:E$2)))))</f>
        <v> </v>
      </c>
      <c r="J4359" s="25" t="str">
        <f>IF(OR(E4359="",E4359="!!!",F4359="NEW"),"",COUNTBLANK(OFFSET(A$1,,,SUMPRODUCT(MAX(ROW(E$2:E4359)*(E4359=E$2:E4359)))))-COUNTBLANK(OFFSET(A$1,,,SUMPRODUCT(MAX(ROW(E$1:E4358)*(E2=E$1:E4358))))))</f>
        <v> </v>
      </c>
      <c r="K4359" s="25" t="str">
        <f>IF(OR(E4359="",E4359="!!!",F4359="NEW"),"",INDEX(J$1:J4358,SUMPRODUCT(MAX(ROW(E$1:E4358)*(E4359=E$1:E4358)))))</f>
        <v> </v>
      </c>
      <c r="L4359" s="26"/>
    </row>
    <row r="4360" spans="1:12">
      <c r="A4360" s="20" t="s">
        <v>2135</v>
      </c>
      <c r="B4360" s="27" t="s">
        <v>1067</v>
      </c>
      <c r="C4360" s="27" t="s">
        <v>1129</v>
      </c>
      <c r="D4360" s="27" t="s">
        <v>1069</v>
      </c>
      <c r="E4360" s="21">
        <f>IF(D4360="?OLD","!!!","")</f>
        <v/>
      </c>
      <c r="F4360" s="22" t="str">
        <f>IF(OR(E4360="",E4360="!!!"),"",IF(NOT(ISNA(VLOOKUP(E4360,E$1:E4359,1,FALSE()))),"OLD",IF(AND(E4360&lt;&gt;"",E4360&lt;&gt;"!!!"),"NEW","")))</f>
        <v> </v>
      </c>
      <c r="G4360" s="23" t="str">
        <f>IF(OR(E4360="",E4360="!!!"),"",IF(OR(J4360=0,AND(J4360=1,K4360=1),AND(J4360=1,I4360="SBJ"),AND(J4360=1,I4360=0)),"?IN_FOCUS",IF(J4360&lt;=2,"?ACTIVATED",IF(J4360&lt;&gt;"","?FAMILIAR",IF(F4360="NEW",IF(ISNA(VLOOKUP(E4360,#REF!,1,FALSE())),"?TYPE_IDENTIFIABLE","?REFERENTIAL"),"_")))))</f>
        <v> </v>
      </c>
      <c r="H4360" s="24" t="str">
        <f>IF(J4360&lt;&gt;1,"",IF(I4360="SBJ","CB","?"))</f>
        <v> </v>
      </c>
      <c r="I4360" s="25" t="str">
        <f>IF(OR(E4360="",E4360="!!!",F4360="NEW"),"",INDEX(B4359:B$2,-1+SUMPRODUCT(MAX(ROW(E4359:E$2)*(E4360=E4359:E$2)))))</f>
        <v> </v>
      </c>
      <c r="J4360" s="25" t="str">
        <f>IF(OR(E4360="",E4360="!!!",F4360="NEW"),"",COUNTBLANK(OFFSET(A$1,,,SUMPRODUCT(MAX(ROW(E$2:E4360)*(E4360=E$2:E4360)))))-COUNTBLANK(OFFSET(A$1,,,SUMPRODUCT(MAX(ROW(E$1:E4359)*(E2=E$1:E4359))))))</f>
        <v> </v>
      </c>
      <c r="K4360" s="25" t="str">
        <f>IF(OR(E4360="",E4360="!!!",F4360="NEW"),"",INDEX(J$1:J4359,SUMPRODUCT(MAX(ROW(E$1:E4359)*(E4360=E$1:E4359)))))</f>
        <v> </v>
      </c>
      <c r="L4360" s="26"/>
    </row>
    <row r="4361" spans="1:12">
      <c r="A4361" s="20" t="s">
        <v>1083</v>
      </c>
      <c r="E4361" s="21">
        <f>IF(D4361="?OLD","!!!","")</f>
        <v/>
      </c>
      <c r="F4361" s="22" t="str">
        <f>IF(OR(E4361="",E4361="!!!"),"",IF(NOT(ISNA(VLOOKUP(E4361,E$1:E4360,1,FALSE()))),"OLD",IF(AND(E4361&lt;&gt;"",E4361&lt;&gt;"!!!"),"NEW","")))</f>
        <v> </v>
      </c>
      <c r="G4361" s="23" t="str">
        <f>IF(OR(E4361="",E4361="!!!"),"",IF(OR(J4361=0,AND(J4361=1,K4361=1),AND(J4361=1,I4361="SBJ"),AND(J4361=1,I4361=0)),"?IN_FOCUS",IF(J4361&lt;=2,"?ACTIVATED",IF(J4361&lt;&gt;"","?FAMILIAR",IF(F4361="NEW",IF(ISNA(VLOOKUP(E4361,#REF!,1,FALSE())),"?TYPE_IDENTIFIABLE","?REFERENTIAL"),"_")))))</f>
        <v> </v>
      </c>
      <c r="H4361" s="24" t="str">
        <f>IF(J4361&lt;&gt;1,"",IF(I4361="SBJ","CB","?"))</f>
        <v> </v>
      </c>
      <c r="I4361" s="25" t="str">
        <f>IF(OR(E4361="",E4361="!!!",F4361="NEW"),"",INDEX(B4360:B$2,-1+SUMPRODUCT(MAX(ROW(E4360:E$2)*(E4361=E4360:E$2)))))</f>
        <v> </v>
      </c>
      <c r="J4361" s="25" t="str">
        <f>IF(OR(E4361="",E4361="!!!",F4361="NEW"),"",COUNTBLANK(OFFSET(A$1,,,SUMPRODUCT(MAX(ROW(E$2:E4361)*(E4361=E$2:E4361)))))-COUNTBLANK(OFFSET(A$1,,,SUMPRODUCT(MAX(ROW(E$1:E4360)*(E2=E$1:E4360))))))</f>
        <v> </v>
      </c>
      <c r="K4361" s="25" t="str">
        <f>IF(OR(E4361="",E4361="!!!",F4361="NEW"),"",INDEX(J$1:J4360,SUMPRODUCT(MAX(ROW(E$1:E4360)*(E4361=E$1:E4360)))))</f>
        <v> </v>
      </c>
      <c r="L4361" s="26"/>
    </row>
    <row r="4362" spans="1:12">
      <c r="A4362" s="20" t="s">
        <v>2378</v>
      </c>
      <c r="B4362" s="27" t="s">
        <v>1074</v>
      </c>
      <c r="C4362" s="27" t="s">
        <v>1086</v>
      </c>
      <c r="D4362" s="27" t="s">
        <v>1069</v>
      </c>
      <c r="E4362" s="21">
        <f>IF(D4362="?OLD","!!!","")</f>
        <v/>
      </c>
      <c r="F4362" s="22" t="str">
        <f>IF(OR(E4362="",E4362="!!!"),"",IF(NOT(ISNA(VLOOKUP(E4362,E$1:E4361,1,FALSE()))),"OLD",IF(AND(E4362&lt;&gt;"",E4362&lt;&gt;"!!!"),"NEW","")))</f>
        <v> </v>
      </c>
      <c r="G4362" s="23" t="str">
        <f>IF(OR(E4362="",E4362="!!!"),"",IF(OR(J4362=0,AND(J4362=1,K4362=1),AND(J4362=1,I4362="SBJ"),AND(J4362=1,I4362=0)),"?IN_FOCUS",IF(J4362&lt;=2,"?ACTIVATED",IF(J4362&lt;&gt;"","?FAMILIAR",IF(F4362="NEW",IF(ISNA(VLOOKUP(E4362,#REF!,1,FALSE())),"?TYPE_IDENTIFIABLE","?REFERENTIAL"),"_")))))</f>
        <v> </v>
      </c>
      <c r="H4362" s="24" t="str">
        <f>IF(J4362&lt;&gt;1,"",IF(I4362="SBJ","CB","?"))</f>
        <v> </v>
      </c>
      <c r="I4362" s="25" t="str">
        <f>IF(OR(E4362="",E4362="!!!",F4362="NEW"),"",INDEX(B4361:B$2,-1+SUMPRODUCT(MAX(ROW(E4361:E$2)*(E4362=E4361:E$2)))))</f>
        <v> </v>
      </c>
      <c r="J4362" s="25" t="str">
        <f>IF(OR(E4362="",E4362="!!!",F4362="NEW"),"",COUNTBLANK(OFFSET(A$1,,,SUMPRODUCT(MAX(ROW(E$2:E4362)*(E4362=E$2:E4362)))))-COUNTBLANK(OFFSET(A$1,,,SUMPRODUCT(MAX(ROW(E$1:E4361)*(E2=E$1:E4361))))))</f>
        <v> </v>
      </c>
      <c r="K4362" s="25" t="str">
        <f>IF(OR(E4362="",E4362="!!!",F4362="NEW"),"",INDEX(J$1:J4361,SUMPRODUCT(MAX(ROW(E$1:E4361)*(E4362=E$1:E4361)))))</f>
        <v> </v>
      </c>
      <c r="L4362" s="26"/>
    </row>
    <row r="4363" spans="1:12">
      <c r="A4363" s="20" t="s">
        <v>1087</v>
      </c>
      <c r="E4363" s="21">
        <f>IF(D4363="?OLD","!!!","")</f>
        <v/>
      </c>
      <c r="F4363" s="22" t="str">
        <f>IF(OR(E4363="",E4363="!!!"),"",IF(NOT(ISNA(VLOOKUP(E4363,E$1:E4362,1,FALSE()))),"OLD",IF(AND(E4363&lt;&gt;"",E4363&lt;&gt;"!!!"),"NEW","")))</f>
        <v> </v>
      </c>
      <c r="G4363" s="23" t="str">
        <f>IF(OR(E4363="",E4363="!!!"),"",IF(OR(J4363=0,AND(J4363=1,K4363=1),AND(J4363=1,I4363="SBJ"),AND(J4363=1,I4363=0)),"?IN_FOCUS",IF(J4363&lt;=2,"?ACTIVATED",IF(J4363&lt;&gt;"","?FAMILIAR",IF(F4363="NEW",IF(ISNA(VLOOKUP(E4363,#REF!,1,FALSE())),"?TYPE_IDENTIFIABLE","?REFERENTIAL"),"_")))))</f>
        <v> </v>
      </c>
      <c r="H4363" s="24" t="str">
        <f>IF(J4363&lt;&gt;1,"",IF(I4363="SBJ","CB","?"))</f>
        <v> </v>
      </c>
      <c r="I4363" s="25" t="str">
        <f>IF(OR(E4363="",E4363="!!!",F4363="NEW"),"",INDEX(B4362:B$2,-1+SUMPRODUCT(MAX(ROW(E4362:E$2)*(E4363=E4362:E$2)))))</f>
        <v> </v>
      </c>
      <c r="J4363" s="25" t="str">
        <f>IF(OR(E4363="",E4363="!!!",F4363="NEW"),"",COUNTBLANK(OFFSET(A$1,,,SUMPRODUCT(MAX(ROW(E$2:E4363)*(E4363=E$2:E4363)))))-COUNTBLANK(OFFSET(A$1,,,SUMPRODUCT(MAX(ROW(E$1:E4362)*(E2=E$1:E4362))))))</f>
        <v> </v>
      </c>
      <c r="K4363" s="25" t="str">
        <f>IF(OR(E4363="",E4363="!!!",F4363="NEW"),"",INDEX(J$1:J4362,SUMPRODUCT(MAX(ROW(E$1:E4362)*(E4363=E$1:E4362)))))</f>
        <v> </v>
      </c>
      <c r="L4363" s="26"/>
    </row>
    <row r="4364" spans="1:12">
      <c r="A4364" s="20" t="s">
        <v>1083</v>
      </c>
      <c r="B4364" s="27" t="s">
        <v>1095</v>
      </c>
      <c r="E4364" s="21">
        <f>IF(D4364="?OLD","!!!","")</f>
        <v/>
      </c>
      <c r="F4364" s="22" t="str">
        <f>IF(OR(E4364="",E4364="!!!"),"",IF(NOT(ISNA(VLOOKUP(E4364,E$1:E4363,1,FALSE()))),"OLD",IF(AND(E4364&lt;&gt;"",E4364&lt;&gt;"!!!"),"NEW","")))</f>
        <v> </v>
      </c>
      <c r="G4364" s="23" t="str">
        <f>IF(OR(E4364="",E4364="!!!"),"",IF(OR(J4364=0,AND(J4364=1,K4364=1),AND(J4364=1,I4364="SBJ"),AND(J4364=1,I4364=0)),"?IN_FOCUS",IF(J4364&lt;=2,"?ACTIVATED",IF(J4364&lt;&gt;"","?FAMILIAR",IF(F4364="NEW",IF(ISNA(VLOOKUP(E4364,#REF!,1,FALSE())),"?TYPE_IDENTIFIABLE","?REFERENTIAL"),"_")))))</f>
        <v> </v>
      </c>
      <c r="H4364" s="24" t="str">
        <f>IF(J4364&lt;&gt;1,"",IF(I4364="SBJ","CB","?"))</f>
        <v> </v>
      </c>
      <c r="I4364" s="25" t="str">
        <f>IF(OR(E4364="",E4364="!!!",F4364="NEW"),"",INDEX(B4363:B$2,-1+SUMPRODUCT(MAX(ROW(E4363:E$2)*(E4364=E4363:E$2)))))</f>
        <v> </v>
      </c>
      <c r="J4364" s="25" t="str">
        <f>IF(OR(E4364="",E4364="!!!",F4364="NEW"),"",COUNTBLANK(OFFSET(A$1,,,SUMPRODUCT(MAX(ROW(E$2:E4364)*(E4364=E$2:E4364)))))-COUNTBLANK(OFFSET(A$1,,,SUMPRODUCT(MAX(ROW(E$1:E4363)*(E2=E$1:E4363))))))</f>
        <v> </v>
      </c>
      <c r="K4364" s="25" t="str">
        <f>IF(OR(E4364="",E4364="!!!",F4364="NEW"),"",INDEX(J$1:J4363,SUMPRODUCT(MAX(ROW(E$1:E4363)*(E4364=E$1:E4363)))))</f>
        <v> </v>
      </c>
      <c r="L4364" s="26"/>
    </row>
    <row r="4365" spans="1:12">
      <c r="A4365" s="20" t="s">
        <v>1197</v>
      </c>
      <c r="B4365" s="27" t="s">
        <v>1095</v>
      </c>
      <c r="C4365" s="27" t="s">
        <v>1068</v>
      </c>
      <c r="D4365" s="27" t="s">
        <v>1069</v>
      </c>
      <c r="E4365" s="21">
        <f>IF(D4365="?OLD","!!!","")</f>
        <v/>
      </c>
      <c r="F4365" s="22" t="str">
        <f>IF(OR(E4365="",E4365="!!!"),"",IF(NOT(ISNA(VLOOKUP(E4365,E$1:E4364,1,FALSE()))),"OLD",IF(AND(E4365&lt;&gt;"",E4365&lt;&gt;"!!!"),"NEW","")))</f>
        <v> </v>
      </c>
      <c r="G4365" s="23" t="str">
        <f>IF(OR(E4365="",E4365="!!!"),"",IF(OR(J4365=0,AND(J4365=1,K4365=1),AND(J4365=1,I4365="SBJ"),AND(J4365=1,I4365=0)),"?IN_FOCUS",IF(J4365&lt;=2,"?ACTIVATED",IF(J4365&lt;&gt;"","?FAMILIAR",IF(F4365="NEW",IF(ISNA(VLOOKUP(E4365,#REF!,1,FALSE())),"?TYPE_IDENTIFIABLE","?REFERENTIAL"),"_")))))</f>
        <v> </v>
      </c>
      <c r="H4365" s="24" t="str">
        <f>IF(J4365&lt;&gt;1,"",IF(I4365="SBJ","CB","?"))</f>
        <v> </v>
      </c>
      <c r="I4365" s="25" t="str">
        <f>IF(OR(E4365="",E4365="!!!",F4365="NEW"),"",INDEX(B4364:B$2,-1+SUMPRODUCT(MAX(ROW(E4364:E$2)*(E4365=E4364:E$2)))))</f>
        <v> </v>
      </c>
      <c r="J4365" s="25" t="str">
        <f>IF(OR(E4365="",E4365="!!!",F4365="NEW"),"",COUNTBLANK(OFFSET(A$1,,,SUMPRODUCT(MAX(ROW(E$2:E4365)*(E4365=E$2:E4365)))))-COUNTBLANK(OFFSET(A$1,,,SUMPRODUCT(MAX(ROW(E$1:E4364)*(E2=E$1:E4364))))))</f>
        <v> </v>
      </c>
      <c r="K4365" s="25" t="str">
        <f>IF(OR(E4365="",E4365="!!!",F4365="NEW"),"",INDEX(J$1:J4364,SUMPRODUCT(MAX(ROW(E$1:E4364)*(E4365=E$1:E4364)))))</f>
        <v> </v>
      </c>
      <c r="L4365" s="26"/>
    </row>
    <row r="4366" spans="1:12">
      <c r="A4366" s="20" t="s">
        <v>2256</v>
      </c>
      <c r="E4366" s="21">
        <f>IF(D4366="?OLD","!!!","")</f>
        <v/>
      </c>
      <c r="F4366" s="22" t="str">
        <f>IF(OR(E4366="",E4366="!!!"),"",IF(NOT(ISNA(VLOOKUP(E4366,E$1:E4365,1,FALSE()))),"OLD",IF(AND(E4366&lt;&gt;"",E4366&lt;&gt;"!!!"),"NEW","")))</f>
        <v> </v>
      </c>
      <c r="G4366" s="23" t="str">
        <f>IF(OR(E4366="",E4366="!!!"),"",IF(OR(J4366=0,AND(J4366=1,K4366=1),AND(J4366=1,I4366="SBJ"),AND(J4366=1,I4366=0)),"?IN_FOCUS",IF(J4366&lt;=2,"?ACTIVATED",IF(J4366&lt;&gt;"","?FAMILIAR",IF(F4366="NEW",IF(ISNA(VLOOKUP(E4366,#REF!,1,FALSE())),"?TYPE_IDENTIFIABLE","?REFERENTIAL"),"_")))))</f>
        <v> </v>
      </c>
      <c r="H4366" s="24" t="str">
        <f>IF(J4366&lt;&gt;1,"",IF(I4366="SBJ","CB","?"))</f>
        <v> </v>
      </c>
      <c r="I4366" s="25" t="str">
        <f>IF(OR(E4366="",E4366="!!!",F4366="NEW"),"",INDEX(B4365:B$2,-1+SUMPRODUCT(MAX(ROW(E4365:E$2)*(E4366=E4365:E$2)))))</f>
        <v> </v>
      </c>
      <c r="J4366" s="25" t="str">
        <f>IF(OR(E4366="",E4366="!!!",F4366="NEW"),"",COUNTBLANK(OFFSET(A$1,,,SUMPRODUCT(MAX(ROW(E$2:E4366)*(E4366=E$2:E4366)))))-COUNTBLANK(OFFSET(A$1,,,SUMPRODUCT(MAX(ROW(E$1:E4365)*(E2=E$1:E4365))))))</f>
        <v> </v>
      </c>
      <c r="K4366" s="25" t="str">
        <f>IF(OR(E4366="",E4366="!!!",F4366="NEW"),"",INDEX(J$1:J4365,SUMPRODUCT(MAX(ROW(E$1:E4365)*(E4366=E$1:E4365)))))</f>
        <v> </v>
      </c>
      <c r="L4366" s="26"/>
    </row>
    <row r="4367" spans="1:12">
      <c r="A4367" s="20" t="s">
        <v>1324</v>
      </c>
      <c r="E4367" s="21">
        <f>IF(D4367="?OLD","!!!","")</f>
        <v/>
      </c>
      <c r="F4367" s="22" t="str">
        <f>IF(OR(E4367="",E4367="!!!"),"",IF(NOT(ISNA(VLOOKUP(E4367,E$1:E4366,1,FALSE()))),"OLD",IF(AND(E4367&lt;&gt;"",E4367&lt;&gt;"!!!"),"NEW","")))</f>
        <v> </v>
      </c>
      <c r="G4367" s="23" t="str">
        <f>IF(OR(E4367="",E4367="!!!"),"",IF(OR(J4367=0,AND(J4367=1,K4367=1),AND(J4367=1,I4367="SBJ"),AND(J4367=1,I4367=0)),"?IN_FOCUS",IF(J4367&lt;=2,"?ACTIVATED",IF(J4367&lt;&gt;"","?FAMILIAR",IF(F4367="NEW",IF(ISNA(VLOOKUP(E4367,#REF!,1,FALSE())),"?TYPE_IDENTIFIABLE","?REFERENTIAL"),"_")))))</f>
        <v> </v>
      </c>
      <c r="H4367" s="24" t="str">
        <f>IF(J4367&lt;&gt;1,"",IF(I4367="SBJ","CB","?"))</f>
        <v> </v>
      </c>
      <c r="I4367" s="25" t="str">
        <f>IF(OR(E4367="",E4367="!!!",F4367="NEW"),"",INDEX(B4366:B$2,-1+SUMPRODUCT(MAX(ROW(E4366:E$2)*(E4367=E4366:E$2)))))</f>
        <v> </v>
      </c>
      <c r="J4367" s="25" t="str">
        <f>IF(OR(E4367="",E4367="!!!",F4367="NEW"),"",COUNTBLANK(OFFSET(A$1,,,SUMPRODUCT(MAX(ROW(E$2:E4367)*(E4367=E$2:E4367)))))-COUNTBLANK(OFFSET(A$1,,,SUMPRODUCT(MAX(ROW(E$1:E4366)*(E2=E$1:E4366))))))</f>
        <v> </v>
      </c>
      <c r="K4367" s="25" t="str">
        <f>IF(OR(E4367="",E4367="!!!",F4367="NEW"),"",INDEX(J$1:J4366,SUMPRODUCT(MAX(ROW(E$1:E4366)*(E4367=E$1:E4366)))))</f>
        <v> </v>
      </c>
      <c r="L4367" s="26"/>
    </row>
    <row r="4368" spans="1:12">
      <c r="A4368" s="20"/>
    </row>
    <row r="4369" spans="1:12">
      <c r="A4369" s="20" t="s">
        <v>2379</v>
      </c>
    </row>
    <row r="4370" spans="1:12">
      <c r="A4370" s="20" t="s">
        <v>785</v>
      </c>
      <c r="B4370" s="27" t="s">
        <v>1095</v>
      </c>
      <c r="C4370" s="27" t="s">
        <v>1134</v>
      </c>
      <c r="D4370" s="27" t="s">
        <v>1069</v>
      </c>
      <c r="E4370" s="21">
        <f>IF(D4370="?OLD","!!!","")</f>
        <v/>
      </c>
      <c r="F4370" s="22" t="str">
        <f>IF(OR(E4370="",E4370="!!!"),"",IF(NOT(ISNA(VLOOKUP(E4370,E$1:E4369,1,FALSE()))),"OLD",IF(AND(E4370&lt;&gt;"",E4370&lt;&gt;"!!!"),"NEW","")))</f>
        <v> </v>
      </c>
      <c r="G4370" s="23" t="str">
        <f>IF(OR(E4370="",E4370="!!!"),"",IF(OR(J4370=0,AND(J4370=1,K4370=1),AND(J4370=1,I4370="SBJ"),AND(J4370=1,I4370=0)),"?IN_FOCUS",IF(J4370&lt;=2,"?ACTIVATED",IF(J4370&lt;&gt;"","?FAMILIAR",IF(F4370="NEW",IF(ISNA(VLOOKUP(E4370,#REF!,1,FALSE())),"?TYPE_IDENTIFIABLE","?REFERENTIAL"),"_")))))</f>
        <v> </v>
      </c>
      <c r="H4370" s="24" t="str">
        <f>IF(J4370&lt;&gt;1,"",IF(I4370="SBJ","CB","?"))</f>
        <v> </v>
      </c>
      <c r="I4370" s="25" t="str">
        <f>IF(OR(E4370="",E4370="!!!",F4370="NEW"),"",INDEX(B4369:B$2,-1+SUMPRODUCT(MAX(ROW(E4369:E$2)*(E4370=E4369:E$2)))))</f>
        <v> </v>
      </c>
      <c r="J4370" s="25" t="str">
        <f>IF(OR(E4370="",E4370="!!!",F4370="NEW"),"",COUNTBLANK(OFFSET(A$1,,,SUMPRODUCT(MAX(ROW(E$2:E4370)*(E4370=E$2:E4370)))))-COUNTBLANK(OFFSET(A$1,,,SUMPRODUCT(MAX(ROW(E$1:E4369)*(E2=E$1:E4369))))))</f>
        <v> </v>
      </c>
      <c r="K4370" s="25" t="str">
        <f>IF(OR(E4370="",E4370="!!!",F4370="NEW"),"",INDEX(J$1:J4369,SUMPRODUCT(MAX(ROW(E$1:E4369)*(E4370=E$1:E4369)))))</f>
        <v> </v>
      </c>
      <c r="L4370" s="26"/>
    </row>
    <row r="4371" spans="1:12">
      <c r="A4371" s="20" t="s">
        <v>1317</v>
      </c>
      <c r="E4371" s="21">
        <f>IF(D4371="?OLD","!!!","")</f>
        <v/>
      </c>
      <c r="F4371" s="22" t="str">
        <f>IF(OR(E4371="",E4371="!!!"),"",IF(NOT(ISNA(VLOOKUP(E4371,E$1:E4370,1,FALSE()))),"OLD",IF(AND(E4371&lt;&gt;"",E4371&lt;&gt;"!!!"),"NEW","")))</f>
        <v> </v>
      </c>
      <c r="G4371" s="23" t="str">
        <f>IF(OR(E4371="",E4371="!!!"),"",IF(OR(J4371=0,AND(J4371=1,K4371=1),AND(J4371=1,I4371="SBJ"),AND(J4371=1,I4371=0)),"?IN_FOCUS",IF(J4371&lt;=2,"?ACTIVATED",IF(J4371&lt;&gt;"","?FAMILIAR",IF(F4371="NEW",IF(ISNA(VLOOKUP(E4371,#REF!,1,FALSE())),"?TYPE_IDENTIFIABLE","?REFERENTIAL"),"_")))))</f>
        <v> </v>
      </c>
      <c r="H4371" s="24" t="str">
        <f>IF(J4371&lt;&gt;1,"",IF(I4371="SBJ","CB","?"))</f>
        <v> </v>
      </c>
      <c r="I4371" s="25" t="str">
        <f>IF(OR(E4371="",E4371="!!!",F4371="NEW"),"",INDEX(B4370:B$2,-1+SUMPRODUCT(MAX(ROW(E4370:E$2)*(E4371=E4370:E$2)))))</f>
        <v> </v>
      </c>
      <c r="J4371" s="25" t="str">
        <f>IF(OR(E4371="",E4371="!!!",F4371="NEW"),"",COUNTBLANK(OFFSET(A$1,,,SUMPRODUCT(MAX(ROW(E$2:E4371)*(E4371=E$2:E4371)))))-COUNTBLANK(OFFSET(A$1,,,SUMPRODUCT(MAX(ROW(E$1:E4370)*(E2=E$1:E4370))))))</f>
        <v> </v>
      </c>
      <c r="K4371" s="25" t="str">
        <f>IF(OR(E4371="",E4371="!!!",F4371="NEW"),"",INDEX(J$1:J4370,SUMPRODUCT(MAX(ROW(E$1:E4370)*(E4371=E$1:E4370)))))</f>
        <v> </v>
      </c>
      <c r="L4371" s="26"/>
    </row>
    <row r="4372" spans="1:12">
      <c r="A4372" s="20" t="s">
        <v>1397</v>
      </c>
      <c r="E4372" s="21">
        <f>IF(D4372="?OLD","!!!","")</f>
        <v/>
      </c>
      <c r="F4372" s="22" t="str">
        <f>IF(OR(E4372="",E4372="!!!"),"",IF(NOT(ISNA(VLOOKUP(E4372,E$1:E4371,1,FALSE()))),"OLD",IF(AND(E4372&lt;&gt;"",E4372&lt;&gt;"!!!"),"NEW","")))</f>
        <v> </v>
      </c>
      <c r="G4372" s="23" t="str">
        <f>IF(OR(E4372="",E4372="!!!"),"",IF(OR(J4372=0,AND(J4372=1,K4372=1),AND(J4372=1,I4372="SBJ"),AND(J4372=1,I4372=0)),"?IN_FOCUS",IF(J4372&lt;=2,"?ACTIVATED",IF(J4372&lt;&gt;"","?FAMILIAR",IF(F4372="NEW",IF(ISNA(VLOOKUP(E4372,#REF!,1,FALSE())),"?TYPE_IDENTIFIABLE","?REFERENTIAL"),"_")))))</f>
        <v> </v>
      </c>
      <c r="H4372" s="24" t="str">
        <f>IF(J4372&lt;&gt;1,"",IF(I4372="SBJ","CB","?"))</f>
        <v> </v>
      </c>
      <c r="I4372" s="25" t="str">
        <f>IF(OR(E4372="",E4372="!!!",F4372="NEW"),"",INDEX(B4371:B$2,-1+SUMPRODUCT(MAX(ROW(E4371:E$2)*(E4372=E4371:E$2)))))</f>
        <v> </v>
      </c>
      <c r="J4372" s="25" t="str">
        <f>IF(OR(E4372="",E4372="!!!",F4372="NEW"),"",COUNTBLANK(OFFSET(A$1,,,SUMPRODUCT(MAX(ROW(E$2:E4372)*(E4372=E$2:E4372)))))-COUNTBLANK(OFFSET(A$1,,,SUMPRODUCT(MAX(ROW(E$1:E4371)*(E2=E$1:E4371))))))</f>
        <v> </v>
      </c>
      <c r="K4372" s="25" t="str">
        <f>IF(OR(E4372="",E4372="!!!",F4372="NEW"),"",INDEX(J$1:J4371,SUMPRODUCT(MAX(ROW(E$1:E4371)*(E4372=E$1:E4371)))))</f>
        <v> </v>
      </c>
      <c r="L4372" s="26"/>
    </row>
    <row r="4373" spans="1:12">
      <c r="A4373" s="20" t="s">
        <v>2380</v>
      </c>
      <c r="B4373" s="27" t="s">
        <v>1067</v>
      </c>
      <c r="C4373" s="27" t="s">
        <v>1120</v>
      </c>
      <c r="E4373" s="21">
        <f>IF(D4373="?OLD","!!!","")</f>
        <v/>
      </c>
      <c r="F4373" s="22" t="str">
        <f>IF(OR(E4373="",E4373="!!!"),"",IF(NOT(ISNA(VLOOKUP(E4373,E$1:E4372,1,FALSE()))),"OLD",IF(AND(E4373&lt;&gt;"",E4373&lt;&gt;"!!!"),"NEW","")))</f>
        <v> </v>
      </c>
      <c r="G4373" s="23" t="str">
        <f>IF(OR(E4373="",E4373="!!!"),"",IF(OR(J4373=0,AND(J4373=1,K4373=1),AND(J4373=1,I4373="SBJ"),AND(J4373=1,I4373=0)),"?IN_FOCUS",IF(J4373&lt;=2,"?ACTIVATED",IF(J4373&lt;&gt;"","?FAMILIAR",IF(F4373="NEW",IF(ISNA(VLOOKUP(E4373,#REF!,1,FALSE())),"?TYPE_IDENTIFIABLE","?REFERENTIAL"),"_")))))</f>
        <v> </v>
      </c>
      <c r="H4373" s="24" t="str">
        <f>IF(J4373&lt;&gt;1,"",IF(I4373="SBJ","CB","?"))</f>
        <v> </v>
      </c>
      <c r="I4373" s="25" t="str">
        <f>IF(OR(E4373="",E4373="!!!",F4373="NEW"),"",INDEX(B4372:B$2,-1+SUMPRODUCT(MAX(ROW(E4372:E$2)*(E4373=E4372:E$2)))))</f>
        <v> </v>
      </c>
      <c r="J4373" s="25" t="str">
        <f>IF(OR(E4373="",E4373="!!!",F4373="NEW"),"",COUNTBLANK(OFFSET(A$1,,,SUMPRODUCT(MAX(ROW(E$2:E4373)*(E4373=E$2:E4373)))))-COUNTBLANK(OFFSET(A$1,,,SUMPRODUCT(MAX(ROW(E$1:E4372)*(E2=E$1:E4372))))))</f>
        <v> </v>
      </c>
      <c r="K4373" s="25" t="str">
        <f>IF(OR(E4373="",E4373="!!!",F4373="NEW"),"",INDEX(J$1:J4372,SUMPRODUCT(MAX(ROW(E$1:E4372)*(E4373=E$1:E4372)))))</f>
        <v> </v>
      </c>
      <c r="L4373" s="26"/>
    </row>
    <row r="4374" spans="1:12">
      <c r="A4374" s="20" t="s">
        <v>1191</v>
      </c>
      <c r="E4374" s="21">
        <f>IF(D4374="?OLD","!!!","")</f>
        <v/>
      </c>
      <c r="F4374" s="22" t="str">
        <f>IF(OR(E4374="",E4374="!!!"),"",IF(NOT(ISNA(VLOOKUP(E4374,E$1:E4373,1,FALSE()))),"OLD",IF(AND(E4374&lt;&gt;"",E4374&lt;&gt;"!!!"),"NEW","")))</f>
        <v> </v>
      </c>
      <c r="G4374" s="23" t="str">
        <f>IF(OR(E4374="",E4374="!!!"),"",IF(OR(J4374=0,AND(J4374=1,K4374=1),AND(J4374=1,I4374="SBJ"),AND(J4374=1,I4374=0)),"?IN_FOCUS",IF(J4374&lt;=2,"?ACTIVATED",IF(J4374&lt;&gt;"","?FAMILIAR",IF(F4374="NEW",IF(ISNA(VLOOKUP(E4374,#REF!,1,FALSE())),"?TYPE_IDENTIFIABLE","?REFERENTIAL"),"_")))))</f>
        <v> </v>
      </c>
      <c r="H4374" s="24" t="str">
        <f>IF(J4374&lt;&gt;1,"",IF(I4374="SBJ","CB","?"))</f>
        <v> </v>
      </c>
      <c r="I4374" s="25" t="str">
        <f>IF(OR(E4374="",E4374="!!!",F4374="NEW"),"",INDEX(B4373:B$2,-1+SUMPRODUCT(MAX(ROW(E4373:E$2)*(E4374=E4373:E$2)))))</f>
        <v> </v>
      </c>
      <c r="J4374" s="25" t="str">
        <f>IF(OR(E4374="",E4374="!!!",F4374="NEW"),"",COUNTBLANK(OFFSET(A$1,,,SUMPRODUCT(MAX(ROW(E$2:E4374)*(E4374=E$2:E4374)))))-COUNTBLANK(OFFSET(A$1,,,SUMPRODUCT(MAX(ROW(E$1:E4373)*(E2=E$1:E4373))))))</f>
        <v> </v>
      </c>
      <c r="K4374" s="25" t="str">
        <f>IF(OR(E4374="",E4374="!!!",F4374="NEW"),"",INDEX(J$1:J4373,SUMPRODUCT(MAX(ROW(E$1:E4373)*(E4374=E$1:E4373)))))</f>
        <v> </v>
      </c>
      <c r="L4374" s="26"/>
    </row>
    <row r="4375" spans="1:12">
      <c r="A4375" s="20" t="s">
        <v>1083</v>
      </c>
      <c r="E4375" s="21">
        <f>IF(D4375="?OLD","!!!","")</f>
        <v/>
      </c>
      <c r="F4375" s="22" t="str">
        <f>IF(OR(E4375="",E4375="!!!"),"",IF(NOT(ISNA(VLOOKUP(E4375,E$1:E4374,1,FALSE()))),"OLD",IF(AND(E4375&lt;&gt;"",E4375&lt;&gt;"!!!"),"NEW","")))</f>
        <v> </v>
      </c>
      <c r="G4375" s="23" t="str">
        <f>IF(OR(E4375="",E4375="!!!"),"",IF(OR(J4375=0,AND(J4375=1,K4375=1),AND(J4375=1,I4375="SBJ"),AND(J4375=1,I4375=0)),"?IN_FOCUS",IF(J4375&lt;=2,"?ACTIVATED",IF(J4375&lt;&gt;"","?FAMILIAR",IF(F4375="NEW",IF(ISNA(VLOOKUP(E4375,#REF!,1,FALSE())),"?TYPE_IDENTIFIABLE","?REFERENTIAL"),"_")))))</f>
        <v> </v>
      </c>
      <c r="H4375" s="24" t="str">
        <f>IF(J4375&lt;&gt;1,"",IF(I4375="SBJ","CB","?"))</f>
        <v> </v>
      </c>
      <c r="I4375" s="25" t="str">
        <f>IF(OR(E4375="",E4375="!!!",F4375="NEW"),"",INDEX(B4374:B$2,-1+SUMPRODUCT(MAX(ROW(E4374:E$2)*(E4375=E4374:E$2)))))</f>
        <v> </v>
      </c>
      <c r="J4375" s="25" t="str">
        <f>IF(OR(E4375="",E4375="!!!",F4375="NEW"),"",COUNTBLANK(OFFSET(A$1,,,SUMPRODUCT(MAX(ROW(E$2:E4375)*(E4375=E$2:E4375)))))-COUNTBLANK(OFFSET(A$1,,,SUMPRODUCT(MAX(ROW(E$1:E4374)*(E2=E$1:E4374))))))</f>
        <v> </v>
      </c>
      <c r="K4375" s="25" t="str">
        <f>IF(OR(E4375="",E4375="!!!",F4375="NEW"),"",INDEX(J$1:J4374,SUMPRODUCT(MAX(ROW(E$1:E4374)*(E4375=E$1:E4374)))))</f>
        <v> </v>
      </c>
      <c r="L4375" s="26"/>
    </row>
    <row r="4376" spans="1:12">
      <c r="A4376" s="20" t="s">
        <v>2381</v>
      </c>
      <c r="B4376" s="27" t="s">
        <v>1074</v>
      </c>
      <c r="C4376" s="27" t="s">
        <v>1086</v>
      </c>
      <c r="D4376" s="27" t="s">
        <v>1069</v>
      </c>
      <c r="E4376" s="21">
        <f>IF(D4376="?OLD","!!!","")</f>
        <v/>
      </c>
      <c r="F4376" s="22" t="str">
        <f>IF(OR(E4376="",E4376="!!!"),"",IF(NOT(ISNA(VLOOKUP(E4376,E$1:E4375,1,FALSE()))),"OLD",IF(AND(E4376&lt;&gt;"",E4376&lt;&gt;"!!!"),"NEW","")))</f>
        <v> </v>
      </c>
      <c r="G4376" s="23" t="str">
        <f>IF(OR(E4376="",E4376="!!!"),"",IF(OR(J4376=0,AND(J4376=1,K4376=1),AND(J4376=1,I4376="SBJ"),AND(J4376=1,I4376=0)),"?IN_FOCUS",IF(J4376&lt;=2,"?ACTIVATED",IF(J4376&lt;&gt;"","?FAMILIAR",IF(F4376="NEW",IF(ISNA(VLOOKUP(E4376,#REF!,1,FALSE())),"?TYPE_IDENTIFIABLE","?REFERENTIAL"),"_")))))</f>
        <v> </v>
      </c>
      <c r="H4376" s="24" t="str">
        <f>IF(J4376&lt;&gt;1,"",IF(I4376="SBJ","CB","?"))</f>
        <v> </v>
      </c>
      <c r="I4376" s="25" t="str">
        <f>IF(OR(E4376="",E4376="!!!",F4376="NEW"),"",INDEX(B4375:B$2,-1+SUMPRODUCT(MAX(ROW(E4375:E$2)*(E4376=E4375:E$2)))))</f>
        <v> </v>
      </c>
      <c r="J4376" s="25" t="str">
        <f>IF(OR(E4376="",E4376="!!!",F4376="NEW"),"",COUNTBLANK(OFFSET(A$1,,,SUMPRODUCT(MAX(ROW(E$2:E4376)*(E4376=E$2:E4376)))))-COUNTBLANK(OFFSET(A$1,,,SUMPRODUCT(MAX(ROW(E$1:E4375)*(E2=E$1:E4375))))))</f>
        <v> </v>
      </c>
      <c r="K4376" s="25" t="str">
        <f>IF(OR(E4376="",E4376="!!!",F4376="NEW"),"",INDEX(J$1:J4375,SUMPRODUCT(MAX(ROW(E$1:E4375)*(E4376=E$1:E4375)))))</f>
        <v> </v>
      </c>
      <c r="L4376" s="26"/>
    </row>
    <row r="4377" spans="1:12">
      <c r="A4377" s="20" t="s">
        <v>1080</v>
      </c>
      <c r="E4377" s="21">
        <f>IF(D4377="?OLD","!!!","")</f>
        <v/>
      </c>
      <c r="F4377" s="22" t="str">
        <f>IF(OR(E4377="",E4377="!!!"),"",IF(NOT(ISNA(VLOOKUP(E4377,E$1:E4376,1,FALSE()))),"OLD",IF(AND(E4377&lt;&gt;"",E4377&lt;&gt;"!!!"),"NEW","")))</f>
        <v> </v>
      </c>
      <c r="G4377" s="23" t="str">
        <f>IF(OR(E4377="",E4377="!!!"),"",IF(OR(J4377=0,AND(J4377=1,K4377=1),AND(J4377=1,I4377="SBJ"),AND(J4377=1,I4377=0)),"?IN_FOCUS",IF(J4377&lt;=2,"?ACTIVATED",IF(J4377&lt;&gt;"","?FAMILIAR",IF(F4377="NEW",IF(ISNA(VLOOKUP(E4377,#REF!,1,FALSE())),"?TYPE_IDENTIFIABLE","?REFERENTIAL"),"_")))))</f>
        <v> </v>
      </c>
      <c r="H4377" s="24" t="str">
        <f>IF(J4377&lt;&gt;1,"",IF(I4377="SBJ","CB","?"))</f>
        <v> </v>
      </c>
      <c r="I4377" s="25" t="str">
        <f>IF(OR(E4377="",E4377="!!!",F4377="NEW"),"",INDEX(B4376:B$2,-1+SUMPRODUCT(MAX(ROW(E4376:E$2)*(E4377=E4376:E$2)))))</f>
        <v> </v>
      </c>
      <c r="J4377" s="25" t="str">
        <f>IF(OR(E4377="",E4377="!!!",F4377="NEW"),"",COUNTBLANK(OFFSET(A$1,,,SUMPRODUCT(MAX(ROW(E$2:E4377)*(E4377=E$2:E4377)))))-COUNTBLANK(OFFSET(A$1,,,SUMPRODUCT(MAX(ROW(E$1:E4376)*(E2=E$1:E4376))))))</f>
        <v> </v>
      </c>
      <c r="K4377" s="25" t="str">
        <f>IF(OR(E4377="",E4377="!!!",F4377="NEW"),"",INDEX(J$1:J4376,SUMPRODUCT(MAX(ROW(E$1:E4376)*(E4377=E$1:E4376)))))</f>
        <v> </v>
      </c>
      <c r="L4377" s="26"/>
    </row>
    <row r="4378" spans="1:12">
      <c r="A4378" s="20"/>
    </row>
    <row r="4379" spans="1:12">
      <c r="A4379" s="20" t="s">
        <v>2382</v>
      </c>
    </row>
    <row r="4380" spans="1:12">
      <c r="A4380" s="20" t="s">
        <v>1175</v>
      </c>
      <c r="B4380" s="27" t="s">
        <v>1067</v>
      </c>
      <c r="C4380" s="27" t="s">
        <v>1110</v>
      </c>
      <c r="D4380" s="27" t="s">
        <v>1069</v>
      </c>
      <c r="E4380" s="21">
        <f>IF(D4380="?OLD","!!!","")</f>
        <v/>
      </c>
      <c r="F4380" s="22" t="str">
        <f>IF(OR(E4380="",E4380="!!!"),"",IF(NOT(ISNA(VLOOKUP(E4380,E$1:E4379,1,FALSE()))),"OLD",IF(AND(E4380&lt;&gt;"",E4380&lt;&gt;"!!!"),"NEW","")))</f>
        <v> </v>
      </c>
      <c r="G4380" s="23" t="str">
        <f>IF(OR(E4380="",E4380="!!!"),"",IF(OR(J4380=0,AND(J4380=1,K4380=1),AND(J4380=1,I4380="SBJ"),AND(J4380=1,I4380=0)),"?IN_FOCUS",IF(J4380&lt;=2,"?ACTIVATED",IF(J4380&lt;&gt;"","?FAMILIAR",IF(F4380="NEW",IF(ISNA(VLOOKUP(E4380,#REF!,1,FALSE())),"?TYPE_IDENTIFIABLE","?REFERENTIAL"),"_")))))</f>
        <v> </v>
      </c>
      <c r="H4380" s="24" t="str">
        <f>IF(J4380&lt;&gt;1,"",IF(I4380="SBJ","CB","?"))</f>
        <v> </v>
      </c>
      <c r="I4380" s="25" t="str">
        <f>IF(OR(E4380="",E4380="!!!",F4380="NEW"),"",INDEX(B4379:B$2,-1+SUMPRODUCT(MAX(ROW(E4379:E$2)*(E4380=E4379:E$2)))))</f>
        <v> </v>
      </c>
      <c r="J4380" s="25" t="str">
        <f>IF(OR(E4380="",E4380="!!!",F4380="NEW"),"",COUNTBLANK(OFFSET(A$1,,,SUMPRODUCT(MAX(ROW(E$2:E4380)*(E4380=E$2:E4380)))))-COUNTBLANK(OFFSET(A$1,,,SUMPRODUCT(MAX(ROW(E$1:E4379)*(E2=E$1:E4379))))))</f>
        <v> </v>
      </c>
      <c r="K4380" s="25" t="str">
        <f>IF(OR(E4380="",E4380="!!!",F4380="NEW"),"",INDEX(J$1:J4379,SUMPRODUCT(MAX(ROW(E$1:E4379)*(E4380=E$1:E4379)))))</f>
        <v> </v>
      </c>
      <c r="L4380" s="26"/>
    </row>
    <row r="4381" spans="1:12">
      <c r="A4381" s="20" t="s">
        <v>1205</v>
      </c>
      <c r="E4381" s="21">
        <f>IF(D4381="?OLD","!!!","")</f>
        <v/>
      </c>
      <c r="F4381" s="22" t="str">
        <f>IF(OR(E4381="",E4381="!!!"),"",IF(NOT(ISNA(VLOOKUP(E4381,E$1:E4380,1,FALSE()))),"OLD",IF(AND(E4381&lt;&gt;"",E4381&lt;&gt;"!!!"),"NEW","")))</f>
        <v> </v>
      </c>
      <c r="G4381" s="23" t="str">
        <f>IF(OR(E4381="",E4381="!!!"),"",IF(OR(J4381=0,AND(J4381=1,K4381=1),AND(J4381=1,I4381="SBJ"),AND(J4381=1,I4381=0)),"?IN_FOCUS",IF(J4381&lt;=2,"?ACTIVATED",IF(J4381&lt;&gt;"","?FAMILIAR",IF(F4381="NEW",IF(ISNA(VLOOKUP(E4381,#REF!,1,FALSE())),"?TYPE_IDENTIFIABLE","?REFERENTIAL"),"_")))))</f>
        <v> </v>
      </c>
      <c r="H4381" s="24" t="str">
        <f>IF(J4381&lt;&gt;1,"",IF(I4381="SBJ","CB","?"))</f>
        <v> </v>
      </c>
      <c r="I4381" s="25" t="str">
        <f>IF(OR(E4381="",E4381="!!!",F4381="NEW"),"",INDEX(B4380:B$2,-1+SUMPRODUCT(MAX(ROW(E4380:E$2)*(E4381=E4380:E$2)))))</f>
        <v> </v>
      </c>
      <c r="J4381" s="25" t="str">
        <f>IF(OR(E4381="",E4381="!!!",F4381="NEW"),"",COUNTBLANK(OFFSET(A$1,,,SUMPRODUCT(MAX(ROW(E$2:E4381)*(E4381=E$2:E4381)))))-COUNTBLANK(OFFSET(A$1,,,SUMPRODUCT(MAX(ROW(E$1:E4380)*(E2=E$1:E4380))))))</f>
        <v> </v>
      </c>
      <c r="K4381" s="25" t="str">
        <f>IF(OR(E4381="",E4381="!!!",F4381="NEW"),"",INDEX(J$1:J4380,SUMPRODUCT(MAX(ROW(E$1:E4380)*(E4381=E$1:E4380)))))</f>
        <v> </v>
      </c>
      <c r="L4381" s="26"/>
    </row>
    <row r="4382" spans="1:12">
      <c r="A4382" s="20" t="s">
        <v>1167</v>
      </c>
      <c r="B4382" s="27" t="s">
        <v>1067</v>
      </c>
      <c r="C4382" s="27" t="s">
        <v>1068</v>
      </c>
      <c r="D4382" s="27" t="s">
        <v>1069</v>
      </c>
      <c r="E4382" s="21">
        <f>IF(D4382="?OLD","!!!","")</f>
        <v/>
      </c>
      <c r="F4382" s="22" t="str">
        <f>IF(OR(E4382="",E4382="!!!"),"",IF(NOT(ISNA(VLOOKUP(E4382,E$1:E4381,1,FALSE()))),"OLD",IF(AND(E4382&lt;&gt;"",E4382&lt;&gt;"!!!"),"NEW","")))</f>
        <v> </v>
      </c>
      <c r="G4382" s="23" t="str">
        <f>IF(OR(E4382="",E4382="!!!"),"",IF(OR(J4382=0,AND(J4382=1,K4382=1),AND(J4382=1,I4382="SBJ"),AND(J4382=1,I4382=0)),"?IN_FOCUS",IF(J4382&lt;=2,"?ACTIVATED",IF(J4382&lt;&gt;"","?FAMILIAR",IF(F4382="NEW",IF(ISNA(VLOOKUP(E4382,#REF!,1,FALSE())),"?TYPE_IDENTIFIABLE","?REFERENTIAL"),"_")))))</f>
        <v> </v>
      </c>
      <c r="H4382" s="24" t="str">
        <f>IF(J4382&lt;&gt;1,"",IF(I4382="SBJ","CB","?"))</f>
        <v> </v>
      </c>
      <c r="I4382" s="25" t="str">
        <f>IF(OR(E4382="",E4382="!!!",F4382="NEW"),"",INDEX(B4381:B$2,-1+SUMPRODUCT(MAX(ROW(E4381:E$2)*(E4382=E4381:E$2)))))</f>
        <v> </v>
      </c>
      <c r="J4382" s="25" t="str">
        <f>IF(OR(E4382="",E4382="!!!",F4382="NEW"),"",COUNTBLANK(OFFSET(A$1,,,SUMPRODUCT(MAX(ROW(E$2:E4382)*(E4382=E$2:E4382)))))-COUNTBLANK(OFFSET(A$1,,,SUMPRODUCT(MAX(ROW(E$1:E4381)*(E2=E$1:E4381))))))</f>
        <v> </v>
      </c>
      <c r="K4382" s="25" t="str">
        <f>IF(OR(E4382="",E4382="!!!",F4382="NEW"),"",INDEX(J$1:J4381,SUMPRODUCT(MAX(ROW(E$1:E4381)*(E4382=E$1:E4381)))))</f>
        <v> </v>
      </c>
      <c r="L4382" s="26"/>
    </row>
    <row r="4383" spans="1:12">
      <c r="A4383" s="20" t="s">
        <v>1751</v>
      </c>
      <c r="E4383" s="21">
        <f>IF(D4383="?OLD","!!!","")</f>
        <v/>
      </c>
      <c r="F4383" s="22" t="str">
        <f>IF(OR(E4383="",E4383="!!!"),"",IF(NOT(ISNA(VLOOKUP(E4383,E$1:E4382,1,FALSE()))),"OLD",IF(AND(E4383&lt;&gt;"",E4383&lt;&gt;"!!!"),"NEW","")))</f>
        <v> </v>
      </c>
      <c r="G4383" s="23" t="str">
        <f>IF(OR(E4383="",E4383="!!!"),"",IF(OR(J4383=0,AND(J4383=1,K4383=1),AND(J4383=1,I4383="SBJ"),AND(J4383=1,I4383=0)),"?IN_FOCUS",IF(J4383&lt;=2,"?ACTIVATED",IF(J4383&lt;&gt;"","?FAMILIAR",IF(F4383="NEW",IF(ISNA(VLOOKUP(E4383,#REF!,1,FALSE())),"?TYPE_IDENTIFIABLE","?REFERENTIAL"),"_")))))</f>
        <v> </v>
      </c>
      <c r="H4383" s="24" t="str">
        <f>IF(J4383&lt;&gt;1,"",IF(I4383="SBJ","CB","?"))</f>
        <v> </v>
      </c>
      <c r="I4383" s="25" t="str">
        <f>IF(OR(E4383="",E4383="!!!",F4383="NEW"),"",INDEX(B4382:B$2,-1+SUMPRODUCT(MAX(ROW(E4382:E$2)*(E4383=E4382:E$2)))))</f>
        <v> </v>
      </c>
      <c r="J4383" s="25" t="str">
        <f>IF(OR(E4383="",E4383="!!!",F4383="NEW"),"",COUNTBLANK(OFFSET(A$1,,,SUMPRODUCT(MAX(ROW(E$2:E4383)*(E4383=E$2:E4383)))))-COUNTBLANK(OFFSET(A$1,,,SUMPRODUCT(MAX(ROW(E$1:E4382)*(E2=E$1:E4382))))))</f>
        <v> </v>
      </c>
      <c r="K4383" s="25" t="str">
        <f>IF(OR(E4383="",E4383="!!!",F4383="NEW"),"",INDEX(J$1:J4382,SUMPRODUCT(MAX(ROW(E$1:E4382)*(E4383=E$1:E4382)))))</f>
        <v> </v>
      </c>
      <c r="L4383" s="26"/>
    </row>
    <row r="4384" spans="1:12">
      <c r="A4384" s="20" t="s">
        <v>2157</v>
      </c>
      <c r="E4384" s="21">
        <f>IF(D4384="?OLD","!!!","")</f>
        <v/>
      </c>
      <c r="F4384" s="22" t="str">
        <f>IF(OR(E4384="",E4384="!!!"),"",IF(NOT(ISNA(VLOOKUP(E4384,E$1:E4383,1,FALSE()))),"OLD",IF(AND(E4384&lt;&gt;"",E4384&lt;&gt;"!!!"),"NEW","")))</f>
        <v> </v>
      </c>
      <c r="G4384" s="23" t="str">
        <f>IF(OR(E4384="",E4384="!!!"),"",IF(OR(J4384=0,AND(J4384=1,K4384=1),AND(J4384=1,I4384="SBJ"),AND(J4384=1,I4384=0)),"?IN_FOCUS",IF(J4384&lt;=2,"?ACTIVATED",IF(J4384&lt;&gt;"","?FAMILIAR",IF(F4384="NEW",IF(ISNA(VLOOKUP(E4384,#REF!,1,FALSE())),"?TYPE_IDENTIFIABLE","?REFERENTIAL"),"_")))))</f>
        <v> </v>
      </c>
      <c r="H4384" s="24" t="str">
        <f>IF(J4384&lt;&gt;1,"",IF(I4384="SBJ","CB","?"))</f>
        <v> </v>
      </c>
      <c r="I4384" s="25" t="str">
        <f>IF(OR(E4384="",E4384="!!!",F4384="NEW"),"",INDEX(B4383:B$2,-1+SUMPRODUCT(MAX(ROW(E4383:E$2)*(E4384=E4383:E$2)))))</f>
        <v> </v>
      </c>
      <c r="J4384" s="25" t="str">
        <f>IF(OR(E4384="",E4384="!!!",F4384="NEW"),"",COUNTBLANK(OFFSET(A$1,,,SUMPRODUCT(MAX(ROW(E$2:E4384)*(E4384=E$2:E4384)))))-COUNTBLANK(OFFSET(A$1,,,SUMPRODUCT(MAX(ROW(E$1:E4383)*(E2=E$1:E4383))))))</f>
        <v> </v>
      </c>
      <c r="K4384" s="25" t="str">
        <f>IF(OR(E4384="",E4384="!!!",F4384="NEW"),"",INDEX(J$1:J4383,SUMPRODUCT(MAX(ROW(E$1:E4383)*(E4384=E$1:E4383)))))</f>
        <v> </v>
      </c>
      <c r="L4384" s="26"/>
    </row>
    <row r="4385" spans="1:12">
      <c r="A4385" s="20" t="s">
        <v>1104</v>
      </c>
      <c r="E4385" s="21">
        <f>IF(D4385="?OLD","!!!","")</f>
        <v/>
      </c>
      <c r="F4385" s="22" t="str">
        <f>IF(OR(E4385="",E4385="!!!"),"",IF(NOT(ISNA(VLOOKUP(E4385,E$1:E4384,1,FALSE()))),"OLD",IF(AND(E4385&lt;&gt;"",E4385&lt;&gt;"!!!"),"NEW","")))</f>
        <v> </v>
      </c>
      <c r="G4385" s="23" t="str">
        <f>IF(OR(E4385="",E4385="!!!"),"",IF(OR(J4385=0,AND(J4385=1,K4385=1),AND(J4385=1,I4385="SBJ"),AND(J4385=1,I4385=0)),"?IN_FOCUS",IF(J4385&lt;=2,"?ACTIVATED",IF(J4385&lt;&gt;"","?FAMILIAR",IF(F4385="NEW",IF(ISNA(VLOOKUP(E4385,#REF!,1,FALSE())),"?TYPE_IDENTIFIABLE","?REFERENTIAL"),"_")))))</f>
        <v> </v>
      </c>
      <c r="H4385" s="24" t="str">
        <f>IF(J4385&lt;&gt;1,"",IF(I4385="SBJ","CB","?"))</f>
        <v> </v>
      </c>
      <c r="I4385" s="25" t="str">
        <f>IF(OR(E4385="",E4385="!!!",F4385="NEW"),"",INDEX(B4384:B$2,-1+SUMPRODUCT(MAX(ROW(E4384:E$2)*(E4385=E4384:E$2)))))</f>
        <v> </v>
      </c>
      <c r="J4385" s="25" t="str">
        <f>IF(OR(E4385="",E4385="!!!",F4385="NEW"),"",COUNTBLANK(OFFSET(A$1,,,SUMPRODUCT(MAX(ROW(E$2:E4385)*(E4385=E$2:E4385)))))-COUNTBLANK(OFFSET(A$1,,,SUMPRODUCT(MAX(ROW(E$1:E4384)*(E2=E$1:E4384))))))</f>
        <v> </v>
      </c>
      <c r="K4385" s="25" t="str">
        <f>IF(OR(E4385="",E4385="!!!",F4385="NEW"),"",INDEX(J$1:J4384,SUMPRODUCT(MAX(ROW(E$1:E4384)*(E4385=E$1:E4384)))))</f>
        <v> </v>
      </c>
      <c r="L4385" s="26"/>
    </row>
    <row r="4386" spans="1:12">
      <c r="A4386" s="20" t="s">
        <v>2383</v>
      </c>
      <c r="B4386" s="27" t="s">
        <v>1074</v>
      </c>
      <c r="C4386" s="27" t="s">
        <v>1086</v>
      </c>
      <c r="D4386" s="27" t="s">
        <v>1069</v>
      </c>
      <c r="E4386" s="21">
        <f>IF(D4386="?OLD","!!!","")</f>
        <v/>
      </c>
      <c r="F4386" s="22" t="str">
        <f>IF(OR(E4386="",E4386="!!!"),"",IF(NOT(ISNA(VLOOKUP(E4386,E$1:E4385,1,FALSE()))),"OLD",IF(AND(E4386&lt;&gt;"",E4386&lt;&gt;"!!!"),"NEW","")))</f>
        <v> </v>
      </c>
      <c r="G4386" s="23" t="str">
        <f>IF(OR(E4386="",E4386="!!!"),"",IF(OR(J4386=0,AND(J4386=1,K4386=1),AND(J4386=1,I4386="SBJ"),AND(J4386=1,I4386=0)),"?IN_FOCUS",IF(J4386&lt;=2,"?ACTIVATED",IF(J4386&lt;&gt;"","?FAMILIAR",IF(F4386="NEW",IF(ISNA(VLOOKUP(E4386,#REF!,1,FALSE())),"?TYPE_IDENTIFIABLE","?REFERENTIAL"),"_")))))</f>
        <v> </v>
      </c>
      <c r="H4386" s="24" t="str">
        <f>IF(J4386&lt;&gt;1,"",IF(I4386="SBJ","CB","?"))</f>
        <v> </v>
      </c>
      <c r="I4386" s="25" t="str">
        <f>IF(OR(E4386="",E4386="!!!",F4386="NEW"),"",INDEX(B4385:B$2,-1+SUMPRODUCT(MAX(ROW(E4385:E$2)*(E4386=E4385:E$2)))))</f>
        <v> </v>
      </c>
      <c r="J4386" s="25" t="str">
        <f>IF(OR(E4386="",E4386="!!!",F4386="NEW"),"",COUNTBLANK(OFFSET(A$1,,,SUMPRODUCT(MAX(ROW(E$2:E4386)*(E4386=E$2:E4386)))))-COUNTBLANK(OFFSET(A$1,,,SUMPRODUCT(MAX(ROW(E$1:E4385)*(E2=E$1:E4385))))))</f>
        <v> </v>
      </c>
      <c r="K4386" s="25" t="str">
        <f>IF(OR(E4386="",E4386="!!!",F4386="NEW"),"",INDEX(J$1:J4385,SUMPRODUCT(MAX(ROW(E$1:E4385)*(E4386=E$1:E4385)))))</f>
        <v> </v>
      </c>
      <c r="L4386" s="26"/>
    </row>
    <row r="4387" spans="1:12">
      <c r="A4387" s="20" t="s">
        <v>2384</v>
      </c>
      <c r="E4387" s="21">
        <f>IF(D4387="?OLD","!!!","")</f>
        <v/>
      </c>
      <c r="F4387" s="22" t="str">
        <f>IF(OR(E4387="",E4387="!!!"),"",IF(NOT(ISNA(VLOOKUP(E4387,E$1:E4386,1,FALSE()))),"OLD",IF(AND(E4387&lt;&gt;"",E4387&lt;&gt;"!!!"),"NEW","")))</f>
        <v> </v>
      </c>
      <c r="G4387" s="23" t="str">
        <f>IF(OR(E4387="",E4387="!!!"),"",IF(OR(J4387=0,AND(J4387=1,K4387=1),AND(J4387=1,I4387="SBJ"),AND(J4387=1,I4387=0)),"?IN_FOCUS",IF(J4387&lt;=2,"?ACTIVATED",IF(J4387&lt;&gt;"","?FAMILIAR",IF(F4387="NEW",IF(ISNA(VLOOKUP(E4387,#REF!,1,FALSE())),"?TYPE_IDENTIFIABLE","?REFERENTIAL"),"_")))))</f>
        <v> </v>
      </c>
      <c r="H4387" s="24" t="str">
        <f>IF(J4387&lt;&gt;1,"",IF(I4387="SBJ","CB","?"))</f>
        <v> </v>
      </c>
      <c r="I4387" s="25" t="str">
        <f>IF(OR(E4387="",E4387="!!!",F4387="NEW"),"",INDEX(B4386:B$2,-1+SUMPRODUCT(MAX(ROW(E4386:E$2)*(E4387=E4386:E$2)))))</f>
        <v> </v>
      </c>
      <c r="J4387" s="25" t="str">
        <f>IF(OR(E4387="",E4387="!!!",F4387="NEW"),"",COUNTBLANK(OFFSET(A$1,,,SUMPRODUCT(MAX(ROW(E$2:E4387)*(E4387=E$2:E4387)))))-COUNTBLANK(OFFSET(A$1,,,SUMPRODUCT(MAX(ROW(E$1:E4386)*(E2=E$1:E4386))))))</f>
        <v> </v>
      </c>
      <c r="K4387" s="25" t="str">
        <f>IF(OR(E4387="",E4387="!!!",F4387="NEW"),"",INDEX(J$1:J4386,SUMPRODUCT(MAX(ROW(E$1:E4386)*(E4387=E$1:E4386)))))</f>
        <v> </v>
      </c>
      <c r="L4387" s="26"/>
    </row>
    <row r="4388" spans="1:12">
      <c r="A4388" s="20" t="s">
        <v>1087</v>
      </c>
      <c r="E4388" s="21">
        <f>IF(D4388="?OLD","!!!","")</f>
        <v/>
      </c>
      <c r="F4388" s="22" t="str">
        <f>IF(OR(E4388="",E4388="!!!"),"",IF(NOT(ISNA(VLOOKUP(E4388,E$1:E4387,1,FALSE()))),"OLD",IF(AND(E4388&lt;&gt;"",E4388&lt;&gt;"!!!"),"NEW","")))</f>
        <v> </v>
      </c>
      <c r="G4388" s="23" t="str">
        <f>IF(OR(E4388="",E4388="!!!"),"",IF(OR(J4388=0,AND(J4388=1,K4388=1),AND(J4388=1,I4388="SBJ"),AND(J4388=1,I4388=0)),"?IN_FOCUS",IF(J4388&lt;=2,"?ACTIVATED",IF(J4388&lt;&gt;"","?FAMILIAR",IF(F4388="NEW",IF(ISNA(VLOOKUP(E4388,#REF!,1,FALSE())),"?TYPE_IDENTIFIABLE","?REFERENTIAL"),"_")))))</f>
        <v> </v>
      </c>
      <c r="H4388" s="24" t="str">
        <f>IF(J4388&lt;&gt;1,"",IF(I4388="SBJ","CB","?"))</f>
        <v> </v>
      </c>
      <c r="I4388" s="25" t="str">
        <f>IF(OR(E4388="",E4388="!!!",F4388="NEW"),"",INDEX(B4387:B$2,-1+SUMPRODUCT(MAX(ROW(E4387:E$2)*(E4388=E4387:E$2)))))</f>
        <v> </v>
      </c>
      <c r="J4388" s="25" t="str">
        <f>IF(OR(E4388="",E4388="!!!",F4388="NEW"),"",COUNTBLANK(OFFSET(A$1,,,SUMPRODUCT(MAX(ROW(E$2:E4388)*(E4388=E$2:E4388)))))-COUNTBLANK(OFFSET(A$1,,,SUMPRODUCT(MAX(ROW(E$1:E4387)*(E2=E$1:E4387))))))</f>
        <v> </v>
      </c>
      <c r="K4388" s="25" t="str">
        <f>IF(OR(E4388="",E4388="!!!",F4388="NEW"),"",INDEX(J$1:J4387,SUMPRODUCT(MAX(ROW(E$1:E4387)*(E4388=E$1:E4387)))))</f>
        <v> </v>
      </c>
      <c r="L4388" s="26"/>
    </row>
    <row r="4389" spans="1:12">
      <c r="A4389" s="20" t="s">
        <v>1301</v>
      </c>
      <c r="E4389" s="21">
        <f>IF(D4389="?OLD","!!!","")</f>
        <v/>
      </c>
      <c r="F4389" s="22" t="str">
        <f>IF(OR(E4389="",E4389="!!!"),"",IF(NOT(ISNA(VLOOKUP(E4389,E$1:E4388,1,FALSE()))),"OLD",IF(AND(E4389&lt;&gt;"",E4389&lt;&gt;"!!!"),"NEW","")))</f>
        <v> </v>
      </c>
      <c r="G4389" s="23" t="str">
        <f>IF(OR(E4389="",E4389="!!!"),"",IF(OR(J4389=0,AND(J4389=1,K4389=1),AND(J4389=1,I4389="SBJ"),AND(J4389=1,I4389=0)),"?IN_FOCUS",IF(J4389&lt;=2,"?ACTIVATED",IF(J4389&lt;&gt;"","?FAMILIAR",IF(F4389="NEW",IF(ISNA(VLOOKUP(E4389,#REF!,1,FALSE())),"?TYPE_IDENTIFIABLE","?REFERENTIAL"),"_")))))</f>
        <v> </v>
      </c>
      <c r="H4389" s="24" t="str">
        <f>IF(J4389&lt;&gt;1,"",IF(I4389="SBJ","CB","?"))</f>
        <v> </v>
      </c>
      <c r="I4389" s="25" t="str">
        <f>IF(OR(E4389="",E4389="!!!",F4389="NEW"),"",INDEX(B4388:B$2,-1+SUMPRODUCT(MAX(ROW(E4388:E$2)*(E4389=E4388:E$2)))))</f>
        <v> </v>
      </c>
      <c r="J4389" s="25" t="str">
        <f>IF(OR(E4389="",E4389="!!!",F4389="NEW"),"",COUNTBLANK(OFFSET(A$1,,,SUMPRODUCT(MAX(ROW(E$2:E4389)*(E4389=E$2:E4389)))))-COUNTBLANK(OFFSET(A$1,,,SUMPRODUCT(MAX(ROW(E$1:E4388)*(E2=E$1:E4388))))))</f>
        <v> </v>
      </c>
      <c r="K4389" s="25" t="str">
        <f>IF(OR(E4389="",E4389="!!!",F4389="NEW"),"",INDEX(J$1:J4388,SUMPRODUCT(MAX(ROW(E$1:E4388)*(E4389=E$1:E4388)))))</f>
        <v> </v>
      </c>
      <c r="L4389" s="26"/>
    </row>
    <row r="4390" spans="1:12">
      <c r="A4390" s="20" t="s">
        <v>1104</v>
      </c>
      <c r="B4390" s="27" t="s">
        <v>1095</v>
      </c>
      <c r="C4390" s="27" t="s">
        <v>1129</v>
      </c>
      <c r="D4390" s="27" t="s">
        <v>1069</v>
      </c>
      <c r="E4390" s="21">
        <f>IF(D4390="?OLD","!!!","")</f>
        <v/>
      </c>
      <c r="F4390" s="22" t="str">
        <f>IF(OR(E4390="",E4390="!!!"),"",IF(NOT(ISNA(VLOOKUP(E4390,E$1:E4389,1,FALSE()))),"OLD",IF(AND(E4390&lt;&gt;"",E4390&lt;&gt;"!!!"),"NEW","")))</f>
        <v> </v>
      </c>
      <c r="G4390" s="23" t="str">
        <f>IF(OR(E4390="",E4390="!!!"),"",IF(OR(J4390=0,AND(J4390=1,K4390=1),AND(J4390=1,I4390="SBJ"),AND(J4390=1,I4390=0)),"?IN_FOCUS",IF(J4390&lt;=2,"?ACTIVATED",IF(J4390&lt;&gt;"","?FAMILIAR",IF(F4390="NEW",IF(ISNA(VLOOKUP(E4390,#REF!,1,FALSE())),"?TYPE_IDENTIFIABLE","?REFERENTIAL"),"_")))))</f>
        <v> </v>
      </c>
      <c r="H4390" s="24" t="str">
        <f>IF(J4390&lt;&gt;1,"",IF(I4390="SBJ","CB","?"))</f>
        <v> </v>
      </c>
      <c r="I4390" s="25" t="str">
        <f>IF(OR(E4390="",E4390="!!!",F4390="NEW"),"",INDEX(B4389:B$2,-1+SUMPRODUCT(MAX(ROW(E4389:E$2)*(E4390=E4389:E$2)))))</f>
        <v> </v>
      </c>
      <c r="J4390" s="25" t="str">
        <f>IF(OR(E4390="",E4390="!!!",F4390="NEW"),"",COUNTBLANK(OFFSET(A$1,,,SUMPRODUCT(MAX(ROW(E$2:E4390)*(E4390=E$2:E4390)))))-COUNTBLANK(OFFSET(A$1,,,SUMPRODUCT(MAX(ROW(E$1:E4389)*(E2=E$1:E4389))))))</f>
        <v> </v>
      </c>
      <c r="K4390" s="25" t="str">
        <f>IF(OR(E4390="",E4390="!!!",F4390="NEW"),"",INDEX(J$1:J4389,SUMPRODUCT(MAX(ROW(E$1:E4389)*(E4390=E$1:E4389)))))</f>
        <v> </v>
      </c>
      <c r="L4390" s="26"/>
    </row>
    <row r="4391" spans="1:12">
      <c r="A4391" s="20" t="s">
        <v>1769</v>
      </c>
      <c r="E4391" s="21">
        <f>IF(D4391="?OLD","!!!","")</f>
        <v/>
      </c>
      <c r="F4391" s="22" t="str">
        <f>IF(OR(E4391="",E4391="!!!"),"",IF(NOT(ISNA(VLOOKUP(E4391,E$1:E4390,1,FALSE()))),"OLD",IF(AND(E4391&lt;&gt;"",E4391&lt;&gt;"!!!"),"NEW","")))</f>
        <v> </v>
      </c>
      <c r="G4391" s="23" t="str">
        <f>IF(OR(E4391="",E4391="!!!"),"",IF(OR(J4391=0,AND(J4391=1,K4391=1),AND(J4391=1,I4391="SBJ"),AND(J4391=1,I4391=0)),"?IN_FOCUS",IF(J4391&lt;=2,"?ACTIVATED",IF(J4391&lt;&gt;"","?FAMILIAR",IF(F4391="NEW",IF(ISNA(VLOOKUP(E4391,#REF!,1,FALSE())),"?TYPE_IDENTIFIABLE","?REFERENTIAL"),"_")))))</f>
        <v> </v>
      </c>
      <c r="H4391" s="24" t="str">
        <f>IF(J4391&lt;&gt;1,"",IF(I4391="SBJ","CB","?"))</f>
        <v> </v>
      </c>
      <c r="I4391" s="25" t="str">
        <f>IF(OR(E4391="",E4391="!!!",F4391="NEW"),"",INDEX(B4390:B$2,-1+SUMPRODUCT(MAX(ROW(E4390:E$2)*(E4391=E4390:E$2)))))</f>
        <v> </v>
      </c>
      <c r="J4391" s="25" t="str">
        <f>IF(OR(E4391="",E4391="!!!",F4391="NEW"),"",COUNTBLANK(OFFSET(A$1,,,SUMPRODUCT(MAX(ROW(E$2:E4391)*(E4391=E$2:E4391)))))-COUNTBLANK(OFFSET(A$1,,,SUMPRODUCT(MAX(ROW(E$1:E4390)*(E2=E$1:E4390))))))</f>
        <v> </v>
      </c>
      <c r="K4391" s="25" t="str">
        <f>IF(OR(E4391="",E4391="!!!",F4391="NEW"),"",INDEX(J$1:J4390,SUMPRODUCT(MAX(ROW(E$1:E4390)*(E4391=E$1:E4390)))))</f>
        <v> </v>
      </c>
      <c r="L4391" s="26"/>
    </row>
    <row r="4392" spans="1:12">
      <c r="A4392" s="20" t="s">
        <v>1167</v>
      </c>
      <c r="B4392" s="27" t="s">
        <v>1090</v>
      </c>
      <c r="C4392" s="27" t="s">
        <v>1068</v>
      </c>
      <c r="D4392" s="27" t="s">
        <v>1069</v>
      </c>
      <c r="E4392" s="21">
        <f>IF(D4392="?OLD","!!!","")</f>
        <v/>
      </c>
      <c r="F4392" s="22" t="str">
        <f>IF(OR(E4392="",E4392="!!!"),"",IF(NOT(ISNA(VLOOKUP(E4392,E$1:E4391,1,FALSE()))),"OLD",IF(AND(E4392&lt;&gt;"",E4392&lt;&gt;"!!!"),"NEW","")))</f>
        <v> </v>
      </c>
      <c r="G4392" s="23" t="str">
        <f>IF(OR(E4392="",E4392="!!!"),"",IF(OR(J4392=0,AND(J4392=1,K4392=1),AND(J4392=1,I4392="SBJ"),AND(J4392=1,I4392=0)),"?IN_FOCUS",IF(J4392&lt;=2,"?ACTIVATED",IF(J4392&lt;&gt;"","?FAMILIAR",IF(F4392="NEW",IF(ISNA(VLOOKUP(E4392,#REF!,1,FALSE())),"?TYPE_IDENTIFIABLE","?REFERENTIAL"),"_")))))</f>
        <v> </v>
      </c>
      <c r="H4392" s="24" t="str">
        <f>IF(J4392&lt;&gt;1,"",IF(I4392="SBJ","CB","?"))</f>
        <v> </v>
      </c>
      <c r="I4392" s="25" t="str">
        <f>IF(OR(E4392="",E4392="!!!",F4392="NEW"),"",INDEX(B4391:B$2,-1+SUMPRODUCT(MAX(ROW(E4391:E$2)*(E4392=E4391:E$2)))))</f>
        <v> </v>
      </c>
      <c r="J4392" s="25" t="str">
        <f>IF(OR(E4392="",E4392="!!!",F4392="NEW"),"",COUNTBLANK(OFFSET(A$1,,,SUMPRODUCT(MAX(ROW(E$2:E4392)*(E4392=E$2:E4392)))))-COUNTBLANK(OFFSET(A$1,,,SUMPRODUCT(MAX(ROW(E$1:E4391)*(E2=E$1:E4391))))))</f>
        <v> </v>
      </c>
      <c r="K4392" s="25" t="str">
        <f>IF(OR(E4392="",E4392="!!!",F4392="NEW"),"",INDEX(J$1:J4391,SUMPRODUCT(MAX(ROW(E$1:E4391)*(E4392=E$1:E4391)))))</f>
        <v> </v>
      </c>
      <c r="L4392" s="26"/>
    </row>
    <row r="4393" spans="1:12">
      <c r="A4393" s="20" t="s">
        <v>2037</v>
      </c>
      <c r="E4393" s="21">
        <f>IF(D4393="?OLD","!!!","")</f>
        <v/>
      </c>
      <c r="F4393" s="22" t="str">
        <f>IF(OR(E4393="",E4393="!!!"),"",IF(NOT(ISNA(VLOOKUP(E4393,E$1:E4392,1,FALSE()))),"OLD",IF(AND(E4393&lt;&gt;"",E4393&lt;&gt;"!!!"),"NEW","")))</f>
        <v> </v>
      </c>
      <c r="G4393" s="23" t="str">
        <f>IF(OR(E4393="",E4393="!!!"),"",IF(OR(J4393=0,AND(J4393=1,K4393=1),AND(J4393=1,I4393="SBJ"),AND(J4393=1,I4393=0)),"?IN_FOCUS",IF(J4393&lt;=2,"?ACTIVATED",IF(J4393&lt;&gt;"","?FAMILIAR",IF(F4393="NEW",IF(ISNA(VLOOKUP(E4393,#REF!,1,FALSE())),"?TYPE_IDENTIFIABLE","?REFERENTIAL"),"_")))))</f>
        <v> </v>
      </c>
      <c r="H4393" s="24" t="str">
        <f>IF(J4393&lt;&gt;1,"",IF(I4393="SBJ","CB","?"))</f>
        <v> </v>
      </c>
      <c r="I4393" s="25" t="str">
        <f>IF(OR(E4393="",E4393="!!!",F4393="NEW"),"",INDEX(B4392:B$2,-1+SUMPRODUCT(MAX(ROW(E4392:E$2)*(E4393=E4392:E$2)))))</f>
        <v> </v>
      </c>
      <c r="J4393" s="25" t="str">
        <f>IF(OR(E4393="",E4393="!!!",F4393="NEW"),"",COUNTBLANK(OFFSET(A$1,,,SUMPRODUCT(MAX(ROW(E$2:E4393)*(E4393=E$2:E4393)))))-COUNTBLANK(OFFSET(A$1,,,SUMPRODUCT(MAX(ROW(E$1:E4392)*(E2=E$1:E4392))))))</f>
        <v> </v>
      </c>
      <c r="K4393" s="25" t="str">
        <f>IF(OR(E4393="",E4393="!!!",F4393="NEW"),"",INDEX(J$1:J4392,SUMPRODUCT(MAX(ROW(E$1:E4392)*(E4393=E$1:E4392)))))</f>
        <v> </v>
      </c>
      <c r="L4393" s="26"/>
    </row>
    <row r="4394" spans="1:12">
      <c r="A4394" s="20" t="s">
        <v>1165</v>
      </c>
      <c r="E4394" s="21">
        <f>IF(D4394="?OLD","!!!","")</f>
        <v/>
      </c>
      <c r="F4394" s="22" t="str">
        <f>IF(OR(E4394="",E4394="!!!"),"",IF(NOT(ISNA(VLOOKUP(E4394,E$1:E4393,1,FALSE()))),"OLD",IF(AND(E4394&lt;&gt;"",E4394&lt;&gt;"!!!"),"NEW","")))</f>
        <v> </v>
      </c>
      <c r="G4394" s="23" t="str">
        <f>IF(OR(E4394="",E4394="!!!"),"",IF(OR(J4394=0,AND(J4394=1,K4394=1),AND(J4394=1,I4394="SBJ"),AND(J4394=1,I4394=0)),"?IN_FOCUS",IF(J4394&lt;=2,"?ACTIVATED",IF(J4394&lt;&gt;"","?FAMILIAR",IF(F4394="NEW",IF(ISNA(VLOOKUP(E4394,#REF!,1,FALSE())),"?TYPE_IDENTIFIABLE","?REFERENTIAL"),"_")))))</f>
        <v> </v>
      </c>
      <c r="H4394" s="24" t="str">
        <f>IF(J4394&lt;&gt;1,"",IF(I4394="SBJ","CB","?"))</f>
        <v> </v>
      </c>
      <c r="I4394" s="25" t="str">
        <f>IF(OR(E4394="",E4394="!!!",F4394="NEW"),"",INDEX(B4393:B$2,-1+SUMPRODUCT(MAX(ROW(E4393:E$2)*(E4394=E4393:E$2)))))</f>
        <v> </v>
      </c>
      <c r="J4394" s="25" t="str">
        <f>IF(OR(E4394="",E4394="!!!",F4394="NEW"),"",COUNTBLANK(OFFSET(A$1,,,SUMPRODUCT(MAX(ROW(E$2:E4394)*(E4394=E$2:E4394)))))-COUNTBLANK(OFFSET(A$1,,,SUMPRODUCT(MAX(ROW(E$1:E4393)*(E2=E$1:E4393))))))</f>
        <v> </v>
      </c>
      <c r="K4394" s="25" t="str">
        <f>IF(OR(E4394="",E4394="!!!",F4394="NEW"),"",INDEX(J$1:J4393,SUMPRODUCT(MAX(ROW(E$1:E4393)*(E4394=E$1:E4393)))))</f>
        <v> </v>
      </c>
      <c r="L4394" s="26"/>
    </row>
    <row r="4395" spans="1:12">
      <c r="A4395" s="20" t="s">
        <v>1159</v>
      </c>
      <c r="E4395" s="21">
        <f>IF(D4395="?OLD","!!!","")</f>
        <v/>
      </c>
      <c r="F4395" s="22" t="str">
        <f>IF(OR(E4395="",E4395="!!!"),"",IF(NOT(ISNA(VLOOKUP(E4395,E$1:E4394,1,FALSE()))),"OLD",IF(AND(E4395&lt;&gt;"",E4395&lt;&gt;"!!!"),"NEW","")))</f>
        <v> </v>
      </c>
      <c r="G4395" s="23" t="str">
        <f>IF(OR(E4395="",E4395="!!!"),"",IF(OR(J4395=0,AND(J4395=1,K4395=1),AND(J4395=1,I4395="SBJ"),AND(J4395=1,I4395=0)),"?IN_FOCUS",IF(J4395&lt;=2,"?ACTIVATED",IF(J4395&lt;&gt;"","?FAMILIAR",IF(F4395="NEW",IF(ISNA(VLOOKUP(E4395,#REF!,1,FALSE())),"?TYPE_IDENTIFIABLE","?REFERENTIAL"),"_")))))</f>
        <v> </v>
      </c>
      <c r="H4395" s="24" t="str">
        <f>IF(J4395&lt;&gt;1,"",IF(I4395="SBJ","CB","?"))</f>
        <v> </v>
      </c>
      <c r="I4395" s="25" t="str">
        <f>IF(OR(E4395="",E4395="!!!",F4395="NEW"),"",INDEX(B4394:B$2,-1+SUMPRODUCT(MAX(ROW(E4394:E$2)*(E4395=E4394:E$2)))))</f>
        <v> </v>
      </c>
      <c r="J4395" s="25" t="str">
        <f>IF(OR(E4395="",E4395="!!!",F4395="NEW"),"",COUNTBLANK(OFFSET(A$1,,,SUMPRODUCT(MAX(ROW(E$2:E4395)*(E4395=E$2:E4395)))))-COUNTBLANK(OFFSET(A$1,,,SUMPRODUCT(MAX(ROW(E$1:E4394)*(E2=E$1:E4394))))))</f>
        <v> </v>
      </c>
      <c r="K4395" s="25" t="str">
        <f>IF(OR(E4395="",E4395="!!!",F4395="NEW"),"",INDEX(J$1:J4394,SUMPRODUCT(MAX(ROW(E$1:E4394)*(E4395=E$1:E4394)))))</f>
        <v> </v>
      </c>
      <c r="L4395" s="26"/>
    </row>
    <row r="4396" spans="1:12">
      <c r="A4396" s="20" t="s">
        <v>1137</v>
      </c>
      <c r="E4396" s="21">
        <f>IF(D4396="?OLD","!!!","")</f>
        <v/>
      </c>
      <c r="F4396" s="22" t="str">
        <f>IF(OR(E4396="",E4396="!!!"),"",IF(NOT(ISNA(VLOOKUP(E4396,E$1:E4395,1,FALSE()))),"OLD",IF(AND(E4396&lt;&gt;"",E4396&lt;&gt;"!!!"),"NEW","")))</f>
        <v> </v>
      </c>
      <c r="G4396" s="23" t="str">
        <f>IF(OR(E4396="",E4396="!!!"),"",IF(OR(J4396=0,AND(J4396=1,K4396=1),AND(J4396=1,I4396="SBJ"),AND(J4396=1,I4396=0)),"?IN_FOCUS",IF(J4396&lt;=2,"?ACTIVATED",IF(J4396&lt;&gt;"","?FAMILIAR",IF(F4396="NEW",IF(ISNA(VLOOKUP(E4396,#REF!,1,FALSE())),"?TYPE_IDENTIFIABLE","?REFERENTIAL"),"_")))))</f>
        <v> </v>
      </c>
      <c r="H4396" s="24" t="str">
        <f>IF(J4396&lt;&gt;1,"",IF(I4396="SBJ","CB","?"))</f>
        <v> </v>
      </c>
      <c r="I4396" s="25" t="str">
        <f>IF(OR(E4396="",E4396="!!!",F4396="NEW"),"",INDEX(B4395:B$2,-1+SUMPRODUCT(MAX(ROW(E4395:E$2)*(E4396=E4395:E$2)))))</f>
        <v> </v>
      </c>
      <c r="J4396" s="25" t="str">
        <f>IF(OR(E4396="",E4396="!!!",F4396="NEW"),"",COUNTBLANK(OFFSET(A$1,,,SUMPRODUCT(MAX(ROW(E$2:E4396)*(E4396=E$2:E4396)))))-COUNTBLANK(OFFSET(A$1,,,SUMPRODUCT(MAX(ROW(E$1:E4395)*(E2=E$1:E4395))))))</f>
        <v> </v>
      </c>
      <c r="K4396" s="25" t="str">
        <f>IF(OR(E4396="",E4396="!!!",F4396="NEW"),"",INDEX(J$1:J4395,SUMPRODUCT(MAX(ROW(E$1:E4395)*(E4396=E$1:E4395)))))</f>
        <v> </v>
      </c>
      <c r="L4396" s="26"/>
    </row>
    <row r="4397" spans="1:12">
      <c r="A4397" s="20" t="s">
        <v>1080</v>
      </c>
      <c r="E4397" s="21">
        <f>IF(D4397="?OLD","!!!","")</f>
        <v/>
      </c>
      <c r="F4397" s="22" t="str">
        <f>IF(OR(E4397="",E4397="!!!"),"",IF(NOT(ISNA(VLOOKUP(E4397,E$1:E4396,1,FALSE()))),"OLD",IF(AND(E4397&lt;&gt;"",E4397&lt;&gt;"!!!"),"NEW","")))</f>
        <v> </v>
      </c>
      <c r="G4397" s="23" t="str">
        <f>IF(OR(E4397="",E4397="!!!"),"",IF(OR(J4397=0,AND(J4397=1,K4397=1),AND(J4397=1,I4397="SBJ"),AND(J4397=1,I4397=0)),"?IN_FOCUS",IF(J4397&lt;=2,"?ACTIVATED",IF(J4397&lt;&gt;"","?FAMILIAR",IF(F4397="NEW",IF(ISNA(VLOOKUP(E4397,#REF!,1,FALSE())),"?TYPE_IDENTIFIABLE","?REFERENTIAL"),"_")))))</f>
        <v> </v>
      </c>
      <c r="H4397" s="24" t="str">
        <f>IF(J4397&lt;&gt;1,"",IF(I4397="SBJ","CB","?"))</f>
        <v> </v>
      </c>
      <c r="I4397" s="25" t="str">
        <f>IF(OR(E4397="",E4397="!!!",F4397="NEW"),"",INDEX(B4396:B$2,-1+SUMPRODUCT(MAX(ROW(E4396:E$2)*(E4397=E4396:E$2)))))</f>
        <v> </v>
      </c>
      <c r="J4397" s="25" t="str">
        <f>IF(OR(E4397="",E4397="!!!",F4397="NEW"),"",COUNTBLANK(OFFSET(A$1,,,SUMPRODUCT(MAX(ROW(E$2:E4397)*(E4397=E$2:E4397)))))-COUNTBLANK(OFFSET(A$1,,,SUMPRODUCT(MAX(ROW(E$1:E4396)*(E2=E$1:E4396))))))</f>
        <v> </v>
      </c>
      <c r="K4397" s="25" t="str">
        <f>IF(OR(E4397="",E4397="!!!",F4397="NEW"),"",INDEX(J$1:J4396,SUMPRODUCT(MAX(ROW(E$1:E4396)*(E4397=E$1:E4396)))))</f>
        <v> </v>
      </c>
      <c r="L4397" s="26"/>
    </row>
    <row r="4398" spans="1:12">
      <c r="A4398" s="20"/>
    </row>
    <row r="4399" spans="1:12">
      <c r="A4399" s="20" t="s">
        <v>2385</v>
      </c>
    </row>
    <row r="4400" spans="1:12">
      <c r="A4400" s="20" t="s">
        <v>1375</v>
      </c>
      <c r="E4400" s="21">
        <f>IF(D4400="?OLD","!!!","")</f>
        <v/>
      </c>
      <c r="F4400" s="22" t="str">
        <f>IF(OR(E4400="",E4400="!!!"),"",IF(NOT(ISNA(VLOOKUP(E4400,E$1:E4399,1,FALSE()))),"OLD",IF(AND(E4400&lt;&gt;"",E4400&lt;&gt;"!!!"),"NEW","")))</f>
        <v> </v>
      </c>
      <c r="G4400" s="23" t="str">
        <f>IF(OR(E4400="",E4400="!!!"),"",IF(OR(J4400=0,AND(J4400=1,K4400=1),AND(J4400=1,I4400="SBJ"),AND(J4400=1,I4400=0)),"?IN_FOCUS",IF(J4400&lt;=2,"?ACTIVATED",IF(J4400&lt;&gt;"","?FAMILIAR",IF(F4400="NEW",IF(ISNA(VLOOKUP(E4400,#REF!,1,FALSE())),"?TYPE_IDENTIFIABLE","?REFERENTIAL"),"_")))))</f>
        <v> </v>
      </c>
      <c r="H4400" s="24" t="str">
        <f>IF(J4400&lt;&gt;1,"",IF(I4400="SBJ","CB","?"))</f>
        <v> </v>
      </c>
      <c r="I4400" s="25" t="str">
        <f>IF(OR(E4400="",E4400="!!!",F4400="NEW"),"",INDEX(B4399:B$2,-1+SUMPRODUCT(MAX(ROW(E4399:E$2)*(E4400=E4399:E$2)))))</f>
        <v> </v>
      </c>
      <c r="J4400" s="25" t="str">
        <f>IF(OR(E4400="",E4400="!!!",F4400="NEW"),"",COUNTBLANK(OFFSET(A$1,,,SUMPRODUCT(MAX(ROW(E$2:E4400)*(E4400=E$2:E4400)))))-COUNTBLANK(OFFSET(A$1,,,SUMPRODUCT(MAX(ROW(E$1:E4399)*(E2=E$1:E4399))))))</f>
        <v> </v>
      </c>
      <c r="K4400" s="25" t="str">
        <f>IF(OR(E4400="",E4400="!!!",F4400="NEW"),"",INDEX(J$1:J4399,SUMPRODUCT(MAX(ROW(E$1:E4399)*(E4400=E$1:E4399)))))</f>
        <v> </v>
      </c>
      <c r="L4400" s="26"/>
    </row>
    <row r="4401" spans="1:12">
      <c r="A4401" s="20" t="s">
        <v>1143</v>
      </c>
      <c r="E4401" s="21">
        <f>IF(D4401="?OLD","!!!","")</f>
        <v/>
      </c>
      <c r="F4401" s="22" t="str">
        <f>IF(OR(E4401="",E4401="!!!"),"",IF(NOT(ISNA(VLOOKUP(E4401,E$1:E4400,1,FALSE()))),"OLD",IF(AND(E4401&lt;&gt;"",E4401&lt;&gt;"!!!"),"NEW","")))</f>
        <v> </v>
      </c>
      <c r="G4401" s="23" t="str">
        <f>IF(OR(E4401="",E4401="!!!"),"",IF(OR(J4401=0,AND(J4401=1,K4401=1),AND(J4401=1,I4401="SBJ"),AND(J4401=1,I4401=0)),"?IN_FOCUS",IF(J4401&lt;=2,"?ACTIVATED",IF(J4401&lt;&gt;"","?FAMILIAR",IF(F4401="NEW",IF(ISNA(VLOOKUP(E4401,#REF!,1,FALSE())),"?TYPE_IDENTIFIABLE","?REFERENTIAL"),"_")))))</f>
        <v> </v>
      </c>
      <c r="H4401" s="24" t="str">
        <f>IF(J4401&lt;&gt;1,"",IF(I4401="SBJ","CB","?"))</f>
        <v> </v>
      </c>
      <c r="I4401" s="25" t="str">
        <f>IF(OR(E4401="",E4401="!!!",F4401="NEW"),"",INDEX(B4400:B$2,-1+SUMPRODUCT(MAX(ROW(E4400:E$2)*(E4401=E4400:E$2)))))</f>
        <v> </v>
      </c>
      <c r="J4401" s="25" t="str">
        <f>IF(OR(E4401="",E4401="!!!",F4401="NEW"),"",COUNTBLANK(OFFSET(A$1,,,SUMPRODUCT(MAX(ROW(E$2:E4401)*(E4401=E$2:E4401)))))-COUNTBLANK(OFFSET(A$1,,,SUMPRODUCT(MAX(ROW(E$1:E4400)*(E2=E$1:E4400))))))</f>
        <v> </v>
      </c>
      <c r="K4401" s="25" t="str">
        <f>IF(OR(E4401="",E4401="!!!",F4401="NEW"),"",INDEX(J$1:J4400,SUMPRODUCT(MAX(ROW(E$1:E4400)*(E4401=E$1:E4400)))))</f>
        <v> </v>
      </c>
      <c r="L4401" s="26"/>
    </row>
    <row r="4402" spans="1:12">
      <c r="A4402" s="20" t="s">
        <v>1935</v>
      </c>
      <c r="E4402" s="21">
        <f>IF(D4402="?OLD","!!!","")</f>
        <v/>
      </c>
      <c r="F4402" s="22" t="str">
        <f>IF(OR(E4402="",E4402="!!!"),"",IF(NOT(ISNA(VLOOKUP(E4402,E$1:E4401,1,FALSE()))),"OLD",IF(AND(E4402&lt;&gt;"",E4402&lt;&gt;"!!!"),"NEW","")))</f>
        <v> </v>
      </c>
      <c r="G4402" s="23" t="str">
        <f>IF(OR(E4402="",E4402="!!!"),"",IF(OR(J4402=0,AND(J4402=1,K4402=1),AND(J4402=1,I4402="SBJ"),AND(J4402=1,I4402=0)),"?IN_FOCUS",IF(J4402&lt;=2,"?ACTIVATED",IF(J4402&lt;&gt;"","?FAMILIAR",IF(F4402="NEW",IF(ISNA(VLOOKUP(E4402,#REF!,1,FALSE())),"?TYPE_IDENTIFIABLE","?REFERENTIAL"),"_")))))</f>
        <v> </v>
      </c>
      <c r="H4402" s="24" t="str">
        <f>IF(J4402&lt;&gt;1,"",IF(I4402="SBJ","CB","?"))</f>
        <v> </v>
      </c>
      <c r="I4402" s="25" t="str">
        <f>IF(OR(E4402="",E4402="!!!",F4402="NEW"),"",INDEX(B4401:B$2,-1+SUMPRODUCT(MAX(ROW(E4401:E$2)*(E4402=E4401:E$2)))))</f>
        <v> </v>
      </c>
      <c r="J4402" s="25" t="str">
        <f>IF(OR(E4402="",E4402="!!!",F4402="NEW"),"",COUNTBLANK(OFFSET(A$1,,,SUMPRODUCT(MAX(ROW(E$2:E4402)*(E4402=E$2:E4402)))))-COUNTBLANK(OFFSET(A$1,,,SUMPRODUCT(MAX(ROW(E$1:E4401)*(E2=E$1:E4401))))))</f>
        <v> </v>
      </c>
      <c r="K4402" s="25" t="str">
        <f>IF(OR(E4402="",E4402="!!!",F4402="NEW"),"",INDEX(J$1:J4401,SUMPRODUCT(MAX(ROW(E$1:E4401)*(E4402=E$1:E4401)))))</f>
        <v> </v>
      </c>
      <c r="L4402" s="26"/>
    </row>
    <row r="4403" spans="1:12">
      <c r="A4403" s="20" t="s">
        <v>2386</v>
      </c>
      <c r="B4403" s="27" t="s">
        <v>1074</v>
      </c>
      <c r="C4403" s="27" t="s">
        <v>1086</v>
      </c>
      <c r="D4403" s="27" t="s">
        <v>1069</v>
      </c>
      <c r="E4403" s="21">
        <f>IF(D4403="?OLD","!!!","")</f>
        <v/>
      </c>
      <c r="F4403" s="22" t="str">
        <f>IF(OR(E4403="",E4403="!!!"),"",IF(NOT(ISNA(VLOOKUP(E4403,E$1:E4402,1,FALSE()))),"OLD",IF(AND(E4403&lt;&gt;"",E4403&lt;&gt;"!!!"),"NEW","")))</f>
        <v> </v>
      </c>
      <c r="G4403" s="23" t="str">
        <f>IF(OR(E4403="",E4403="!!!"),"",IF(OR(J4403=0,AND(J4403=1,K4403=1),AND(J4403=1,I4403="SBJ"),AND(J4403=1,I4403=0)),"?IN_FOCUS",IF(J4403&lt;=2,"?ACTIVATED",IF(J4403&lt;&gt;"","?FAMILIAR",IF(F4403="NEW",IF(ISNA(VLOOKUP(E4403,#REF!,1,FALSE())),"?TYPE_IDENTIFIABLE","?REFERENTIAL"),"_")))))</f>
        <v> </v>
      </c>
      <c r="H4403" s="24" t="str">
        <f>IF(J4403&lt;&gt;1,"",IF(I4403="SBJ","CB","?"))</f>
        <v> </v>
      </c>
      <c r="I4403" s="25" t="str">
        <f>IF(OR(E4403="",E4403="!!!",F4403="NEW"),"",INDEX(B4402:B$2,-1+SUMPRODUCT(MAX(ROW(E4402:E$2)*(E4403=E4402:E$2)))))</f>
        <v> </v>
      </c>
      <c r="J4403" s="25" t="str">
        <f>IF(OR(E4403="",E4403="!!!",F4403="NEW"),"",COUNTBLANK(OFFSET(A$1,,,SUMPRODUCT(MAX(ROW(E$2:E4403)*(E4403=E$2:E4403)))))-COUNTBLANK(OFFSET(A$1,,,SUMPRODUCT(MAX(ROW(E$1:E4402)*(E2=E$1:E4402))))))</f>
        <v> </v>
      </c>
      <c r="K4403" s="25" t="str">
        <f>IF(OR(E4403="",E4403="!!!",F4403="NEW"),"",INDEX(J$1:J4402,SUMPRODUCT(MAX(ROW(E$1:E4402)*(E4403=E$1:E4402)))))</f>
        <v> </v>
      </c>
      <c r="L4403" s="26"/>
    </row>
    <row r="4404" spans="1:12">
      <c r="A4404" s="20" t="s">
        <v>1299</v>
      </c>
      <c r="E4404" s="21">
        <f>IF(D4404="?OLD","!!!","")</f>
        <v/>
      </c>
      <c r="F4404" s="22" t="str">
        <f>IF(OR(E4404="",E4404="!!!"),"",IF(NOT(ISNA(VLOOKUP(E4404,E$1:E4403,1,FALSE()))),"OLD",IF(AND(E4404&lt;&gt;"",E4404&lt;&gt;"!!!"),"NEW","")))</f>
        <v> </v>
      </c>
      <c r="G4404" s="23" t="str">
        <f>IF(OR(E4404="",E4404="!!!"),"",IF(OR(J4404=0,AND(J4404=1,K4404=1),AND(J4404=1,I4404="SBJ"),AND(J4404=1,I4404=0)),"?IN_FOCUS",IF(J4404&lt;=2,"?ACTIVATED",IF(J4404&lt;&gt;"","?FAMILIAR",IF(F4404="NEW",IF(ISNA(VLOOKUP(E4404,#REF!,1,FALSE())),"?TYPE_IDENTIFIABLE","?REFERENTIAL"),"_")))))</f>
        <v> </v>
      </c>
      <c r="H4404" s="24" t="str">
        <f>IF(J4404&lt;&gt;1,"",IF(I4404="SBJ","CB","?"))</f>
        <v> </v>
      </c>
      <c r="I4404" s="25" t="str">
        <f>IF(OR(E4404="",E4404="!!!",F4404="NEW"),"",INDEX(B4403:B$2,-1+SUMPRODUCT(MAX(ROW(E4403:E$2)*(E4404=E4403:E$2)))))</f>
        <v> </v>
      </c>
      <c r="J4404" s="25" t="str">
        <f>IF(OR(E4404="",E4404="!!!",F4404="NEW"),"",COUNTBLANK(OFFSET(A$1,,,SUMPRODUCT(MAX(ROW(E$2:E4404)*(E4404=E$2:E4404)))))-COUNTBLANK(OFFSET(A$1,,,SUMPRODUCT(MAX(ROW(E$1:E4403)*(E2=E$1:E4403))))))</f>
        <v> </v>
      </c>
      <c r="K4404" s="25" t="str">
        <f>IF(OR(E4404="",E4404="!!!",F4404="NEW"),"",INDEX(J$1:J4403,SUMPRODUCT(MAX(ROW(E$1:E4403)*(E4404=E$1:E4403)))))</f>
        <v> </v>
      </c>
      <c r="L4404" s="26"/>
    </row>
    <row r="4405" spans="1:12">
      <c r="A4405" s="20" t="s">
        <v>1167</v>
      </c>
      <c r="E4405" s="21">
        <f>IF(D4405="?OLD","!!!","")</f>
        <v/>
      </c>
      <c r="F4405" s="22" t="str">
        <f>IF(OR(E4405="",E4405="!!!"),"",IF(NOT(ISNA(VLOOKUP(E4405,E$1:E4404,1,FALSE()))),"OLD",IF(AND(E4405&lt;&gt;"",E4405&lt;&gt;"!!!"),"NEW","")))</f>
        <v> </v>
      </c>
      <c r="G4405" s="23" t="str">
        <f>IF(OR(E4405="",E4405="!!!"),"",IF(OR(J4405=0,AND(J4405=1,K4405=1),AND(J4405=1,I4405="SBJ"),AND(J4405=1,I4405=0)),"?IN_FOCUS",IF(J4405&lt;=2,"?ACTIVATED",IF(J4405&lt;&gt;"","?FAMILIAR",IF(F4405="NEW",IF(ISNA(VLOOKUP(E4405,#REF!,1,FALSE())),"?TYPE_IDENTIFIABLE","?REFERENTIAL"),"_")))))</f>
        <v> </v>
      </c>
      <c r="H4405" s="24" t="str">
        <f>IF(J4405&lt;&gt;1,"",IF(I4405="SBJ","CB","?"))</f>
        <v> </v>
      </c>
      <c r="I4405" s="25" t="str">
        <f>IF(OR(E4405="",E4405="!!!",F4405="NEW"),"",INDEX(B4404:B$2,-1+SUMPRODUCT(MAX(ROW(E4404:E$2)*(E4405=E4404:E$2)))))</f>
        <v> </v>
      </c>
      <c r="J4405" s="25" t="str">
        <f>IF(OR(E4405="",E4405="!!!",F4405="NEW"),"",COUNTBLANK(OFFSET(A$1,,,SUMPRODUCT(MAX(ROW(E$2:E4405)*(E4405=E$2:E4405)))))-COUNTBLANK(OFFSET(A$1,,,SUMPRODUCT(MAX(ROW(E$1:E4404)*(E2=E$1:E4404))))))</f>
        <v> </v>
      </c>
      <c r="K4405" s="25" t="str">
        <f>IF(OR(E4405="",E4405="!!!",F4405="NEW"),"",INDEX(J$1:J4404,SUMPRODUCT(MAX(ROW(E$1:E4404)*(E4405=E$1:E4404)))))</f>
        <v> </v>
      </c>
      <c r="L4405" s="26"/>
    </row>
    <row r="4406" spans="1:12">
      <c r="A4406" s="20" t="s">
        <v>1502</v>
      </c>
      <c r="E4406" s="21">
        <f>IF(D4406="?OLD","!!!","")</f>
        <v/>
      </c>
      <c r="F4406" s="22" t="str">
        <f>IF(OR(E4406="",E4406="!!!"),"",IF(NOT(ISNA(VLOOKUP(E4406,E$1:E4405,1,FALSE()))),"OLD",IF(AND(E4406&lt;&gt;"",E4406&lt;&gt;"!!!"),"NEW","")))</f>
        <v> </v>
      </c>
      <c r="G4406" s="23" t="str">
        <f>IF(OR(E4406="",E4406="!!!"),"",IF(OR(J4406=0,AND(J4406=1,K4406=1),AND(J4406=1,I4406="SBJ"),AND(J4406=1,I4406=0)),"?IN_FOCUS",IF(J4406&lt;=2,"?ACTIVATED",IF(J4406&lt;&gt;"","?FAMILIAR",IF(F4406="NEW",IF(ISNA(VLOOKUP(E4406,#REF!,1,FALSE())),"?TYPE_IDENTIFIABLE","?REFERENTIAL"),"_")))))</f>
        <v> </v>
      </c>
      <c r="H4406" s="24" t="str">
        <f>IF(J4406&lt;&gt;1,"",IF(I4406="SBJ","CB","?"))</f>
        <v> </v>
      </c>
      <c r="I4406" s="25" t="str">
        <f>IF(OR(E4406="",E4406="!!!",F4406="NEW"),"",INDEX(B4405:B$2,-1+SUMPRODUCT(MAX(ROW(E4405:E$2)*(E4406=E4405:E$2)))))</f>
        <v> </v>
      </c>
      <c r="J4406" s="25" t="str">
        <f>IF(OR(E4406="",E4406="!!!",F4406="NEW"),"",COUNTBLANK(OFFSET(A$1,,,SUMPRODUCT(MAX(ROW(E$2:E4406)*(E4406=E$2:E4406)))))-COUNTBLANK(OFFSET(A$1,,,SUMPRODUCT(MAX(ROW(E$1:E4405)*(E2=E$1:E4405))))))</f>
        <v> </v>
      </c>
      <c r="K4406" s="25" t="str">
        <f>IF(OR(E4406="",E4406="!!!",F4406="NEW"),"",INDEX(J$1:J4405,SUMPRODUCT(MAX(ROW(E$1:E4405)*(E4406=E$1:E4405)))))</f>
        <v> </v>
      </c>
      <c r="L4406" s="26"/>
    </row>
    <row r="4407" spans="1:12">
      <c r="A4407" s="20" t="s">
        <v>2387</v>
      </c>
      <c r="E4407" s="21">
        <f>IF(D4407="?OLD","!!!","")</f>
        <v/>
      </c>
      <c r="F4407" s="22" t="str">
        <f>IF(OR(E4407="",E4407="!!!"),"",IF(NOT(ISNA(VLOOKUP(E4407,E$1:E4406,1,FALSE()))),"OLD",IF(AND(E4407&lt;&gt;"",E4407&lt;&gt;"!!!"),"NEW","")))</f>
        <v> </v>
      </c>
      <c r="G4407" s="23" t="str">
        <f>IF(OR(E4407="",E4407="!!!"),"",IF(OR(J4407=0,AND(J4407=1,K4407=1),AND(J4407=1,I4407="SBJ"),AND(J4407=1,I4407=0)),"?IN_FOCUS",IF(J4407&lt;=2,"?ACTIVATED",IF(J4407&lt;&gt;"","?FAMILIAR",IF(F4407="NEW",IF(ISNA(VLOOKUP(E4407,#REF!,1,FALSE())),"?TYPE_IDENTIFIABLE","?REFERENTIAL"),"_")))))</f>
        <v> </v>
      </c>
      <c r="H4407" s="24" t="str">
        <f>IF(J4407&lt;&gt;1,"",IF(I4407="SBJ","CB","?"))</f>
        <v> </v>
      </c>
      <c r="I4407" s="25" t="str">
        <f>IF(OR(E4407="",E4407="!!!",F4407="NEW"),"",INDEX(B4406:B$2,-1+SUMPRODUCT(MAX(ROW(E4406:E$2)*(E4407=E4406:E$2)))))</f>
        <v> </v>
      </c>
      <c r="J4407" s="25" t="str">
        <f>IF(OR(E4407="",E4407="!!!",F4407="NEW"),"",COUNTBLANK(OFFSET(A$1,,,SUMPRODUCT(MAX(ROW(E$2:E4407)*(E4407=E$2:E4407)))))-COUNTBLANK(OFFSET(A$1,,,SUMPRODUCT(MAX(ROW(E$1:E4406)*(E2=E$1:E4406))))))</f>
        <v> </v>
      </c>
      <c r="K4407" s="25" t="str">
        <f>IF(OR(E4407="",E4407="!!!",F4407="NEW"),"",INDEX(J$1:J4406,SUMPRODUCT(MAX(ROW(E$1:E4406)*(E4407=E$1:E4406)))))</f>
        <v> </v>
      </c>
      <c r="L4407" s="26"/>
    </row>
    <row r="4408" spans="1:12">
      <c r="A4408" s="20" t="s">
        <v>1894</v>
      </c>
      <c r="B4408" s="27" t="s">
        <v>1067</v>
      </c>
      <c r="C4408" s="27" t="s">
        <v>1077</v>
      </c>
      <c r="E4408" s="21">
        <f>IF(D4408="?OLD","!!!","")</f>
        <v/>
      </c>
      <c r="F4408" s="22" t="str">
        <f>IF(OR(E4408="",E4408="!!!"),"",IF(NOT(ISNA(VLOOKUP(E4408,E$1:E4407,1,FALSE()))),"OLD",IF(AND(E4408&lt;&gt;"",E4408&lt;&gt;"!!!"),"NEW","")))</f>
        <v> </v>
      </c>
      <c r="G4408" s="23" t="str">
        <f>IF(OR(E4408="",E4408="!!!"),"",IF(OR(J4408=0,AND(J4408=1,K4408=1),AND(J4408=1,I4408="SBJ"),AND(J4408=1,I4408=0)),"?IN_FOCUS",IF(J4408&lt;=2,"?ACTIVATED",IF(J4408&lt;&gt;"","?FAMILIAR",IF(F4408="NEW",IF(ISNA(VLOOKUP(E4408,#REF!,1,FALSE())),"?TYPE_IDENTIFIABLE","?REFERENTIAL"),"_")))))</f>
        <v> </v>
      </c>
      <c r="H4408" s="24" t="str">
        <f>IF(J4408&lt;&gt;1,"",IF(I4408="SBJ","CB","?"))</f>
        <v> </v>
      </c>
      <c r="I4408" s="25" t="str">
        <f>IF(OR(E4408="",E4408="!!!",F4408="NEW"),"",INDEX(B4407:B$2,-1+SUMPRODUCT(MAX(ROW(E4407:E$2)*(E4408=E4407:E$2)))))</f>
        <v> </v>
      </c>
      <c r="J4408" s="25" t="str">
        <f>IF(OR(E4408="",E4408="!!!",F4408="NEW"),"",COUNTBLANK(OFFSET(A$1,,,SUMPRODUCT(MAX(ROW(E$2:E4408)*(E4408=E$2:E4408)))))-COUNTBLANK(OFFSET(A$1,,,SUMPRODUCT(MAX(ROW(E$1:E4407)*(E2=E$1:E4407))))))</f>
        <v> </v>
      </c>
      <c r="K4408" s="25" t="str">
        <f>IF(OR(E4408="",E4408="!!!",F4408="NEW"),"",INDEX(J$1:J4407,SUMPRODUCT(MAX(ROW(E$1:E4407)*(E4408=E$1:E4407)))))</f>
        <v> </v>
      </c>
      <c r="L4408" s="26"/>
    </row>
    <row r="4409" spans="1:12">
      <c r="A4409" s="20" t="s">
        <v>1080</v>
      </c>
      <c r="E4409" s="21">
        <f>IF(D4409="?OLD","!!!","")</f>
        <v/>
      </c>
      <c r="F4409" s="22" t="str">
        <f>IF(OR(E4409="",E4409="!!!"),"",IF(NOT(ISNA(VLOOKUP(E4409,E$1:E4408,1,FALSE()))),"OLD",IF(AND(E4409&lt;&gt;"",E4409&lt;&gt;"!!!"),"NEW","")))</f>
        <v> </v>
      </c>
      <c r="G4409" s="23" t="str">
        <f>IF(OR(E4409="",E4409="!!!"),"",IF(OR(J4409=0,AND(J4409=1,K4409=1),AND(J4409=1,I4409="SBJ"),AND(J4409=1,I4409=0)),"?IN_FOCUS",IF(J4409&lt;=2,"?ACTIVATED",IF(J4409&lt;&gt;"","?FAMILIAR",IF(F4409="NEW",IF(ISNA(VLOOKUP(E4409,#REF!,1,FALSE())),"?TYPE_IDENTIFIABLE","?REFERENTIAL"),"_")))))</f>
        <v> </v>
      </c>
      <c r="H4409" s="24" t="str">
        <f>IF(J4409&lt;&gt;1,"",IF(I4409="SBJ","CB","?"))</f>
        <v> </v>
      </c>
      <c r="I4409" s="25" t="str">
        <f>IF(OR(E4409="",E4409="!!!",F4409="NEW"),"",INDEX(B4408:B$2,-1+SUMPRODUCT(MAX(ROW(E4408:E$2)*(E4409=E4408:E$2)))))</f>
        <v> </v>
      </c>
      <c r="J4409" s="25" t="str">
        <f>IF(OR(E4409="",E4409="!!!",F4409="NEW"),"",COUNTBLANK(OFFSET(A$1,,,SUMPRODUCT(MAX(ROW(E$2:E4409)*(E4409=E$2:E4409)))))-COUNTBLANK(OFFSET(A$1,,,SUMPRODUCT(MAX(ROW(E$1:E4408)*(E2=E$1:E4408))))))</f>
        <v> </v>
      </c>
      <c r="K4409" s="25" t="str">
        <f>IF(OR(E4409="",E4409="!!!",F4409="NEW"),"",INDEX(J$1:J4408,SUMPRODUCT(MAX(ROW(E$1:E4408)*(E4409=E$1:E4408)))))</f>
        <v> </v>
      </c>
      <c r="L4409" s="26"/>
    </row>
    <row r="4410" spans="1:12">
      <c r="A4410" s="20"/>
    </row>
    <row r="4411" spans="1:12">
      <c r="A4411" s="20" t="s">
        <v>2388</v>
      </c>
    </row>
    <row r="4412" spans="1:12">
      <c r="A4412" s="20" t="s">
        <v>2036</v>
      </c>
      <c r="E4412" s="21">
        <f>IF(D4412="?OLD","!!!","")</f>
        <v/>
      </c>
      <c r="F4412" s="22" t="str">
        <f>IF(OR(E4412="",E4412="!!!"),"",IF(NOT(ISNA(VLOOKUP(E4412,E$1:E4411,1,FALSE()))),"OLD",IF(AND(E4412&lt;&gt;"",E4412&lt;&gt;"!!!"),"NEW","")))</f>
        <v> </v>
      </c>
      <c r="G4412" s="23" t="str">
        <f>IF(OR(E4412="",E4412="!!!"),"",IF(OR(J4412=0,AND(J4412=1,K4412=1),AND(J4412=1,I4412="SBJ"),AND(J4412=1,I4412=0)),"?IN_FOCUS",IF(J4412&lt;=2,"?ACTIVATED",IF(J4412&lt;&gt;"","?FAMILIAR",IF(F4412="NEW",IF(ISNA(VLOOKUP(E4412,#REF!,1,FALSE())),"?TYPE_IDENTIFIABLE","?REFERENTIAL"),"_")))))</f>
        <v> </v>
      </c>
      <c r="H4412" s="24" t="str">
        <f>IF(J4412&lt;&gt;1,"",IF(I4412="SBJ","CB","?"))</f>
        <v> </v>
      </c>
      <c r="I4412" s="25" t="str">
        <f>IF(OR(E4412="",E4412="!!!",F4412="NEW"),"",INDEX(B4411:B$2,-1+SUMPRODUCT(MAX(ROW(E4411:E$2)*(E4412=E4411:E$2)))))</f>
        <v> </v>
      </c>
      <c r="J4412" s="25" t="str">
        <f>IF(OR(E4412="",E4412="!!!",F4412="NEW"),"",COUNTBLANK(OFFSET(A$1,,,SUMPRODUCT(MAX(ROW(E$2:E4412)*(E4412=E$2:E4412)))))-COUNTBLANK(OFFSET(A$1,,,SUMPRODUCT(MAX(ROW(E$1:E4411)*(E2=E$1:E4411))))))</f>
        <v> </v>
      </c>
      <c r="K4412" s="25" t="str">
        <f>IF(OR(E4412="",E4412="!!!",F4412="NEW"),"",INDEX(J$1:J4411,SUMPRODUCT(MAX(ROW(E$1:E4411)*(E4412=E$1:E4411)))))</f>
        <v> </v>
      </c>
      <c r="L4412" s="26"/>
    </row>
    <row r="4413" spans="1:12">
      <c r="A4413" s="20" t="s">
        <v>1197</v>
      </c>
      <c r="B4413" s="27" t="s">
        <v>1067</v>
      </c>
      <c r="C4413" s="27" t="s">
        <v>1068</v>
      </c>
      <c r="D4413" s="27" t="s">
        <v>1069</v>
      </c>
      <c r="E4413" s="21">
        <f>IF(D4413="?OLD","!!!","")</f>
        <v/>
      </c>
      <c r="F4413" s="22" t="str">
        <f>IF(OR(E4413="",E4413="!!!"),"",IF(NOT(ISNA(VLOOKUP(E4413,E$1:E4412,1,FALSE()))),"OLD",IF(AND(E4413&lt;&gt;"",E4413&lt;&gt;"!!!"),"NEW","")))</f>
        <v> </v>
      </c>
      <c r="G4413" s="23" t="str">
        <f>IF(OR(E4413="",E4413="!!!"),"",IF(OR(J4413=0,AND(J4413=1,K4413=1),AND(J4413=1,I4413="SBJ"),AND(J4413=1,I4413=0)),"?IN_FOCUS",IF(J4413&lt;=2,"?ACTIVATED",IF(J4413&lt;&gt;"","?FAMILIAR",IF(F4413="NEW",IF(ISNA(VLOOKUP(E4413,#REF!,1,FALSE())),"?TYPE_IDENTIFIABLE","?REFERENTIAL"),"_")))))</f>
        <v> </v>
      </c>
      <c r="H4413" s="24" t="str">
        <f>IF(J4413&lt;&gt;1,"",IF(I4413="SBJ","CB","?"))</f>
        <v> </v>
      </c>
      <c r="I4413" s="25" t="str">
        <f>IF(OR(E4413="",E4413="!!!",F4413="NEW"),"",INDEX(B4412:B$2,-1+SUMPRODUCT(MAX(ROW(E4412:E$2)*(E4413=E4412:E$2)))))</f>
        <v> </v>
      </c>
      <c r="J4413" s="25" t="str">
        <f>IF(OR(E4413="",E4413="!!!",F4413="NEW"),"",COUNTBLANK(OFFSET(A$1,,,SUMPRODUCT(MAX(ROW(E$2:E4413)*(E4413=E$2:E4413)))))-COUNTBLANK(OFFSET(A$1,,,SUMPRODUCT(MAX(ROW(E$1:E4412)*(E2=E$1:E4412))))))</f>
        <v> </v>
      </c>
      <c r="K4413" s="25" t="str">
        <f>IF(OR(E4413="",E4413="!!!",F4413="NEW"),"",INDEX(J$1:J4412,SUMPRODUCT(MAX(ROW(E$1:E4412)*(E4413=E$1:E4412)))))</f>
        <v> </v>
      </c>
      <c r="L4413" s="26"/>
    </row>
    <row r="4414" spans="1:12">
      <c r="A4414" s="20" t="s">
        <v>1087</v>
      </c>
      <c r="E4414" s="21">
        <f>IF(D4414="?OLD","!!!","")</f>
        <v/>
      </c>
      <c r="F4414" s="22" t="str">
        <f>IF(OR(E4414="",E4414="!!!"),"",IF(NOT(ISNA(VLOOKUP(E4414,E$1:E4413,1,FALSE()))),"OLD",IF(AND(E4414&lt;&gt;"",E4414&lt;&gt;"!!!"),"NEW","")))</f>
        <v> </v>
      </c>
      <c r="G4414" s="23" t="str">
        <f>IF(OR(E4414="",E4414="!!!"),"",IF(OR(J4414=0,AND(J4414=1,K4414=1),AND(J4414=1,I4414="SBJ"),AND(J4414=1,I4414=0)),"?IN_FOCUS",IF(J4414&lt;=2,"?ACTIVATED",IF(J4414&lt;&gt;"","?FAMILIAR",IF(F4414="NEW",IF(ISNA(VLOOKUP(E4414,#REF!,1,FALSE())),"?TYPE_IDENTIFIABLE","?REFERENTIAL"),"_")))))</f>
        <v> </v>
      </c>
      <c r="H4414" s="24" t="str">
        <f>IF(J4414&lt;&gt;1,"",IF(I4414="SBJ","CB","?"))</f>
        <v> </v>
      </c>
      <c r="I4414" s="25" t="str">
        <f>IF(OR(E4414="",E4414="!!!",F4414="NEW"),"",INDEX(B4413:B$2,-1+SUMPRODUCT(MAX(ROW(E4413:E$2)*(E4414=E4413:E$2)))))</f>
        <v> </v>
      </c>
      <c r="J4414" s="25" t="str">
        <f>IF(OR(E4414="",E4414="!!!",F4414="NEW"),"",COUNTBLANK(OFFSET(A$1,,,SUMPRODUCT(MAX(ROW(E$2:E4414)*(E4414=E$2:E4414)))))-COUNTBLANK(OFFSET(A$1,,,SUMPRODUCT(MAX(ROW(E$1:E4413)*(E2=E$1:E4413))))))</f>
        <v> </v>
      </c>
      <c r="K4414" s="25" t="str">
        <f>IF(OR(E4414="",E4414="!!!",F4414="NEW"),"",INDEX(J$1:J4413,SUMPRODUCT(MAX(ROW(E$1:E4413)*(E4414=E$1:E4413)))))</f>
        <v> </v>
      </c>
      <c r="L4414" s="26"/>
    </row>
    <row r="4415" spans="1:12">
      <c r="A4415" s="20" t="s">
        <v>1108</v>
      </c>
      <c r="B4415" s="27" t="s">
        <v>1095</v>
      </c>
      <c r="C4415" s="27" t="s">
        <v>1110</v>
      </c>
      <c r="D4415" s="27" t="s">
        <v>1069</v>
      </c>
      <c r="E4415" s="21">
        <f>IF(D4415="?OLD","!!!","")</f>
        <v/>
      </c>
      <c r="F4415" s="22" t="str">
        <f>IF(OR(E4415="",E4415="!!!"),"",IF(NOT(ISNA(VLOOKUP(E4415,E$1:E4414,1,FALSE()))),"OLD",IF(AND(E4415&lt;&gt;"",E4415&lt;&gt;"!!!"),"NEW","")))</f>
        <v> </v>
      </c>
      <c r="G4415" s="23" t="str">
        <f>IF(OR(E4415="",E4415="!!!"),"",IF(OR(J4415=0,AND(J4415=1,K4415=1),AND(J4415=1,I4415="SBJ"),AND(J4415=1,I4415=0)),"?IN_FOCUS",IF(J4415&lt;=2,"?ACTIVATED",IF(J4415&lt;&gt;"","?FAMILIAR",IF(F4415="NEW",IF(ISNA(VLOOKUP(E4415,#REF!,1,FALSE())),"?TYPE_IDENTIFIABLE","?REFERENTIAL"),"_")))))</f>
        <v> </v>
      </c>
      <c r="H4415" s="24" t="str">
        <f>IF(J4415&lt;&gt;1,"",IF(I4415="SBJ","CB","?"))</f>
        <v> </v>
      </c>
      <c r="I4415" s="25" t="str">
        <f>IF(OR(E4415="",E4415="!!!",F4415="NEW"),"",INDEX(B4414:B$2,-1+SUMPRODUCT(MAX(ROW(E4414:E$2)*(E4415=E4414:E$2)))))</f>
        <v> </v>
      </c>
      <c r="J4415" s="25" t="str">
        <f>IF(OR(E4415="",E4415="!!!",F4415="NEW"),"",COUNTBLANK(OFFSET(A$1,,,SUMPRODUCT(MAX(ROW(E$2:E4415)*(E4415=E$2:E4415)))))-COUNTBLANK(OFFSET(A$1,,,SUMPRODUCT(MAX(ROW(E$1:E4414)*(E2=E$1:E4414))))))</f>
        <v> </v>
      </c>
      <c r="K4415" s="25" t="str">
        <f>IF(OR(E4415="",E4415="!!!",F4415="NEW"),"",INDEX(J$1:J4414,SUMPRODUCT(MAX(ROW(E$1:E4414)*(E4415=E$1:E4414)))))</f>
        <v> </v>
      </c>
      <c r="L4415" s="26"/>
    </row>
    <row r="4416" spans="1:12">
      <c r="A4416" s="20" t="s">
        <v>2256</v>
      </c>
      <c r="E4416" s="21">
        <f>IF(D4416="?OLD","!!!","")</f>
        <v/>
      </c>
      <c r="F4416" s="22" t="str">
        <f>IF(OR(E4416="",E4416="!!!"),"",IF(NOT(ISNA(VLOOKUP(E4416,E$1:E4415,1,FALSE()))),"OLD",IF(AND(E4416&lt;&gt;"",E4416&lt;&gt;"!!!"),"NEW","")))</f>
        <v> </v>
      </c>
      <c r="G4416" s="23" t="str">
        <f>IF(OR(E4416="",E4416="!!!"),"",IF(OR(J4416=0,AND(J4416=1,K4416=1),AND(J4416=1,I4416="SBJ"),AND(J4416=1,I4416=0)),"?IN_FOCUS",IF(J4416&lt;=2,"?ACTIVATED",IF(J4416&lt;&gt;"","?FAMILIAR",IF(F4416="NEW",IF(ISNA(VLOOKUP(E4416,#REF!,1,FALSE())),"?TYPE_IDENTIFIABLE","?REFERENTIAL"),"_")))))</f>
        <v> </v>
      </c>
      <c r="H4416" s="24" t="str">
        <f>IF(J4416&lt;&gt;1,"",IF(I4416="SBJ","CB","?"))</f>
        <v> </v>
      </c>
      <c r="I4416" s="25" t="str">
        <f>IF(OR(E4416="",E4416="!!!",F4416="NEW"),"",INDEX(B4415:B$2,-1+SUMPRODUCT(MAX(ROW(E4415:E$2)*(E4416=E4415:E$2)))))</f>
        <v> </v>
      </c>
      <c r="J4416" s="25" t="str">
        <f>IF(OR(E4416="",E4416="!!!",F4416="NEW"),"",COUNTBLANK(OFFSET(A$1,,,SUMPRODUCT(MAX(ROW(E$2:E4416)*(E4416=E$2:E4416)))))-COUNTBLANK(OFFSET(A$1,,,SUMPRODUCT(MAX(ROW(E$1:E4415)*(E2=E$1:E4415))))))</f>
        <v> </v>
      </c>
      <c r="K4416" s="25" t="str">
        <f>IF(OR(E4416="",E4416="!!!",F4416="NEW"),"",INDEX(J$1:J4415,SUMPRODUCT(MAX(ROW(E$1:E4415)*(E4416=E$1:E4415)))))</f>
        <v> </v>
      </c>
      <c r="L4416" s="26"/>
    </row>
    <row r="4417" spans="1:12">
      <c r="A4417" s="20" t="s">
        <v>1150</v>
      </c>
      <c r="E4417" s="21">
        <f>IF(D4417="?OLD","!!!","")</f>
        <v/>
      </c>
      <c r="F4417" s="22" t="str">
        <f>IF(OR(E4417="",E4417="!!!"),"",IF(NOT(ISNA(VLOOKUP(E4417,E$1:E4416,1,FALSE()))),"OLD",IF(AND(E4417&lt;&gt;"",E4417&lt;&gt;"!!!"),"NEW","")))</f>
        <v> </v>
      </c>
      <c r="G4417" s="23" t="str">
        <f>IF(OR(E4417="",E4417="!!!"),"",IF(OR(J4417=0,AND(J4417=1,K4417=1),AND(J4417=1,I4417="SBJ"),AND(J4417=1,I4417=0)),"?IN_FOCUS",IF(J4417&lt;=2,"?ACTIVATED",IF(J4417&lt;&gt;"","?FAMILIAR",IF(F4417="NEW",IF(ISNA(VLOOKUP(E4417,#REF!,1,FALSE())),"?TYPE_IDENTIFIABLE","?REFERENTIAL"),"_")))))</f>
        <v> </v>
      </c>
      <c r="H4417" s="24" t="str">
        <f>IF(J4417&lt;&gt;1,"",IF(I4417="SBJ","CB","?"))</f>
        <v> </v>
      </c>
      <c r="I4417" s="25" t="str">
        <f>IF(OR(E4417="",E4417="!!!",F4417="NEW"),"",INDEX(B4416:B$2,-1+SUMPRODUCT(MAX(ROW(E4416:E$2)*(E4417=E4416:E$2)))))</f>
        <v> </v>
      </c>
      <c r="J4417" s="25" t="str">
        <f>IF(OR(E4417="",E4417="!!!",F4417="NEW"),"",COUNTBLANK(OFFSET(A$1,,,SUMPRODUCT(MAX(ROW(E$2:E4417)*(E4417=E$2:E4417)))))-COUNTBLANK(OFFSET(A$1,,,SUMPRODUCT(MAX(ROW(E$1:E4416)*(E2=E$1:E4416))))))</f>
        <v> </v>
      </c>
      <c r="K4417" s="25" t="str">
        <f>IF(OR(E4417="",E4417="!!!",F4417="NEW"),"",INDEX(J$1:J4416,SUMPRODUCT(MAX(ROW(E$1:E4416)*(E4417=E$1:E4416)))))</f>
        <v> </v>
      </c>
      <c r="L4417" s="26"/>
    </row>
    <row r="4418" spans="1:12">
      <c r="A4418" s="20" t="s">
        <v>2389</v>
      </c>
      <c r="B4418" s="27" t="s">
        <v>1133</v>
      </c>
      <c r="C4418" s="27" t="s">
        <v>1152</v>
      </c>
      <c r="D4418" s="27" t="s">
        <v>1069</v>
      </c>
      <c r="E4418" s="21">
        <f>IF(D4418="?OLD","!!!","")</f>
        <v/>
      </c>
      <c r="F4418" s="22" t="str">
        <f>IF(OR(E4418="",E4418="!!!"),"",IF(NOT(ISNA(VLOOKUP(E4418,E$1:E4417,1,FALSE()))),"OLD",IF(AND(E4418&lt;&gt;"",E4418&lt;&gt;"!!!"),"NEW","")))</f>
        <v> </v>
      </c>
      <c r="G4418" s="23" t="str">
        <f>IF(OR(E4418="",E4418="!!!"),"",IF(OR(J4418=0,AND(J4418=1,K4418=1),AND(J4418=1,I4418="SBJ"),AND(J4418=1,I4418=0)),"?IN_FOCUS",IF(J4418&lt;=2,"?ACTIVATED",IF(J4418&lt;&gt;"","?FAMILIAR",IF(F4418="NEW",IF(ISNA(VLOOKUP(E4418,#REF!,1,FALSE())),"?TYPE_IDENTIFIABLE","?REFERENTIAL"),"_")))))</f>
        <v> </v>
      </c>
      <c r="H4418" s="24" t="str">
        <f>IF(J4418&lt;&gt;1,"",IF(I4418="SBJ","CB","?"))</f>
        <v> </v>
      </c>
      <c r="I4418" s="25" t="str">
        <f>IF(OR(E4418="",E4418="!!!",F4418="NEW"),"",INDEX(B4417:B$2,-1+SUMPRODUCT(MAX(ROW(E4417:E$2)*(E4418=E4417:E$2)))))</f>
        <v> </v>
      </c>
      <c r="J4418" s="25" t="str">
        <f>IF(OR(E4418="",E4418="!!!",F4418="NEW"),"",COUNTBLANK(OFFSET(A$1,,,SUMPRODUCT(MAX(ROW(E$2:E4418)*(E4418=E$2:E4418)))))-COUNTBLANK(OFFSET(A$1,,,SUMPRODUCT(MAX(ROW(E$1:E4417)*(E2=E$1:E4417))))))</f>
        <v> </v>
      </c>
      <c r="K4418" s="25" t="str">
        <f>IF(OR(E4418="",E4418="!!!",F4418="NEW"),"",INDEX(J$1:J4417,SUMPRODUCT(MAX(ROW(E$1:E4417)*(E4418=E$1:E4417)))))</f>
        <v> </v>
      </c>
      <c r="L4418" s="26"/>
    </row>
    <row r="4419" spans="1:12">
      <c r="A4419" s="20" t="s">
        <v>1155</v>
      </c>
      <c r="E4419" s="21">
        <f>IF(D4419="?OLD","!!!","")</f>
        <v/>
      </c>
      <c r="F4419" s="22" t="str">
        <f>IF(OR(E4419="",E4419="!!!"),"",IF(NOT(ISNA(VLOOKUP(E4419,E$1:E4418,1,FALSE()))),"OLD",IF(AND(E4419&lt;&gt;"",E4419&lt;&gt;"!!!"),"NEW","")))</f>
        <v> </v>
      </c>
      <c r="G4419" s="23" t="str">
        <f>IF(OR(E4419="",E4419="!!!"),"",IF(OR(J4419=0,AND(J4419=1,K4419=1),AND(J4419=1,I4419="SBJ"),AND(J4419=1,I4419=0)),"?IN_FOCUS",IF(J4419&lt;=2,"?ACTIVATED",IF(J4419&lt;&gt;"","?FAMILIAR",IF(F4419="NEW",IF(ISNA(VLOOKUP(E4419,#REF!,1,FALSE())),"?TYPE_IDENTIFIABLE","?REFERENTIAL"),"_")))))</f>
        <v> </v>
      </c>
      <c r="H4419" s="24" t="str">
        <f>IF(J4419&lt;&gt;1,"",IF(I4419="SBJ","CB","?"))</f>
        <v> </v>
      </c>
      <c r="I4419" s="25" t="str">
        <f>IF(OR(E4419="",E4419="!!!",F4419="NEW"),"",INDEX(B4418:B$2,-1+SUMPRODUCT(MAX(ROW(E4418:E$2)*(E4419=E4418:E$2)))))</f>
        <v> </v>
      </c>
      <c r="J4419" s="25" t="str">
        <f>IF(OR(E4419="",E4419="!!!",F4419="NEW"),"",COUNTBLANK(OFFSET(A$1,,,SUMPRODUCT(MAX(ROW(E$2:E4419)*(E4419=E$2:E4419)))))-COUNTBLANK(OFFSET(A$1,,,SUMPRODUCT(MAX(ROW(E$1:E4418)*(E2=E$1:E4418))))))</f>
        <v> </v>
      </c>
      <c r="K4419" s="25" t="str">
        <f>IF(OR(E4419="",E4419="!!!",F4419="NEW"),"",INDEX(J$1:J4418,SUMPRODUCT(MAX(ROW(E$1:E4418)*(E4419=E$1:E4418)))))</f>
        <v> </v>
      </c>
      <c r="L4419" s="26"/>
    </row>
    <row r="4420" spans="1:12">
      <c r="A4420" s="20" t="s">
        <v>1165</v>
      </c>
      <c r="E4420" s="21">
        <f>IF(D4420="?OLD","!!!","")</f>
        <v/>
      </c>
      <c r="F4420" s="22" t="str">
        <f>IF(OR(E4420="",E4420="!!!"),"",IF(NOT(ISNA(VLOOKUP(E4420,E$1:E4419,1,FALSE()))),"OLD",IF(AND(E4420&lt;&gt;"",E4420&lt;&gt;"!!!"),"NEW","")))</f>
        <v> </v>
      </c>
      <c r="G4420" s="23" t="str">
        <f>IF(OR(E4420="",E4420="!!!"),"",IF(OR(J4420=0,AND(J4420=1,K4420=1),AND(J4420=1,I4420="SBJ"),AND(J4420=1,I4420=0)),"?IN_FOCUS",IF(J4420&lt;=2,"?ACTIVATED",IF(J4420&lt;&gt;"","?FAMILIAR",IF(F4420="NEW",IF(ISNA(VLOOKUP(E4420,#REF!,1,FALSE())),"?TYPE_IDENTIFIABLE","?REFERENTIAL"),"_")))))</f>
        <v> </v>
      </c>
      <c r="H4420" s="24" t="str">
        <f>IF(J4420&lt;&gt;1,"",IF(I4420="SBJ","CB","?"))</f>
        <v> </v>
      </c>
      <c r="I4420" s="25" t="str">
        <f>IF(OR(E4420="",E4420="!!!",F4420="NEW"),"",INDEX(B4419:B$2,-1+SUMPRODUCT(MAX(ROW(E4419:E$2)*(E4420=E4419:E$2)))))</f>
        <v> </v>
      </c>
      <c r="J4420" s="25" t="str">
        <f>IF(OR(E4420="",E4420="!!!",F4420="NEW"),"",COUNTBLANK(OFFSET(A$1,,,SUMPRODUCT(MAX(ROW(E$2:E4420)*(E4420=E$2:E4420)))))-COUNTBLANK(OFFSET(A$1,,,SUMPRODUCT(MAX(ROW(E$1:E4419)*(E2=E$1:E4419))))))</f>
        <v> </v>
      </c>
      <c r="K4420" s="25" t="str">
        <f>IF(OR(E4420="",E4420="!!!",F4420="NEW"),"",INDEX(J$1:J4419,SUMPRODUCT(MAX(ROW(E$1:E4419)*(E4420=E$1:E4419)))))</f>
        <v> </v>
      </c>
      <c r="L4420" s="26"/>
    </row>
    <row r="4421" spans="1:12">
      <c r="A4421" s="20" t="s">
        <v>1777</v>
      </c>
      <c r="E4421" s="21">
        <f>IF(D4421="?OLD","!!!","")</f>
        <v/>
      </c>
      <c r="F4421" s="22" t="str">
        <f>IF(OR(E4421="",E4421="!!!"),"",IF(NOT(ISNA(VLOOKUP(E4421,E$1:E4420,1,FALSE()))),"OLD",IF(AND(E4421&lt;&gt;"",E4421&lt;&gt;"!!!"),"NEW","")))</f>
        <v> </v>
      </c>
      <c r="G4421" s="23" t="str">
        <f>IF(OR(E4421="",E4421="!!!"),"",IF(OR(J4421=0,AND(J4421=1,K4421=1),AND(J4421=1,I4421="SBJ"),AND(J4421=1,I4421=0)),"?IN_FOCUS",IF(J4421&lt;=2,"?ACTIVATED",IF(J4421&lt;&gt;"","?FAMILIAR",IF(F4421="NEW",IF(ISNA(VLOOKUP(E4421,#REF!,1,FALSE())),"?TYPE_IDENTIFIABLE","?REFERENTIAL"),"_")))))</f>
        <v> </v>
      </c>
      <c r="H4421" s="24" t="str">
        <f>IF(J4421&lt;&gt;1,"",IF(I4421="SBJ","CB","?"))</f>
        <v> </v>
      </c>
      <c r="I4421" s="25" t="str">
        <f>IF(OR(E4421="",E4421="!!!",F4421="NEW"),"",INDEX(B4420:B$2,-1+SUMPRODUCT(MAX(ROW(E4420:E$2)*(E4421=E4420:E$2)))))</f>
        <v> </v>
      </c>
      <c r="J4421" s="25" t="str">
        <f>IF(OR(E4421="",E4421="!!!",F4421="NEW"),"",COUNTBLANK(OFFSET(A$1,,,SUMPRODUCT(MAX(ROW(E$2:E4421)*(E4421=E$2:E4421)))))-COUNTBLANK(OFFSET(A$1,,,SUMPRODUCT(MAX(ROW(E$1:E4420)*(E2=E$1:E4420))))))</f>
        <v> </v>
      </c>
      <c r="K4421" s="25" t="str">
        <f>IF(OR(E4421="",E4421="!!!",F4421="NEW"),"",INDEX(J$1:J4420,SUMPRODUCT(MAX(ROW(E$1:E4420)*(E4421=E$1:E4420)))))</f>
        <v> </v>
      </c>
      <c r="L4421" s="26"/>
    </row>
    <row r="4422" spans="1:12">
      <c r="A4422" s="20" t="s">
        <v>1166</v>
      </c>
      <c r="E4422" s="21">
        <f>IF(D4422="?OLD","!!!","")</f>
        <v/>
      </c>
      <c r="F4422" s="22" t="str">
        <f>IF(OR(E4422="",E4422="!!!"),"",IF(NOT(ISNA(VLOOKUP(E4422,E$1:E4421,1,FALSE()))),"OLD",IF(AND(E4422&lt;&gt;"",E4422&lt;&gt;"!!!"),"NEW","")))</f>
        <v> </v>
      </c>
      <c r="G4422" s="23" t="str">
        <f>IF(OR(E4422="",E4422="!!!"),"",IF(OR(J4422=0,AND(J4422=1,K4422=1),AND(J4422=1,I4422="SBJ"),AND(J4422=1,I4422=0)),"?IN_FOCUS",IF(J4422&lt;=2,"?ACTIVATED",IF(J4422&lt;&gt;"","?FAMILIAR",IF(F4422="NEW",IF(ISNA(VLOOKUP(E4422,#REF!,1,FALSE())),"?TYPE_IDENTIFIABLE","?REFERENTIAL"),"_")))))</f>
        <v> </v>
      </c>
      <c r="H4422" s="24" t="str">
        <f>IF(J4422&lt;&gt;1,"",IF(I4422="SBJ","CB","?"))</f>
        <v> </v>
      </c>
      <c r="I4422" s="25" t="str">
        <f>IF(OR(E4422="",E4422="!!!",F4422="NEW"),"",INDEX(B4421:B$2,-1+SUMPRODUCT(MAX(ROW(E4421:E$2)*(E4422=E4421:E$2)))))</f>
        <v> </v>
      </c>
      <c r="J4422" s="25" t="str">
        <f>IF(OR(E4422="",E4422="!!!",F4422="NEW"),"",COUNTBLANK(OFFSET(A$1,,,SUMPRODUCT(MAX(ROW(E$2:E4422)*(E4422=E$2:E4422)))))-COUNTBLANK(OFFSET(A$1,,,SUMPRODUCT(MAX(ROW(E$1:E4421)*(E2=E$1:E4421))))))</f>
        <v> </v>
      </c>
      <c r="K4422" s="25" t="str">
        <f>IF(OR(E4422="",E4422="!!!",F4422="NEW"),"",INDEX(J$1:J4421,SUMPRODUCT(MAX(ROW(E$1:E4421)*(E4422=E$1:E4421)))))</f>
        <v> </v>
      </c>
      <c r="L4422" s="26"/>
    </row>
    <row r="4423" spans="1:12">
      <c r="A4423" s="20" t="s">
        <v>1128</v>
      </c>
      <c r="B4423" s="27" t="s">
        <v>1133</v>
      </c>
      <c r="C4423" s="27" t="s">
        <v>1129</v>
      </c>
      <c r="D4423" s="27" t="s">
        <v>1069</v>
      </c>
      <c r="E4423" s="21">
        <f>IF(D4423="?OLD","!!!","")</f>
        <v/>
      </c>
      <c r="F4423" s="22" t="str">
        <f>IF(OR(E4423="",E4423="!!!"),"",IF(NOT(ISNA(VLOOKUP(E4423,E$1:E4422,1,FALSE()))),"OLD",IF(AND(E4423&lt;&gt;"",E4423&lt;&gt;"!!!"),"NEW","")))</f>
        <v> </v>
      </c>
      <c r="G4423" s="23" t="str">
        <f>IF(OR(E4423="",E4423="!!!"),"",IF(OR(J4423=0,AND(J4423=1,K4423=1),AND(J4423=1,I4423="SBJ"),AND(J4423=1,I4423=0)),"?IN_FOCUS",IF(J4423&lt;=2,"?ACTIVATED",IF(J4423&lt;&gt;"","?FAMILIAR",IF(F4423="NEW",IF(ISNA(VLOOKUP(E4423,#REF!,1,FALSE())),"?TYPE_IDENTIFIABLE","?REFERENTIAL"),"_")))))</f>
        <v> </v>
      </c>
      <c r="H4423" s="24" t="str">
        <f>IF(J4423&lt;&gt;1,"",IF(I4423="SBJ","CB","?"))</f>
        <v> </v>
      </c>
      <c r="I4423" s="25" t="str">
        <f>IF(OR(E4423="",E4423="!!!",F4423="NEW"),"",INDEX(B4422:B$2,-1+SUMPRODUCT(MAX(ROW(E4422:E$2)*(E4423=E4422:E$2)))))</f>
        <v> </v>
      </c>
      <c r="J4423" s="25" t="str">
        <f>IF(OR(E4423="",E4423="!!!",F4423="NEW"),"",COUNTBLANK(OFFSET(A$1,,,SUMPRODUCT(MAX(ROW(E$2:E4423)*(E4423=E$2:E4423)))))-COUNTBLANK(OFFSET(A$1,,,SUMPRODUCT(MAX(ROW(E$1:E4422)*(E2=E$1:E4422))))))</f>
        <v> </v>
      </c>
      <c r="K4423" s="25" t="str">
        <f>IF(OR(E4423="",E4423="!!!",F4423="NEW"),"",INDEX(J$1:J4422,SUMPRODUCT(MAX(ROW(E$1:E4422)*(E4423=E$1:E4422)))))</f>
        <v> </v>
      </c>
      <c r="L4423" s="26"/>
    </row>
    <row r="4424" spans="1:12">
      <c r="A4424" s="20" t="s">
        <v>1087</v>
      </c>
      <c r="E4424" s="21">
        <f>IF(D4424="?OLD","!!!","")</f>
        <v/>
      </c>
      <c r="F4424" s="22" t="str">
        <f>IF(OR(E4424="",E4424="!!!"),"",IF(NOT(ISNA(VLOOKUP(E4424,E$1:E4423,1,FALSE()))),"OLD",IF(AND(E4424&lt;&gt;"",E4424&lt;&gt;"!!!"),"NEW","")))</f>
        <v> </v>
      </c>
      <c r="G4424" s="23" t="str">
        <f>IF(OR(E4424="",E4424="!!!"),"",IF(OR(J4424=0,AND(J4424=1,K4424=1),AND(J4424=1,I4424="SBJ"),AND(J4424=1,I4424=0)),"?IN_FOCUS",IF(J4424&lt;=2,"?ACTIVATED",IF(J4424&lt;&gt;"","?FAMILIAR",IF(F4424="NEW",IF(ISNA(VLOOKUP(E4424,#REF!,1,FALSE())),"?TYPE_IDENTIFIABLE","?REFERENTIAL"),"_")))))</f>
        <v> </v>
      </c>
      <c r="H4424" s="24" t="str">
        <f>IF(J4424&lt;&gt;1,"",IF(I4424="SBJ","CB","?"))</f>
        <v> </v>
      </c>
      <c r="I4424" s="25" t="str">
        <f>IF(OR(E4424="",E4424="!!!",F4424="NEW"),"",INDEX(B4423:B$2,-1+SUMPRODUCT(MAX(ROW(E4423:E$2)*(E4424=E4423:E$2)))))</f>
        <v> </v>
      </c>
      <c r="J4424" s="25" t="str">
        <f>IF(OR(E4424="",E4424="!!!",F4424="NEW"),"",COUNTBLANK(OFFSET(A$1,,,SUMPRODUCT(MAX(ROW(E$2:E4424)*(E4424=E$2:E4424)))))-COUNTBLANK(OFFSET(A$1,,,SUMPRODUCT(MAX(ROW(E$1:E4423)*(E2=E$1:E4423))))))</f>
        <v> </v>
      </c>
      <c r="K4424" s="25" t="str">
        <f>IF(OR(E4424="",E4424="!!!",F4424="NEW"),"",INDEX(J$1:J4423,SUMPRODUCT(MAX(ROW(E$1:E4423)*(E4424=E$1:E4423)))))</f>
        <v> </v>
      </c>
      <c r="L4424" s="26"/>
    </row>
    <row r="4425" spans="1:12">
      <c r="A4425" s="20" t="s">
        <v>1301</v>
      </c>
      <c r="E4425" s="21">
        <f>IF(D4425="?OLD","!!!","")</f>
        <v/>
      </c>
      <c r="F4425" s="22" t="str">
        <f>IF(OR(E4425="",E4425="!!!"),"",IF(NOT(ISNA(VLOOKUP(E4425,E$1:E4424,1,FALSE()))),"OLD",IF(AND(E4425&lt;&gt;"",E4425&lt;&gt;"!!!"),"NEW","")))</f>
        <v> </v>
      </c>
      <c r="G4425" s="23" t="str">
        <f>IF(OR(E4425="",E4425="!!!"),"",IF(OR(J4425=0,AND(J4425=1,K4425=1),AND(J4425=1,I4425="SBJ"),AND(J4425=1,I4425=0)),"?IN_FOCUS",IF(J4425&lt;=2,"?ACTIVATED",IF(J4425&lt;&gt;"","?FAMILIAR",IF(F4425="NEW",IF(ISNA(VLOOKUP(E4425,#REF!,1,FALSE())),"?TYPE_IDENTIFIABLE","?REFERENTIAL"),"_")))))</f>
        <v> </v>
      </c>
      <c r="H4425" s="24" t="str">
        <f>IF(J4425&lt;&gt;1,"",IF(I4425="SBJ","CB","?"))</f>
        <v> </v>
      </c>
      <c r="I4425" s="25" t="str">
        <f>IF(OR(E4425="",E4425="!!!",F4425="NEW"),"",INDEX(B4424:B$2,-1+SUMPRODUCT(MAX(ROW(E4424:E$2)*(E4425=E4424:E$2)))))</f>
        <v> </v>
      </c>
      <c r="J4425" s="25" t="str">
        <f>IF(OR(E4425="",E4425="!!!",F4425="NEW"),"",COUNTBLANK(OFFSET(A$1,,,SUMPRODUCT(MAX(ROW(E$2:E4425)*(E4425=E$2:E4425)))))-COUNTBLANK(OFFSET(A$1,,,SUMPRODUCT(MAX(ROW(E$1:E4424)*(E2=E$1:E4424))))))</f>
        <v> </v>
      </c>
      <c r="K4425" s="25" t="str">
        <f>IF(OR(E4425="",E4425="!!!",F4425="NEW"),"",INDEX(J$1:J4424,SUMPRODUCT(MAX(ROW(E$1:E4424)*(E4425=E$1:E4424)))))</f>
        <v> </v>
      </c>
      <c r="L4425" s="26"/>
    </row>
    <row r="4426" spans="1:12">
      <c r="A4426" s="20" t="s">
        <v>1167</v>
      </c>
      <c r="E4426" s="21">
        <f>IF(D4426="?OLD","!!!","")</f>
        <v/>
      </c>
      <c r="F4426" s="22" t="str">
        <f>IF(OR(E4426="",E4426="!!!"),"",IF(NOT(ISNA(VLOOKUP(E4426,E$1:E4425,1,FALSE()))),"OLD",IF(AND(E4426&lt;&gt;"",E4426&lt;&gt;"!!!"),"NEW","")))</f>
        <v> </v>
      </c>
      <c r="G4426" s="23" t="str">
        <f>IF(OR(E4426="",E4426="!!!"),"",IF(OR(J4426=0,AND(J4426=1,K4426=1),AND(J4426=1,I4426="SBJ"),AND(J4426=1,I4426=0)),"?IN_FOCUS",IF(J4426&lt;=2,"?ACTIVATED",IF(J4426&lt;&gt;"","?FAMILIAR",IF(F4426="NEW",IF(ISNA(VLOOKUP(E4426,#REF!,1,FALSE())),"?TYPE_IDENTIFIABLE","?REFERENTIAL"),"_")))))</f>
        <v> </v>
      </c>
      <c r="H4426" s="24" t="str">
        <f>IF(J4426&lt;&gt;1,"",IF(I4426="SBJ","CB","?"))</f>
        <v> </v>
      </c>
      <c r="I4426" s="25" t="str">
        <f>IF(OR(E4426="",E4426="!!!",F4426="NEW"),"",INDEX(B4425:B$2,-1+SUMPRODUCT(MAX(ROW(E4425:E$2)*(E4426=E4425:E$2)))))</f>
        <v> </v>
      </c>
      <c r="J4426" s="25" t="str">
        <f>IF(OR(E4426="",E4426="!!!",F4426="NEW"),"",COUNTBLANK(OFFSET(A$1,,,SUMPRODUCT(MAX(ROW(E$2:E4426)*(E4426=E$2:E4426)))))-COUNTBLANK(OFFSET(A$1,,,SUMPRODUCT(MAX(ROW(E$1:E4425)*(E2=E$1:E4425))))))</f>
        <v> </v>
      </c>
      <c r="K4426" s="25" t="str">
        <f>IF(OR(E4426="",E4426="!!!",F4426="NEW"),"",INDEX(J$1:J4425,SUMPRODUCT(MAX(ROW(E$1:E4425)*(E4426=E$1:E4425)))))</f>
        <v> </v>
      </c>
      <c r="L4426" s="26"/>
    </row>
    <row r="4427" spans="1:12">
      <c r="A4427" s="20" t="s">
        <v>1299</v>
      </c>
      <c r="E4427" s="21">
        <f>IF(D4427="?OLD","!!!","")</f>
        <v/>
      </c>
      <c r="F4427" s="22" t="str">
        <f>IF(OR(E4427="",E4427="!!!"),"",IF(NOT(ISNA(VLOOKUP(E4427,E$1:E4426,1,FALSE()))),"OLD",IF(AND(E4427&lt;&gt;"",E4427&lt;&gt;"!!!"),"NEW","")))</f>
        <v> </v>
      </c>
      <c r="G4427" s="23" t="str">
        <f>IF(OR(E4427="",E4427="!!!"),"",IF(OR(J4427=0,AND(J4427=1,K4427=1),AND(J4427=1,I4427="SBJ"),AND(J4427=1,I4427=0)),"?IN_FOCUS",IF(J4427&lt;=2,"?ACTIVATED",IF(J4427&lt;&gt;"","?FAMILIAR",IF(F4427="NEW",IF(ISNA(VLOOKUP(E4427,#REF!,1,FALSE())),"?TYPE_IDENTIFIABLE","?REFERENTIAL"),"_")))))</f>
        <v> </v>
      </c>
      <c r="H4427" s="24" t="str">
        <f>IF(J4427&lt;&gt;1,"",IF(I4427="SBJ","CB","?"))</f>
        <v> </v>
      </c>
      <c r="I4427" s="25" t="str">
        <f>IF(OR(E4427="",E4427="!!!",F4427="NEW"),"",INDEX(B4426:B$2,-1+SUMPRODUCT(MAX(ROW(E4426:E$2)*(E4427=E4426:E$2)))))</f>
        <v> </v>
      </c>
      <c r="J4427" s="25" t="str">
        <f>IF(OR(E4427="",E4427="!!!",F4427="NEW"),"",COUNTBLANK(OFFSET(A$1,,,SUMPRODUCT(MAX(ROW(E$2:E4427)*(E4427=E$2:E4427)))))-COUNTBLANK(OFFSET(A$1,,,SUMPRODUCT(MAX(ROW(E$1:E4426)*(E2=E$1:E4426))))))</f>
        <v> </v>
      </c>
      <c r="K4427" s="25" t="str">
        <f>IF(OR(E4427="",E4427="!!!",F4427="NEW"),"",INDEX(J$1:J4426,SUMPRODUCT(MAX(ROW(E$1:E4426)*(E4427=E$1:E4426)))))</f>
        <v> </v>
      </c>
      <c r="L4427" s="26"/>
    </row>
    <row r="4428" spans="1:12">
      <c r="A4428" s="20" t="s">
        <v>1104</v>
      </c>
      <c r="E4428" s="21">
        <f>IF(D4428="?OLD","!!!","")</f>
        <v/>
      </c>
      <c r="F4428" s="22" t="str">
        <f>IF(OR(E4428="",E4428="!!!"),"",IF(NOT(ISNA(VLOOKUP(E4428,E$1:E4427,1,FALSE()))),"OLD",IF(AND(E4428&lt;&gt;"",E4428&lt;&gt;"!!!"),"NEW","")))</f>
        <v> </v>
      </c>
      <c r="G4428" s="23" t="str">
        <f>IF(OR(E4428="",E4428="!!!"),"",IF(OR(J4428=0,AND(J4428=1,K4428=1),AND(J4428=1,I4428="SBJ"),AND(J4428=1,I4428=0)),"?IN_FOCUS",IF(J4428&lt;=2,"?ACTIVATED",IF(J4428&lt;&gt;"","?FAMILIAR",IF(F4428="NEW",IF(ISNA(VLOOKUP(E4428,#REF!,1,FALSE())),"?TYPE_IDENTIFIABLE","?REFERENTIAL"),"_")))))</f>
        <v> </v>
      </c>
      <c r="H4428" s="24" t="str">
        <f>IF(J4428&lt;&gt;1,"",IF(I4428="SBJ","CB","?"))</f>
        <v> </v>
      </c>
      <c r="I4428" s="25" t="str">
        <f>IF(OR(E4428="",E4428="!!!",F4428="NEW"),"",INDEX(B4427:B$2,-1+SUMPRODUCT(MAX(ROW(E4427:E$2)*(E4428=E4427:E$2)))))</f>
        <v> </v>
      </c>
      <c r="J4428" s="25" t="str">
        <f>IF(OR(E4428="",E4428="!!!",F4428="NEW"),"",COUNTBLANK(OFFSET(A$1,,,SUMPRODUCT(MAX(ROW(E$2:E4428)*(E4428=E$2:E4428)))))-COUNTBLANK(OFFSET(A$1,,,SUMPRODUCT(MAX(ROW(E$1:E4427)*(E2=E$1:E4427))))))</f>
        <v> </v>
      </c>
      <c r="K4428" s="25" t="str">
        <f>IF(OR(E4428="",E4428="!!!",F4428="NEW"),"",INDEX(J$1:J4427,SUMPRODUCT(MAX(ROW(E$1:E4427)*(E4428=E$1:E4427)))))</f>
        <v> </v>
      </c>
      <c r="L4428" s="26"/>
    </row>
    <row r="4429" spans="1:12">
      <c r="A4429" s="20" t="s">
        <v>2390</v>
      </c>
      <c r="E4429" s="21">
        <f>IF(D4429="?OLD","!!!","")</f>
        <v/>
      </c>
      <c r="F4429" s="22" t="str">
        <f>IF(OR(E4429="",E4429="!!!"),"",IF(NOT(ISNA(VLOOKUP(E4429,E$1:E4428,1,FALSE()))),"OLD",IF(AND(E4429&lt;&gt;"",E4429&lt;&gt;"!!!"),"NEW","")))</f>
        <v> </v>
      </c>
      <c r="G4429" s="23" t="str">
        <f>IF(OR(E4429="",E4429="!!!"),"",IF(OR(J4429=0,AND(J4429=1,K4429=1),AND(J4429=1,I4429="SBJ"),AND(J4429=1,I4429=0)),"?IN_FOCUS",IF(J4429&lt;=2,"?ACTIVATED",IF(J4429&lt;&gt;"","?FAMILIAR",IF(F4429="NEW",IF(ISNA(VLOOKUP(E4429,#REF!,1,FALSE())),"?TYPE_IDENTIFIABLE","?REFERENTIAL"),"_")))))</f>
        <v> </v>
      </c>
      <c r="H4429" s="24" t="str">
        <f>IF(J4429&lt;&gt;1,"",IF(I4429="SBJ","CB","?"))</f>
        <v> </v>
      </c>
      <c r="I4429" s="25" t="str">
        <f>IF(OR(E4429="",E4429="!!!",F4429="NEW"),"",INDEX(B4428:B$2,-1+SUMPRODUCT(MAX(ROW(E4428:E$2)*(E4429=E4428:E$2)))))</f>
        <v> </v>
      </c>
      <c r="J4429" s="25" t="str">
        <f>IF(OR(E4429="",E4429="!!!",F4429="NEW"),"",COUNTBLANK(OFFSET(A$1,,,SUMPRODUCT(MAX(ROW(E$2:E4429)*(E4429=E$2:E4429)))))-COUNTBLANK(OFFSET(A$1,,,SUMPRODUCT(MAX(ROW(E$1:E4428)*(E2=E$1:E4428))))))</f>
        <v> </v>
      </c>
      <c r="K4429" s="25" t="str">
        <f>IF(OR(E4429="",E4429="!!!",F4429="NEW"),"",INDEX(J$1:J4428,SUMPRODUCT(MAX(ROW(E$1:E4428)*(E4429=E$1:E4428)))))</f>
        <v> </v>
      </c>
      <c r="L4429" s="26"/>
    </row>
    <row r="4430" spans="1:12">
      <c r="A4430" s="20" t="s">
        <v>2294</v>
      </c>
      <c r="B4430" s="27" t="s">
        <v>1133</v>
      </c>
      <c r="C4430" s="27" t="s">
        <v>1086</v>
      </c>
      <c r="D4430" s="27" t="s">
        <v>1069</v>
      </c>
      <c r="E4430" s="21">
        <f>IF(D4430="?OLD","!!!","")</f>
        <v/>
      </c>
      <c r="F4430" s="22" t="str">
        <f>IF(OR(E4430="",E4430="!!!"),"",IF(NOT(ISNA(VLOOKUP(E4430,E$1:E4429,1,FALSE()))),"OLD",IF(AND(E4430&lt;&gt;"",E4430&lt;&gt;"!!!"),"NEW","")))</f>
        <v> </v>
      </c>
      <c r="G4430" s="23" t="str">
        <f>IF(OR(E4430="",E4430="!!!"),"",IF(OR(J4430=0,AND(J4430=1,K4430=1),AND(J4430=1,I4430="SBJ"),AND(J4430=1,I4430=0)),"?IN_FOCUS",IF(J4430&lt;=2,"?ACTIVATED",IF(J4430&lt;&gt;"","?FAMILIAR",IF(F4430="NEW",IF(ISNA(VLOOKUP(E4430,#REF!,1,FALSE())),"?TYPE_IDENTIFIABLE","?REFERENTIAL"),"_")))))</f>
        <v> </v>
      </c>
      <c r="H4430" s="24" t="str">
        <f>IF(J4430&lt;&gt;1,"",IF(I4430="SBJ","CB","?"))</f>
        <v> </v>
      </c>
      <c r="I4430" s="25" t="str">
        <f>IF(OR(E4430="",E4430="!!!",F4430="NEW"),"",INDEX(B4429:B$2,-1+SUMPRODUCT(MAX(ROW(E4429:E$2)*(E4430=E4429:E$2)))))</f>
        <v> </v>
      </c>
      <c r="J4430" s="25" t="str">
        <f>IF(OR(E4430="",E4430="!!!",F4430="NEW"),"",COUNTBLANK(OFFSET(A$1,,,SUMPRODUCT(MAX(ROW(E$2:E4430)*(E4430=E$2:E4430)))))-COUNTBLANK(OFFSET(A$1,,,SUMPRODUCT(MAX(ROW(E$1:E4429)*(E2=E$1:E4429))))))</f>
        <v> </v>
      </c>
      <c r="K4430" s="25" t="str">
        <f>IF(OR(E4430="",E4430="!!!",F4430="NEW"),"",INDEX(J$1:J4429,SUMPRODUCT(MAX(ROW(E$1:E4429)*(E4430=E$1:E4429)))))</f>
        <v> </v>
      </c>
      <c r="L4430" s="26"/>
    </row>
    <row r="4431" spans="1:12">
      <c r="A4431" s="20" t="s">
        <v>1087</v>
      </c>
      <c r="E4431" s="21">
        <f>IF(D4431="?OLD","!!!","")</f>
        <v/>
      </c>
      <c r="F4431" s="22" t="str">
        <f>IF(OR(E4431="",E4431="!!!"),"",IF(NOT(ISNA(VLOOKUP(E4431,E$1:E4430,1,FALSE()))),"OLD",IF(AND(E4431&lt;&gt;"",E4431&lt;&gt;"!!!"),"NEW","")))</f>
        <v> </v>
      </c>
      <c r="G4431" s="23" t="str">
        <f>IF(OR(E4431="",E4431="!!!"),"",IF(OR(J4431=0,AND(J4431=1,K4431=1),AND(J4431=1,I4431="SBJ"),AND(J4431=1,I4431=0)),"?IN_FOCUS",IF(J4431&lt;=2,"?ACTIVATED",IF(J4431&lt;&gt;"","?FAMILIAR",IF(F4431="NEW",IF(ISNA(VLOOKUP(E4431,#REF!,1,FALSE())),"?TYPE_IDENTIFIABLE","?REFERENTIAL"),"_")))))</f>
        <v> </v>
      </c>
      <c r="H4431" s="24" t="str">
        <f>IF(J4431&lt;&gt;1,"",IF(I4431="SBJ","CB","?"))</f>
        <v> </v>
      </c>
      <c r="I4431" s="25" t="str">
        <f>IF(OR(E4431="",E4431="!!!",F4431="NEW"),"",INDEX(B4430:B$2,-1+SUMPRODUCT(MAX(ROW(E4430:E$2)*(E4431=E4430:E$2)))))</f>
        <v> </v>
      </c>
      <c r="J4431" s="25" t="str">
        <f>IF(OR(E4431="",E4431="!!!",F4431="NEW"),"",COUNTBLANK(OFFSET(A$1,,,SUMPRODUCT(MAX(ROW(E$2:E4431)*(E4431=E$2:E4431)))))-COUNTBLANK(OFFSET(A$1,,,SUMPRODUCT(MAX(ROW(E$1:E4430)*(E2=E$1:E4430))))))</f>
        <v> </v>
      </c>
      <c r="K4431" s="25" t="str">
        <f>IF(OR(E4431="",E4431="!!!",F4431="NEW"),"",INDEX(J$1:J4430,SUMPRODUCT(MAX(ROW(E$1:E4430)*(E4431=E$1:E4430)))))</f>
        <v> </v>
      </c>
      <c r="L4431" s="26"/>
    </row>
    <row r="4432" spans="1:12">
      <c r="A4432" s="20" t="s">
        <v>1083</v>
      </c>
      <c r="B4432" s="27" t="s">
        <v>1095</v>
      </c>
      <c r="C4432" s="27" t="s">
        <v>1129</v>
      </c>
      <c r="D4432" s="27" t="s">
        <v>1069</v>
      </c>
      <c r="E4432" s="21">
        <f>IF(D4432="?OLD","!!!","")</f>
        <v/>
      </c>
      <c r="F4432" s="22" t="str">
        <f>IF(OR(E4432="",E4432="!!!"),"",IF(NOT(ISNA(VLOOKUP(E4432,E$1:E4431,1,FALSE()))),"OLD",IF(AND(E4432&lt;&gt;"",E4432&lt;&gt;"!!!"),"NEW","")))</f>
        <v> </v>
      </c>
      <c r="G4432" s="23" t="str">
        <f>IF(OR(E4432="",E4432="!!!"),"",IF(OR(J4432=0,AND(J4432=1,K4432=1),AND(J4432=1,I4432="SBJ"),AND(J4432=1,I4432=0)),"?IN_FOCUS",IF(J4432&lt;=2,"?ACTIVATED",IF(J4432&lt;&gt;"","?FAMILIAR",IF(F4432="NEW",IF(ISNA(VLOOKUP(E4432,#REF!,1,FALSE())),"?TYPE_IDENTIFIABLE","?REFERENTIAL"),"_")))))</f>
        <v> </v>
      </c>
      <c r="H4432" s="24" t="str">
        <f>IF(J4432&lt;&gt;1,"",IF(I4432="SBJ","CB","?"))</f>
        <v> </v>
      </c>
      <c r="I4432" s="25" t="str">
        <f>IF(OR(E4432="",E4432="!!!",F4432="NEW"),"",INDEX(B4431:B$2,-1+SUMPRODUCT(MAX(ROW(E4431:E$2)*(E4432=E4431:E$2)))))</f>
        <v> </v>
      </c>
      <c r="J4432" s="25" t="str">
        <f>IF(OR(E4432="",E4432="!!!",F4432="NEW"),"",COUNTBLANK(OFFSET(A$1,,,SUMPRODUCT(MAX(ROW(E$2:E4432)*(E4432=E$2:E4432)))))-COUNTBLANK(OFFSET(A$1,,,SUMPRODUCT(MAX(ROW(E$1:E4431)*(E2=E$1:E4431))))))</f>
        <v> </v>
      </c>
      <c r="K4432" s="25" t="str">
        <f>IF(OR(E4432="",E4432="!!!",F4432="NEW"),"",INDEX(J$1:J4431,SUMPRODUCT(MAX(ROW(E$1:E4431)*(E4432=E$1:E4431)))))</f>
        <v> </v>
      </c>
      <c r="L4432" s="26"/>
    </row>
    <row r="4433" spans="1:12">
      <c r="A4433" s="20" t="s">
        <v>1191</v>
      </c>
      <c r="E4433" s="21">
        <f>IF(D4433="?OLD","!!!","")</f>
        <v/>
      </c>
      <c r="F4433" s="22" t="str">
        <f>IF(OR(E4433="",E4433="!!!"),"",IF(NOT(ISNA(VLOOKUP(E4433,E$1:E4432,1,FALSE()))),"OLD",IF(AND(E4433&lt;&gt;"",E4433&lt;&gt;"!!!"),"NEW","")))</f>
        <v> </v>
      </c>
      <c r="G4433" s="23" t="str">
        <f>IF(OR(E4433="",E4433="!!!"),"",IF(OR(J4433=0,AND(J4433=1,K4433=1),AND(J4433=1,I4433="SBJ"),AND(J4433=1,I4433=0)),"?IN_FOCUS",IF(J4433&lt;=2,"?ACTIVATED",IF(J4433&lt;&gt;"","?FAMILIAR",IF(F4433="NEW",IF(ISNA(VLOOKUP(E4433,#REF!,1,FALSE())),"?TYPE_IDENTIFIABLE","?REFERENTIAL"),"_")))))</f>
        <v> </v>
      </c>
      <c r="H4433" s="24" t="str">
        <f>IF(J4433&lt;&gt;1,"",IF(I4433="SBJ","CB","?"))</f>
        <v> </v>
      </c>
      <c r="I4433" s="25" t="str">
        <f>IF(OR(E4433="",E4433="!!!",F4433="NEW"),"",INDEX(B4432:B$2,-1+SUMPRODUCT(MAX(ROW(E4432:E$2)*(E4433=E4432:E$2)))))</f>
        <v> </v>
      </c>
      <c r="J4433" s="25" t="str">
        <f>IF(OR(E4433="",E4433="!!!",F4433="NEW"),"",COUNTBLANK(OFFSET(A$1,,,SUMPRODUCT(MAX(ROW(E$2:E4433)*(E4433=E$2:E4433)))))-COUNTBLANK(OFFSET(A$1,,,SUMPRODUCT(MAX(ROW(E$1:E4432)*(E2=E$1:E4432))))))</f>
        <v> </v>
      </c>
      <c r="K4433" s="25" t="str">
        <f>IF(OR(E4433="",E4433="!!!",F4433="NEW"),"",INDEX(J$1:J4432,SUMPRODUCT(MAX(ROW(E$1:E4432)*(E4433=E$1:E4432)))))</f>
        <v> </v>
      </c>
      <c r="L4433" s="26"/>
    </row>
    <row r="4434" spans="1:12">
      <c r="A4434" s="20" t="s">
        <v>141</v>
      </c>
      <c r="E4434" s="21">
        <f>IF(D4434="?OLD","!!!","")</f>
        <v/>
      </c>
      <c r="F4434" s="22" t="str">
        <f>IF(OR(E4434="",E4434="!!!"),"",IF(NOT(ISNA(VLOOKUP(E4434,E$1:E4433,1,FALSE()))),"OLD",IF(AND(E4434&lt;&gt;"",E4434&lt;&gt;"!!!"),"NEW","")))</f>
        <v> </v>
      </c>
      <c r="G4434" s="23" t="str">
        <f>IF(OR(E4434="",E4434="!!!"),"",IF(OR(J4434=0,AND(J4434=1,K4434=1),AND(J4434=1,I4434="SBJ"),AND(J4434=1,I4434=0)),"?IN_FOCUS",IF(J4434&lt;=2,"?ACTIVATED",IF(J4434&lt;&gt;"","?FAMILIAR",IF(F4434="NEW",IF(ISNA(VLOOKUP(E4434,#REF!,1,FALSE())),"?TYPE_IDENTIFIABLE","?REFERENTIAL"),"_")))))</f>
        <v> </v>
      </c>
      <c r="H4434" s="24" t="str">
        <f>IF(J4434&lt;&gt;1,"",IF(I4434="SBJ","CB","?"))</f>
        <v> </v>
      </c>
      <c r="I4434" s="25" t="str">
        <f>IF(OR(E4434="",E4434="!!!",F4434="NEW"),"",INDEX(B4433:B$2,-1+SUMPRODUCT(MAX(ROW(E4433:E$2)*(E4434=E4433:E$2)))))</f>
        <v> </v>
      </c>
      <c r="J4434" s="25" t="str">
        <f>IF(OR(E4434="",E4434="!!!",F4434="NEW"),"",COUNTBLANK(OFFSET(A$1,,,SUMPRODUCT(MAX(ROW(E$2:E4434)*(E4434=E$2:E4434)))))-COUNTBLANK(OFFSET(A$1,,,SUMPRODUCT(MAX(ROW(E$1:E4433)*(E2=E$1:E4433))))))</f>
        <v> </v>
      </c>
      <c r="K4434" s="25" t="str">
        <f>IF(OR(E4434="",E4434="!!!",F4434="NEW"),"",INDEX(J$1:J4433,SUMPRODUCT(MAX(ROW(E$1:E4433)*(E4434=E$1:E4433)))))</f>
        <v> </v>
      </c>
      <c r="L4434" s="26"/>
    </row>
    <row r="4435" spans="1:12">
      <c r="A4435" s="20" t="s">
        <v>2391</v>
      </c>
      <c r="E4435" s="21">
        <f>IF(D4435="?OLD","!!!","")</f>
        <v/>
      </c>
      <c r="F4435" s="22" t="str">
        <f>IF(OR(E4435="",E4435="!!!"),"",IF(NOT(ISNA(VLOOKUP(E4435,E$1:E4434,1,FALSE()))),"OLD",IF(AND(E4435&lt;&gt;"",E4435&lt;&gt;"!!!"),"NEW","")))</f>
        <v> </v>
      </c>
      <c r="G4435" s="23" t="str">
        <f>IF(OR(E4435="",E4435="!!!"),"",IF(OR(J4435=0,AND(J4435=1,K4435=1),AND(J4435=1,I4435="SBJ"),AND(J4435=1,I4435=0)),"?IN_FOCUS",IF(J4435&lt;=2,"?ACTIVATED",IF(J4435&lt;&gt;"","?FAMILIAR",IF(F4435="NEW",IF(ISNA(VLOOKUP(E4435,#REF!,1,FALSE())),"?TYPE_IDENTIFIABLE","?REFERENTIAL"),"_")))))</f>
        <v> </v>
      </c>
      <c r="H4435" s="24" t="str">
        <f>IF(J4435&lt;&gt;1,"",IF(I4435="SBJ","CB","?"))</f>
        <v> </v>
      </c>
      <c r="I4435" s="25" t="str">
        <f>IF(OR(E4435="",E4435="!!!",F4435="NEW"),"",INDEX(B4434:B$2,-1+SUMPRODUCT(MAX(ROW(E4434:E$2)*(E4435=E4434:E$2)))))</f>
        <v> </v>
      </c>
      <c r="J4435" s="25" t="str">
        <f>IF(OR(E4435="",E4435="!!!",F4435="NEW"),"",COUNTBLANK(OFFSET(A$1,,,SUMPRODUCT(MAX(ROW(E$2:E4435)*(E4435=E$2:E4435)))))-COUNTBLANK(OFFSET(A$1,,,SUMPRODUCT(MAX(ROW(E$1:E4434)*(E2=E$1:E4434))))))</f>
        <v> </v>
      </c>
      <c r="K4435" s="25" t="str">
        <f>IF(OR(E4435="",E4435="!!!",F4435="NEW"),"",INDEX(J$1:J4434,SUMPRODUCT(MAX(ROW(E$1:E4434)*(E4435=E$1:E4434)))))</f>
        <v> </v>
      </c>
      <c r="L4435" s="26"/>
    </row>
    <row r="4436" spans="1:12">
      <c r="A4436" s="20" t="s">
        <v>1887</v>
      </c>
      <c r="B4436" s="27" t="s">
        <v>1160</v>
      </c>
      <c r="C4436" s="27" t="s">
        <v>1120</v>
      </c>
      <c r="E4436" s="21">
        <f>IF(D4436="?OLD","!!!","")</f>
        <v/>
      </c>
      <c r="F4436" s="22" t="str">
        <f>IF(OR(E4436="",E4436="!!!"),"",IF(NOT(ISNA(VLOOKUP(E4436,E$1:E4435,1,FALSE()))),"OLD",IF(AND(E4436&lt;&gt;"",E4436&lt;&gt;"!!!"),"NEW","")))</f>
        <v> </v>
      </c>
      <c r="G4436" s="23" t="str">
        <f>IF(OR(E4436="",E4436="!!!"),"",IF(OR(J4436=0,AND(J4436=1,K4436=1),AND(J4436=1,I4436="SBJ"),AND(J4436=1,I4436=0)),"?IN_FOCUS",IF(J4436&lt;=2,"?ACTIVATED",IF(J4436&lt;&gt;"","?FAMILIAR",IF(F4436="NEW",IF(ISNA(VLOOKUP(E4436,#REF!,1,FALSE())),"?TYPE_IDENTIFIABLE","?REFERENTIAL"),"_")))))</f>
        <v> </v>
      </c>
      <c r="H4436" s="24" t="str">
        <f>IF(J4436&lt;&gt;1,"",IF(I4436="SBJ","CB","?"))</f>
        <v> </v>
      </c>
      <c r="I4436" s="25" t="str">
        <f>IF(OR(E4436="",E4436="!!!",F4436="NEW"),"",INDEX(B4435:B$2,-1+SUMPRODUCT(MAX(ROW(E4435:E$2)*(E4436=E4435:E$2)))))</f>
        <v> </v>
      </c>
      <c r="J4436" s="25" t="str">
        <f>IF(OR(E4436="",E4436="!!!",F4436="NEW"),"",COUNTBLANK(OFFSET(A$1,,,SUMPRODUCT(MAX(ROW(E$2:E4436)*(E4436=E$2:E4436)))))-COUNTBLANK(OFFSET(A$1,,,SUMPRODUCT(MAX(ROW(E$1:E4435)*(E2=E$1:E4435))))))</f>
        <v> </v>
      </c>
      <c r="K4436" s="25" t="str">
        <f>IF(OR(E4436="",E4436="!!!",F4436="NEW"),"",INDEX(J$1:J4435,SUMPRODUCT(MAX(ROW(E$1:E4435)*(E4436=E$1:E4435)))))</f>
        <v> </v>
      </c>
      <c r="L4436" s="26"/>
    </row>
    <row r="4437" spans="1:12">
      <c r="A4437" s="20" t="s">
        <v>1080</v>
      </c>
      <c r="E4437" s="21">
        <f>IF(D4437="?OLD","!!!","")</f>
        <v/>
      </c>
      <c r="F4437" s="22" t="str">
        <f>IF(OR(E4437="",E4437="!!!"),"",IF(NOT(ISNA(VLOOKUP(E4437,E$1:E4436,1,FALSE()))),"OLD",IF(AND(E4437&lt;&gt;"",E4437&lt;&gt;"!!!"),"NEW","")))</f>
        <v> </v>
      </c>
      <c r="G4437" s="23" t="str">
        <f>IF(OR(E4437="",E4437="!!!"),"",IF(OR(J4437=0,AND(J4437=1,K4437=1),AND(J4437=1,I4437="SBJ"),AND(J4437=1,I4437=0)),"?IN_FOCUS",IF(J4437&lt;=2,"?ACTIVATED",IF(J4437&lt;&gt;"","?FAMILIAR",IF(F4437="NEW",IF(ISNA(VLOOKUP(E4437,#REF!,1,FALSE())),"?TYPE_IDENTIFIABLE","?REFERENTIAL"),"_")))))</f>
        <v> </v>
      </c>
      <c r="H4437" s="24" t="str">
        <f>IF(J4437&lt;&gt;1,"",IF(I4437="SBJ","CB","?"))</f>
        <v> </v>
      </c>
      <c r="I4437" s="25" t="str">
        <f>IF(OR(E4437="",E4437="!!!",F4437="NEW"),"",INDEX(B4436:B$2,-1+SUMPRODUCT(MAX(ROW(E4436:E$2)*(E4437=E4436:E$2)))))</f>
        <v> </v>
      </c>
      <c r="J4437" s="25" t="str">
        <f>IF(OR(E4437="",E4437="!!!",F4437="NEW"),"",COUNTBLANK(OFFSET(A$1,,,SUMPRODUCT(MAX(ROW(E$2:E4437)*(E4437=E$2:E4437)))))-COUNTBLANK(OFFSET(A$1,,,SUMPRODUCT(MAX(ROW(E$1:E4436)*(E2=E$1:E4436))))))</f>
        <v> </v>
      </c>
      <c r="K4437" s="25" t="str">
        <f>IF(OR(E4437="",E4437="!!!",F4437="NEW"),"",INDEX(J$1:J4436,SUMPRODUCT(MAX(ROW(E$1:E4436)*(E4437=E$1:E4436)))))</f>
        <v> </v>
      </c>
      <c r="L4437" s="26"/>
    </row>
    <row r="4438" spans="1:12">
      <c r="A4438" s="20"/>
    </row>
    <row r="4439" spans="1:12">
      <c r="A4439" s="20" t="s">
        <v>2392</v>
      </c>
    </row>
    <row r="4440" spans="1:12">
      <c r="A4440" s="20" t="s">
        <v>1158</v>
      </c>
      <c r="B4440" s="27" t="s">
        <v>1067</v>
      </c>
      <c r="C4440" s="27" t="s">
        <v>1068</v>
      </c>
      <c r="D4440" s="27" t="s">
        <v>1069</v>
      </c>
      <c r="E4440" s="21">
        <f>IF(D4440="?OLD","!!!","")</f>
        <v/>
      </c>
      <c r="F4440" s="22" t="str">
        <f>IF(OR(E4440="",E4440="!!!"),"",IF(NOT(ISNA(VLOOKUP(E4440,E$1:E4439,1,FALSE()))),"OLD",IF(AND(E4440&lt;&gt;"",E4440&lt;&gt;"!!!"),"NEW","")))</f>
        <v> </v>
      </c>
      <c r="G4440" s="23" t="str">
        <f>IF(OR(E4440="",E4440="!!!"),"",IF(OR(J4440=0,AND(J4440=1,K4440=1),AND(J4440=1,I4440="SBJ"),AND(J4440=1,I4440=0)),"?IN_FOCUS",IF(J4440&lt;=2,"?ACTIVATED",IF(J4440&lt;&gt;"","?FAMILIAR",IF(F4440="NEW",IF(ISNA(VLOOKUP(E4440,#REF!,1,FALSE())),"?TYPE_IDENTIFIABLE","?REFERENTIAL"),"_")))))</f>
        <v> </v>
      </c>
      <c r="H4440" s="24" t="str">
        <f>IF(J4440&lt;&gt;1,"",IF(I4440="SBJ","CB","?"))</f>
        <v> </v>
      </c>
      <c r="I4440" s="25" t="str">
        <f>IF(OR(E4440="",E4440="!!!",F4440="NEW"),"",INDEX(B4439:B$2,-1+SUMPRODUCT(MAX(ROW(E4439:E$2)*(E4440=E4439:E$2)))))</f>
        <v> </v>
      </c>
      <c r="J4440" s="25" t="str">
        <f>IF(OR(E4440="",E4440="!!!",F4440="NEW"),"",COUNTBLANK(OFFSET(A$1,,,SUMPRODUCT(MAX(ROW(E$2:E4440)*(E4440=E$2:E4440)))))-COUNTBLANK(OFFSET(A$1,,,SUMPRODUCT(MAX(ROW(E$1:E4439)*(E2=E$1:E4439))))))</f>
        <v> </v>
      </c>
      <c r="K4440" s="25" t="str">
        <f>IF(OR(E4440="",E4440="!!!",F4440="NEW"),"",INDEX(J$1:J4439,SUMPRODUCT(MAX(ROW(E$1:E4439)*(E4440=E$1:E4439)))))</f>
        <v> </v>
      </c>
      <c r="L4440" s="26"/>
    </row>
    <row r="4441" spans="1:12">
      <c r="A4441" s="20" t="s">
        <v>1299</v>
      </c>
      <c r="E4441" s="21">
        <f>IF(D4441="?OLD","!!!","")</f>
        <v/>
      </c>
      <c r="F4441" s="22" t="str">
        <f>IF(OR(E4441="",E4441="!!!"),"",IF(NOT(ISNA(VLOOKUP(E4441,E$1:E4440,1,FALSE()))),"OLD",IF(AND(E4441&lt;&gt;"",E4441&lt;&gt;"!!!"),"NEW","")))</f>
        <v> </v>
      </c>
      <c r="G4441" s="23" t="str">
        <f>IF(OR(E4441="",E4441="!!!"),"",IF(OR(J4441=0,AND(J4441=1,K4441=1),AND(J4441=1,I4441="SBJ"),AND(J4441=1,I4441=0)),"?IN_FOCUS",IF(J4441&lt;=2,"?ACTIVATED",IF(J4441&lt;&gt;"","?FAMILIAR",IF(F4441="NEW",IF(ISNA(VLOOKUP(E4441,#REF!,1,FALSE())),"?TYPE_IDENTIFIABLE","?REFERENTIAL"),"_")))))</f>
        <v> </v>
      </c>
      <c r="H4441" s="24" t="str">
        <f>IF(J4441&lt;&gt;1,"",IF(I4441="SBJ","CB","?"))</f>
        <v> </v>
      </c>
      <c r="I4441" s="25" t="str">
        <f>IF(OR(E4441="",E4441="!!!",F4441="NEW"),"",INDEX(B4440:B$2,-1+SUMPRODUCT(MAX(ROW(E4440:E$2)*(E4441=E4440:E$2)))))</f>
        <v> </v>
      </c>
      <c r="J4441" s="25" t="str">
        <f>IF(OR(E4441="",E4441="!!!",F4441="NEW"),"",COUNTBLANK(OFFSET(A$1,,,SUMPRODUCT(MAX(ROW(E$2:E4441)*(E4441=E$2:E4441)))))-COUNTBLANK(OFFSET(A$1,,,SUMPRODUCT(MAX(ROW(E$1:E4440)*(E2=E$1:E4440))))))</f>
        <v> </v>
      </c>
      <c r="K4441" s="25" t="str">
        <f>IF(OR(E4441="",E4441="!!!",F4441="NEW"),"",INDEX(J$1:J4440,SUMPRODUCT(MAX(ROW(E$1:E4440)*(E4441=E$1:E4440)))))</f>
        <v> </v>
      </c>
      <c r="L4441" s="26"/>
    </row>
    <row r="4442" spans="1:12">
      <c r="A4442" s="20" t="s">
        <v>1228</v>
      </c>
      <c r="E4442" s="21">
        <f>IF(D4442="?OLD","!!!","")</f>
        <v/>
      </c>
      <c r="F4442" s="22" t="str">
        <f>IF(OR(E4442="",E4442="!!!"),"",IF(NOT(ISNA(VLOOKUP(E4442,E$1:E4441,1,FALSE()))),"OLD",IF(AND(E4442&lt;&gt;"",E4442&lt;&gt;"!!!"),"NEW","")))</f>
        <v> </v>
      </c>
      <c r="G4442" s="23" t="str">
        <f>IF(OR(E4442="",E4442="!!!"),"",IF(OR(J4442=0,AND(J4442=1,K4442=1),AND(J4442=1,I4442="SBJ"),AND(J4442=1,I4442=0)),"?IN_FOCUS",IF(J4442&lt;=2,"?ACTIVATED",IF(J4442&lt;&gt;"","?FAMILIAR",IF(F4442="NEW",IF(ISNA(VLOOKUP(E4442,#REF!,1,FALSE())),"?TYPE_IDENTIFIABLE","?REFERENTIAL"),"_")))))</f>
        <v> </v>
      </c>
      <c r="H4442" s="24" t="str">
        <f>IF(J4442&lt;&gt;1,"",IF(I4442="SBJ","CB","?"))</f>
        <v> </v>
      </c>
      <c r="I4442" s="25" t="str">
        <f>IF(OR(E4442="",E4442="!!!",F4442="NEW"),"",INDEX(B4441:B$2,-1+SUMPRODUCT(MAX(ROW(E4441:E$2)*(E4442=E4441:E$2)))))</f>
        <v> </v>
      </c>
      <c r="J4442" s="25" t="str">
        <f>IF(OR(E4442="",E4442="!!!",F4442="NEW"),"",COUNTBLANK(OFFSET(A$1,,,SUMPRODUCT(MAX(ROW(E$2:E4442)*(E4442=E$2:E4442)))))-COUNTBLANK(OFFSET(A$1,,,SUMPRODUCT(MAX(ROW(E$1:E4441)*(E2=E$1:E4441))))))</f>
        <v> </v>
      </c>
      <c r="K4442" s="25" t="str">
        <f>IF(OR(E4442="",E4442="!!!",F4442="NEW"),"",INDEX(J$1:J4441,SUMPRODUCT(MAX(ROW(E$1:E4441)*(E4442=E$1:E4441)))))</f>
        <v> </v>
      </c>
      <c r="L4442" s="26"/>
    </row>
    <row r="4443" spans="1:12">
      <c r="A4443" s="20" t="s">
        <v>2393</v>
      </c>
      <c r="E4443" s="21">
        <f>IF(D4443="?OLD","!!!","")</f>
        <v/>
      </c>
      <c r="F4443" s="22" t="str">
        <f>IF(OR(E4443="",E4443="!!!"),"",IF(NOT(ISNA(VLOOKUP(E4443,E$1:E4442,1,FALSE()))),"OLD",IF(AND(E4443&lt;&gt;"",E4443&lt;&gt;"!!!"),"NEW","")))</f>
        <v> </v>
      </c>
      <c r="G4443" s="23" t="str">
        <f>IF(OR(E4443="",E4443="!!!"),"",IF(OR(J4443=0,AND(J4443=1,K4443=1),AND(J4443=1,I4443="SBJ"),AND(J4443=1,I4443=0)),"?IN_FOCUS",IF(J4443&lt;=2,"?ACTIVATED",IF(J4443&lt;&gt;"","?FAMILIAR",IF(F4443="NEW",IF(ISNA(VLOOKUP(E4443,#REF!,1,FALSE())),"?TYPE_IDENTIFIABLE","?REFERENTIAL"),"_")))))</f>
        <v> </v>
      </c>
      <c r="H4443" s="24" t="str">
        <f>IF(J4443&lt;&gt;1,"",IF(I4443="SBJ","CB","?"))</f>
        <v> </v>
      </c>
      <c r="I4443" s="25" t="str">
        <f>IF(OR(E4443="",E4443="!!!",F4443="NEW"),"",INDEX(B4442:B$2,-1+SUMPRODUCT(MAX(ROW(E4442:E$2)*(E4443=E4442:E$2)))))</f>
        <v> </v>
      </c>
      <c r="J4443" s="25" t="str">
        <f>IF(OR(E4443="",E4443="!!!",F4443="NEW"),"",COUNTBLANK(OFFSET(A$1,,,SUMPRODUCT(MAX(ROW(E$2:E4443)*(E4443=E$2:E4443)))))-COUNTBLANK(OFFSET(A$1,,,SUMPRODUCT(MAX(ROW(E$1:E4442)*(E2=E$1:E4442))))))</f>
        <v> </v>
      </c>
      <c r="K4443" s="25" t="str">
        <f>IF(OR(E4443="",E4443="!!!",F4443="NEW"),"",INDEX(J$1:J4442,SUMPRODUCT(MAX(ROW(E$1:E4442)*(E4443=E$1:E4442)))))</f>
        <v> </v>
      </c>
      <c r="L4443" s="26"/>
    </row>
    <row r="4444" spans="1:12">
      <c r="A4444" s="20" t="s">
        <v>2394</v>
      </c>
      <c r="B4444" s="27" t="s">
        <v>1160</v>
      </c>
      <c r="C4444" s="27" t="s">
        <v>1120</v>
      </c>
      <c r="E4444" s="21">
        <f>IF(D4444="?OLD","!!!","")</f>
        <v/>
      </c>
      <c r="F4444" s="22" t="str">
        <f>IF(OR(E4444="",E4444="!!!"),"",IF(NOT(ISNA(VLOOKUP(E4444,E$1:E4443,1,FALSE()))),"OLD",IF(AND(E4444&lt;&gt;"",E4444&lt;&gt;"!!!"),"NEW","")))</f>
        <v> </v>
      </c>
      <c r="G4444" s="23" t="str">
        <f>IF(OR(E4444="",E4444="!!!"),"",IF(OR(J4444=0,AND(J4444=1,K4444=1),AND(J4444=1,I4444="SBJ"),AND(J4444=1,I4444=0)),"?IN_FOCUS",IF(J4444&lt;=2,"?ACTIVATED",IF(J4444&lt;&gt;"","?FAMILIAR",IF(F4444="NEW",IF(ISNA(VLOOKUP(E4444,#REF!,1,FALSE())),"?TYPE_IDENTIFIABLE","?REFERENTIAL"),"_")))))</f>
        <v> </v>
      </c>
      <c r="H4444" s="24" t="str">
        <f>IF(J4444&lt;&gt;1,"",IF(I4444="SBJ","CB","?"))</f>
        <v> </v>
      </c>
      <c r="I4444" s="25" t="str">
        <f>IF(OR(E4444="",E4444="!!!",F4444="NEW"),"",INDEX(B4443:B$2,-1+SUMPRODUCT(MAX(ROW(E4443:E$2)*(E4444=E4443:E$2)))))</f>
        <v> </v>
      </c>
      <c r="J4444" s="25" t="str">
        <f>IF(OR(E4444="",E4444="!!!",F4444="NEW"),"",COUNTBLANK(OFFSET(A$1,,,SUMPRODUCT(MAX(ROW(E$2:E4444)*(E4444=E$2:E4444)))))-COUNTBLANK(OFFSET(A$1,,,SUMPRODUCT(MAX(ROW(E$1:E4443)*(E2=E$1:E4443))))))</f>
        <v> </v>
      </c>
      <c r="K4444" s="25" t="str">
        <f>IF(OR(E4444="",E4444="!!!",F4444="NEW"),"",INDEX(J$1:J4443,SUMPRODUCT(MAX(ROW(E$1:E4443)*(E4444=E$1:E4443)))))</f>
        <v> </v>
      </c>
      <c r="L4444" s="26"/>
    </row>
    <row r="4445" spans="1:12">
      <c r="A4445" s="20" t="s">
        <v>1087</v>
      </c>
      <c r="E4445" s="21">
        <f>IF(D4445="?OLD","!!!","")</f>
        <v/>
      </c>
      <c r="F4445" s="22" t="str">
        <f>IF(OR(E4445="",E4445="!!!"),"",IF(NOT(ISNA(VLOOKUP(E4445,E$1:E4444,1,FALSE()))),"OLD",IF(AND(E4445&lt;&gt;"",E4445&lt;&gt;"!!!"),"NEW","")))</f>
        <v> </v>
      </c>
      <c r="G4445" s="23" t="str">
        <f>IF(OR(E4445="",E4445="!!!"),"",IF(OR(J4445=0,AND(J4445=1,K4445=1),AND(J4445=1,I4445="SBJ"),AND(J4445=1,I4445=0)),"?IN_FOCUS",IF(J4445&lt;=2,"?ACTIVATED",IF(J4445&lt;&gt;"","?FAMILIAR",IF(F4445="NEW",IF(ISNA(VLOOKUP(E4445,#REF!,1,FALSE())),"?TYPE_IDENTIFIABLE","?REFERENTIAL"),"_")))))</f>
        <v> </v>
      </c>
      <c r="H4445" s="24" t="str">
        <f>IF(J4445&lt;&gt;1,"",IF(I4445="SBJ","CB","?"))</f>
        <v> </v>
      </c>
      <c r="I4445" s="25" t="str">
        <f>IF(OR(E4445="",E4445="!!!",F4445="NEW"),"",INDEX(B4444:B$2,-1+SUMPRODUCT(MAX(ROW(E4444:E$2)*(E4445=E4444:E$2)))))</f>
        <v> </v>
      </c>
      <c r="J4445" s="25" t="str">
        <f>IF(OR(E4445="",E4445="!!!",F4445="NEW"),"",COUNTBLANK(OFFSET(A$1,,,SUMPRODUCT(MAX(ROW(E$2:E4445)*(E4445=E$2:E4445)))))-COUNTBLANK(OFFSET(A$1,,,SUMPRODUCT(MAX(ROW(E$1:E4444)*(E2=E$1:E4444))))))</f>
        <v> </v>
      </c>
      <c r="K4445" s="25" t="str">
        <f>IF(OR(E4445="",E4445="!!!",F4445="NEW"),"",INDEX(J$1:J4444,SUMPRODUCT(MAX(ROW(E$1:E4444)*(E4445=E$1:E4444)))))</f>
        <v> </v>
      </c>
      <c r="L4445" s="26"/>
    </row>
    <row r="4446" spans="1:12">
      <c r="A4446" s="20" t="s">
        <v>1266</v>
      </c>
      <c r="B4446" s="27" t="s">
        <v>1133</v>
      </c>
      <c r="E4446" s="21">
        <f>IF(D4446="?OLD","!!!","")</f>
        <v/>
      </c>
      <c r="F4446" s="22" t="str">
        <f>IF(OR(E4446="",E4446="!!!"),"",IF(NOT(ISNA(VLOOKUP(E4446,E$1:E4445,1,FALSE()))),"OLD",IF(AND(E4446&lt;&gt;"",E4446&lt;&gt;"!!!"),"NEW","")))</f>
        <v> </v>
      </c>
      <c r="G4446" s="23" t="str">
        <f>IF(OR(E4446="",E4446="!!!"),"",IF(OR(J4446=0,AND(J4446=1,K4446=1),AND(J4446=1,I4446="SBJ"),AND(J4446=1,I4446=0)),"?IN_FOCUS",IF(J4446&lt;=2,"?ACTIVATED",IF(J4446&lt;&gt;"","?FAMILIAR",IF(F4446="NEW",IF(ISNA(VLOOKUP(E4446,#REF!,1,FALSE())),"?TYPE_IDENTIFIABLE","?REFERENTIAL"),"_")))))</f>
        <v> </v>
      </c>
      <c r="H4446" s="24" t="str">
        <f>IF(J4446&lt;&gt;1,"",IF(I4446="SBJ","CB","?"))</f>
        <v> </v>
      </c>
      <c r="I4446" s="25" t="str">
        <f>IF(OR(E4446="",E4446="!!!",F4446="NEW"),"",INDEX(B4445:B$2,-1+SUMPRODUCT(MAX(ROW(E4445:E$2)*(E4446=E4445:E$2)))))</f>
        <v> </v>
      </c>
      <c r="J4446" s="25" t="str">
        <f>IF(OR(E4446="",E4446="!!!",F4446="NEW"),"",COUNTBLANK(OFFSET(A$1,,,SUMPRODUCT(MAX(ROW(E$2:E4446)*(E4446=E$2:E4446)))))-COUNTBLANK(OFFSET(A$1,,,SUMPRODUCT(MAX(ROW(E$1:E4445)*(E2=E$1:E4445))))))</f>
        <v> </v>
      </c>
      <c r="K4446" s="25" t="str">
        <f>IF(OR(E4446="",E4446="!!!",F4446="NEW"),"",INDEX(J$1:J4445,SUMPRODUCT(MAX(ROW(E$1:E4445)*(E4446=E$1:E4445)))))</f>
        <v> </v>
      </c>
      <c r="L4446" s="26"/>
    </row>
    <row r="4447" spans="1:12">
      <c r="A4447" s="20" t="s">
        <v>17</v>
      </c>
      <c r="B4447" s="27" t="s">
        <v>1133</v>
      </c>
      <c r="C4447" s="27" t="s">
        <v>1072</v>
      </c>
      <c r="E4447" s="21">
        <f>IF(D4447="?OLD","!!!","")</f>
        <v/>
      </c>
      <c r="F4447" s="22" t="str">
        <f>IF(OR(E4447="",E4447="!!!"),"",IF(NOT(ISNA(VLOOKUP(E4447,E$1:E4446,1,FALSE()))),"OLD",IF(AND(E4447&lt;&gt;"",E4447&lt;&gt;"!!!"),"NEW","")))</f>
        <v> </v>
      </c>
      <c r="G4447" s="23" t="str">
        <f>IF(OR(E4447="",E4447="!!!"),"",IF(OR(J4447=0,AND(J4447=1,K4447=1),AND(J4447=1,I4447="SBJ"),AND(J4447=1,I4447=0)),"?IN_FOCUS",IF(J4447&lt;=2,"?ACTIVATED",IF(J4447&lt;&gt;"","?FAMILIAR",IF(F4447="NEW",IF(ISNA(VLOOKUP(E4447,#REF!,1,FALSE())),"?TYPE_IDENTIFIABLE","?REFERENTIAL"),"_")))))</f>
        <v> </v>
      </c>
      <c r="H4447" s="24" t="str">
        <f>IF(J4447&lt;&gt;1,"",IF(I4447="SBJ","CB","?"))</f>
        <v> </v>
      </c>
      <c r="I4447" s="25" t="str">
        <f>IF(OR(E4447="",E4447="!!!",F4447="NEW"),"",INDEX(B4446:B$2,-1+SUMPRODUCT(MAX(ROW(E4446:E$2)*(E4447=E4446:E$2)))))</f>
        <v> </v>
      </c>
      <c r="J4447" s="25" t="str">
        <f>IF(OR(E4447="",E4447="!!!",F4447="NEW"),"",COUNTBLANK(OFFSET(A$1,,,SUMPRODUCT(MAX(ROW(E$2:E4447)*(E4447=E$2:E4447)))))-COUNTBLANK(OFFSET(A$1,,,SUMPRODUCT(MAX(ROW(E$1:E4446)*(E2=E$1:E4446))))))</f>
        <v> </v>
      </c>
      <c r="K4447" s="25" t="str">
        <f>IF(OR(E4447="",E4447="!!!",F4447="NEW"),"",INDEX(J$1:J4446,SUMPRODUCT(MAX(ROW(E$1:E4446)*(E4447=E$1:E4446)))))</f>
        <v> </v>
      </c>
      <c r="L4447" s="26"/>
    </row>
    <row r="4448" spans="1:12">
      <c r="A4448" s="20" t="s">
        <v>1721</v>
      </c>
      <c r="E4448" s="21">
        <f>IF(D4448="?OLD","!!!","")</f>
        <v/>
      </c>
      <c r="F4448" s="22" t="str">
        <f>IF(OR(E4448="",E4448="!!!"),"",IF(NOT(ISNA(VLOOKUP(E4448,E$1:E4447,1,FALSE()))),"OLD",IF(AND(E4448&lt;&gt;"",E4448&lt;&gt;"!!!"),"NEW","")))</f>
        <v> </v>
      </c>
      <c r="G4448" s="23" t="str">
        <f>IF(OR(E4448="",E4448="!!!"),"",IF(OR(J4448=0,AND(J4448=1,K4448=1),AND(J4448=1,I4448="SBJ"),AND(J4448=1,I4448=0)),"?IN_FOCUS",IF(J4448&lt;=2,"?ACTIVATED",IF(J4448&lt;&gt;"","?FAMILIAR",IF(F4448="NEW",IF(ISNA(VLOOKUP(E4448,#REF!,1,FALSE())),"?TYPE_IDENTIFIABLE","?REFERENTIAL"),"_")))))</f>
        <v> </v>
      </c>
      <c r="H4448" s="24" t="str">
        <f>IF(J4448&lt;&gt;1,"",IF(I4448="SBJ","CB","?"))</f>
        <v> </v>
      </c>
      <c r="I4448" s="25" t="str">
        <f>IF(OR(E4448="",E4448="!!!",F4448="NEW"),"",INDEX(B4447:B$2,-1+SUMPRODUCT(MAX(ROW(E4447:E$2)*(E4448=E4447:E$2)))))</f>
        <v> </v>
      </c>
      <c r="J4448" s="25" t="str">
        <f>IF(OR(E4448="",E4448="!!!",F4448="NEW"),"",COUNTBLANK(OFFSET(A$1,,,SUMPRODUCT(MAX(ROW(E$2:E4448)*(E4448=E$2:E4448)))))-COUNTBLANK(OFFSET(A$1,,,SUMPRODUCT(MAX(ROW(E$1:E4447)*(E2=E$1:E4447))))))</f>
        <v> </v>
      </c>
      <c r="K4448" s="25" t="str">
        <f>IF(OR(E4448="",E4448="!!!",F4448="NEW"),"",INDEX(J$1:J4447,SUMPRODUCT(MAX(ROW(E$1:E4447)*(E4448=E$1:E4447)))))</f>
        <v> </v>
      </c>
      <c r="L4448" s="26"/>
    </row>
    <row r="4449" spans="1:12">
      <c r="A4449" s="20" t="s">
        <v>1704</v>
      </c>
      <c r="E4449" s="21">
        <f>IF(D4449="?OLD","!!!","")</f>
        <v/>
      </c>
      <c r="F4449" s="22" t="str">
        <f>IF(OR(E4449="",E4449="!!!"),"",IF(NOT(ISNA(VLOOKUP(E4449,E$1:E4448,1,FALSE()))),"OLD",IF(AND(E4449&lt;&gt;"",E4449&lt;&gt;"!!!"),"NEW","")))</f>
        <v> </v>
      </c>
      <c r="G4449" s="23" t="str">
        <f>IF(OR(E4449="",E4449="!!!"),"",IF(OR(J4449=0,AND(J4449=1,K4449=1),AND(J4449=1,I4449="SBJ"),AND(J4449=1,I4449=0)),"?IN_FOCUS",IF(J4449&lt;=2,"?ACTIVATED",IF(J4449&lt;&gt;"","?FAMILIAR",IF(F4449="NEW",IF(ISNA(VLOOKUP(E4449,#REF!,1,FALSE())),"?TYPE_IDENTIFIABLE","?REFERENTIAL"),"_")))))</f>
        <v> </v>
      </c>
      <c r="H4449" s="24" t="str">
        <f>IF(J4449&lt;&gt;1,"",IF(I4449="SBJ","CB","?"))</f>
        <v> </v>
      </c>
      <c r="I4449" s="25" t="str">
        <f>IF(OR(E4449="",E4449="!!!",F4449="NEW"),"",INDEX(B4448:B$2,-1+SUMPRODUCT(MAX(ROW(E4448:E$2)*(E4449=E4448:E$2)))))</f>
        <v> </v>
      </c>
      <c r="J4449" s="25" t="str">
        <f>IF(OR(E4449="",E4449="!!!",F4449="NEW"),"",COUNTBLANK(OFFSET(A$1,,,SUMPRODUCT(MAX(ROW(E$2:E4449)*(E4449=E$2:E4449)))))-COUNTBLANK(OFFSET(A$1,,,SUMPRODUCT(MAX(ROW(E$1:E4448)*(E2=E$1:E4448))))))</f>
        <v> </v>
      </c>
      <c r="K4449" s="25" t="str">
        <f>IF(OR(E4449="",E4449="!!!",F4449="NEW"),"",INDEX(J$1:J4448,SUMPRODUCT(MAX(ROW(E$1:E4448)*(E4449=E$1:E4448)))))</f>
        <v> </v>
      </c>
      <c r="L4449" s="26"/>
    </row>
    <row r="4450" spans="1:12">
      <c r="A4450" s="20" t="s">
        <v>1087</v>
      </c>
      <c r="E4450" s="21">
        <f>IF(D4450="?OLD","!!!","")</f>
        <v/>
      </c>
      <c r="F4450" s="22" t="str">
        <f>IF(OR(E4450="",E4450="!!!"),"",IF(NOT(ISNA(VLOOKUP(E4450,E$1:E4449,1,FALSE()))),"OLD",IF(AND(E4450&lt;&gt;"",E4450&lt;&gt;"!!!"),"NEW","")))</f>
        <v> </v>
      </c>
      <c r="G4450" s="23" t="str">
        <f>IF(OR(E4450="",E4450="!!!"),"",IF(OR(J4450=0,AND(J4450=1,K4450=1),AND(J4450=1,I4450="SBJ"),AND(J4450=1,I4450=0)),"?IN_FOCUS",IF(J4450&lt;=2,"?ACTIVATED",IF(J4450&lt;&gt;"","?FAMILIAR",IF(F4450="NEW",IF(ISNA(VLOOKUP(E4450,#REF!,1,FALSE())),"?TYPE_IDENTIFIABLE","?REFERENTIAL"),"_")))))</f>
        <v> </v>
      </c>
      <c r="H4450" s="24" t="str">
        <f>IF(J4450&lt;&gt;1,"",IF(I4450="SBJ","CB","?"))</f>
        <v> </v>
      </c>
      <c r="I4450" s="25" t="str">
        <f>IF(OR(E4450="",E4450="!!!",F4450="NEW"),"",INDEX(B4449:B$2,-1+SUMPRODUCT(MAX(ROW(E4449:E$2)*(E4450=E4449:E$2)))))</f>
        <v> </v>
      </c>
      <c r="J4450" s="25" t="str">
        <f>IF(OR(E4450="",E4450="!!!",F4450="NEW"),"",COUNTBLANK(OFFSET(A$1,,,SUMPRODUCT(MAX(ROW(E$2:E4450)*(E4450=E$2:E4450)))))-COUNTBLANK(OFFSET(A$1,,,SUMPRODUCT(MAX(ROW(E$1:E4449)*(E2=E$1:E4449))))))</f>
        <v> </v>
      </c>
      <c r="K4450" s="25" t="str">
        <f>IF(OR(E4450="",E4450="!!!",F4450="NEW"),"",INDEX(J$1:J4449,SUMPRODUCT(MAX(ROW(E$1:E4449)*(E4450=E$1:E4449)))))</f>
        <v> </v>
      </c>
      <c r="L4450" s="26"/>
    </row>
    <row r="4451" spans="1:12">
      <c r="A4451" s="20" t="s">
        <v>1301</v>
      </c>
      <c r="E4451" s="21">
        <f>IF(D4451="?OLD","!!!","")</f>
        <v/>
      </c>
      <c r="F4451" s="22" t="str">
        <f>IF(OR(E4451="",E4451="!!!"),"",IF(NOT(ISNA(VLOOKUP(E4451,E$1:E4450,1,FALSE()))),"OLD",IF(AND(E4451&lt;&gt;"",E4451&lt;&gt;"!!!"),"NEW","")))</f>
        <v> </v>
      </c>
      <c r="G4451" s="23" t="str">
        <f>IF(OR(E4451="",E4451="!!!"),"",IF(OR(J4451=0,AND(J4451=1,K4451=1),AND(J4451=1,I4451="SBJ"),AND(J4451=1,I4451=0)),"?IN_FOCUS",IF(J4451&lt;=2,"?ACTIVATED",IF(J4451&lt;&gt;"","?FAMILIAR",IF(F4451="NEW",IF(ISNA(VLOOKUP(E4451,#REF!,1,FALSE())),"?TYPE_IDENTIFIABLE","?REFERENTIAL"),"_")))))</f>
        <v> </v>
      </c>
      <c r="H4451" s="24" t="str">
        <f>IF(J4451&lt;&gt;1,"",IF(I4451="SBJ","CB","?"))</f>
        <v> </v>
      </c>
      <c r="I4451" s="25" t="str">
        <f>IF(OR(E4451="",E4451="!!!",F4451="NEW"),"",INDEX(B4450:B$2,-1+SUMPRODUCT(MAX(ROW(E4450:E$2)*(E4451=E4450:E$2)))))</f>
        <v> </v>
      </c>
      <c r="J4451" s="25" t="str">
        <f>IF(OR(E4451="",E4451="!!!",F4451="NEW"),"",COUNTBLANK(OFFSET(A$1,,,SUMPRODUCT(MAX(ROW(E$2:E4451)*(E4451=E$2:E4451)))))-COUNTBLANK(OFFSET(A$1,,,SUMPRODUCT(MAX(ROW(E$1:E4450)*(E2=E$1:E4450))))))</f>
        <v> </v>
      </c>
      <c r="K4451" s="25" t="str">
        <f>IF(OR(E4451="",E4451="!!!",F4451="NEW"),"",INDEX(J$1:J4450,SUMPRODUCT(MAX(ROW(E$1:E4450)*(E4451=E$1:E4450)))))</f>
        <v> </v>
      </c>
      <c r="L4451" s="26"/>
    </row>
    <row r="4452" spans="1:12">
      <c r="A4452" s="20" t="s">
        <v>1085</v>
      </c>
      <c r="E4452" s="21">
        <f>IF(D4452="?OLD","!!!","")</f>
        <v/>
      </c>
      <c r="F4452" s="22" t="str">
        <f>IF(OR(E4452="",E4452="!!!"),"",IF(NOT(ISNA(VLOOKUP(E4452,E$1:E4451,1,FALSE()))),"OLD",IF(AND(E4452&lt;&gt;"",E4452&lt;&gt;"!!!"),"NEW","")))</f>
        <v> </v>
      </c>
      <c r="G4452" s="23" t="str">
        <f>IF(OR(E4452="",E4452="!!!"),"",IF(OR(J4452=0,AND(J4452=1,K4452=1),AND(J4452=1,I4452="SBJ"),AND(J4452=1,I4452=0)),"?IN_FOCUS",IF(J4452&lt;=2,"?ACTIVATED",IF(J4452&lt;&gt;"","?FAMILIAR",IF(F4452="NEW",IF(ISNA(VLOOKUP(E4452,#REF!,1,FALSE())),"?TYPE_IDENTIFIABLE","?REFERENTIAL"),"_")))))</f>
        <v> </v>
      </c>
      <c r="H4452" s="24" t="str">
        <f>IF(J4452&lt;&gt;1,"",IF(I4452="SBJ","CB","?"))</f>
        <v> </v>
      </c>
      <c r="I4452" s="25" t="str">
        <f>IF(OR(E4452="",E4452="!!!",F4452="NEW"),"",INDEX(B4451:B$2,-1+SUMPRODUCT(MAX(ROW(E4451:E$2)*(E4452=E4451:E$2)))))</f>
        <v> </v>
      </c>
      <c r="J4452" s="25" t="str">
        <f>IF(OR(E4452="",E4452="!!!",F4452="NEW"),"",COUNTBLANK(OFFSET(A$1,,,SUMPRODUCT(MAX(ROW(E$2:E4452)*(E4452=E$2:E4452)))))-COUNTBLANK(OFFSET(A$1,,,SUMPRODUCT(MAX(ROW(E$1:E4451)*(E2=E$1:E4451))))))</f>
        <v> </v>
      </c>
      <c r="K4452" s="25" t="str">
        <f>IF(OR(E4452="",E4452="!!!",F4452="NEW"),"",INDEX(J$1:J4451,SUMPRODUCT(MAX(ROW(E$1:E4451)*(E4452=E$1:E4451)))))</f>
        <v> </v>
      </c>
      <c r="L4452" s="26"/>
    </row>
    <row r="4453" spans="1:12">
      <c r="A4453" s="20" t="s">
        <v>121</v>
      </c>
      <c r="E4453" s="21">
        <f>IF(D4453="?OLD","!!!","")</f>
        <v/>
      </c>
      <c r="F4453" s="22" t="str">
        <f>IF(OR(E4453="",E4453="!!!"),"",IF(NOT(ISNA(VLOOKUP(E4453,E$1:E4452,1,FALSE()))),"OLD",IF(AND(E4453&lt;&gt;"",E4453&lt;&gt;"!!!"),"NEW","")))</f>
        <v> </v>
      </c>
      <c r="G4453" s="23" t="str">
        <f>IF(OR(E4453="",E4453="!!!"),"",IF(OR(J4453=0,AND(J4453=1,K4453=1),AND(J4453=1,I4453="SBJ"),AND(J4453=1,I4453=0)),"?IN_FOCUS",IF(J4453&lt;=2,"?ACTIVATED",IF(J4453&lt;&gt;"","?FAMILIAR",IF(F4453="NEW",IF(ISNA(VLOOKUP(E4453,#REF!,1,FALSE())),"?TYPE_IDENTIFIABLE","?REFERENTIAL"),"_")))))</f>
        <v> </v>
      </c>
      <c r="H4453" s="24" t="str">
        <f>IF(J4453&lt;&gt;1,"",IF(I4453="SBJ","CB","?"))</f>
        <v> </v>
      </c>
      <c r="I4453" s="25" t="str">
        <f>IF(OR(E4453="",E4453="!!!",F4453="NEW"),"",INDEX(B4452:B$2,-1+SUMPRODUCT(MAX(ROW(E4452:E$2)*(E4453=E4452:E$2)))))</f>
        <v> </v>
      </c>
      <c r="J4453" s="25" t="str">
        <f>IF(OR(E4453="",E4453="!!!",F4453="NEW"),"",COUNTBLANK(OFFSET(A$1,,,SUMPRODUCT(MAX(ROW(E$2:E4453)*(E4453=E$2:E4453)))))-COUNTBLANK(OFFSET(A$1,,,SUMPRODUCT(MAX(ROW(E$1:E4452)*(E2=E$1:E4452))))))</f>
        <v> </v>
      </c>
      <c r="K4453" s="25" t="str">
        <f>IF(OR(E4453="",E4453="!!!",F4453="NEW"),"",INDEX(J$1:J4452,SUMPRODUCT(MAX(ROW(E$1:E4452)*(E4453=E$1:E4452)))))</f>
        <v> </v>
      </c>
      <c r="L4453" s="26"/>
    </row>
    <row r="4454" spans="1:12">
      <c r="A4454" s="20" t="s">
        <v>1104</v>
      </c>
      <c r="B4454" s="27" t="s">
        <v>1133</v>
      </c>
      <c r="E4454" s="21">
        <f>IF(D4454="?OLD","!!!","")</f>
        <v/>
      </c>
      <c r="F4454" s="22" t="str">
        <f>IF(OR(E4454="",E4454="!!!"),"",IF(NOT(ISNA(VLOOKUP(E4454,E$1:E4453,1,FALSE()))),"OLD",IF(AND(E4454&lt;&gt;"",E4454&lt;&gt;"!!!"),"NEW","")))</f>
        <v> </v>
      </c>
      <c r="G4454" s="23" t="str">
        <f>IF(OR(E4454="",E4454="!!!"),"",IF(OR(J4454=0,AND(J4454=1,K4454=1),AND(J4454=1,I4454="SBJ"),AND(J4454=1,I4454=0)),"?IN_FOCUS",IF(J4454&lt;=2,"?ACTIVATED",IF(J4454&lt;&gt;"","?FAMILIAR",IF(F4454="NEW",IF(ISNA(VLOOKUP(E4454,#REF!,1,FALSE())),"?TYPE_IDENTIFIABLE","?REFERENTIAL"),"_")))))</f>
        <v> </v>
      </c>
      <c r="H4454" s="24" t="str">
        <f>IF(J4454&lt;&gt;1,"",IF(I4454="SBJ","CB","?"))</f>
        <v> </v>
      </c>
      <c r="I4454" s="25" t="str">
        <f>IF(OR(E4454="",E4454="!!!",F4454="NEW"),"",INDEX(B4453:B$2,-1+SUMPRODUCT(MAX(ROW(E4453:E$2)*(E4454=E4453:E$2)))))</f>
        <v> </v>
      </c>
      <c r="J4454" s="25" t="str">
        <f>IF(OR(E4454="",E4454="!!!",F4454="NEW"),"",COUNTBLANK(OFFSET(A$1,,,SUMPRODUCT(MAX(ROW(E$2:E4454)*(E4454=E$2:E4454)))))-COUNTBLANK(OFFSET(A$1,,,SUMPRODUCT(MAX(ROW(E$1:E4453)*(E2=E$1:E4453))))))</f>
        <v> </v>
      </c>
      <c r="K4454" s="25" t="str">
        <f>IF(OR(E4454="",E4454="!!!",F4454="NEW"),"",INDEX(J$1:J4453,SUMPRODUCT(MAX(ROW(E$1:E4453)*(E4454=E$1:E4453)))))</f>
        <v> </v>
      </c>
      <c r="L4454" s="26"/>
    </row>
    <row r="4455" spans="1:12">
      <c r="A4455" s="20" t="s">
        <v>1083</v>
      </c>
      <c r="E4455" s="21">
        <f>IF(D4455="?OLD","!!!","")</f>
        <v/>
      </c>
      <c r="F4455" s="22" t="str">
        <f>IF(OR(E4455="",E4455="!!!"),"",IF(NOT(ISNA(VLOOKUP(E4455,E$1:E4454,1,FALSE()))),"OLD",IF(AND(E4455&lt;&gt;"",E4455&lt;&gt;"!!!"),"NEW","")))</f>
        <v> </v>
      </c>
      <c r="G4455" s="23" t="str">
        <f>IF(OR(E4455="",E4455="!!!"),"",IF(OR(J4455=0,AND(J4455=1,K4455=1),AND(J4455=1,I4455="SBJ"),AND(J4455=1,I4455=0)),"?IN_FOCUS",IF(J4455&lt;=2,"?ACTIVATED",IF(J4455&lt;&gt;"","?FAMILIAR",IF(F4455="NEW",IF(ISNA(VLOOKUP(E4455,#REF!,1,FALSE())),"?TYPE_IDENTIFIABLE","?REFERENTIAL"),"_")))))</f>
        <v> </v>
      </c>
      <c r="H4455" s="24" t="str">
        <f>IF(J4455&lt;&gt;1,"",IF(I4455="SBJ","CB","?"))</f>
        <v> </v>
      </c>
      <c r="I4455" s="25" t="str">
        <f>IF(OR(E4455="",E4455="!!!",F4455="NEW"),"",INDEX(B4454:B$2,-1+SUMPRODUCT(MAX(ROW(E4454:E$2)*(E4455=E4454:E$2)))))</f>
        <v> </v>
      </c>
      <c r="J4455" s="25" t="str">
        <f>IF(OR(E4455="",E4455="!!!",F4455="NEW"),"",COUNTBLANK(OFFSET(A$1,,,SUMPRODUCT(MAX(ROW(E$2:E4455)*(E4455=E$2:E4455)))))-COUNTBLANK(OFFSET(A$1,,,SUMPRODUCT(MAX(ROW(E$1:E4454)*(E2=E$1:E4454))))))</f>
        <v> </v>
      </c>
      <c r="K4455" s="25" t="str">
        <f>IF(OR(E4455="",E4455="!!!",F4455="NEW"),"",INDEX(J$1:J4454,SUMPRODUCT(MAX(ROW(E$1:E4454)*(E4455=E$1:E4454)))))</f>
        <v> </v>
      </c>
      <c r="L4455" s="26"/>
    </row>
    <row r="4456" spans="1:12">
      <c r="A4456" s="20" t="s">
        <v>1075</v>
      </c>
      <c r="E4456" s="21">
        <f>IF(D4456="?OLD","!!!","")</f>
        <v/>
      </c>
      <c r="F4456" s="22" t="str">
        <f>IF(OR(E4456="",E4456="!!!"),"",IF(NOT(ISNA(VLOOKUP(E4456,E$1:E4455,1,FALSE()))),"OLD",IF(AND(E4456&lt;&gt;"",E4456&lt;&gt;"!!!"),"NEW","")))</f>
        <v> </v>
      </c>
      <c r="G4456" s="23" t="str">
        <f>IF(OR(E4456="",E4456="!!!"),"",IF(OR(J4456=0,AND(J4456=1,K4456=1),AND(J4456=1,I4456="SBJ"),AND(J4456=1,I4456=0)),"?IN_FOCUS",IF(J4456&lt;=2,"?ACTIVATED",IF(J4456&lt;&gt;"","?FAMILIAR",IF(F4456="NEW",IF(ISNA(VLOOKUP(E4456,#REF!,1,FALSE())),"?TYPE_IDENTIFIABLE","?REFERENTIAL"),"_")))))</f>
        <v> </v>
      </c>
      <c r="H4456" s="24" t="str">
        <f>IF(J4456&lt;&gt;1,"",IF(I4456="SBJ","CB","?"))</f>
        <v> </v>
      </c>
      <c r="I4456" s="25" t="str">
        <f>IF(OR(E4456="",E4456="!!!",F4456="NEW"),"",INDEX(B4455:B$2,-1+SUMPRODUCT(MAX(ROW(E4455:E$2)*(E4456=E4455:E$2)))))</f>
        <v> </v>
      </c>
      <c r="J4456" s="25" t="str">
        <f>IF(OR(E4456="",E4456="!!!",F4456="NEW"),"",COUNTBLANK(OFFSET(A$1,,,SUMPRODUCT(MAX(ROW(E$2:E4456)*(E4456=E$2:E4456)))))-COUNTBLANK(OFFSET(A$1,,,SUMPRODUCT(MAX(ROW(E$1:E4455)*(E2=E$1:E4455))))))</f>
        <v> </v>
      </c>
      <c r="K4456" s="25" t="str">
        <f>IF(OR(E4456="",E4456="!!!",F4456="NEW"),"",INDEX(J$1:J4455,SUMPRODUCT(MAX(ROW(E$1:E4455)*(E4456=E$1:E4455)))))</f>
        <v> </v>
      </c>
      <c r="L4456" s="26"/>
    </row>
    <row r="4457" spans="1:12">
      <c r="A4457" s="20" t="s">
        <v>1242</v>
      </c>
      <c r="B4457" s="27" t="s">
        <v>1090</v>
      </c>
      <c r="C4457" s="27" t="s">
        <v>1110</v>
      </c>
      <c r="D4457" s="27" t="s">
        <v>1069</v>
      </c>
      <c r="E4457" s="21">
        <f>IF(D4457="?OLD","!!!","")</f>
        <v/>
      </c>
      <c r="F4457" s="22" t="str">
        <f>IF(OR(E4457="",E4457="!!!"),"",IF(NOT(ISNA(VLOOKUP(E4457,E$1:E4456,1,FALSE()))),"OLD",IF(AND(E4457&lt;&gt;"",E4457&lt;&gt;"!!!"),"NEW","")))</f>
        <v> </v>
      </c>
      <c r="G4457" s="23" t="str">
        <f>IF(OR(E4457="",E4457="!!!"),"",IF(OR(J4457=0,AND(J4457=1,K4457=1),AND(J4457=1,I4457="SBJ"),AND(J4457=1,I4457=0)),"?IN_FOCUS",IF(J4457&lt;=2,"?ACTIVATED",IF(J4457&lt;&gt;"","?FAMILIAR",IF(F4457="NEW",IF(ISNA(VLOOKUP(E4457,#REF!,1,FALSE())),"?TYPE_IDENTIFIABLE","?REFERENTIAL"),"_")))))</f>
        <v> </v>
      </c>
      <c r="H4457" s="24" t="str">
        <f>IF(J4457&lt;&gt;1,"",IF(I4457="SBJ","CB","?"))</f>
        <v> </v>
      </c>
      <c r="I4457" s="25" t="str">
        <f>IF(OR(E4457="",E4457="!!!",F4457="NEW"),"",INDEX(B4456:B$2,-1+SUMPRODUCT(MAX(ROW(E4456:E$2)*(E4457=E4456:E$2)))))</f>
        <v> </v>
      </c>
      <c r="J4457" s="25" t="str">
        <f>IF(OR(E4457="",E4457="!!!",F4457="NEW"),"",COUNTBLANK(OFFSET(A$1,,,SUMPRODUCT(MAX(ROW(E$2:E4457)*(E4457=E$2:E4457)))))-COUNTBLANK(OFFSET(A$1,,,SUMPRODUCT(MAX(ROW(E$1:E4456)*(E2=E$1:E4456))))))</f>
        <v> </v>
      </c>
      <c r="K4457" s="25" t="str">
        <f>IF(OR(E4457="",E4457="!!!",F4457="NEW"),"",INDEX(J$1:J4456,SUMPRODUCT(MAX(ROW(E$1:E4456)*(E4457=E$1:E4456)))))</f>
        <v> </v>
      </c>
      <c r="L4457" s="26"/>
    </row>
    <row r="4458" spans="1:12">
      <c r="A4458" s="20" t="s">
        <v>1080</v>
      </c>
      <c r="E4458" s="21">
        <f>IF(D4458="?OLD","!!!","")</f>
        <v/>
      </c>
      <c r="F4458" s="22" t="str">
        <f>IF(OR(E4458="",E4458="!!!"),"",IF(NOT(ISNA(VLOOKUP(E4458,E$1:E4457,1,FALSE()))),"OLD",IF(AND(E4458&lt;&gt;"",E4458&lt;&gt;"!!!"),"NEW","")))</f>
        <v> </v>
      </c>
      <c r="G4458" s="23" t="str">
        <f>IF(OR(E4458="",E4458="!!!"),"",IF(OR(J4458=0,AND(J4458=1,K4458=1),AND(J4458=1,I4458="SBJ"),AND(J4458=1,I4458=0)),"?IN_FOCUS",IF(J4458&lt;=2,"?ACTIVATED",IF(J4458&lt;&gt;"","?FAMILIAR",IF(F4458="NEW",IF(ISNA(VLOOKUP(E4458,#REF!,1,FALSE())),"?TYPE_IDENTIFIABLE","?REFERENTIAL"),"_")))))</f>
        <v> </v>
      </c>
      <c r="H4458" s="24" t="str">
        <f>IF(J4458&lt;&gt;1,"",IF(I4458="SBJ","CB","?"))</f>
        <v> </v>
      </c>
      <c r="I4458" s="25" t="str">
        <f>IF(OR(E4458="",E4458="!!!",F4458="NEW"),"",INDEX(B4457:B$2,-1+SUMPRODUCT(MAX(ROW(E4457:E$2)*(E4458=E4457:E$2)))))</f>
        <v> </v>
      </c>
      <c r="J4458" s="25" t="str">
        <f>IF(OR(E4458="",E4458="!!!",F4458="NEW"),"",COUNTBLANK(OFFSET(A$1,,,SUMPRODUCT(MAX(ROW(E$2:E4458)*(E4458=E$2:E4458)))))-COUNTBLANK(OFFSET(A$1,,,SUMPRODUCT(MAX(ROW(E$1:E4457)*(E2=E$1:E4457))))))</f>
        <v> </v>
      </c>
      <c r="K4458" s="25" t="str">
        <f>IF(OR(E4458="",E4458="!!!",F4458="NEW"),"",INDEX(J$1:J4457,SUMPRODUCT(MAX(ROW(E$1:E4457)*(E4458=E$1:E4457)))))</f>
        <v> </v>
      </c>
      <c r="L4458" s="26"/>
    </row>
    <row r="4459" spans="1:12">
      <c r="A4459" s="20"/>
    </row>
    <row r="4460" spans="1:12">
      <c r="A4460" s="20" t="s">
        <v>2395</v>
      </c>
    </row>
    <row r="4461" spans="1:12">
      <c r="A4461" s="20" t="s">
        <v>1082</v>
      </c>
      <c r="E4461" s="21">
        <f>IF(D4461="?OLD","!!!","")</f>
        <v/>
      </c>
      <c r="F4461" s="22" t="str">
        <f>IF(OR(E4461="",E4461="!!!"),"",IF(NOT(ISNA(VLOOKUP(E4461,E$1:E4460,1,FALSE()))),"OLD",IF(AND(E4461&lt;&gt;"",E4461&lt;&gt;"!!!"),"NEW","")))</f>
        <v> </v>
      </c>
      <c r="G4461" s="23" t="str">
        <f>IF(OR(E4461="",E4461="!!!"),"",IF(OR(J4461=0,AND(J4461=1,K4461=1),AND(J4461=1,I4461="SBJ"),AND(J4461=1,I4461=0)),"?IN_FOCUS",IF(J4461&lt;=2,"?ACTIVATED",IF(J4461&lt;&gt;"","?FAMILIAR",IF(F4461="NEW",IF(ISNA(VLOOKUP(E4461,#REF!,1,FALSE())),"?TYPE_IDENTIFIABLE","?REFERENTIAL"),"_")))))</f>
        <v> </v>
      </c>
      <c r="H4461" s="24" t="str">
        <f>IF(J4461&lt;&gt;1,"",IF(I4461="SBJ","CB","?"))</f>
        <v> </v>
      </c>
      <c r="I4461" s="25" t="str">
        <f>IF(OR(E4461="",E4461="!!!",F4461="NEW"),"",INDEX(B4460:B$2,-1+SUMPRODUCT(MAX(ROW(E4460:E$2)*(E4461=E4460:E$2)))))</f>
        <v> </v>
      </c>
      <c r="J4461" s="25" t="str">
        <f>IF(OR(E4461="",E4461="!!!",F4461="NEW"),"",COUNTBLANK(OFFSET(A$1,,,SUMPRODUCT(MAX(ROW(E$2:E4461)*(E4461=E$2:E4461)))))-COUNTBLANK(OFFSET(A$1,,,SUMPRODUCT(MAX(ROW(E$1:E4460)*(E2=E$1:E4460))))))</f>
        <v> </v>
      </c>
      <c r="K4461" s="25" t="str">
        <f>IF(OR(E4461="",E4461="!!!",F4461="NEW"),"",INDEX(J$1:J4460,SUMPRODUCT(MAX(ROW(E$1:E4460)*(E4461=E$1:E4460)))))</f>
        <v> </v>
      </c>
      <c r="L4461" s="26"/>
    </row>
    <row r="4462" spans="1:12">
      <c r="A4462" s="20" t="s">
        <v>1283</v>
      </c>
      <c r="E4462" s="21">
        <f>IF(D4462="?OLD","!!!","")</f>
        <v/>
      </c>
      <c r="F4462" s="22" t="str">
        <f>IF(OR(E4462="",E4462="!!!"),"",IF(NOT(ISNA(VLOOKUP(E4462,E$1:E4461,1,FALSE()))),"OLD",IF(AND(E4462&lt;&gt;"",E4462&lt;&gt;"!!!"),"NEW","")))</f>
        <v> </v>
      </c>
      <c r="G4462" s="23" t="str">
        <f>IF(OR(E4462="",E4462="!!!"),"",IF(OR(J4462=0,AND(J4462=1,K4462=1),AND(J4462=1,I4462="SBJ"),AND(J4462=1,I4462=0)),"?IN_FOCUS",IF(J4462&lt;=2,"?ACTIVATED",IF(J4462&lt;&gt;"","?FAMILIAR",IF(F4462="NEW",IF(ISNA(VLOOKUP(E4462,#REF!,1,FALSE())),"?TYPE_IDENTIFIABLE","?REFERENTIAL"),"_")))))</f>
        <v> </v>
      </c>
      <c r="H4462" s="24" t="str">
        <f>IF(J4462&lt;&gt;1,"",IF(I4462="SBJ","CB","?"))</f>
        <v> </v>
      </c>
      <c r="I4462" s="25" t="str">
        <f>IF(OR(E4462="",E4462="!!!",F4462="NEW"),"",INDEX(B4461:B$2,-1+SUMPRODUCT(MAX(ROW(E4461:E$2)*(E4462=E4461:E$2)))))</f>
        <v> </v>
      </c>
      <c r="J4462" s="25" t="str">
        <f>IF(OR(E4462="",E4462="!!!",F4462="NEW"),"",COUNTBLANK(OFFSET(A$1,,,SUMPRODUCT(MAX(ROW(E$2:E4462)*(E4462=E$2:E4462)))))-COUNTBLANK(OFFSET(A$1,,,SUMPRODUCT(MAX(ROW(E$1:E4461)*(E2=E$1:E4461))))))</f>
        <v> </v>
      </c>
      <c r="K4462" s="25" t="str">
        <f>IF(OR(E4462="",E4462="!!!",F4462="NEW"),"",INDEX(J$1:J4461,SUMPRODUCT(MAX(ROW(E$1:E4461)*(E4462=E$1:E4461)))))</f>
        <v> </v>
      </c>
      <c r="L4462" s="26"/>
    </row>
    <row r="4463" spans="1:12">
      <c r="A4463" s="20" t="s">
        <v>1299</v>
      </c>
      <c r="E4463" s="21">
        <f>IF(D4463="?OLD","!!!","")</f>
        <v/>
      </c>
      <c r="F4463" s="22" t="str">
        <f>IF(OR(E4463="",E4463="!!!"),"",IF(NOT(ISNA(VLOOKUP(E4463,E$1:E4462,1,FALSE()))),"OLD",IF(AND(E4463&lt;&gt;"",E4463&lt;&gt;"!!!"),"NEW","")))</f>
        <v> </v>
      </c>
      <c r="G4463" s="23" t="str">
        <f>IF(OR(E4463="",E4463="!!!"),"",IF(OR(J4463=0,AND(J4463=1,K4463=1),AND(J4463=1,I4463="SBJ"),AND(J4463=1,I4463=0)),"?IN_FOCUS",IF(J4463&lt;=2,"?ACTIVATED",IF(J4463&lt;&gt;"","?FAMILIAR",IF(F4463="NEW",IF(ISNA(VLOOKUP(E4463,#REF!,1,FALSE())),"?TYPE_IDENTIFIABLE","?REFERENTIAL"),"_")))))</f>
        <v> </v>
      </c>
      <c r="H4463" s="24" t="str">
        <f>IF(J4463&lt;&gt;1,"",IF(I4463="SBJ","CB","?"))</f>
        <v> </v>
      </c>
      <c r="I4463" s="25" t="str">
        <f>IF(OR(E4463="",E4463="!!!",F4463="NEW"),"",INDEX(B4462:B$2,-1+SUMPRODUCT(MAX(ROW(E4462:E$2)*(E4463=E4462:E$2)))))</f>
        <v> </v>
      </c>
      <c r="J4463" s="25" t="str">
        <f>IF(OR(E4463="",E4463="!!!",F4463="NEW"),"",COUNTBLANK(OFFSET(A$1,,,SUMPRODUCT(MAX(ROW(E$2:E4463)*(E4463=E$2:E4463)))))-COUNTBLANK(OFFSET(A$1,,,SUMPRODUCT(MAX(ROW(E$1:E4462)*(E2=E$1:E4462))))))</f>
        <v> </v>
      </c>
      <c r="K4463" s="25" t="str">
        <f>IF(OR(E4463="",E4463="!!!",F4463="NEW"),"",INDEX(J$1:J4462,SUMPRODUCT(MAX(ROW(E$1:E4462)*(E4463=E$1:E4462)))))</f>
        <v> </v>
      </c>
      <c r="L4463" s="26"/>
    </row>
    <row r="4464" spans="1:12">
      <c r="A4464" s="20" t="s">
        <v>1167</v>
      </c>
      <c r="E4464" s="21">
        <f>IF(D4464="?OLD","!!!","")</f>
        <v/>
      </c>
      <c r="F4464" s="22" t="str">
        <f>IF(OR(E4464="",E4464="!!!"),"",IF(NOT(ISNA(VLOOKUP(E4464,E$1:E4463,1,FALSE()))),"OLD",IF(AND(E4464&lt;&gt;"",E4464&lt;&gt;"!!!"),"NEW","")))</f>
        <v> </v>
      </c>
      <c r="G4464" s="23" t="str">
        <f>IF(OR(E4464="",E4464="!!!"),"",IF(OR(J4464=0,AND(J4464=1,K4464=1),AND(J4464=1,I4464="SBJ"),AND(J4464=1,I4464=0)),"?IN_FOCUS",IF(J4464&lt;=2,"?ACTIVATED",IF(J4464&lt;&gt;"","?FAMILIAR",IF(F4464="NEW",IF(ISNA(VLOOKUP(E4464,#REF!,1,FALSE())),"?TYPE_IDENTIFIABLE","?REFERENTIAL"),"_")))))</f>
        <v> </v>
      </c>
      <c r="H4464" s="24" t="str">
        <f>IF(J4464&lt;&gt;1,"",IF(I4464="SBJ","CB","?"))</f>
        <v> </v>
      </c>
      <c r="I4464" s="25" t="str">
        <f>IF(OR(E4464="",E4464="!!!",F4464="NEW"),"",INDEX(B4463:B$2,-1+SUMPRODUCT(MAX(ROW(E4463:E$2)*(E4464=E4463:E$2)))))</f>
        <v> </v>
      </c>
      <c r="J4464" s="25" t="str">
        <f>IF(OR(E4464="",E4464="!!!",F4464="NEW"),"",COUNTBLANK(OFFSET(A$1,,,SUMPRODUCT(MAX(ROW(E$2:E4464)*(E4464=E$2:E4464)))))-COUNTBLANK(OFFSET(A$1,,,SUMPRODUCT(MAX(ROW(E$1:E4463)*(E2=E$1:E4463))))))</f>
        <v> </v>
      </c>
      <c r="K4464" s="25" t="str">
        <f>IF(OR(E4464="",E4464="!!!",F4464="NEW"),"",INDEX(J$1:J4463,SUMPRODUCT(MAX(ROW(E$1:E4463)*(E4464=E$1:E4463)))))</f>
        <v> </v>
      </c>
      <c r="L4464" s="26"/>
    </row>
    <row r="4465" spans="1:12">
      <c r="A4465" s="20" t="s">
        <v>1385</v>
      </c>
      <c r="E4465" s="21">
        <f>IF(D4465="?OLD","!!!","")</f>
        <v/>
      </c>
      <c r="F4465" s="22" t="str">
        <f>IF(OR(E4465="",E4465="!!!"),"",IF(NOT(ISNA(VLOOKUP(E4465,E$1:E4464,1,FALSE()))),"OLD",IF(AND(E4465&lt;&gt;"",E4465&lt;&gt;"!!!"),"NEW","")))</f>
        <v> </v>
      </c>
      <c r="G4465" s="23" t="str">
        <f>IF(OR(E4465="",E4465="!!!"),"",IF(OR(J4465=0,AND(J4465=1,K4465=1),AND(J4465=1,I4465="SBJ"),AND(J4465=1,I4465=0)),"?IN_FOCUS",IF(J4465&lt;=2,"?ACTIVATED",IF(J4465&lt;&gt;"","?FAMILIAR",IF(F4465="NEW",IF(ISNA(VLOOKUP(E4465,#REF!,1,FALSE())),"?TYPE_IDENTIFIABLE","?REFERENTIAL"),"_")))))</f>
        <v> </v>
      </c>
      <c r="H4465" s="24" t="str">
        <f>IF(J4465&lt;&gt;1,"",IF(I4465="SBJ","CB","?"))</f>
        <v> </v>
      </c>
      <c r="I4465" s="25" t="str">
        <f>IF(OR(E4465="",E4465="!!!",F4465="NEW"),"",INDEX(B4464:B$2,-1+SUMPRODUCT(MAX(ROW(E4464:E$2)*(E4465=E4464:E$2)))))</f>
        <v> </v>
      </c>
      <c r="J4465" s="25" t="str">
        <f>IF(OR(E4465="",E4465="!!!",F4465="NEW"),"",COUNTBLANK(OFFSET(A$1,,,SUMPRODUCT(MAX(ROW(E$2:E4465)*(E4465=E$2:E4465)))))-COUNTBLANK(OFFSET(A$1,,,SUMPRODUCT(MAX(ROW(E$1:E4464)*(E2=E$1:E4464))))))</f>
        <v> </v>
      </c>
      <c r="K4465" s="25" t="str">
        <f>IF(OR(E4465="",E4465="!!!",F4465="NEW"),"",INDEX(J$1:J4464,SUMPRODUCT(MAX(ROW(E$1:E4464)*(E4465=E$1:E4464)))))</f>
        <v> </v>
      </c>
      <c r="L4465" s="26"/>
    </row>
    <row r="4466" spans="1:12">
      <c r="A4466" s="20" t="s">
        <v>1087</v>
      </c>
      <c r="E4466" s="21">
        <f>IF(D4466="?OLD","!!!","")</f>
        <v/>
      </c>
      <c r="F4466" s="22" t="str">
        <f>IF(OR(E4466="",E4466="!!!"),"",IF(NOT(ISNA(VLOOKUP(E4466,E$1:E4465,1,FALSE()))),"OLD",IF(AND(E4466&lt;&gt;"",E4466&lt;&gt;"!!!"),"NEW","")))</f>
        <v> </v>
      </c>
      <c r="G4466" s="23" t="str">
        <f>IF(OR(E4466="",E4466="!!!"),"",IF(OR(J4466=0,AND(J4466=1,K4466=1),AND(J4466=1,I4466="SBJ"),AND(J4466=1,I4466=0)),"?IN_FOCUS",IF(J4466&lt;=2,"?ACTIVATED",IF(J4466&lt;&gt;"","?FAMILIAR",IF(F4466="NEW",IF(ISNA(VLOOKUP(E4466,#REF!,1,FALSE())),"?TYPE_IDENTIFIABLE","?REFERENTIAL"),"_")))))</f>
        <v> </v>
      </c>
      <c r="H4466" s="24" t="str">
        <f>IF(J4466&lt;&gt;1,"",IF(I4466="SBJ","CB","?"))</f>
        <v> </v>
      </c>
      <c r="I4466" s="25" t="str">
        <f>IF(OR(E4466="",E4466="!!!",F4466="NEW"),"",INDEX(B4465:B$2,-1+SUMPRODUCT(MAX(ROW(E4465:E$2)*(E4466=E4465:E$2)))))</f>
        <v> </v>
      </c>
      <c r="J4466" s="25" t="str">
        <f>IF(OR(E4466="",E4466="!!!",F4466="NEW"),"",COUNTBLANK(OFFSET(A$1,,,SUMPRODUCT(MAX(ROW(E$2:E4466)*(E4466=E$2:E4466)))))-COUNTBLANK(OFFSET(A$1,,,SUMPRODUCT(MAX(ROW(E$1:E4465)*(E2=E$1:E4465))))))</f>
        <v> </v>
      </c>
      <c r="K4466" s="25" t="str">
        <f>IF(OR(E4466="",E4466="!!!",F4466="NEW"),"",INDEX(J$1:J4465,SUMPRODUCT(MAX(ROW(E$1:E4465)*(E4466=E$1:E4465)))))</f>
        <v> </v>
      </c>
      <c r="L4466" s="26"/>
    </row>
    <row r="4467" spans="1:12">
      <c r="A4467" s="20" t="s">
        <v>1301</v>
      </c>
      <c r="E4467" s="21">
        <f>IF(D4467="?OLD","!!!","")</f>
        <v/>
      </c>
      <c r="F4467" s="22" t="str">
        <f>IF(OR(E4467="",E4467="!!!"),"",IF(NOT(ISNA(VLOOKUP(E4467,E$1:E4466,1,FALSE()))),"OLD",IF(AND(E4467&lt;&gt;"",E4467&lt;&gt;"!!!"),"NEW","")))</f>
        <v> </v>
      </c>
      <c r="G4467" s="23" t="str">
        <f>IF(OR(E4467="",E4467="!!!"),"",IF(OR(J4467=0,AND(J4467=1,K4467=1),AND(J4467=1,I4467="SBJ"),AND(J4467=1,I4467=0)),"?IN_FOCUS",IF(J4467&lt;=2,"?ACTIVATED",IF(J4467&lt;&gt;"","?FAMILIAR",IF(F4467="NEW",IF(ISNA(VLOOKUP(E4467,#REF!,1,FALSE())),"?TYPE_IDENTIFIABLE","?REFERENTIAL"),"_")))))</f>
        <v> </v>
      </c>
      <c r="H4467" s="24" t="str">
        <f>IF(J4467&lt;&gt;1,"",IF(I4467="SBJ","CB","?"))</f>
        <v> </v>
      </c>
      <c r="I4467" s="25" t="str">
        <f>IF(OR(E4467="",E4467="!!!",F4467="NEW"),"",INDEX(B4466:B$2,-1+SUMPRODUCT(MAX(ROW(E4466:E$2)*(E4467=E4466:E$2)))))</f>
        <v> </v>
      </c>
      <c r="J4467" s="25" t="str">
        <f>IF(OR(E4467="",E4467="!!!",F4467="NEW"),"",COUNTBLANK(OFFSET(A$1,,,SUMPRODUCT(MAX(ROW(E$2:E4467)*(E4467=E$2:E4467)))))-COUNTBLANK(OFFSET(A$1,,,SUMPRODUCT(MAX(ROW(E$1:E4466)*(E2=E$1:E4466))))))</f>
        <v> </v>
      </c>
      <c r="K4467" s="25" t="str">
        <f>IF(OR(E4467="",E4467="!!!",F4467="NEW"),"",INDEX(J$1:J4466,SUMPRODUCT(MAX(ROW(E$1:E4466)*(E4467=E$1:E4466)))))</f>
        <v> </v>
      </c>
      <c r="L4467" s="26"/>
    </row>
    <row r="4468" spans="1:12">
      <c r="A4468" s="20" t="s">
        <v>1083</v>
      </c>
      <c r="E4468" s="21">
        <f>IF(D4468="?OLD","!!!","")</f>
        <v/>
      </c>
      <c r="F4468" s="22" t="str">
        <f>IF(OR(E4468="",E4468="!!!"),"",IF(NOT(ISNA(VLOOKUP(E4468,E$1:E4467,1,FALSE()))),"OLD",IF(AND(E4468&lt;&gt;"",E4468&lt;&gt;"!!!"),"NEW","")))</f>
        <v> </v>
      </c>
      <c r="G4468" s="23" t="str">
        <f>IF(OR(E4468="",E4468="!!!"),"",IF(OR(J4468=0,AND(J4468=1,K4468=1),AND(J4468=1,I4468="SBJ"),AND(J4468=1,I4468=0)),"?IN_FOCUS",IF(J4468&lt;=2,"?ACTIVATED",IF(J4468&lt;&gt;"","?FAMILIAR",IF(F4468="NEW",IF(ISNA(VLOOKUP(E4468,#REF!,1,FALSE())),"?TYPE_IDENTIFIABLE","?REFERENTIAL"),"_")))))</f>
        <v> </v>
      </c>
      <c r="H4468" s="24" t="str">
        <f>IF(J4468&lt;&gt;1,"",IF(I4468="SBJ","CB","?"))</f>
        <v> </v>
      </c>
      <c r="I4468" s="25" t="str">
        <f>IF(OR(E4468="",E4468="!!!",F4468="NEW"),"",INDEX(B4467:B$2,-1+SUMPRODUCT(MAX(ROW(E4467:E$2)*(E4468=E4467:E$2)))))</f>
        <v> </v>
      </c>
      <c r="J4468" s="25" t="str">
        <f>IF(OR(E4468="",E4468="!!!",F4468="NEW"),"",COUNTBLANK(OFFSET(A$1,,,SUMPRODUCT(MAX(ROW(E$2:E4468)*(E4468=E$2:E4468)))))-COUNTBLANK(OFFSET(A$1,,,SUMPRODUCT(MAX(ROW(E$1:E4467)*(E2=E$1:E4467))))))</f>
        <v> </v>
      </c>
      <c r="K4468" s="25" t="str">
        <f>IF(OR(E4468="",E4468="!!!",F4468="NEW"),"",INDEX(J$1:J4467,SUMPRODUCT(MAX(ROW(E$1:E4467)*(E4468=E$1:E4467)))))</f>
        <v> </v>
      </c>
      <c r="L4468" s="26"/>
    </row>
    <row r="4469" spans="1:12">
      <c r="A4469" s="20" t="s">
        <v>2396</v>
      </c>
      <c r="E4469" s="21">
        <f>IF(D4469="?OLD","!!!","")</f>
        <v/>
      </c>
      <c r="F4469" s="22" t="str">
        <f>IF(OR(E4469="",E4469="!!!"),"",IF(NOT(ISNA(VLOOKUP(E4469,E$1:E4468,1,FALSE()))),"OLD",IF(AND(E4469&lt;&gt;"",E4469&lt;&gt;"!!!"),"NEW","")))</f>
        <v> </v>
      </c>
      <c r="G4469" s="23" t="str">
        <f>IF(OR(E4469="",E4469="!!!"),"",IF(OR(J4469=0,AND(J4469=1,K4469=1),AND(J4469=1,I4469="SBJ"),AND(J4469=1,I4469=0)),"?IN_FOCUS",IF(J4469&lt;=2,"?ACTIVATED",IF(J4469&lt;&gt;"","?FAMILIAR",IF(F4469="NEW",IF(ISNA(VLOOKUP(E4469,#REF!,1,FALSE())),"?TYPE_IDENTIFIABLE","?REFERENTIAL"),"_")))))</f>
        <v> </v>
      </c>
      <c r="H4469" s="24" t="str">
        <f>IF(J4469&lt;&gt;1,"",IF(I4469="SBJ","CB","?"))</f>
        <v> </v>
      </c>
      <c r="I4469" s="25" t="str">
        <f>IF(OR(E4469="",E4469="!!!",F4469="NEW"),"",INDEX(B4468:B$2,-1+SUMPRODUCT(MAX(ROW(E4468:E$2)*(E4469=E4468:E$2)))))</f>
        <v> </v>
      </c>
      <c r="J4469" s="25" t="str">
        <f>IF(OR(E4469="",E4469="!!!",F4469="NEW"),"",COUNTBLANK(OFFSET(A$1,,,SUMPRODUCT(MAX(ROW(E$2:E4469)*(E4469=E$2:E4469)))))-COUNTBLANK(OFFSET(A$1,,,SUMPRODUCT(MAX(ROW(E$1:E4468)*(E2=E$1:E4468))))))</f>
        <v> </v>
      </c>
      <c r="K4469" s="25" t="str">
        <f>IF(OR(E4469="",E4469="!!!",F4469="NEW"),"",INDEX(J$1:J4468,SUMPRODUCT(MAX(ROW(E$1:E4468)*(E4469=E$1:E4468)))))</f>
        <v> </v>
      </c>
      <c r="L4469" s="26"/>
    </row>
    <row r="4470" spans="1:12">
      <c r="A4470" s="20" t="s">
        <v>1895</v>
      </c>
      <c r="B4470" s="27" t="s">
        <v>1074</v>
      </c>
      <c r="C4470" s="27" t="s">
        <v>1896</v>
      </c>
      <c r="D4470" s="27" t="s">
        <v>1069</v>
      </c>
      <c r="E4470" s="21">
        <f>IF(D4470="?OLD","!!!","")</f>
        <v/>
      </c>
      <c r="F4470" s="22" t="str">
        <f>IF(OR(E4470="",E4470="!!!"),"",IF(NOT(ISNA(VLOOKUP(E4470,E$1:E4469,1,FALSE()))),"OLD",IF(AND(E4470&lt;&gt;"",E4470&lt;&gt;"!!!"),"NEW","")))</f>
        <v> </v>
      </c>
      <c r="G4470" s="23" t="str">
        <f>IF(OR(E4470="",E4470="!!!"),"",IF(OR(J4470=0,AND(J4470=1,K4470=1),AND(J4470=1,I4470="SBJ"),AND(J4470=1,I4470=0)),"?IN_FOCUS",IF(J4470&lt;=2,"?ACTIVATED",IF(J4470&lt;&gt;"","?FAMILIAR",IF(F4470="NEW",IF(ISNA(VLOOKUP(E4470,#REF!,1,FALSE())),"?TYPE_IDENTIFIABLE","?REFERENTIAL"),"_")))))</f>
        <v> </v>
      </c>
      <c r="H4470" s="24" t="str">
        <f>IF(J4470&lt;&gt;1,"",IF(I4470="SBJ","CB","?"))</f>
        <v> </v>
      </c>
      <c r="I4470" s="25" t="str">
        <f>IF(OR(E4470="",E4470="!!!",F4470="NEW"),"",INDEX(B4469:B$2,-1+SUMPRODUCT(MAX(ROW(E4469:E$2)*(E4470=E4469:E$2)))))</f>
        <v> </v>
      </c>
      <c r="J4470" s="25" t="str">
        <f>IF(OR(E4470="",E4470="!!!",F4470="NEW"),"",COUNTBLANK(OFFSET(A$1,,,SUMPRODUCT(MAX(ROW(E$2:E4470)*(E4470=E$2:E4470)))))-COUNTBLANK(OFFSET(A$1,,,SUMPRODUCT(MAX(ROW(E$1:E4469)*(E2=E$1:E4469))))))</f>
        <v> </v>
      </c>
      <c r="K4470" s="25" t="str">
        <f>IF(OR(E4470="",E4470="!!!",F4470="NEW"),"",INDEX(J$1:J4469,SUMPRODUCT(MAX(ROW(E$1:E4469)*(E4470=E$1:E4469)))))</f>
        <v> </v>
      </c>
      <c r="L4470" s="26"/>
    </row>
    <row r="4471" spans="1:12">
      <c r="A4471" s="20" t="s">
        <v>1191</v>
      </c>
      <c r="E4471" s="21">
        <f>IF(D4471="?OLD","!!!","")</f>
        <v/>
      </c>
      <c r="F4471" s="22" t="str">
        <f>IF(OR(E4471="",E4471="!!!"),"",IF(NOT(ISNA(VLOOKUP(E4471,E$1:E4470,1,FALSE()))),"OLD",IF(AND(E4471&lt;&gt;"",E4471&lt;&gt;"!!!"),"NEW","")))</f>
        <v> </v>
      </c>
      <c r="G4471" s="23" t="str">
        <f>IF(OR(E4471="",E4471="!!!"),"",IF(OR(J4471=0,AND(J4471=1,K4471=1),AND(J4471=1,I4471="SBJ"),AND(J4471=1,I4471=0)),"?IN_FOCUS",IF(J4471&lt;=2,"?ACTIVATED",IF(J4471&lt;&gt;"","?FAMILIAR",IF(F4471="NEW",IF(ISNA(VLOOKUP(E4471,#REF!,1,FALSE())),"?TYPE_IDENTIFIABLE","?REFERENTIAL"),"_")))))</f>
        <v> </v>
      </c>
      <c r="H4471" s="24" t="str">
        <f>IF(J4471&lt;&gt;1,"",IF(I4471="SBJ","CB","?"))</f>
        <v> </v>
      </c>
      <c r="I4471" s="25" t="str">
        <f>IF(OR(E4471="",E4471="!!!",F4471="NEW"),"",INDEX(B4470:B$2,-1+SUMPRODUCT(MAX(ROW(E4470:E$2)*(E4471=E4470:E$2)))))</f>
        <v> </v>
      </c>
      <c r="J4471" s="25" t="str">
        <f>IF(OR(E4471="",E4471="!!!",F4471="NEW"),"",COUNTBLANK(OFFSET(A$1,,,SUMPRODUCT(MAX(ROW(E$2:E4471)*(E4471=E$2:E4471)))))-COUNTBLANK(OFFSET(A$1,,,SUMPRODUCT(MAX(ROW(E$1:E4470)*(E2=E$1:E4470))))))</f>
        <v> </v>
      </c>
      <c r="K4471" s="25" t="str">
        <f>IF(OR(E4471="",E4471="!!!",F4471="NEW"),"",INDEX(J$1:J4470,SUMPRODUCT(MAX(ROW(E$1:E4470)*(E4471=E$1:E4470)))))</f>
        <v> </v>
      </c>
      <c r="L4471" s="26"/>
    </row>
    <row r="4472" spans="1:12">
      <c r="A4472" s="20" t="s">
        <v>1087</v>
      </c>
      <c r="E4472" s="21">
        <f>IF(D4472="?OLD","!!!","")</f>
        <v/>
      </c>
      <c r="F4472" s="22" t="str">
        <f>IF(OR(E4472="",E4472="!!!"),"",IF(NOT(ISNA(VLOOKUP(E4472,E$1:E4471,1,FALSE()))),"OLD",IF(AND(E4472&lt;&gt;"",E4472&lt;&gt;"!!!"),"NEW","")))</f>
        <v> </v>
      </c>
      <c r="G4472" s="23" t="str">
        <f>IF(OR(E4472="",E4472="!!!"),"",IF(OR(J4472=0,AND(J4472=1,K4472=1),AND(J4472=1,I4472="SBJ"),AND(J4472=1,I4472=0)),"?IN_FOCUS",IF(J4472&lt;=2,"?ACTIVATED",IF(J4472&lt;&gt;"","?FAMILIAR",IF(F4472="NEW",IF(ISNA(VLOOKUP(E4472,#REF!,1,FALSE())),"?TYPE_IDENTIFIABLE","?REFERENTIAL"),"_")))))</f>
        <v> </v>
      </c>
      <c r="H4472" s="24" t="str">
        <f>IF(J4472&lt;&gt;1,"",IF(I4472="SBJ","CB","?"))</f>
        <v> </v>
      </c>
      <c r="I4472" s="25" t="str">
        <f>IF(OR(E4472="",E4472="!!!",F4472="NEW"),"",INDEX(B4471:B$2,-1+SUMPRODUCT(MAX(ROW(E4471:E$2)*(E4472=E4471:E$2)))))</f>
        <v> </v>
      </c>
      <c r="J4472" s="25" t="str">
        <f>IF(OR(E4472="",E4472="!!!",F4472="NEW"),"",COUNTBLANK(OFFSET(A$1,,,SUMPRODUCT(MAX(ROW(E$2:E4472)*(E4472=E$2:E4472)))))-COUNTBLANK(OFFSET(A$1,,,SUMPRODUCT(MAX(ROW(E$1:E4471)*(E2=E$1:E4471))))))</f>
        <v> </v>
      </c>
      <c r="K4472" s="25" t="str">
        <f>IF(OR(E4472="",E4472="!!!",F4472="NEW"),"",INDEX(J$1:J4471,SUMPRODUCT(MAX(ROW(E$1:E4471)*(E4472=E$1:E4471)))))</f>
        <v> </v>
      </c>
      <c r="L4472" s="26"/>
    </row>
    <row r="4473" spans="1:12">
      <c r="A4473" s="20" t="s">
        <v>1149</v>
      </c>
      <c r="E4473" s="21">
        <f>IF(D4473="?OLD","!!!","")</f>
        <v/>
      </c>
      <c r="F4473" s="22" t="str">
        <f>IF(OR(E4473="",E4473="!!!"),"",IF(NOT(ISNA(VLOOKUP(E4473,E$1:E4472,1,FALSE()))),"OLD",IF(AND(E4473&lt;&gt;"",E4473&lt;&gt;"!!!"),"NEW","")))</f>
        <v> </v>
      </c>
      <c r="G4473" s="23" t="str">
        <f>IF(OR(E4473="",E4473="!!!"),"",IF(OR(J4473=0,AND(J4473=1,K4473=1),AND(J4473=1,I4473="SBJ"),AND(J4473=1,I4473=0)),"?IN_FOCUS",IF(J4473&lt;=2,"?ACTIVATED",IF(J4473&lt;&gt;"","?FAMILIAR",IF(F4473="NEW",IF(ISNA(VLOOKUP(E4473,#REF!,1,FALSE())),"?TYPE_IDENTIFIABLE","?REFERENTIAL"),"_")))))</f>
        <v> </v>
      </c>
      <c r="H4473" s="24" t="str">
        <f>IF(J4473&lt;&gt;1,"",IF(I4473="SBJ","CB","?"))</f>
        <v> </v>
      </c>
      <c r="I4473" s="25" t="str">
        <f>IF(OR(E4473="",E4473="!!!",F4473="NEW"),"",INDEX(B4472:B$2,-1+SUMPRODUCT(MAX(ROW(E4472:E$2)*(E4473=E4472:E$2)))))</f>
        <v> </v>
      </c>
      <c r="J4473" s="25" t="str">
        <f>IF(OR(E4473="",E4473="!!!",F4473="NEW"),"",COUNTBLANK(OFFSET(A$1,,,SUMPRODUCT(MAX(ROW(E$2:E4473)*(E4473=E$2:E4473)))))-COUNTBLANK(OFFSET(A$1,,,SUMPRODUCT(MAX(ROW(E$1:E4472)*(E2=E$1:E4472))))))</f>
        <v> </v>
      </c>
      <c r="K4473" s="25" t="str">
        <f>IF(OR(E4473="",E4473="!!!",F4473="NEW"),"",INDEX(J$1:J4472,SUMPRODUCT(MAX(ROW(E$1:E4472)*(E4473=E$1:E4472)))))</f>
        <v> </v>
      </c>
      <c r="L4473" s="26"/>
    </row>
    <row r="4474" spans="1:12">
      <c r="A4474" s="20" t="s">
        <v>141</v>
      </c>
      <c r="E4474" s="21">
        <f>IF(D4474="?OLD","!!!","")</f>
        <v/>
      </c>
      <c r="F4474" s="22" t="str">
        <f>IF(OR(E4474="",E4474="!!!"),"",IF(NOT(ISNA(VLOOKUP(E4474,E$1:E4473,1,FALSE()))),"OLD",IF(AND(E4474&lt;&gt;"",E4474&lt;&gt;"!!!"),"NEW","")))</f>
        <v> </v>
      </c>
      <c r="G4474" s="23" t="str">
        <f>IF(OR(E4474="",E4474="!!!"),"",IF(OR(J4474=0,AND(J4474=1,K4474=1),AND(J4474=1,I4474="SBJ"),AND(J4474=1,I4474=0)),"?IN_FOCUS",IF(J4474&lt;=2,"?ACTIVATED",IF(J4474&lt;&gt;"","?FAMILIAR",IF(F4474="NEW",IF(ISNA(VLOOKUP(E4474,#REF!,1,FALSE())),"?TYPE_IDENTIFIABLE","?REFERENTIAL"),"_")))))</f>
        <v> </v>
      </c>
      <c r="H4474" s="24" t="str">
        <f>IF(J4474&lt;&gt;1,"",IF(I4474="SBJ","CB","?"))</f>
        <v> </v>
      </c>
      <c r="I4474" s="25" t="str">
        <f>IF(OR(E4474="",E4474="!!!",F4474="NEW"),"",INDEX(B4473:B$2,-1+SUMPRODUCT(MAX(ROW(E4473:E$2)*(E4474=E4473:E$2)))))</f>
        <v> </v>
      </c>
      <c r="J4474" s="25" t="str">
        <f>IF(OR(E4474="",E4474="!!!",F4474="NEW"),"",COUNTBLANK(OFFSET(A$1,,,SUMPRODUCT(MAX(ROW(E$2:E4474)*(E4474=E$2:E4474)))))-COUNTBLANK(OFFSET(A$1,,,SUMPRODUCT(MAX(ROW(E$1:E4473)*(E2=E$1:E4473))))))</f>
        <v> </v>
      </c>
      <c r="K4474" s="25" t="str">
        <f>IF(OR(E4474="",E4474="!!!",F4474="NEW"),"",INDEX(J$1:J4473,SUMPRODUCT(MAX(ROW(E$1:E4473)*(E4474=E$1:E4473)))))</f>
        <v> </v>
      </c>
      <c r="L4474" s="26"/>
    </row>
    <row r="4475" spans="1:12">
      <c r="A4475" s="20" t="s">
        <v>2397</v>
      </c>
      <c r="B4475" s="27" t="s">
        <v>1095</v>
      </c>
      <c r="C4475" s="27" t="s">
        <v>1120</v>
      </c>
      <c r="E4475" s="21">
        <f>IF(D4475="?OLD","!!!","")</f>
        <v/>
      </c>
      <c r="F4475" s="22" t="str">
        <f>IF(OR(E4475="",E4475="!!!"),"",IF(NOT(ISNA(VLOOKUP(E4475,E$1:E4474,1,FALSE()))),"OLD",IF(AND(E4475&lt;&gt;"",E4475&lt;&gt;"!!!"),"NEW","")))</f>
        <v> </v>
      </c>
      <c r="G4475" s="23" t="str">
        <f>IF(OR(E4475="",E4475="!!!"),"",IF(OR(J4475=0,AND(J4475=1,K4475=1),AND(J4475=1,I4475="SBJ"),AND(J4475=1,I4475=0)),"?IN_FOCUS",IF(J4475&lt;=2,"?ACTIVATED",IF(J4475&lt;&gt;"","?FAMILIAR",IF(F4475="NEW",IF(ISNA(VLOOKUP(E4475,#REF!,1,FALSE())),"?TYPE_IDENTIFIABLE","?REFERENTIAL"),"_")))))</f>
        <v> </v>
      </c>
      <c r="H4475" s="24" t="str">
        <f>IF(J4475&lt;&gt;1,"",IF(I4475="SBJ","CB","?"))</f>
        <v> </v>
      </c>
      <c r="I4475" s="25" t="str">
        <f>IF(OR(E4475="",E4475="!!!",F4475="NEW"),"",INDEX(B4474:B$2,-1+SUMPRODUCT(MAX(ROW(E4474:E$2)*(E4475=E4474:E$2)))))</f>
        <v> </v>
      </c>
      <c r="J4475" s="25" t="str">
        <f>IF(OR(E4475="",E4475="!!!",F4475="NEW"),"",COUNTBLANK(OFFSET(A$1,,,SUMPRODUCT(MAX(ROW(E$2:E4475)*(E4475=E$2:E4475)))))-COUNTBLANK(OFFSET(A$1,,,SUMPRODUCT(MAX(ROW(E$1:E4474)*(E2=E$1:E4474))))))</f>
        <v> </v>
      </c>
      <c r="K4475" s="25" t="str">
        <f>IF(OR(E4475="",E4475="!!!",F4475="NEW"),"",INDEX(J$1:J4474,SUMPRODUCT(MAX(ROW(E$1:E4474)*(E4475=E$1:E4474)))))</f>
        <v> </v>
      </c>
      <c r="L4475" s="26"/>
    </row>
    <row r="4476" spans="1:12">
      <c r="A4476" s="20" t="s">
        <v>1185</v>
      </c>
      <c r="E4476" s="21">
        <f>IF(D4476="?OLD","!!!","")</f>
        <v/>
      </c>
      <c r="F4476" s="22" t="str">
        <f>IF(OR(E4476="",E4476="!!!"),"",IF(NOT(ISNA(VLOOKUP(E4476,E$1:E4475,1,FALSE()))),"OLD",IF(AND(E4476&lt;&gt;"",E4476&lt;&gt;"!!!"),"NEW","")))</f>
        <v> </v>
      </c>
      <c r="G4476" s="23" t="str">
        <f>IF(OR(E4476="",E4476="!!!"),"",IF(OR(J4476=0,AND(J4476=1,K4476=1),AND(J4476=1,I4476="SBJ"),AND(J4476=1,I4476=0)),"?IN_FOCUS",IF(J4476&lt;=2,"?ACTIVATED",IF(J4476&lt;&gt;"","?FAMILIAR",IF(F4476="NEW",IF(ISNA(VLOOKUP(E4476,#REF!,1,FALSE())),"?TYPE_IDENTIFIABLE","?REFERENTIAL"),"_")))))</f>
        <v> </v>
      </c>
      <c r="H4476" s="24" t="str">
        <f>IF(J4476&lt;&gt;1,"",IF(I4476="SBJ","CB","?"))</f>
        <v> </v>
      </c>
      <c r="I4476" s="25" t="str">
        <f>IF(OR(E4476="",E4476="!!!",F4476="NEW"),"",INDEX(B4475:B$2,-1+SUMPRODUCT(MAX(ROW(E4475:E$2)*(E4476=E4475:E$2)))))</f>
        <v> </v>
      </c>
      <c r="J4476" s="25" t="str">
        <f>IF(OR(E4476="",E4476="!!!",F4476="NEW"),"",COUNTBLANK(OFFSET(A$1,,,SUMPRODUCT(MAX(ROW(E$2:E4476)*(E4476=E$2:E4476)))))-COUNTBLANK(OFFSET(A$1,,,SUMPRODUCT(MAX(ROW(E$1:E4475)*(E2=E$1:E4475))))))</f>
        <v> </v>
      </c>
      <c r="K4476" s="25" t="str">
        <f>IF(OR(E4476="",E4476="!!!",F4476="NEW"),"",INDEX(J$1:J4475,SUMPRODUCT(MAX(ROW(E$1:E4475)*(E4476=E$1:E4475)))))</f>
        <v> </v>
      </c>
      <c r="L4476" s="26"/>
    </row>
    <row r="4477" spans="1:12">
      <c r="A4477" s="20" t="s">
        <v>2233</v>
      </c>
      <c r="B4477" s="27" t="s">
        <v>1678</v>
      </c>
      <c r="C4477" s="27" t="s">
        <v>1077</v>
      </c>
      <c r="E4477" s="21">
        <f>IF(D4477="?OLD","!!!","")</f>
        <v/>
      </c>
      <c r="F4477" s="22" t="str">
        <f>IF(OR(E4477="",E4477="!!!"),"",IF(NOT(ISNA(VLOOKUP(E4477,E$1:E4476,1,FALSE()))),"OLD",IF(AND(E4477&lt;&gt;"",E4477&lt;&gt;"!!!"),"NEW","")))</f>
        <v> </v>
      </c>
      <c r="G4477" s="23" t="str">
        <f>IF(OR(E4477="",E4477="!!!"),"",IF(OR(J4477=0,AND(J4477=1,K4477=1),AND(J4477=1,I4477="SBJ"),AND(J4477=1,I4477=0)),"?IN_FOCUS",IF(J4477&lt;=2,"?ACTIVATED",IF(J4477&lt;&gt;"","?FAMILIAR",IF(F4477="NEW",IF(ISNA(VLOOKUP(E4477,#REF!,1,FALSE())),"?TYPE_IDENTIFIABLE","?REFERENTIAL"),"_")))))</f>
        <v> </v>
      </c>
      <c r="H4477" s="24" t="str">
        <f>IF(J4477&lt;&gt;1,"",IF(I4477="SBJ","CB","?"))</f>
        <v> </v>
      </c>
      <c r="I4477" s="25" t="str">
        <f>IF(OR(E4477="",E4477="!!!",F4477="NEW"),"",INDEX(B4476:B$2,-1+SUMPRODUCT(MAX(ROW(E4476:E$2)*(E4477=E4476:E$2)))))</f>
        <v> </v>
      </c>
      <c r="J4477" s="25" t="str">
        <f>IF(OR(E4477="",E4477="!!!",F4477="NEW"),"",COUNTBLANK(OFFSET(A$1,,,SUMPRODUCT(MAX(ROW(E$2:E4477)*(E4477=E$2:E4477)))))-COUNTBLANK(OFFSET(A$1,,,SUMPRODUCT(MAX(ROW(E$1:E4476)*(E2=E$1:E4476))))))</f>
        <v> </v>
      </c>
      <c r="K4477" s="25" t="str">
        <f>IF(OR(E4477="",E4477="!!!",F4477="NEW"),"",INDEX(J$1:J4476,SUMPRODUCT(MAX(ROW(E$1:E4476)*(E4477=E$1:E4476)))))</f>
        <v> </v>
      </c>
      <c r="L4477" s="26"/>
    </row>
    <row r="4478" spans="1:12">
      <c r="A4478" s="20" t="s">
        <v>1426</v>
      </c>
      <c r="E4478" s="21">
        <f>IF(D4478="?OLD","!!!","")</f>
        <v/>
      </c>
      <c r="F4478" s="22" t="str">
        <f>IF(OR(E4478="",E4478="!!!"),"",IF(NOT(ISNA(VLOOKUP(E4478,E$1:E4477,1,FALSE()))),"OLD",IF(AND(E4478&lt;&gt;"",E4478&lt;&gt;"!!!"),"NEW","")))</f>
        <v> </v>
      </c>
      <c r="G4478" s="23" t="str">
        <f>IF(OR(E4478="",E4478="!!!"),"",IF(OR(J4478=0,AND(J4478=1,K4478=1),AND(J4478=1,I4478="SBJ"),AND(J4478=1,I4478=0)),"?IN_FOCUS",IF(J4478&lt;=2,"?ACTIVATED",IF(J4478&lt;&gt;"","?FAMILIAR",IF(F4478="NEW",IF(ISNA(VLOOKUP(E4478,#REF!,1,FALSE())),"?TYPE_IDENTIFIABLE","?REFERENTIAL"),"_")))))</f>
        <v> </v>
      </c>
      <c r="H4478" s="24" t="str">
        <f>IF(J4478&lt;&gt;1,"",IF(I4478="SBJ","CB","?"))</f>
        <v> </v>
      </c>
      <c r="I4478" s="25" t="str">
        <f>IF(OR(E4478="",E4478="!!!",F4478="NEW"),"",INDEX(B4477:B$2,-1+SUMPRODUCT(MAX(ROW(E4477:E$2)*(E4478=E4477:E$2)))))</f>
        <v> </v>
      </c>
      <c r="J4478" s="25" t="str">
        <f>IF(OR(E4478="",E4478="!!!",F4478="NEW"),"",COUNTBLANK(OFFSET(A$1,,,SUMPRODUCT(MAX(ROW(E$2:E4478)*(E4478=E$2:E4478)))))-COUNTBLANK(OFFSET(A$1,,,SUMPRODUCT(MAX(ROW(E$1:E4477)*(E2=E$1:E4477))))))</f>
        <v> </v>
      </c>
      <c r="K4478" s="25" t="str">
        <f>IF(OR(E4478="",E4478="!!!",F4478="NEW"),"",INDEX(J$1:J4477,SUMPRODUCT(MAX(ROW(E$1:E4477)*(E4478=E$1:E4477)))))</f>
        <v> </v>
      </c>
      <c r="L4478" s="26"/>
    </row>
    <row r="4479" spans="1:12">
      <c r="A4479" s="20" t="s">
        <v>1165</v>
      </c>
      <c r="E4479" s="21">
        <f>IF(D4479="?OLD","!!!","")</f>
        <v/>
      </c>
      <c r="F4479" s="22" t="str">
        <f>IF(OR(E4479="",E4479="!!!"),"",IF(NOT(ISNA(VLOOKUP(E4479,E$1:E4478,1,FALSE()))),"OLD",IF(AND(E4479&lt;&gt;"",E4479&lt;&gt;"!!!"),"NEW","")))</f>
        <v> </v>
      </c>
      <c r="G4479" s="23" t="str">
        <f>IF(OR(E4479="",E4479="!!!"),"",IF(OR(J4479=0,AND(J4479=1,K4479=1),AND(J4479=1,I4479="SBJ"),AND(J4479=1,I4479=0)),"?IN_FOCUS",IF(J4479&lt;=2,"?ACTIVATED",IF(J4479&lt;&gt;"","?FAMILIAR",IF(F4479="NEW",IF(ISNA(VLOOKUP(E4479,#REF!,1,FALSE())),"?TYPE_IDENTIFIABLE","?REFERENTIAL"),"_")))))</f>
        <v> </v>
      </c>
      <c r="H4479" s="24" t="str">
        <f>IF(J4479&lt;&gt;1,"",IF(I4479="SBJ","CB","?"))</f>
        <v> </v>
      </c>
      <c r="I4479" s="25" t="str">
        <f>IF(OR(E4479="",E4479="!!!",F4479="NEW"),"",INDEX(B4478:B$2,-1+SUMPRODUCT(MAX(ROW(E4478:E$2)*(E4479=E4478:E$2)))))</f>
        <v> </v>
      </c>
      <c r="J4479" s="25" t="str">
        <f>IF(OR(E4479="",E4479="!!!",F4479="NEW"),"",COUNTBLANK(OFFSET(A$1,,,SUMPRODUCT(MAX(ROW(E$2:E4479)*(E4479=E$2:E4479)))))-COUNTBLANK(OFFSET(A$1,,,SUMPRODUCT(MAX(ROW(E$1:E4478)*(E2=E$1:E4478))))))</f>
        <v> </v>
      </c>
      <c r="K4479" s="25" t="str">
        <f>IF(OR(E4479="",E4479="!!!",F4479="NEW"),"",INDEX(J$1:J4478,SUMPRODUCT(MAX(ROW(E$1:E4478)*(E4479=E$1:E4478)))))</f>
        <v> </v>
      </c>
      <c r="L4479" s="26"/>
    </row>
    <row r="4480" spans="1:12">
      <c r="A4480" s="20" t="s">
        <v>1159</v>
      </c>
      <c r="E4480" s="21">
        <f>IF(D4480="?OLD","!!!","")</f>
        <v/>
      </c>
      <c r="F4480" s="22" t="str">
        <f>IF(OR(E4480="",E4480="!!!"),"",IF(NOT(ISNA(VLOOKUP(E4480,E$1:E4479,1,FALSE()))),"OLD",IF(AND(E4480&lt;&gt;"",E4480&lt;&gt;"!!!"),"NEW","")))</f>
        <v> </v>
      </c>
      <c r="G4480" s="23" t="str">
        <f>IF(OR(E4480="",E4480="!!!"),"",IF(OR(J4480=0,AND(J4480=1,K4480=1),AND(J4480=1,I4480="SBJ"),AND(J4480=1,I4480=0)),"?IN_FOCUS",IF(J4480&lt;=2,"?ACTIVATED",IF(J4480&lt;&gt;"","?FAMILIAR",IF(F4480="NEW",IF(ISNA(VLOOKUP(E4480,#REF!,1,FALSE())),"?TYPE_IDENTIFIABLE","?REFERENTIAL"),"_")))))</f>
        <v> </v>
      </c>
      <c r="H4480" s="24" t="str">
        <f>IF(J4480&lt;&gt;1,"",IF(I4480="SBJ","CB","?"))</f>
        <v> </v>
      </c>
      <c r="I4480" s="25" t="str">
        <f>IF(OR(E4480="",E4480="!!!",F4480="NEW"),"",INDEX(B4479:B$2,-1+SUMPRODUCT(MAX(ROW(E4479:E$2)*(E4480=E4479:E$2)))))</f>
        <v> </v>
      </c>
      <c r="J4480" s="25" t="str">
        <f>IF(OR(E4480="",E4480="!!!",F4480="NEW"),"",COUNTBLANK(OFFSET(A$1,,,SUMPRODUCT(MAX(ROW(E$2:E4480)*(E4480=E$2:E4480)))))-COUNTBLANK(OFFSET(A$1,,,SUMPRODUCT(MAX(ROW(E$1:E4479)*(E2=E$1:E4479))))))</f>
        <v> </v>
      </c>
      <c r="K4480" s="25" t="str">
        <f>IF(OR(E4480="",E4480="!!!",F4480="NEW"),"",INDEX(J$1:J4479,SUMPRODUCT(MAX(ROW(E$1:E4479)*(E4480=E$1:E4479)))))</f>
        <v> </v>
      </c>
      <c r="L4480" s="26"/>
    </row>
    <row r="4481" spans="1:12">
      <c r="A4481" s="20" t="s">
        <v>1076</v>
      </c>
      <c r="B4481" s="27" t="s">
        <v>1090</v>
      </c>
      <c r="C4481" s="27" t="s">
        <v>1120</v>
      </c>
      <c r="E4481" s="21">
        <f>IF(D4481="?OLD","!!!","")</f>
        <v/>
      </c>
      <c r="F4481" s="22" t="str">
        <f>IF(OR(E4481="",E4481="!!!"),"",IF(NOT(ISNA(VLOOKUP(E4481,E$1:E4480,1,FALSE()))),"OLD",IF(AND(E4481&lt;&gt;"",E4481&lt;&gt;"!!!"),"NEW","")))</f>
        <v> </v>
      </c>
      <c r="G4481" s="23" t="str">
        <f>IF(OR(E4481="",E4481="!!!"),"",IF(OR(J4481=0,AND(J4481=1,K4481=1),AND(J4481=1,I4481="SBJ"),AND(J4481=1,I4481=0)),"?IN_FOCUS",IF(J4481&lt;=2,"?ACTIVATED",IF(J4481&lt;&gt;"","?FAMILIAR",IF(F4481="NEW",IF(ISNA(VLOOKUP(E4481,#REF!,1,FALSE())),"?TYPE_IDENTIFIABLE","?REFERENTIAL"),"_")))))</f>
        <v> </v>
      </c>
      <c r="H4481" s="24" t="str">
        <f>IF(J4481&lt;&gt;1,"",IF(I4481="SBJ","CB","?"))</f>
        <v> </v>
      </c>
      <c r="I4481" s="25" t="str">
        <f>IF(OR(E4481="",E4481="!!!",F4481="NEW"),"",INDEX(B4480:B$2,-1+SUMPRODUCT(MAX(ROW(E4480:E$2)*(E4481=E4480:E$2)))))</f>
        <v> </v>
      </c>
      <c r="J4481" s="25" t="str">
        <f>IF(OR(E4481="",E4481="!!!",F4481="NEW"),"",COUNTBLANK(OFFSET(A$1,,,SUMPRODUCT(MAX(ROW(E$2:E4481)*(E4481=E$2:E4481)))))-COUNTBLANK(OFFSET(A$1,,,SUMPRODUCT(MAX(ROW(E$1:E4480)*(E2=E$1:E4480))))))</f>
        <v> </v>
      </c>
      <c r="K4481" s="25" t="str">
        <f>IF(OR(E4481="",E4481="!!!",F4481="NEW"),"",INDEX(J$1:J4480,SUMPRODUCT(MAX(ROW(E$1:E4480)*(E4481=E$1:E4480)))))</f>
        <v> </v>
      </c>
      <c r="L4481" s="26"/>
    </row>
    <row r="4482" spans="1:12">
      <c r="A4482" s="20" t="s">
        <v>1268</v>
      </c>
      <c r="E4482" s="21">
        <f>IF(D4482="?OLD","!!!","")</f>
        <v/>
      </c>
      <c r="F4482" s="22" t="str">
        <f>IF(OR(E4482="",E4482="!!!"),"",IF(NOT(ISNA(VLOOKUP(E4482,E$1:E4481,1,FALSE()))),"OLD",IF(AND(E4482&lt;&gt;"",E4482&lt;&gt;"!!!"),"NEW","")))</f>
        <v> </v>
      </c>
      <c r="G4482" s="23" t="str">
        <f>IF(OR(E4482="",E4482="!!!"),"",IF(OR(J4482=0,AND(J4482=1,K4482=1),AND(J4482=1,I4482="SBJ"),AND(J4482=1,I4482=0)),"?IN_FOCUS",IF(J4482&lt;=2,"?ACTIVATED",IF(J4482&lt;&gt;"","?FAMILIAR",IF(F4482="NEW",IF(ISNA(VLOOKUP(E4482,#REF!,1,FALSE())),"?TYPE_IDENTIFIABLE","?REFERENTIAL"),"_")))))</f>
        <v> </v>
      </c>
      <c r="H4482" s="24" t="str">
        <f>IF(J4482&lt;&gt;1,"",IF(I4482="SBJ","CB","?"))</f>
        <v> </v>
      </c>
      <c r="I4482" s="25" t="str">
        <f>IF(OR(E4482="",E4482="!!!",F4482="NEW"),"",INDEX(B4481:B$2,-1+SUMPRODUCT(MAX(ROW(E4481:E$2)*(E4482=E4481:E$2)))))</f>
        <v> </v>
      </c>
      <c r="J4482" s="25" t="str">
        <f>IF(OR(E4482="",E4482="!!!",F4482="NEW"),"",COUNTBLANK(OFFSET(A$1,,,SUMPRODUCT(MAX(ROW(E$2:E4482)*(E4482=E$2:E4482)))))-COUNTBLANK(OFFSET(A$1,,,SUMPRODUCT(MAX(ROW(E$1:E4481)*(E2=E$1:E4481))))))</f>
        <v> </v>
      </c>
      <c r="K4482" s="25" t="str">
        <f>IF(OR(E4482="",E4482="!!!",F4482="NEW"),"",INDEX(J$1:J4481,SUMPRODUCT(MAX(ROW(E$1:E4481)*(E4482=E$1:E4481)))))</f>
        <v> </v>
      </c>
      <c r="L4482" s="26"/>
    </row>
    <row r="4483" spans="1:12">
      <c r="A4483" s="20" t="s">
        <v>1166</v>
      </c>
      <c r="E4483" s="21">
        <f>IF(D4483="?OLD","!!!","")</f>
        <v/>
      </c>
      <c r="F4483" s="22" t="str">
        <f>IF(OR(E4483="",E4483="!!!"),"",IF(NOT(ISNA(VLOOKUP(E4483,E$1:E4482,1,FALSE()))),"OLD",IF(AND(E4483&lt;&gt;"",E4483&lt;&gt;"!!!"),"NEW","")))</f>
        <v> </v>
      </c>
      <c r="G4483" s="23" t="str">
        <f>IF(OR(E4483="",E4483="!!!"),"",IF(OR(J4483=0,AND(J4483=1,K4483=1),AND(J4483=1,I4483="SBJ"),AND(J4483=1,I4483=0)),"?IN_FOCUS",IF(J4483&lt;=2,"?ACTIVATED",IF(J4483&lt;&gt;"","?FAMILIAR",IF(F4483="NEW",IF(ISNA(VLOOKUP(E4483,#REF!,1,FALSE())),"?TYPE_IDENTIFIABLE","?REFERENTIAL"),"_")))))</f>
        <v> </v>
      </c>
      <c r="H4483" s="24" t="str">
        <f>IF(J4483&lt;&gt;1,"",IF(I4483="SBJ","CB","?"))</f>
        <v> </v>
      </c>
      <c r="I4483" s="25" t="str">
        <f>IF(OR(E4483="",E4483="!!!",F4483="NEW"),"",INDEX(B4482:B$2,-1+SUMPRODUCT(MAX(ROW(E4482:E$2)*(E4483=E4482:E$2)))))</f>
        <v> </v>
      </c>
      <c r="J4483" s="25" t="str">
        <f>IF(OR(E4483="",E4483="!!!",F4483="NEW"),"",COUNTBLANK(OFFSET(A$1,,,SUMPRODUCT(MAX(ROW(E$2:E4483)*(E4483=E$2:E4483)))))-COUNTBLANK(OFFSET(A$1,,,SUMPRODUCT(MAX(ROW(E$1:E4482)*(E2=E$1:E4482))))))</f>
        <v> </v>
      </c>
      <c r="K4483" s="25" t="str">
        <f>IF(OR(E4483="",E4483="!!!",F4483="NEW"),"",INDEX(J$1:J4482,SUMPRODUCT(MAX(ROW(E$1:E4482)*(E4483=E$1:E4482)))))</f>
        <v> </v>
      </c>
      <c r="L4483" s="26"/>
    </row>
    <row r="4484" spans="1:12">
      <c r="A4484" s="20" t="s">
        <v>141</v>
      </c>
      <c r="E4484" s="21">
        <f>IF(D4484="?OLD","!!!","")</f>
        <v/>
      </c>
      <c r="F4484" s="22" t="str">
        <f>IF(OR(E4484="",E4484="!!!"),"",IF(NOT(ISNA(VLOOKUP(E4484,E$1:E4483,1,FALSE()))),"OLD",IF(AND(E4484&lt;&gt;"",E4484&lt;&gt;"!!!"),"NEW","")))</f>
        <v> </v>
      </c>
      <c r="G4484" s="23" t="str">
        <f>IF(OR(E4484="",E4484="!!!"),"",IF(OR(J4484=0,AND(J4484=1,K4484=1),AND(J4484=1,I4484="SBJ"),AND(J4484=1,I4484=0)),"?IN_FOCUS",IF(J4484&lt;=2,"?ACTIVATED",IF(J4484&lt;&gt;"","?FAMILIAR",IF(F4484="NEW",IF(ISNA(VLOOKUP(E4484,#REF!,1,FALSE())),"?TYPE_IDENTIFIABLE","?REFERENTIAL"),"_")))))</f>
        <v> </v>
      </c>
      <c r="H4484" s="24" t="str">
        <f>IF(J4484&lt;&gt;1,"",IF(I4484="SBJ","CB","?"))</f>
        <v> </v>
      </c>
      <c r="I4484" s="25" t="str">
        <f>IF(OR(E4484="",E4484="!!!",F4484="NEW"),"",INDEX(B4483:B$2,-1+SUMPRODUCT(MAX(ROW(E4483:E$2)*(E4484=E4483:E$2)))))</f>
        <v> </v>
      </c>
      <c r="J4484" s="25" t="str">
        <f>IF(OR(E4484="",E4484="!!!",F4484="NEW"),"",COUNTBLANK(OFFSET(A$1,,,SUMPRODUCT(MAX(ROW(E$2:E4484)*(E4484=E$2:E4484)))))-COUNTBLANK(OFFSET(A$1,,,SUMPRODUCT(MAX(ROW(E$1:E4483)*(E2=E$1:E4483))))))</f>
        <v> </v>
      </c>
      <c r="K4484" s="25" t="str">
        <f>IF(OR(E4484="",E4484="!!!",F4484="NEW"),"",INDEX(J$1:J4483,SUMPRODUCT(MAX(ROW(E$1:E4483)*(E4484=E$1:E4483)))))</f>
        <v> </v>
      </c>
      <c r="L4484" s="26"/>
    </row>
    <row r="4485" spans="1:12">
      <c r="A4485" s="20" t="s">
        <v>1087</v>
      </c>
      <c r="E4485" s="21">
        <f>IF(D4485="?OLD","!!!","")</f>
        <v/>
      </c>
      <c r="F4485" s="22" t="str">
        <f>IF(OR(E4485="",E4485="!!!"),"",IF(NOT(ISNA(VLOOKUP(E4485,E$1:E4484,1,FALSE()))),"OLD",IF(AND(E4485&lt;&gt;"",E4485&lt;&gt;"!!!"),"NEW","")))</f>
        <v> </v>
      </c>
      <c r="G4485" s="23" t="str">
        <f>IF(OR(E4485="",E4485="!!!"),"",IF(OR(J4485=0,AND(J4485=1,K4485=1),AND(J4485=1,I4485="SBJ"),AND(J4485=1,I4485=0)),"?IN_FOCUS",IF(J4485&lt;=2,"?ACTIVATED",IF(J4485&lt;&gt;"","?FAMILIAR",IF(F4485="NEW",IF(ISNA(VLOOKUP(E4485,#REF!,1,FALSE())),"?TYPE_IDENTIFIABLE","?REFERENTIAL"),"_")))))</f>
        <v> </v>
      </c>
      <c r="H4485" s="24" t="str">
        <f>IF(J4485&lt;&gt;1,"",IF(I4485="SBJ","CB","?"))</f>
        <v> </v>
      </c>
      <c r="I4485" s="25" t="str">
        <f>IF(OR(E4485="",E4485="!!!",F4485="NEW"),"",INDEX(B4484:B$2,-1+SUMPRODUCT(MAX(ROW(E4484:E$2)*(E4485=E4484:E$2)))))</f>
        <v> </v>
      </c>
      <c r="J4485" s="25" t="str">
        <f>IF(OR(E4485="",E4485="!!!",F4485="NEW"),"",COUNTBLANK(OFFSET(A$1,,,SUMPRODUCT(MAX(ROW(E$2:E4485)*(E4485=E$2:E4485)))))-COUNTBLANK(OFFSET(A$1,,,SUMPRODUCT(MAX(ROW(E$1:E4484)*(E2=E$1:E4484))))))</f>
        <v> </v>
      </c>
      <c r="K4485" s="25" t="str">
        <f>IF(OR(E4485="",E4485="!!!",F4485="NEW"),"",INDEX(J$1:J4484,SUMPRODUCT(MAX(ROW(E$1:E4484)*(E4485=E$1:E4484)))))</f>
        <v> </v>
      </c>
      <c r="L4485" s="26"/>
    </row>
    <row r="4486" spans="1:12">
      <c r="A4486" s="20" t="s">
        <v>121</v>
      </c>
      <c r="B4486" s="27" t="s">
        <v>1106</v>
      </c>
      <c r="C4486" s="27" t="s">
        <v>1120</v>
      </c>
      <c r="E4486" s="21">
        <f>IF(D4486="?OLD","!!!","")</f>
        <v/>
      </c>
      <c r="F4486" s="22" t="str">
        <f>IF(OR(E4486="",E4486="!!!"),"",IF(NOT(ISNA(VLOOKUP(E4486,E$1:E4485,1,FALSE()))),"OLD",IF(AND(E4486&lt;&gt;"",E4486&lt;&gt;"!!!"),"NEW","")))</f>
        <v> </v>
      </c>
      <c r="G4486" s="23" t="str">
        <f>IF(OR(E4486="",E4486="!!!"),"",IF(OR(J4486=0,AND(J4486=1,K4486=1),AND(J4486=1,I4486="SBJ"),AND(J4486=1,I4486=0)),"?IN_FOCUS",IF(J4486&lt;=2,"?ACTIVATED",IF(J4486&lt;&gt;"","?FAMILIAR",IF(F4486="NEW",IF(ISNA(VLOOKUP(E4486,#REF!,1,FALSE())),"?TYPE_IDENTIFIABLE","?REFERENTIAL"),"_")))))</f>
        <v> </v>
      </c>
      <c r="H4486" s="24" t="str">
        <f>IF(J4486&lt;&gt;1,"",IF(I4486="SBJ","CB","?"))</f>
        <v> </v>
      </c>
      <c r="I4486" s="25" t="str">
        <f>IF(OR(E4486="",E4486="!!!",F4486="NEW"),"",INDEX(B4485:B$2,-1+SUMPRODUCT(MAX(ROW(E4485:E$2)*(E4486=E4485:E$2)))))</f>
        <v> </v>
      </c>
      <c r="J4486" s="25" t="str">
        <f>IF(OR(E4486="",E4486="!!!",F4486="NEW"),"",COUNTBLANK(OFFSET(A$1,,,SUMPRODUCT(MAX(ROW(E$2:E4486)*(E4486=E$2:E4486)))))-COUNTBLANK(OFFSET(A$1,,,SUMPRODUCT(MAX(ROW(E$1:E4485)*(E2=E$1:E4485))))))</f>
        <v> </v>
      </c>
      <c r="K4486" s="25" t="str">
        <f>IF(OR(E4486="",E4486="!!!",F4486="NEW"),"",INDEX(J$1:J4485,SUMPRODUCT(MAX(ROW(E$1:E4485)*(E4486=E$1:E4485)))))</f>
        <v> </v>
      </c>
      <c r="L4486" s="26"/>
    </row>
    <row r="4487" spans="1:12">
      <c r="A4487" s="20" t="s">
        <v>1108</v>
      </c>
      <c r="B4487" s="27" t="s">
        <v>1109</v>
      </c>
      <c r="C4487" s="27" t="s">
        <v>1110</v>
      </c>
      <c r="D4487" s="27" t="s">
        <v>1069</v>
      </c>
      <c r="E4487" s="21">
        <f>IF(D4487="?OLD","!!!","")</f>
        <v/>
      </c>
      <c r="F4487" s="22" t="str">
        <f>IF(OR(E4487="",E4487="!!!"),"",IF(NOT(ISNA(VLOOKUP(E4487,E$1:E4486,1,FALSE()))),"OLD",IF(AND(E4487&lt;&gt;"",E4487&lt;&gt;"!!!"),"NEW","")))</f>
        <v> </v>
      </c>
      <c r="G4487" s="23" t="str">
        <f>IF(OR(E4487="",E4487="!!!"),"",IF(OR(J4487=0,AND(J4487=1,K4487=1),AND(J4487=1,I4487="SBJ"),AND(J4487=1,I4487=0)),"?IN_FOCUS",IF(J4487&lt;=2,"?ACTIVATED",IF(J4487&lt;&gt;"","?FAMILIAR",IF(F4487="NEW",IF(ISNA(VLOOKUP(E4487,#REF!,1,FALSE())),"?TYPE_IDENTIFIABLE","?REFERENTIAL"),"_")))))</f>
        <v> </v>
      </c>
      <c r="H4487" s="24" t="str">
        <f>IF(J4487&lt;&gt;1,"",IF(I4487="SBJ","CB","?"))</f>
        <v> </v>
      </c>
      <c r="I4487" s="25" t="str">
        <f>IF(OR(E4487="",E4487="!!!",F4487="NEW"),"",INDEX(B4486:B$2,-1+SUMPRODUCT(MAX(ROW(E4486:E$2)*(E4487=E4486:E$2)))))</f>
        <v> </v>
      </c>
      <c r="J4487" s="25" t="str">
        <f>IF(OR(E4487="",E4487="!!!",F4487="NEW"),"",COUNTBLANK(OFFSET(A$1,,,SUMPRODUCT(MAX(ROW(E$2:E4487)*(E4487=E$2:E4487)))))-COUNTBLANK(OFFSET(A$1,,,SUMPRODUCT(MAX(ROW(E$1:E4486)*(E2=E$1:E4486))))))</f>
        <v> </v>
      </c>
      <c r="K4487" s="25" t="str">
        <f>IF(OR(E4487="",E4487="!!!",F4487="NEW"),"",INDEX(J$1:J4486,SUMPRODUCT(MAX(ROW(E$1:E4486)*(E4487=E$1:E4486)))))</f>
        <v> </v>
      </c>
      <c r="L4487" s="26"/>
    </row>
    <row r="4488" spans="1:12">
      <c r="A4488" s="20" t="s">
        <v>1087</v>
      </c>
      <c r="E4488" s="21">
        <f>IF(D4488="?OLD","!!!","")</f>
        <v/>
      </c>
      <c r="F4488" s="22" t="str">
        <f>IF(OR(E4488="",E4488="!!!"),"",IF(NOT(ISNA(VLOOKUP(E4488,E$1:E4487,1,FALSE()))),"OLD",IF(AND(E4488&lt;&gt;"",E4488&lt;&gt;"!!!"),"NEW","")))</f>
        <v> </v>
      </c>
      <c r="G4488" s="23" t="str">
        <f>IF(OR(E4488="",E4488="!!!"),"",IF(OR(J4488=0,AND(J4488=1,K4488=1),AND(J4488=1,I4488="SBJ"),AND(J4488=1,I4488=0)),"?IN_FOCUS",IF(J4488&lt;=2,"?ACTIVATED",IF(J4488&lt;&gt;"","?FAMILIAR",IF(F4488="NEW",IF(ISNA(VLOOKUP(E4488,#REF!,1,FALSE())),"?TYPE_IDENTIFIABLE","?REFERENTIAL"),"_")))))</f>
        <v> </v>
      </c>
      <c r="H4488" s="24" t="str">
        <f>IF(J4488&lt;&gt;1,"",IF(I4488="SBJ","CB","?"))</f>
        <v> </v>
      </c>
      <c r="I4488" s="25" t="str">
        <f>IF(OR(E4488="",E4488="!!!",F4488="NEW"),"",INDEX(B4487:B$2,-1+SUMPRODUCT(MAX(ROW(E4487:E$2)*(E4488=E4487:E$2)))))</f>
        <v> </v>
      </c>
      <c r="J4488" s="25" t="str">
        <f>IF(OR(E4488="",E4488="!!!",F4488="NEW"),"",COUNTBLANK(OFFSET(A$1,,,SUMPRODUCT(MAX(ROW(E$2:E4488)*(E4488=E$2:E4488)))))-COUNTBLANK(OFFSET(A$1,,,SUMPRODUCT(MAX(ROW(E$1:E4487)*(E2=E$1:E4487))))))</f>
        <v> </v>
      </c>
      <c r="K4488" s="25" t="str">
        <f>IF(OR(E4488="",E4488="!!!",F4488="NEW"),"",INDEX(J$1:J4487,SUMPRODUCT(MAX(ROW(E$1:E4487)*(E4488=E$1:E4487)))))</f>
        <v> </v>
      </c>
      <c r="L4488" s="26"/>
    </row>
    <row r="4489" spans="1:12">
      <c r="A4489" s="20" t="s">
        <v>141</v>
      </c>
      <c r="E4489" s="21">
        <f>IF(D4489="?OLD","!!!","")</f>
        <v/>
      </c>
      <c r="F4489" s="22" t="str">
        <f>IF(OR(E4489="",E4489="!!!"),"",IF(NOT(ISNA(VLOOKUP(E4489,E$1:E4488,1,FALSE()))),"OLD",IF(AND(E4489&lt;&gt;"",E4489&lt;&gt;"!!!"),"NEW","")))</f>
        <v> </v>
      </c>
      <c r="G4489" s="23" t="str">
        <f>IF(OR(E4489="",E4489="!!!"),"",IF(OR(J4489=0,AND(J4489=1,K4489=1),AND(J4489=1,I4489="SBJ"),AND(J4489=1,I4489=0)),"?IN_FOCUS",IF(J4489&lt;=2,"?ACTIVATED",IF(J4489&lt;&gt;"","?FAMILIAR",IF(F4489="NEW",IF(ISNA(VLOOKUP(E4489,#REF!,1,FALSE())),"?TYPE_IDENTIFIABLE","?REFERENTIAL"),"_")))))</f>
        <v> </v>
      </c>
      <c r="H4489" s="24" t="str">
        <f>IF(J4489&lt;&gt;1,"",IF(I4489="SBJ","CB","?"))</f>
        <v> </v>
      </c>
      <c r="I4489" s="25" t="str">
        <f>IF(OR(E4489="",E4489="!!!",F4489="NEW"),"",INDEX(B4488:B$2,-1+SUMPRODUCT(MAX(ROW(E4488:E$2)*(E4489=E4488:E$2)))))</f>
        <v> </v>
      </c>
      <c r="J4489" s="25" t="str">
        <f>IF(OR(E4489="",E4489="!!!",F4489="NEW"),"",COUNTBLANK(OFFSET(A$1,,,SUMPRODUCT(MAX(ROW(E$2:E4489)*(E4489=E$2:E4489)))))-COUNTBLANK(OFFSET(A$1,,,SUMPRODUCT(MAX(ROW(E$1:E4488)*(E2=E$1:E4488))))))</f>
        <v> </v>
      </c>
      <c r="K4489" s="25" t="str">
        <f>IF(OR(E4489="",E4489="!!!",F4489="NEW"),"",INDEX(J$1:J4488,SUMPRODUCT(MAX(ROW(E$1:E4488)*(E4489=E$1:E4488)))))</f>
        <v> </v>
      </c>
      <c r="L4489" s="26"/>
    </row>
    <row r="4490" spans="1:12">
      <c r="A4490" s="20" t="s">
        <v>2398</v>
      </c>
      <c r="B4490" s="27" t="s">
        <v>1141</v>
      </c>
      <c r="C4490" s="27" t="s">
        <v>1120</v>
      </c>
      <c r="E4490" s="21">
        <f>IF(D4490="?OLD","!!!","")</f>
        <v/>
      </c>
      <c r="F4490" s="22" t="str">
        <f>IF(OR(E4490="",E4490="!!!"),"",IF(NOT(ISNA(VLOOKUP(E4490,E$1:E4489,1,FALSE()))),"OLD",IF(AND(E4490&lt;&gt;"",E4490&lt;&gt;"!!!"),"NEW","")))</f>
        <v> </v>
      </c>
      <c r="G4490" s="23" t="str">
        <f>IF(OR(E4490="",E4490="!!!"),"",IF(OR(J4490=0,AND(J4490=1,K4490=1),AND(J4490=1,I4490="SBJ"),AND(J4490=1,I4490=0)),"?IN_FOCUS",IF(J4490&lt;=2,"?ACTIVATED",IF(J4490&lt;&gt;"","?FAMILIAR",IF(F4490="NEW",IF(ISNA(VLOOKUP(E4490,#REF!,1,FALSE())),"?TYPE_IDENTIFIABLE","?REFERENTIAL"),"_")))))</f>
        <v> </v>
      </c>
      <c r="H4490" s="24" t="str">
        <f>IF(J4490&lt;&gt;1,"",IF(I4490="SBJ","CB","?"))</f>
        <v> </v>
      </c>
      <c r="I4490" s="25" t="str">
        <f>IF(OR(E4490="",E4490="!!!",F4490="NEW"),"",INDEX(B4489:B$2,-1+SUMPRODUCT(MAX(ROW(E4489:E$2)*(E4490=E4489:E$2)))))</f>
        <v> </v>
      </c>
      <c r="J4490" s="25" t="str">
        <f>IF(OR(E4490="",E4490="!!!",F4490="NEW"),"",COUNTBLANK(OFFSET(A$1,,,SUMPRODUCT(MAX(ROW(E$2:E4490)*(E4490=E$2:E4490)))))-COUNTBLANK(OFFSET(A$1,,,SUMPRODUCT(MAX(ROW(E$1:E4489)*(E2=E$1:E4489))))))</f>
        <v> </v>
      </c>
      <c r="K4490" s="25" t="str">
        <f>IF(OR(E4490="",E4490="!!!",F4490="NEW"),"",INDEX(J$1:J4489,SUMPRODUCT(MAX(ROW(E$1:E4489)*(E4490=E$1:E4489)))))</f>
        <v> </v>
      </c>
      <c r="L4490" s="26"/>
    </row>
    <row r="4491" spans="1:12">
      <c r="A4491" s="20" t="s">
        <v>1078</v>
      </c>
      <c r="E4491" s="21">
        <f>IF(D4491="?OLD","!!!","")</f>
        <v/>
      </c>
      <c r="F4491" s="22" t="str">
        <f>IF(OR(E4491="",E4491="!!!"),"",IF(NOT(ISNA(VLOOKUP(E4491,E$1:E4490,1,FALSE()))),"OLD",IF(AND(E4491&lt;&gt;"",E4491&lt;&gt;"!!!"),"NEW","")))</f>
        <v> </v>
      </c>
      <c r="G4491" s="23" t="str">
        <f>IF(OR(E4491="",E4491="!!!"),"",IF(OR(J4491=0,AND(J4491=1,K4491=1),AND(J4491=1,I4491="SBJ"),AND(J4491=1,I4491=0)),"?IN_FOCUS",IF(J4491&lt;=2,"?ACTIVATED",IF(J4491&lt;&gt;"","?FAMILIAR",IF(F4491="NEW",IF(ISNA(VLOOKUP(E4491,#REF!,1,FALSE())),"?TYPE_IDENTIFIABLE","?REFERENTIAL"),"_")))))</f>
        <v> </v>
      </c>
      <c r="H4491" s="24" t="str">
        <f>IF(J4491&lt;&gt;1,"",IF(I4491="SBJ","CB","?"))</f>
        <v> </v>
      </c>
      <c r="I4491" s="25" t="str">
        <f>IF(OR(E4491="",E4491="!!!",F4491="NEW"),"",INDEX(B4490:B$2,-1+SUMPRODUCT(MAX(ROW(E4490:E$2)*(E4491=E4490:E$2)))))</f>
        <v> </v>
      </c>
      <c r="J4491" s="25" t="str">
        <f>IF(OR(E4491="",E4491="!!!",F4491="NEW"),"",COUNTBLANK(OFFSET(A$1,,,SUMPRODUCT(MAX(ROW(E$2:E4491)*(E4491=E$2:E4491)))))-COUNTBLANK(OFFSET(A$1,,,SUMPRODUCT(MAX(ROW(E$1:E4490)*(E2=E$1:E4490))))))</f>
        <v> </v>
      </c>
      <c r="K4491" s="25" t="str">
        <f>IF(OR(E4491="",E4491="!!!",F4491="NEW"),"",INDEX(J$1:J4490,SUMPRODUCT(MAX(ROW(E$1:E4490)*(E4491=E$1:E4490)))))</f>
        <v> </v>
      </c>
      <c r="L4491" s="26"/>
    </row>
    <row r="4492" spans="1:12">
      <c r="A4492" s="20" t="s">
        <v>1232</v>
      </c>
      <c r="E4492" s="21">
        <f>IF(D4492="?OLD","!!!","")</f>
        <v/>
      </c>
      <c r="F4492" s="22" t="str">
        <f>IF(OR(E4492="",E4492="!!!"),"",IF(NOT(ISNA(VLOOKUP(E4492,E$1:E4491,1,FALSE()))),"OLD",IF(AND(E4492&lt;&gt;"",E4492&lt;&gt;"!!!"),"NEW","")))</f>
        <v> </v>
      </c>
      <c r="G4492" s="23" t="str">
        <f>IF(OR(E4492="",E4492="!!!"),"",IF(OR(J4492=0,AND(J4492=1,K4492=1),AND(J4492=1,I4492="SBJ"),AND(J4492=1,I4492=0)),"?IN_FOCUS",IF(J4492&lt;=2,"?ACTIVATED",IF(J4492&lt;&gt;"","?FAMILIAR",IF(F4492="NEW",IF(ISNA(VLOOKUP(E4492,#REF!,1,FALSE())),"?TYPE_IDENTIFIABLE","?REFERENTIAL"),"_")))))</f>
        <v> </v>
      </c>
      <c r="H4492" s="24" t="str">
        <f>IF(J4492&lt;&gt;1,"",IF(I4492="SBJ","CB","?"))</f>
        <v> </v>
      </c>
      <c r="I4492" s="25" t="str">
        <f>IF(OR(E4492="",E4492="!!!",F4492="NEW"),"",INDEX(B4491:B$2,-1+SUMPRODUCT(MAX(ROW(E4491:E$2)*(E4492=E4491:E$2)))))</f>
        <v> </v>
      </c>
      <c r="J4492" s="25" t="str">
        <f>IF(OR(E4492="",E4492="!!!",F4492="NEW"),"",COUNTBLANK(OFFSET(A$1,,,SUMPRODUCT(MAX(ROW(E$2:E4492)*(E4492=E$2:E4492)))))-COUNTBLANK(OFFSET(A$1,,,SUMPRODUCT(MAX(ROW(E$1:E4491)*(E2=E$1:E4491))))))</f>
        <v> </v>
      </c>
      <c r="K4492" s="25" t="str">
        <f>IF(OR(E4492="",E4492="!!!",F4492="NEW"),"",INDEX(J$1:J4491,SUMPRODUCT(MAX(ROW(E$1:E4491)*(E4492=E$1:E4491)))))</f>
        <v> </v>
      </c>
      <c r="L4492" s="26"/>
    </row>
    <row r="4493" spans="1:12">
      <c r="A4493" s="20" t="s">
        <v>1087</v>
      </c>
      <c r="E4493" s="21">
        <f>IF(D4493="?OLD","!!!","")</f>
        <v/>
      </c>
      <c r="F4493" s="22" t="str">
        <f>IF(OR(E4493="",E4493="!!!"),"",IF(NOT(ISNA(VLOOKUP(E4493,E$1:E4492,1,FALSE()))),"OLD",IF(AND(E4493&lt;&gt;"",E4493&lt;&gt;"!!!"),"NEW","")))</f>
        <v> </v>
      </c>
      <c r="G4493" s="23" t="str">
        <f>IF(OR(E4493="",E4493="!!!"),"",IF(OR(J4493=0,AND(J4493=1,K4493=1),AND(J4493=1,I4493="SBJ"),AND(J4493=1,I4493=0)),"?IN_FOCUS",IF(J4493&lt;=2,"?ACTIVATED",IF(J4493&lt;&gt;"","?FAMILIAR",IF(F4493="NEW",IF(ISNA(VLOOKUP(E4493,#REF!,1,FALSE())),"?TYPE_IDENTIFIABLE","?REFERENTIAL"),"_")))))</f>
        <v> </v>
      </c>
      <c r="H4493" s="24" t="str">
        <f>IF(J4493&lt;&gt;1,"",IF(I4493="SBJ","CB","?"))</f>
        <v> </v>
      </c>
      <c r="I4493" s="25" t="str">
        <f>IF(OR(E4493="",E4493="!!!",F4493="NEW"),"",INDEX(B4492:B$2,-1+SUMPRODUCT(MAX(ROW(E4492:E$2)*(E4493=E4492:E$2)))))</f>
        <v> </v>
      </c>
      <c r="J4493" s="25" t="str">
        <f>IF(OR(E4493="",E4493="!!!",F4493="NEW"),"",COUNTBLANK(OFFSET(A$1,,,SUMPRODUCT(MAX(ROW(E$2:E4493)*(E4493=E$2:E4493)))))-COUNTBLANK(OFFSET(A$1,,,SUMPRODUCT(MAX(ROW(E$1:E4492)*(E2=E$1:E4492))))))</f>
        <v> </v>
      </c>
      <c r="K4493" s="25" t="str">
        <f>IF(OR(E4493="",E4493="!!!",F4493="NEW"),"",INDEX(J$1:J4492,SUMPRODUCT(MAX(ROW(E$1:E4492)*(E4493=E$1:E4492)))))</f>
        <v> </v>
      </c>
      <c r="L4493" s="26"/>
    </row>
    <row r="4494" spans="1:12">
      <c r="A4494" s="20" t="s">
        <v>1196</v>
      </c>
      <c r="E4494" s="21">
        <f>IF(D4494="?OLD","!!!","")</f>
        <v/>
      </c>
      <c r="F4494" s="22" t="str">
        <f>IF(OR(E4494="",E4494="!!!"),"",IF(NOT(ISNA(VLOOKUP(E4494,E$1:E4493,1,FALSE()))),"OLD",IF(AND(E4494&lt;&gt;"",E4494&lt;&gt;"!!!"),"NEW","")))</f>
        <v> </v>
      </c>
      <c r="G4494" s="23" t="str">
        <f>IF(OR(E4494="",E4494="!!!"),"",IF(OR(J4494=0,AND(J4494=1,K4494=1),AND(J4494=1,I4494="SBJ"),AND(J4494=1,I4494=0)),"?IN_FOCUS",IF(J4494&lt;=2,"?ACTIVATED",IF(J4494&lt;&gt;"","?FAMILIAR",IF(F4494="NEW",IF(ISNA(VLOOKUP(E4494,#REF!,1,FALSE())),"?TYPE_IDENTIFIABLE","?REFERENTIAL"),"_")))))</f>
        <v> </v>
      </c>
      <c r="H4494" s="24" t="str">
        <f>IF(J4494&lt;&gt;1,"",IF(I4494="SBJ","CB","?"))</f>
        <v> </v>
      </c>
      <c r="I4494" s="25" t="str">
        <f>IF(OR(E4494="",E4494="!!!",F4494="NEW"),"",INDEX(B4493:B$2,-1+SUMPRODUCT(MAX(ROW(E4493:E$2)*(E4494=E4493:E$2)))))</f>
        <v> </v>
      </c>
      <c r="J4494" s="25" t="str">
        <f>IF(OR(E4494="",E4494="!!!",F4494="NEW"),"",COUNTBLANK(OFFSET(A$1,,,SUMPRODUCT(MAX(ROW(E$2:E4494)*(E4494=E$2:E4494)))))-COUNTBLANK(OFFSET(A$1,,,SUMPRODUCT(MAX(ROW(E$1:E4493)*(E2=E$1:E4493))))))</f>
        <v> </v>
      </c>
      <c r="K4494" s="25" t="str">
        <f>IF(OR(E4494="",E4494="!!!",F4494="NEW"),"",INDEX(J$1:J4493,SUMPRODUCT(MAX(ROW(E$1:E4493)*(E4494=E$1:E4493)))))</f>
        <v> </v>
      </c>
      <c r="L4494" s="26"/>
    </row>
    <row r="4495" spans="1:12">
      <c r="A4495" s="20" t="s">
        <v>1197</v>
      </c>
      <c r="B4495" s="27" t="s">
        <v>1109</v>
      </c>
      <c r="C4495" s="27" t="s">
        <v>1068</v>
      </c>
      <c r="D4495" s="27" t="s">
        <v>1069</v>
      </c>
      <c r="E4495" s="21">
        <f>IF(D4495="?OLD","!!!","")</f>
        <v/>
      </c>
      <c r="F4495" s="22" t="str">
        <f>IF(OR(E4495="",E4495="!!!"),"",IF(NOT(ISNA(VLOOKUP(E4495,E$1:E4494,1,FALSE()))),"OLD",IF(AND(E4495&lt;&gt;"",E4495&lt;&gt;"!!!"),"NEW","")))</f>
        <v> </v>
      </c>
      <c r="G4495" s="23" t="str">
        <f>IF(OR(E4495="",E4495="!!!"),"",IF(OR(J4495=0,AND(J4495=1,K4495=1),AND(J4495=1,I4495="SBJ"),AND(J4495=1,I4495=0)),"?IN_FOCUS",IF(J4495&lt;=2,"?ACTIVATED",IF(J4495&lt;&gt;"","?FAMILIAR",IF(F4495="NEW",IF(ISNA(VLOOKUP(E4495,#REF!,1,FALSE())),"?TYPE_IDENTIFIABLE","?REFERENTIAL"),"_")))))</f>
        <v> </v>
      </c>
      <c r="H4495" s="24" t="str">
        <f>IF(J4495&lt;&gt;1,"",IF(I4495="SBJ","CB","?"))</f>
        <v> </v>
      </c>
      <c r="I4495" s="25" t="str">
        <f>IF(OR(E4495="",E4495="!!!",F4495="NEW"),"",INDEX(B4494:B$2,-1+SUMPRODUCT(MAX(ROW(E4494:E$2)*(E4495=E4494:E$2)))))</f>
        <v> </v>
      </c>
      <c r="J4495" s="25" t="str">
        <f>IF(OR(E4495="",E4495="!!!",F4495="NEW"),"",COUNTBLANK(OFFSET(A$1,,,SUMPRODUCT(MAX(ROW(E$2:E4495)*(E4495=E$2:E4495)))))-COUNTBLANK(OFFSET(A$1,,,SUMPRODUCT(MAX(ROW(E$1:E4494)*(E2=E$1:E4494))))))</f>
        <v> </v>
      </c>
      <c r="K4495" s="25" t="str">
        <f>IF(OR(E4495="",E4495="!!!",F4495="NEW"),"",INDEX(J$1:J4494,SUMPRODUCT(MAX(ROW(E$1:E4494)*(E4495=E$1:E4494)))))</f>
        <v> </v>
      </c>
      <c r="L4495" s="26"/>
    </row>
    <row r="4496" spans="1:12">
      <c r="A4496" s="20" t="s">
        <v>1246</v>
      </c>
      <c r="E4496" s="21">
        <f>IF(D4496="?OLD","!!!","")</f>
        <v/>
      </c>
      <c r="F4496" s="22" t="str">
        <f>IF(OR(E4496="",E4496="!!!"),"",IF(NOT(ISNA(VLOOKUP(E4496,E$1:E4495,1,FALSE()))),"OLD",IF(AND(E4496&lt;&gt;"",E4496&lt;&gt;"!!!"),"NEW","")))</f>
        <v> </v>
      </c>
      <c r="G4496" s="23" t="str">
        <f>IF(OR(E4496="",E4496="!!!"),"",IF(OR(J4496=0,AND(J4496=1,K4496=1),AND(J4496=1,I4496="SBJ"),AND(J4496=1,I4496=0)),"?IN_FOCUS",IF(J4496&lt;=2,"?ACTIVATED",IF(J4496&lt;&gt;"","?FAMILIAR",IF(F4496="NEW",IF(ISNA(VLOOKUP(E4496,#REF!,1,FALSE())),"?TYPE_IDENTIFIABLE","?REFERENTIAL"),"_")))))</f>
        <v> </v>
      </c>
      <c r="H4496" s="24" t="str">
        <f>IF(J4496&lt;&gt;1,"",IF(I4496="SBJ","CB","?"))</f>
        <v> </v>
      </c>
      <c r="I4496" s="25" t="str">
        <f>IF(OR(E4496="",E4496="!!!",F4496="NEW"),"",INDEX(B4495:B$2,-1+SUMPRODUCT(MAX(ROW(E4495:E$2)*(E4496=E4495:E$2)))))</f>
        <v> </v>
      </c>
      <c r="J4496" s="25" t="str">
        <f>IF(OR(E4496="",E4496="!!!",F4496="NEW"),"",COUNTBLANK(OFFSET(A$1,,,SUMPRODUCT(MAX(ROW(E$2:E4496)*(E4496=E$2:E4496)))))-COUNTBLANK(OFFSET(A$1,,,SUMPRODUCT(MAX(ROW(E$1:E4495)*(E2=E$1:E4495))))))</f>
        <v> </v>
      </c>
      <c r="K4496" s="25" t="str">
        <f>IF(OR(E4496="",E4496="!!!",F4496="NEW"),"",INDEX(J$1:J4495,SUMPRODUCT(MAX(ROW(E$1:E4495)*(E4496=E$1:E4495)))))</f>
        <v> </v>
      </c>
      <c r="L4496" s="26"/>
    </row>
    <row r="4497" spans="1:12">
      <c r="A4497" s="20" t="s">
        <v>1113</v>
      </c>
      <c r="E4497" s="21">
        <f>IF(D4497="?OLD","!!!","")</f>
        <v/>
      </c>
      <c r="F4497" s="22" t="str">
        <f>IF(OR(E4497="",E4497="!!!"),"",IF(NOT(ISNA(VLOOKUP(E4497,E$1:E4496,1,FALSE()))),"OLD",IF(AND(E4497&lt;&gt;"",E4497&lt;&gt;"!!!"),"NEW","")))</f>
        <v> </v>
      </c>
      <c r="G4497" s="23" t="str">
        <f>IF(OR(E4497="",E4497="!!!"),"",IF(OR(J4497=0,AND(J4497=1,K4497=1),AND(J4497=1,I4497="SBJ"),AND(J4497=1,I4497=0)),"?IN_FOCUS",IF(J4497&lt;=2,"?ACTIVATED",IF(J4497&lt;&gt;"","?FAMILIAR",IF(F4497="NEW",IF(ISNA(VLOOKUP(E4497,#REF!,1,FALSE())),"?TYPE_IDENTIFIABLE","?REFERENTIAL"),"_")))))</f>
        <v> </v>
      </c>
      <c r="H4497" s="24" t="str">
        <f>IF(J4497&lt;&gt;1,"",IF(I4497="SBJ","CB","?"))</f>
        <v> </v>
      </c>
      <c r="I4497" s="25" t="str">
        <f>IF(OR(E4497="",E4497="!!!",F4497="NEW"),"",INDEX(B4496:B$2,-1+SUMPRODUCT(MAX(ROW(E4496:E$2)*(E4497=E4496:E$2)))))</f>
        <v> </v>
      </c>
      <c r="J4497" s="25" t="str">
        <f>IF(OR(E4497="",E4497="!!!",F4497="NEW"),"",COUNTBLANK(OFFSET(A$1,,,SUMPRODUCT(MAX(ROW(E$2:E4497)*(E4497=E$2:E4497)))))-COUNTBLANK(OFFSET(A$1,,,SUMPRODUCT(MAX(ROW(E$1:E4496)*(E2=E$1:E4496))))))</f>
        <v> </v>
      </c>
      <c r="K4497" s="25" t="str">
        <f>IF(OR(E4497="",E4497="!!!",F4497="NEW"),"",INDEX(J$1:J4496,SUMPRODUCT(MAX(ROW(E$1:E4496)*(E4497=E$1:E4496)))))</f>
        <v> </v>
      </c>
      <c r="L4497" s="26"/>
    </row>
    <row r="4498" spans="1:12">
      <c r="A4498" s="20" t="s">
        <v>2399</v>
      </c>
      <c r="B4498" s="27" t="s">
        <v>1116</v>
      </c>
      <c r="C4498" s="27" t="s">
        <v>1086</v>
      </c>
      <c r="D4498" s="27" t="s">
        <v>1069</v>
      </c>
      <c r="E4498" s="21">
        <f>IF(D4498="?OLD","!!!","")</f>
        <v/>
      </c>
      <c r="F4498" s="22" t="str">
        <f>IF(OR(E4498="",E4498="!!!"),"",IF(NOT(ISNA(VLOOKUP(E4498,E$1:E4497,1,FALSE()))),"OLD",IF(AND(E4498&lt;&gt;"",E4498&lt;&gt;"!!!"),"NEW","")))</f>
        <v> </v>
      </c>
      <c r="G4498" s="23" t="str">
        <f>IF(OR(E4498="",E4498="!!!"),"",IF(OR(J4498=0,AND(J4498=1,K4498=1),AND(J4498=1,I4498="SBJ"),AND(J4498=1,I4498=0)),"?IN_FOCUS",IF(J4498&lt;=2,"?ACTIVATED",IF(J4498&lt;&gt;"","?FAMILIAR",IF(F4498="NEW",IF(ISNA(VLOOKUP(E4498,#REF!,1,FALSE())),"?TYPE_IDENTIFIABLE","?REFERENTIAL"),"_")))))</f>
        <v> </v>
      </c>
      <c r="H4498" s="24" t="str">
        <f>IF(J4498&lt;&gt;1,"",IF(I4498="SBJ","CB","?"))</f>
        <v> </v>
      </c>
      <c r="I4498" s="25" t="str">
        <f>IF(OR(E4498="",E4498="!!!",F4498="NEW"),"",INDEX(B4497:B$2,-1+SUMPRODUCT(MAX(ROW(E4497:E$2)*(E4498=E4497:E$2)))))</f>
        <v> </v>
      </c>
      <c r="J4498" s="25" t="str">
        <f>IF(OR(E4498="",E4498="!!!",F4498="NEW"),"",COUNTBLANK(OFFSET(A$1,,,SUMPRODUCT(MAX(ROW(E$2:E4498)*(E4498=E$2:E4498)))))-COUNTBLANK(OFFSET(A$1,,,SUMPRODUCT(MAX(ROW(E$1:E4497)*(E2=E$1:E4497))))))</f>
        <v> </v>
      </c>
      <c r="K4498" s="25" t="str">
        <f>IF(OR(E4498="",E4498="!!!",F4498="NEW"),"",INDEX(J$1:J4497,SUMPRODUCT(MAX(ROW(E$1:E4497)*(E4498=E$1:E4497)))))</f>
        <v> </v>
      </c>
      <c r="L4498" s="26"/>
    </row>
    <row r="4499" spans="1:12">
      <c r="A4499" s="20" t="s">
        <v>464</v>
      </c>
      <c r="E4499" s="21">
        <f>IF(D4499="?OLD","!!!","")</f>
        <v/>
      </c>
      <c r="F4499" s="22" t="str">
        <f>IF(OR(E4499="",E4499="!!!"),"",IF(NOT(ISNA(VLOOKUP(E4499,E$1:E4498,1,FALSE()))),"OLD",IF(AND(E4499&lt;&gt;"",E4499&lt;&gt;"!!!"),"NEW","")))</f>
        <v> </v>
      </c>
      <c r="G4499" s="23" t="str">
        <f>IF(OR(E4499="",E4499="!!!"),"",IF(OR(J4499=0,AND(J4499=1,K4499=1),AND(J4499=1,I4499="SBJ"),AND(J4499=1,I4499=0)),"?IN_FOCUS",IF(J4499&lt;=2,"?ACTIVATED",IF(J4499&lt;&gt;"","?FAMILIAR",IF(F4499="NEW",IF(ISNA(VLOOKUP(E4499,#REF!,1,FALSE())),"?TYPE_IDENTIFIABLE","?REFERENTIAL"),"_")))))</f>
        <v> </v>
      </c>
      <c r="H4499" s="24" t="str">
        <f>IF(J4499&lt;&gt;1,"",IF(I4499="SBJ","CB","?"))</f>
        <v> </v>
      </c>
      <c r="I4499" s="25" t="str">
        <f>IF(OR(E4499="",E4499="!!!",F4499="NEW"),"",INDEX(B4498:B$2,-1+SUMPRODUCT(MAX(ROW(E4498:E$2)*(E4499=E4498:E$2)))))</f>
        <v> </v>
      </c>
      <c r="J4499" s="25" t="str">
        <f>IF(OR(E4499="",E4499="!!!",F4499="NEW"),"",COUNTBLANK(OFFSET(A$1,,,SUMPRODUCT(MAX(ROW(E$2:E4499)*(E4499=E$2:E4499)))))-COUNTBLANK(OFFSET(A$1,,,SUMPRODUCT(MAX(ROW(E$1:E4498)*(E2=E$1:E4498))))))</f>
        <v> </v>
      </c>
      <c r="K4499" s="25" t="str">
        <f>IF(OR(E4499="",E4499="!!!",F4499="NEW"),"",INDEX(J$1:J4498,SUMPRODUCT(MAX(ROW(E$1:E4498)*(E4499=E$1:E4498)))))</f>
        <v> </v>
      </c>
      <c r="L4499" s="26"/>
    </row>
    <row r="4500" spans="1:12">
      <c r="A4500" s="20" t="s">
        <v>1236</v>
      </c>
      <c r="E4500" s="21">
        <f>IF(D4500="?OLD","!!!","")</f>
        <v/>
      </c>
      <c r="F4500" s="22" t="str">
        <f>IF(OR(E4500="",E4500="!!!"),"",IF(NOT(ISNA(VLOOKUP(E4500,E$1:E4499,1,FALSE()))),"OLD",IF(AND(E4500&lt;&gt;"",E4500&lt;&gt;"!!!"),"NEW","")))</f>
        <v> </v>
      </c>
      <c r="G4500" s="23" t="str">
        <f>IF(OR(E4500="",E4500="!!!"),"",IF(OR(J4500=0,AND(J4500=1,K4500=1),AND(J4500=1,I4500="SBJ"),AND(J4500=1,I4500=0)),"?IN_FOCUS",IF(J4500&lt;=2,"?ACTIVATED",IF(J4500&lt;&gt;"","?FAMILIAR",IF(F4500="NEW",IF(ISNA(VLOOKUP(E4500,#REF!,1,FALSE())),"?TYPE_IDENTIFIABLE","?REFERENTIAL"),"_")))))</f>
        <v> </v>
      </c>
      <c r="H4500" s="24" t="str">
        <f>IF(J4500&lt;&gt;1,"",IF(I4500="SBJ","CB","?"))</f>
        <v> </v>
      </c>
      <c r="I4500" s="25" t="str">
        <f>IF(OR(E4500="",E4500="!!!",F4500="NEW"),"",INDEX(B4499:B$2,-1+SUMPRODUCT(MAX(ROW(E4499:E$2)*(E4500=E4499:E$2)))))</f>
        <v> </v>
      </c>
      <c r="J4500" s="25" t="str">
        <f>IF(OR(E4500="",E4500="!!!",F4500="NEW"),"",COUNTBLANK(OFFSET(A$1,,,SUMPRODUCT(MAX(ROW(E$2:E4500)*(E4500=E$2:E4500)))))-COUNTBLANK(OFFSET(A$1,,,SUMPRODUCT(MAX(ROW(E$1:E4499)*(E2=E$1:E4499))))))</f>
        <v> </v>
      </c>
      <c r="K4500" s="25" t="str">
        <f>IF(OR(E4500="",E4500="!!!",F4500="NEW"),"",INDEX(J$1:J4499,SUMPRODUCT(MAX(ROW(E$1:E4499)*(E4500=E$1:E4499)))))</f>
        <v> </v>
      </c>
      <c r="L4500" s="26"/>
    </row>
    <row r="4501" spans="1:12">
      <c r="A4501" s="20" t="s">
        <v>1078</v>
      </c>
      <c r="E4501" s="21">
        <f>IF(D4501="?OLD","!!!","")</f>
        <v/>
      </c>
      <c r="F4501" s="22" t="str">
        <f>IF(OR(E4501="",E4501="!!!"),"",IF(NOT(ISNA(VLOOKUP(E4501,E$1:E4500,1,FALSE()))),"OLD",IF(AND(E4501&lt;&gt;"",E4501&lt;&gt;"!!!"),"NEW","")))</f>
        <v> </v>
      </c>
      <c r="G4501" s="23" t="str">
        <f>IF(OR(E4501="",E4501="!!!"),"",IF(OR(J4501=0,AND(J4501=1,K4501=1),AND(J4501=1,I4501="SBJ"),AND(J4501=1,I4501=0)),"?IN_FOCUS",IF(J4501&lt;=2,"?ACTIVATED",IF(J4501&lt;&gt;"","?FAMILIAR",IF(F4501="NEW",IF(ISNA(VLOOKUP(E4501,#REF!,1,FALSE())),"?TYPE_IDENTIFIABLE","?REFERENTIAL"),"_")))))</f>
        <v> </v>
      </c>
      <c r="H4501" s="24" t="str">
        <f>IF(J4501&lt;&gt;1,"",IF(I4501="SBJ","CB","?"))</f>
        <v> </v>
      </c>
      <c r="I4501" s="25" t="str">
        <f>IF(OR(E4501="",E4501="!!!",F4501="NEW"),"",INDEX(B4500:B$2,-1+SUMPRODUCT(MAX(ROW(E4500:E$2)*(E4501=E4500:E$2)))))</f>
        <v> </v>
      </c>
      <c r="J4501" s="25" t="str">
        <f>IF(OR(E4501="",E4501="!!!",F4501="NEW"),"",COUNTBLANK(OFFSET(A$1,,,SUMPRODUCT(MAX(ROW(E$2:E4501)*(E4501=E$2:E4501)))))-COUNTBLANK(OFFSET(A$1,,,SUMPRODUCT(MAX(ROW(E$1:E4500)*(E2=E$1:E4500))))))</f>
        <v> </v>
      </c>
      <c r="K4501" s="25" t="str">
        <f>IF(OR(E4501="",E4501="!!!",F4501="NEW"),"",INDEX(J$1:J4500,SUMPRODUCT(MAX(ROW(E$1:E4500)*(E4501=E$1:E4500)))))</f>
        <v> </v>
      </c>
      <c r="L4501" s="26"/>
    </row>
    <row r="4502" spans="1:12">
      <c r="A4502" s="20" t="s">
        <v>1104</v>
      </c>
      <c r="B4502" s="27" t="s">
        <v>1683</v>
      </c>
      <c r="C4502" s="27" t="s">
        <v>1110</v>
      </c>
      <c r="D4502" s="27" t="s">
        <v>1069</v>
      </c>
      <c r="E4502" s="21">
        <f>IF(D4502="?OLD","!!!","")</f>
        <v/>
      </c>
      <c r="F4502" s="22" t="str">
        <f>IF(OR(E4502="",E4502="!!!"),"",IF(NOT(ISNA(VLOOKUP(E4502,E$1:E4501,1,FALSE()))),"OLD",IF(AND(E4502&lt;&gt;"",E4502&lt;&gt;"!!!"),"NEW","")))</f>
        <v> </v>
      </c>
      <c r="G4502" s="23" t="str">
        <f>IF(OR(E4502="",E4502="!!!"),"",IF(OR(J4502=0,AND(J4502=1,K4502=1),AND(J4502=1,I4502="SBJ"),AND(J4502=1,I4502=0)),"?IN_FOCUS",IF(J4502&lt;=2,"?ACTIVATED",IF(J4502&lt;&gt;"","?FAMILIAR",IF(F4502="NEW",IF(ISNA(VLOOKUP(E4502,#REF!,1,FALSE())),"?TYPE_IDENTIFIABLE","?REFERENTIAL"),"_")))))</f>
        <v> </v>
      </c>
      <c r="H4502" s="24" t="str">
        <f>IF(J4502&lt;&gt;1,"",IF(I4502="SBJ","CB","?"))</f>
        <v> </v>
      </c>
      <c r="I4502" s="25" t="str">
        <f>IF(OR(E4502="",E4502="!!!",F4502="NEW"),"",INDEX(B4501:B$2,-1+SUMPRODUCT(MAX(ROW(E4501:E$2)*(E4502=E4501:E$2)))))</f>
        <v> </v>
      </c>
      <c r="J4502" s="25" t="str">
        <f>IF(OR(E4502="",E4502="!!!",F4502="NEW"),"",COUNTBLANK(OFFSET(A$1,,,SUMPRODUCT(MAX(ROW(E$2:E4502)*(E4502=E$2:E4502)))))-COUNTBLANK(OFFSET(A$1,,,SUMPRODUCT(MAX(ROW(E$1:E4501)*(E2=E$1:E4501))))))</f>
        <v> </v>
      </c>
      <c r="K4502" s="25" t="str">
        <f>IF(OR(E4502="",E4502="!!!",F4502="NEW"),"",INDEX(J$1:J4501,SUMPRODUCT(MAX(ROW(E$1:E4501)*(E4502=E$1:E4501)))))</f>
        <v> </v>
      </c>
      <c r="L4502" s="26"/>
    </row>
    <row r="4503" spans="1:12">
      <c r="A4503" s="20" t="s">
        <v>1124</v>
      </c>
      <c r="E4503" s="21">
        <f>IF(D4503="?OLD","!!!","")</f>
        <v/>
      </c>
      <c r="F4503" s="22" t="str">
        <f>IF(OR(E4503="",E4503="!!!"),"",IF(NOT(ISNA(VLOOKUP(E4503,E$1:E4502,1,FALSE()))),"OLD",IF(AND(E4503&lt;&gt;"",E4503&lt;&gt;"!!!"),"NEW","")))</f>
        <v> </v>
      </c>
      <c r="G4503" s="23" t="str">
        <f>IF(OR(E4503="",E4503="!!!"),"",IF(OR(J4503=0,AND(J4503=1,K4503=1),AND(J4503=1,I4503="SBJ"),AND(J4503=1,I4503=0)),"?IN_FOCUS",IF(J4503&lt;=2,"?ACTIVATED",IF(J4503&lt;&gt;"","?FAMILIAR",IF(F4503="NEW",IF(ISNA(VLOOKUP(E4503,#REF!,1,FALSE())),"?TYPE_IDENTIFIABLE","?REFERENTIAL"),"_")))))</f>
        <v> </v>
      </c>
      <c r="H4503" s="24" t="str">
        <f>IF(J4503&lt;&gt;1,"",IF(I4503="SBJ","CB","?"))</f>
        <v> </v>
      </c>
      <c r="I4503" s="25" t="str">
        <f>IF(OR(E4503="",E4503="!!!",F4503="NEW"),"",INDEX(B4502:B$2,-1+SUMPRODUCT(MAX(ROW(E4502:E$2)*(E4503=E4502:E$2)))))</f>
        <v> </v>
      </c>
      <c r="J4503" s="25" t="str">
        <f>IF(OR(E4503="",E4503="!!!",F4503="NEW"),"",COUNTBLANK(OFFSET(A$1,,,SUMPRODUCT(MAX(ROW(E$2:E4503)*(E4503=E$2:E4503)))))-COUNTBLANK(OFFSET(A$1,,,SUMPRODUCT(MAX(ROW(E$1:E4502)*(E2=E$1:E4502))))))</f>
        <v> </v>
      </c>
      <c r="K4503" s="25" t="str">
        <f>IF(OR(E4503="",E4503="!!!",F4503="NEW"),"",INDEX(J$1:J4502,SUMPRODUCT(MAX(ROW(E$1:E4502)*(E4503=E$1:E4502)))))</f>
        <v> </v>
      </c>
      <c r="L4503" s="26"/>
    </row>
    <row r="4504" spans="1:12">
      <c r="A4504" s="20" t="s">
        <v>1099</v>
      </c>
      <c r="E4504" s="21">
        <f>IF(D4504="?OLD","!!!","")</f>
        <v/>
      </c>
      <c r="F4504" s="22" t="str">
        <f>IF(OR(E4504="",E4504="!!!"),"",IF(NOT(ISNA(VLOOKUP(E4504,E$1:E4503,1,FALSE()))),"OLD",IF(AND(E4504&lt;&gt;"",E4504&lt;&gt;"!!!"),"NEW","")))</f>
        <v> </v>
      </c>
      <c r="G4504" s="23" t="str">
        <f>IF(OR(E4504="",E4504="!!!"),"",IF(OR(J4504=0,AND(J4504=1,K4504=1),AND(J4504=1,I4504="SBJ"),AND(J4504=1,I4504=0)),"?IN_FOCUS",IF(J4504&lt;=2,"?ACTIVATED",IF(J4504&lt;&gt;"","?FAMILIAR",IF(F4504="NEW",IF(ISNA(VLOOKUP(E4504,#REF!,1,FALSE())),"?TYPE_IDENTIFIABLE","?REFERENTIAL"),"_")))))</f>
        <v> </v>
      </c>
      <c r="H4504" s="24" t="str">
        <f>IF(J4504&lt;&gt;1,"",IF(I4504="SBJ","CB","?"))</f>
        <v> </v>
      </c>
      <c r="I4504" s="25" t="str">
        <f>IF(OR(E4504="",E4504="!!!",F4504="NEW"),"",INDEX(B4503:B$2,-1+SUMPRODUCT(MAX(ROW(E4503:E$2)*(E4504=E4503:E$2)))))</f>
        <v> </v>
      </c>
      <c r="J4504" s="25" t="str">
        <f>IF(OR(E4504="",E4504="!!!",F4504="NEW"),"",COUNTBLANK(OFFSET(A$1,,,SUMPRODUCT(MAX(ROW(E$2:E4504)*(E4504=E$2:E4504)))))-COUNTBLANK(OFFSET(A$1,,,SUMPRODUCT(MAX(ROW(E$1:E4503)*(E2=E$1:E4503))))))</f>
        <v> </v>
      </c>
      <c r="K4504" s="25" t="str">
        <f>IF(OR(E4504="",E4504="!!!",F4504="NEW"),"",INDEX(J$1:J4503,SUMPRODUCT(MAX(ROW(E$1:E4503)*(E4504=E$1:E4503)))))</f>
        <v> </v>
      </c>
      <c r="L4504" s="26"/>
    </row>
    <row r="4505" spans="1:12">
      <c r="A4505" s="20" t="s">
        <v>1104</v>
      </c>
      <c r="E4505" s="21">
        <f>IF(D4505="?OLD","!!!","")</f>
        <v/>
      </c>
      <c r="F4505" s="22" t="str">
        <f>IF(OR(E4505="",E4505="!!!"),"",IF(NOT(ISNA(VLOOKUP(E4505,E$1:E4504,1,FALSE()))),"OLD",IF(AND(E4505&lt;&gt;"",E4505&lt;&gt;"!!!"),"NEW","")))</f>
        <v> </v>
      </c>
      <c r="G4505" s="23" t="str">
        <f>IF(OR(E4505="",E4505="!!!"),"",IF(OR(J4505=0,AND(J4505=1,K4505=1),AND(J4505=1,I4505="SBJ"),AND(J4505=1,I4505=0)),"?IN_FOCUS",IF(J4505&lt;=2,"?ACTIVATED",IF(J4505&lt;&gt;"","?FAMILIAR",IF(F4505="NEW",IF(ISNA(VLOOKUP(E4505,#REF!,1,FALSE())),"?TYPE_IDENTIFIABLE","?REFERENTIAL"),"_")))))</f>
        <v> </v>
      </c>
      <c r="H4505" s="24" t="str">
        <f>IF(J4505&lt;&gt;1,"",IF(I4505="SBJ","CB","?"))</f>
        <v> </v>
      </c>
      <c r="I4505" s="25" t="str">
        <f>IF(OR(E4505="",E4505="!!!",F4505="NEW"),"",INDEX(B4504:B$2,-1+SUMPRODUCT(MAX(ROW(E4504:E$2)*(E4505=E4504:E$2)))))</f>
        <v> </v>
      </c>
      <c r="J4505" s="25" t="str">
        <f>IF(OR(E4505="",E4505="!!!",F4505="NEW"),"",COUNTBLANK(OFFSET(A$1,,,SUMPRODUCT(MAX(ROW(E$2:E4505)*(E4505=E$2:E4505)))))-COUNTBLANK(OFFSET(A$1,,,SUMPRODUCT(MAX(ROW(E$1:E4504)*(E2=E$1:E4504))))))</f>
        <v> </v>
      </c>
      <c r="K4505" s="25" t="str">
        <f>IF(OR(E4505="",E4505="!!!",F4505="NEW"),"",INDEX(J$1:J4504,SUMPRODUCT(MAX(ROW(E$1:E4504)*(E4505=E$1:E4504)))))</f>
        <v> </v>
      </c>
      <c r="L4505" s="26"/>
    </row>
    <row r="4506" spans="1:12">
      <c r="A4506" s="20" t="s">
        <v>2400</v>
      </c>
      <c r="B4506" s="27" t="s">
        <v>1678</v>
      </c>
      <c r="C4506" s="27" t="s">
        <v>1086</v>
      </c>
      <c r="D4506" s="27" t="s">
        <v>1069</v>
      </c>
      <c r="E4506" s="21">
        <f>IF(D4506="?OLD","!!!","")</f>
        <v/>
      </c>
      <c r="F4506" s="22" t="str">
        <f>IF(OR(E4506="",E4506="!!!"),"",IF(NOT(ISNA(VLOOKUP(E4506,E$1:E4505,1,FALSE()))),"OLD",IF(AND(E4506&lt;&gt;"",E4506&lt;&gt;"!!!"),"NEW","")))</f>
        <v> </v>
      </c>
      <c r="G4506" s="23" t="str">
        <f>IF(OR(E4506="",E4506="!!!"),"",IF(OR(J4506=0,AND(J4506=1,K4506=1),AND(J4506=1,I4506="SBJ"),AND(J4506=1,I4506=0)),"?IN_FOCUS",IF(J4506&lt;=2,"?ACTIVATED",IF(J4506&lt;&gt;"","?FAMILIAR",IF(F4506="NEW",IF(ISNA(VLOOKUP(E4506,#REF!,1,FALSE())),"?TYPE_IDENTIFIABLE","?REFERENTIAL"),"_")))))</f>
        <v> </v>
      </c>
      <c r="H4506" s="24" t="str">
        <f>IF(J4506&lt;&gt;1,"",IF(I4506="SBJ","CB","?"))</f>
        <v> </v>
      </c>
      <c r="I4506" s="25" t="str">
        <f>IF(OR(E4506="",E4506="!!!",F4506="NEW"),"",INDEX(B4505:B$2,-1+SUMPRODUCT(MAX(ROW(E4505:E$2)*(E4506=E4505:E$2)))))</f>
        <v> </v>
      </c>
      <c r="J4506" s="25" t="str">
        <f>IF(OR(E4506="",E4506="!!!",F4506="NEW"),"",COUNTBLANK(OFFSET(A$1,,,SUMPRODUCT(MAX(ROW(E$2:E4506)*(E4506=E$2:E4506)))))-COUNTBLANK(OFFSET(A$1,,,SUMPRODUCT(MAX(ROW(E$1:E4505)*(E2=E$1:E4505))))))</f>
        <v> </v>
      </c>
      <c r="K4506" s="25" t="str">
        <f>IF(OR(E4506="",E4506="!!!",F4506="NEW"),"",INDEX(J$1:J4505,SUMPRODUCT(MAX(ROW(E$1:E4505)*(E4506=E$1:E4505)))))</f>
        <v> </v>
      </c>
      <c r="L4506" s="26"/>
    </row>
    <row r="4507" spans="1:12">
      <c r="A4507" s="20" t="s">
        <v>1087</v>
      </c>
      <c r="E4507" s="21">
        <f>IF(D4507="?OLD","!!!","")</f>
        <v/>
      </c>
      <c r="F4507" s="22" t="str">
        <f>IF(OR(E4507="",E4507="!!!"),"",IF(NOT(ISNA(VLOOKUP(E4507,E$1:E4506,1,FALSE()))),"OLD",IF(AND(E4507&lt;&gt;"",E4507&lt;&gt;"!!!"),"NEW","")))</f>
        <v> </v>
      </c>
      <c r="G4507" s="23" t="str">
        <f>IF(OR(E4507="",E4507="!!!"),"",IF(OR(J4507=0,AND(J4507=1,K4507=1),AND(J4507=1,I4507="SBJ"),AND(J4507=1,I4507=0)),"?IN_FOCUS",IF(J4507&lt;=2,"?ACTIVATED",IF(J4507&lt;&gt;"","?FAMILIAR",IF(F4507="NEW",IF(ISNA(VLOOKUP(E4507,#REF!,1,FALSE())),"?TYPE_IDENTIFIABLE","?REFERENTIAL"),"_")))))</f>
        <v> </v>
      </c>
      <c r="H4507" s="24" t="str">
        <f>IF(J4507&lt;&gt;1,"",IF(I4507="SBJ","CB","?"))</f>
        <v> </v>
      </c>
      <c r="I4507" s="25" t="str">
        <f>IF(OR(E4507="",E4507="!!!",F4507="NEW"),"",INDEX(B4506:B$2,-1+SUMPRODUCT(MAX(ROW(E4506:E$2)*(E4507=E4506:E$2)))))</f>
        <v> </v>
      </c>
      <c r="J4507" s="25" t="str">
        <f>IF(OR(E4507="",E4507="!!!",F4507="NEW"),"",COUNTBLANK(OFFSET(A$1,,,SUMPRODUCT(MAX(ROW(E$2:E4507)*(E4507=E$2:E4507)))))-COUNTBLANK(OFFSET(A$1,,,SUMPRODUCT(MAX(ROW(E$1:E4506)*(E2=E$1:E4506))))))</f>
        <v> </v>
      </c>
      <c r="K4507" s="25" t="str">
        <f>IF(OR(E4507="",E4507="!!!",F4507="NEW"),"",INDEX(J$1:J4506,SUMPRODUCT(MAX(ROW(E$1:E4506)*(E4507=E$1:E4506)))))</f>
        <v> </v>
      </c>
      <c r="L4507" s="26"/>
    </row>
    <row r="4508" spans="1:12">
      <c r="A4508" s="20" t="s">
        <v>1097</v>
      </c>
      <c r="E4508" s="21">
        <f>IF(D4508="?OLD","!!!","")</f>
        <v/>
      </c>
      <c r="F4508" s="22" t="str">
        <f>IF(OR(E4508="",E4508="!!!"),"",IF(NOT(ISNA(VLOOKUP(E4508,E$1:E4507,1,FALSE()))),"OLD",IF(AND(E4508&lt;&gt;"",E4508&lt;&gt;"!!!"),"NEW","")))</f>
        <v> </v>
      </c>
      <c r="G4508" s="23" t="str">
        <f>IF(OR(E4508="",E4508="!!!"),"",IF(OR(J4508=0,AND(J4508=1,K4508=1),AND(J4508=1,I4508="SBJ"),AND(J4508=1,I4508=0)),"?IN_FOCUS",IF(J4508&lt;=2,"?ACTIVATED",IF(J4508&lt;&gt;"","?FAMILIAR",IF(F4508="NEW",IF(ISNA(VLOOKUP(E4508,#REF!,1,FALSE())),"?TYPE_IDENTIFIABLE","?REFERENTIAL"),"_")))))</f>
        <v> </v>
      </c>
      <c r="H4508" s="24" t="str">
        <f>IF(J4508&lt;&gt;1,"",IF(I4508="SBJ","CB","?"))</f>
        <v> </v>
      </c>
      <c r="I4508" s="25" t="str">
        <f>IF(OR(E4508="",E4508="!!!",F4508="NEW"),"",INDEX(B4507:B$2,-1+SUMPRODUCT(MAX(ROW(E4507:E$2)*(E4508=E4507:E$2)))))</f>
        <v> </v>
      </c>
      <c r="J4508" s="25" t="str">
        <f>IF(OR(E4508="",E4508="!!!",F4508="NEW"),"",COUNTBLANK(OFFSET(A$1,,,SUMPRODUCT(MAX(ROW(E$2:E4508)*(E4508=E$2:E4508)))))-COUNTBLANK(OFFSET(A$1,,,SUMPRODUCT(MAX(ROW(E$1:E4507)*(E2=E$1:E4507))))))</f>
        <v> </v>
      </c>
      <c r="K4508" s="25" t="str">
        <f>IF(OR(E4508="",E4508="!!!",F4508="NEW"),"",INDEX(J$1:J4507,SUMPRODUCT(MAX(ROW(E$1:E4507)*(E4508=E$1:E4507)))))</f>
        <v> </v>
      </c>
      <c r="L4508" s="26"/>
    </row>
    <row r="4509" spans="1:12">
      <c r="A4509" s="20" t="s">
        <v>2401</v>
      </c>
      <c r="B4509" s="27" t="s">
        <v>1681</v>
      </c>
      <c r="C4509" s="27" t="s">
        <v>1086</v>
      </c>
      <c r="D4509" s="27" t="s">
        <v>1069</v>
      </c>
      <c r="E4509" s="21">
        <f>IF(D4509="?OLD","!!!","")</f>
        <v/>
      </c>
      <c r="F4509" s="22" t="str">
        <f>IF(OR(E4509="",E4509="!!!"),"",IF(NOT(ISNA(VLOOKUP(E4509,E$1:E4508,1,FALSE()))),"OLD",IF(AND(E4509&lt;&gt;"",E4509&lt;&gt;"!!!"),"NEW","")))</f>
        <v> </v>
      </c>
      <c r="G4509" s="23" t="str">
        <f>IF(OR(E4509="",E4509="!!!"),"",IF(OR(J4509=0,AND(J4509=1,K4509=1),AND(J4509=1,I4509="SBJ"),AND(J4509=1,I4509=0)),"?IN_FOCUS",IF(J4509&lt;=2,"?ACTIVATED",IF(J4509&lt;&gt;"","?FAMILIAR",IF(F4509="NEW",IF(ISNA(VLOOKUP(E4509,#REF!,1,FALSE())),"?TYPE_IDENTIFIABLE","?REFERENTIAL"),"_")))))</f>
        <v> </v>
      </c>
      <c r="H4509" s="24" t="str">
        <f>IF(J4509&lt;&gt;1,"",IF(I4509="SBJ","CB","?"))</f>
        <v> </v>
      </c>
      <c r="I4509" s="25" t="str">
        <f>IF(OR(E4509="",E4509="!!!",F4509="NEW"),"",INDEX(B4508:B$2,-1+SUMPRODUCT(MAX(ROW(E4508:E$2)*(E4509=E4508:E$2)))))</f>
        <v> </v>
      </c>
      <c r="J4509" s="25" t="str">
        <f>IF(OR(E4509="",E4509="!!!",F4509="NEW"),"",COUNTBLANK(OFFSET(A$1,,,SUMPRODUCT(MAX(ROW(E$2:E4509)*(E4509=E$2:E4509)))))-COUNTBLANK(OFFSET(A$1,,,SUMPRODUCT(MAX(ROW(E$1:E4508)*(E2=E$1:E4508))))))</f>
        <v> </v>
      </c>
      <c r="K4509" s="25" t="str">
        <f>IF(OR(E4509="",E4509="!!!",F4509="NEW"),"",INDEX(J$1:J4508,SUMPRODUCT(MAX(ROW(E$1:E4508)*(E4509=E$1:E4508)))))</f>
        <v> </v>
      </c>
      <c r="L4509" s="26"/>
    </row>
    <row r="4510" spans="1:12">
      <c r="A4510" s="20" t="s">
        <v>1078</v>
      </c>
      <c r="E4510" s="21">
        <f>IF(D4510="?OLD","!!!","")</f>
        <v/>
      </c>
      <c r="F4510" s="22" t="str">
        <f>IF(OR(E4510="",E4510="!!!"),"",IF(NOT(ISNA(VLOOKUP(E4510,E$1:E4509,1,FALSE()))),"OLD",IF(AND(E4510&lt;&gt;"",E4510&lt;&gt;"!!!"),"NEW","")))</f>
        <v> </v>
      </c>
      <c r="G4510" s="23" t="str">
        <f>IF(OR(E4510="",E4510="!!!"),"",IF(OR(J4510=0,AND(J4510=1,K4510=1),AND(J4510=1,I4510="SBJ"),AND(J4510=1,I4510=0)),"?IN_FOCUS",IF(J4510&lt;=2,"?ACTIVATED",IF(J4510&lt;&gt;"","?FAMILIAR",IF(F4510="NEW",IF(ISNA(VLOOKUP(E4510,#REF!,1,FALSE())),"?TYPE_IDENTIFIABLE","?REFERENTIAL"),"_")))))</f>
        <v> </v>
      </c>
      <c r="H4510" s="24" t="str">
        <f>IF(J4510&lt;&gt;1,"",IF(I4510="SBJ","CB","?"))</f>
        <v> </v>
      </c>
      <c r="I4510" s="25" t="str">
        <f>IF(OR(E4510="",E4510="!!!",F4510="NEW"),"",INDEX(B4509:B$2,-1+SUMPRODUCT(MAX(ROW(E4509:E$2)*(E4510=E4509:E$2)))))</f>
        <v> </v>
      </c>
      <c r="J4510" s="25" t="str">
        <f>IF(OR(E4510="",E4510="!!!",F4510="NEW"),"",COUNTBLANK(OFFSET(A$1,,,SUMPRODUCT(MAX(ROW(E$2:E4510)*(E4510=E$2:E4510)))))-COUNTBLANK(OFFSET(A$1,,,SUMPRODUCT(MAX(ROW(E$1:E4509)*(E2=E$1:E4509))))))</f>
        <v> </v>
      </c>
      <c r="K4510" s="25" t="str">
        <f>IF(OR(E4510="",E4510="!!!",F4510="NEW"),"",INDEX(J$1:J4509,SUMPRODUCT(MAX(ROW(E$1:E4509)*(E4510=E$1:E4509)))))</f>
        <v> </v>
      </c>
      <c r="L4510" s="26"/>
    </row>
    <row r="4511" spans="1:12">
      <c r="A4511" s="20" t="s">
        <v>1104</v>
      </c>
      <c r="E4511" s="21">
        <f>IF(D4511="?OLD","!!!","")</f>
        <v/>
      </c>
      <c r="F4511" s="22" t="str">
        <f>IF(OR(E4511="",E4511="!!!"),"",IF(NOT(ISNA(VLOOKUP(E4511,E$1:E4510,1,FALSE()))),"OLD",IF(AND(E4511&lt;&gt;"",E4511&lt;&gt;"!!!"),"NEW","")))</f>
        <v> </v>
      </c>
      <c r="G4511" s="23" t="str">
        <f>IF(OR(E4511="",E4511="!!!"),"",IF(OR(J4511=0,AND(J4511=1,K4511=1),AND(J4511=1,I4511="SBJ"),AND(J4511=1,I4511=0)),"?IN_FOCUS",IF(J4511&lt;=2,"?ACTIVATED",IF(J4511&lt;&gt;"","?FAMILIAR",IF(F4511="NEW",IF(ISNA(VLOOKUP(E4511,#REF!,1,FALSE())),"?TYPE_IDENTIFIABLE","?REFERENTIAL"),"_")))))</f>
        <v> </v>
      </c>
      <c r="H4511" s="24" t="str">
        <f>IF(J4511&lt;&gt;1,"",IF(I4511="SBJ","CB","?"))</f>
        <v> </v>
      </c>
      <c r="I4511" s="25" t="str">
        <f>IF(OR(E4511="",E4511="!!!",F4511="NEW"),"",INDEX(B4510:B$2,-1+SUMPRODUCT(MAX(ROW(E4510:E$2)*(E4511=E4510:E$2)))))</f>
        <v> </v>
      </c>
      <c r="J4511" s="25" t="str">
        <f>IF(OR(E4511="",E4511="!!!",F4511="NEW"),"",COUNTBLANK(OFFSET(A$1,,,SUMPRODUCT(MAX(ROW(E$2:E4511)*(E4511=E$2:E4511)))))-COUNTBLANK(OFFSET(A$1,,,SUMPRODUCT(MAX(ROW(E$1:E4510)*(E2=E$1:E4510))))))</f>
        <v> </v>
      </c>
      <c r="K4511" s="25" t="str">
        <f>IF(OR(E4511="",E4511="!!!",F4511="NEW"),"",INDEX(J$1:J4510,SUMPRODUCT(MAX(ROW(E$1:E4510)*(E4511=E$1:E4510)))))</f>
        <v> </v>
      </c>
      <c r="L4511" s="26"/>
    </row>
    <row r="4512" spans="1:12">
      <c r="A4512" s="20" t="s">
        <v>411</v>
      </c>
      <c r="B4512" s="27" t="s">
        <v>1681</v>
      </c>
      <c r="C4512" s="27" t="s">
        <v>1086</v>
      </c>
      <c r="D4512" s="27" t="s">
        <v>1069</v>
      </c>
      <c r="E4512" s="21">
        <f>IF(D4512="?OLD","!!!","")</f>
        <v/>
      </c>
      <c r="F4512" s="22" t="str">
        <f>IF(OR(E4512="",E4512="!!!"),"",IF(NOT(ISNA(VLOOKUP(E4512,E$1:E4511,1,FALSE()))),"OLD",IF(AND(E4512&lt;&gt;"",E4512&lt;&gt;"!!!"),"NEW","")))</f>
        <v> </v>
      </c>
      <c r="G4512" s="23" t="str">
        <f>IF(OR(E4512="",E4512="!!!"),"",IF(OR(J4512=0,AND(J4512=1,K4512=1),AND(J4512=1,I4512="SBJ"),AND(J4512=1,I4512=0)),"?IN_FOCUS",IF(J4512&lt;=2,"?ACTIVATED",IF(J4512&lt;&gt;"","?FAMILIAR",IF(F4512="NEW",IF(ISNA(VLOOKUP(E4512,#REF!,1,FALSE())),"?TYPE_IDENTIFIABLE","?REFERENTIAL"),"_")))))</f>
        <v> </v>
      </c>
      <c r="H4512" s="24" t="str">
        <f>IF(J4512&lt;&gt;1,"",IF(I4512="SBJ","CB","?"))</f>
        <v> </v>
      </c>
      <c r="I4512" s="25" t="str">
        <f>IF(OR(E4512="",E4512="!!!",F4512="NEW"),"",INDEX(B4511:B$2,-1+SUMPRODUCT(MAX(ROW(E4511:E$2)*(E4512=E4511:E$2)))))</f>
        <v> </v>
      </c>
      <c r="J4512" s="25" t="str">
        <f>IF(OR(E4512="",E4512="!!!",F4512="NEW"),"",COUNTBLANK(OFFSET(A$1,,,SUMPRODUCT(MAX(ROW(E$2:E4512)*(E4512=E$2:E4512)))))-COUNTBLANK(OFFSET(A$1,,,SUMPRODUCT(MAX(ROW(E$1:E4511)*(E2=E$1:E4511))))))</f>
        <v> </v>
      </c>
      <c r="K4512" s="25" t="str">
        <f>IF(OR(E4512="",E4512="!!!",F4512="NEW"),"",INDEX(J$1:J4511,SUMPRODUCT(MAX(ROW(E$1:E4511)*(E4512=E$1:E4511)))))</f>
        <v> </v>
      </c>
      <c r="L4512" s="26"/>
    </row>
    <row r="4513" spans="1:12">
      <c r="A4513" s="20" t="s">
        <v>1087</v>
      </c>
      <c r="E4513" s="21">
        <f>IF(D4513="?OLD","!!!","")</f>
        <v/>
      </c>
      <c r="F4513" s="22" t="str">
        <f>IF(OR(E4513="",E4513="!!!"),"",IF(NOT(ISNA(VLOOKUP(E4513,E$1:E4512,1,FALSE()))),"OLD",IF(AND(E4513&lt;&gt;"",E4513&lt;&gt;"!!!"),"NEW","")))</f>
        <v> </v>
      </c>
      <c r="G4513" s="23" t="str">
        <f>IF(OR(E4513="",E4513="!!!"),"",IF(OR(J4513=0,AND(J4513=1,K4513=1),AND(J4513=1,I4513="SBJ"),AND(J4513=1,I4513=0)),"?IN_FOCUS",IF(J4513&lt;=2,"?ACTIVATED",IF(J4513&lt;&gt;"","?FAMILIAR",IF(F4513="NEW",IF(ISNA(VLOOKUP(E4513,#REF!,1,FALSE())),"?TYPE_IDENTIFIABLE","?REFERENTIAL"),"_")))))</f>
        <v> </v>
      </c>
      <c r="H4513" s="24" t="str">
        <f>IF(J4513&lt;&gt;1,"",IF(I4513="SBJ","CB","?"))</f>
        <v> </v>
      </c>
      <c r="I4513" s="25" t="str">
        <f>IF(OR(E4513="",E4513="!!!",F4513="NEW"),"",INDEX(B4512:B$2,-1+SUMPRODUCT(MAX(ROW(E4512:E$2)*(E4513=E4512:E$2)))))</f>
        <v> </v>
      </c>
      <c r="J4513" s="25" t="str">
        <f>IF(OR(E4513="",E4513="!!!",F4513="NEW"),"",COUNTBLANK(OFFSET(A$1,,,SUMPRODUCT(MAX(ROW(E$2:E4513)*(E4513=E$2:E4513)))))-COUNTBLANK(OFFSET(A$1,,,SUMPRODUCT(MAX(ROW(E$1:E4512)*(E2=E$1:E4512))))))</f>
        <v> </v>
      </c>
      <c r="K4513" s="25" t="str">
        <f>IF(OR(E4513="",E4513="!!!",F4513="NEW"),"",INDEX(J$1:J4512,SUMPRODUCT(MAX(ROW(E$1:E4512)*(E4513=E$1:E4512)))))</f>
        <v> </v>
      </c>
      <c r="L4513" s="26"/>
    </row>
    <row r="4514" spans="1:12">
      <c r="A4514" s="20" t="s">
        <v>2402</v>
      </c>
      <c r="E4514" s="21">
        <f>IF(D4514="?OLD","!!!","")</f>
        <v/>
      </c>
      <c r="F4514" s="22" t="str">
        <f>IF(OR(E4514="",E4514="!!!"),"",IF(NOT(ISNA(VLOOKUP(E4514,E$1:E4513,1,FALSE()))),"OLD",IF(AND(E4514&lt;&gt;"",E4514&lt;&gt;"!!!"),"NEW","")))</f>
        <v> </v>
      </c>
      <c r="G4514" s="23" t="str">
        <f>IF(OR(E4514="",E4514="!!!"),"",IF(OR(J4514=0,AND(J4514=1,K4514=1),AND(J4514=1,I4514="SBJ"),AND(J4514=1,I4514=0)),"?IN_FOCUS",IF(J4514&lt;=2,"?ACTIVATED",IF(J4514&lt;&gt;"","?FAMILIAR",IF(F4514="NEW",IF(ISNA(VLOOKUP(E4514,#REF!,1,FALSE())),"?TYPE_IDENTIFIABLE","?REFERENTIAL"),"_")))))</f>
        <v> </v>
      </c>
      <c r="H4514" s="24" t="str">
        <f>IF(J4514&lt;&gt;1,"",IF(I4514="SBJ","CB","?"))</f>
        <v> </v>
      </c>
      <c r="I4514" s="25" t="str">
        <f>IF(OR(E4514="",E4514="!!!",F4514="NEW"),"",INDEX(B4513:B$2,-1+SUMPRODUCT(MAX(ROW(E4513:E$2)*(E4514=E4513:E$2)))))</f>
        <v> </v>
      </c>
      <c r="J4514" s="25" t="str">
        <f>IF(OR(E4514="",E4514="!!!",F4514="NEW"),"",COUNTBLANK(OFFSET(A$1,,,SUMPRODUCT(MAX(ROW(E$2:E4514)*(E4514=E$2:E4514)))))-COUNTBLANK(OFFSET(A$1,,,SUMPRODUCT(MAX(ROW(E$1:E4513)*(E2=E$1:E4513))))))</f>
        <v> </v>
      </c>
      <c r="K4514" s="25" t="str">
        <f>IF(OR(E4514="",E4514="!!!",F4514="NEW"),"",INDEX(J$1:J4513,SUMPRODUCT(MAX(ROW(E$1:E4513)*(E4514=E$1:E4513)))))</f>
        <v> </v>
      </c>
      <c r="L4514" s="26"/>
    </row>
    <row r="4515" spans="1:12">
      <c r="A4515" s="20" t="s">
        <v>1083</v>
      </c>
      <c r="E4515" s="21">
        <f>IF(D4515="?OLD","!!!","")</f>
        <v/>
      </c>
      <c r="F4515" s="22" t="str">
        <f>IF(OR(E4515="",E4515="!!!"),"",IF(NOT(ISNA(VLOOKUP(E4515,E$1:E4514,1,FALSE()))),"OLD",IF(AND(E4515&lt;&gt;"",E4515&lt;&gt;"!!!"),"NEW","")))</f>
        <v> </v>
      </c>
      <c r="G4515" s="23" t="str">
        <f>IF(OR(E4515="",E4515="!!!"),"",IF(OR(J4515=0,AND(J4515=1,K4515=1),AND(J4515=1,I4515="SBJ"),AND(J4515=1,I4515=0)),"?IN_FOCUS",IF(J4515&lt;=2,"?ACTIVATED",IF(J4515&lt;&gt;"","?FAMILIAR",IF(F4515="NEW",IF(ISNA(VLOOKUP(E4515,#REF!,1,FALSE())),"?TYPE_IDENTIFIABLE","?REFERENTIAL"),"_")))))</f>
        <v> </v>
      </c>
      <c r="H4515" s="24" t="str">
        <f>IF(J4515&lt;&gt;1,"",IF(I4515="SBJ","CB","?"))</f>
        <v> </v>
      </c>
      <c r="I4515" s="25" t="str">
        <f>IF(OR(E4515="",E4515="!!!",F4515="NEW"),"",INDEX(B4514:B$2,-1+SUMPRODUCT(MAX(ROW(E4514:E$2)*(E4515=E4514:E$2)))))</f>
        <v> </v>
      </c>
      <c r="J4515" s="25" t="str">
        <f>IF(OR(E4515="",E4515="!!!",F4515="NEW"),"",COUNTBLANK(OFFSET(A$1,,,SUMPRODUCT(MAX(ROW(E$2:E4515)*(E4515=E$2:E4515)))))-COUNTBLANK(OFFSET(A$1,,,SUMPRODUCT(MAX(ROW(E$1:E4514)*(E2=E$1:E4514))))))</f>
        <v> </v>
      </c>
      <c r="K4515" s="25" t="str">
        <f>IF(OR(E4515="",E4515="!!!",F4515="NEW"),"",INDEX(J$1:J4514,SUMPRODUCT(MAX(ROW(E$1:E4514)*(E4515=E$1:E4514)))))</f>
        <v> </v>
      </c>
      <c r="L4515" s="26"/>
    </row>
    <row r="4516" spans="1:12">
      <c r="A4516" s="20" t="s">
        <v>2403</v>
      </c>
      <c r="B4516" s="27" t="s">
        <v>1133</v>
      </c>
      <c r="C4516" s="27" t="s">
        <v>1086</v>
      </c>
      <c r="D4516" s="27" t="s">
        <v>1069</v>
      </c>
      <c r="E4516" s="21">
        <f>IF(D4516="?OLD","!!!","")</f>
        <v/>
      </c>
      <c r="F4516" s="22" t="str">
        <f>IF(OR(E4516="",E4516="!!!"),"",IF(NOT(ISNA(VLOOKUP(E4516,E$1:E4515,1,FALSE()))),"OLD",IF(AND(E4516&lt;&gt;"",E4516&lt;&gt;"!!!"),"NEW","")))</f>
        <v> </v>
      </c>
      <c r="G4516" s="23" t="str">
        <f>IF(OR(E4516="",E4516="!!!"),"",IF(OR(J4516=0,AND(J4516=1,K4516=1),AND(J4516=1,I4516="SBJ"),AND(J4516=1,I4516=0)),"?IN_FOCUS",IF(J4516&lt;=2,"?ACTIVATED",IF(J4516&lt;&gt;"","?FAMILIAR",IF(F4516="NEW",IF(ISNA(VLOOKUP(E4516,#REF!,1,FALSE())),"?TYPE_IDENTIFIABLE","?REFERENTIAL"),"_")))))</f>
        <v> </v>
      </c>
      <c r="H4516" s="24" t="str">
        <f>IF(J4516&lt;&gt;1,"",IF(I4516="SBJ","CB","?"))</f>
        <v> </v>
      </c>
      <c r="I4516" s="25" t="str">
        <f>IF(OR(E4516="",E4516="!!!",F4516="NEW"),"",INDEX(B4515:B$2,-1+SUMPRODUCT(MAX(ROW(E4515:E$2)*(E4516=E4515:E$2)))))</f>
        <v> </v>
      </c>
      <c r="J4516" s="25" t="str">
        <f>IF(OR(E4516="",E4516="!!!",F4516="NEW"),"",COUNTBLANK(OFFSET(A$1,,,SUMPRODUCT(MAX(ROW(E$2:E4516)*(E4516=E$2:E4516)))))-COUNTBLANK(OFFSET(A$1,,,SUMPRODUCT(MAX(ROW(E$1:E4515)*(E2=E$1:E4515))))))</f>
        <v> </v>
      </c>
      <c r="K4516" s="25" t="str">
        <f>IF(OR(E4516="",E4516="!!!",F4516="NEW"),"",INDEX(J$1:J4515,SUMPRODUCT(MAX(ROW(E$1:E4515)*(E4516=E$1:E4515)))))</f>
        <v> </v>
      </c>
      <c r="L4516" s="26"/>
    </row>
    <row r="4517" spans="1:12">
      <c r="A4517" s="20" t="s">
        <v>1087</v>
      </c>
      <c r="E4517" s="21">
        <f>IF(D4517="?OLD","!!!","")</f>
        <v/>
      </c>
      <c r="F4517" s="22" t="str">
        <f>IF(OR(E4517="",E4517="!!!"),"",IF(NOT(ISNA(VLOOKUP(E4517,E$1:E4516,1,FALSE()))),"OLD",IF(AND(E4517&lt;&gt;"",E4517&lt;&gt;"!!!"),"NEW","")))</f>
        <v> </v>
      </c>
      <c r="G4517" s="23" t="str">
        <f>IF(OR(E4517="",E4517="!!!"),"",IF(OR(J4517=0,AND(J4517=1,K4517=1),AND(J4517=1,I4517="SBJ"),AND(J4517=1,I4517=0)),"?IN_FOCUS",IF(J4517&lt;=2,"?ACTIVATED",IF(J4517&lt;&gt;"","?FAMILIAR",IF(F4517="NEW",IF(ISNA(VLOOKUP(E4517,#REF!,1,FALSE())),"?TYPE_IDENTIFIABLE","?REFERENTIAL"),"_")))))</f>
        <v> </v>
      </c>
      <c r="H4517" s="24" t="str">
        <f>IF(J4517&lt;&gt;1,"",IF(I4517="SBJ","CB","?"))</f>
        <v> </v>
      </c>
      <c r="I4517" s="25" t="str">
        <f>IF(OR(E4517="",E4517="!!!",F4517="NEW"),"",INDEX(B4516:B$2,-1+SUMPRODUCT(MAX(ROW(E4516:E$2)*(E4517=E4516:E$2)))))</f>
        <v> </v>
      </c>
      <c r="J4517" s="25" t="str">
        <f>IF(OR(E4517="",E4517="!!!",F4517="NEW"),"",COUNTBLANK(OFFSET(A$1,,,SUMPRODUCT(MAX(ROW(E$2:E4517)*(E4517=E$2:E4517)))))-COUNTBLANK(OFFSET(A$1,,,SUMPRODUCT(MAX(ROW(E$1:E4516)*(E2=E$1:E4516))))))</f>
        <v> </v>
      </c>
      <c r="K4517" s="25" t="str">
        <f>IF(OR(E4517="",E4517="!!!",F4517="NEW"),"",INDEX(J$1:J4516,SUMPRODUCT(MAX(ROW(E$1:E4516)*(E4517=E$1:E4516)))))</f>
        <v> </v>
      </c>
      <c r="L4517" s="26"/>
    </row>
    <row r="4518" spans="1:12">
      <c r="A4518" s="20" t="s">
        <v>1243</v>
      </c>
      <c r="E4518" s="21">
        <f>IF(D4518="?OLD","!!!","")</f>
        <v/>
      </c>
      <c r="F4518" s="22" t="str">
        <f>IF(OR(E4518="",E4518="!!!"),"",IF(NOT(ISNA(VLOOKUP(E4518,E$1:E4517,1,FALSE()))),"OLD",IF(AND(E4518&lt;&gt;"",E4518&lt;&gt;"!!!"),"NEW","")))</f>
        <v> </v>
      </c>
      <c r="G4518" s="23" t="str">
        <f>IF(OR(E4518="",E4518="!!!"),"",IF(OR(J4518=0,AND(J4518=1,K4518=1),AND(J4518=1,I4518="SBJ"),AND(J4518=1,I4518=0)),"?IN_FOCUS",IF(J4518&lt;=2,"?ACTIVATED",IF(J4518&lt;&gt;"","?FAMILIAR",IF(F4518="NEW",IF(ISNA(VLOOKUP(E4518,#REF!,1,FALSE())),"?TYPE_IDENTIFIABLE","?REFERENTIAL"),"_")))))</f>
        <v> </v>
      </c>
      <c r="H4518" s="24" t="str">
        <f>IF(J4518&lt;&gt;1,"",IF(I4518="SBJ","CB","?"))</f>
        <v> </v>
      </c>
      <c r="I4518" s="25" t="str">
        <f>IF(OR(E4518="",E4518="!!!",F4518="NEW"),"",INDEX(B4517:B$2,-1+SUMPRODUCT(MAX(ROW(E4517:E$2)*(E4518=E4517:E$2)))))</f>
        <v> </v>
      </c>
      <c r="J4518" s="25" t="str">
        <f>IF(OR(E4518="",E4518="!!!",F4518="NEW"),"",COUNTBLANK(OFFSET(A$1,,,SUMPRODUCT(MAX(ROW(E$2:E4518)*(E4518=E$2:E4518)))))-COUNTBLANK(OFFSET(A$1,,,SUMPRODUCT(MAX(ROW(E$1:E4517)*(E2=E$1:E4517))))))</f>
        <v> </v>
      </c>
      <c r="K4518" s="25" t="str">
        <f>IF(OR(E4518="",E4518="!!!",F4518="NEW"),"",INDEX(J$1:J4517,SUMPRODUCT(MAX(ROW(E$1:E4517)*(E4518=E$1:E4517)))))</f>
        <v> </v>
      </c>
      <c r="L4518" s="26"/>
    </row>
    <row r="4519" spans="1:12">
      <c r="A4519" s="20" t="s">
        <v>1104</v>
      </c>
      <c r="E4519" s="21">
        <f>IF(D4519="?OLD","!!!","")</f>
        <v/>
      </c>
      <c r="F4519" s="22" t="str">
        <f>IF(OR(E4519="",E4519="!!!"),"",IF(NOT(ISNA(VLOOKUP(E4519,E$1:E4518,1,FALSE()))),"OLD",IF(AND(E4519&lt;&gt;"",E4519&lt;&gt;"!!!"),"NEW","")))</f>
        <v> </v>
      </c>
      <c r="G4519" s="23" t="str">
        <f>IF(OR(E4519="",E4519="!!!"),"",IF(OR(J4519=0,AND(J4519=1,K4519=1),AND(J4519=1,I4519="SBJ"),AND(J4519=1,I4519=0)),"?IN_FOCUS",IF(J4519&lt;=2,"?ACTIVATED",IF(J4519&lt;&gt;"","?FAMILIAR",IF(F4519="NEW",IF(ISNA(VLOOKUP(E4519,#REF!,1,FALSE())),"?TYPE_IDENTIFIABLE","?REFERENTIAL"),"_")))))</f>
        <v> </v>
      </c>
      <c r="H4519" s="24" t="str">
        <f>IF(J4519&lt;&gt;1,"",IF(I4519="SBJ","CB","?"))</f>
        <v> </v>
      </c>
      <c r="I4519" s="25" t="str">
        <f>IF(OR(E4519="",E4519="!!!",F4519="NEW"),"",INDEX(B4518:B$2,-1+SUMPRODUCT(MAX(ROW(E4518:E$2)*(E4519=E4518:E$2)))))</f>
        <v> </v>
      </c>
      <c r="J4519" s="25" t="str">
        <f>IF(OR(E4519="",E4519="!!!",F4519="NEW"),"",COUNTBLANK(OFFSET(A$1,,,SUMPRODUCT(MAX(ROW(E$2:E4519)*(E4519=E$2:E4519)))))-COUNTBLANK(OFFSET(A$1,,,SUMPRODUCT(MAX(ROW(E$1:E4518)*(E2=E$1:E4518))))))</f>
        <v> </v>
      </c>
      <c r="K4519" s="25" t="str">
        <f>IF(OR(E4519="",E4519="!!!",F4519="NEW"),"",INDEX(J$1:J4518,SUMPRODUCT(MAX(ROW(E$1:E4518)*(E4519=E$1:E4518)))))</f>
        <v> </v>
      </c>
      <c r="L4519" s="26"/>
    </row>
    <row r="4520" spans="1:12">
      <c r="A4520" s="20" t="s">
        <v>2404</v>
      </c>
      <c r="B4520" s="27" t="s">
        <v>1141</v>
      </c>
      <c r="C4520" s="27" t="s">
        <v>1086</v>
      </c>
      <c r="D4520" s="27" t="s">
        <v>1069</v>
      </c>
      <c r="E4520" s="21">
        <f>IF(D4520="?OLD","!!!","")</f>
        <v/>
      </c>
      <c r="F4520" s="22" t="str">
        <f>IF(OR(E4520="",E4520="!!!"),"",IF(NOT(ISNA(VLOOKUP(E4520,E$1:E4519,1,FALSE()))),"OLD",IF(AND(E4520&lt;&gt;"",E4520&lt;&gt;"!!!"),"NEW","")))</f>
        <v> </v>
      </c>
      <c r="G4520" s="23" t="str">
        <f>IF(OR(E4520="",E4520="!!!"),"",IF(OR(J4520=0,AND(J4520=1,K4520=1),AND(J4520=1,I4520="SBJ"),AND(J4520=1,I4520=0)),"?IN_FOCUS",IF(J4520&lt;=2,"?ACTIVATED",IF(J4520&lt;&gt;"","?FAMILIAR",IF(F4520="NEW",IF(ISNA(VLOOKUP(E4520,#REF!,1,FALSE())),"?TYPE_IDENTIFIABLE","?REFERENTIAL"),"_")))))</f>
        <v> </v>
      </c>
      <c r="H4520" s="24" t="str">
        <f>IF(J4520&lt;&gt;1,"",IF(I4520="SBJ","CB","?"))</f>
        <v> </v>
      </c>
      <c r="I4520" s="25" t="str">
        <f>IF(OR(E4520="",E4520="!!!",F4520="NEW"),"",INDEX(B4519:B$2,-1+SUMPRODUCT(MAX(ROW(E4519:E$2)*(E4520=E4519:E$2)))))</f>
        <v> </v>
      </c>
      <c r="J4520" s="25" t="str">
        <f>IF(OR(E4520="",E4520="!!!",F4520="NEW"),"",COUNTBLANK(OFFSET(A$1,,,SUMPRODUCT(MAX(ROW(E$2:E4520)*(E4520=E$2:E4520)))))-COUNTBLANK(OFFSET(A$1,,,SUMPRODUCT(MAX(ROW(E$1:E4519)*(E2=E$1:E4519))))))</f>
        <v> </v>
      </c>
      <c r="K4520" s="25" t="str">
        <f>IF(OR(E4520="",E4520="!!!",F4520="NEW"),"",INDEX(J$1:J4519,SUMPRODUCT(MAX(ROW(E$1:E4519)*(E4520=E$1:E4519)))))</f>
        <v> </v>
      </c>
      <c r="L4520" s="26"/>
    </row>
    <row r="4521" spans="1:12">
      <c r="A4521" s="20" t="s">
        <v>1142</v>
      </c>
      <c r="E4521" s="21">
        <f>IF(D4521="?OLD","!!!","")</f>
        <v/>
      </c>
      <c r="F4521" s="22" t="str">
        <f>IF(OR(E4521="",E4521="!!!"),"",IF(NOT(ISNA(VLOOKUP(E4521,E$1:E4520,1,FALSE()))),"OLD",IF(AND(E4521&lt;&gt;"",E4521&lt;&gt;"!!!"),"NEW","")))</f>
        <v> </v>
      </c>
      <c r="G4521" s="23" t="str">
        <f>IF(OR(E4521="",E4521="!!!"),"",IF(OR(J4521=0,AND(J4521=1,K4521=1),AND(J4521=1,I4521="SBJ"),AND(J4521=1,I4521=0)),"?IN_FOCUS",IF(J4521&lt;=2,"?ACTIVATED",IF(J4521&lt;&gt;"","?FAMILIAR",IF(F4521="NEW",IF(ISNA(VLOOKUP(E4521,#REF!,1,FALSE())),"?TYPE_IDENTIFIABLE","?REFERENTIAL"),"_")))))</f>
        <v> </v>
      </c>
      <c r="H4521" s="24" t="str">
        <f>IF(J4521&lt;&gt;1,"",IF(I4521="SBJ","CB","?"))</f>
        <v> </v>
      </c>
      <c r="I4521" s="25" t="str">
        <f>IF(OR(E4521="",E4521="!!!",F4521="NEW"),"",INDEX(B4520:B$2,-1+SUMPRODUCT(MAX(ROW(E4520:E$2)*(E4521=E4520:E$2)))))</f>
        <v> </v>
      </c>
      <c r="J4521" s="25" t="str">
        <f>IF(OR(E4521="",E4521="!!!",F4521="NEW"),"",COUNTBLANK(OFFSET(A$1,,,SUMPRODUCT(MAX(ROW(E$2:E4521)*(E4521=E$2:E4521)))))-COUNTBLANK(OFFSET(A$1,,,SUMPRODUCT(MAX(ROW(E$1:E4520)*(E2=E$1:E4520))))))</f>
        <v> </v>
      </c>
      <c r="K4521" s="25" t="str">
        <f>IF(OR(E4521="",E4521="!!!",F4521="NEW"),"",INDEX(J$1:J4520,SUMPRODUCT(MAX(ROW(E$1:E4520)*(E4521=E$1:E4520)))))</f>
        <v> </v>
      </c>
      <c r="L4521" s="26"/>
    </row>
    <row r="4522" spans="1:12">
      <c r="A4522" s="20" t="s">
        <v>1083</v>
      </c>
      <c r="E4522" s="21">
        <f>IF(D4522="?OLD","!!!","")</f>
        <v/>
      </c>
      <c r="F4522" s="22" t="str">
        <f>IF(OR(E4522="",E4522="!!!"),"",IF(NOT(ISNA(VLOOKUP(E4522,E$1:E4521,1,FALSE()))),"OLD",IF(AND(E4522&lt;&gt;"",E4522&lt;&gt;"!!!"),"NEW","")))</f>
        <v> </v>
      </c>
      <c r="G4522" s="23" t="str">
        <f>IF(OR(E4522="",E4522="!!!"),"",IF(OR(J4522=0,AND(J4522=1,K4522=1),AND(J4522=1,I4522="SBJ"),AND(J4522=1,I4522=0)),"?IN_FOCUS",IF(J4522&lt;=2,"?ACTIVATED",IF(J4522&lt;&gt;"","?FAMILIAR",IF(F4522="NEW",IF(ISNA(VLOOKUP(E4522,#REF!,1,FALSE())),"?TYPE_IDENTIFIABLE","?REFERENTIAL"),"_")))))</f>
        <v> </v>
      </c>
      <c r="H4522" s="24" t="str">
        <f>IF(J4522&lt;&gt;1,"",IF(I4522="SBJ","CB","?"))</f>
        <v> </v>
      </c>
      <c r="I4522" s="25" t="str">
        <f>IF(OR(E4522="",E4522="!!!",F4522="NEW"),"",INDEX(B4521:B$2,-1+SUMPRODUCT(MAX(ROW(E4521:E$2)*(E4522=E4521:E$2)))))</f>
        <v> </v>
      </c>
      <c r="J4522" s="25" t="str">
        <f>IF(OR(E4522="",E4522="!!!",F4522="NEW"),"",COUNTBLANK(OFFSET(A$1,,,SUMPRODUCT(MAX(ROW(E$2:E4522)*(E4522=E$2:E4522)))))-COUNTBLANK(OFFSET(A$1,,,SUMPRODUCT(MAX(ROW(E$1:E4521)*(E2=E$1:E4521))))))</f>
        <v> </v>
      </c>
      <c r="K4522" s="25" t="str">
        <f>IF(OR(E4522="",E4522="!!!",F4522="NEW"),"",INDEX(J$1:J4521,SUMPRODUCT(MAX(ROW(E$1:E4521)*(E4522=E$1:E4521)))))</f>
        <v> </v>
      </c>
      <c r="L4522" s="26"/>
    </row>
    <row r="4523" spans="1:12">
      <c r="A4523" s="20" t="s">
        <v>2405</v>
      </c>
      <c r="B4523" s="27" t="s">
        <v>1116</v>
      </c>
      <c r="C4523" s="27" t="s">
        <v>1086</v>
      </c>
      <c r="D4523" s="27" t="s">
        <v>1069</v>
      </c>
      <c r="E4523" s="21">
        <f>IF(D4523="?OLD","!!!","")</f>
        <v/>
      </c>
      <c r="F4523" s="22" t="str">
        <f>IF(OR(E4523="",E4523="!!!"),"",IF(NOT(ISNA(VLOOKUP(E4523,E$1:E4522,1,FALSE()))),"OLD",IF(AND(E4523&lt;&gt;"",E4523&lt;&gt;"!!!"),"NEW","")))</f>
        <v> </v>
      </c>
      <c r="G4523" s="23" t="str">
        <f>IF(OR(E4523="",E4523="!!!"),"",IF(OR(J4523=0,AND(J4523=1,K4523=1),AND(J4523=1,I4523="SBJ"),AND(J4523=1,I4523=0)),"?IN_FOCUS",IF(J4523&lt;=2,"?ACTIVATED",IF(J4523&lt;&gt;"","?FAMILIAR",IF(F4523="NEW",IF(ISNA(VLOOKUP(E4523,#REF!,1,FALSE())),"?TYPE_IDENTIFIABLE","?REFERENTIAL"),"_")))))</f>
        <v> </v>
      </c>
      <c r="H4523" s="24" t="str">
        <f>IF(J4523&lt;&gt;1,"",IF(I4523="SBJ","CB","?"))</f>
        <v> </v>
      </c>
      <c r="I4523" s="25" t="str">
        <f>IF(OR(E4523="",E4523="!!!",F4523="NEW"),"",INDEX(B4522:B$2,-1+SUMPRODUCT(MAX(ROW(E4522:E$2)*(E4523=E4522:E$2)))))</f>
        <v> </v>
      </c>
      <c r="J4523" s="25" t="str">
        <f>IF(OR(E4523="",E4523="!!!",F4523="NEW"),"",COUNTBLANK(OFFSET(A$1,,,SUMPRODUCT(MAX(ROW(E$2:E4523)*(E4523=E$2:E4523)))))-COUNTBLANK(OFFSET(A$1,,,SUMPRODUCT(MAX(ROW(E$1:E4522)*(E2=E$1:E4522))))))</f>
        <v> </v>
      </c>
      <c r="K4523" s="25" t="str">
        <f>IF(OR(E4523="",E4523="!!!",F4523="NEW"),"",INDEX(J$1:J4522,SUMPRODUCT(MAX(ROW(E$1:E4522)*(E4523=E$1:E4522)))))</f>
        <v> </v>
      </c>
      <c r="L4523" s="26"/>
    </row>
    <row r="4524" spans="1:12">
      <c r="A4524" s="20" t="s">
        <v>1078</v>
      </c>
      <c r="E4524" s="21">
        <f>IF(D4524="?OLD","!!!","")</f>
        <v/>
      </c>
      <c r="F4524" s="22" t="str">
        <f>IF(OR(E4524="",E4524="!!!"),"",IF(NOT(ISNA(VLOOKUP(E4524,E$1:E4523,1,FALSE()))),"OLD",IF(AND(E4524&lt;&gt;"",E4524&lt;&gt;"!!!"),"NEW","")))</f>
        <v> </v>
      </c>
      <c r="G4524" s="23" t="str">
        <f>IF(OR(E4524="",E4524="!!!"),"",IF(OR(J4524=0,AND(J4524=1,K4524=1),AND(J4524=1,I4524="SBJ"),AND(J4524=1,I4524=0)),"?IN_FOCUS",IF(J4524&lt;=2,"?ACTIVATED",IF(J4524&lt;&gt;"","?FAMILIAR",IF(F4524="NEW",IF(ISNA(VLOOKUP(E4524,#REF!,1,FALSE())),"?TYPE_IDENTIFIABLE","?REFERENTIAL"),"_")))))</f>
        <v> </v>
      </c>
      <c r="H4524" s="24" t="str">
        <f>IF(J4524&lt;&gt;1,"",IF(I4524="SBJ","CB","?"))</f>
        <v> </v>
      </c>
      <c r="I4524" s="25" t="str">
        <f>IF(OR(E4524="",E4524="!!!",F4524="NEW"),"",INDEX(B4523:B$2,-1+SUMPRODUCT(MAX(ROW(E4523:E$2)*(E4524=E4523:E$2)))))</f>
        <v> </v>
      </c>
      <c r="J4524" s="25" t="str">
        <f>IF(OR(E4524="",E4524="!!!",F4524="NEW"),"",COUNTBLANK(OFFSET(A$1,,,SUMPRODUCT(MAX(ROW(E$2:E4524)*(E4524=E$2:E4524)))))-COUNTBLANK(OFFSET(A$1,,,SUMPRODUCT(MAX(ROW(E$1:E4523)*(E2=E$1:E4523))))))</f>
        <v> </v>
      </c>
      <c r="K4524" s="25" t="str">
        <f>IF(OR(E4524="",E4524="!!!",F4524="NEW"),"",INDEX(J$1:J4523,SUMPRODUCT(MAX(ROW(E$1:E4523)*(E4524=E$1:E4523)))))</f>
        <v> </v>
      </c>
      <c r="L4524" s="26"/>
    </row>
    <row r="4525" spans="1:12">
      <c r="A4525" s="20" t="s">
        <v>1502</v>
      </c>
      <c r="E4525" s="21">
        <f>IF(D4525="?OLD","!!!","")</f>
        <v/>
      </c>
      <c r="F4525" s="22" t="str">
        <f>IF(OR(E4525="",E4525="!!!"),"",IF(NOT(ISNA(VLOOKUP(E4525,E$1:E4524,1,FALSE()))),"OLD",IF(AND(E4525&lt;&gt;"",E4525&lt;&gt;"!!!"),"NEW","")))</f>
        <v> </v>
      </c>
      <c r="G4525" s="23" t="str">
        <f>IF(OR(E4525="",E4525="!!!"),"",IF(OR(J4525=0,AND(J4525=1,K4525=1),AND(J4525=1,I4525="SBJ"),AND(J4525=1,I4525=0)),"?IN_FOCUS",IF(J4525&lt;=2,"?ACTIVATED",IF(J4525&lt;&gt;"","?FAMILIAR",IF(F4525="NEW",IF(ISNA(VLOOKUP(E4525,#REF!,1,FALSE())),"?TYPE_IDENTIFIABLE","?REFERENTIAL"),"_")))))</f>
        <v> </v>
      </c>
      <c r="H4525" s="24" t="str">
        <f>IF(J4525&lt;&gt;1,"",IF(I4525="SBJ","CB","?"))</f>
        <v> </v>
      </c>
      <c r="I4525" s="25" t="str">
        <f>IF(OR(E4525="",E4525="!!!",F4525="NEW"),"",INDEX(B4524:B$2,-1+SUMPRODUCT(MAX(ROW(E4524:E$2)*(E4525=E4524:E$2)))))</f>
        <v> </v>
      </c>
      <c r="J4525" s="25" t="str">
        <f>IF(OR(E4525="",E4525="!!!",F4525="NEW"),"",COUNTBLANK(OFFSET(A$1,,,SUMPRODUCT(MAX(ROW(E$2:E4525)*(E4525=E$2:E4525)))))-COUNTBLANK(OFFSET(A$1,,,SUMPRODUCT(MAX(ROW(E$1:E4524)*(E2=E$1:E4524))))))</f>
        <v> </v>
      </c>
      <c r="K4525" s="25" t="str">
        <f>IF(OR(E4525="",E4525="!!!",F4525="NEW"),"",INDEX(J$1:J4524,SUMPRODUCT(MAX(ROW(E$1:E4524)*(E4525=E$1:E4524)))))</f>
        <v> </v>
      </c>
      <c r="L4525" s="26"/>
    </row>
    <row r="4526" spans="1:12">
      <c r="A4526" s="20" t="s">
        <v>1105</v>
      </c>
      <c r="B4526" s="27" t="s">
        <v>1678</v>
      </c>
      <c r="C4526" s="27" t="s">
        <v>1077</v>
      </c>
      <c r="E4526" s="21">
        <f>IF(D4526="?OLD","!!!","")</f>
        <v/>
      </c>
      <c r="F4526" s="22" t="str">
        <f>IF(OR(E4526="",E4526="!!!"),"",IF(NOT(ISNA(VLOOKUP(E4526,E$1:E4525,1,FALSE()))),"OLD",IF(AND(E4526&lt;&gt;"",E4526&lt;&gt;"!!!"),"NEW","")))</f>
        <v> </v>
      </c>
      <c r="G4526" s="23" t="str">
        <f>IF(OR(E4526="",E4526="!!!"),"",IF(OR(J4526=0,AND(J4526=1,K4526=1),AND(J4526=1,I4526="SBJ"),AND(J4526=1,I4526=0)),"?IN_FOCUS",IF(J4526&lt;=2,"?ACTIVATED",IF(J4526&lt;&gt;"","?FAMILIAR",IF(F4526="NEW",IF(ISNA(VLOOKUP(E4526,#REF!,1,FALSE())),"?TYPE_IDENTIFIABLE","?REFERENTIAL"),"_")))))</f>
        <v> </v>
      </c>
      <c r="H4526" s="24" t="str">
        <f>IF(J4526&lt;&gt;1,"",IF(I4526="SBJ","CB","?"))</f>
        <v> </v>
      </c>
      <c r="I4526" s="25" t="str">
        <f>IF(OR(E4526="",E4526="!!!",F4526="NEW"),"",INDEX(B4525:B$2,-1+SUMPRODUCT(MAX(ROW(E4525:E$2)*(E4526=E4525:E$2)))))</f>
        <v> </v>
      </c>
      <c r="J4526" s="25" t="str">
        <f>IF(OR(E4526="",E4526="!!!",F4526="NEW"),"",COUNTBLANK(OFFSET(A$1,,,SUMPRODUCT(MAX(ROW(E$2:E4526)*(E4526=E$2:E4526)))))-COUNTBLANK(OFFSET(A$1,,,SUMPRODUCT(MAX(ROW(E$1:E4525)*(E2=E$1:E4525))))))</f>
        <v> </v>
      </c>
      <c r="K4526" s="25" t="str">
        <f>IF(OR(E4526="",E4526="!!!",F4526="NEW"),"",INDEX(J$1:J4525,SUMPRODUCT(MAX(ROW(E$1:E4525)*(E4526=E$1:E4525)))))</f>
        <v> </v>
      </c>
      <c r="L4526" s="26"/>
    </row>
    <row r="4527" spans="1:12">
      <c r="A4527" s="20" t="s">
        <v>1087</v>
      </c>
      <c r="E4527" s="21">
        <f>IF(D4527="?OLD","!!!","")</f>
        <v/>
      </c>
      <c r="F4527" s="22" t="str">
        <f>IF(OR(E4527="",E4527="!!!"),"",IF(NOT(ISNA(VLOOKUP(E4527,E$1:E4526,1,FALSE()))),"OLD",IF(AND(E4527&lt;&gt;"",E4527&lt;&gt;"!!!"),"NEW","")))</f>
        <v> </v>
      </c>
      <c r="G4527" s="23" t="str">
        <f>IF(OR(E4527="",E4527="!!!"),"",IF(OR(J4527=0,AND(J4527=1,K4527=1),AND(J4527=1,I4527="SBJ"),AND(J4527=1,I4527=0)),"?IN_FOCUS",IF(J4527&lt;=2,"?ACTIVATED",IF(J4527&lt;&gt;"","?FAMILIAR",IF(F4527="NEW",IF(ISNA(VLOOKUP(E4527,#REF!,1,FALSE())),"?TYPE_IDENTIFIABLE","?REFERENTIAL"),"_")))))</f>
        <v> </v>
      </c>
      <c r="H4527" s="24" t="str">
        <f>IF(J4527&lt;&gt;1,"",IF(I4527="SBJ","CB","?"))</f>
        <v> </v>
      </c>
      <c r="I4527" s="25" t="str">
        <f>IF(OR(E4527="",E4527="!!!",F4527="NEW"),"",INDEX(B4526:B$2,-1+SUMPRODUCT(MAX(ROW(E4526:E$2)*(E4527=E4526:E$2)))))</f>
        <v> </v>
      </c>
      <c r="J4527" s="25" t="str">
        <f>IF(OR(E4527="",E4527="!!!",F4527="NEW"),"",COUNTBLANK(OFFSET(A$1,,,SUMPRODUCT(MAX(ROW(E$2:E4527)*(E4527=E$2:E4527)))))-COUNTBLANK(OFFSET(A$1,,,SUMPRODUCT(MAX(ROW(E$1:E4526)*(E2=E$1:E4526))))))</f>
        <v> </v>
      </c>
      <c r="K4527" s="25" t="str">
        <f>IF(OR(E4527="",E4527="!!!",F4527="NEW"),"",INDEX(J$1:J4526,SUMPRODUCT(MAX(ROW(E$1:E4526)*(E4527=E$1:E4526)))))</f>
        <v> </v>
      </c>
      <c r="L4527" s="26"/>
    </row>
    <row r="4528" spans="1:12">
      <c r="A4528" s="20" t="s">
        <v>1460</v>
      </c>
      <c r="E4528" s="21">
        <f>IF(D4528="?OLD","!!!","")</f>
        <v/>
      </c>
      <c r="F4528" s="22" t="str">
        <f>IF(OR(E4528="",E4528="!!!"),"",IF(NOT(ISNA(VLOOKUP(E4528,E$1:E4527,1,FALSE()))),"OLD",IF(AND(E4528&lt;&gt;"",E4528&lt;&gt;"!!!"),"NEW","")))</f>
        <v> </v>
      </c>
      <c r="G4528" s="23" t="str">
        <f>IF(OR(E4528="",E4528="!!!"),"",IF(OR(J4528=0,AND(J4528=1,K4528=1),AND(J4528=1,I4528="SBJ"),AND(J4528=1,I4528=0)),"?IN_FOCUS",IF(J4528&lt;=2,"?ACTIVATED",IF(J4528&lt;&gt;"","?FAMILIAR",IF(F4528="NEW",IF(ISNA(VLOOKUP(E4528,#REF!,1,FALSE())),"?TYPE_IDENTIFIABLE","?REFERENTIAL"),"_")))))</f>
        <v> </v>
      </c>
      <c r="H4528" s="24" t="str">
        <f>IF(J4528&lt;&gt;1,"",IF(I4528="SBJ","CB","?"))</f>
        <v> </v>
      </c>
      <c r="I4528" s="25" t="str">
        <f>IF(OR(E4528="",E4528="!!!",F4528="NEW"),"",INDEX(B4527:B$2,-1+SUMPRODUCT(MAX(ROW(E4527:E$2)*(E4528=E4527:E$2)))))</f>
        <v> </v>
      </c>
      <c r="J4528" s="25" t="str">
        <f>IF(OR(E4528="",E4528="!!!",F4528="NEW"),"",COUNTBLANK(OFFSET(A$1,,,SUMPRODUCT(MAX(ROW(E$2:E4528)*(E4528=E$2:E4528)))))-COUNTBLANK(OFFSET(A$1,,,SUMPRODUCT(MAX(ROW(E$1:E4527)*(E2=E$1:E4527))))))</f>
        <v> </v>
      </c>
      <c r="K4528" s="25" t="str">
        <f>IF(OR(E4528="",E4528="!!!",F4528="NEW"),"",INDEX(J$1:J4527,SUMPRODUCT(MAX(ROW(E$1:E4527)*(E4528=E$1:E4527)))))</f>
        <v> </v>
      </c>
      <c r="L4528" s="26"/>
    </row>
    <row r="4529" spans="1:12">
      <c r="A4529" s="20" t="s">
        <v>1224</v>
      </c>
      <c r="E4529" s="21">
        <f>IF(D4529="?OLD","!!!","")</f>
        <v/>
      </c>
      <c r="F4529" s="22" t="str">
        <f>IF(OR(E4529="",E4529="!!!"),"",IF(NOT(ISNA(VLOOKUP(E4529,E$1:E4528,1,FALSE()))),"OLD",IF(AND(E4529&lt;&gt;"",E4529&lt;&gt;"!!!"),"NEW","")))</f>
        <v> </v>
      </c>
      <c r="G4529" s="23" t="str">
        <f>IF(OR(E4529="",E4529="!!!"),"",IF(OR(J4529=0,AND(J4529=1,K4529=1),AND(J4529=1,I4529="SBJ"),AND(J4529=1,I4529=0)),"?IN_FOCUS",IF(J4529&lt;=2,"?ACTIVATED",IF(J4529&lt;&gt;"","?FAMILIAR",IF(F4529="NEW",IF(ISNA(VLOOKUP(E4529,#REF!,1,FALSE())),"?TYPE_IDENTIFIABLE","?REFERENTIAL"),"_")))))</f>
        <v> </v>
      </c>
      <c r="H4529" s="24" t="str">
        <f>IF(J4529&lt;&gt;1,"",IF(I4529="SBJ","CB","?"))</f>
        <v> </v>
      </c>
      <c r="I4529" s="25" t="str">
        <f>IF(OR(E4529="",E4529="!!!",F4529="NEW"),"",INDEX(B4528:B$2,-1+SUMPRODUCT(MAX(ROW(E4528:E$2)*(E4529=E4528:E$2)))))</f>
        <v> </v>
      </c>
      <c r="J4529" s="25" t="str">
        <f>IF(OR(E4529="",E4529="!!!",F4529="NEW"),"",COUNTBLANK(OFFSET(A$1,,,SUMPRODUCT(MAX(ROW(E$2:E4529)*(E4529=E$2:E4529)))))-COUNTBLANK(OFFSET(A$1,,,SUMPRODUCT(MAX(ROW(E$1:E4528)*(E2=E$1:E4528))))))</f>
        <v> </v>
      </c>
      <c r="K4529" s="25" t="str">
        <f>IF(OR(E4529="",E4529="!!!",F4529="NEW"),"",INDEX(J$1:J4528,SUMPRODUCT(MAX(ROW(E$1:E4528)*(E4529=E$1:E4528)))))</f>
        <v> </v>
      </c>
      <c r="L4529" s="26"/>
    </row>
    <row r="4530" spans="1:12">
      <c r="A4530" s="20" t="s">
        <v>1200</v>
      </c>
      <c r="E4530" s="21">
        <f>IF(D4530="?OLD","!!!","")</f>
        <v/>
      </c>
      <c r="F4530" s="22" t="str">
        <f>IF(OR(E4530="",E4530="!!!"),"",IF(NOT(ISNA(VLOOKUP(E4530,E$1:E4529,1,FALSE()))),"OLD",IF(AND(E4530&lt;&gt;"",E4530&lt;&gt;"!!!"),"NEW","")))</f>
        <v> </v>
      </c>
      <c r="G4530" s="23" t="str">
        <f>IF(OR(E4530="",E4530="!!!"),"",IF(OR(J4530=0,AND(J4530=1,K4530=1),AND(J4530=1,I4530="SBJ"),AND(J4530=1,I4530=0)),"?IN_FOCUS",IF(J4530&lt;=2,"?ACTIVATED",IF(J4530&lt;&gt;"","?FAMILIAR",IF(F4530="NEW",IF(ISNA(VLOOKUP(E4530,#REF!,1,FALSE())),"?TYPE_IDENTIFIABLE","?REFERENTIAL"),"_")))))</f>
        <v> </v>
      </c>
      <c r="H4530" s="24" t="str">
        <f>IF(J4530&lt;&gt;1,"",IF(I4530="SBJ","CB","?"))</f>
        <v> </v>
      </c>
      <c r="I4530" s="25" t="str">
        <f>IF(OR(E4530="",E4530="!!!",F4530="NEW"),"",INDEX(B4529:B$2,-1+SUMPRODUCT(MAX(ROW(E4529:E$2)*(E4530=E4529:E$2)))))</f>
        <v> </v>
      </c>
      <c r="J4530" s="25" t="str">
        <f>IF(OR(E4530="",E4530="!!!",F4530="NEW"),"",COUNTBLANK(OFFSET(A$1,,,SUMPRODUCT(MAX(ROW(E$2:E4530)*(E4530=E$2:E4530)))))-COUNTBLANK(OFFSET(A$1,,,SUMPRODUCT(MAX(ROW(E$1:E4529)*(E2=E$1:E4529))))))</f>
        <v> </v>
      </c>
      <c r="K4530" s="25" t="str">
        <f>IF(OR(E4530="",E4530="!!!",F4530="NEW"),"",INDEX(J$1:J4529,SUMPRODUCT(MAX(ROW(E$1:E4529)*(E4530=E$1:E4529)))))</f>
        <v> </v>
      </c>
      <c r="L4530" s="26"/>
    </row>
    <row r="4531" spans="1:12">
      <c r="A4531" s="20" t="s">
        <v>2406</v>
      </c>
      <c r="E4531" s="21">
        <f>IF(D4531="?OLD","!!!","")</f>
        <v/>
      </c>
      <c r="F4531" s="22" t="str">
        <f>IF(OR(E4531="",E4531="!!!"),"",IF(NOT(ISNA(VLOOKUP(E4531,E$1:E4530,1,FALSE()))),"OLD",IF(AND(E4531&lt;&gt;"",E4531&lt;&gt;"!!!"),"NEW","")))</f>
        <v> </v>
      </c>
      <c r="G4531" s="23" t="str">
        <f>IF(OR(E4531="",E4531="!!!"),"",IF(OR(J4531=0,AND(J4531=1,K4531=1),AND(J4531=1,I4531="SBJ"),AND(J4531=1,I4531=0)),"?IN_FOCUS",IF(J4531&lt;=2,"?ACTIVATED",IF(J4531&lt;&gt;"","?FAMILIAR",IF(F4531="NEW",IF(ISNA(VLOOKUP(E4531,#REF!,1,FALSE())),"?TYPE_IDENTIFIABLE","?REFERENTIAL"),"_")))))</f>
        <v> </v>
      </c>
      <c r="H4531" s="24" t="str">
        <f>IF(J4531&lt;&gt;1,"",IF(I4531="SBJ","CB","?"))</f>
        <v> </v>
      </c>
      <c r="I4531" s="25" t="str">
        <f>IF(OR(E4531="",E4531="!!!",F4531="NEW"),"",INDEX(B4530:B$2,-1+SUMPRODUCT(MAX(ROW(E4530:E$2)*(E4531=E4530:E$2)))))</f>
        <v> </v>
      </c>
      <c r="J4531" s="25" t="str">
        <f>IF(OR(E4531="",E4531="!!!",F4531="NEW"),"",COUNTBLANK(OFFSET(A$1,,,SUMPRODUCT(MAX(ROW(E$2:E4531)*(E4531=E$2:E4531)))))-COUNTBLANK(OFFSET(A$1,,,SUMPRODUCT(MAX(ROW(E$1:E4530)*(E2=E$1:E4530))))))</f>
        <v> </v>
      </c>
      <c r="K4531" s="25" t="str">
        <f>IF(OR(E4531="",E4531="!!!",F4531="NEW"),"",INDEX(J$1:J4530,SUMPRODUCT(MAX(ROW(E$1:E4530)*(E4531=E$1:E4530)))))</f>
        <v> </v>
      </c>
      <c r="L4531" s="26"/>
    </row>
    <row r="4532" spans="1:12">
      <c r="A4532" s="20" t="s">
        <v>2407</v>
      </c>
      <c r="B4532" s="27" t="s">
        <v>1116</v>
      </c>
      <c r="C4532" s="27" t="s">
        <v>1120</v>
      </c>
      <c r="E4532" s="21">
        <f>IF(D4532="?OLD","!!!","")</f>
        <v/>
      </c>
      <c r="F4532" s="22" t="str">
        <f>IF(OR(E4532="",E4532="!!!"),"",IF(NOT(ISNA(VLOOKUP(E4532,E$1:E4531,1,FALSE()))),"OLD",IF(AND(E4532&lt;&gt;"",E4532&lt;&gt;"!!!"),"NEW","")))</f>
        <v> </v>
      </c>
      <c r="G4532" s="23" t="str">
        <f>IF(OR(E4532="",E4532="!!!"),"",IF(OR(J4532=0,AND(J4532=1,K4532=1),AND(J4532=1,I4532="SBJ"),AND(J4532=1,I4532=0)),"?IN_FOCUS",IF(J4532&lt;=2,"?ACTIVATED",IF(J4532&lt;&gt;"","?FAMILIAR",IF(F4532="NEW",IF(ISNA(VLOOKUP(E4532,#REF!,1,FALSE())),"?TYPE_IDENTIFIABLE","?REFERENTIAL"),"_")))))</f>
        <v> </v>
      </c>
      <c r="H4532" s="24" t="str">
        <f>IF(J4532&lt;&gt;1,"",IF(I4532="SBJ","CB","?"))</f>
        <v> </v>
      </c>
      <c r="I4532" s="25" t="str">
        <f>IF(OR(E4532="",E4532="!!!",F4532="NEW"),"",INDEX(B4531:B$2,-1+SUMPRODUCT(MAX(ROW(E4531:E$2)*(E4532=E4531:E$2)))))</f>
        <v> </v>
      </c>
      <c r="J4532" s="25" t="str">
        <f>IF(OR(E4532="",E4532="!!!",F4532="NEW"),"",COUNTBLANK(OFFSET(A$1,,,SUMPRODUCT(MAX(ROW(E$2:E4532)*(E4532=E$2:E4532)))))-COUNTBLANK(OFFSET(A$1,,,SUMPRODUCT(MAX(ROW(E$1:E4531)*(E2=E$1:E4531))))))</f>
        <v> </v>
      </c>
      <c r="K4532" s="25" t="str">
        <f>IF(OR(E4532="",E4532="!!!",F4532="NEW"),"",INDEX(J$1:J4531,SUMPRODUCT(MAX(ROW(E$1:E4531)*(E4532=E$1:E4531)))))</f>
        <v> </v>
      </c>
      <c r="L4532" s="26"/>
    </row>
    <row r="4533" spans="1:12">
      <c r="A4533" s="20" t="s">
        <v>1080</v>
      </c>
      <c r="E4533" s="21">
        <f>IF(D4533="?OLD","!!!","")</f>
        <v/>
      </c>
      <c r="F4533" s="22" t="str">
        <f>IF(OR(E4533="",E4533="!!!"),"",IF(NOT(ISNA(VLOOKUP(E4533,E$1:E4532,1,FALSE()))),"OLD",IF(AND(E4533&lt;&gt;"",E4533&lt;&gt;"!!!"),"NEW","")))</f>
        <v> </v>
      </c>
      <c r="G4533" s="23" t="str">
        <f>IF(OR(E4533="",E4533="!!!"),"",IF(OR(J4533=0,AND(J4533=1,K4533=1),AND(J4533=1,I4533="SBJ"),AND(J4533=1,I4533=0)),"?IN_FOCUS",IF(J4533&lt;=2,"?ACTIVATED",IF(J4533&lt;&gt;"","?FAMILIAR",IF(F4533="NEW",IF(ISNA(VLOOKUP(E4533,#REF!,1,FALSE())),"?TYPE_IDENTIFIABLE","?REFERENTIAL"),"_")))))</f>
        <v> </v>
      </c>
      <c r="H4533" s="24" t="str">
        <f>IF(J4533&lt;&gt;1,"",IF(I4533="SBJ","CB","?"))</f>
        <v> </v>
      </c>
      <c r="I4533" s="25" t="str">
        <f>IF(OR(E4533="",E4533="!!!",F4533="NEW"),"",INDEX(B4532:B$2,-1+SUMPRODUCT(MAX(ROW(E4532:E$2)*(E4533=E4532:E$2)))))</f>
        <v> </v>
      </c>
      <c r="J4533" s="25" t="str">
        <f>IF(OR(E4533="",E4533="!!!",F4533="NEW"),"",COUNTBLANK(OFFSET(A$1,,,SUMPRODUCT(MAX(ROW(E$2:E4533)*(E4533=E$2:E4533)))))-COUNTBLANK(OFFSET(A$1,,,SUMPRODUCT(MAX(ROW(E$1:E4532)*(E2=E$1:E4532))))))</f>
        <v> </v>
      </c>
      <c r="K4533" s="25" t="str">
        <f>IF(OR(E4533="",E4533="!!!",F4533="NEW"),"",INDEX(J$1:J4532,SUMPRODUCT(MAX(ROW(E$1:E4532)*(E4533=E$1:E4532)))))</f>
        <v> </v>
      </c>
      <c r="L4533" s="26"/>
    </row>
    <row r="4534" spans="1:12">
      <c r="A4534" s="20"/>
    </row>
    <row r="4535" spans="1:12">
      <c r="A4535" s="20" t="s">
        <v>2408</v>
      </c>
    </row>
    <row r="4536" spans="1:12">
      <c r="A4536" s="20" t="s">
        <v>2258</v>
      </c>
      <c r="E4536" s="21">
        <f>IF(D4536="?OLD","!!!","")</f>
        <v/>
      </c>
      <c r="F4536" s="22" t="str">
        <f>IF(OR(E4536="",E4536="!!!"),"",IF(NOT(ISNA(VLOOKUP(E4536,E$1:E4535,1,FALSE()))),"OLD",IF(AND(E4536&lt;&gt;"",E4536&lt;&gt;"!!!"),"NEW","")))</f>
        <v> </v>
      </c>
      <c r="G4536" s="23" t="str">
        <f>IF(OR(E4536="",E4536="!!!"),"",IF(OR(J4536=0,AND(J4536=1,K4536=1),AND(J4536=1,I4536="SBJ"),AND(J4536=1,I4536=0)),"?IN_FOCUS",IF(J4536&lt;=2,"?ACTIVATED",IF(J4536&lt;&gt;"","?FAMILIAR",IF(F4536="NEW",IF(ISNA(VLOOKUP(E4536,#REF!,1,FALSE())),"?TYPE_IDENTIFIABLE","?REFERENTIAL"),"_")))))</f>
        <v> </v>
      </c>
      <c r="H4536" s="24" t="str">
        <f>IF(J4536&lt;&gt;1,"",IF(I4536="SBJ","CB","?"))</f>
        <v> </v>
      </c>
      <c r="I4536" s="25" t="str">
        <f>IF(OR(E4536="",E4536="!!!",F4536="NEW"),"",INDEX(B4535:B$2,-1+SUMPRODUCT(MAX(ROW(E4535:E$2)*(E4536=E4535:E$2)))))</f>
        <v> </v>
      </c>
      <c r="J4536" s="25" t="str">
        <f>IF(OR(E4536="",E4536="!!!",F4536="NEW"),"",COUNTBLANK(OFFSET(A$1,,,SUMPRODUCT(MAX(ROW(E$2:E4536)*(E4536=E$2:E4536)))))-COUNTBLANK(OFFSET(A$1,,,SUMPRODUCT(MAX(ROW(E$1:E4535)*(E2=E$1:E4535))))))</f>
        <v> </v>
      </c>
      <c r="K4536" s="25" t="str">
        <f>IF(OR(E4536="",E4536="!!!",F4536="NEW"),"",INDEX(J$1:J4535,SUMPRODUCT(MAX(ROW(E$1:E4535)*(E4536=E$1:E4535)))))</f>
        <v> </v>
      </c>
      <c r="L4536" s="26"/>
    </row>
    <row r="4537" spans="1:12">
      <c r="A4537" s="20" t="s">
        <v>1317</v>
      </c>
      <c r="E4537" s="21">
        <f>IF(D4537="?OLD","!!!","")</f>
        <v/>
      </c>
      <c r="F4537" s="22" t="str">
        <f>IF(OR(E4537="",E4537="!!!"),"",IF(NOT(ISNA(VLOOKUP(E4537,E$1:E4536,1,FALSE()))),"OLD",IF(AND(E4537&lt;&gt;"",E4537&lt;&gt;"!!!"),"NEW","")))</f>
        <v> </v>
      </c>
      <c r="G4537" s="23" t="str">
        <f>IF(OR(E4537="",E4537="!!!"),"",IF(OR(J4537=0,AND(J4537=1,K4537=1),AND(J4537=1,I4537="SBJ"),AND(J4537=1,I4537=0)),"?IN_FOCUS",IF(J4537&lt;=2,"?ACTIVATED",IF(J4537&lt;&gt;"","?FAMILIAR",IF(F4537="NEW",IF(ISNA(VLOOKUP(E4537,#REF!,1,FALSE())),"?TYPE_IDENTIFIABLE","?REFERENTIAL"),"_")))))</f>
        <v> </v>
      </c>
      <c r="H4537" s="24" t="str">
        <f>IF(J4537&lt;&gt;1,"",IF(I4537="SBJ","CB","?"))</f>
        <v> </v>
      </c>
      <c r="I4537" s="25" t="str">
        <f>IF(OR(E4537="",E4537="!!!",F4537="NEW"),"",INDEX(B4536:B$2,-1+SUMPRODUCT(MAX(ROW(E4536:E$2)*(E4537=E4536:E$2)))))</f>
        <v> </v>
      </c>
      <c r="J4537" s="25" t="str">
        <f>IF(OR(E4537="",E4537="!!!",F4537="NEW"),"",COUNTBLANK(OFFSET(A$1,,,SUMPRODUCT(MAX(ROW(E$2:E4537)*(E4537=E$2:E4537)))))-COUNTBLANK(OFFSET(A$1,,,SUMPRODUCT(MAX(ROW(E$1:E4536)*(E2=E$1:E4536))))))</f>
        <v> </v>
      </c>
      <c r="K4537" s="25" t="str">
        <f>IF(OR(E4537="",E4537="!!!",F4537="NEW"),"",INDEX(J$1:J4536,SUMPRODUCT(MAX(ROW(E$1:E4536)*(E4537=E$1:E4536)))))</f>
        <v> </v>
      </c>
      <c r="L4537" s="26"/>
    </row>
    <row r="4538" spans="1:12">
      <c r="A4538" s="20" t="s">
        <v>1436</v>
      </c>
      <c r="E4538" s="21">
        <f>IF(D4538="?OLD","!!!","")</f>
        <v/>
      </c>
      <c r="F4538" s="22" t="str">
        <f>IF(OR(E4538="",E4538="!!!"),"",IF(NOT(ISNA(VLOOKUP(E4538,E$1:E4537,1,FALSE()))),"OLD",IF(AND(E4538&lt;&gt;"",E4538&lt;&gt;"!!!"),"NEW","")))</f>
        <v> </v>
      </c>
      <c r="G4538" s="23" t="str">
        <f>IF(OR(E4538="",E4538="!!!"),"",IF(OR(J4538=0,AND(J4538=1,K4538=1),AND(J4538=1,I4538="SBJ"),AND(J4538=1,I4538=0)),"?IN_FOCUS",IF(J4538&lt;=2,"?ACTIVATED",IF(J4538&lt;&gt;"","?FAMILIAR",IF(F4538="NEW",IF(ISNA(VLOOKUP(E4538,#REF!,1,FALSE())),"?TYPE_IDENTIFIABLE","?REFERENTIAL"),"_")))))</f>
        <v> </v>
      </c>
      <c r="H4538" s="24" t="str">
        <f>IF(J4538&lt;&gt;1,"",IF(I4538="SBJ","CB","?"))</f>
        <v> </v>
      </c>
      <c r="I4538" s="25" t="str">
        <f>IF(OR(E4538="",E4538="!!!",F4538="NEW"),"",INDEX(B4537:B$2,-1+SUMPRODUCT(MAX(ROW(E4537:E$2)*(E4538=E4537:E$2)))))</f>
        <v> </v>
      </c>
      <c r="J4538" s="25" t="str">
        <f>IF(OR(E4538="",E4538="!!!",F4538="NEW"),"",COUNTBLANK(OFFSET(A$1,,,SUMPRODUCT(MAX(ROW(E$2:E4538)*(E4538=E$2:E4538)))))-COUNTBLANK(OFFSET(A$1,,,SUMPRODUCT(MAX(ROW(E$1:E4537)*(E2=E$1:E4537))))))</f>
        <v> </v>
      </c>
      <c r="K4538" s="25" t="str">
        <f>IF(OR(E4538="",E4538="!!!",F4538="NEW"),"",INDEX(J$1:J4537,SUMPRODUCT(MAX(ROW(E$1:E4537)*(E4538=E$1:E4537)))))</f>
        <v> </v>
      </c>
      <c r="L4538" s="26"/>
    </row>
    <row r="4539" spans="1:12">
      <c r="A4539" s="20" t="s">
        <v>1083</v>
      </c>
      <c r="B4539" s="27" t="s">
        <v>1067</v>
      </c>
      <c r="C4539" s="27" t="s">
        <v>1110</v>
      </c>
      <c r="D4539" s="27" t="s">
        <v>1069</v>
      </c>
      <c r="E4539" s="21">
        <f>IF(D4539="?OLD","!!!","")</f>
        <v/>
      </c>
      <c r="F4539" s="22" t="str">
        <f>IF(OR(E4539="",E4539="!!!"),"",IF(NOT(ISNA(VLOOKUP(E4539,E$1:E4538,1,FALSE()))),"OLD",IF(AND(E4539&lt;&gt;"",E4539&lt;&gt;"!!!"),"NEW","")))</f>
        <v> </v>
      </c>
      <c r="G4539" s="23" t="str">
        <f>IF(OR(E4539="",E4539="!!!"),"",IF(OR(J4539=0,AND(J4539=1,K4539=1),AND(J4539=1,I4539="SBJ"),AND(J4539=1,I4539=0)),"?IN_FOCUS",IF(J4539&lt;=2,"?ACTIVATED",IF(J4539&lt;&gt;"","?FAMILIAR",IF(F4539="NEW",IF(ISNA(VLOOKUP(E4539,#REF!,1,FALSE())),"?TYPE_IDENTIFIABLE","?REFERENTIAL"),"_")))))</f>
        <v> </v>
      </c>
      <c r="H4539" s="24" t="str">
        <f>IF(J4539&lt;&gt;1,"",IF(I4539="SBJ","CB","?"))</f>
        <v> </v>
      </c>
      <c r="I4539" s="25" t="str">
        <f>IF(OR(E4539="",E4539="!!!",F4539="NEW"),"",INDEX(B4538:B$2,-1+SUMPRODUCT(MAX(ROW(E4538:E$2)*(E4539=E4538:E$2)))))</f>
        <v> </v>
      </c>
      <c r="J4539" s="25" t="str">
        <f>IF(OR(E4539="",E4539="!!!",F4539="NEW"),"",COUNTBLANK(OFFSET(A$1,,,SUMPRODUCT(MAX(ROW(E$2:E4539)*(E4539=E$2:E4539)))))-COUNTBLANK(OFFSET(A$1,,,SUMPRODUCT(MAX(ROW(E$1:E4538)*(E2=E$1:E4538))))))</f>
        <v> </v>
      </c>
      <c r="K4539" s="25" t="str">
        <f>IF(OR(E4539="",E4539="!!!",F4539="NEW"),"",INDEX(J$1:J4538,SUMPRODUCT(MAX(ROW(E$1:E4538)*(E4539=E$1:E4538)))))</f>
        <v> </v>
      </c>
      <c r="L4539" s="26"/>
    </row>
    <row r="4540" spans="1:12">
      <c r="A4540" s="20" t="s">
        <v>1155</v>
      </c>
      <c r="E4540" s="21">
        <f>IF(D4540="?OLD","!!!","")</f>
        <v/>
      </c>
      <c r="F4540" s="22" t="str">
        <f>IF(OR(E4540="",E4540="!!!"),"",IF(NOT(ISNA(VLOOKUP(E4540,E$1:E4539,1,FALSE()))),"OLD",IF(AND(E4540&lt;&gt;"",E4540&lt;&gt;"!!!"),"NEW","")))</f>
        <v> </v>
      </c>
      <c r="G4540" s="23" t="str">
        <f>IF(OR(E4540="",E4540="!!!"),"",IF(OR(J4540=0,AND(J4540=1,K4540=1),AND(J4540=1,I4540="SBJ"),AND(J4540=1,I4540=0)),"?IN_FOCUS",IF(J4540&lt;=2,"?ACTIVATED",IF(J4540&lt;&gt;"","?FAMILIAR",IF(F4540="NEW",IF(ISNA(VLOOKUP(E4540,#REF!,1,FALSE())),"?TYPE_IDENTIFIABLE","?REFERENTIAL"),"_")))))</f>
        <v> </v>
      </c>
      <c r="H4540" s="24" t="str">
        <f>IF(J4540&lt;&gt;1,"",IF(I4540="SBJ","CB","?"))</f>
        <v> </v>
      </c>
      <c r="I4540" s="25" t="str">
        <f>IF(OR(E4540="",E4540="!!!",F4540="NEW"),"",INDEX(B4539:B$2,-1+SUMPRODUCT(MAX(ROW(E4539:E$2)*(E4540=E4539:E$2)))))</f>
        <v> </v>
      </c>
      <c r="J4540" s="25" t="str">
        <f>IF(OR(E4540="",E4540="!!!",F4540="NEW"),"",COUNTBLANK(OFFSET(A$1,,,SUMPRODUCT(MAX(ROW(E$2:E4540)*(E4540=E$2:E4540)))))-COUNTBLANK(OFFSET(A$1,,,SUMPRODUCT(MAX(ROW(E$1:E4539)*(E2=E$1:E4539))))))</f>
        <v> </v>
      </c>
      <c r="K4540" s="25" t="str">
        <f>IF(OR(E4540="",E4540="!!!",F4540="NEW"),"",INDEX(J$1:J4539,SUMPRODUCT(MAX(ROW(E$1:E4539)*(E4540=E$1:E4539)))))</f>
        <v> </v>
      </c>
      <c r="L4540" s="26"/>
    </row>
    <row r="4541" spans="1:12">
      <c r="A4541" s="20" t="s">
        <v>2409</v>
      </c>
      <c r="E4541" s="21">
        <f>IF(D4541="?OLD","!!!","")</f>
        <v/>
      </c>
      <c r="F4541" s="22" t="str">
        <f>IF(OR(E4541="",E4541="!!!"),"",IF(NOT(ISNA(VLOOKUP(E4541,E$1:E4540,1,FALSE()))),"OLD",IF(AND(E4541&lt;&gt;"",E4541&lt;&gt;"!!!"),"NEW","")))</f>
        <v> </v>
      </c>
      <c r="G4541" s="23" t="str">
        <f>IF(OR(E4541="",E4541="!!!"),"",IF(OR(J4541=0,AND(J4541=1,K4541=1),AND(J4541=1,I4541="SBJ"),AND(J4541=1,I4541=0)),"?IN_FOCUS",IF(J4541&lt;=2,"?ACTIVATED",IF(J4541&lt;&gt;"","?FAMILIAR",IF(F4541="NEW",IF(ISNA(VLOOKUP(E4541,#REF!,1,FALSE())),"?TYPE_IDENTIFIABLE","?REFERENTIAL"),"_")))))</f>
        <v> </v>
      </c>
      <c r="H4541" s="24" t="str">
        <f>IF(J4541&lt;&gt;1,"",IF(I4541="SBJ","CB","?"))</f>
        <v> </v>
      </c>
      <c r="I4541" s="25" t="str">
        <f>IF(OR(E4541="",E4541="!!!",F4541="NEW"),"",INDEX(B4540:B$2,-1+SUMPRODUCT(MAX(ROW(E4540:E$2)*(E4541=E4540:E$2)))))</f>
        <v> </v>
      </c>
      <c r="J4541" s="25" t="str">
        <f>IF(OR(E4541="",E4541="!!!",F4541="NEW"),"",COUNTBLANK(OFFSET(A$1,,,SUMPRODUCT(MAX(ROW(E$2:E4541)*(E4541=E$2:E4541)))))-COUNTBLANK(OFFSET(A$1,,,SUMPRODUCT(MAX(ROW(E$1:E4540)*(E2=E$1:E4540))))))</f>
        <v> </v>
      </c>
      <c r="K4541" s="25" t="str">
        <f>IF(OR(E4541="",E4541="!!!",F4541="NEW"),"",INDEX(J$1:J4540,SUMPRODUCT(MAX(ROW(E$1:E4540)*(E4541=E$1:E4540)))))</f>
        <v> </v>
      </c>
      <c r="L4541" s="26"/>
    </row>
    <row r="4542" spans="1:12">
      <c r="A4542" s="20" t="s">
        <v>1087</v>
      </c>
      <c r="E4542" s="21">
        <f>IF(D4542="?OLD","!!!","")</f>
        <v/>
      </c>
      <c r="F4542" s="22" t="str">
        <f>IF(OR(E4542="",E4542="!!!"),"",IF(NOT(ISNA(VLOOKUP(E4542,E$1:E4541,1,FALSE()))),"OLD",IF(AND(E4542&lt;&gt;"",E4542&lt;&gt;"!!!"),"NEW","")))</f>
        <v> </v>
      </c>
      <c r="G4542" s="23" t="str">
        <f>IF(OR(E4542="",E4542="!!!"),"",IF(OR(J4542=0,AND(J4542=1,K4542=1),AND(J4542=1,I4542="SBJ"),AND(J4542=1,I4542=0)),"?IN_FOCUS",IF(J4542&lt;=2,"?ACTIVATED",IF(J4542&lt;&gt;"","?FAMILIAR",IF(F4542="NEW",IF(ISNA(VLOOKUP(E4542,#REF!,1,FALSE())),"?TYPE_IDENTIFIABLE","?REFERENTIAL"),"_")))))</f>
        <v> </v>
      </c>
      <c r="H4542" s="24" t="str">
        <f>IF(J4542&lt;&gt;1,"",IF(I4542="SBJ","CB","?"))</f>
        <v> </v>
      </c>
      <c r="I4542" s="25" t="str">
        <f>IF(OR(E4542="",E4542="!!!",F4542="NEW"),"",INDEX(B4541:B$2,-1+SUMPRODUCT(MAX(ROW(E4541:E$2)*(E4542=E4541:E$2)))))</f>
        <v> </v>
      </c>
      <c r="J4542" s="25" t="str">
        <f>IF(OR(E4542="",E4542="!!!",F4542="NEW"),"",COUNTBLANK(OFFSET(A$1,,,SUMPRODUCT(MAX(ROW(E$2:E4542)*(E4542=E$2:E4542)))))-COUNTBLANK(OFFSET(A$1,,,SUMPRODUCT(MAX(ROW(E$1:E4541)*(E2=E$1:E4541))))))</f>
        <v> </v>
      </c>
      <c r="K4542" s="25" t="str">
        <f>IF(OR(E4542="",E4542="!!!",F4542="NEW"),"",INDEX(J$1:J4541,SUMPRODUCT(MAX(ROW(E$1:E4541)*(E4542=E$1:E4541)))))</f>
        <v> </v>
      </c>
      <c r="L4542" s="26"/>
    </row>
    <row r="4543" spans="1:12">
      <c r="A4543" s="20" t="s">
        <v>1568</v>
      </c>
      <c r="B4543" s="27" t="s">
        <v>1095</v>
      </c>
      <c r="C4543" s="27" t="s">
        <v>1110</v>
      </c>
      <c r="D4543" s="27" t="s">
        <v>1069</v>
      </c>
      <c r="E4543" s="21">
        <f>IF(D4543="?OLD","!!!","")</f>
        <v/>
      </c>
      <c r="F4543" s="22" t="str">
        <f>IF(OR(E4543="",E4543="!!!"),"",IF(NOT(ISNA(VLOOKUP(E4543,E$1:E4542,1,FALSE()))),"OLD",IF(AND(E4543&lt;&gt;"",E4543&lt;&gt;"!!!"),"NEW","")))</f>
        <v> </v>
      </c>
      <c r="G4543" s="23" t="str">
        <f>IF(OR(E4543="",E4543="!!!"),"",IF(OR(J4543=0,AND(J4543=1,K4543=1),AND(J4543=1,I4543="SBJ"),AND(J4543=1,I4543=0)),"?IN_FOCUS",IF(J4543&lt;=2,"?ACTIVATED",IF(J4543&lt;&gt;"","?FAMILIAR",IF(F4543="NEW",IF(ISNA(VLOOKUP(E4543,#REF!,1,FALSE())),"?TYPE_IDENTIFIABLE","?REFERENTIAL"),"_")))))</f>
        <v> </v>
      </c>
      <c r="H4543" s="24" t="str">
        <f>IF(J4543&lt;&gt;1,"",IF(I4543="SBJ","CB","?"))</f>
        <v> </v>
      </c>
      <c r="I4543" s="25" t="str">
        <f>IF(OR(E4543="",E4543="!!!",F4543="NEW"),"",INDEX(B4542:B$2,-1+SUMPRODUCT(MAX(ROW(E4542:E$2)*(E4543=E4542:E$2)))))</f>
        <v> </v>
      </c>
      <c r="J4543" s="25" t="str">
        <f>IF(OR(E4543="",E4543="!!!",F4543="NEW"),"",COUNTBLANK(OFFSET(A$1,,,SUMPRODUCT(MAX(ROW(E$2:E4543)*(E4543=E$2:E4543)))))-COUNTBLANK(OFFSET(A$1,,,SUMPRODUCT(MAX(ROW(E$1:E4542)*(E2=E$1:E4542))))))</f>
        <v> </v>
      </c>
      <c r="K4543" s="25" t="str">
        <f>IF(OR(E4543="",E4543="!!!",F4543="NEW"),"",INDEX(J$1:J4542,SUMPRODUCT(MAX(ROW(E$1:E4542)*(E4543=E$1:E4542)))))</f>
        <v> </v>
      </c>
      <c r="L4543" s="26"/>
    </row>
    <row r="4544" spans="1:12">
      <c r="A4544" s="20" t="s">
        <v>1352</v>
      </c>
      <c r="E4544" s="21">
        <f>IF(D4544="?OLD","!!!","")</f>
        <v/>
      </c>
      <c r="F4544" s="22" t="str">
        <f>IF(OR(E4544="",E4544="!!!"),"",IF(NOT(ISNA(VLOOKUP(E4544,E$1:E4543,1,FALSE()))),"OLD",IF(AND(E4544&lt;&gt;"",E4544&lt;&gt;"!!!"),"NEW","")))</f>
        <v> </v>
      </c>
      <c r="G4544" s="23" t="str">
        <f>IF(OR(E4544="",E4544="!!!"),"",IF(OR(J4544=0,AND(J4544=1,K4544=1),AND(J4544=1,I4544="SBJ"),AND(J4544=1,I4544=0)),"?IN_FOCUS",IF(J4544&lt;=2,"?ACTIVATED",IF(J4544&lt;&gt;"","?FAMILIAR",IF(F4544="NEW",IF(ISNA(VLOOKUP(E4544,#REF!,1,FALSE())),"?TYPE_IDENTIFIABLE","?REFERENTIAL"),"_")))))</f>
        <v> </v>
      </c>
      <c r="H4544" s="24" t="str">
        <f>IF(J4544&lt;&gt;1,"",IF(I4544="SBJ","CB","?"))</f>
        <v> </v>
      </c>
      <c r="I4544" s="25" t="str">
        <f>IF(OR(E4544="",E4544="!!!",F4544="NEW"),"",INDEX(B4543:B$2,-1+SUMPRODUCT(MAX(ROW(E4543:E$2)*(E4544=E4543:E$2)))))</f>
        <v> </v>
      </c>
      <c r="J4544" s="25" t="str">
        <f>IF(OR(E4544="",E4544="!!!",F4544="NEW"),"",COUNTBLANK(OFFSET(A$1,,,SUMPRODUCT(MAX(ROW(E$2:E4544)*(E4544=E$2:E4544)))))-COUNTBLANK(OFFSET(A$1,,,SUMPRODUCT(MAX(ROW(E$1:E4543)*(E2=E$1:E4543))))))</f>
        <v> </v>
      </c>
      <c r="K4544" s="25" t="str">
        <f>IF(OR(E4544="",E4544="!!!",F4544="NEW"),"",INDEX(J$1:J4543,SUMPRODUCT(MAX(ROW(E$1:E4543)*(E4544=E$1:E4543)))))</f>
        <v> </v>
      </c>
      <c r="L4544" s="26"/>
    </row>
    <row r="4545" spans="1:12">
      <c r="A4545" s="20" t="s">
        <v>1324</v>
      </c>
      <c r="E4545" s="21">
        <f>IF(D4545="?OLD","!!!","")</f>
        <v/>
      </c>
      <c r="F4545" s="22" t="str">
        <f>IF(OR(E4545="",E4545="!!!"),"",IF(NOT(ISNA(VLOOKUP(E4545,E$1:E4544,1,FALSE()))),"OLD",IF(AND(E4545&lt;&gt;"",E4545&lt;&gt;"!!!"),"NEW","")))</f>
        <v> </v>
      </c>
      <c r="G4545" s="23" t="str">
        <f>IF(OR(E4545="",E4545="!!!"),"",IF(OR(J4545=0,AND(J4545=1,K4545=1),AND(J4545=1,I4545="SBJ"),AND(J4545=1,I4545=0)),"?IN_FOCUS",IF(J4545&lt;=2,"?ACTIVATED",IF(J4545&lt;&gt;"","?FAMILIAR",IF(F4545="NEW",IF(ISNA(VLOOKUP(E4545,#REF!,1,FALSE())),"?TYPE_IDENTIFIABLE","?REFERENTIAL"),"_")))))</f>
        <v> </v>
      </c>
      <c r="H4545" s="24" t="str">
        <f>IF(J4545&lt;&gt;1,"",IF(I4545="SBJ","CB","?"))</f>
        <v> </v>
      </c>
      <c r="I4545" s="25" t="str">
        <f>IF(OR(E4545="",E4545="!!!",F4545="NEW"),"",INDEX(B4544:B$2,-1+SUMPRODUCT(MAX(ROW(E4544:E$2)*(E4545=E4544:E$2)))))</f>
        <v> </v>
      </c>
      <c r="J4545" s="25" t="str">
        <f>IF(OR(E4545="",E4545="!!!",F4545="NEW"),"",COUNTBLANK(OFFSET(A$1,,,SUMPRODUCT(MAX(ROW(E$2:E4545)*(E4545=E$2:E4545)))))-COUNTBLANK(OFFSET(A$1,,,SUMPRODUCT(MAX(ROW(E$1:E4544)*(E2=E$1:E4544))))))</f>
        <v> </v>
      </c>
      <c r="K4545" s="25" t="str">
        <f>IF(OR(E4545="",E4545="!!!",F4545="NEW"),"",INDEX(J$1:J4544,SUMPRODUCT(MAX(ROW(E$1:E4544)*(E4545=E$1:E4544)))))</f>
        <v> </v>
      </c>
      <c r="L4545" s="26"/>
    </row>
    <row r="4546" spans="1:12">
      <c r="A4546" s="20"/>
    </row>
    <row r="4547" spans="1:12">
      <c r="A4547" s="20" t="s">
        <v>2410</v>
      </c>
    </row>
    <row r="4548" spans="1:12">
      <c r="A4548" s="20" t="s">
        <v>1319</v>
      </c>
      <c r="E4548" s="21">
        <f>IF(D4548="?OLD","!!!","")</f>
        <v/>
      </c>
      <c r="F4548" s="22" t="str">
        <f>IF(OR(E4548="",E4548="!!!"),"",IF(NOT(ISNA(VLOOKUP(E4548,E$1:E4547,1,FALSE()))),"OLD",IF(AND(E4548&lt;&gt;"",E4548&lt;&gt;"!!!"),"NEW","")))</f>
        <v> </v>
      </c>
      <c r="G4548" s="23" t="str">
        <f>IF(OR(E4548="",E4548="!!!"),"",IF(OR(J4548=0,AND(J4548=1,K4548=1),AND(J4548=1,I4548="SBJ"),AND(J4548=1,I4548=0)),"?IN_FOCUS",IF(J4548&lt;=2,"?ACTIVATED",IF(J4548&lt;&gt;"","?FAMILIAR",IF(F4548="NEW",IF(ISNA(VLOOKUP(E4548,#REF!,1,FALSE())),"?TYPE_IDENTIFIABLE","?REFERENTIAL"),"_")))))</f>
        <v> </v>
      </c>
      <c r="H4548" s="24" t="str">
        <f>IF(J4548&lt;&gt;1,"",IF(I4548="SBJ","CB","?"))</f>
        <v> </v>
      </c>
      <c r="I4548" s="25" t="str">
        <f>IF(OR(E4548="",E4548="!!!",F4548="NEW"),"",INDEX(B4547:B$2,-1+SUMPRODUCT(MAX(ROW(E4547:E$2)*(E4548=E4547:E$2)))))</f>
        <v> </v>
      </c>
      <c r="J4548" s="25" t="str">
        <f>IF(OR(E4548="",E4548="!!!",F4548="NEW"),"",COUNTBLANK(OFFSET(A$1,,,SUMPRODUCT(MAX(ROW(E$2:E4548)*(E4548=E$2:E4548)))))-COUNTBLANK(OFFSET(A$1,,,SUMPRODUCT(MAX(ROW(E$1:E4547)*(E2=E$1:E4547))))))</f>
        <v> </v>
      </c>
      <c r="K4548" s="25" t="str">
        <f>IF(OR(E4548="",E4548="!!!",F4548="NEW"),"",INDEX(J$1:J4547,SUMPRODUCT(MAX(ROW(E$1:E4547)*(E4548=E$1:E4547)))))</f>
        <v> </v>
      </c>
      <c r="L4548" s="26"/>
    </row>
    <row r="4549" spans="1:12">
      <c r="A4549" s="20" t="s">
        <v>1108</v>
      </c>
      <c r="B4549" s="27" t="s">
        <v>1067</v>
      </c>
      <c r="C4549" s="27" t="s">
        <v>1110</v>
      </c>
      <c r="D4549" s="27" t="s">
        <v>1069</v>
      </c>
      <c r="E4549" s="21">
        <f>IF(D4549="?OLD","!!!","")</f>
        <v/>
      </c>
      <c r="F4549" s="22" t="str">
        <f>IF(OR(E4549="",E4549="!!!"),"",IF(NOT(ISNA(VLOOKUP(E4549,E$1:E4548,1,FALSE()))),"OLD",IF(AND(E4549&lt;&gt;"",E4549&lt;&gt;"!!!"),"NEW","")))</f>
        <v> </v>
      </c>
      <c r="G4549" s="23" t="str">
        <f>IF(OR(E4549="",E4549="!!!"),"",IF(OR(J4549=0,AND(J4549=1,K4549=1),AND(J4549=1,I4549="SBJ"),AND(J4549=1,I4549=0)),"?IN_FOCUS",IF(J4549&lt;=2,"?ACTIVATED",IF(J4549&lt;&gt;"","?FAMILIAR",IF(F4549="NEW",IF(ISNA(VLOOKUP(E4549,#REF!,1,FALSE())),"?TYPE_IDENTIFIABLE","?REFERENTIAL"),"_")))))</f>
        <v> </v>
      </c>
      <c r="H4549" s="24" t="str">
        <f>IF(J4549&lt;&gt;1,"",IF(I4549="SBJ","CB","?"))</f>
        <v> </v>
      </c>
      <c r="I4549" s="25" t="str">
        <f>IF(OR(E4549="",E4549="!!!",F4549="NEW"),"",INDEX(B4548:B$2,-1+SUMPRODUCT(MAX(ROW(E4548:E$2)*(E4549=E4548:E$2)))))</f>
        <v> </v>
      </c>
      <c r="J4549" s="25" t="str">
        <f>IF(OR(E4549="",E4549="!!!",F4549="NEW"),"",COUNTBLANK(OFFSET(A$1,,,SUMPRODUCT(MAX(ROW(E$2:E4549)*(E4549=E$2:E4549)))))-COUNTBLANK(OFFSET(A$1,,,SUMPRODUCT(MAX(ROW(E$1:E4548)*(E2=E$1:E4548))))))</f>
        <v> </v>
      </c>
      <c r="K4549" s="25" t="str">
        <f>IF(OR(E4549="",E4549="!!!",F4549="NEW"),"",INDEX(J$1:J4548,SUMPRODUCT(MAX(ROW(E$1:E4548)*(E4549=E$1:E4548)))))</f>
        <v> </v>
      </c>
      <c r="L4549" s="26"/>
    </row>
    <row r="4550" spans="1:12">
      <c r="A4550" s="20" t="s">
        <v>2411</v>
      </c>
      <c r="B4550" s="27" t="s">
        <v>1160</v>
      </c>
      <c r="C4550" s="27" t="s">
        <v>1077</v>
      </c>
      <c r="E4550" s="21">
        <f>IF(D4550="?OLD","!!!","")</f>
        <v/>
      </c>
      <c r="F4550" s="22" t="str">
        <f>IF(OR(E4550="",E4550="!!!"),"",IF(NOT(ISNA(VLOOKUP(E4550,E$1:E4549,1,FALSE()))),"OLD",IF(AND(E4550&lt;&gt;"",E4550&lt;&gt;"!!!"),"NEW","")))</f>
        <v> </v>
      </c>
      <c r="G4550" s="23" t="str">
        <f>IF(OR(E4550="",E4550="!!!"),"",IF(OR(J4550=0,AND(J4550=1,K4550=1),AND(J4550=1,I4550="SBJ"),AND(J4550=1,I4550=0)),"?IN_FOCUS",IF(J4550&lt;=2,"?ACTIVATED",IF(J4550&lt;&gt;"","?FAMILIAR",IF(F4550="NEW",IF(ISNA(VLOOKUP(E4550,#REF!,1,FALSE())),"?TYPE_IDENTIFIABLE","?REFERENTIAL"),"_")))))</f>
        <v> </v>
      </c>
      <c r="H4550" s="24" t="str">
        <f>IF(J4550&lt;&gt;1,"",IF(I4550="SBJ","CB","?"))</f>
        <v> </v>
      </c>
      <c r="I4550" s="25" t="str">
        <f>IF(OR(E4550="",E4550="!!!",F4550="NEW"),"",INDEX(B4549:B$2,-1+SUMPRODUCT(MAX(ROW(E4549:E$2)*(E4550=E4549:E$2)))))</f>
        <v> </v>
      </c>
      <c r="J4550" s="25" t="str">
        <f>IF(OR(E4550="",E4550="!!!",F4550="NEW"),"",COUNTBLANK(OFFSET(A$1,,,SUMPRODUCT(MAX(ROW(E$2:E4550)*(E4550=E$2:E4550)))))-COUNTBLANK(OFFSET(A$1,,,SUMPRODUCT(MAX(ROW(E$1:E4549)*(E2=E$1:E4549))))))</f>
        <v> </v>
      </c>
      <c r="K4550" s="25" t="str">
        <f>IF(OR(E4550="",E4550="!!!",F4550="NEW"),"",INDEX(J$1:J4549,SUMPRODUCT(MAX(ROW(E$1:E4549)*(E4550=E$1:E4549)))))</f>
        <v> </v>
      </c>
      <c r="L4550" s="26"/>
    </row>
    <row r="4551" spans="1:12">
      <c r="A4551" s="20" t="s">
        <v>913</v>
      </c>
      <c r="E4551" s="21">
        <f>IF(D4551="?OLD","!!!","")</f>
        <v/>
      </c>
      <c r="F4551" s="22" t="str">
        <f>IF(OR(E4551="",E4551="!!!"),"",IF(NOT(ISNA(VLOOKUP(E4551,E$1:E4550,1,FALSE()))),"OLD",IF(AND(E4551&lt;&gt;"",E4551&lt;&gt;"!!!"),"NEW","")))</f>
        <v> </v>
      </c>
      <c r="G4551" s="23" t="str">
        <f>IF(OR(E4551="",E4551="!!!"),"",IF(OR(J4551=0,AND(J4551=1,K4551=1),AND(J4551=1,I4551="SBJ"),AND(J4551=1,I4551=0)),"?IN_FOCUS",IF(J4551&lt;=2,"?ACTIVATED",IF(J4551&lt;&gt;"","?FAMILIAR",IF(F4551="NEW",IF(ISNA(VLOOKUP(E4551,#REF!,1,FALSE())),"?TYPE_IDENTIFIABLE","?REFERENTIAL"),"_")))))</f>
        <v> </v>
      </c>
      <c r="H4551" s="24" t="str">
        <f>IF(J4551&lt;&gt;1,"",IF(I4551="SBJ","CB","?"))</f>
        <v> </v>
      </c>
      <c r="I4551" s="25" t="str">
        <f>IF(OR(E4551="",E4551="!!!",F4551="NEW"),"",INDEX(B4550:B$2,-1+SUMPRODUCT(MAX(ROW(E4550:E$2)*(E4551=E4550:E$2)))))</f>
        <v> </v>
      </c>
      <c r="J4551" s="25" t="str">
        <f>IF(OR(E4551="",E4551="!!!",F4551="NEW"),"",COUNTBLANK(OFFSET(A$1,,,SUMPRODUCT(MAX(ROW(E$2:E4551)*(E4551=E$2:E4551)))))-COUNTBLANK(OFFSET(A$1,,,SUMPRODUCT(MAX(ROW(E$1:E4550)*(E2=E$1:E4550))))))</f>
        <v> </v>
      </c>
      <c r="K4551" s="25" t="str">
        <f>IF(OR(E4551="",E4551="!!!",F4551="NEW"),"",INDEX(J$1:J4550,SUMPRODUCT(MAX(ROW(E$1:E4550)*(E4551=E$1:E4550)))))</f>
        <v> </v>
      </c>
      <c r="L4551" s="26"/>
    </row>
    <row r="4552" spans="1:12">
      <c r="A4552" s="20" t="s">
        <v>1087</v>
      </c>
      <c r="E4552" s="21">
        <f>IF(D4552="?OLD","!!!","")</f>
        <v/>
      </c>
      <c r="F4552" s="22" t="str">
        <f>IF(OR(E4552="",E4552="!!!"),"",IF(NOT(ISNA(VLOOKUP(E4552,E$1:E4551,1,FALSE()))),"OLD",IF(AND(E4552&lt;&gt;"",E4552&lt;&gt;"!!!"),"NEW","")))</f>
        <v> </v>
      </c>
      <c r="G4552" s="23" t="str">
        <f>IF(OR(E4552="",E4552="!!!"),"",IF(OR(J4552=0,AND(J4552=1,K4552=1),AND(J4552=1,I4552="SBJ"),AND(J4552=1,I4552=0)),"?IN_FOCUS",IF(J4552&lt;=2,"?ACTIVATED",IF(J4552&lt;&gt;"","?FAMILIAR",IF(F4552="NEW",IF(ISNA(VLOOKUP(E4552,#REF!,1,FALSE())),"?TYPE_IDENTIFIABLE","?REFERENTIAL"),"_")))))</f>
        <v> </v>
      </c>
      <c r="H4552" s="24" t="str">
        <f>IF(J4552&lt;&gt;1,"",IF(I4552="SBJ","CB","?"))</f>
        <v> </v>
      </c>
      <c r="I4552" s="25" t="str">
        <f>IF(OR(E4552="",E4552="!!!",F4552="NEW"),"",INDEX(B4551:B$2,-1+SUMPRODUCT(MAX(ROW(E4551:E$2)*(E4552=E4551:E$2)))))</f>
        <v> </v>
      </c>
      <c r="J4552" s="25" t="str">
        <f>IF(OR(E4552="",E4552="!!!",F4552="NEW"),"",COUNTBLANK(OFFSET(A$1,,,SUMPRODUCT(MAX(ROW(E$2:E4552)*(E4552=E$2:E4552)))))-COUNTBLANK(OFFSET(A$1,,,SUMPRODUCT(MAX(ROW(E$1:E4551)*(E2=E$1:E4551))))))</f>
        <v> </v>
      </c>
      <c r="K4552" s="25" t="str">
        <f>IF(OR(E4552="",E4552="!!!",F4552="NEW"),"",INDEX(J$1:J4551,SUMPRODUCT(MAX(ROW(E$1:E4551)*(E4552=E$1:E4551)))))</f>
        <v> </v>
      </c>
      <c r="L4552" s="26"/>
    </row>
    <row r="4553" spans="1:12">
      <c r="A4553" s="20" t="s">
        <v>1100</v>
      </c>
      <c r="E4553" s="21">
        <f>IF(D4553="?OLD","!!!","")</f>
        <v/>
      </c>
      <c r="F4553" s="22" t="str">
        <f>IF(OR(E4553="",E4553="!!!"),"",IF(NOT(ISNA(VLOOKUP(E4553,E$1:E4552,1,FALSE()))),"OLD",IF(AND(E4553&lt;&gt;"",E4553&lt;&gt;"!!!"),"NEW","")))</f>
        <v> </v>
      </c>
      <c r="G4553" s="23" t="str">
        <f>IF(OR(E4553="",E4553="!!!"),"",IF(OR(J4553=0,AND(J4553=1,K4553=1),AND(J4553=1,I4553="SBJ"),AND(J4553=1,I4553=0)),"?IN_FOCUS",IF(J4553&lt;=2,"?ACTIVATED",IF(J4553&lt;&gt;"","?FAMILIAR",IF(F4553="NEW",IF(ISNA(VLOOKUP(E4553,#REF!,1,FALSE())),"?TYPE_IDENTIFIABLE","?REFERENTIAL"),"_")))))</f>
        <v> </v>
      </c>
      <c r="H4553" s="24" t="str">
        <f>IF(J4553&lt;&gt;1,"",IF(I4553="SBJ","CB","?"))</f>
        <v> </v>
      </c>
      <c r="I4553" s="25" t="str">
        <f>IF(OR(E4553="",E4553="!!!",F4553="NEW"),"",INDEX(B4552:B$2,-1+SUMPRODUCT(MAX(ROW(E4552:E$2)*(E4553=E4552:E$2)))))</f>
        <v> </v>
      </c>
      <c r="J4553" s="25" t="str">
        <f>IF(OR(E4553="",E4553="!!!",F4553="NEW"),"",COUNTBLANK(OFFSET(A$1,,,SUMPRODUCT(MAX(ROW(E$2:E4553)*(E4553=E$2:E4553)))))-COUNTBLANK(OFFSET(A$1,,,SUMPRODUCT(MAX(ROW(E$1:E4552)*(E2=E$1:E4552))))))</f>
        <v> </v>
      </c>
      <c r="K4553" s="25" t="str">
        <f>IF(OR(E4553="",E4553="!!!",F4553="NEW"),"",INDEX(J$1:J4552,SUMPRODUCT(MAX(ROW(E$1:E4552)*(E4553=E$1:E4552)))))</f>
        <v> </v>
      </c>
      <c r="L4553" s="26"/>
    </row>
    <row r="4554" spans="1:12">
      <c r="A4554" s="20" t="s">
        <v>1070</v>
      </c>
      <c r="E4554" s="21">
        <f>IF(D4554="?OLD","!!!","")</f>
        <v/>
      </c>
      <c r="F4554" s="22" t="str">
        <f>IF(OR(E4554="",E4554="!!!"),"",IF(NOT(ISNA(VLOOKUP(E4554,E$1:E4553,1,FALSE()))),"OLD",IF(AND(E4554&lt;&gt;"",E4554&lt;&gt;"!!!"),"NEW","")))</f>
        <v> </v>
      </c>
      <c r="G4554" s="23" t="str">
        <f>IF(OR(E4554="",E4554="!!!"),"",IF(OR(J4554=0,AND(J4554=1,K4554=1),AND(J4554=1,I4554="SBJ"),AND(J4554=1,I4554=0)),"?IN_FOCUS",IF(J4554&lt;=2,"?ACTIVATED",IF(J4554&lt;&gt;"","?FAMILIAR",IF(F4554="NEW",IF(ISNA(VLOOKUP(E4554,#REF!,1,FALSE())),"?TYPE_IDENTIFIABLE","?REFERENTIAL"),"_")))))</f>
        <v> </v>
      </c>
      <c r="H4554" s="24" t="str">
        <f>IF(J4554&lt;&gt;1,"",IF(I4554="SBJ","CB","?"))</f>
        <v> </v>
      </c>
      <c r="I4554" s="25" t="str">
        <f>IF(OR(E4554="",E4554="!!!",F4554="NEW"),"",INDEX(B4553:B$2,-1+SUMPRODUCT(MAX(ROW(E4553:E$2)*(E4554=E4553:E$2)))))</f>
        <v> </v>
      </c>
      <c r="J4554" s="25" t="str">
        <f>IF(OR(E4554="",E4554="!!!",F4554="NEW"),"",COUNTBLANK(OFFSET(A$1,,,SUMPRODUCT(MAX(ROW(E$2:E4554)*(E4554=E$2:E4554)))))-COUNTBLANK(OFFSET(A$1,,,SUMPRODUCT(MAX(ROW(E$1:E4553)*(E2=E$1:E4553))))))</f>
        <v> </v>
      </c>
      <c r="K4554" s="25" t="str">
        <f>IF(OR(E4554="",E4554="!!!",F4554="NEW"),"",INDEX(J$1:J4553,SUMPRODUCT(MAX(ROW(E$1:E4553)*(E4554=E$1:E4553)))))</f>
        <v> </v>
      </c>
      <c r="L4554" s="26"/>
    </row>
    <row r="4555" spans="1:12">
      <c r="A4555" s="20" t="s">
        <v>2412</v>
      </c>
      <c r="E4555" s="21">
        <f>IF(D4555="?OLD","!!!","")</f>
        <v/>
      </c>
      <c r="F4555" s="22" t="str">
        <f>IF(OR(E4555="",E4555="!!!"),"",IF(NOT(ISNA(VLOOKUP(E4555,E$1:E4554,1,FALSE()))),"OLD",IF(AND(E4555&lt;&gt;"",E4555&lt;&gt;"!!!"),"NEW","")))</f>
        <v> </v>
      </c>
      <c r="G4555" s="23" t="str">
        <f>IF(OR(E4555="",E4555="!!!"),"",IF(OR(J4555=0,AND(J4555=1,K4555=1),AND(J4555=1,I4555="SBJ"),AND(J4555=1,I4555=0)),"?IN_FOCUS",IF(J4555&lt;=2,"?ACTIVATED",IF(J4555&lt;&gt;"","?FAMILIAR",IF(F4555="NEW",IF(ISNA(VLOOKUP(E4555,#REF!,1,FALSE())),"?TYPE_IDENTIFIABLE","?REFERENTIAL"),"_")))))</f>
        <v> </v>
      </c>
      <c r="H4555" s="24" t="str">
        <f>IF(J4555&lt;&gt;1,"",IF(I4555="SBJ","CB","?"))</f>
        <v> </v>
      </c>
      <c r="I4555" s="25" t="str">
        <f>IF(OR(E4555="",E4555="!!!",F4555="NEW"),"",INDEX(B4554:B$2,-1+SUMPRODUCT(MAX(ROW(E4554:E$2)*(E4555=E4554:E$2)))))</f>
        <v> </v>
      </c>
      <c r="J4555" s="25" t="str">
        <f>IF(OR(E4555="",E4555="!!!",F4555="NEW"),"",COUNTBLANK(OFFSET(A$1,,,SUMPRODUCT(MAX(ROW(E$2:E4555)*(E4555=E$2:E4555)))))-COUNTBLANK(OFFSET(A$1,,,SUMPRODUCT(MAX(ROW(E$1:E4554)*(E2=E$1:E4554))))))</f>
        <v> </v>
      </c>
      <c r="K4555" s="25" t="str">
        <f>IF(OR(E4555="",E4555="!!!",F4555="NEW"),"",INDEX(J$1:J4554,SUMPRODUCT(MAX(ROW(E$1:E4554)*(E4555=E$1:E4554)))))</f>
        <v> </v>
      </c>
      <c r="L4555" s="26"/>
    </row>
    <row r="4556" spans="1:12">
      <c r="A4556" s="20" t="s">
        <v>1087</v>
      </c>
      <c r="E4556" s="21">
        <f>IF(D4556="?OLD","!!!","")</f>
        <v/>
      </c>
      <c r="F4556" s="22" t="str">
        <f>IF(OR(E4556="",E4556="!!!"),"",IF(NOT(ISNA(VLOOKUP(E4556,E$1:E4555,1,FALSE()))),"OLD",IF(AND(E4556&lt;&gt;"",E4556&lt;&gt;"!!!"),"NEW","")))</f>
        <v> </v>
      </c>
      <c r="G4556" s="23" t="str">
        <f>IF(OR(E4556="",E4556="!!!"),"",IF(OR(J4556=0,AND(J4556=1,K4556=1),AND(J4556=1,I4556="SBJ"),AND(J4556=1,I4556=0)),"?IN_FOCUS",IF(J4556&lt;=2,"?ACTIVATED",IF(J4556&lt;&gt;"","?FAMILIAR",IF(F4556="NEW",IF(ISNA(VLOOKUP(E4556,#REF!,1,FALSE())),"?TYPE_IDENTIFIABLE","?REFERENTIAL"),"_")))))</f>
        <v> </v>
      </c>
      <c r="H4556" s="24" t="str">
        <f>IF(J4556&lt;&gt;1,"",IF(I4556="SBJ","CB","?"))</f>
        <v> </v>
      </c>
      <c r="I4556" s="25" t="str">
        <f>IF(OR(E4556="",E4556="!!!",F4556="NEW"),"",INDEX(B4555:B$2,-1+SUMPRODUCT(MAX(ROW(E4555:E$2)*(E4556=E4555:E$2)))))</f>
        <v> </v>
      </c>
      <c r="J4556" s="25" t="str">
        <f>IF(OR(E4556="",E4556="!!!",F4556="NEW"),"",COUNTBLANK(OFFSET(A$1,,,SUMPRODUCT(MAX(ROW(E$2:E4556)*(E4556=E$2:E4556)))))-COUNTBLANK(OFFSET(A$1,,,SUMPRODUCT(MAX(ROW(E$1:E4555)*(E2=E$1:E4555))))))</f>
        <v> </v>
      </c>
      <c r="K4556" s="25" t="str">
        <f>IF(OR(E4556="",E4556="!!!",F4556="NEW"),"",INDEX(J$1:J4555,SUMPRODUCT(MAX(ROW(E$1:E4555)*(E4556=E$1:E4555)))))</f>
        <v> </v>
      </c>
      <c r="L4556" s="26"/>
    </row>
    <row r="4557" spans="1:12">
      <c r="A4557" s="20" t="s">
        <v>1104</v>
      </c>
      <c r="E4557" s="21">
        <f>IF(D4557="?OLD","!!!","")</f>
        <v/>
      </c>
      <c r="F4557" s="22" t="str">
        <f>IF(OR(E4557="",E4557="!!!"),"",IF(NOT(ISNA(VLOOKUP(E4557,E$1:E4556,1,FALSE()))),"OLD",IF(AND(E4557&lt;&gt;"",E4557&lt;&gt;"!!!"),"NEW","")))</f>
        <v> </v>
      </c>
      <c r="G4557" s="23" t="str">
        <f>IF(OR(E4557="",E4557="!!!"),"",IF(OR(J4557=0,AND(J4557=1,K4557=1),AND(J4557=1,I4557="SBJ"),AND(J4557=1,I4557=0)),"?IN_FOCUS",IF(J4557&lt;=2,"?ACTIVATED",IF(J4557&lt;&gt;"","?FAMILIAR",IF(F4557="NEW",IF(ISNA(VLOOKUP(E4557,#REF!,1,FALSE())),"?TYPE_IDENTIFIABLE","?REFERENTIAL"),"_")))))</f>
        <v> </v>
      </c>
      <c r="H4557" s="24" t="str">
        <f>IF(J4557&lt;&gt;1,"",IF(I4557="SBJ","CB","?"))</f>
        <v> </v>
      </c>
      <c r="I4557" s="25" t="str">
        <f>IF(OR(E4557="",E4557="!!!",F4557="NEW"),"",INDEX(B4556:B$2,-1+SUMPRODUCT(MAX(ROW(E4556:E$2)*(E4557=E4556:E$2)))))</f>
        <v> </v>
      </c>
      <c r="J4557" s="25" t="str">
        <f>IF(OR(E4557="",E4557="!!!",F4557="NEW"),"",COUNTBLANK(OFFSET(A$1,,,SUMPRODUCT(MAX(ROW(E$2:E4557)*(E4557=E$2:E4557)))))-COUNTBLANK(OFFSET(A$1,,,SUMPRODUCT(MAX(ROW(E$1:E4556)*(E2=E$1:E4556))))))</f>
        <v> </v>
      </c>
      <c r="K4557" s="25" t="str">
        <f>IF(OR(E4557="",E4557="!!!",F4557="NEW"),"",INDEX(J$1:J4556,SUMPRODUCT(MAX(ROW(E$1:E4556)*(E4557=E$1:E4556)))))</f>
        <v> </v>
      </c>
      <c r="L4557" s="26"/>
    </row>
    <row r="4558" spans="1:12">
      <c r="A4558" s="20" t="s">
        <v>2413</v>
      </c>
      <c r="B4558" s="27" t="s">
        <v>1095</v>
      </c>
      <c r="C4558" s="27" t="s">
        <v>1086</v>
      </c>
      <c r="D4558" s="27" t="s">
        <v>1069</v>
      </c>
      <c r="E4558" s="21">
        <f>IF(D4558="?OLD","!!!","")</f>
        <v/>
      </c>
      <c r="F4558" s="22" t="str">
        <f>IF(OR(E4558="",E4558="!!!"),"",IF(NOT(ISNA(VLOOKUP(E4558,E$1:E4557,1,FALSE()))),"OLD",IF(AND(E4558&lt;&gt;"",E4558&lt;&gt;"!!!"),"NEW","")))</f>
        <v> </v>
      </c>
      <c r="G4558" s="23" t="str">
        <f>IF(OR(E4558="",E4558="!!!"),"",IF(OR(J4558=0,AND(J4558=1,K4558=1),AND(J4558=1,I4558="SBJ"),AND(J4558=1,I4558=0)),"?IN_FOCUS",IF(J4558&lt;=2,"?ACTIVATED",IF(J4558&lt;&gt;"","?FAMILIAR",IF(F4558="NEW",IF(ISNA(VLOOKUP(E4558,#REF!,1,FALSE())),"?TYPE_IDENTIFIABLE","?REFERENTIAL"),"_")))))</f>
        <v> </v>
      </c>
      <c r="H4558" s="24" t="str">
        <f>IF(J4558&lt;&gt;1,"",IF(I4558="SBJ","CB","?"))</f>
        <v> </v>
      </c>
      <c r="I4558" s="25" t="str">
        <f>IF(OR(E4558="",E4558="!!!",F4558="NEW"),"",INDEX(B4557:B$2,-1+SUMPRODUCT(MAX(ROW(E4557:E$2)*(E4558=E4557:E$2)))))</f>
        <v> </v>
      </c>
      <c r="J4558" s="25" t="str">
        <f>IF(OR(E4558="",E4558="!!!",F4558="NEW"),"",COUNTBLANK(OFFSET(A$1,,,SUMPRODUCT(MAX(ROW(E$2:E4558)*(E4558=E$2:E4558)))))-COUNTBLANK(OFFSET(A$1,,,SUMPRODUCT(MAX(ROW(E$1:E4557)*(E2=E$1:E4557))))))</f>
        <v> </v>
      </c>
      <c r="K4558" s="25" t="str">
        <f>IF(OR(E4558="",E4558="!!!",F4558="NEW"),"",INDEX(J$1:J4557,SUMPRODUCT(MAX(ROW(E$1:E4557)*(E4558=E$1:E4557)))))</f>
        <v> </v>
      </c>
      <c r="L4558" s="26"/>
    </row>
    <row r="4559" spans="1:12">
      <c r="A4559" s="20" t="s">
        <v>2414</v>
      </c>
      <c r="E4559" s="21">
        <f>IF(D4559="?OLD","!!!","")</f>
        <v/>
      </c>
      <c r="F4559" s="22" t="str">
        <f>IF(OR(E4559="",E4559="!!!"),"",IF(NOT(ISNA(VLOOKUP(E4559,E$1:E4558,1,FALSE()))),"OLD",IF(AND(E4559&lt;&gt;"",E4559&lt;&gt;"!!!"),"NEW","")))</f>
        <v> </v>
      </c>
      <c r="G4559" s="23" t="str">
        <f>IF(OR(E4559="",E4559="!!!"),"",IF(OR(J4559=0,AND(J4559=1,K4559=1),AND(J4559=1,I4559="SBJ"),AND(J4559=1,I4559=0)),"?IN_FOCUS",IF(J4559&lt;=2,"?ACTIVATED",IF(J4559&lt;&gt;"","?FAMILIAR",IF(F4559="NEW",IF(ISNA(VLOOKUP(E4559,#REF!,1,FALSE())),"?TYPE_IDENTIFIABLE","?REFERENTIAL"),"_")))))</f>
        <v> </v>
      </c>
      <c r="H4559" s="24" t="str">
        <f>IF(J4559&lt;&gt;1,"",IF(I4559="SBJ","CB","?"))</f>
        <v> </v>
      </c>
      <c r="I4559" s="25" t="str">
        <f>IF(OR(E4559="",E4559="!!!",F4559="NEW"),"",INDEX(B4558:B$2,-1+SUMPRODUCT(MAX(ROW(E4558:E$2)*(E4559=E4558:E$2)))))</f>
        <v> </v>
      </c>
      <c r="J4559" s="25" t="str">
        <f>IF(OR(E4559="",E4559="!!!",F4559="NEW"),"",COUNTBLANK(OFFSET(A$1,,,SUMPRODUCT(MAX(ROW(E$2:E4559)*(E4559=E$2:E4559)))))-COUNTBLANK(OFFSET(A$1,,,SUMPRODUCT(MAX(ROW(E$1:E4558)*(E2=E$1:E4558))))))</f>
        <v> </v>
      </c>
      <c r="K4559" s="25" t="str">
        <f>IF(OR(E4559="",E4559="!!!",F4559="NEW"),"",INDEX(J$1:J4558,SUMPRODUCT(MAX(ROW(E$1:E4558)*(E4559=E$1:E4558)))))</f>
        <v> </v>
      </c>
      <c r="L4559" s="26"/>
    </row>
    <row r="4560" spans="1:12">
      <c r="A4560" s="20" t="s">
        <v>1070</v>
      </c>
      <c r="E4560" s="21">
        <f>IF(D4560="?OLD","!!!","")</f>
        <v/>
      </c>
      <c r="F4560" s="22" t="str">
        <f>IF(OR(E4560="",E4560="!!!"),"",IF(NOT(ISNA(VLOOKUP(E4560,E$1:E4559,1,FALSE()))),"OLD",IF(AND(E4560&lt;&gt;"",E4560&lt;&gt;"!!!"),"NEW","")))</f>
        <v> </v>
      </c>
      <c r="G4560" s="23" t="str">
        <f>IF(OR(E4560="",E4560="!!!"),"",IF(OR(J4560=0,AND(J4560=1,K4560=1),AND(J4560=1,I4560="SBJ"),AND(J4560=1,I4560=0)),"?IN_FOCUS",IF(J4560&lt;=2,"?ACTIVATED",IF(J4560&lt;&gt;"","?FAMILIAR",IF(F4560="NEW",IF(ISNA(VLOOKUP(E4560,#REF!,1,FALSE())),"?TYPE_IDENTIFIABLE","?REFERENTIAL"),"_")))))</f>
        <v> </v>
      </c>
      <c r="H4560" s="24" t="str">
        <f>IF(J4560&lt;&gt;1,"",IF(I4560="SBJ","CB","?"))</f>
        <v> </v>
      </c>
      <c r="I4560" s="25" t="str">
        <f>IF(OR(E4560="",E4560="!!!",F4560="NEW"),"",INDEX(B4559:B$2,-1+SUMPRODUCT(MAX(ROW(E4559:E$2)*(E4560=E4559:E$2)))))</f>
        <v> </v>
      </c>
      <c r="J4560" s="25" t="str">
        <f>IF(OR(E4560="",E4560="!!!",F4560="NEW"),"",COUNTBLANK(OFFSET(A$1,,,SUMPRODUCT(MAX(ROW(E$2:E4560)*(E4560=E$2:E4560)))))-COUNTBLANK(OFFSET(A$1,,,SUMPRODUCT(MAX(ROW(E$1:E4559)*(E2=E$1:E4559))))))</f>
        <v> </v>
      </c>
      <c r="K4560" s="25" t="str">
        <f>IF(OR(E4560="",E4560="!!!",F4560="NEW"),"",INDEX(J$1:J4559,SUMPRODUCT(MAX(ROW(E$1:E4559)*(E4560=E$1:E4559)))))</f>
        <v> </v>
      </c>
      <c r="L4560" s="26"/>
    </row>
    <row r="4561" spans="1:12">
      <c r="A4561" s="20" t="s">
        <v>875</v>
      </c>
      <c r="E4561" s="21">
        <f>IF(D4561="?OLD","!!!","")</f>
        <v/>
      </c>
      <c r="F4561" s="22" t="str">
        <f>IF(OR(E4561="",E4561="!!!"),"",IF(NOT(ISNA(VLOOKUP(E4561,E$1:E4560,1,FALSE()))),"OLD",IF(AND(E4561&lt;&gt;"",E4561&lt;&gt;"!!!"),"NEW","")))</f>
        <v> </v>
      </c>
      <c r="G4561" s="23" t="str">
        <f>IF(OR(E4561="",E4561="!!!"),"",IF(OR(J4561=0,AND(J4561=1,K4561=1),AND(J4561=1,I4561="SBJ"),AND(J4561=1,I4561=0)),"?IN_FOCUS",IF(J4561&lt;=2,"?ACTIVATED",IF(J4561&lt;&gt;"","?FAMILIAR",IF(F4561="NEW",IF(ISNA(VLOOKUP(E4561,#REF!,1,FALSE())),"?TYPE_IDENTIFIABLE","?REFERENTIAL"),"_")))))</f>
        <v> </v>
      </c>
      <c r="H4561" s="24" t="str">
        <f>IF(J4561&lt;&gt;1,"",IF(I4561="SBJ","CB","?"))</f>
        <v> </v>
      </c>
      <c r="I4561" s="25" t="str">
        <f>IF(OR(E4561="",E4561="!!!",F4561="NEW"),"",INDEX(B4560:B$2,-1+SUMPRODUCT(MAX(ROW(E4560:E$2)*(E4561=E4560:E$2)))))</f>
        <v> </v>
      </c>
      <c r="J4561" s="25" t="str">
        <f>IF(OR(E4561="",E4561="!!!",F4561="NEW"),"",COUNTBLANK(OFFSET(A$1,,,SUMPRODUCT(MAX(ROW(E$2:E4561)*(E4561=E$2:E4561)))))-COUNTBLANK(OFFSET(A$1,,,SUMPRODUCT(MAX(ROW(E$1:E4560)*(E2=E$1:E4560))))))</f>
        <v> </v>
      </c>
      <c r="K4561" s="25" t="str">
        <f>IF(OR(E4561="",E4561="!!!",F4561="NEW"),"",INDEX(J$1:J4560,SUMPRODUCT(MAX(ROW(E$1:E4560)*(E4561=E$1:E4560)))))</f>
        <v> </v>
      </c>
      <c r="L4561" s="26"/>
    </row>
    <row r="4562" spans="1:12">
      <c r="A4562" s="20" t="s">
        <v>1324</v>
      </c>
      <c r="E4562" s="21">
        <f>IF(D4562="?OLD","!!!","")</f>
        <v/>
      </c>
      <c r="F4562" s="22" t="str">
        <f>IF(OR(E4562="",E4562="!!!"),"",IF(NOT(ISNA(VLOOKUP(E4562,E$1:E4561,1,FALSE()))),"OLD",IF(AND(E4562&lt;&gt;"",E4562&lt;&gt;"!!!"),"NEW","")))</f>
        <v> </v>
      </c>
      <c r="G4562" s="23" t="str">
        <f>IF(OR(E4562="",E4562="!!!"),"",IF(OR(J4562=0,AND(J4562=1,K4562=1),AND(J4562=1,I4562="SBJ"),AND(J4562=1,I4562=0)),"?IN_FOCUS",IF(J4562&lt;=2,"?ACTIVATED",IF(J4562&lt;&gt;"","?FAMILIAR",IF(F4562="NEW",IF(ISNA(VLOOKUP(E4562,#REF!,1,FALSE())),"?TYPE_IDENTIFIABLE","?REFERENTIAL"),"_")))))</f>
        <v> </v>
      </c>
      <c r="H4562" s="24" t="str">
        <f>IF(J4562&lt;&gt;1,"",IF(I4562="SBJ","CB","?"))</f>
        <v> </v>
      </c>
      <c r="I4562" s="25" t="str">
        <f>IF(OR(E4562="",E4562="!!!",F4562="NEW"),"",INDEX(B4561:B$2,-1+SUMPRODUCT(MAX(ROW(E4561:E$2)*(E4562=E4561:E$2)))))</f>
        <v> </v>
      </c>
      <c r="J4562" s="25" t="str">
        <f>IF(OR(E4562="",E4562="!!!",F4562="NEW"),"",COUNTBLANK(OFFSET(A$1,,,SUMPRODUCT(MAX(ROW(E$2:E4562)*(E4562=E$2:E4562)))))-COUNTBLANK(OFFSET(A$1,,,SUMPRODUCT(MAX(ROW(E$1:E4561)*(E2=E$1:E4561))))))</f>
        <v> </v>
      </c>
      <c r="K4562" s="25" t="str">
        <f>IF(OR(E4562="",E4562="!!!",F4562="NEW"),"",INDEX(J$1:J4561,SUMPRODUCT(MAX(ROW(E$1:E4561)*(E4562=E$1:E4561)))))</f>
        <v> </v>
      </c>
      <c r="L4562" s="26"/>
    </row>
    <row r="4563" spans="1:12">
      <c r="A4563" s="20"/>
    </row>
    <row r="4564" spans="1:12">
      <c r="A4564" s="20" t="s">
        <v>2415</v>
      </c>
    </row>
    <row r="4565" spans="1:12">
      <c r="A4565" s="20" t="s">
        <v>785</v>
      </c>
      <c r="B4565" s="27" t="s">
        <v>1095</v>
      </c>
      <c r="C4565" s="27" t="s">
        <v>1134</v>
      </c>
      <c r="D4565" s="27" t="s">
        <v>1069</v>
      </c>
      <c r="E4565" s="21">
        <f>IF(D4565="?OLD","!!!","")</f>
        <v/>
      </c>
      <c r="F4565" s="22" t="str">
        <f>IF(OR(E4565="",E4565="!!!"),"",IF(NOT(ISNA(VLOOKUP(E4565,E$1:E4564,1,FALSE()))),"OLD",IF(AND(E4565&lt;&gt;"",E4565&lt;&gt;"!!!"),"NEW","")))</f>
        <v> </v>
      </c>
      <c r="G4565" s="23" t="str">
        <f>IF(OR(E4565="",E4565="!!!"),"",IF(OR(J4565=0,AND(J4565=1,K4565=1),AND(J4565=1,I4565="SBJ"),AND(J4565=1,I4565=0)),"?IN_FOCUS",IF(J4565&lt;=2,"?ACTIVATED",IF(J4565&lt;&gt;"","?FAMILIAR",IF(F4565="NEW",IF(ISNA(VLOOKUP(E4565,#REF!,1,FALSE())),"?TYPE_IDENTIFIABLE","?REFERENTIAL"),"_")))))</f>
        <v> </v>
      </c>
      <c r="H4565" s="24" t="str">
        <f>IF(J4565&lt;&gt;1,"",IF(I4565="SBJ","CB","?"))</f>
        <v> </v>
      </c>
      <c r="I4565" s="25" t="str">
        <f>IF(OR(E4565="",E4565="!!!",F4565="NEW"),"",INDEX(B4564:B$2,-1+SUMPRODUCT(MAX(ROW(E4564:E$2)*(E4565=E4564:E$2)))))</f>
        <v> </v>
      </c>
      <c r="J4565" s="25" t="str">
        <f>IF(OR(E4565="",E4565="!!!",F4565="NEW"),"",COUNTBLANK(OFFSET(A$1,,,SUMPRODUCT(MAX(ROW(E$2:E4565)*(E4565=E$2:E4565)))))-COUNTBLANK(OFFSET(A$1,,,SUMPRODUCT(MAX(ROW(E$1:E4564)*(E2=E$1:E4564))))))</f>
        <v> </v>
      </c>
      <c r="K4565" s="25" t="str">
        <f>IF(OR(E4565="",E4565="!!!",F4565="NEW"),"",INDEX(J$1:J4564,SUMPRODUCT(MAX(ROW(E$1:E4564)*(E4565=E$1:E4564)))))</f>
        <v> </v>
      </c>
      <c r="L4565" s="26"/>
    </row>
    <row r="4566" spans="1:12">
      <c r="A4566" s="20" t="s">
        <v>1317</v>
      </c>
      <c r="E4566" s="21">
        <f>IF(D4566="?OLD","!!!","")</f>
        <v/>
      </c>
      <c r="F4566" s="22" t="str">
        <f>IF(OR(E4566="",E4566="!!!"),"",IF(NOT(ISNA(VLOOKUP(E4566,E$1:E4565,1,FALSE()))),"OLD",IF(AND(E4566&lt;&gt;"",E4566&lt;&gt;"!!!"),"NEW","")))</f>
        <v> </v>
      </c>
      <c r="G4566" s="23" t="str">
        <f>IF(OR(E4566="",E4566="!!!"),"",IF(OR(J4566=0,AND(J4566=1,K4566=1),AND(J4566=1,I4566="SBJ"),AND(J4566=1,I4566=0)),"?IN_FOCUS",IF(J4566&lt;=2,"?ACTIVATED",IF(J4566&lt;&gt;"","?FAMILIAR",IF(F4566="NEW",IF(ISNA(VLOOKUP(E4566,#REF!,1,FALSE())),"?TYPE_IDENTIFIABLE","?REFERENTIAL"),"_")))))</f>
        <v> </v>
      </c>
      <c r="H4566" s="24" t="str">
        <f>IF(J4566&lt;&gt;1,"",IF(I4566="SBJ","CB","?"))</f>
        <v> </v>
      </c>
      <c r="I4566" s="25" t="str">
        <f>IF(OR(E4566="",E4566="!!!",F4566="NEW"),"",INDEX(B4565:B$2,-1+SUMPRODUCT(MAX(ROW(E4565:E$2)*(E4566=E4565:E$2)))))</f>
        <v> </v>
      </c>
      <c r="J4566" s="25" t="str">
        <f>IF(OR(E4566="",E4566="!!!",F4566="NEW"),"",COUNTBLANK(OFFSET(A$1,,,SUMPRODUCT(MAX(ROW(E$2:E4566)*(E4566=E$2:E4566)))))-COUNTBLANK(OFFSET(A$1,,,SUMPRODUCT(MAX(ROW(E$1:E4565)*(E2=E$1:E4565))))))</f>
        <v> </v>
      </c>
      <c r="K4566" s="25" t="str">
        <f>IF(OR(E4566="",E4566="!!!",F4566="NEW"),"",INDEX(J$1:J4565,SUMPRODUCT(MAX(ROW(E$1:E4565)*(E4566=E$1:E4565)))))</f>
        <v> </v>
      </c>
      <c r="L4566" s="26"/>
    </row>
    <row r="4567" spans="1:12">
      <c r="A4567" s="20" t="s">
        <v>1436</v>
      </c>
      <c r="E4567" s="21">
        <f>IF(D4567="?OLD","!!!","")</f>
        <v/>
      </c>
      <c r="F4567" s="22" t="str">
        <f>IF(OR(E4567="",E4567="!!!"),"",IF(NOT(ISNA(VLOOKUP(E4567,E$1:E4566,1,FALSE()))),"OLD",IF(AND(E4567&lt;&gt;"",E4567&lt;&gt;"!!!"),"NEW","")))</f>
        <v> </v>
      </c>
      <c r="G4567" s="23" t="str">
        <f>IF(OR(E4567="",E4567="!!!"),"",IF(OR(J4567=0,AND(J4567=1,K4567=1),AND(J4567=1,I4567="SBJ"),AND(J4567=1,I4567=0)),"?IN_FOCUS",IF(J4567&lt;=2,"?ACTIVATED",IF(J4567&lt;&gt;"","?FAMILIAR",IF(F4567="NEW",IF(ISNA(VLOOKUP(E4567,#REF!,1,FALSE())),"?TYPE_IDENTIFIABLE","?REFERENTIAL"),"_")))))</f>
        <v> </v>
      </c>
      <c r="H4567" s="24" t="str">
        <f>IF(J4567&lt;&gt;1,"",IF(I4567="SBJ","CB","?"))</f>
        <v> </v>
      </c>
      <c r="I4567" s="25" t="str">
        <f>IF(OR(E4567="",E4567="!!!",F4567="NEW"),"",INDEX(B4566:B$2,-1+SUMPRODUCT(MAX(ROW(E4566:E$2)*(E4567=E4566:E$2)))))</f>
        <v> </v>
      </c>
      <c r="J4567" s="25" t="str">
        <f>IF(OR(E4567="",E4567="!!!",F4567="NEW"),"",COUNTBLANK(OFFSET(A$1,,,SUMPRODUCT(MAX(ROW(E$2:E4567)*(E4567=E$2:E4567)))))-COUNTBLANK(OFFSET(A$1,,,SUMPRODUCT(MAX(ROW(E$1:E4566)*(E2=E$1:E4566))))))</f>
        <v> </v>
      </c>
      <c r="K4567" s="25" t="str">
        <f>IF(OR(E4567="",E4567="!!!",F4567="NEW"),"",INDEX(J$1:J4566,SUMPRODUCT(MAX(ROW(E$1:E4566)*(E4567=E$1:E4566)))))</f>
        <v> </v>
      </c>
      <c r="L4567" s="26"/>
    </row>
    <row r="4568" spans="1:12">
      <c r="A4568" s="20" t="s">
        <v>1351</v>
      </c>
      <c r="B4568" s="27" t="s">
        <v>1109</v>
      </c>
      <c r="C4568" s="27" t="s">
        <v>1072</v>
      </c>
      <c r="E4568" s="21">
        <f>IF(D4568="?OLD","!!!","")</f>
        <v/>
      </c>
      <c r="F4568" s="22" t="str">
        <f>IF(OR(E4568="",E4568="!!!"),"",IF(NOT(ISNA(VLOOKUP(E4568,E$1:E4567,1,FALSE()))),"OLD",IF(AND(E4568&lt;&gt;"",E4568&lt;&gt;"!!!"),"NEW","")))</f>
        <v> </v>
      </c>
      <c r="G4568" s="23" t="str">
        <f>IF(OR(E4568="",E4568="!!!"),"",IF(OR(J4568=0,AND(J4568=1,K4568=1),AND(J4568=1,I4568="SBJ"),AND(J4568=1,I4568=0)),"?IN_FOCUS",IF(J4568&lt;=2,"?ACTIVATED",IF(J4568&lt;&gt;"","?FAMILIAR",IF(F4568="NEW",IF(ISNA(VLOOKUP(E4568,#REF!,1,FALSE())),"?TYPE_IDENTIFIABLE","?REFERENTIAL"),"_")))))</f>
        <v> </v>
      </c>
      <c r="H4568" s="24" t="str">
        <f>IF(J4568&lt;&gt;1,"",IF(I4568="SBJ","CB","?"))</f>
        <v> </v>
      </c>
      <c r="I4568" s="25" t="str">
        <f>IF(OR(E4568="",E4568="!!!",F4568="NEW"),"",INDEX(B4567:B$2,-1+SUMPRODUCT(MAX(ROW(E4567:E$2)*(E4568=E4567:E$2)))))</f>
        <v> </v>
      </c>
      <c r="J4568" s="25" t="str">
        <f>IF(OR(E4568="",E4568="!!!",F4568="NEW"),"",COUNTBLANK(OFFSET(A$1,,,SUMPRODUCT(MAX(ROW(E$2:E4568)*(E4568=E$2:E4568)))))-COUNTBLANK(OFFSET(A$1,,,SUMPRODUCT(MAX(ROW(E$1:E4567)*(E2=E$1:E4567))))))</f>
        <v> </v>
      </c>
      <c r="K4568" s="25" t="str">
        <f>IF(OR(E4568="",E4568="!!!",F4568="NEW"),"",INDEX(J$1:J4567,SUMPRODUCT(MAX(ROW(E$1:E4567)*(E4568=E$1:E4567)))))</f>
        <v> </v>
      </c>
      <c r="L4568" s="26"/>
    </row>
    <row r="4569" spans="1:12">
      <c r="A4569" s="20" t="s">
        <v>1224</v>
      </c>
      <c r="E4569" s="21">
        <f>IF(D4569="?OLD","!!!","")</f>
        <v/>
      </c>
      <c r="F4569" s="22" t="str">
        <f>IF(OR(E4569="",E4569="!!!"),"",IF(NOT(ISNA(VLOOKUP(E4569,E$1:E4568,1,FALSE()))),"OLD",IF(AND(E4569&lt;&gt;"",E4569&lt;&gt;"!!!"),"NEW","")))</f>
        <v> </v>
      </c>
      <c r="G4569" s="23" t="str">
        <f>IF(OR(E4569="",E4569="!!!"),"",IF(OR(J4569=0,AND(J4569=1,K4569=1),AND(J4569=1,I4569="SBJ"),AND(J4569=1,I4569=0)),"?IN_FOCUS",IF(J4569&lt;=2,"?ACTIVATED",IF(J4569&lt;&gt;"","?FAMILIAR",IF(F4569="NEW",IF(ISNA(VLOOKUP(E4569,#REF!,1,FALSE())),"?TYPE_IDENTIFIABLE","?REFERENTIAL"),"_")))))</f>
        <v> </v>
      </c>
      <c r="H4569" s="24" t="str">
        <f>IF(J4569&lt;&gt;1,"",IF(I4569="SBJ","CB","?"))</f>
        <v> </v>
      </c>
      <c r="I4569" s="25" t="str">
        <f>IF(OR(E4569="",E4569="!!!",F4569="NEW"),"",INDEX(B4568:B$2,-1+SUMPRODUCT(MAX(ROW(E4568:E$2)*(E4569=E4568:E$2)))))</f>
        <v> </v>
      </c>
      <c r="J4569" s="25" t="str">
        <f>IF(OR(E4569="",E4569="!!!",F4569="NEW"),"",COUNTBLANK(OFFSET(A$1,,,SUMPRODUCT(MAX(ROW(E$2:E4569)*(E4569=E$2:E4569)))))-COUNTBLANK(OFFSET(A$1,,,SUMPRODUCT(MAX(ROW(E$1:E4568)*(E2=E$1:E4568))))))</f>
        <v> </v>
      </c>
      <c r="K4569" s="25" t="str">
        <f>IF(OR(E4569="",E4569="!!!",F4569="NEW"),"",INDEX(J$1:J4568,SUMPRODUCT(MAX(ROW(E$1:E4568)*(E4569=E$1:E4568)))))</f>
        <v> </v>
      </c>
      <c r="L4569" s="26"/>
    </row>
    <row r="4570" spans="1:12">
      <c r="A4570" s="20" t="s">
        <v>1128</v>
      </c>
      <c r="B4570" s="27" t="s">
        <v>1678</v>
      </c>
      <c r="C4570" s="27" t="s">
        <v>1129</v>
      </c>
      <c r="D4570" s="27" t="s">
        <v>1069</v>
      </c>
      <c r="E4570" s="21">
        <f>IF(D4570="?OLD","!!!","")</f>
        <v/>
      </c>
      <c r="F4570" s="22" t="str">
        <f>IF(OR(E4570="",E4570="!!!"),"",IF(NOT(ISNA(VLOOKUP(E4570,E$1:E4569,1,FALSE()))),"OLD",IF(AND(E4570&lt;&gt;"",E4570&lt;&gt;"!!!"),"NEW","")))</f>
        <v> </v>
      </c>
      <c r="G4570" s="23" t="str">
        <f>IF(OR(E4570="",E4570="!!!"),"",IF(OR(J4570=0,AND(J4570=1,K4570=1),AND(J4570=1,I4570="SBJ"),AND(J4570=1,I4570=0)),"?IN_FOCUS",IF(J4570&lt;=2,"?ACTIVATED",IF(J4570&lt;&gt;"","?FAMILIAR",IF(F4570="NEW",IF(ISNA(VLOOKUP(E4570,#REF!,1,FALSE())),"?TYPE_IDENTIFIABLE","?REFERENTIAL"),"_")))))</f>
        <v> </v>
      </c>
      <c r="H4570" s="24" t="str">
        <f>IF(J4570&lt;&gt;1,"",IF(I4570="SBJ","CB","?"))</f>
        <v> </v>
      </c>
      <c r="I4570" s="25" t="str">
        <f>IF(OR(E4570="",E4570="!!!",F4570="NEW"),"",INDEX(B4569:B$2,-1+SUMPRODUCT(MAX(ROW(E4569:E$2)*(E4570=E4569:E$2)))))</f>
        <v> </v>
      </c>
      <c r="J4570" s="25" t="str">
        <f>IF(OR(E4570="",E4570="!!!",F4570="NEW"),"",COUNTBLANK(OFFSET(A$1,,,SUMPRODUCT(MAX(ROW(E$2:E4570)*(E4570=E$2:E4570)))))-COUNTBLANK(OFFSET(A$1,,,SUMPRODUCT(MAX(ROW(E$1:E4569)*(E2=E$1:E4569))))))</f>
        <v> </v>
      </c>
      <c r="K4570" s="25" t="str">
        <f>IF(OR(E4570="",E4570="!!!",F4570="NEW"),"",INDEX(J$1:J4569,SUMPRODUCT(MAX(ROW(E$1:E4569)*(E4570=E$1:E4569)))))</f>
        <v> </v>
      </c>
      <c r="L4570" s="26"/>
    </row>
    <row r="4571" spans="1:12">
      <c r="A4571" s="20" t="s">
        <v>1245</v>
      </c>
      <c r="B4571" s="27" t="s">
        <v>1116</v>
      </c>
      <c r="C4571" s="27" t="s">
        <v>1131</v>
      </c>
      <c r="D4571" s="27" t="s">
        <v>1069</v>
      </c>
      <c r="E4571" s="21">
        <f>IF(D4571="?OLD","!!!","")</f>
        <v/>
      </c>
      <c r="F4571" s="22" t="str">
        <f>IF(OR(E4571="",E4571="!!!"),"",IF(NOT(ISNA(VLOOKUP(E4571,E$1:E4570,1,FALSE()))),"OLD",IF(AND(E4571&lt;&gt;"",E4571&lt;&gt;"!!!"),"NEW","")))</f>
        <v> </v>
      </c>
      <c r="G4571" s="23" t="str">
        <f>IF(OR(E4571="",E4571="!!!"),"",IF(OR(J4571=0,AND(J4571=1,K4571=1),AND(J4571=1,I4571="SBJ"),AND(J4571=1,I4571=0)),"?IN_FOCUS",IF(J4571&lt;=2,"?ACTIVATED",IF(J4571&lt;&gt;"","?FAMILIAR",IF(F4571="NEW",IF(ISNA(VLOOKUP(E4571,#REF!,1,FALSE())),"?TYPE_IDENTIFIABLE","?REFERENTIAL"),"_")))))</f>
        <v> </v>
      </c>
      <c r="H4571" s="24" t="str">
        <f>IF(J4571&lt;&gt;1,"",IF(I4571="SBJ","CB","?"))</f>
        <v> </v>
      </c>
      <c r="I4571" s="25" t="str">
        <f>IF(OR(E4571="",E4571="!!!",F4571="NEW"),"",INDEX(B4570:B$2,-1+SUMPRODUCT(MAX(ROW(E4570:E$2)*(E4571=E4570:E$2)))))</f>
        <v> </v>
      </c>
      <c r="J4571" s="25" t="str">
        <f>IF(OR(E4571="",E4571="!!!",F4571="NEW"),"",COUNTBLANK(OFFSET(A$1,,,SUMPRODUCT(MAX(ROW(E$2:E4571)*(E4571=E$2:E4571)))))-COUNTBLANK(OFFSET(A$1,,,SUMPRODUCT(MAX(ROW(E$1:E4570)*(E2=E$1:E4570))))))</f>
        <v> </v>
      </c>
      <c r="K4571" s="25" t="str">
        <f>IF(OR(E4571="",E4571="!!!",F4571="NEW"),"",INDEX(J$1:J4570,SUMPRODUCT(MAX(ROW(E$1:E4570)*(E4571=E$1:E4570)))))</f>
        <v> </v>
      </c>
      <c r="L4571" s="26"/>
    </row>
    <row r="4572" spans="1:12">
      <c r="A4572" s="20" t="s">
        <v>1708</v>
      </c>
      <c r="E4572" s="21">
        <f>IF(D4572="?OLD","!!!","")</f>
        <v/>
      </c>
      <c r="F4572" s="22" t="str">
        <f>IF(OR(E4572="",E4572="!!!"),"",IF(NOT(ISNA(VLOOKUP(E4572,E$1:E4571,1,FALSE()))),"OLD",IF(AND(E4572&lt;&gt;"",E4572&lt;&gt;"!!!"),"NEW","")))</f>
        <v> </v>
      </c>
      <c r="G4572" s="23" t="str">
        <f>IF(OR(E4572="",E4572="!!!"),"",IF(OR(J4572=0,AND(J4572=1,K4572=1),AND(J4572=1,I4572="SBJ"),AND(J4572=1,I4572=0)),"?IN_FOCUS",IF(J4572&lt;=2,"?ACTIVATED",IF(J4572&lt;&gt;"","?FAMILIAR",IF(F4572="NEW",IF(ISNA(VLOOKUP(E4572,#REF!,1,FALSE())),"?TYPE_IDENTIFIABLE","?REFERENTIAL"),"_")))))</f>
        <v> </v>
      </c>
      <c r="H4572" s="24" t="str">
        <f>IF(J4572&lt;&gt;1,"",IF(I4572="SBJ","CB","?"))</f>
        <v> </v>
      </c>
      <c r="I4572" s="25" t="str">
        <f>IF(OR(E4572="",E4572="!!!",F4572="NEW"),"",INDEX(B4571:B$2,-1+SUMPRODUCT(MAX(ROW(E4571:E$2)*(E4572=E4571:E$2)))))</f>
        <v> </v>
      </c>
      <c r="J4572" s="25" t="str">
        <f>IF(OR(E4572="",E4572="!!!",F4572="NEW"),"",COUNTBLANK(OFFSET(A$1,,,SUMPRODUCT(MAX(ROW(E$2:E4572)*(E4572=E$2:E4572)))))-COUNTBLANK(OFFSET(A$1,,,SUMPRODUCT(MAX(ROW(E$1:E4571)*(E2=E$1:E4571))))))</f>
        <v> </v>
      </c>
      <c r="K4572" s="25" t="str">
        <f>IF(OR(E4572="",E4572="!!!",F4572="NEW"),"",INDEX(J$1:J4571,SUMPRODUCT(MAX(ROW(E$1:E4571)*(E4572=E$1:E4571)))))</f>
        <v> </v>
      </c>
      <c r="L4572" s="26"/>
    </row>
    <row r="4573" spans="1:12">
      <c r="A4573" s="20" t="s">
        <v>1087</v>
      </c>
      <c r="E4573" s="21">
        <f>IF(D4573="?OLD","!!!","")</f>
        <v/>
      </c>
      <c r="F4573" s="22" t="str">
        <f>IF(OR(E4573="",E4573="!!!"),"",IF(NOT(ISNA(VLOOKUP(E4573,E$1:E4572,1,FALSE()))),"OLD",IF(AND(E4573&lt;&gt;"",E4573&lt;&gt;"!!!"),"NEW","")))</f>
        <v> </v>
      </c>
      <c r="G4573" s="23" t="str">
        <f>IF(OR(E4573="",E4573="!!!"),"",IF(OR(J4573=0,AND(J4573=1,K4573=1),AND(J4573=1,I4573="SBJ"),AND(J4573=1,I4573=0)),"?IN_FOCUS",IF(J4573&lt;=2,"?ACTIVATED",IF(J4573&lt;&gt;"","?FAMILIAR",IF(F4573="NEW",IF(ISNA(VLOOKUP(E4573,#REF!,1,FALSE())),"?TYPE_IDENTIFIABLE","?REFERENTIAL"),"_")))))</f>
        <v> </v>
      </c>
      <c r="H4573" s="24" t="str">
        <f>IF(J4573&lt;&gt;1,"",IF(I4573="SBJ","CB","?"))</f>
        <v> </v>
      </c>
      <c r="I4573" s="25" t="str">
        <f>IF(OR(E4573="",E4573="!!!",F4573="NEW"),"",INDEX(B4572:B$2,-1+SUMPRODUCT(MAX(ROW(E4572:E$2)*(E4573=E4572:E$2)))))</f>
        <v> </v>
      </c>
      <c r="J4573" s="25" t="str">
        <f>IF(OR(E4573="",E4573="!!!",F4573="NEW"),"",COUNTBLANK(OFFSET(A$1,,,SUMPRODUCT(MAX(ROW(E$2:E4573)*(E4573=E$2:E4573)))))-COUNTBLANK(OFFSET(A$1,,,SUMPRODUCT(MAX(ROW(E$1:E4572)*(E2=E$1:E4572))))))</f>
        <v> </v>
      </c>
      <c r="K4573" s="25" t="str">
        <f>IF(OR(E4573="",E4573="!!!",F4573="NEW"),"",INDEX(J$1:J4572,SUMPRODUCT(MAX(ROW(E$1:E4572)*(E4573=E$1:E4572)))))</f>
        <v> </v>
      </c>
      <c r="L4573" s="26"/>
    </row>
    <row r="4574" spans="1:12">
      <c r="A4574" s="20" t="s">
        <v>1191</v>
      </c>
      <c r="E4574" s="21">
        <f>IF(D4574="?OLD","!!!","")</f>
        <v/>
      </c>
      <c r="F4574" s="22" t="str">
        <f>IF(OR(E4574="",E4574="!!!"),"",IF(NOT(ISNA(VLOOKUP(E4574,E$1:E4573,1,FALSE()))),"OLD",IF(AND(E4574&lt;&gt;"",E4574&lt;&gt;"!!!"),"NEW","")))</f>
        <v> </v>
      </c>
      <c r="G4574" s="23" t="str">
        <f>IF(OR(E4574="",E4574="!!!"),"",IF(OR(J4574=0,AND(J4574=1,K4574=1),AND(J4574=1,I4574="SBJ"),AND(J4574=1,I4574=0)),"?IN_FOCUS",IF(J4574&lt;=2,"?ACTIVATED",IF(J4574&lt;&gt;"","?FAMILIAR",IF(F4574="NEW",IF(ISNA(VLOOKUP(E4574,#REF!,1,FALSE())),"?TYPE_IDENTIFIABLE","?REFERENTIAL"),"_")))))</f>
        <v> </v>
      </c>
      <c r="H4574" s="24" t="str">
        <f>IF(J4574&lt;&gt;1,"",IF(I4574="SBJ","CB","?"))</f>
        <v> </v>
      </c>
      <c r="I4574" s="25" t="str">
        <f>IF(OR(E4574="",E4574="!!!",F4574="NEW"),"",INDEX(B4573:B$2,-1+SUMPRODUCT(MAX(ROW(E4573:E$2)*(E4574=E4573:E$2)))))</f>
        <v> </v>
      </c>
      <c r="J4574" s="25" t="str">
        <f>IF(OR(E4574="",E4574="!!!",F4574="NEW"),"",COUNTBLANK(OFFSET(A$1,,,SUMPRODUCT(MAX(ROW(E$2:E4574)*(E4574=E$2:E4574)))))-COUNTBLANK(OFFSET(A$1,,,SUMPRODUCT(MAX(ROW(E$1:E4573)*(E2=E$1:E4573))))))</f>
        <v> </v>
      </c>
      <c r="K4574" s="25" t="str">
        <f>IF(OR(E4574="",E4574="!!!",F4574="NEW"),"",INDEX(J$1:J4573,SUMPRODUCT(MAX(ROW(E$1:E4573)*(E4574=E$1:E4573)))))</f>
        <v> </v>
      </c>
      <c r="L4574" s="26"/>
    </row>
    <row r="4575" spans="1:12">
      <c r="A4575" s="20" t="s">
        <v>1167</v>
      </c>
      <c r="B4575" s="27" t="s">
        <v>1235</v>
      </c>
      <c r="C4575" s="27" t="s">
        <v>1068</v>
      </c>
      <c r="D4575" s="27" t="s">
        <v>1069</v>
      </c>
      <c r="E4575" s="21">
        <f>IF(D4575="?OLD","!!!","")</f>
        <v/>
      </c>
      <c r="F4575" s="22" t="str">
        <f>IF(OR(E4575="",E4575="!!!"),"",IF(NOT(ISNA(VLOOKUP(E4575,E$1:E4574,1,FALSE()))),"OLD",IF(AND(E4575&lt;&gt;"",E4575&lt;&gt;"!!!"),"NEW","")))</f>
        <v> </v>
      </c>
      <c r="G4575" s="23" t="str">
        <f>IF(OR(E4575="",E4575="!!!"),"",IF(OR(J4575=0,AND(J4575=1,K4575=1),AND(J4575=1,I4575="SBJ"),AND(J4575=1,I4575=0)),"?IN_FOCUS",IF(J4575&lt;=2,"?ACTIVATED",IF(J4575&lt;&gt;"","?FAMILIAR",IF(F4575="NEW",IF(ISNA(VLOOKUP(E4575,#REF!,1,FALSE())),"?TYPE_IDENTIFIABLE","?REFERENTIAL"),"_")))))</f>
        <v> </v>
      </c>
      <c r="H4575" s="24" t="str">
        <f>IF(J4575&lt;&gt;1,"",IF(I4575="SBJ","CB","?"))</f>
        <v> </v>
      </c>
      <c r="I4575" s="25" t="str">
        <f>IF(OR(E4575="",E4575="!!!",F4575="NEW"),"",INDEX(B4574:B$2,-1+SUMPRODUCT(MAX(ROW(E4574:E$2)*(E4575=E4574:E$2)))))</f>
        <v> </v>
      </c>
      <c r="J4575" s="25" t="str">
        <f>IF(OR(E4575="",E4575="!!!",F4575="NEW"),"",COUNTBLANK(OFFSET(A$1,,,SUMPRODUCT(MAX(ROW(E$2:E4575)*(E4575=E$2:E4575)))))-COUNTBLANK(OFFSET(A$1,,,SUMPRODUCT(MAX(ROW(E$1:E4574)*(E2=E$1:E4574))))))</f>
        <v> </v>
      </c>
      <c r="K4575" s="25" t="str">
        <f>IF(OR(E4575="",E4575="!!!",F4575="NEW"),"",INDEX(J$1:J4574,SUMPRODUCT(MAX(ROW(E$1:E4574)*(E4575=E$1:E4574)))))</f>
        <v> </v>
      </c>
      <c r="L4575" s="26"/>
    </row>
    <row r="4576" spans="1:12">
      <c r="A4576" s="20" t="s">
        <v>1138</v>
      </c>
      <c r="E4576" s="21">
        <f>IF(D4576="?OLD","!!!","")</f>
        <v/>
      </c>
      <c r="F4576" s="22" t="str">
        <f>IF(OR(E4576="",E4576="!!!"),"",IF(NOT(ISNA(VLOOKUP(E4576,E$1:E4575,1,FALSE()))),"OLD",IF(AND(E4576&lt;&gt;"",E4576&lt;&gt;"!!!"),"NEW","")))</f>
        <v> </v>
      </c>
      <c r="G4576" s="23" t="str">
        <f>IF(OR(E4576="",E4576="!!!"),"",IF(OR(J4576=0,AND(J4576=1,K4576=1),AND(J4576=1,I4576="SBJ"),AND(J4576=1,I4576=0)),"?IN_FOCUS",IF(J4576&lt;=2,"?ACTIVATED",IF(J4576&lt;&gt;"","?FAMILIAR",IF(F4576="NEW",IF(ISNA(VLOOKUP(E4576,#REF!,1,FALSE())),"?TYPE_IDENTIFIABLE","?REFERENTIAL"),"_")))))</f>
        <v> </v>
      </c>
      <c r="H4576" s="24" t="str">
        <f>IF(J4576&lt;&gt;1,"",IF(I4576="SBJ","CB","?"))</f>
        <v> </v>
      </c>
      <c r="I4576" s="25" t="str">
        <f>IF(OR(E4576="",E4576="!!!",F4576="NEW"),"",INDEX(B4575:B$2,-1+SUMPRODUCT(MAX(ROW(E4575:E$2)*(E4576=E4575:E$2)))))</f>
        <v> </v>
      </c>
      <c r="J4576" s="25" t="str">
        <f>IF(OR(E4576="",E4576="!!!",F4576="NEW"),"",COUNTBLANK(OFFSET(A$1,,,SUMPRODUCT(MAX(ROW(E$2:E4576)*(E4576=E$2:E4576)))))-COUNTBLANK(OFFSET(A$1,,,SUMPRODUCT(MAX(ROW(E$1:E4575)*(E2=E$1:E4575))))))</f>
        <v> </v>
      </c>
      <c r="K4576" s="25" t="str">
        <f>IF(OR(E4576="",E4576="!!!",F4576="NEW"),"",INDEX(J$1:J4575,SUMPRODUCT(MAX(ROW(E$1:E4575)*(E4576=E$1:E4575)))))</f>
        <v> </v>
      </c>
      <c r="L4576" s="26"/>
    </row>
    <row r="4577" spans="1:12">
      <c r="A4577" s="20" t="s">
        <v>1552</v>
      </c>
      <c r="E4577" s="21">
        <f>IF(D4577="?OLD","!!!","")</f>
        <v/>
      </c>
      <c r="F4577" s="22" t="str">
        <f>IF(OR(E4577="",E4577="!!!"),"",IF(NOT(ISNA(VLOOKUP(E4577,E$1:E4576,1,FALSE()))),"OLD",IF(AND(E4577&lt;&gt;"",E4577&lt;&gt;"!!!"),"NEW","")))</f>
        <v> </v>
      </c>
      <c r="G4577" s="23" t="str">
        <f>IF(OR(E4577="",E4577="!!!"),"",IF(OR(J4577=0,AND(J4577=1,K4577=1),AND(J4577=1,I4577="SBJ"),AND(J4577=1,I4577=0)),"?IN_FOCUS",IF(J4577&lt;=2,"?ACTIVATED",IF(J4577&lt;&gt;"","?FAMILIAR",IF(F4577="NEW",IF(ISNA(VLOOKUP(E4577,#REF!,1,FALSE())),"?TYPE_IDENTIFIABLE","?REFERENTIAL"),"_")))))</f>
        <v> </v>
      </c>
      <c r="H4577" s="24" t="str">
        <f>IF(J4577&lt;&gt;1,"",IF(I4577="SBJ","CB","?"))</f>
        <v> </v>
      </c>
      <c r="I4577" s="25" t="str">
        <f>IF(OR(E4577="",E4577="!!!",F4577="NEW"),"",INDEX(B4576:B$2,-1+SUMPRODUCT(MAX(ROW(E4576:E$2)*(E4577=E4576:E$2)))))</f>
        <v> </v>
      </c>
      <c r="J4577" s="25" t="str">
        <f>IF(OR(E4577="",E4577="!!!",F4577="NEW"),"",COUNTBLANK(OFFSET(A$1,,,SUMPRODUCT(MAX(ROW(E$2:E4577)*(E4577=E$2:E4577)))))-COUNTBLANK(OFFSET(A$1,,,SUMPRODUCT(MAX(ROW(E$1:E4576)*(E2=E$1:E4576))))))</f>
        <v> </v>
      </c>
      <c r="K4577" s="25" t="str">
        <f>IF(OR(E4577="",E4577="!!!",F4577="NEW"),"",INDEX(J$1:J4576,SUMPRODUCT(MAX(ROW(E$1:E4576)*(E4577=E$1:E4576)))))</f>
        <v> </v>
      </c>
      <c r="L4577" s="26"/>
    </row>
    <row r="4578" spans="1:12">
      <c r="A4578" s="20" t="s">
        <v>1351</v>
      </c>
      <c r="B4578" s="27" t="s">
        <v>1067</v>
      </c>
      <c r="C4578" s="27" t="s">
        <v>1072</v>
      </c>
      <c r="E4578" s="21">
        <f>IF(D4578="?OLD","!!!","")</f>
        <v/>
      </c>
      <c r="F4578" s="22" t="str">
        <f>IF(OR(E4578="",E4578="!!!"),"",IF(NOT(ISNA(VLOOKUP(E4578,E$1:E4577,1,FALSE()))),"OLD",IF(AND(E4578&lt;&gt;"",E4578&lt;&gt;"!!!"),"NEW","")))</f>
        <v> </v>
      </c>
      <c r="G4578" s="23" t="str">
        <f>IF(OR(E4578="",E4578="!!!"),"",IF(OR(J4578=0,AND(J4578=1,K4578=1),AND(J4578=1,I4578="SBJ"),AND(J4578=1,I4578=0)),"?IN_FOCUS",IF(J4578&lt;=2,"?ACTIVATED",IF(J4578&lt;&gt;"","?FAMILIAR",IF(F4578="NEW",IF(ISNA(VLOOKUP(E4578,#REF!,1,FALSE())),"?TYPE_IDENTIFIABLE","?REFERENTIAL"),"_")))))</f>
        <v> </v>
      </c>
      <c r="H4578" s="24" t="str">
        <f>IF(J4578&lt;&gt;1,"",IF(I4578="SBJ","CB","?"))</f>
        <v> </v>
      </c>
      <c r="I4578" s="25" t="str">
        <f>IF(OR(E4578="",E4578="!!!",F4578="NEW"),"",INDEX(B4577:B$2,-1+SUMPRODUCT(MAX(ROW(E4577:E$2)*(E4578=E4577:E$2)))))</f>
        <v> </v>
      </c>
      <c r="J4578" s="25" t="str">
        <f>IF(OR(E4578="",E4578="!!!",F4578="NEW"),"",COUNTBLANK(OFFSET(A$1,,,SUMPRODUCT(MAX(ROW(E$2:E4578)*(E4578=E$2:E4578)))))-COUNTBLANK(OFFSET(A$1,,,SUMPRODUCT(MAX(ROW(E$1:E4577)*(E2=E$1:E4577))))))</f>
        <v> </v>
      </c>
      <c r="K4578" s="25" t="str">
        <f>IF(OR(E4578="",E4578="!!!",F4578="NEW"),"",INDEX(J$1:J4577,SUMPRODUCT(MAX(ROW(E$1:E4577)*(E4578=E$1:E4577)))))</f>
        <v> </v>
      </c>
      <c r="L4578" s="26"/>
    </row>
    <row r="4579" spans="1:12">
      <c r="A4579" s="20" t="s">
        <v>1070</v>
      </c>
      <c r="E4579" s="21">
        <f>IF(D4579="?OLD","!!!","")</f>
        <v/>
      </c>
      <c r="F4579" s="22" t="str">
        <f>IF(OR(E4579="",E4579="!!!"),"",IF(NOT(ISNA(VLOOKUP(E4579,E$1:E4578,1,FALSE()))),"OLD",IF(AND(E4579&lt;&gt;"",E4579&lt;&gt;"!!!"),"NEW","")))</f>
        <v> </v>
      </c>
      <c r="G4579" s="23" t="str">
        <f>IF(OR(E4579="",E4579="!!!"),"",IF(OR(J4579=0,AND(J4579=1,K4579=1),AND(J4579=1,I4579="SBJ"),AND(J4579=1,I4579=0)),"?IN_FOCUS",IF(J4579&lt;=2,"?ACTIVATED",IF(J4579&lt;&gt;"","?FAMILIAR",IF(F4579="NEW",IF(ISNA(VLOOKUP(E4579,#REF!,1,FALSE())),"?TYPE_IDENTIFIABLE","?REFERENTIAL"),"_")))))</f>
        <v> </v>
      </c>
      <c r="H4579" s="24" t="str">
        <f>IF(J4579&lt;&gt;1,"",IF(I4579="SBJ","CB","?"))</f>
        <v> </v>
      </c>
      <c r="I4579" s="25" t="str">
        <f>IF(OR(E4579="",E4579="!!!",F4579="NEW"),"",INDEX(B4578:B$2,-1+SUMPRODUCT(MAX(ROW(E4578:E$2)*(E4579=E4578:E$2)))))</f>
        <v> </v>
      </c>
      <c r="J4579" s="25" t="str">
        <f>IF(OR(E4579="",E4579="!!!",F4579="NEW"),"",COUNTBLANK(OFFSET(A$1,,,SUMPRODUCT(MAX(ROW(E$2:E4579)*(E4579=E$2:E4579)))))-COUNTBLANK(OFFSET(A$1,,,SUMPRODUCT(MAX(ROW(E$1:E4578)*(E2=E$1:E4578))))))</f>
        <v> </v>
      </c>
      <c r="K4579" s="25" t="str">
        <f>IF(OR(E4579="",E4579="!!!",F4579="NEW"),"",INDEX(J$1:J4578,SUMPRODUCT(MAX(ROW(E$1:E4578)*(E4579=E$1:E4578)))))</f>
        <v> </v>
      </c>
      <c r="L4579" s="26"/>
    </row>
    <row r="4580" spans="1:12">
      <c r="A4580" s="20" t="s">
        <v>1159</v>
      </c>
      <c r="B4580" s="27" t="s">
        <v>1160</v>
      </c>
      <c r="C4580" s="27" t="s">
        <v>1110</v>
      </c>
      <c r="D4580" s="27" t="s">
        <v>1069</v>
      </c>
      <c r="E4580" s="21">
        <f>IF(D4580="?OLD","!!!","")</f>
        <v/>
      </c>
      <c r="F4580" s="22" t="str">
        <f>IF(OR(E4580="",E4580="!!!"),"",IF(NOT(ISNA(VLOOKUP(E4580,E$1:E4579,1,FALSE()))),"OLD",IF(AND(E4580&lt;&gt;"",E4580&lt;&gt;"!!!"),"NEW","")))</f>
        <v> </v>
      </c>
      <c r="G4580" s="23" t="str">
        <f>IF(OR(E4580="",E4580="!!!"),"",IF(OR(J4580=0,AND(J4580=1,K4580=1),AND(J4580=1,I4580="SBJ"),AND(J4580=1,I4580=0)),"?IN_FOCUS",IF(J4580&lt;=2,"?ACTIVATED",IF(J4580&lt;&gt;"","?FAMILIAR",IF(F4580="NEW",IF(ISNA(VLOOKUP(E4580,#REF!,1,FALSE())),"?TYPE_IDENTIFIABLE","?REFERENTIAL"),"_")))))</f>
        <v> </v>
      </c>
      <c r="H4580" s="24" t="str">
        <f>IF(J4580&lt;&gt;1,"",IF(I4580="SBJ","CB","?"))</f>
        <v> </v>
      </c>
      <c r="I4580" s="25" t="str">
        <f>IF(OR(E4580="",E4580="!!!",F4580="NEW"),"",INDEX(B4579:B$2,-1+SUMPRODUCT(MAX(ROW(E4579:E$2)*(E4580=E4579:E$2)))))</f>
        <v> </v>
      </c>
      <c r="J4580" s="25" t="str">
        <f>IF(OR(E4580="",E4580="!!!",F4580="NEW"),"",COUNTBLANK(OFFSET(A$1,,,SUMPRODUCT(MAX(ROW(E$2:E4580)*(E4580=E$2:E4580)))))-COUNTBLANK(OFFSET(A$1,,,SUMPRODUCT(MAX(ROW(E$1:E4579)*(E2=E$1:E4579))))))</f>
        <v> </v>
      </c>
      <c r="K4580" s="25" t="str">
        <f>IF(OR(E4580="",E4580="!!!",F4580="NEW"),"",INDEX(J$1:J4579,SUMPRODUCT(MAX(ROW(E$1:E4579)*(E4580=E$1:E4579)))))</f>
        <v> </v>
      </c>
      <c r="L4580" s="26"/>
    </row>
    <row r="4581" spans="1:12">
      <c r="A4581" s="20" t="s">
        <v>2416</v>
      </c>
      <c r="E4581" s="21">
        <f>IF(D4581="?OLD","!!!","")</f>
        <v/>
      </c>
      <c r="F4581" s="22" t="str">
        <f>IF(OR(E4581="",E4581="!!!"),"",IF(NOT(ISNA(VLOOKUP(E4581,E$1:E4580,1,FALSE()))),"OLD",IF(AND(E4581&lt;&gt;"",E4581&lt;&gt;"!!!"),"NEW","")))</f>
        <v> </v>
      </c>
      <c r="G4581" s="23" t="str">
        <f>IF(OR(E4581="",E4581="!!!"),"",IF(OR(J4581=0,AND(J4581=1,K4581=1),AND(J4581=1,I4581="SBJ"),AND(J4581=1,I4581=0)),"?IN_FOCUS",IF(J4581&lt;=2,"?ACTIVATED",IF(J4581&lt;&gt;"","?FAMILIAR",IF(F4581="NEW",IF(ISNA(VLOOKUP(E4581,#REF!,1,FALSE())),"?TYPE_IDENTIFIABLE","?REFERENTIAL"),"_")))))</f>
        <v> </v>
      </c>
      <c r="H4581" s="24" t="str">
        <f>IF(J4581&lt;&gt;1,"",IF(I4581="SBJ","CB","?"))</f>
        <v> </v>
      </c>
      <c r="I4581" s="25" t="str">
        <f>IF(OR(E4581="",E4581="!!!",F4581="NEW"),"",INDEX(B4580:B$2,-1+SUMPRODUCT(MAX(ROW(E4580:E$2)*(E4581=E4580:E$2)))))</f>
        <v> </v>
      </c>
      <c r="J4581" s="25" t="str">
        <f>IF(OR(E4581="",E4581="!!!",F4581="NEW"),"",COUNTBLANK(OFFSET(A$1,,,SUMPRODUCT(MAX(ROW(E$2:E4581)*(E4581=E$2:E4581)))))-COUNTBLANK(OFFSET(A$1,,,SUMPRODUCT(MAX(ROW(E$1:E4580)*(E2=E$1:E4580))))))</f>
        <v> </v>
      </c>
      <c r="K4581" s="25" t="str">
        <f>IF(OR(E4581="",E4581="!!!",F4581="NEW"),"",INDEX(J$1:J4580,SUMPRODUCT(MAX(ROW(E$1:E4580)*(E4581=E$1:E4580)))))</f>
        <v> </v>
      </c>
      <c r="L4581" s="26"/>
    </row>
    <row r="4582" spans="1:12">
      <c r="A4582" s="20" t="s">
        <v>1268</v>
      </c>
      <c r="E4582" s="21">
        <f>IF(D4582="?OLD","!!!","")</f>
        <v/>
      </c>
      <c r="F4582" s="22" t="str">
        <f>IF(OR(E4582="",E4582="!!!"),"",IF(NOT(ISNA(VLOOKUP(E4582,E$1:E4581,1,FALSE()))),"OLD",IF(AND(E4582&lt;&gt;"",E4582&lt;&gt;"!!!"),"NEW","")))</f>
        <v> </v>
      </c>
      <c r="G4582" s="23" t="str">
        <f>IF(OR(E4582="",E4582="!!!"),"",IF(OR(J4582=0,AND(J4582=1,K4582=1),AND(J4582=1,I4582="SBJ"),AND(J4582=1,I4582=0)),"?IN_FOCUS",IF(J4582&lt;=2,"?ACTIVATED",IF(J4582&lt;&gt;"","?FAMILIAR",IF(F4582="NEW",IF(ISNA(VLOOKUP(E4582,#REF!,1,FALSE())),"?TYPE_IDENTIFIABLE","?REFERENTIAL"),"_")))))</f>
        <v> </v>
      </c>
      <c r="H4582" s="24" t="str">
        <f>IF(J4582&lt;&gt;1,"",IF(I4582="SBJ","CB","?"))</f>
        <v> </v>
      </c>
      <c r="I4582" s="25" t="str">
        <f>IF(OR(E4582="",E4582="!!!",F4582="NEW"),"",INDEX(B4581:B$2,-1+SUMPRODUCT(MAX(ROW(E4581:E$2)*(E4582=E4581:E$2)))))</f>
        <v> </v>
      </c>
      <c r="J4582" s="25" t="str">
        <f>IF(OR(E4582="",E4582="!!!",F4582="NEW"),"",COUNTBLANK(OFFSET(A$1,,,SUMPRODUCT(MAX(ROW(E$2:E4582)*(E4582=E$2:E4582)))))-COUNTBLANK(OFFSET(A$1,,,SUMPRODUCT(MAX(ROW(E$1:E4581)*(E2=E$1:E4581))))))</f>
        <v> </v>
      </c>
      <c r="K4582" s="25" t="str">
        <f>IF(OR(E4582="",E4582="!!!",F4582="NEW"),"",INDEX(J$1:J4581,SUMPRODUCT(MAX(ROW(E$1:E4581)*(E4582=E$1:E4581)))))</f>
        <v> </v>
      </c>
      <c r="L4582" s="26"/>
    </row>
    <row r="4583" spans="1:12">
      <c r="A4583" s="20" t="s">
        <v>1087</v>
      </c>
      <c r="E4583" s="21">
        <f>IF(D4583="?OLD","!!!","")</f>
        <v/>
      </c>
      <c r="F4583" s="22" t="str">
        <f>IF(OR(E4583="",E4583="!!!"),"",IF(NOT(ISNA(VLOOKUP(E4583,E$1:E4582,1,FALSE()))),"OLD",IF(AND(E4583&lt;&gt;"",E4583&lt;&gt;"!!!"),"NEW","")))</f>
        <v> </v>
      </c>
      <c r="G4583" s="23" t="str">
        <f>IF(OR(E4583="",E4583="!!!"),"",IF(OR(J4583=0,AND(J4583=1,K4583=1),AND(J4583=1,I4583="SBJ"),AND(J4583=1,I4583=0)),"?IN_FOCUS",IF(J4583&lt;=2,"?ACTIVATED",IF(J4583&lt;&gt;"","?FAMILIAR",IF(F4583="NEW",IF(ISNA(VLOOKUP(E4583,#REF!,1,FALSE())),"?TYPE_IDENTIFIABLE","?REFERENTIAL"),"_")))))</f>
        <v> </v>
      </c>
      <c r="H4583" s="24" t="str">
        <f>IF(J4583&lt;&gt;1,"",IF(I4583="SBJ","CB","?"))</f>
        <v> </v>
      </c>
      <c r="I4583" s="25" t="str">
        <f>IF(OR(E4583="",E4583="!!!",F4583="NEW"),"",INDEX(B4582:B$2,-1+SUMPRODUCT(MAX(ROW(E4582:E$2)*(E4583=E4582:E$2)))))</f>
        <v> </v>
      </c>
      <c r="J4583" s="25" t="str">
        <f>IF(OR(E4583="",E4583="!!!",F4583="NEW"),"",COUNTBLANK(OFFSET(A$1,,,SUMPRODUCT(MAX(ROW(E$2:E4583)*(E4583=E$2:E4583)))))-COUNTBLANK(OFFSET(A$1,,,SUMPRODUCT(MAX(ROW(E$1:E4582)*(E2=E$1:E4582))))))</f>
        <v> </v>
      </c>
      <c r="K4583" s="25" t="str">
        <f>IF(OR(E4583="",E4583="!!!",F4583="NEW"),"",INDEX(J$1:J4582,SUMPRODUCT(MAX(ROW(E$1:E4582)*(E4583=E$1:E4582)))))</f>
        <v> </v>
      </c>
      <c r="L4583" s="26"/>
    </row>
    <row r="4584" spans="1:12">
      <c r="A4584" s="20" t="s">
        <v>1078</v>
      </c>
      <c r="E4584" s="21">
        <f>IF(D4584="?OLD","!!!","")</f>
        <v/>
      </c>
      <c r="F4584" s="22" t="str">
        <f>IF(OR(E4584="",E4584="!!!"),"",IF(NOT(ISNA(VLOOKUP(E4584,E$1:E4583,1,FALSE()))),"OLD",IF(AND(E4584&lt;&gt;"",E4584&lt;&gt;"!!!"),"NEW","")))</f>
        <v> </v>
      </c>
      <c r="G4584" s="23" t="str">
        <f>IF(OR(E4584="",E4584="!!!"),"",IF(OR(J4584=0,AND(J4584=1,K4584=1),AND(J4584=1,I4584="SBJ"),AND(J4584=1,I4584=0)),"?IN_FOCUS",IF(J4584&lt;=2,"?ACTIVATED",IF(J4584&lt;&gt;"","?FAMILIAR",IF(F4584="NEW",IF(ISNA(VLOOKUP(E4584,#REF!,1,FALSE())),"?TYPE_IDENTIFIABLE","?REFERENTIAL"),"_")))))</f>
        <v> </v>
      </c>
      <c r="H4584" s="24" t="str">
        <f>IF(J4584&lt;&gt;1,"",IF(I4584="SBJ","CB","?"))</f>
        <v> </v>
      </c>
      <c r="I4584" s="25" t="str">
        <f>IF(OR(E4584="",E4584="!!!",F4584="NEW"),"",INDEX(B4583:B$2,-1+SUMPRODUCT(MAX(ROW(E4583:E$2)*(E4584=E4583:E$2)))))</f>
        <v> </v>
      </c>
      <c r="J4584" s="25" t="str">
        <f>IF(OR(E4584="",E4584="!!!",F4584="NEW"),"",COUNTBLANK(OFFSET(A$1,,,SUMPRODUCT(MAX(ROW(E$2:E4584)*(E4584=E$2:E4584)))))-COUNTBLANK(OFFSET(A$1,,,SUMPRODUCT(MAX(ROW(E$1:E4583)*(E2=E$1:E4583))))))</f>
        <v> </v>
      </c>
      <c r="K4584" s="25" t="str">
        <f>IF(OR(E4584="",E4584="!!!",F4584="NEW"),"",INDEX(J$1:J4583,SUMPRODUCT(MAX(ROW(E$1:E4583)*(E4584=E$1:E4583)))))</f>
        <v> </v>
      </c>
      <c r="L4584" s="26"/>
    </row>
    <row r="4585" spans="1:12">
      <c r="A4585" s="20" t="s">
        <v>2417</v>
      </c>
      <c r="E4585" s="21">
        <f>IF(D4585="?OLD","!!!","")</f>
        <v/>
      </c>
      <c r="F4585" s="22" t="str">
        <f>IF(OR(E4585="",E4585="!!!"),"",IF(NOT(ISNA(VLOOKUP(E4585,E$1:E4584,1,FALSE()))),"OLD",IF(AND(E4585&lt;&gt;"",E4585&lt;&gt;"!!!"),"NEW","")))</f>
        <v> </v>
      </c>
      <c r="G4585" s="23" t="str">
        <f>IF(OR(E4585="",E4585="!!!"),"",IF(OR(J4585=0,AND(J4585=1,K4585=1),AND(J4585=1,I4585="SBJ"),AND(J4585=1,I4585=0)),"?IN_FOCUS",IF(J4585&lt;=2,"?ACTIVATED",IF(J4585&lt;&gt;"","?FAMILIAR",IF(F4585="NEW",IF(ISNA(VLOOKUP(E4585,#REF!,1,FALSE())),"?TYPE_IDENTIFIABLE","?REFERENTIAL"),"_")))))</f>
        <v> </v>
      </c>
      <c r="H4585" s="24" t="str">
        <f>IF(J4585&lt;&gt;1,"",IF(I4585="SBJ","CB","?"))</f>
        <v> </v>
      </c>
      <c r="I4585" s="25" t="str">
        <f>IF(OR(E4585="",E4585="!!!",F4585="NEW"),"",INDEX(B4584:B$2,-1+SUMPRODUCT(MAX(ROW(E4584:E$2)*(E4585=E4584:E$2)))))</f>
        <v> </v>
      </c>
      <c r="J4585" s="25" t="str">
        <f>IF(OR(E4585="",E4585="!!!",F4585="NEW"),"",COUNTBLANK(OFFSET(A$1,,,SUMPRODUCT(MAX(ROW(E$2:E4585)*(E4585=E$2:E4585)))))-COUNTBLANK(OFFSET(A$1,,,SUMPRODUCT(MAX(ROW(E$1:E4584)*(E2=E$1:E4584))))))</f>
        <v> </v>
      </c>
      <c r="K4585" s="25" t="str">
        <f>IF(OR(E4585="",E4585="!!!",F4585="NEW"),"",INDEX(J$1:J4584,SUMPRODUCT(MAX(ROW(E$1:E4584)*(E4585=E$1:E4584)))))</f>
        <v> </v>
      </c>
      <c r="L4585" s="26"/>
    </row>
    <row r="4586" spans="1:12">
      <c r="A4586" s="20" t="s">
        <v>1753</v>
      </c>
      <c r="E4586" s="21">
        <f>IF(D4586="?OLD","!!!","")</f>
        <v/>
      </c>
      <c r="F4586" s="22" t="str">
        <f>IF(OR(E4586="",E4586="!!!"),"",IF(NOT(ISNA(VLOOKUP(E4586,E$1:E4585,1,FALSE()))),"OLD",IF(AND(E4586&lt;&gt;"",E4586&lt;&gt;"!!!"),"NEW","")))</f>
        <v> </v>
      </c>
      <c r="G4586" s="23" t="str">
        <f>IF(OR(E4586="",E4586="!!!"),"",IF(OR(J4586=0,AND(J4586=1,K4586=1),AND(J4586=1,I4586="SBJ"),AND(J4586=1,I4586=0)),"?IN_FOCUS",IF(J4586&lt;=2,"?ACTIVATED",IF(J4586&lt;&gt;"","?FAMILIAR",IF(F4586="NEW",IF(ISNA(VLOOKUP(E4586,#REF!,1,FALSE())),"?TYPE_IDENTIFIABLE","?REFERENTIAL"),"_")))))</f>
        <v> </v>
      </c>
      <c r="H4586" s="24" t="str">
        <f>IF(J4586&lt;&gt;1,"",IF(I4586="SBJ","CB","?"))</f>
        <v> </v>
      </c>
      <c r="I4586" s="25" t="str">
        <f>IF(OR(E4586="",E4586="!!!",F4586="NEW"),"",INDEX(B4585:B$2,-1+SUMPRODUCT(MAX(ROW(E4585:E$2)*(E4586=E4585:E$2)))))</f>
        <v> </v>
      </c>
      <c r="J4586" s="25" t="str">
        <f>IF(OR(E4586="",E4586="!!!",F4586="NEW"),"",COUNTBLANK(OFFSET(A$1,,,SUMPRODUCT(MAX(ROW(E$2:E4586)*(E4586=E$2:E4586)))))-COUNTBLANK(OFFSET(A$1,,,SUMPRODUCT(MAX(ROW(E$1:E4585)*(E2=E$1:E4585))))))</f>
        <v> </v>
      </c>
      <c r="K4586" s="25" t="str">
        <f>IF(OR(E4586="",E4586="!!!",F4586="NEW"),"",INDEX(J$1:J4585,SUMPRODUCT(MAX(ROW(E$1:E4585)*(E4586=E$1:E4585)))))</f>
        <v> </v>
      </c>
      <c r="L4586" s="26"/>
    </row>
    <row r="4587" spans="1:12">
      <c r="A4587" s="20" t="s">
        <v>1291</v>
      </c>
      <c r="E4587" s="21">
        <f>IF(D4587="?OLD","!!!","")</f>
        <v/>
      </c>
      <c r="F4587" s="22" t="str">
        <f>IF(OR(E4587="",E4587="!!!"),"",IF(NOT(ISNA(VLOOKUP(E4587,E$1:E4586,1,FALSE()))),"OLD",IF(AND(E4587&lt;&gt;"",E4587&lt;&gt;"!!!"),"NEW","")))</f>
        <v> </v>
      </c>
      <c r="G4587" s="23" t="str">
        <f>IF(OR(E4587="",E4587="!!!"),"",IF(OR(J4587=0,AND(J4587=1,K4587=1),AND(J4587=1,I4587="SBJ"),AND(J4587=1,I4587=0)),"?IN_FOCUS",IF(J4587&lt;=2,"?ACTIVATED",IF(J4587&lt;&gt;"","?FAMILIAR",IF(F4587="NEW",IF(ISNA(VLOOKUP(E4587,#REF!,1,FALSE())),"?TYPE_IDENTIFIABLE","?REFERENTIAL"),"_")))))</f>
        <v> </v>
      </c>
      <c r="H4587" s="24" t="str">
        <f>IF(J4587&lt;&gt;1,"",IF(I4587="SBJ","CB","?"))</f>
        <v> </v>
      </c>
      <c r="I4587" s="25" t="str">
        <f>IF(OR(E4587="",E4587="!!!",F4587="NEW"),"",INDEX(B4586:B$2,-1+SUMPRODUCT(MAX(ROW(E4586:E$2)*(E4587=E4586:E$2)))))</f>
        <v> </v>
      </c>
      <c r="J4587" s="25" t="str">
        <f>IF(OR(E4587="",E4587="!!!",F4587="NEW"),"",COUNTBLANK(OFFSET(A$1,,,SUMPRODUCT(MAX(ROW(E$2:E4587)*(E4587=E$2:E4587)))))-COUNTBLANK(OFFSET(A$1,,,SUMPRODUCT(MAX(ROW(E$1:E4586)*(E2=E$1:E4586))))))</f>
        <v> </v>
      </c>
      <c r="K4587" s="25" t="str">
        <f>IF(OR(E4587="",E4587="!!!",F4587="NEW"),"",INDEX(J$1:J4586,SUMPRODUCT(MAX(ROW(E$1:E4586)*(E4587=E$1:E4586)))))</f>
        <v> </v>
      </c>
      <c r="L4587" s="26"/>
    </row>
    <row r="4588" spans="1:12">
      <c r="A4588" s="20" t="s">
        <v>2418</v>
      </c>
      <c r="B4588" s="27" t="s">
        <v>1071</v>
      </c>
      <c r="C4588" s="27" t="s">
        <v>1120</v>
      </c>
      <c r="E4588" s="21">
        <f>IF(D4588="?OLD","!!!","")</f>
        <v/>
      </c>
      <c r="F4588" s="22" t="str">
        <f>IF(OR(E4588="",E4588="!!!"),"",IF(NOT(ISNA(VLOOKUP(E4588,E$1:E4587,1,FALSE()))),"OLD",IF(AND(E4588&lt;&gt;"",E4588&lt;&gt;"!!!"),"NEW","")))</f>
        <v> </v>
      </c>
      <c r="G4588" s="23" t="str">
        <f>IF(OR(E4588="",E4588="!!!"),"",IF(OR(J4588=0,AND(J4588=1,K4588=1),AND(J4588=1,I4588="SBJ"),AND(J4588=1,I4588=0)),"?IN_FOCUS",IF(J4588&lt;=2,"?ACTIVATED",IF(J4588&lt;&gt;"","?FAMILIAR",IF(F4588="NEW",IF(ISNA(VLOOKUP(E4588,#REF!,1,FALSE())),"?TYPE_IDENTIFIABLE","?REFERENTIAL"),"_")))))</f>
        <v> </v>
      </c>
      <c r="H4588" s="24" t="str">
        <f>IF(J4588&lt;&gt;1,"",IF(I4588="SBJ","CB","?"))</f>
        <v> </v>
      </c>
      <c r="I4588" s="25" t="str">
        <f>IF(OR(E4588="",E4588="!!!",F4588="NEW"),"",INDEX(B4587:B$2,-1+SUMPRODUCT(MAX(ROW(E4587:E$2)*(E4588=E4587:E$2)))))</f>
        <v> </v>
      </c>
      <c r="J4588" s="25" t="str">
        <f>IF(OR(E4588="",E4588="!!!",F4588="NEW"),"",COUNTBLANK(OFFSET(A$1,,,SUMPRODUCT(MAX(ROW(E$2:E4588)*(E4588=E$2:E4588)))))-COUNTBLANK(OFFSET(A$1,,,SUMPRODUCT(MAX(ROW(E$1:E4587)*(E2=E$1:E4587))))))</f>
        <v> </v>
      </c>
      <c r="K4588" s="25" t="str">
        <f>IF(OR(E4588="",E4588="!!!",F4588="NEW"),"",INDEX(J$1:J4587,SUMPRODUCT(MAX(ROW(E$1:E4587)*(E4588=E$1:E4587)))))</f>
        <v> </v>
      </c>
      <c r="L4588" s="26"/>
    </row>
    <row r="4589" spans="1:12">
      <c r="A4589" s="20" t="s">
        <v>1600</v>
      </c>
      <c r="E4589" s="21">
        <f>IF(D4589="?OLD","!!!","")</f>
        <v/>
      </c>
      <c r="F4589" s="22" t="str">
        <f>IF(OR(E4589="",E4589="!!!"),"",IF(NOT(ISNA(VLOOKUP(E4589,E$1:E4588,1,FALSE()))),"OLD",IF(AND(E4589&lt;&gt;"",E4589&lt;&gt;"!!!"),"NEW","")))</f>
        <v> </v>
      </c>
      <c r="G4589" s="23" t="str">
        <f>IF(OR(E4589="",E4589="!!!"),"",IF(OR(J4589=0,AND(J4589=1,K4589=1),AND(J4589=1,I4589="SBJ"),AND(J4589=1,I4589=0)),"?IN_FOCUS",IF(J4589&lt;=2,"?ACTIVATED",IF(J4589&lt;&gt;"","?FAMILIAR",IF(F4589="NEW",IF(ISNA(VLOOKUP(E4589,#REF!,1,FALSE())),"?TYPE_IDENTIFIABLE","?REFERENTIAL"),"_")))))</f>
        <v> </v>
      </c>
      <c r="H4589" s="24" t="str">
        <f>IF(J4589&lt;&gt;1,"",IF(I4589="SBJ","CB","?"))</f>
        <v> </v>
      </c>
      <c r="I4589" s="25" t="str">
        <f>IF(OR(E4589="",E4589="!!!",F4589="NEW"),"",INDEX(B4588:B$2,-1+SUMPRODUCT(MAX(ROW(E4588:E$2)*(E4589=E4588:E$2)))))</f>
        <v> </v>
      </c>
      <c r="J4589" s="25" t="str">
        <f>IF(OR(E4589="",E4589="!!!",F4589="NEW"),"",COUNTBLANK(OFFSET(A$1,,,SUMPRODUCT(MAX(ROW(E$2:E4589)*(E4589=E$2:E4589)))))-COUNTBLANK(OFFSET(A$1,,,SUMPRODUCT(MAX(ROW(E$1:E4588)*(E2=E$1:E4588))))))</f>
        <v> </v>
      </c>
      <c r="K4589" s="25" t="str">
        <f>IF(OR(E4589="",E4589="!!!",F4589="NEW"),"",INDEX(J$1:J4588,SUMPRODUCT(MAX(ROW(E$1:E4588)*(E4589=E$1:E4588)))))</f>
        <v> </v>
      </c>
      <c r="L4589" s="26"/>
    </row>
    <row r="4590" spans="1:12">
      <c r="A4590" s="20" t="s">
        <v>1080</v>
      </c>
      <c r="E4590" s="21">
        <f>IF(D4590="?OLD","!!!","")</f>
        <v/>
      </c>
      <c r="F4590" s="22" t="str">
        <f>IF(OR(E4590="",E4590="!!!"),"",IF(NOT(ISNA(VLOOKUP(E4590,E$1:E4589,1,FALSE()))),"OLD",IF(AND(E4590&lt;&gt;"",E4590&lt;&gt;"!!!"),"NEW","")))</f>
        <v> </v>
      </c>
      <c r="G4590" s="23" t="str">
        <f>IF(OR(E4590="",E4590="!!!"),"",IF(OR(J4590=0,AND(J4590=1,K4590=1),AND(J4590=1,I4590="SBJ"),AND(J4590=1,I4590=0)),"?IN_FOCUS",IF(J4590&lt;=2,"?ACTIVATED",IF(J4590&lt;&gt;"","?FAMILIAR",IF(F4590="NEW",IF(ISNA(VLOOKUP(E4590,#REF!,1,FALSE())),"?TYPE_IDENTIFIABLE","?REFERENTIAL"),"_")))))</f>
        <v> </v>
      </c>
      <c r="H4590" s="24" t="str">
        <f>IF(J4590&lt;&gt;1,"",IF(I4590="SBJ","CB","?"))</f>
        <v> </v>
      </c>
      <c r="I4590" s="25" t="str">
        <f>IF(OR(E4590="",E4590="!!!",F4590="NEW"),"",INDEX(B4589:B$2,-1+SUMPRODUCT(MAX(ROW(E4589:E$2)*(E4590=E4589:E$2)))))</f>
        <v> </v>
      </c>
      <c r="J4590" s="25" t="str">
        <f>IF(OR(E4590="",E4590="!!!",F4590="NEW"),"",COUNTBLANK(OFFSET(A$1,,,SUMPRODUCT(MAX(ROW(E$2:E4590)*(E4590=E$2:E4590)))))-COUNTBLANK(OFFSET(A$1,,,SUMPRODUCT(MAX(ROW(E$1:E4589)*(E2=E$1:E4589))))))</f>
        <v> </v>
      </c>
      <c r="K4590" s="25" t="str">
        <f>IF(OR(E4590="",E4590="!!!",F4590="NEW"),"",INDEX(J$1:J4589,SUMPRODUCT(MAX(ROW(E$1:E4589)*(E4590=E$1:E4589)))))</f>
        <v> </v>
      </c>
      <c r="L4590" s="26"/>
    </row>
    <row r="4591" spans="1:12">
      <c r="A4591" s="20"/>
    </row>
    <row r="4592" spans="1:12">
      <c r="A4592" s="20" t="s">
        <v>2419</v>
      </c>
    </row>
    <row r="4593" spans="1:12">
      <c r="A4593" s="20" t="s">
        <v>1702</v>
      </c>
      <c r="B4593" s="27" t="s">
        <v>1160</v>
      </c>
      <c r="C4593" s="27" t="s">
        <v>1110</v>
      </c>
      <c r="D4593" s="27" t="s">
        <v>1069</v>
      </c>
      <c r="E4593" s="21">
        <f>IF(D4593="?OLD","!!!","")</f>
        <v/>
      </c>
      <c r="F4593" s="22" t="str">
        <f>IF(OR(E4593="",E4593="!!!"),"",IF(NOT(ISNA(VLOOKUP(E4593,E$1:E4592,1,FALSE()))),"OLD",IF(AND(E4593&lt;&gt;"",E4593&lt;&gt;"!!!"),"NEW","")))</f>
        <v> </v>
      </c>
      <c r="G4593" s="23" t="str">
        <f>IF(OR(E4593="",E4593="!!!"),"",IF(OR(J4593=0,AND(J4593=1,K4593=1),AND(J4593=1,I4593="SBJ"),AND(J4593=1,I4593=0)),"?IN_FOCUS",IF(J4593&lt;=2,"?ACTIVATED",IF(J4593&lt;&gt;"","?FAMILIAR",IF(F4593="NEW",IF(ISNA(VLOOKUP(E4593,#REF!,1,FALSE())),"?TYPE_IDENTIFIABLE","?REFERENTIAL"),"_")))))</f>
        <v> </v>
      </c>
      <c r="H4593" s="24" t="str">
        <f>IF(J4593&lt;&gt;1,"",IF(I4593="SBJ","CB","?"))</f>
        <v> </v>
      </c>
      <c r="I4593" s="25" t="str">
        <f>IF(OR(E4593="",E4593="!!!",F4593="NEW"),"",INDEX(B4592:B$2,-1+SUMPRODUCT(MAX(ROW(E4592:E$2)*(E4593=E4592:E$2)))))</f>
        <v> </v>
      </c>
      <c r="J4593" s="25" t="str">
        <f>IF(OR(E4593="",E4593="!!!",F4593="NEW"),"",COUNTBLANK(OFFSET(A$1,,,SUMPRODUCT(MAX(ROW(E$2:E4593)*(E4593=E$2:E4593)))))-COUNTBLANK(OFFSET(A$1,,,SUMPRODUCT(MAX(ROW(E$1:E4592)*(E2=E$1:E4592))))))</f>
        <v> </v>
      </c>
      <c r="K4593" s="25" t="str">
        <f>IF(OR(E4593="",E4593="!!!",F4593="NEW"),"",INDEX(J$1:J4592,SUMPRODUCT(MAX(ROW(E$1:E4592)*(E4593=E$1:E4592)))))</f>
        <v> </v>
      </c>
      <c r="L4593" s="26"/>
    </row>
    <row r="4594" spans="1:12">
      <c r="A4594" s="20" t="s">
        <v>1769</v>
      </c>
      <c r="E4594" s="21">
        <f>IF(D4594="?OLD","!!!","")</f>
        <v/>
      </c>
      <c r="F4594" s="22" t="str">
        <f>IF(OR(E4594="",E4594="!!!"),"",IF(NOT(ISNA(VLOOKUP(E4594,E$1:E4593,1,FALSE()))),"OLD",IF(AND(E4594&lt;&gt;"",E4594&lt;&gt;"!!!"),"NEW","")))</f>
        <v> </v>
      </c>
      <c r="G4594" s="23" t="str">
        <f>IF(OR(E4594="",E4594="!!!"),"",IF(OR(J4594=0,AND(J4594=1,K4594=1),AND(J4594=1,I4594="SBJ"),AND(J4594=1,I4594=0)),"?IN_FOCUS",IF(J4594&lt;=2,"?ACTIVATED",IF(J4594&lt;&gt;"","?FAMILIAR",IF(F4594="NEW",IF(ISNA(VLOOKUP(E4594,#REF!,1,FALSE())),"?TYPE_IDENTIFIABLE","?REFERENTIAL"),"_")))))</f>
        <v> </v>
      </c>
      <c r="H4594" s="24" t="str">
        <f>IF(J4594&lt;&gt;1,"",IF(I4594="SBJ","CB","?"))</f>
        <v> </v>
      </c>
      <c r="I4594" s="25" t="str">
        <f>IF(OR(E4594="",E4594="!!!",F4594="NEW"),"",INDEX(B4593:B$2,-1+SUMPRODUCT(MAX(ROW(E4593:E$2)*(E4594=E4593:E$2)))))</f>
        <v> </v>
      </c>
      <c r="J4594" s="25" t="str">
        <f>IF(OR(E4594="",E4594="!!!",F4594="NEW"),"",COUNTBLANK(OFFSET(A$1,,,SUMPRODUCT(MAX(ROW(E$2:E4594)*(E4594=E$2:E4594)))))-COUNTBLANK(OFFSET(A$1,,,SUMPRODUCT(MAX(ROW(E$1:E4593)*(E2=E$1:E4593))))))</f>
        <v> </v>
      </c>
      <c r="K4594" s="25" t="str">
        <f>IF(OR(E4594="",E4594="!!!",F4594="NEW"),"",INDEX(J$1:J4593,SUMPRODUCT(MAX(ROW(E$1:E4593)*(E4594=E$1:E4593)))))</f>
        <v> </v>
      </c>
      <c r="L4594" s="26"/>
    </row>
    <row r="4595" spans="1:12">
      <c r="A4595" s="20" t="s">
        <v>1351</v>
      </c>
      <c r="B4595" s="27" t="s">
        <v>1067</v>
      </c>
      <c r="C4595" s="27" t="s">
        <v>1072</v>
      </c>
      <c r="E4595" s="21">
        <f>IF(D4595="?OLD","!!!","")</f>
        <v/>
      </c>
      <c r="F4595" s="22" t="str">
        <f>IF(OR(E4595="",E4595="!!!"),"",IF(NOT(ISNA(VLOOKUP(E4595,E$1:E4594,1,FALSE()))),"OLD",IF(AND(E4595&lt;&gt;"",E4595&lt;&gt;"!!!"),"NEW","")))</f>
        <v> </v>
      </c>
      <c r="G4595" s="23" t="str">
        <f>IF(OR(E4595="",E4595="!!!"),"",IF(OR(J4595=0,AND(J4595=1,K4595=1),AND(J4595=1,I4595="SBJ"),AND(J4595=1,I4595=0)),"?IN_FOCUS",IF(J4595&lt;=2,"?ACTIVATED",IF(J4595&lt;&gt;"","?FAMILIAR",IF(F4595="NEW",IF(ISNA(VLOOKUP(E4595,#REF!,1,FALSE())),"?TYPE_IDENTIFIABLE","?REFERENTIAL"),"_")))))</f>
        <v> </v>
      </c>
      <c r="H4595" s="24" t="str">
        <f>IF(J4595&lt;&gt;1,"",IF(I4595="SBJ","CB","?"))</f>
        <v> </v>
      </c>
      <c r="I4595" s="25" t="str">
        <f>IF(OR(E4595="",E4595="!!!",F4595="NEW"),"",INDEX(B4594:B$2,-1+SUMPRODUCT(MAX(ROW(E4594:E$2)*(E4595=E4594:E$2)))))</f>
        <v> </v>
      </c>
      <c r="J4595" s="25" t="str">
        <f>IF(OR(E4595="",E4595="!!!",F4595="NEW"),"",COUNTBLANK(OFFSET(A$1,,,SUMPRODUCT(MAX(ROW(E$2:E4595)*(E4595=E$2:E4595)))))-COUNTBLANK(OFFSET(A$1,,,SUMPRODUCT(MAX(ROW(E$1:E4594)*(E2=E$1:E4594))))))</f>
        <v> </v>
      </c>
      <c r="K4595" s="25" t="str">
        <f>IF(OR(E4595="",E4595="!!!",F4595="NEW"),"",INDEX(J$1:J4594,SUMPRODUCT(MAX(ROW(E$1:E4594)*(E4595=E$1:E4594)))))</f>
        <v> </v>
      </c>
      <c r="L4595" s="26"/>
    </row>
    <row r="4596" spans="1:12">
      <c r="A4596" s="20" t="s">
        <v>1352</v>
      </c>
      <c r="E4596" s="21">
        <f>IF(D4596="?OLD","!!!","")</f>
        <v/>
      </c>
      <c r="F4596" s="22" t="str">
        <f>IF(OR(E4596="",E4596="!!!"),"",IF(NOT(ISNA(VLOOKUP(E4596,E$1:E4595,1,FALSE()))),"OLD",IF(AND(E4596&lt;&gt;"",E4596&lt;&gt;"!!!"),"NEW","")))</f>
        <v> </v>
      </c>
      <c r="G4596" s="23" t="str">
        <f>IF(OR(E4596="",E4596="!!!"),"",IF(OR(J4596=0,AND(J4596=1,K4596=1),AND(J4596=1,I4596="SBJ"),AND(J4596=1,I4596=0)),"?IN_FOCUS",IF(J4596&lt;=2,"?ACTIVATED",IF(J4596&lt;&gt;"","?FAMILIAR",IF(F4596="NEW",IF(ISNA(VLOOKUP(E4596,#REF!,1,FALSE())),"?TYPE_IDENTIFIABLE","?REFERENTIAL"),"_")))))</f>
        <v> </v>
      </c>
      <c r="H4596" s="24" t="str">
        <f>IF(J4596&lt;&gt;1,"",IF(I4596="SBJ","CB","?"))</f>
        <v> </v>
      </c>
      <c r="I4596" s="25" t="str">
        <f>IF(OR(E4596="",E4596="!!!",F4596="NEW"),"",INDEX(B4595:B$2,-1+SUMPRODUCT(MAX(ROW(E4595:E$2)*(E4596=E4595:E$2)))))</f>
        <v> </v>
      </c>
      <c r="J4596" s="25" t="str">
        <f>IF(OR(E4596="",E4596="!!!",F4596="NEW"),"",COUNTBLANK(OFFSET(A$1,,,SUMPRODUCT(MAX(ROW(E$2:E4596)*(E4596=E$2:E4596)))))-COUNTBLANK(OFFSET(A$1,,,SUMPRODUCT(MAX(ROW(E$1:E4595)*(E2=E$1:E4595))))))</f>
        <v> </v>
      </c>
      <c r="K4596" s="25" t="str">
        <f>IF(OR(E4596="",E4596="!!!",F4596="NEW"),"",INDEX(J$1:J4595,SUMPRODUCT(MAX(ROW(E$1:E4595)*(E4596=E$1:E4595)))))</f>
        <v> </v>
      </c>
      <c r="L4596" s="26"/>
    </row>
    <row r="4597" spans="1:12">
      <c r="A4597" s="20" t="s">
        <v>1324</v>
      </c>
      <c r="E4597" s="21">
        <f>IF(D4597="?OLD","!!!","")</f>
        <v/>
      </c>
      <c r="F4597" s="22" t="str">
        <f>IF(OR(E4597="",E4597="!!!"),"",IF(NOT(ISNA(VLOOKUP(E4597,E$1:E4596,1,FALSE()))),"OLD",IF(AND(E4597&lt;&gt;"",E4597&lt;&gt;"!!!"),"NEW","")))</f>
        <v> </v>
      </c>
      <c r="G4597" s="23" t="str">
        <f>IF(OR(E4597="",E4597="!!!"),"",IF(OR(J4597=0,AND(J4597=1,K4597=1),AND(J4597=1,I4597="SBJ"),AND(J4597=1,I4597=0)),"?IN_FOCUS",IF(J4597&lt;=2,"?ACTIVATED",IF(J4597&lt;&gt;"","?FAMILIAR",IF(F4597="NEW",IF(ISNA(VLOOKUP(E4597,#REF!,1,FALSE())),"?TYPE_IDENTIFIABLE","?REFERENTIAL"),"_")))))</f>
        <v> </v>
      </c>
      <c r="H4597" s="24" t="str">
        <f>IF(J4597&lt;&gt;1,"",IF(I4597="SBJ","CB","?"))</f>
        <v> </v>
      </c>
      <c r="I4597" s="25" t="str">
        <f>IF(OR(E4597="",E4597="!!!",F4597="NEW"),"",INDEX(B4596:B$2,-1+SUMPRODUCT(MAX(ROW(E4596:E$2)*(E4597=E4596:E$2)))))</f>
        <v> </v>
      </c>
      <c r="J4597" s="25" t="str">
        <f>IF(OR(E4597="",E4597="!!!",F4597="NEW"),"",COUNTBLANK(OFFSET(A$1,,,SUMPRODUCT(MAX(ROW(E$2:E4597)*(E4597=E$2:E4597)))))-COUNTBLANK(OFFSET(A$1,,,SUMPRODUCT(MAX(ROW(E$1:E4596)*(E2=E$1:E4596))))))</f>
        <v> </v>
      </c>
      <c r="K4597" s="25" t="str">
        <f>IF(OR(E4597="",E4597="!!!",F4597="NEW"),"",INDEX(J$1:J4596,SUMPRODUCT(MAX(ROW(E$1:E4596)*(E4597=E$1:E4596)))))</f>
        <v> </v>
      </c>
      <c r="L4597" s="26"/>
    </row>
    <row r="4598" spans="1:12">
      <c r="A4598" s="20"/>
    </row>
    <row r="4599" spans="1:12">
      <c r="A4599" s="20" t="s">
        <v>2420</v>
      </c>
    </row>
    <row r="4600" spans="1:12">
      <c r="A4600" s="20" t="s">
        <v>1644</v>
      </c>
      <c r="B4600" s="27" t="s">
        <v>1067</v>
      </c>
      <c r="C4600" s="27" t="s">
        <v>1072</v>
      </c>
      <c r="E4600" s="21">
        <f>IF(D4600="?OLD","!!!","")</f>
        <v/>
      </c>
      <c r="F4600" s="22" t="str">
        <f>IF(OR(E4600="",E4600="!!!"),"",IF(NOT(ISNA(VLOOKUP(E4600,E$1:E4599,1,FALSE()))),"OLD",IF(AND(E4600&lt;&gt;"",E4600&lt;&gt;"!!!"),"NEW","")))</f>
        <v> </v>
      </c>
      <c r="G4600" s="23" t="str">
        <f>IF(OR(E4600="",E4600="!!!"),"",IF(OR(J4600=0,AND(J4600=1,K4600=1),AND(J4600=1,I4600="SBJ"),AND(J4600=1,I4600=0)),"?IN_FOCUS",IF(J4600&lt;=2,"?ACTIVATED",IF(J4600&lt;&gt;"","?FAMILIAR",IF(F4600="NEW",IF(ISNA(VLOOKUP(E4600,#REF!,1,FALSE())),"?TYPE_IDENTIFIABLE","?REFERENTIAL"),"_")))))</f>
        <v> </v>
      </c>
      <c r="H4600" s="24" t="str">
        <f>IF(J4600&lt;&gt;1,"",IF(I4600="SBJ","CB","?"))</f>
        <v> </v>
      </c>
      <c r="I4600" s="25" t="str">
        <f>IF(OR(E4600="",E4600="!!!",F4600="NEW"),"",INDEX(B4599:B$2,-1+SUMPRODUCT(MAX(ROW(E4599:E$2)*(E4600=E4599:E$2)))))</f>
        <v> </v>
      </c>
      <c r="J4600" s="25" t="str">
        <f>IF(OR(E4600="",E4600="!!!",F4600="NEW"),"",COUNTBLANK(OFFSET(A$1,,,SUMPRODUCT(MAX(ROW(E$2:E4600)*(E4600=E$2:E4600)))))-COUNTBLANK(OFFSET(A$1,,,SUMPRODUCT(MAX(ROW(E$1:E4599)*(E2=E$1:E4599))))))</f>
        <v> </v>
      </c>
      <c r="K4600" s="25" t="str">
        <f>IF(OR(E4600="",E4600="!!!",F4600="NEW"),"",INDEX(J$1:J4599,SUMPRODUCT(MAX(ROW(E$1:E4599)*(E4600=E$1:E4599)))))</f>
        <v> </v>
      </c>
      <c r="L4600" s="26"/>
    </row>
    <row r="4601" spans="1:12">
      <c r="A4601" s="20" t="s">
        <v>1598</v>
      </c>
      <c r="E4601" s="21">
        <f>IF(D4601="?OLD","!!!","")</f>
        <v/>
      </c>
      <c r="F4601" s="22" t="str">
        <f>IF(OR(E4601="",E4601="!!!"),"",IF(NOT(ISNA(VLOOKUP(E4601,E$1:E4600,1,FALSE()))),"OLD",IF(AND(E4601&lt;&gt;"",E4601&lt;&gt;"!!!"),"NEW","")))</f>
        <v> </v>
      </c>
      <c r="G4601" s="23" t="str">
        <f>IF(OR(E4601="",E4601="!!!"),"",IF(OR(J4601=0,AND(J4601=1,K4601=1),AND(J4601=1,I4601="SBJ"),AND(J4601=1,I4601=0)),"?IN_FOCUS",IF(J4601&lt;=2,"?ACTIVATED",IF(J4601&lt;&gt;"","?FAMILIAR",IF(F4601="NEW",IF(ISNA(VLOOKUP(E4601,#REF!,1,FALSE())),"?TYPE_IDENTIFIABLE","?REFERENTIAL"),"_")))))</f>
        <v> </v>
      </c>
      <c r="H4601" s="24" t="str">
        <f>IF(J4601&lt;&gt;1,"",IF(I4601="SBJ","CB","?"))</f>
        <v> </v>
      </c>
      <c r="I4601" s="25" t="str">
        <f>IF(OR(E4601="",E4601="!!!",F4601="NEW"),"",INDEX(B4600:B$2,-1+SUMPRODUCT(MAX(ROW(E4600:E$2)*(E4601=E4600:E$2)))))</f>
        <v> </v>
      </c>
      <c r="J4601" s="25" t="str">
        <f>IF(OR(E4601="",E4601="!!!",F4601="NEW"),"",COUNTBLANK(OFFSET(A$1,,,SUMPRODUCT(MAX(ROW(E$2:E4601)*(E4601=E$2:E4601)))))-COUNTBLANK(OFFSET(A$1,,,SUMPRODUCT(MAX(ROW(E$1:E4600)*(E2=E$1:E4600))))))</f>
        <v> </v>
      </c>
      <c r="K4601" s="25" t="str">
        <f>IF(OR(E4601="",E4601="!!!",F4601="NEW"),"",INDEX(J$1:J4600,SUMPRODUCT(MAX(ROW(E$1:E4600)*(E4601=E$1:E4600)))))</f>
        <v> </v>
      </c>
      <c r="L4601" s="26"/>
    </row>
    <row r="4602" spans="1:12">
      <c r="A4602" s="20" t="s">
        <v>1085</v>
      </c>
      <c r="E4602" s="21">
        <f>IF(D4602="?OLD","!!!","")</f>
        <v/>
      </c>
      <c r="F4602" s="22" t="str">
        <f>IF(OR(E4602="",E4602="!!!"),"",IF(NOT(ISNA(VLOOKUP(E4602,E$1:E4601,1,FALSE()))),"OLD",IF(AND(E4602&lt;&gt;"",E4602&lt;&gt;"!!!"),"NEW","")))</f>
        <v> </v>
      </c>
      <c r="G4602" s="23" t="str">
        <f>IF(OR(E4602="",E4602="!!!"),"",IF(OR(J4602=0,AND(J4602=1,K4602=1),AND(J4602=1,I4602="SBJ"),AND(J4602=1,I4602=0)),"?IN_FOCUS",IF(J4602&lt;=2,"?ACTIVATED",IF(J4602&lt;&gt;"","?FAMILIAR",IF(F4602="NEW",IF(ISNA(VLOOKUP(E4602,#REF!,1,FALSE())),"?TYPE_IDENTIFIABLE","?REFERENTIAL"),"_")))))</f>
        <v> </v>
      </c>
      <c r="H4602" s="24" t="str">
        <f>IF(J4602&lt;&gt;1,"",IF(I4602="SBJ","CB","?"))</f>
        <v> </v>
      </c>
      <c r="I4602" s="25" t="str">
        <f>IF(OR(E4602="",E4602="!!!",F4602="NEW"),"",INDEX(B4601:B$2,-1+SUMPRODUCT(MAX(ROW(E4601:E$2)*(E4602=E4601:E$2)))))</f>
        <v> </v>
      </c>
      <c r="J4602" s="25" t="str">
        <f>IF(OR(E4602="",E4602="!!!",F4602="NEW"),"",COUNTBLANK(OFFSET(A$1,,,SUMPRODUCT(MAX(ROW(E$2:E4602)*(E4602=E$2:E4602)))))-COUNTBLANK(OFFSET(A$1,,,SUMPRODUCT(MAX(ROW(E$1:E4601)*(E2=E$1:E4601))))))</f>
        <v> </v>
      </c>
      <c r="K4602" s="25" t="str">
        <f>IF(OR(E4602="",E4602="!!!",F4602="NEW"),"",INDEX(J$1:J4601,SUMPRODUCT(MAX(ROW(E$1:E4601)*(E4602=E$1:E4601)))))</f>
        <v> </v>
      </c>
      <c r="L4602" s="26"/>
    </row>
    <row r="4603" spans="1:12">
      <c r="A4603" s="20" t="s">
        <v>1185</v>
      </c>
      <c r="E4603" s="21">
        <f>IF(D4603="?OLD","!!!","")</f>
        <v/>
      </c>
      <c r="F4603" s="22" t="str">
        <f>IF(OR(E4603="",E4603="!!!"),"",IF(NOT(ISNA(VLOOKUP(E4603,E$1:E4602,1,FALSE()))),"OLD",IF(AND(E4603&lt;&gt;"",E4603&lt;&gt;"!!!"),"NEW","")))</f>
        <v> </v>
      </c>
      <c r="G4603" s="23" t="str">
        <f>IF(OR(E4603="",E4603="!!!"),"",IF(OR(J4603=0,AND(J4603=1,K4603=1),AND(J4603=1,I4603="SBJ"),AND(J4603=1,I4603=0)),"?IN_FOCUS",IF(J4603&lt;=2,"?ACTIVATED",IF(J4603&lt;&gt;"","?FAMILIAR",IF(F4603="NEW",IF(ISNA(VLOOKUP(E4603,#REF!,1,FALSE())),"?TYPE_IDENTIFIABLE","?REFERENTIAL"),"_")))))</f>
        <v> </v>
      </c>
      <c r="H4603" s="24" t="str">
        <f>IF(J4603&lt;&gt;1,"",IF(I4603="SBJ","CB","?"))</f>
        <v> </v>
      </c>
      <c r="I4603" s="25" t="str">
        <f>IF(OR(E4603="",E4603="!!!",F4603="NEW"),"",INDEX(B4602:B$2,-1+SUMPRODUCT(MAX(ROW(E4602:E$2)*(E4603=E4602:E$2)))))</f>
        <v> </v>
      </c>
      <c r="J4603" s="25" t="str">
        <f>IF(OR(E4603="",E4603="!!!",F4603="NEW"),"",COUNTBLANK(OFFSET(A$1,,,SUMPRODUCT(MAX(ROW(E$2:E4603)*(E4603=E$2:E4603)))))-COUNTBLANK(OFFSET(A$1,,,SUMPRODUCT(MAX(ROW(E$1:E4602)*(E2=E$1:E4602))))))</f>
        <v> </v>
      </c>
      <c r="K4603" s="25" t="str">
        <f>IF(OR(E4603="",E4603="!!!",F4603="NEW"),"",INDEX(J$1:J4602,SUMPRODUCT(MAX(ROW(E$1:E4602)*(E4603=E$1:E4602)))))</f>
        <v> </v>
      </c>
      <c r="L4603" s="26"/>
    </row>
    <row r="4604" spans="1:12">
      <c r="A4604" s="20" t="s">
        <v>2421</v>
      </c>
      <c r="B4604" s="27" t="s">
        <v>1160</v>
      </c>
      <c r="C4604" s="27" t="s">
        <v>1120</v>
      </c>
      <c r="E4604" s="21">
        <f>IF(D4604="?OLD","!!!","")</f>
        <v/>
      </c>
      <c r="F4604" s="22" t="str">
        <f>IF(OR(E4604="",E4604="!!!"),"",IF(NOT(ISNA(VLOOKUP(E4604,E$1:E4603,1,FALSE()))),"OLD",IF(AND(E4604&lt;&gt;"",E4604&lt;&gt;"!!!"),"NEW","")))</f>
        <v> </v>
      </c>
      <c r="G4604" s="23" t="str">
        <f>IF(OR(E4604="",E4604="!!!"),"",IF(OR(J4604=0,AND(J4604=1,K4604=1),AND(J4604=1,I4604="SBJ"),AND(J4604=1,I4604=0)),"?IN_FOCUS",IF(J4604&lt;=2,"?ACTIVATED",IF(J4604&lt;&gt;"","?FAMILIAR",IF(F4604="NEW",IF(ISNA(VLOOKUP(E4604,#REF!,1,FALSE())),"?TYPE_IDENTIFIABLE","?REFERENTIAL"),"_")))))</f>
        <v> </v>
      </c>
      <c r="H4604" s="24" t="str">
        <f>IF(J4604&lt;&gt;1,"",IF(I4604="SBJ","CB","?"))</f>
        <v> </v>
      </c>
      <c r="I4604" s="25" t="str">
        <f>IF(OR(E4604="",E4604="!!!",F4604="NEW"),"",INDEX(B4603:B$2,-1+SUMPRODUCT(MAX(ROW(E4603:E$2)*(E4604=E4603:E$2)))))</f>
        <v> </v>
      </c>
      <c r="J4604" s="25" t="str">
        <f>IF(OR(E4604="",E4604="!!!",F4604="NEW"),"",COUNTBLANK(OFFSET(A$1,,,SUMPRODUCT(MAX(ROW(E$2:E4604)*(E4604=E$2:E4604)))))-COUNTBLANK(OFFSET(A$1,,,SUMPRODUCT(MAX(ROW(E$1:E4603)*(E2=E$1:E4603))))))</f>
        <v> </v>
      </c>
      <c r="K4604" s="25" t="str">
        <f>IF(OR(E4604="",E4604="!!!",F4604="NEW"),"",INDEX(J$1:J4603,SUMPRODUCT(MAX(ROW(E$1:E4603)*(E4604=E$1:E4603)))))</f>
        <v> </v>
      </c>
      <c r="L4604" s="26"/>
    </row>
    <row r="4605" spans="1:12">
      <c r="A4605" s="20" t="s">
        <v>1161</v>
      </c>
      <c r="E4605" s="21">
        <f>IF(D4605="?OLD","!!!","")</f>
        <v/>
      </c>
      <c r="F4605" s="22" t="str">
        <f>IF(OR(E4605="",E4605="!!!"),"",IF(NOT(ISNA(VLOOKUP(E4605,E$1:E4604,1,FALSE()))),"OLD",IF(AND(E4605&lt;&gt;"",E4605&lt;&gt;"!!!"),"NEW","")))</f>
        <v> </v>
      </c>
      <c r="G4605" s="23" t="str">
        <f>IF(OR(E4605="",E4605="!!!"),"",IF(OR(J4605=0,AND(J4605=1,K4605=1),AND(J4605=1,I4605="SBJ"),AND(J4605=1,I4605=0)),"?IN_FOCUS",IF(J4605&lt;=2,"?ACTIVATED",IF(J4605&lt;&gt;"","?FAMILIAR",IF(F4605="NEW",IF(ISNA(VLOOKUP(E4605,#REF!,1,FALSE())),"?TYPE_IDENTIFIABLE","?REFERENTIAL"),"_")))))</f>
        <v> </v>
      </c>
      <c r="H4605" s="24" t="str">
        <f>IF(J4605&lt;&gt;1,"",IF(I4605="SBJ","CB","?"))</f>
        <v> </v>
      </c>
      <c r="I4605" s="25" t="str">
        <f>IF(OR(E4605="",E4605="!!!",F4605="NEW"),"",INDEX(B4604:B$2,-1+SUMPRODUCT(MAX(ROW(E4604:E$2)*(E4605=E4604:E$2)))))</f>
        <v> </v>
      </c>
      <c r="J4605" s="25" t="str">
        <f>IF(OR(E4605="",E4605="!!!",F4605="NEW"),"",COUNTBLANK(OFFSET(A$1,,,SUMPRODUCT(MAX(ROW(E$2:E4605)*(E4605=E$2:E4605)))))-COUNTBLANK(OFFSET(A$1,,,SUMPRODUCT(MAX(ROW(E$1:E4604)*(E2=E$1:E4604))))))</f>
        <v> </v>
      </c>
      <c r="K4605" s="25" t="str">
        <f>IF(OR(E4605="",E4605="!!!",F4605="NEW"),"",INDEX(J$1:J4604,SUMPRODUCT(MAX(ROW(E$1:E4604)*(E4605=E$1:E4604)))))</f>
        <v> </v>
      </c>
      <c r="L4605" s="26"/>
    </row>
    <row r="4606" spans="1:12">
      <c r="A4606" s="20" t="s">
        <v>2422</v>
      </c>
      <c r="E4606" s="21">
        <f>IF(D4606="?OLD","!!!","")</f>
        <v/>
      </c>
      <c r="F4606" s="22" t="str">
        <f>IF(OR(E4606="",E4606="!!!"),"",IF(NOT(ISNA(VLOOKUP(E4606,E$1:E4605,1,FALSE()))),"OLD",IF(AND(E4606&lt;&gt;"",E4606&lt;&gt;"!!!"),"NEW","")))</f>
        <v> </v>
      </c>
      <c r="G4606" s="23" t="str">
        <f>IF(OR(E4606="",E4606="!!!"),"",IF(OR(J4606=0,AND(J4606=1,K4606=1),AND(J4606=1,I4606="SBJ"),AND(J4606=1,I4606=0)),"?IN_FOCUS",IF(J4606&lt;=2,"?ACTIVATED",IF(J4606&lt;&gt;"","?FAMILIAR",IF(F4606="NEW",IF(ISNA(VLOOKUP(E4606,#REF!,1,FALSE())),"?TYPE_IDENTIFIABLE","?REFERENTIAL"),"_")))))</f>
        <v> </v>
      </c>
      <c r="H4606" s="24" t="str">
        <f>IF(J4606&lt;&gt;1,"",IF(I4606="SBJ","CB","?"))</f>
        <v> </v>
      </c>
      <c r="I4606" s="25" t="str">
        <f>IF(OR(E4606="",E4606="!!!",F4606="NEW"),"",INDEX(B4605:B$2,-1+SUMPRODUCT(MAX(ROW(E4605:E$2)*(E4606=E4605:E$2)))))</f>
        <v> </v>
      </c>
      <c r="J4606" s="25" t="str">
        <f>IF(OR(E4606="",E4606="!!!",F4606="NEW"),"",COUNTBLANK(OFFSET(A$1,,,SUMPRODUCT(MAX(ROW(E$2:E4606)*(E4606=E$2:E4606)))))-COUNTBLANK(OFFSET(A$1,,,SUMPRODUCT(MAX(ROW(E$1:E4605)*(E2=E$1:E4605))))))</f>
        <v> </v>
      </c>
      <c r="K4606" s="25" t="str">
        <f>IF(OR(E4606="",E4606="!!!",F4606="NEW"),"",INDEX(J$1:J4605,SUMPRODUCT(MAX(ROW(E$1:E4605)*(E4606=E$1:E4605)))))</f>
        <v> </v>
      </c>
      <c r="L4606" s="26"/>
    </row>
    <row r="4607" spans="1:12">
      <c r="A4607" s="20" t="s">
        <v>1080</v>
      </c>
      <c r="E4607" s="21">
        <f>IF(D4607="?OLD","!!!","")</f>
        <v/>
      </c>
      <c r="F4607" s="22" t="str">
        <f>IF(OR(E4607="",E4607="!!!"),"",IF(NOT(ISNA(VLOOKUP(E4607,E$1:E4606,1,FALSE()))),"OLD",IF(AND(E4607&lt;&gt;"",E4607&lt;&gt;"!!!"),"NEW","")))</f>
        <v> </v>
      </c>
      <c r="G4607" s="23" t="str">
        <f>IF(OR(E4607="",E4607="!!!"),"",IF(OR(J4607=0,AND(J4607=1,K4607=1),AND(J4607=1,I4607="SBJ"),AND(J4607=1,I4607=0)),"?IN_FOCUS",IF(J4607&lt;=2,"?ACTIVATED",IF(J4607&lt;&gt;"","?FAMILIAR",IF(F4607="NEW",IF(ISNA(VLOOKUP(E4607,#REF!,1,FALSE())),"?TYPE_IDENTIFIABLE","?REFERENTIAL"),"_")))))</f>
        <v> </v>
      </c>
      <c r="H4607" s="24" t="str">
        <f>IF(J4607&lt;&gt;1,"",IF(I4607="SBJ","CB","?"))</f>
        <v> </v>
      </c>
      <c r="I4607" s="25" t="str">
        <f>IF(OR(E4607="",E4607="!!!",F4607="NEW"),"",INDEX(B4606:B$2,-1+SUMPRODUCT(MAX(ROW(E4606:E$2)*(E4607=E4606:E$2)))))</f>
        <v> </v>
      </c>
      <c r="J4607" s="25" t="str">
        <f>IF(OR(E4607="",E4607="!!!",F4607="NEW"),"",COUNTBLANK(OFFSET(A$1,,,SUMPRODUCT(MAX(ROW(E$2:E4607)*(E4607=E$2:E4607)))))-COUNTBLANK(OFFSET(A$1,,,SUMPRODUCT(MAX(ROW(E$1:E4606)*(E2=E$1:E4606))))))</f>
        <v> </v>
      </c>
      <c r="K4607" s="25" t="str">
        <f>IF(OR(E4607="",E4607="!!!",F4607="NEW"),"",INDEX(J$1:J4606,SUMPRODUCT(MAX(ROW(E$1:E4606)*(E4607=E$1:E4606)))))</f>
        <v> </v>
      </c>
      <c r="L4607" s="26"/>
    </row>
    <row r="4608" spans="1:12">
      <c r="A4608" s="20"/>
    </row>
    <row r="4609" spans="1:12">
      <c r="A4609" s="20" t="s">
        <v>2423</v>
      </c>
    </row>
    <row r="4610" spans="1:12">
      <c r="A4610" s="20" t="s">
        <v>1158</v>
      </c>
      <c r="E4610" s="21">
        <f>IF(D4610="?OLD","!!!","")</f>
        <v/>
      </c>
      <c r="F4610" s="22" t="str">
        <f>IF(OR(E4610="",E4610="!!!"),"",IF(NOT(ISNA(VLOOKUP(E4610,E$1:E4609,1,FALSE()))),"OLD",IF(AND(E4610&lt;&gt;"",E4610&lt;&gt;"!!!"),"NEW","")))</f>
        <v> </v>
      </c>
      <c r="G4610" s="23" t="str">
        <f>IF(OR(E4610="",E4610="!!!"),"",IF(OR(J4610=0,AND(J4610=1,K4610=1),AND(J4610=1,I4610="SBJ"),AND(J4610=1,I4610=0)),"?IN_FOCUS",IF(J4610&lt;=2,"?ACTIVATED",IF(J4610&lt;&gt;"","?FAMILIAR",IF(F4610="NEW",IF(ISNA(VLOOKUP(E4610,#REF!,1,FALSE())),"?TYPE_IDENTIFIABLE","?REFERENTIAL"),"_")))))</f>
        <v> </v>
      </c>
      <c r="H4610" s="24" t="str">
        <f>IF(J4610&lt;&gt;1,"",IF(I4610="SBJ","CB","?"))</f>
        <v> </v>
      </c>
      <c r="I4610" s="25" t="str">
        <f>IF(OR(E4610="",E4610="!!!",F4610="NEW"),"",INDEX(B4609:B$2,-1+SUMPRODUCT(MAX(ROW(E4609:E$2)*(E4610=E4609:E$2)))))</f>
        <v> </v>
      </c>
      <c r="J4610" s="25" t="str">
        <f>IF(OR(E4610="",E4610="!!!",F4610="NEW"),"",COUNTBLANK(OFFSET(A$1,,,SUMPRODUCT(MAX(ROW(E$2:E4610)*(E4610=E$2:E4610)))))-COUNTBLANK(OFFSET(A$1,,,SUMPRODUCT(MAX(ROW(E$1:E4609)*(E2=E$1:E4609))))))</f>
        <v> </v>
      </c>
      <c r="K4610" s="25" t="str">
        <f>IF(OR(E4610="",E4610="!!!",F4610="NEW"),"",INDEX(J$1:J4609,SUMPRODUCT(MAX(ROW(E$1:E4609)*(E4610=E$1:E4609)))))</f>
        <v> </v>
      </c>
      <c r="L4610" s="26"/>
    </row>
    <row r="4611" spans="1:12">
      <c r="A4611" s="20" t="s">
        <v>1299</v>
      </c>
      <c r="E4611" s="21">
        <f>IF(D4611="?OLD","!!!","")</f>
        <v/>
      </c>
      <c r="F4611" s="22" t="str">
        <f>IF(OR(E4611="",E4611="!!!"),"",IF(NOT(ISNA(VLOOKUP(E4611,E$1:E4610,1,FALSE()))),"OLD",IF(AND(E4611&lt;&gt;"",E4611&lt;&gt;"!!!"),"NEW","")))</f>
        <v> </v>
      </c>
      <c r="G4611" s="23" t="str">
        <f>IF(OR(E4611="",E4611="!!!"),"",IF(OR(J4611=0,AND(J4611=1,K4611=1),AND(J4611=1,I4611="SBJ"),AND(J4611=1,I4611=0)),"?IN_FOCUS",IF(J4611&lt;=2,"?ACTIVATED",IF(J4611&lt;&gt;"","?FAMILIAR",IF(F4611="NEW",IF(ISNA(VLOOKUP(E4611,#REF!,1,FALSE())),"?TYPE_IDENTIFIABLE","?REFERENTIAL"),"_")))))</f>
        <v> </v>
      </c>
      <c r="H4611" s="24" t="str">
        <f>IF(J4611&lt;&gt;1,"",IF(I4611="SBJ","CB","?"))</f>
        <v> </v>
      </c>
      <c r="I4611" s="25" t="str">
        <f>IF(OR(E4611="",E4611="!!!",F4611="NEW"),"",INDEX(B4610:B$2,-1+SUMPRODUCT(MAX(ROW(E4610:E$2)*(E4611=E4610:E$2)))))</f>
        <v> </v>
      </c>
      <c r="J4611" s="25" t="str">
        <f>IF(OR(E4611="",E4611="!!!",F4611="NEW"),"",COUNTBLANK(OFFSET(A$1,,,SUMPRODUCT(MAX(ROW(E$2:E4611)*(E4611=E$2:E4611)))))-COUNTBLANK(OFFSET(A$1,,,SUMPRODUCT(MAX(ROW(E$1:E4610)*(E2=E$1:E4610))))))</f>
        <v> </v>
      </c>
      <c r="K4611" s="25" t="str">
        <f>IF(OR(E4611="",E4611="!!!",F4611="NEW"),"",INDEX(J$1:J4610,SUMPRODUCT(MAX(ROW(E$1:E4610)*(E4611=E$1:E4610)))))</f>
        <v> </v>
      </c>
      <c r="L4611" s="26"/>
    </row>
    <row r="4612" spans="1:12">
      <c r="A4612" s="20" t="s">
        <v>1185</v>
      </c>
      <c r="E4612" s="21">
        <f>IF(D4612="?OLD","!!!","")</f>
        <v/>
      </c>
      <c r="F4612" s="22" t="str">
        <f>IF(OR(E4612="",E4612="!!!"),"",IF(NOT(ISNA(VLOOKUP(E4612,E$1:E4611,1,FALSE()))),"OLD",IF(AND(E4612&lt;&gt;"",E4612&lt;&gt;"!!!"),"NEW","")))</f>
        <v> </v>
      </c>
      <c r="G4612" s="23" t="str">
        <f>IF(OR(E4612="",E4612="!!!"),"",IF(OR(J4612=0,AND(J4612=1,K4612=1),AND(J4612=1,I4612="SBJ"),AND(J4612=1,I4612=0)),"?IN_FOCUS",IF(J4612&lt;=2,"?ACTIVATED",IF(J4612&lt;&gt;"","?FAMILIAR",IF(F4612="NEW",IF(ISNA(VLOOKUP(E4612,#REF!,1,FALSE())),"?TYPE_IDENTIFIABLE","?REFERENTIAL"),"_")))))</f>
        <v> </v>
      </c>
      <c r="H4612" s="24" t="str">
        <f>IF(J4612&lt;&gt;1,"",IF(I4612="SBJ","CB","?"))</f>
        <v> </v>
      </c>
      <c r="I4612" s="25" t="str">
        <f>IF(OR(E4612="",E4612="!!!",F4612="NEW"),"",INDEX(B4611:B$2,-1+SUMPRODUCT(MAX(ROW(E4611:E$2)*(E4612=E4611:E$2)))))</f>
        <v> </v>
      </c>
      <c r="J4612" s="25" t="str">
        <f>IF(OR(E4612="",E4612="!!!",F4612="NEW"),"",COUNTBLANK(OFFSET(A$1,,,SUMPRODUCT(MAX(ROW(E$2:E4612)*(E4612=E$2:E4612)))))-COUNTBLANK(OFFSET(A$1,,,SUMPRODUCT(MAX(ROW(E$1:E4611)*(E2=E$1:E4611))))))</f>
        <v> </v>
      </c>
      <c r="K4612" s="25" t="str">
        <f>IF(OR(E4612="",E4612="!!!",F4612="NEW"),"",INDEX(J$1:J4611,SUMPRODUCT(MAX(ROW(E$1:E4611)*(E4612=E$1:E4611)))))</f>
        <v> </v>
      </c>
      <c r="L4612" s="26"/>
    </row>
    <row r="4613" spans="1:12">
      <c r="A4613" s="20" t="s">
        <v>2424</v>
      </c>
      <c r="B4613" s="27" t="s">
        <v>1067</v>
      </c>
      <c r="C4613" s="27" t="s">
        <v>1120</v>
      </c>
      <c r="E4613" s="21">
        <f>IF(D4613="?OLD","!!!","")</f>
        <v/>
      </c>
      <c r="F4613" s="22" t="str">
        <f>IF(OR(E4613="",E4613="!!!"),"",IF(NOT(ISNA(VLOOKUP(E4613,E$1:E4612,1,FALSE()))),"OLD",IF(AND(E4613&lt;&gt;"",E4613&lt;&gt;"!!!"),"NEW","")))</f>
        <v> </v>
      </c>
      <c r="G4613" s="23" t="str">
        <f>IF(OR(E4613="",E4613="!!!"),"",IF(OR(J4613=0,AND(J4613=1,K4613=1),AND(J4613=1,I4613="SBJ"),AND(J4613=1,I4613=0)),"?IN_FOCUS",IF(J4613&lt;=2,"?ACTIVATED",IF(J4613&lt;&gt;"","?FAMILIAR",IF(F4613="NEW",IF(ISNA(VLOOKUP(E4613,#REF!,1,FALSE())),"?TYPE_IDENTIFIABLE","?REFERENTIAL"),"_")))))</f>
        <v> </v>
      </c>
      <c r="H4613" s="24" t="str">
        <f>IF(J4613&lt;&gt;1,"",IF(I4613="SBJ","CB","?"))</f>
        <v> </v>
      </c>
      <c r="I4613" s="25" t="str">
        <f>IF(OR(E4613="",E4613="!!!",F4613="NEW"),"",INDEX(B4612:B$2,-1+SUMPRODUCT(MAX(ROW(E4612:E$2)*(E4613=E4612:E$2)))))</f>
        <v> </v>
      </c>
      <c r="J4613" s="25" t="str">
        <f>IF(OR(E4613="",E4613="!!!",F4613="NEW"),"",COUNTBLANK(OFFSET(A$1,,,SUMPRODUCT(MAX(ROW(E$2:E4613)*(E4613=E$2:E4613)))))-COUNTBLANK(OFFSET(A$1,,,SUMPRODUCT(MAX(ROW(E$1:E4612)*(E2=E$1:E4612))))))</f>
        <v> </v>
      </c>
      <c r="K4613" s="25" t="str">
        <f>IF(OR(E4613="",E4613="!!!",F4613="NEW"),"",INDEX(J$1:J4612,SUMPRODUCT(MAX(ROW(E$1:E4612)*(E4613=E$1:E4612)))))</f>
        <v> </v>
      </c>
      <c r="L4613" s="26"/>
    </row>
    <row r="4614" spans="1:12">
      <c r="A4614" s="20" t="s">
        <v>1104</v>
      </c>
      <c r="B4614" s="27" t="s">
        <v>1133</v>
      </c>
      <c r="E4614" s="21">
        <f>IF(D4614="?OLD","!!!","")</f>
        <v/>
      </c>
      <c r="F4614" s="22" t="str">
        <f>IF(OR(E4614="",E4614="!!!"),"",IF(NOT(ISNA(VLOOKUP(E4614,E$1:E4613,1,FALSE()))),"OLD",IF(AND(E4614&lt;&gt;"",E4614&lt;&gt;"!!!"),"NEW","")))</f>
        <v> </v>
      </c>
      <c r="G4614" s="23" t="str">
        <f>IF(OR(E4614="",E4614="!!!"),"",IF(OR(J4614=0,AND(J4614=1,K4614=1),AND(J4614=1,I4614="SBJ"),AND(J4614=1,I4614=0)),"?IN_FOCUS",IF(J4614&lt;=2,"?ACTIVATED",IF(J4614&lt;&gt;"","?FAMILIAR",IF(F4614="NEW",IF(ISNA(VLOOKUP(E4614,#REF!,1,FALSE())),"?TYPE_IDENTIFIABLE","?REFERENTIAL"),"_")))))</f>
        <v> </v>
      </c>
      <c r="H4614" s="24" t="str">
        <f>IF(J4614&lt;&gt;1,"",IF(I4614="SBJ","CB","?"))</f>
        <v> </v>
      </c>
      <c r="I4614" s="25" t="str">
        <f>IF(OR(E4614="",E4614="!!!",F4614="NEW"),"",INDEX(B4613:B$2,-1+SUMPRODUCT(MAX(ROW(E4613:E$2)*(E4614=E4613:E$2)))))</f>
        <v> </v>
      </c>
      <c r="J4614" s="25" t="str">
        <f>IF(OR(E4614="",E4614="!!!",F4614="NEW"),"",COUNTBLANK(OFFSET(A$1,,,SUMPRODUCT(MAX(ROW(E$2:E4614)*(E4614=E$2:E4614)))))-COUNTBLANK(OFFSET(A$1,,,SUMPRODUCT(MAX(ROW(E$1:E4613)*(E2=E$1:E4613))))))</f>
        <v> </v>
      </c>
      <c r="K4614" s="25" t="str">
        <f>IF(OR(E4614="",E4614="!!!",F4614="NEW"),"",INDEX(J$1:J4613,SUMPRODUCT(MAX(ROW(E$1:E4613)*(E4614=E$1:E4613)))))</f>
        <v> </v>
      </c>
      <c r="L4614" s="26"/>
    </row>
    <row r="4615" spans="1:12">
      <c r="A4615" s="20" t="s">
        <v>1089</v>
      </c>
      <c r="B4615" s="27" t="s">
        <v>1106</v>
      </c>
      <c r="E4615" s="21">
        <f>IF(D4615="?OLD","!!!","")</f>
        <v/>
      </c>
      <c r="F4615" s="22" t="str">
        <f>IF(OR(E4615="",E4615="!!!"),"",IF(NOT(ISNA(VLOOKUP(E4615,E$1:E4614,1,FALSE()))),"OLD",IF(AND(E4615&lt;&gt;"",E4615&lt;&gt;"!!!"),"NEW","")))</f>
        <v> </v>
      </c>
      <c r="G4615" s="23" t="str">
        <f>IF(OR(E4615="",E4615="!!!"),"",IF(OR(J4615=0,AND(J4615=1,K4615=1),AND(J4615=1,I4615="SBJ"),AND(J4615=1,I4615=0)),"?IN_FOCUS",IF(J4615&lt;=2,"?ACTIVATED",IF(J4615&lt;&gt;"","?FAMILIAR",IF(F4615="NEW",IF(ISNA(VLOOKUP(E4615,#REF!,1,FALSE())),"?TYPE_IDENTIFIABLE","?REFERENTIAL"),"_")))))</f>
        <v> </v>
      </c>
      <c r="H4615" s="24" t="str">
        <f>IF(J4615&lt;&gt;1,"",IF(I4615="SBJ","CB","?"))</f>
        <v> </v>
      </c>
      <c r="I4615" s="25" t="str">
        <f>IF(OR(E4615="",E4615="!!!",F4615="NEW"),"",INDEX(B4614:B$2,-1+SUMPRODUCT(MAX(ROW(E4614:E$2)*(E4615=E4614:E$2)))))</f>
        <v> </v>
      </c>
      <c r="J4615" s="25" t="str">
        <f>IF(OR(E4615="",E4615="!!!",F4615="NEW"),"",COUNTBLANK(OFFSET(A$1,,,SUMPRODUCT(MAX(ROW(E$2:E4615)*(E4615=E$2:E4615)))))-COUNTBLANK(OFFSET(A$1,,,SUMPRODUCT(MAX(ROW(E$1:E4614)*(E2=E$1:E4614))))))</f>
        <v> </v>
      </c>
      <c r="K4615" s="25" t="str">
        <f>IF(OR(E4615="",E4615="!!!",F4615="NEW"),"",INDEX(J$1:J4614,SUMPRODUCT(MAX(ROW(E$1:E4614)*(E4615=E$1:E4614)))))</f>
        <v> </v>
      </c>
      <c r="L4615" s="26"/>
    </row>
    <row r="4616" spans="1:12">
      <c r="A4616" s="20" t="s">
        <v>2425</v>
      </c>
      <c r="B4616" s="27" t="s">
        <v>1133</v>
      </c>
      <c r="C4616" s="27" t="s">
        <v>1134</v>
      </c>
      <c r="D4616" s="27" t="s">
        <v>1069</v>
      </c>
      <c r="E4616" s="21">
        <f>IF(D4616="?OLD","!!!","")</f>
        <v/>
      </c>
      <c r="F4616" s="22" t="str">
        <f>IF(OR(E4616="",E4616="!!!"),"",IF(NOT(ISNA(VLOOKUP(E4616,E$1:E4615,1,FALSE()))),"OLD",IF(AND(E4616&lt;&gt;"",E4616&lt;&gt;"!!!"),"NEW","")))</f>
        <v> </v>
      </c>
      <c r="G4616" s="23" t="str">
        <f>IF(OR(E4616="",E4616="!!!"),"",IF(OR(J4616=0,AND(J4616=1,K4616=1),AND(J4616=1,I4616="SBJ"),AND(J4616=1,I4616=0)),"?IN_FOCUS",IF(J4616&lt;=2,"?ACTIVATED",IF(J4616&lt;&gt;"","?FAMILIAR",IF(F4616="NEW",IF(ISNA(VLOOKUP(E4616,#REF!,1,FALSE())),"?TYPE_IDENTIFIABLE","?REFERENTIAL"),"_")))))</f>
        <v> </v>
      </c>
      <c r="H4616" s="24" t="str">
        <f>IF(J4616&lt;&gt;1,"",IF(I4616="SBJ","CB","?"))</f>
        <v> </v>
      </c>
      <c r="I4616" s="25" t="str">
        <f>IF(OR(E4616="",E4616="!!!",F4616="NEW"),"",INDEX(B4615:B$2,-1+SUMPRODUCT(MAX(ROW(E4615:E$2)*(E4616=E4615:E$2)))))</f>
        <v> </v>
      </c>
      <c r="J4616" s="25" t="str">
        <f>IF(OR(E4616="",E4616="!!!",F4616="NEW"),"",COUNTBLANK(OFFSET(A$1,,,SUMPRODUCT(MAX(ROW(E$2:E4616)*(E4616=E$2:E4616)))))-COUNTBLANK(OFFSET(A$1,,,SUMPRODUCT(MAX(ROW(E$1:E4615)*(E2=E$1:E4615))))))</f>
        <v> </v>
      </c>
      <c r="K4616" s="25" t="str">
        <f>IF(OR(E4616="",E4616="!!!",F4616="NEW"),"",INDEX(J$1:J4615,SUMPRODUCT(MAX(ROW(E$1:E4615)*(E4616=E$1:E4615)))))</f>
        <v> </v>
      </c>
      <c r="L4616" s="26"/>
    </row>
    <row r="4617" spans="1:12">
      <c r="A4617" s="20" t="s">
        <v>2426</v>
      </c>
      <c r="E4617" s="21">
        <f>IF(D4617="?OLD","!!!","")</f>
        <v/>
      </c>
      <c r="F4617" s="22" t="str">
        <f>IF(OR(E4617="",E4617="!!!"),"",IF(NOT(ISNA(VLOOKUP(E4617,E$1:E4616,1,FALSE()))),"OLD",IF(AND(E4617&lt;&gt;"",E4617&lt;&gt;"!!!"),"NEW","")))</f>
        <v> </v>
      </c>
      <c r="G4617" s="23" t="str">
        <f>IF(OR(E4617="",E4617="!!!"),"",IF(OR(J4617=0,AND(J4617=1,K4617=1),AND(J4617=1,I4617="SBJ"),AND(J4617=1,I4617=0)),"?IN_FOCUS",IF(J4617&lt;=2,"?ACTIVATED",IF(J4617&lt;&gt;"","?FAMILIAR",IF(F4617="NEW",IF(ISNA(VLOOKUP(E4617,#REF!,1,FALSE())),"?TYPE_IDENTIFIABLE","?REFERENTIAL"),"_")))))</f>
        <v> </v>
      </c>
      <c r="H4617" s="24" t="str">
        <f>IF(J4617&lt;&gt;1,"",IF(I4617="SBJ","CB","?"))</f>
        <v> </v>
      </c>
      <c r="I4617" s="25" t="str">
        <f>IF(OR(E4617="",E4617="!!!",F4617="NEW"),"",INDEX(B4616:B$2,-1+SUMPRODUCT(MAX(ROW(E4616:E$2)*(E4617=E4616:E$2)))))</f>
        <v> </v>
      </c>
      <c r="J4617" s="25" t="str">
        <f>IF(OR(E4617="",E4617="!!!",F4617="NEW"),"",COUNTBLANK(OFFSET(A$1,,,SUMPRODUCT(MAX(ROW(E$2:E4617)*(E4617=E$2:E4617)))))-COUNTBLANK(OFFSET(A$1,,,SUMPRODUCT(MAX(ROW(E$1:E4616)*(E2=E$1:E4616))))))</f>
        <v> </v>
      </c>
      <c r="K4617" s="25" t="str">
        <f>IF(OR(E4617="",E4617="!!!",F4617="NEW"),"",INDEX(J$1:J4616,SUMPRODUCT(MAX(ROW(E$1:E4616)*(E4617=E$1:E4616)))))</f>
        <v> </v>
      </c>
      <c r="L4617" s="26"/>
    </row>
    <row r="4618" spans="1:12">
      <c r="A4618" s="20" t="s">
        <v>1087</v>
      </c>
      <c r="E4618" s="21">
        <f>IF(D4618="?OLD","!!!","")</f>
        <v/>
      </c>
      <c r="F4618" s="22" t="str">
        <f>IF(OR(E4618="",E4618="!!!"),"",IF(NOT(ISNA(VLOOKUP(E4618,E$1:E4617,1,FALSE()))),"OLD",IF(AND(E4618&lt;&gt;"",E4618&lt;&gt;"!!!"),"NEW","")))</f>
        <v> </v>
      </c>
      <c r="G4618" s="23" t="str">
        <f>IF(OR(E4618="",E4618="!!!"),"",IF(OR(J4618=0,AND(J4618=1,K4618=1),AND(J4618=1,I4618="SBJ"),AND(J4618=1,I4618=0)),"?IN_FOCUS",IF(J4618&lt;=2,"?ACTIVATED",IF(J4618&lt;&gt;"","?FAMILIAR",IF(F4618="NEW",IF(ISNA(VLOOKUP(E4618,#REF!,1,FALSE())),"?TYPE_IDENTIFIABLE","?REFERENTIAL"),"_")))))</f>
        <v> </v>
      </c>
      <c r="H4618" s="24" t="str">
        <f>IF(J4618&lt;&gt;1,"",IF(I4618="SBJ","CB","?"))</f>
        <v> </v>
      </c>
      <c r="I4618" s="25" t="str">
        <f>IF(OR(E4618="",E4618="!!!",F4618="NEW"),"",INDEX(B4617:B$2,-1+SUMPRODUCT(MAX(ROW(E4617:E$2)*(E4618=E4617:E$2)))))</f>
        <v> </v>
      </c>
      <c r="J4618" s="25" t="str">
        <f>IF(OR(E4618="",E4618="!!!",F4618="NEW"),"",COUNTBLANK(OFFSET(A$1,,,SUMPRODUCT(MAX(ROW(E$2:E4618)*(E4618=E$2:E4618)))))-COUNTBLANK(OFFSET(A$1,,,SUMPRODUCT(MAX(ROW(E$1:E4617)*(E2=E$1:E4617))))))</f>
        <v> </v>
      </c>
      <c r="K4618" s="25" t="str">
        <f>IF(OR(E4618="",E4618="!!!",F4618="NEW"),"",INDEX(J$1:J4617,SUMPRODUCT(MAX(ROW(E$1:E4617)*(E4618=E$1:E4617)))))</f>
        <v> </v>
      </c>
      <c r="L4618" s="26"/>
    </row>
    <row r="4619" spans="1:12">
      <c r="A4619" s="20" t="s">
        <v>1104</v>
      </c>
      <c r="B4619" s="27" t="s">
        <v>1133</v>
      </c>
      <c r="E4619" s="21">
        <f>IF(D4619="?OLD","!!!","")</f>
        <v/>
      </c>
      <c r="F4619" s="22" t="str">
        <f>IF(OR(E4619="",E4619="!!!"),"",IF(NOT(ISNA(VLOOKUP(E4619,E$1:E4618,1,FALSE()))),"OLD",IF(AND(E4619&lt;&gt;"",E4619&lt;&gt;"!!!"),"NEW","")))</f>
        <v> </v>
      </c>
      <c r="G4619" s="23" t="str">
        <f>IF(OR(E4619="",E4619="!!!"),"",IF(OR(J4619=0,AND(J4619=1,K4619=1),AND(J4619=1,I4619="SBJ"),AND(J4619=1,I4619=0)),"?IN_FOCUS",IF(J4619&lt;=2,"?ACTIVATED",IF(J4619&lt;&gt;"","?FAMILIAR",IF(F4619="NEW",IF(ISNA(VLOOKUP(E4619,#REF!,1,FALSE())),"?TYPE_IDENTIFIABLE","?REFERENTIAL"),"_")))))</f>
        <v> </v>
      </c>
      <c r="H4619" s="24" t="str">
        <f>IF(J4619&lt;&gt;1,"",IF(I4619="SBJ","CB","?"))</f>
        <v> </v>
      </c>
      <c r="I4619" s="25" t="str">
        <f>IF(OR(E4619="",E4619="!!!",F4619="NEW"),"",INDEX(B4618:B$2,-1+SUMPRODUCT(MAX(ROW(E4618:E$2)*(E4619=E4618:E$2)))))</f>
        <v> </v>
      </c>
      <c r="J4619" s="25" t="str">
        <f>IF(OR(E4619="",E4619="!!!",F4619="NEW"),"",COUNTBLANK(OFFSET(A$1,,,SUMPRODUCT(MAX(ROW(E$2:E4619)*(E4619=E$2:E4619)))))-COUNTBLANK(OFFSET(A$1,,,SUMPRODUCT(MAX(ROW(E$1:E4618)*(E2=E$1:E4618))))))</f>
        <v> </v>
      </c>
      <c r="K4619" s="25" t="str">
        <f>IF(OR(E4619="",E4619="!!!",F4619="NEW"),"",INDEX(J$1:J4618,SUMPRODUCT(MAX(ROW(E$1:E4618)*(E4619=E$1:E4618)))))</f>
        <v> </v>
      </c>
      <c r="L4619" s="26"/>
    </row>
    <row r="4620" spans="1:12">
      <c r="A4620" s="20" t="s">
        <v>1089</v>
      </c>
      <c r="B4620" s="27" t="s">
        <v>1106</v>
      </c>
      <c r="E4620" s="21">
        <f>IF(D4620="?OLD","!!!","")</f>
        <v/>
      </c>
      <c r="F4620" s="22" t="str">
        <f>IF(OR(E4620="",E4620="!!!"),"",IF(NOT(ISNA(VLOOKUP(E4620,E$1:E4619,1,FALSE()))),"OLD",IF(AND(E4620&lt;&gt;"",E4620&lt;&gt;"!!!"),"NEW","")))</f>
        <v> </v>
      </c>
      <c r="G4620" s="23" t="str">
        <f>IF(OR(E4620="",E4620="!!!"),"",IF(OR(J4620=0,AND(J4620=1,K4620=1),AND(J4620=1,I4620="SBJ"),AND(J4620=1,I4620=0)),"?IN_FOCUS",IF(J4620&lt;=2,"?ACTIVATED",IF(J4620&lt;&gt;"","?FAMILIAR",IF(F4620="NEW",IF(ISNA(VLOOKUP(E4620,#REF!,1,FALSE())),"?TYPE_IDENTIFIABLE","?REFERENTIAL"),"_")))))</f>
        <v> </v>
      </c>
      <c r="H4620" s="24" t="str">
        <f>IF(J4620&lt;&gt;1,"",IF(I4620="SBJ","CB","?"))</f>
        <v> </v>
      </c>
      <c r="I4620" s="25" t="str">
        <f>IF(OR(E4620="",E4620="!!!",F4620="NEW"),"",INDEX(B4619:B$2,-1+SUMPRODUCT(MAX(ROW(E4619:E$2)*(E4620=E4619:E$2)))))</f>
        <v> </v>
      </c>
      <c r="J4620" s="25" t="str">
        <f>IF(OR(E4620="",E4620="!!!",F4620="NEW"),"",COUNTBLANK(OFFSET(A$1,,,SUMPRODUCT(MAX(ROW(E$2:E4620)*(E4620=E$2:E4620)))))-COUNTBLANK(OFFSET(A$1,,,SUMPRODUCT(MAX(ROW(E$1:E4619)*(E2=E$1:E4619))))))</f>
        <v> </v>
      </c>
      <c r="K4620" s="25" t="str">
        <f>IF(OR(E4620="",E4620="!!!",F4620="NEW"),"",INDEX(J$1:J4619,SUMPRODUCT(MAX(ROW(E$1:E4619)*(E4620=E$1:E4619)))))</f>
        <v> </v>
      </c>
      <c r="L4620" s="26"/>
    </row>
    <row r="4621" spans="1:12">
      <c r="A4621" s="20" t="s">
        <v>1246</v>
      </c>
      <c r="E4621" s="21">
        <f>IF(D4621="?OLD","!!!","")</f>
        <v/>
      </c>
      <c r="F4621" s="22" t="str">
        <f>IF(OR(E4621="",E4621="!!!"),"",IF(NOT(ISNA(VLOOKUP(E4621,E$1:E4620,1,FALSE()))),"OLD",IF(AND(E4621&lt;&gt;"",E4621&lt;&gt;"!!!"),"NEW","")))</f>
        <v> </v>
      </c>
      <c r="G4621" s="23" t="str">
        <f>IF(OR(E4621="",E4621="!!!"),"",IF(OR(J4621=0,AND(J4621=1,K4621=1),AND(J4621=1,I4621="SBJ"),AND(J4621=1,I4621=0)),"?IN_FOCUS",IF(J4621&lt;=2,"?ACTIVATED",IF(J4621&lt;&gt;"","?FAMILIAR",IF(F4621="NEW",IF(ISNA(VLOOKUP(E4621,#REF!,1,FALSE())),"?TYPE_IDENTIFIABLE","?REFERENTIAL"),"_")))))</f>
        <v> </v>
      </c>
      <c r="H4621" s="24" t="str">
        <f>IF(J4621&lt;&gt;1,"",IF(I4621="SBJ","CB","?"))</f>
        <v> </v>
      </c>
      <c r="I4621" s="25" t="str">
        <f>IF(OR(E4621="",E4621="!!!",F4621="NEW"),"",INDEX(B4620:B$2,-1+SUMPRODUCT(MAX(ROW(E4620:E$2)*(E4621=E4620:E$2)))))</f>
        <v> </v>
      </c>
      <c r="J4621" s="25" t="str">
        <f>IF(OR(E4621="",E4621="!!!",F4621="NEW"),"",COUNTBLANK(OFFSET(A$1,,,SUMPRODUCT(MAX(ROW(E$2:E4621)*(E4621=E$2:E4621)))))-COUNTBLANK(OFFSET(A$1,,,SUMPRODUCT(MAX(ROW(E$1:E4620)*(E2=E$1:E4620))))))</f>
        <v> </v>
      </c>
      <c r="K4621" s="25" t="str">
        <f>IF(OR(E4621="",E4621="!!!",F4621="NEW"),"",INDEX(J$1:J4620,SUMPRODUCT(MAX(ROW(E$1:E4620)*(E4621=E$1:E4620)))))</f>
        <v> </v>
      </c>
      <c r="L4621" s="26"/>
    </row>
    <row r="4622" spans="1:12">
      <c r="A4622" s="20" t="s">
        <v>2311</v>
      </c>
      <c r="E4622" s="21">
        <f>IF(D4622="?OLD","!!!","")</f>
        <v/>
      </c>
      <c r="F4622" s="22" t="str">
        <f>IF(OR(E4622="",E4622="!!!"),"",IF(NOT(ISNA(VLOOKUP(E4622,E$1:E4621,1,FALSE()))),"OLD",IF(AND(E4622&lt;&gt;"",E4622&lt;&gt;"!!!"),"NEW","")))</f>
        <v> </v>
      </c>
      <c r="G4622" s="23" t="str">
        <f>IF(OR(E4622="",E4622="!!!"),"",IF(OR(J4622=0,AND(J4622=1,K4622=1),AND(J4622=1,I4622="SBJ"),AND(J4622=1,I4622=0)),"?IN_FOCUS",IF(J4622&lt;=2,"?ACTIVATED",IF(J4622&lt;&gt;"","?FAMILIAR",IF(F4622="NEW",IF(ISNA(VLOOKUP(E4622,#REF!,1,FALSE())),"?TYPE_IDENTIFIABLE","?REFERENTIAL"),"_")))))</f>
        <v> </v>
      </c>
      <c r="H4622" s="24" t="str">
        <f>IF(J4622&lt;&gt;1,"",IF(I4622="SBJ","CB","?"))</f>
        <v> </v>
      </c>
      <c r="I4622" s="25" t="str">
        <f>IF(OR(E4622="",E4622="!!!",F4622="NEW"),"",INDEX(B4621:B$2,-1+SUMPRODUCT(MAX(ROW(E4621:E$2)*(E4622=E4621:E$2)))))</f>
        <v> </v>
      </c>
      <c r="J4622" s="25" t="str">
        <f>IF(OR(E4622="",E4622="!!!",F4622="NEW"),"",COUNTBLANK(OFFSET(A$1,,,SUMPRODUCT(MAX(ROW(E$2:E4622)*(E4622=E$2:E4622)))))-COUNTBLANK(OFFSET(A$1,,,SUMPRODUCT(MAX(ROW(E$1:E4621)*(E2=E$1:E4621))))))</f>
        <v> </v>
      </c>
      <c r="K4622" s="25" t="str">
        <f>IF(OR(E4622="",E4622="!!!",F4622="NEW"),"",INDEX(J$1:J4621,SUMPRODUCT(MAX(ROW(E$1:E4621)*(E4622=E$1:E4621)))))</f>
        <v> </v>
      </c>
      <c r="L4622" s="26"/>
    </row>
    <row r="4623" spans="1:12">
      <c r="A4623" s="20" t="s">
        <v>2427</v>
      </c>
      <c r="B4623" s="27" t="s">
        <v>1092</v>
      </c>
      <c r="C4623" s="27" t="s">
        <v>1077</v>
      </c>
      <c r="E4623" s="21">
        <f>IF(D4623="?OLD","!!!","")</f>
        <v/>
      </c>
      <c r="F4623" s="22" t="str">
        <f>IF(OR(E4623="",E4623="!!!"),"",IF(NOT(ISNA(VLOOKUP(E4623,E$1:E4622,1,FALSE()))),"OLD",IF(AND(E4623&lt;&gt;"",E4623&lt;&gt;"!!!"),"NEW","")))</f>
        <v> </v>
      </c>
      <c r="G4623" s="23" t="str">
        <f>IF(OR(E4623="",E4623="!!!"),"",IF(OR(J4623=0,AND(J4623=1,K4623=1),AND(J4623=1,I4623="SBJ"),AND(J4623=1,I4623=0)),"?IN_FOCUS",IF(J4623&lt;=2,"?ACTIVATED",IF(J4623&lt;&gt;"","?FAMILIAR",IF(F4623="NEW",IF(ISNA(VLOOKUP(E4623,#REF!,1,FALSE())),"?TYPE_IDENTIFIABLE","?REFERENTIAL"),"_")))))</f>
        <v> </v>
      </c>
      <c r="H4623" s="24" t="str">
        <f>IF(J4623&lt;&gt;1,"",IF(I4623="SBJ","CB","?"))</f>
        <v> </v>
      </c>
      <c r="I4623" s="25" t="str">
        <f>IF(OR(E4623="",E4623="!!!",F4623="NEW"),"",INDEX(B4622:B$2,-1+SUMPRODUCT(MAX(ROW(E4622:E$2)*(E4623=E4622:E$2)))))</f>
        <v> </v>
      </c>
      <c r="J4623" s="25" t="str">
        <f>IF(OR(E4623="",E4623="!!!",F4623="NEW"),"",COUNTBLANK(OFFSET(A$1,,,SUMPRODUCT(MAX(ROW(E$2:E4623)*(E4623=E$2:E4623)))))-COUNTBLANK(OFFSET(A$1,,,SUMPRODUCT(MAX(ROW(E$1:E4622)*(E2=E$1:E4622))))))</f>
        <v> </v>
      </c>
      <c r="K4623" s="25" t="str">
        <f>IF(OR(E4623="",E4623="!!!",F4623="NEW"),"",INDEX(J$1:J4622,SUMPRODUCT(MAX(ROW(E$1:E4622)*(E4623=E$1:E4622)))))</f>
        <v> </v>
      </c>
      <c r="L4623" s="26"/>
    </row>
    <row r="4624" spans="1:12">
      <c r="A4624" s="20" t="s">
        <v>2428</v>
      </c>
      <c r="E4624" s="21">
        <f>IF(D4624="?OLD","!!!","")</f>
        <v/>
      </c>
      <c r="F4624" s="22" t="str">
        <f>IF(OR(E4624="",E4624="!!!"),"",IF(NOT(ISNA(VLOOKUP(E4624,E$1:E4623,1,FALSE()))),"OLD",IF(AND(E4624&lt;&gt;"",E4624&lt;&gt;"!!!"),"NEW","")))</f>
        <v> </v>
      </c>
      <c r="G4624" s="23" t="str">
        <f>IF(OR(E4624="",E4624="!!!"),"",IF(OR(J4624=0,AND(J4624=1,K4624=1),AND(J4624=1,I4624="SBJ"),AND(J4624=1,I4624=0)),"?IN_FOCUS",IF(J4624&lt;=2,"?ACTIVATED",IF(J4624&lt;&gt;"","?FAMILIAR",IF(F4624="NEW",IF(ISNA(VLOOKUP(E4624,#REF!,1,FALSE())),"?TYPE_IDENTIFIABLE","?REFERENTIAL"),"_")))))</f>
        <v> </v>
      </c>
      <c r="H4624" s="24" t="str">
        <f>IF(J4624&lt;&gt;1,"",IF(I4624="SBJ","CB","?"))</f>
        <v> </v>
      </c>
      <c r="I4624" s="25" t="str">
        <f>IF(OR(E4624="",E4624="!!!",F4624="NEW"),"",INDEX(B4623:B$2,-1+SUMPRODUCT(MAX(ROW(E4623:E$2)*(E4624=E4623:E$2)))))</f>
        <v> </v>
      </c>
      <c r="J4624" s="25" t="str">
        <f>IF(OR(E4624="",E4624="!!!",F4624="NEW"),"",COUNTBLANK(OFFSET(A$1,,,SUMPRODUCT(MAX(ROW(E$2:E4624)*(E4624=E$2:E4624)))))-COUNTBLANK(OFFSET(A$1,,,SUMPRODUCT(MAX(ROW(E$1:E4623)*(E2=E$1:E4623))))))</f>
        <v> </v>
      </c>
      <c r="K4624" s="25" t="str">
        <f>IF(OR(E4624="",E4624="!!!",F4624="NEW"),"",INDEX(J$1:J4623,SUMPRODUCT(MAX(ROW(E$1:E4623)*(E4624=E$1:E4623)))))</f>
        <v> </v>
      </c>
      <c r="L4624" s="26"/>
    </row>
    <row r="4625" spans="1:12">
      <c r="A4625" s="20" t="s">
        <v>1087</v>
      </c>
      <c r="E4625" s="21">
        <f>IF(D4625="?OLD","!!!","")</f>
        <v/>
      </c>
      <c r="F4625" s="22" t="str">
        <f>IF(OR(E4625="",E4625="!!!"),"",IF(NOT(ISNA(VLOOKUP(E4625,E$1:E4624,1,FALSE()))),"OLD",IF(AND(E4625&lt;&gt;"",E4625&lt;&gt;"!!!"),"NEW","")))</f>
        <v> </v>
      </c>
      <c r="G4625" s="23" t="str">
        <f>IF(OR(E4625="",E4625="!!!"),"",IF(OR(J4625=0,AND(J4625=1,K4625=1),AND(J4625=1,I4625="SBJ"),AND(J4625=1,I4625=0)),"?IN_FOCUS",IF(J4625&lt;=2,"?ACTIVATED",IF(J4625&lt;&gt;"","?FAMILIAR",IF(F4625="NEW",IF(ISNA(VLOOKUP(E4625,#REF!,1,FALSE())),"?TYPE_IDENTIFIABLE","?REFERENTIAL"),"_")))))</f>
        <v> </v>
      </c>
      <c r="H4625" s="24" t="str">
        <f>IF(J4625&lt;&gt;1,"",IF(I4625="SBJ","CB","?"))</f>
        <v> </v>
      </c>
      <c r="I4625" s="25" t="str">
        <f>IF(OR(E4625="",E4625="!!!",F4625="NEW"),"",INDEX(B4624:B$2,-1+SUMPRODUCT(MAX(ROW(E4624:E$2)*(E4625=E4624:E$2)))))</f>
        <v> </v>
      </c>
      <c r="J4625" s="25" t="str">
        <f>IF(OR(E4625="",E4625="!!!",F4625="NEW"),"",COUNTBLANK(OFFSET(A$1,,,SUMPRODUCT(MAX(ROW(E$2:E4625)*(E4625=E$2:E4625)))))-COUNTBLANK(OFFSET(A$1,,,SUMPRODUCT(MAX(ROW(E$1:E4624)*(E2=E$1:E4624))))))</f>
        <v> </v>
      </c>
      <c r="K4625" s="25" t="str">
        <f>IF(OR(E4625="",E4625="!!!",F4625="NEW"),"",INDEX(J$1:J4624,SUMPRODUCT(MAX(ROW(E$1:E4624)*(E4625=E$1:E4624)))))</f>
        <v> </v>
      </c>
      <c r="L4625" s="26"/>
    </row>
    <row r="4626" spans="1:12">
      <c r="A4626" s="20" t="s">
        <v>1100</v>
      </c>
      <c r="E4626" s="21">
        <f>IF(D4626="?OLD","!!!","")</f>
        <v/>
      </c>
      <c r="F4626" s="22" t="str">
        <f>IF(OR(E4626="",E4626="!!!"),"",IF(NOT(ISNA(VLOOKUP(E4626,E$1:E4625,1,FALSE()))),"OLD",IF(AND(E4626&lt;&gt;"",E4626&lt;&gt;"!!!"),"NEW","")))</f>
        <v> </v>
      </c>
      <c r="G4626" s="23" t="str">
        <f>IF(OR(E4626="",E4626="!!!"),"",IF(OR(J4626=0,AND(J4626=1,K4626=1),AND(J4626=1,I4626="SBJ"),AND(J4626=1,I4626=0)),"?IN_FOCUS",IF(J4626&lt;=2,"?ACTIVATED",IF(J4626&lt;&gt;"","?FAMILIAR",IF(F4626="NEW",IF(ISNA(VLOOKUP(E4626,#REF!,1,FALSE())),"?TYPE_IDENTIFIABLE","?REFERENTIAL"),"_")))))</f>
        <v> </v>
      </c>
      <c r="H4626" s="24" t="str">
        <f>IF(J4626&lt;&gt;1,"",IF(I4626="SBJ","CB","?"))</f>
        <v> </v>
      </c>
      <c r="I4626" s="25" t="str">
        <f>IF(OR(E4626="",E4626="!!!",F4626="NEW"),"",INDEX(B4625:B$2,-1+SUMPRODUCT(MAX(ROW(E4625:E$2)*(E4626=E4625:E$2)))))</f>
        <v> </v>
      </c>
      <c r="J4626" s="25" t="str">
        <f>IF(OR(E4626="",E4626="!!!",F4626="NEW"),"",COUNTBLANK(OFFSET(A$1,,,SUMPRODUCT(MAX(ROW(E$2:E4626)*(E4626=E$2:E4626)))))-COUNTBLANK(OFFSET(A$1,,,SUMPRODUCT(MAX(ROW(E$1:E4625)*(E2=E$1:E4625))))))</f>
        <v> </v>
      </c>
      <c r="K4626" s="25" t="str">
        <f>IF(OR(E4626="",E4626="!!!",F4626="NEW"),"",INDEX(J$1:J4625,SUMPRODUCT(MAX(ROW(E$1:E4625)*(E4626=E$1:E4625)))))</f>
        <v> </v>
      </c>
      <c r="L4626" s="26"/>
    </row>
    <row r="4627" spans="1:12">
      <c r="A4627" s="20" t="s">
        <v>1104</v>
      </c>
      <c r="E4627" s="21">
        <f>IF(D4627="?OLD","!!!","")</f>
        <v/>
      </c>
      <c r="F4627" s="22" t="str">
        <f>IF(OR(E4627="",E4627="!!!"),"",IF(NOT(ISNA(VLOOKUP(E4627,E$1:E4626,1,FALSE()))),"OLD",IF(AND(E4627&lt;&gt;"",E4627&lt;&gt;"!!!"),"NEW","")))</f>
        <v> </v>
      </c>
      <c r="G4627" s="23" t="str">
        <f>IF(OR(E4627="",E4627="!!!"),"",IF(OR(J4627=0,AND(J4627=1,K4627=1),AND(J4627=1,I4627="SBJ"),AND(J4627=1,I4627=0)),"?IN_FOCUS",IF(J4627&lt;=2,"?ACTIVATED",IF(J4627&lt;&gt;"","?FAMILIAR",IF(F4627="NEW",IF(ISNA(VLOOKUP(E4627,#REF!,1,FALSE())),"?TYPE_IDENTIFIABLE","?REFERENTIAL"),"_")))))</f>
        <v> </v>
      </c>
      <c r="H4627" s="24" t="str">
        <f>IF(J4627&lt;&gt;1,"",IF(I4627="SBJ","CB","?"))</f>
        <v> </v>
      </c>
      <c r="I4627" s="25" t="str">
        <f>IF(OR(E4627="",E4627="!!!",F4627="NEW"),"",INDEX(B4626:B$2,-1+SUMPRODUCT(MAX(ROW(E4626:E$2)*(E4627=E4626:E$2)))))</f>
        <v> </v>
      </c>
      <c r="J4627" s="25" t="str">
        <f>IF(OR(E4627="",E4627="!!!",F4627="NEW"),"",COUNTBLANK(OFFSET(A$1,,,SUMPRODUCT(MAX(ROW(E$2:E4627)*(E4627=E$2:E4627)))))-COUNTBLANK(OFFSET(A$1,,,SUMPRODUCT(MAX(ROW(E$1:E4626)*(E2=E$1:E4626))))))</f>
        <v> </v>
      </c>
      <c r="K4627" s="25" t="str">
        <f>IF(OR(E4627="",E4627="!!!",F4627="NEW"),"",INDEX(J$1:J4626,SUMPRODUCT(MAX(ROW(E$1:E4626)*(E4627=E$1:E4626)))))</f>
        <v> </v>
      </c>
      <c r="L4627" s="26"/>
    </row>
    <row r="4628" spans="1:12">
      <c r="A4628" s="20" t="s">
        <v>2429</v>
      </c>
      <c r="B4628" s="27" t="s">
        <v>1250</v>
      </c>
      <c r="C4628" s="27" t="s">
        <v>1086</v>
      </c>
      <c r="D4628" s="27" t="s">
        <v>1069</v>
      </c>
      <c r="E4628" s="21">
        <f>IF(D4628="?OLD","!!!","")</f>
        <v/>
      </c>
      <c r="F4628" s="22" t="str">
        <f>IF(OR(E4628="",E4628="!!!"),"",IF(NOT(ISNA(VLOOKUP(E4628,E$1:E4627,1,FALSE()))),"OLD",IF(AND(E4628&lt;&gt;"",E4628&lt;&gt;"!!!"),"NEW","")))</f>
        <v> </v>
      </c>
      <c r="G4628" s="23" t="str">
        <f>IF(OR(E4628="",E4628="!!!"),"",IF(OR(J4628=0,AND(J4628=1,K4628=1),AND(J4628=1,I4628="SBJ"),AND(J4628=1,I4628=0)),"?IN_FOCUS",IF(J4628&lt;=2,"?ACTIVATED",IF(J4628&lt;&gt;"","?FAMILIAR",IF(F4628="NEW",IF(ISNA(VLOOKUP(E4628,#REF!,1,FALSE())),"?TYPE_IDENTIFIABLE","?REFERENTIAL"),"_")))))</f>
        <v> </v>
      </c>
      <c r="H4628" s="24" t="str">
        <f>IF(J4628&lt;&gt;1,"",IF(I4628="SBJ","CB","?"))</f>
        <v> </v>
      </c>
      <c r="I4628" s="25" t="str">
        <f>IF(OR(E4628="",E4628="!!!",F4628="NEW"),"",INDEX(B4627:B$2,-1+SUMPRODUCT(MAX(ROW(E4627:E$2)*(E4628=E4627:E$2)))))</f>
        <v> </v>
      </c>
      <c r="J4628" s="25" t="str">
        <f>IF(OR(E4628="",E4628="!!!",F4628="NEW"),"",COUNTBLANK(OFFSET(A$1,,,SUMPRODUCT(MAX(ROW(E$2:E4628)*(E4628=E$2:E4628)))))-COUNTBLANK(OFFSET(A$1,,,SUMPRODUCT(MAX(ROW(E$1:E4627)*(E2=E$1:E4627))))))</f>
        <v> </v>
      </c>
      <c r="K4628" s="25" t="str">
        <f>IF(OR(E4628="",E4628="!!!",F4628="NEW"),"",INDEX(J$1:J4627,SUMPRODUCT(MAX(ROW(E$1:E4627)*(E4628=E$1:E4627)))))</f>
        <v> </v>
      </c>
      <c r="L4628" s="26"/>
    </row>
    <row r="4629" spans="1:12">
      <c r="A4629" s="20" t="s">
        <v>1070</v>
      </c>
      <c r="E4629" s="21">
        <f>IF(D4629="?OLD","!!!","")</f>
        <v/>
      </c>
      <c r="F4629" s="22" t="str">
        <f>IF(OR(E4629="",E4629="!!!"),"",IF(NOT(ISNA(VLOOKUP(E4629,E$1:E4628,1,FALSE()))),"OLD",IF(AND(E4629&lt;&gt;"",E4629&lt;&gt;"!!!"),"NEW","")))</f>
        <v> </v>
      </c>
      <c r="G4629" s="23" t="str">
        <f>IF(OR(E4629="",E4629="!!!"),"",IF(OR(J4629=0,AND(J4629=1,K4629=1),AND(J4629=1,I4629="SBJ"),AND(J4629=1,I4629=0)),"?IN_FOCUS",IF(J4629&lt;=2,"?ACTIVATED",IF(J4629&lt;&gt;"","?FAMILIAR",IF(F4629="NEW",IF(ISNA(VLOOKUP(E4629,#REF!,1,FALSE())),"?TYPE_IDENTIFIABLE","?REFERENTIAL"),"_")))))</f>
        <v> </v>
      </c>
      <c r="H4629" s="24" t="str">
        <f>IF(J4629&lt;&gt;1,"",IF(I4629="SBJ","CB","?"))</f>
        <v> </v>
      </c>
      <c r="I4629" s="25" t="str">
        <f>IF(OR(E4629="",E4629="!!!",F4629="NEW"),"",INDEX(B4628:B$2,-1+SUMPRODUCT(MAX(ROW(E4628:E$2)*(E4629=E4628:E$2)))))</f>
        <v> </v>
      </c>
      <c r="J4629" s="25" t="str">
        <f>IF(OR(E4629="",E4629="!!!",F4629="NEW"),"",COUNTBLANK(OFFSET(A$1,,,SUMPRODUCT(MAX(ROW(E$2:E4629)*(E4629=E$2:E4629)))))-COUNTBLANK(OFFSET(A$1,,,SUMPRODUCT(MAX(ROW(E$1:E4628)*(E2=E$1:E4628))))))</f>
        <v> </v>
      </c>
      <c r="K4629" s="25" t="str">
        <f>IF(OR(E4629="",E4629="!!!",F4629="NEW"),"",INDEX(J$1:J4628,SUMPRODUCT(MAX(ROW(E$1:E4628)*(E4629=E$1:E4628)))))</f>
        <v> </v>
      </c>
      <c r="L4629" s="26"/>
    </row>
    <row r="4630" spans="1:12">
      <c r="A4630" s="20" t="s">
        <v>2430</v>
      </c>
      <c r="E4630" s="21">
        <f>IF(D4630="?OLD","!!!","")</f>
        <v/>
      </c>
      <c r="F4630" s="22" t="str">
        <f>IF(OR(E4630="",E4630="!!!"),"",IF(NOT(ISNA(VLOOKUP(E4630,E$1:E4629,1,FALSE()))),"OLD",IF(AND(E4630&lt;&gt;"",E4630&lt;&gt;"!!!"),"NEW","")))</f>
        <v> </v>
      </c>
      <c r="G4630" s="23" t="str">
        <f>IF(OR(E4630="",E4630="!!!"),"",IF(OR(J4630=0,AND(J4630=1,K4630=1),AND(J4630=1,I4630="SBJ"),AND(J4630=1,I4630=0)),"?IN_FOCUS",IF(J4630&lt;=2,"?ACTIVATED",IF(J4630&lt;&gt;"","?FAMILIAR",IF(F4630="NEW",IF(ISNA(VLOOKUP(E4630,#REF!,1,FALSE())),"?TYPE_IDENTIFIABLE","?REFERENTIAL"),"_")))))</f>
        <v> </v>
      </c>
      <c r="H4630" s="24" t="str">
        <f>IF(J4630&lt;&gt;1,"",IF(I4630="SBJ","CB","?"))</f>
        <v> </v>
      </c>
      <c r="I4630" s="25" t="str">
        <f>IF(OR(E4630="",E4630="!!!",F4630="NEW"),"",INDEX(B4629:B$2,-1+SUMPRODUCT(MAX(ROW(E4629:E$2)*(E4630=E4629:E$2)))))</f>
        <v> </v>
      </c>
      <c r="J4630" s="25" t="str">
        <f>IF(OR(E4630="",E4630="!!!",F4630="NEW"),"",COUNTBLANK(OFFSET(A$1,,,SUMPRODUCT(MAX(ROW(E$2:E4630)*(E4630=E$2:E4630)))))-COUNTBLANK(OFFSET(A$1,,,SUMPRODUCT(MAX(ROW(E$1:E4629)*(E2=E$1:E4629))))))</f>
        <v> </v>
      </c>
      <c r="K4630" s="25" t="str">
        <f>IF(OR(E4630="",E4630="!!!",F4630="NEW"),"",INDEX(J$1:J4629,SUMPRODUCT(MAX(ROW(E$1:E4629)*(E4630=E$1:E4629)))))</f>
        <v> </v>
      </c>
      <c r="L4630" s="26"/>
    </row>
    <row r="4631" spans="1:12">
      <c r="A4631" s="20" t="s">
        <v>1087</v>
      </c>
      <c r="E4631" s="21">
        <f>IF(D4631="?OLD","!!!","")</f>
        <v/>
      </c>
      <c r="F4631" s="22" t="str">
        <f>IF(OR(E4631="",E4631="!!!"),"",IF(NOT(ISNA(VLOOKUP(E4631,E$1:E4630,1,FALSE()))),"OLD",IF(AND(E4631&lt;&gt;"",E4631&lt;&gt;"!!!"),"NEW","")))</f>
        <v> </v>
      </c>
      <c r="G4631" s="23" t="str">
        <f>IF(OR(E4631="",E4631="!!!"),"",IF(OR(J4631=0,AND(J4631=1,K4631=1),AND(J4631=1,I4631="SBJ"),AND(J4631=1,I4631=0)),"?IN_FOCUS",IF(J4631&lt;=2,"?ACTIVATED",IF(J4631&lt;&gt;"","?FAMILIAR",IF(F4631="NEW",IF(ISNA(VLOOKUP(E4631,#REF!,1,FALSE())),"?TYPE_IDENTIFIABLE","?REFERENTIAL"),"_")))))</f>
        <v> </v>
      </c>
      <c r="H4631" s="24" t="str">
        <f>IF(J4631&lt;&gt;1,"",IF(I4631="SBJ","CB","?"))</f>
        <v> </v>
      </c>
      <c r="I4631" s="25" t="str">
        <f>IF(OR(E4631="",E4631="!!!",F4631="NEW"),"",INDEX(B4630:B$2,-1+SUMPRODUCT(MAX(ROW(E4630:E$2)*(E4631=E4630:E$2)))))</f>
        <v> </v>
      </c>
      <c r="J4631" s="25" t="str">
        <f>IF(OR(E4631="",E4631="!!!",F4631="NEW"),"",COUNTBLANK(OFFSET(A$1,,,SUMPRODUCT(MAX(ROW(E$2:E4631)*(E4631=E$2:E4631)))))-COUNTBLANK(OFFSET(A$1,,,SUMPRODUCT(MAX(ROW(E$1:E4630)*(E2=E$1:E4630))))))</f>
        <v> </v>
      </c>
      <c r="K4631" s="25" t="str">
        <f>IF(OR(E4631="",E4631="!!!",F4631="NEW"),"",INDEX(J$1:J4630,SUMPRODUCT(MAX(ROW(E$1:E4630)*(E4631=E$1:E4630)))))</f>
        <v> </v>
      </c>
      <c r="L4631" s="26"/>
    </row>
    <row r="4632" spans="1:12">
      <c r="A4632" s="20" t="s">
        <v>1484</v>
      </c>
      <c r="E4632" s="21">
        <f>IF(D4632="?OLD","!!!","")</f>
        <v/>
      </c>
      <c r="F4632" s="22" t="str">
        <f>IF(OR(E4632="",E4632="!!!"),"",IF(NOT(ISNA(VLOOKUP(E4632,E$1:E4631,1,FALSE()))),"OLD",IF(AND(E4632&lt;&gt;"",E4632&lt;&gt;"!!!"),"NEW","")))</f>
        <v> </v>
      </c>
      <c r="G4632" s="23" t="str">
        <f>IF(OR(E4632="",E4632="!!!"),"",IF(OR(J4632=0,AND(J4632=1,K4632=1),AND(J4632=1,I4632="SBJ"),AND(J4632=1,I4632=0)),"?IN_FOCUS",IF(J4632&lt;=2,"?ACTIVATED",IF(J4632&lt;&gt;"","?FAMILIAR",IF(F4632="NEW",IF(ISNA(VLOOKUP(E4632,#REF!,1,FALSE())),"?TYPE_IDENTIFIABLE","?REFERENTIAL"),"_")))))</f>
        <v> </v>
      </c>
      <c r="H4632" s="24" t="str">
        <f>IF(J4632&lt;&gt;1,"",IF(I4632="SBJ","CB","?"))</f>
        <v> </v>
      </c>
      <c r="I4632" s="25" t="str">
        <f>IF(OR(E4632="",E4632="!!!",F4632="NEW"),"",INDEX(B4631:B$2,-1+SUMPRODUCT(MAX(ROW(E4631:E$2)*(E4632=E4631:E$2)))))</f>
        <v> </v>
      </c>
      <c r="J4632" s="25" t="str">
        <f>IF(OR(E4632="",E4632="!!!",F4632="NEW"),"",COUNTBLANK(OFFSET(A$1,,,SUMPRODUCT(MAX(ROW(E$2:E4632)*(E4632=E$2:E4632)))))-COUNTBLANK(OFFSET(A$1,,,SUMPRODUCT(MAX(ROW(E$1:E4631)*(E2=E$1:E4631))))))</f>
        <v> </v>
      </c>
      <c r="K4632" s="25" t="str">
        <f>IF(OR(E4632="",E4632="!!!",F4632="NEW"),"",INDEX(J$1:J4631,SUMPRODUCT(MAX(ROW(E$1:E4631)*(E4632=E$1:E4631)))))</f>
        <v> </v>
      </c>
      <c r="L4632" s="26"/>
    </row>
    <row r="4633" spans="1:12">
      <c r="A4633" s="20" t="s">
        <v>1108</v>
      </c>
      <c r="B4633" s="27" t="s">
        <v>1095</v>
      </c>
      <c r="C4633" s="27" t="s">
        <v>1110</v>
      </c>
      <c r="D4633" s="27" t="s">
        <v>1069</v>
      </c>
      <c r="E4633" s="21">
        <f>IF(D4633="?OLD","!!!","")</f>
        <v/>
      </c>
      <c r="F4633" s="22" t="str">
        <f>IF(OR(E4633="",E4633="!!!"),"",IF(NOT(ISNA(VLOOKUP(E4633,E$1:E4632,1,FALSE()))),"OLD",IF(AND(E4633&lt;&gt;"",E4633&lt;&gt;"!!!"),"NEW","")))</f>
        <v> </v>
      </c>
      <c r="G4633" s="23" t="str">
        <f>IF(OR(E4633="",E4633="!!!"),"",IF(OR(J4633=0,AND(J4633=1,K4633=1),AND(J4633=1,I4633="SBJ"),AND(J4633=1,I4633=0)),"?IN_FOCUS",IF(J4633&lt;=2,"?ACTIVATED",IF(J4633&lt;&gt;"","?FAMILIAR",IF(F4633="NEW",IF(ISNA(VLOOKUP(E4633,#REF!,1,FALSE())),"?TYPE_IDENTIFIABLE","?REFERENTIAL"),"_")))))</f>
        <v> </v>
      </c>
      <c r="H4633" s="24" t="str">
        <f>IF(J4633&lt;&gt;1,"",IF(I4633="SBJ","CB","?"))</f>
        <v> </v>
      </c>
      <c r="I4633" s="25" t="str">
        <f>IF(OR(E4633="",E4633="!!!",F4633="NEW"),"",INDEX(B4632:B$2,-1+SUMPRODUCT(MAX(ROW(E4632:E$2)*(E4633=E4632:E$2)))))</f>
        <v> </v>
      </c>
      <c r="J4633" s="25" t="str">
        <f>IF(OR(E4633="",E4633="!!!",F4633="NEW"),"",COUNTBLANK(OFFSET(A$1,,,SUMPRODUCT(MAX(ROW(E$2:E4633)*(E4633=E$2:E4633)))))-COUNTBLANK(OFFSET(A$1,,,SUMPRODUCT(MAX(ROW(E$1:E4632)*(E2=E$1:E4632))))))</f>
        <v> </v>
      </c>
      <c r="K4633" s="25" t="str">
        <f>IF(OR(E4633="",E4633="!!!",F4633="NEW"),"",INDEX(J$1:J4632,SUMPRODUCT(MAX(ROW(E$1:E4632)*(E4633=E$1:E4632)))))</f>
        <v> </v>
      </c>
      <c r="L4633" s="26"/>
    </row>
    <row r="4634" spans="1:12">
      <c r="A4634" s="20" t="s">
        <v>86</v>
      </c>
      <c r="E4634" s="21">
        <f>IF(D4634="?OLD","!!!","")</f>
        <v/>
      </c>
      <c r="F4634" s="22" t="str">
        <f>IF(OR(E4634="",E4634="!!!"),"",IF(NOT(ISNA(VLOOKUP(E4634,E$1:E4633,1,FALSE()))),"OLD",IF(AND(E4634&lt;&gt;"",E4634&lt;&gt;"!!!"),"NEW","")))</f>
        <v> </v>
      </c>
      <c r="G4634" s="23" t="str">
        <f>IF(OR(E4634="",E4634="!!!"),"",IF(OR(J4634=0,AND(J4634=1,K4634=1),AND(J4634=1,I4634="SBJ"),AND(J4634=1,I4634=0)),"?IN_FOCUS",IF(J4634&lt;=2,"?ACTIVATED",IF(J4634&lt;&gt;"","?FAMILIAR",IF(F4634="NEW",IF(ISNA(VLOOKUP(E4634,#REF!,1,FALSE())),"?TYPE_IDENTIFIABLE","?REFERENTIAL"),"_")))))</f>
        <v> </v>
      </c>
      <c r="H4634" s="24" t="str">
        <f>IF(J4634&lt;&gt;1,"",IF(I4634="SBJ","CB","?"))</f>
        <v> </v>
      </c>
      <c r="I4634" s="25" t="str">
        <f>IF(OR(E4634="",E4634="!!!",F4634="NEW"),"",INDEX(B4633:B$2,-1+SUMPRODUCT(MAX(ROW(E4633:E$2)*(E4634=E4633:E$2)))))</f>
        <v> </v>
      </c>
      <c r="J4634" s="25" t="str">
        <f>IF(OR(E4634="",E4634="!!!",F4634="NEW"),"",COUNTBLANK(OFFSET(A$1,,,SUMPRODUCT(MAX(ROW(E$2:E4634)*(E4634=E$2:E4634)))))-COUNTBLANK(OFFSET(A$1,,,SUMPRODUCT(MAX(ROW(E$1:E4633)*(E2=E$1:E4633))))))</f>
        <v> </v>
      </c>
      <c r="K4634" s="25" t="str">
        <f>IF(OR(E4634="",E4634="!!!",F4634="NEW"),"",INDEX(J$1:J4633,SUMPRODUCT(MAX(ROW(E$1:E4633)*(E4634=E$1:E4633)))))</f>
        <v> </v>
      </c>
      <c r="L4634" s="26"/>
    </row>
    <row r="4635" spans="1:12">
      <c r="A4635" s="20" t="s">
        <v>1161</v>
      </c>
      <c r="E4635" s="21">
        <f>IF(D4635="?OLD","!!!","")</f>
        <v/>
      </c>
      <c r="F4635" s="22" t="str">
        <f>IF(OR(E4635="",E4635="!!!"),"",IF(NOT(ISNA(VLOOKUP(E4635,E$1:E4634,1,FALSE()))),"OLD",IF(AND(E4635&lt;&gt;"",E4635&lt;&gt;"!!!"),"NEW","")))</f>
        <v> </v>
      </c>
      <c r="G4635" s="23" t="str">
        <f>IF(OR(E4635="",E4635="!!!"),"",IF(OR(J4635=0,AND(J4635=1,K4635=1),AND(J4635=1,I4635="SBJ"),AND(J4635=1,I4635=0)),"?IN_FOCUS",IF(J4635&lt;=2,"?ACTIVATED",IF(J4635&lt;&gt;"","?FAMILIAR",IF(F4635="NEW",IF(ISNA(VLOOKUP(E4635,#REF!,1,FALSE())),"?TYPE_IDENTIFIABLE","?REFERENTIAL"),"_")))))</f>
        <v> </v>
      </c>
      <c r="H4635" s="24" t="str">
        <f>IF(J4635&lt;&gt;1,"",IF(I4635="SBJ","CB","?"))</f>
        <v> </v>
      </c>
      <c r="I4635" s="25" t="str">
        <f>IF(OR(E4635="",E4635="!!!",F4635="NEW"),"",INDEX(B4634:B$2,-1+SUMPRODUCT(MAX(ROW(E4634:E$2)*(E4635=E4634:E$2)))))</f>
        <v> </v>
      </c>
      <c r="J4635" s="25" t="str">
        <f>IF(OR(E4635="",E4635="!!!",F4635="NEW"),"",COUNTBLANK(OFFSET(A$1,,,SUMPRODUCT(MAX(ROW(E$2:E4635)*(E4635=E$2:E4635)))))-COUNTBLANK(OFFSET(A$1,,,SUMPRODUCT(MAX(ROW(E$1:E4634)*(E2=E$1:E4634))))))</f>
        <v> </v>
      </c>
      <c r="K4635" s="25" t="str">
        <f>IF(OR(E4635="",E4635="!!!",F4635="NEW"),"",INDEX(J$1:J4634,SUMPRODUCT(MAX(ROW(E$1:E4634)*(E4635=E$1:E4634)))))</f>
        <v> </v>
      </c>
      <c r="L4635" s="26"/>
    </row>
    <row r="4636" spans="1:12">
      <c r="A4636" s="20" t="s">
        <v>124</v>
      </c>
      <c r="E4636" s="21">
        <f>IF(D4636="?OLD","!!!","")</f>
        <v/>
      </c>
      <c r="F4636" s="22" t="str">
        <f>IF(OR(E4636="",E4636="!!!"),"",IF(NOT(ISNA(VLOOKUP(E4636,E$1:E4635,1,FALSE()))),"OLD",IF(AND(E4636&lt;&gt;"",E4636&lt;&gt;"!!!"),"NEW","")))</f>
        <v> </v>
      </c>
      <c r="G4636" s="23" t="str">
        <f>IF(OR(E4636="",E4636="!!!"),"",IF(OR(J4636=0,AND(J4636=1,K4636=1),AND(J4636=1,I4636="SBJ"),AND(J4636=1,I4636=0)),"?IN_FOCUS",IF(J4636&lt;=2,"?ACTIVATED",IF(J4636&lt;&gt;"","?FAMILIAR",IF(F4636="NEW",IF(ISNA(VLOOKUP(E4636,#REF!,1,FALSE())),"?TYPE_IDENTIFIABLE","?REFERENTIAL"),"_")))))</f>
        <v> </v>
      </c>
      <c r="H4636" s="24" t="str">
        <f>IF(J4636&lt;&gt;1,"",IF(I4636="SBJ","CB","?"))</f>
        <v> </v>
      </c>
      <c r="I4636" s="25" t="str">
        <f>IF(OR(E4636="",E4636="!!!",F4636="NEW"),"",INDEX(B4635:B$2,-1+SUMPRODUCT(MAX(ROW(E4635:E$2)*(E4636=E4635:E$2)))))</f>
        <v> </v>
      </c>
      <c r="J4636" s="25" t="str">
        <f>IF(OR(E4636="",E4636="!!!",F4636="NEW"),"",COUNTBLANK(OFFSET(A$1,,,SUMPRODUCT(MAX(ROW(E$2:E4636)*(E4636=E$2:E4636)))))-COUNTBLANK(OFFSET(A$1,,,SUMPRODUCT(MAX(ROW(E$1:E4635)*(E2=E$1:E4635))))))</f>
        <v> </v>
      </c>
      <c r="K4636" s="25" t="str">
        <f>IF(OR(E4636="",E4636="!!!",F4636="NEW"),"",INDEX(J$1:J4635,SUMPRODUCT(MAX(ROW(E$1:E4635)*(E4636=E$1:E4635)))))</f>
        <v> </v>
      </c>
      <c r="L4636" s="26"/>
    </row>
    <row r="4637" spans="1:12">
      <c r="A4637" s="20" t="s">
        <v>1154</v>
      </c>
      <c r="B4637" s="27" t="s">
        <v>1092</v>
      </c>
      <c r="C4637" s="27" t="s">
        <v>1117</v>
      </c>
      <c r="E4637" s="21">
        <f>IF(D4637="?OLD","!!!","")</f>
        <v/>
      </c>
      <c r="F4637" s="22" t="str">
        <f>IF(OR(E4637="",E4637="!!!"),"",IF(NOT(ISNA(VLOOKUP(E4637,E$1:E4636,1,FALSE()))),"OLD",IF(AND(E4637&lt;&gt;"",E4637&lt;&gt;"!!!"),"NEW","")))</f>
        <v> </v>
      </c>
      <c r="G4637" s="23" t="str">
        <f>IF(OR(E4637="",E4637="!!!"),"",IF(OR(J4637=0,AND(J4637=1,K4637=1),AND(J4637=1,I4637="SBJ"),AND(J4637=1,I4637=0)),"?IN_FOCUS",IF(J4637&lt;=2,"?ACTIVATED",IF(J4637&lt;&gt;"","?FAMILIAR",IF(F4637="NEW",IF(ISNA(VLOOKUP(E4637,#REF!,1,FALSE())),"?TYPE_IDENTIFIABLE","?REFERENTIAL"),"_")))))</f>
        <v> </v>
      </c>
      <c r="H4637" s="24" t="str">
        <f>IF(J4637&lt;&gt;1,"",IF(I4637="SBJ","CB","?"))</f>
        <v> </v>
      </c>
      <c r="I4637" s="25" t="str">
        <f>IF(OR(E4637="",E4637="!!!",F4637="NEW"),"",INDEX(B4636:B$2,-1+SUMPRODUCT(MAX(ROW(E4636:E$2)*(E4637=E4636:E$2)))))</f>
        <v> </v>
      </c>
      <c r="J4637" s="25" t="str">
        <f>IF(OR(E4637="",E4637="!!!",F4637="NEW"),"",COUNTBLANK(OFFSET(A$1,,,SUMPRODUCT(MAX(ROW(E$2:E4637)*(E4637=E$2:E4637)))))-COUNTBLANK(OFFSET(A$1,,,SUMPRODUCT(MAX(ROW(E$1:E4636)*(E2=E$1:E4636))))))</f>
        <v> </v>
      </c>
      <c r="K4637" s="25" t="str">
        <f>IF(OR(E4637="",E4637="!!!",F4637="NEW"),"",INDEX(J$1:J4636,SUMPRODUCT(MAX(ROW(E$1:E4636)*(E4637=E$1:E4636)))))</f>
        <v> </v>
      </c>
      <c r="L4637" s="26"/>
    </row>
    <row r="4638" spans="1:12">
      <c r="A4638" s="20" t="s">
        <v>2431</v>
      </c>
      <c r="E4638" s="21">
        <f>IF(D4638="?OLD","!!!","")</f>
        <v/>
      </c>
      <c r="F4638" s="22" t="str">
        <f>IF(OR(E4638="",E4638="!!!"),"",IF(NOT(ISNA(VLOOKUP(E4638,E$1:E4637,1,FALSE()))),"OLD",IF(AND(E4638&lt;&gt;"",E4638&lt;&gt;"!!!"),"NEW","")))</f>
        <v> </v>
      </c>
      <c r="G4638" s="23" t="str">
        <f>IF(OR(E4638="",E4638="!!!"),"",IF(OR(J4638=0,AND(J4638=1,K4638=1),AND(J4638=1,I4638="SBJ"),AND(J4638=1,I4638=0)),"?IN_FOCUS",IF(J4638&lt;=2,"?ACTIVATED",IF(J4638&lt;&gt;"","?FAMILIAR",IF(F4638="NEW",IF(ISNA(VLOOKUP(E4638,#REF!,1,FALSE())),"?TYPE_IDENTIFIABLE","?REFERENTIAL"),"_")))))</f>
        <v> </v>
      </c>
      <c r="H4638" s="24" t="str">
        <f>IF(J4638&lt;&gt;1,"",IF(I4638="SBJ","CB","?"))</f>
        <v> </v>
      </c>
      <c r="I4638" s="25" t="str">
        <f>IF(OR(E4638="",E4638="!!!",F4638="NEW"),"",INDEX(B4637:B$2,-1+SUMPRODUCT(MAX(ROW(E4637:E$2)*(E4638=E4637:E$2)))))</f>
        <v> </v>
      </c>
      <c r="J4638" s="25" t="str">
        <f>IF(OR(E4638="",E4638="!!!",F4638="NEW"),"",COUNTBLANK(OFFSET(A$1,,,SUMPRODUCT(MAX(ROW(E$2:E4638)*(E4638=E$2:E4638)))))-COUNTBLANK(OFFSET(A$1,,,SUMPRODUCT(MAX(ROW(E$1:E4637)*(E2=E$1:E4637))))))</f>
        <v> </v>
      </c>
      <c r="K4638" s="25" t="str">
        <f>IF(OR(E4638="",E4638="!!!",F4638="NEW"),"",INDEX(J$1:J4637,SUMPRODUCT(MAX(ROW(E$1:E4637)*(E4638=E$1:E4637)))))</f>
        <v> </v>
      </c>
      <c r="L4638" s="26"/>
    </row>
    <row r="4639" spans="1:12">
      <c r="A4639" s="20" t="s">
        <v>2432</v>
      </c>
      <c r="E4639" s="21">
        <f>IF(D4639="?OLD","!!!","")</f>
        <v/>
      </c>
      <c r="F4639" s="22" t="str">
        <f>IF(OR(E4639="",E4639="!!!"),"",IF(NOT(ISNA(VLOOKUP(E4639,E$1:E4638,1,FALSE()))),"OLD",IF(AND(E4639&lt;&gt;"",E4639&lt;&gt;"!!!"),"NEW","")))</f>
        <v> </v>
      </c>
      <c r="G4639" s="23" t="str">
        <f>IF(OR(E4639="",E4639="!!!"),"",IF(OR(J4639=0,AND(J4639=1,K4639=1),AND(J4639=1,I4639="SBJ"),AND(J4639=1,I4639=0)),"?IN_FOCUS",IF(J4639&lt;=2,"?ACTIVATED",IF(J4639&lt;&gt;"","?FAMILIAR",IF(F4639="NEW",IF(ISNA(VLOOKUP(E4639,#REF!,1,FALSE())),"?TYPE_IDENTIFIABLE","?REFERENTIAL"),"_")))))</f>
        <v> </v>
      </c>
      <c r="H4639" s="24" t="str">
        <f>IF(J4639&lt;&gt;1,"",IF(I4639="SBJ","CB","?"))</f>
        <v> </v>
      </c>
      <c r="I4639" s="25" t="str">
        <f>IF(OR(E4639="",E4639="!!!",F4639="NEW"),"",INDEX(B4638:B$2,-1+SUMPRODUCT(MAX(ROW(E4638:E$2)*(E4639=E4638:E$2)))))</f>
        <v> </v>
      </c>
      <c r="J4639" s="25" t="str">
        <f>IF(OR(E4639="",E4639="!!!",F4639="NEW"),"",COUNTBLANK(OFFSET(A$1,,,SUMPRODUCT(MAX(ROW(E$2:E4639)*(E4639=E$2:E4639)))))-COUNTBLANK(OFFSET(A$1,,,SUMPRODUCT(MAX(ROW(E$1:E4638)*(E2=E$1:E4638))))))</f>
        <v> </v>
      </c>
      <c r="K4639" s="25" t="str">
        <f>IF(OR(E4639="",E4639="!!!",F4639="NEW"),"",INDEX(J$1:J4638,SUMPRODUCT(MAX(ROW(E$1:E4638)*(E4639=E$1:E4638)))))</f>
        <v> </v>
      </c>
      <c r="L4639" s="26"/>
    </row>
    <row r="4640" spans="1:12">
      <c r="A4640" s="20" t="s">
        <v>1100</v>
      </c>
      <c r="E4640" s="21">
        <f>IF(D4640="?OLD","!!!","")</f>
        <v/>
      </c>
      <c r="F4640" s="22" t="str">
        <f>IF(OR(E4640="",E4640="!!!"),"",IF(NOT(ISNA(VLOOKUP(E4640,E$1:E4639,1,FALSE()))),"OLD",IF(AND(E4640&lt;&gt;"",E4640&lt;&gt;"!!!"),"NEW","")))</f>
        <v> </v>
      </c>
      <c r="G4640" s="23" t="str">
        <f>IF(OR(E4640="",E4640="!!!"),"",IF(OR(J4640=0,AND(J4640=1,K4640=1),AND(J4640=1,I4640="SBJ"),AND(J4640=1,I4640=0)),"?IN_FOCUS",IF(J4640&lt;=2,"?ACTIVATED",IF(J4640&lt;&gt;"","?FAMILIAR",IF(F4640="NEW",IF(ISNA(VLOOKUP(E4640,#REF!,1,FALSE())),"?TYPE_IDENTIFIABLE","?REFERENTIAL"),"_")))))</f>
        <v> </v>
      </c>
      <c r="H4640" s="24" t="str">
        <f>IF(J4640&lt;&gt;1,"",IF(I4640="SBJ","CB","?"))</f>
        <v> </v>
      </c>
      <c r="I4640" s="25" t="str">
        <f>IF(OR(E4640="",E4640="!!!",F4640="NEW"),"",INDEX(B4639:B$2,-1+SUMPRODUCT(MAX(ROW(E4639:E$2)*(E4640=E4639:E$2)))))</f>
        <v> </v>
      </c>
      <c r="J4640" s="25" t="str">
        <f>IF(OR(E4640="",E4640="!!!",F4640="NEW"),"",COUNTBLANK(OFFSET(A$1,,,SUMPRODUCT(MAX(ROW(E$2:E4640)*(E4640=E$2:E4640)))))-COUNTBLANK(OFFSET(A$1,,,SUMPRODUCT(MAX(ROW(E$1:E4639)*(E2=E$1:E4639))))))</f>
        <v> </v>
      </c>
      <c r="K4640" s="25" t="str">
        <f>IF(OR(E4640="",E4640="!!!",F4640="NEW"),"",INDEX(J$1:J4639,SUMPRODUCT(MAX(ROW(E$1:E4639)*(E4640=E$1:E4639)))))</f>
        <v> </v>
      </c>
      <c r="L4640" s="26"/>
    </row>
    <row r="4641" spans="1:12">
      <c r="A4641" s="20" t="s">
        <v>1242</v>
      </c>
      <c r="B4641" s="27" t="s">
        <v>1090</v>
      </c>
      <c r="C4641" s="27" t="s">
        <v>1110</v>
      </c>
      <c r="D4641" s="27" t="s">
        <v>1069</v>
      </c>
      <c r="E4641" s="21">
        <f>IF(D4641="?OLD","!!!","")</f>
        <v/>
      </c>
      <c r="F4641" s="22" t="str">
        <f>IF(OR(E4641="",E4641="!!!"),"",IF(NOT(ISNA(VLOOKUP(E4641,E$1:E4640,1,FALSE()))),"OLD",IF(AND(E4641&lt;&gt;"",E4641&lt;&gt;"!!!"),"NEW","")))</f>
        <v> </v>
      </c>
      <c r="G4641" s="23" t="str">
        <f>IF(OR(E4641="",E4641="!!!"),"",IF(OR(J4641=0,AND(J4641=1,K4641=1),AND(J4641=1,I4641="SBJ"),AND(J4641=1,I4641=0)),"?IN_FOCUS",IF(J4641&lt;=2,"?ACTIVATED",IF(J4641&lt;&gt;"","?FAMILIAR",IF(F4641="NEW",IF(ISNA(VLOOKUP(E4641,#REF!,1,FALSE())),"?TYPE_IDENTIFIABLE","?REFERENTIAL"),"_")))))</f>
        <v> </v>
      </c>
      <c r="H4641" s="24" t="str">
        <f>IF(J4641&lt;&gt;1,"",IF(I4641="SBJ","CB","?"))</f>
        <v> </v>
      </c>
      <c r="I4641" s="25" t="str">
        <f>IF(OR(E4641="",E4641="!!!",F4641="NEW"),"",INDEX(B4640:B$2,-1+SUMPRODUCT(MAX(ROW(E4640:E$2)*(E4641=E4640:E$2)))))</f>
        <v> </v>
      </c>
      <c r="J4641" s="25" t="str">
        <f>IF(OR(E4641="",E4641="!!!",F4641="NEW"),"",COUNTBLANK(OFFSET(A$1,,,SUMPRODUCT(MAX(ROW(E$2:E4641)*(E4641=E$2:E4641)))))-COUNTBLANK(OFFSET(A$1,,,SUMPRODUCT(MAX(ROW(E$1:E4640)*(E2=E$1:E4640))))))</f>
        <v> </v>
      </c>
      <c r="K4641" s="25" t="str">
        <f>IF(OR(E4641="",E4641="!!!",F4641="NEW"),"",INDEX(J$1:J4640,SUMPRODUCT(MAX(ROW(E$1:E4640)*(E4641=E$1:E4640)))))</f>
        <v> </v>
      </c>
      <c r="L4641" s="26"/>
    </row>
    <row r="4642" spans="1:12">
      <c r="A4642" s="20" t="s">
        <v>2433</v>
      </c>
      <c r="E4642" s="21">
        <f>IF(D4642="?OLD","!!!","")</f>
        <v/>
      </c>
      <c r="F4642" s="22" t="str">
        <f>IF(OR(E4642="",E4642="!!!"),"",IF(NOT(ISNA(VLOOKUP(E4642,E$1:E4641,1,FALSE()))),"OLD",IF(AND(E4642&lt;&gt;"",E4642&lt;&gt;"!!!"),"NEW","")))</f>
        <v> </v>
      </c>
      <c r="G4642" s="23" t="str">
        <f>IF(OR(E4642="",E4642="!!!"),"",IF(OR(J4642=0,AND(J4642=1,K4642=1),AND(J4642=1,I4642="SBJ"),AND(J4642=1,I4642=0)),"?IN_FOCUS",IF(J4642&lt;=2,"?ACTIVATED",IF(J4642&lt;&gt;"","?FAMILIAR",IF(F4642="NEW",IF(ISNA(VLOOKUP(E4642,#REF!,1,FALSE())),"?TYPE_IDENTIFIABLE","?REFERENTIAL"),"_")))))</f>
        <v> </v>
      </c>
      <c r="H4642" s="24" t="str">
        <f>IF(J4642&lt;&gt;1,"",IF(I4642="SBJ","CB","?"))</f>
        <v> </v>
      </c>
      <c r="I4642" s="25" t="str">
        <f>IF(OR(E4642="",E4642="!!!",F4642="NEW"),"",INDEX(B4641:B$2,-1+SUMPRODUCT(MAX(ROW(E4641:E$2)*(E4642=E4641:E$2)))))</f>
        <v> </v>
      </c>
      <c r="J4642" s="25" t="str">
        <f>IF(OR(E4642="",E4642="!!!",F4642="NEW"),"",COUNTBLANK(OFFSET(A$1,,,SUMPRODUCT(MAX(ROW(E$2:E4642)*(E4642=E$2:E4642)))))-COUNTBLANK(OFFSET(A$1,,,SUMPRODUCT(MAX(ROW(E$1:E4641)*(E2=E$1:E4641))))))</f>
        <v> </v>
      </c>
      <c r="K4642" s="25" t="str">
        <f>IF(OR(E4642="",E4642="!!!",F4642="NEW"),"",INDEX(J$1:J4641,SUMPRODUCT(MAX(ROW(E$1:E4641)*(E4642=E$1:E4641)))))</f>
        <v> </v>
      </c>
      <c r="L4642" s="26"/>
    </row>
    <row r="4643" spans="1:12">
      <c r="A4643" s="20" t="s">
        <v>1080</v>
      </c>
      <c r="E4643" s="21">
        <f>IF(D4643="?OLD","!!!","")</f>
        <v/>
      </c>
      <c r="F4643" s="22" t="str">
        <f>IF(OR(E4643="",E4643="!!!"),"",IF(NOT(ISNA(VLOOKUP(E4643,E$1:E4642,1,FALSE()))),"OLD",IF(AND(E4643&lt;&gt;"",E4643&lt;&gt;"!!!"),"NEW","")))</f>
        <v> </v>
      </c>
      <c r="G4643" s="23" t="str">
        <f>IF(OR(E4643="",E4643="!!!"),"",IF(OR(J4643=0,AND(J4643=1,K4643=1),AND(J4643=1,I4643="SBJ"),AND(J4643=1,I4643=0)),"?IN_FOCUS",IF(J4643&lt;=2,"?ACTIVATED",IF(J4643&lt;&gt;"","?FAMILIAR",IF(F4643="NEW",IF(ISNA(VLOOKUP(E4643,#REF!,1,FALSE())),"?TYPE_IDENTIFIABLE","?REFERENTIAL"),"_")))))</f>
        <v> </v>
      </c>
      <c r="H4643" s="24" t="str">
        <f>IF(J4643&lt;&gt;1,"",IF(I4643="SBJ","CB","?"))</f>
        <v> </v>
      </c>
      <c r="I4643" s="25" t="str">
        <f>IF(OR(E4643="",E4643="!!!",F4643="NEW"),"",INDEX(B4642:B$2,-1+SUMPRODUCT(MAX(ROW(E4642:E$2)*(E4643=E4642:E$2)))))</f>
        <v> </v>
      </c>
      <c r="J4643" s="25" t="str">
        <f>IF(OR(E4643="",E4643="!!!",F4643="NEW"),"",COUNTBLANK(OFFSET(A$1,,,SUMPRODUCT(MAX(ROW(E$2:E4643)*(E4643=E$2:E4643)))))-COUNTBLANK(OFFSET(A$1,,,SUMPRODUCT(MAX(ROW(E$1:E4642)*(E2=E$1:E4642))))))</f>
        <v> </v>
      </c>
      <c r="K4643" s="25" t="str">
        <f>IF(OR(E4643="",E4643="!!!",F4643="NEW"),"",INDEX(J$1:J4642,SUMPRODUCT(MAX(ROW(E$1:E4642)*(E4643=E$1:E4642)))))</f>
        <v> </v>
      </c>
      <c r="L4643" s="26"/>
    </row>
    <row r="4644" spans="1:12">
      <c r="A4644" s="20"/>
    </row>
    <row r="4645" spans="1:12">
      <c r="A4645" s="20" t="s">
        <v>2434</v>
      </c>
    </row>
    <row r="4646" spans="1:12">
      <c r="A4646" s="20" t="s">
        <v>1175</v>
      </c>
      <c r="B4646" s="27" t="s">
        <v>1067</v>
      </c>
      <c r="C4646" s="27" t="s">
        <v>1129</v>
      </c>
      <c r="D4646" s="27" t="s">
        <v>1069</v>
      </c>
      <c r="E4646" s="21">
        <f>IF(D4646="?OLD","!!!","")</f>
        <v/>
      </c>
      <c r="F4646" s="22" t="str">
        <f>IF(OR(E4646="",E4646="!!!"),"",IF(NOT(ISNA(VLOOKUP(E4646,E$1:E4645,1,FALSE()))),"OLD",IF(AND(E4646&lt;&gt;"",E4646&lt;&gt;"!!!"),"NEW","")))</f>
        <v> </v>
      </c>
      <c r="G4646" s="23" t="str">
        <f>IF(OR(E4646="",E4646="!!!"),"",IF(OR(J4646=0,AND(J4646=1,K4646=1),AND(J4646=1,I4646="SBJ"),AND(J4646=1,I4646=0)),"?IN_FOCUS",IF(J4646&lt;=2,"?ACTIVATED",IF(J4646&lt;&gt;"","?FAMILIAR",IF(F4646="NEW",IF(ISNA(VLOOKUP(E4646,#REF!,1,FALSE())),"?TYPE_IDENTIFIABLE","?REFERENTIAL"),"_")))))</f>
        <v> </v>
      </c>
      <c r="H4646" s="24" t="str">
        <f>IF(J4646&lt;&gt;1,"",IF(I4646="SBJ","CB","?"))</f>
        <v> </v>
      </c>
      <c r="I4646" s="25" t="str">
        <f>IF(OR(E4646="",E4646="!!!",F4646="NEW"),"",INDEX(B4645:B$2,-1+SUMPRODUCT(MAX(ROW(E4645:E$2)*(E4646=E4645:E$2)))))</f>
        <v> </v>
      </c>
      <c r="J4646" s="25" t="str">
        <f>IF(OR(E4646="",E4646="!!!",F4646="NEW"),"",COUNTBLANK(OFFSET(A$1,,,SUMPRODUCT(MAX(ROW(E$2:E4646)*(E4646=E$2:E4646)))))-COUNTBLANK(OFFSET(A$1,,,SUMPRODUCT(MAX(ROW(E$1:E4645)*(E2=E$1:E4645))))))</f>
        <v> </v>
      </c>
      <c r="K4646" s="25" t="str">
        <f>IF(OR(E4646="",E4646="!!!",F4646="NEW"),"",INDEX(J$1:J4645,SUMPRODUCT(MAX(ROW(E$1:E4645)*(E4646=E$1:E4645)))))</f>
        <v> </v>
      </c>
      <c r="L4646" s="26"/>
    </row>
    <row r="4647" spans="1:12">
      <c r="A4647" s="20" t="s">
        <v>1191</v>
      </c>
      <c r="E4647" s="21">
        <f>IF(D4647="?OLD","!!!","")</f>
        <v/>
      </c>
      <c r="F4647" s="22" t="str">
        <f>IF(OR(E4647="",E4647="!!!"),"",IF(NOT(ISNA(VLOOKUP(E4647,E$1:E4646,1,FALSE()))),"OLD",IF(AND(E4647&lt;&gt;"",E4647&lt;&gt;"!!!"),"NEW","")))</f>
        <v> </v>
      </c>
      <c r="G4647" s="23" t="str">
        <f>IF(OR(E4647="",E4647="!!!"),"",IF(OR(J4647=0,AND(J4647=1,K4647=1),AND(J4647=1,I4647="SBJ"),AND(J4647=1,I4647=0)),"?IN_FOCUS",IF(J4647&lt;=2,"?ACTIVATED",IF(J4647&lt;&gt;"","?FAMILIAR",IF(F4647="NEW",IF(ISNA(VLOOKUP(E4647,#REF!,1,FALSE())),"?TYPE_IDENTIFIABLE","?REFERENTIAL"),"_")))))</f>
        <v> </v>
      </c>
      <c r="H4647" s="24" t="str">
        <f>IF(J4647&lt;&gt;1,"",IF(I4647="SBJ","CB","?"))</f>
        <v> </v>
      </c>
      <c r="I4647" s="25" t="str">
        <f>IF(OR(E4647="",E4647="!!!",F4647="NEW"),"",INDEX(B4646:B$2,-1+SUMPRODUCT(MAX(ROW(E4646:E$2)*(E4647=E4646:E$2)))))</f>
        <v> </v>
      </c>
      <c r="J4647" s="25" t="str">
        <f>IF(OR(E4647="",E4647="!!!",F4647="NEW"),"",COUNTBLANK(OFFSET(A$1,,,SUMPRODUCT(MAX(ROW(E$2:E4647)*(E4647=E$2:E4647)))))-COUNTBLANK(OFFSET(A$1,,,SUMPRODUCT(MAX(ROW(E$1:E4646)*(E2=E$1:E4646))))))</f>
        <v> </v>
      </c>
      <c r="K4647" s="25" t="str">
        <f>IF(OR(E4647="",E4647="!!!",F4647="NEW"),"",INDEX(J$1:J4646,SUMPRODUCT(MAX(ROW(E$1:E4646)*(E4647=E$1:E4646)))))</f>
        <v> </v>
      </c>
      <c r="L4647" s="26"/>
    </row>
    <row r="4648" spans="1:12">
      <c r="A4648" s="20" t="s">
        <v>1198</v>
      </c>
      <c r="E4648" s="21">
        <f>IF(D4648="?OLD","!!!","")</f>
        <v/>
      </c>
      <c r="F4648" s="22" t="str">
        <f>IF(OR(E4648="",E4648="!!!"),"",IF(NOT(ISNA(VLOOKUP(E4648,E$1:E4647,1,FALSE()))),"OLD",IF(AND(E4648&lt;&gt;"",E4648&lt;&gt;"!!!"),"NEW","")))</f>
        <v> </v>
      </c>
      <c r="G4648" s="23" t="str">
        <f>IF(OR(E4648="",E4648="!!!"),"",IF(OR(J4648=0,AND(J4648=1,K4648=1),AND(J4648=1,I4648="SBJ"),AND(J4648=1,I4648=0)),"?IN_FOCUS",IF(J4648&lt;=2,"?ACTIVATED",IF(J4648&lt;&gt;"","?FAMILIAR",IF(F4648="NEW",IF(ISNA(VLOOKUP(E4648,#REF!,1,FALSE())),"?TYPE_IDENTIFIABLE","?REFERENTIAL"),"_")))))</f>
        <v> </v>
      </c>
      <c r="H4648" s="24" t="str">
        <f>IF(J4648&lt;&gt;1,"",IF(I4648="SBJ","CB","?"))</f>
        <v> </v>
      </c>
      <c r="I4648" s="25" t="str">
        <f>IF(OR(E4648="",E4648="!!!",F4648="NEW"),"",INDEX(B4647:B$2,-1+SUMPRODUCT(MAX(ROW(E4647:E$2)*(E4648=E4647:E$2)))))</f>
        <v> </v>
      </c>
      <c r="J4648" s="25" t="str">
        <f>IF(OR(E4648="",E4648="!!!",F4648="NEW"),"",COUNTBLANK(OFFSET(A$1,,,SUMPRODUCT(MAX(ROW(E$2:E4648)*(E4648=E$2:E4648)))))-COUNTBLANK(OFFSET(A$1,,,SUMPRODUCT(MAX(ROW(E$1:E4647)*(E2=E$1:E4647))))))</f>
        <v> </v>
      </c>
      <c r="K4648" s="25" t="str">
        <f>IF(OR(E4648="",E4648="!!!",F4648="NEW"),"",INDEX(J$1:J4647,SUMPRODUCT(MAX(ROW(E$1:E4647)*(E4648=E$1:E4647)))))</f>
        <v> </v>
      </c>
      <c r="L4648" s="26"/>
    </row>
    <row r="4649" spans="1:12">
      <c r="A4649" s="20" t="s">
        <v>1185</v>
      </c>
      <c r="E4649" s="21">
        <f>IF(D4649="?OLD","!!!","")</f>
        <v/>
      </c>
      <c r="F4649" s="22" t="str">
        <f>IF(OR(E4649="",E4649="!!!"),"",IF(NOT(ISNA(VLOOKUP(E4649,E$1:E4648,1,FALSE()))),"OLD",IF(AND(E4649&lt;&gt;"",E4649&lt;&gt;"!!!"),"NEW","")))</f>
        <v> </v>
      </c>
      <c r="G4649" s="23" t="str">
        <f>IF(OR(E4649="",E4649="!!!"),"",IF(OR(J4649=0,AND(J4649=1,K4649=1),AND(J4649=1,I4649="SBJ"),AND(J4649=1,I4649=0)),"?IN_FOCUS",IF(J4649&lt;=2,"?ACTIVATED",IF(J4649&lt;&gt;"","?FAMILIAR",IF(F4649="NEW",IF(ISNA(VLOOKUP(E4649,#REF!,1,FALSE())),"?TYPE_IDENTIFIABLE","?REFERENTIAL"),"_")))))</f>
        <v> </v>
      </c>
      <c r="H4649" s="24" t="str">
        <f>IF(J4649&lt;&gt;1,"",IF(I4649="SBJ","CB","?"))</f>
        <v> </v>
      </c>
      <c r="I4649" s="25" t="str">
        <f>IF(OR(E4649="",E4649="!!!",F4649="NEW"),"",INDEX(B4648:B$2,-1+SUMPRODUCT(MAX(ROW(E4648:E$2)*(E4649=E4648:E$2)))))</f>
        <v> </v>
      </c>
      <c r="J4649" s="25" t="str">
        <f>IF(OR(E4649="",E4649="!!!",F4649="NEW"),"",COUNTBLANK(OFFSET(A$1,,,SUMPRODUCT(MAX(ROW(E$2:E4649)*(E4649=E$2:E4649)))))-COUNTBLANK(OFFSET(A$1,,,SUMPRODUCT(MAX(ROW(E$1:E4648)*(E2=E$1:E4648))))))</f>
        <v> </v>
      </c>
      <c r="K4649" s="25" t="str">
        <f>IF(OR(E4649="",E4649="!!!",F4649="NEW"),"",INDEX(J$1:J4648,SUMPRODUCT(MAX(ROW(E$1:E4648)*(E4649=E$1:E4648)))))</f>
        <v> </v>
      </c>
      <c r="L4649" s="26"/>
    </row>
    <row r="4650" spans="1:12">
      <c r="A4650" s="20" t="s">
        <v>2435</v>
      </c>
      <c r="B4650" s="27" t="s">
        <v>1074</v>
      </c>
      <c r="C4650" s="27" t="s">
        <v>1120</v>
      </c>
      <c r="E4650" s="21">
        <f>IF(D4650="?OLD","!!!","")</f>
        <v/>
      </c>
      <c r="F4650" s="22" t="str">
        <f>IF(OR(E4650="",E4650="!!!"),"",IF(NOT(ISNA(VLOOKUP(E4650,E$1:E4649,1,FALSE()))),"OLD",IF(AND(E4650&lt;&gt;"",E4650&lt;&gt;"!!!"),"NEW","")))</f>
        <v> </v>
      </c>
      <c r="G4650" s="23" t="str">
        <f>IF(OR(E4650="",E4650="!!!"),"",IF(OR(J4650=0,AND(J4650=1,K4650=1),AND(J4650=1,I4650="SBJ"),AND(J4650=1,I4650=0)),"?IN_FOCUS",IF(J4650&lt;=2,"?ACTIVATED",IF(J4650&lt;&gt;"","?FAMILIAR",IF(F4650="NEW",IF(ISNA(VLOOKUP(E4650,#REF!,1,FALSE())),"?TYPE_IDENTIFIABLE","?REFERENTIAL"),"_")))))</f>
        <v> </v>
      </c>
      <c r="H4650" s="24" t="str">
        <f>IF(J4650&lt;&gt;1,"",IF(I4650="SBJ","CB","?"))</f>
        <v> </v>
      </c>
      <c r="I4650" s="25" t="str">
        <f>IF(OR(E4650="",E4650="!!!",F4650="NEW"),"",INDEX(B4649:B$2,-1+SUMPRODUCT(MAX(ROW(E4649:E$2)*(E4650=E4649:E$2)))))</f>
        <v> </v>
      </c>
      <c r="J4650" s="25" t="str">
        <f>IF(OR(E4650="",E4650="!!!",F4650="NEW"),"",COUNTBLANK(OFFSET(A$1,,,SUMPRODUCT(MAX(ROW(E$2:E4650)*(E4650=E$2:E4650)))))-COUNTBLANK(OFFSET(A$1,,,SUMPRODUCT(MAX(ROW(E$1:E4649)*(E2=E$1:E4649))))))</f>
        <v> </v>
      </c>
      <c r="K4650" s="25" t="str">
        <f>IF(OR(E4650="",E4650="!!!",F4650="NEW"),"",INDEX(J$1:J4649,SUMPRODUCT(MAX(ROW(E$1:E4649)*(E4650=E$1:E4649)))))</f>
        <v> </v>
      </c>
      <c r="L4650" s="26"/>
    </row>
    <row r="4651" spans="1:12">
      <c r="A4651" s="20" t="s">
        <v>1080</v>
      </c>
      <c r="E4651" s="21">
        <f>IF(D4651="?OLD","!!!","")</f>
        <v/>
      </c>
      <c r="F4651" s="22" t="str">
        <f>IF(OR(E4651="",E4651="!!!"),"",IF(NOT(ISNA(VLOOKUP(E4651,E$1:E4650,1,FALSE()))),"OLD",IF(AND(E4651&lt;&gt;"",E4651&lt;&gt;"!!!"),"NEW","")))</f>
        <v> </v>
      </c>
      <c r="G4651" s="23" t="str">
        <f>IF(OR(E4651="",E4651="!!!"),"",IF(OR(J4651=0,AND(J4651=1,K4651=1),AND(J4651=1,I4651="SBJ"),AND(J4651=1,I4651=0)),"?IN_FOCUS",IF(J4651&lt;=2,"?ACTIVATED",IF(J4651&lt;&gt;"","?FAMILIAR",IF(F4651="NEW",IF(ISNA(VLOOKUP(E4651,#REF!,1,FALSE())),"?TYPE_IDENTIFIABLE","?REFERENTIAL"),"_")))))</f>
        <v> </v>
      </c>
      <c r="H4651" s="24" t="str">
        <f>IF(J4651&lt;&gt;1,"",IF(I4651="SBJ","CB","?"))</f>
        <v> </v>
      </c>
      <c r="I4651" s="25" t="str">
        <f>IF(OR(E4651="",E4651="!!!",F4651="NEW"),"",INDEX(B4650:B$2,-1+SUMPRODUCT(MAX(ROW(E4650:E$2)*(E4651=E4650:E$2)))))</f>
        <v> </v>
      </c>
      <c r="J4651" s="25" t="str">
        <f>IF(OR(E4651="",E4651="!!!",F4651="NEW"),"",COUNTBLANK(OFFSET(A$1,,,SUMPRODUCT(MAX(ROW(E$2:E4651)*(E4651=E$2:E4651)))))-COUNTBLANK(OFFSET(A$1,,,SUMPRODUCT(MAX(ROW(E$1:E4650)*(E2=E$1:E4650))))))</f>
        <v> </v>
      </c>
      <c r="K4651" s="25" t="str">
        <f>IF(OR(E4651="",E4651="!!!",F4651="NEW"),"",INDEX(J$1:J4650,SUMPRODUCT(MAX(ROW(E$1:E4650)*(E4651=E$1:E4650)))))</f>
        <v> </v>
      </c>
      <c r="L4651" s="26"/>
    </row>
    <row r="4652" spans="1:12">
      <c r="A4652" s="20"/>
    </row>
    <row r="4653" spans="1:12">
      <c r="A4653" s="20" t="s">
        <v>2436</v>
      </c>
    </row>
    <row r="4654" spans="1:12">
      <c r="A4654" s="20" t="s">
        <v>1644</v>
      </c>
      <c r="B4654" s="27" t="s">
        <v>1067</v>
      </c>
      <c r="C4654" s="27" t="s">
        <v>1072</v>
      </c>
      <c r="E4654" s="21">
        <f>IF(D4654="?OLD","!!!","")</f>
        <v/>
      </c>
      <c r="F4654" s="22" t="str">
        <f>IF(OR(E4654="",E4654="!!!"),"",IF(NOT(ISNA(VLOOKUP(E4654,E$1:E4653,1,FALSE()))),"OLD",IF(AND(E4654&lt;&gt;"",E4654&lt;&gt;"!!!"),"NEW","")))</f>
        <v> </v>
      </c>
      <c r="G4654" s="23" t="str">
        <f>IF(OR(E4654="",E4654="!!!"),"",IF(OR(J4654=0,AND(J4654=1,K4654=1),AND(J4654=1,I4654="SBJ"),AND(J4654=1,I4654=0)),"?IN_FOCUS",IF(J4654&lt;=2,"?ACTIVATED",IF(J4654&lt;&gt;"","?FAMILIAR",IF(F4654="NEW",IF(ISNA(VLOOKUP(E4654,#REF!,1,FALSE())),"?TYPE_IDENTIFIABLE","?REFERENTIAL"),"_")))))</f>
        <v> </v>
      </c>
      <c r="H4654" s="24" t="str">
        <f>IF(J4654&lt;&gt;1,"",IF(I4654="SBJ","CB","?"))</f>
        <v> </v>
      </c>
      <c r="I4654" s="25" t="str">
        <f>IF(OR(E4654="",E4654="!!!",F4654="NEW"),"",INDEX(B4653:B$2,-1+SUMPRODUCT(MAX(ROW(E4653:E$2)*(E4654=E4653:E$2)))))</f>
        <v> </v>
      </c>
      <c r="J4654" s="25" t="str">
        <f>IF(OR(E4654="",E4654="!!!",F4654="NEW"),"",COUNTBLANK(OFFSET(A$1,,,SUMPRODUCT(MAX(ROW(E$2:E4654)*(E4654=E$2:E4654)))))-COUNTBLANK(OFFSET(A$1,,,SUMPRODUCT(MAX(ROW(E$1:E4653)*(E2=E$1:E4653))))))</f>
        <v> </v>
      </c>
      <c r="K4654" s="25" t="str">
        <f>IF(OR(E4654="",E4654="!!!",F4654="NEW"),"",INDEX(J$1:J4653,SUMPRODUCT(MAX(ROW(E$1:E4653)*(E4654=E$1:E4653)))))</f>
        <v> </v>
      </c>
      <c r="L4654" s="26"/>
    </row>
    <row r="4655" spans="1:12">
      <c r="A4655" s="20" t="s">
        <v>2437</v>
      </c>
      <c r="E4655" s="21">
        <f>IF(D4655="?OLD","!!!","")</f>
        <v/>
      </c>
      <c r="F4655" s="22" t="str">
        <f>IF(OR(E4655="",E4655="!!!"),"",IF(NOT(ISNA(VLOOKUP(E4655,E$1:E4654,1,FALSE()))),"OLD",IF(AND(E4655&lt;&gt;"",E4655&lt;&gt;"!!!"),"NEW","")))</f>
        <v> </v>
      </c>
      <c r="G4655" s="23" t="str">
        <f>IF(OR(E4655="",E4655="!!!"),"",IF(OR(J4655=0,AND(J4655=1,K4655=1),AND(J4655=1,I4655="SBJ"),AND(J4655=1,I4655=0)),"?IN_FOCUS",IF(J4655&lt;=2,"?ACTIVATED",IF(J4655&lt;&gt;"","?FAMILIAR",IF(F4655="NEW",IF(ISNA(VLOOKUP(E4655,#REF!,1,FALSE())),"?TYPE_IDENTIFIABLE","?REFERENTIAL"),"_")))))</f>
        <v> </v>
      </c>
      <c r="H4655" s="24" t="str">
        <f>IF(J4655&lt;&gt;1,"",IF(I4655="SBJ","CB","?"))</f>
        <v> </v>
      </c>
      <c r="I4655" s="25" t="str">
        <f>IF(OR(E4655="",E4655="!!!",F4655="NEW"),"",INDEX(B4654:B$2,-1+SUMPRODUCT(MAX(ROW(E4654:E$2)*(E4655=E4654:E$2)))))</f>
        <v> </v>
      </c>
      <c r="J4655" s="25" t="str">
        <f>IF(OR(E4655="",E4655="!!!",F4655="NEW"),"",COUNTBLANK(OFFSET(A$1,,,SUMPRODUCT(MAX(ROW(E$2:E4655)*(E4655=E$2:E4655)))))-COUNTBLANK(OFFSET(A$1,,,SUMPRODUCT(MAX(ROW(E$1:E4654)*(E2=E$1:E4654))))))</f>
        <v> </v>
      </c>
      <c r="K4655" s="25" t="str">
        <f>IF(OR(E4655="",E4655="!!!",F4655="NEW"),"",INDEX(J$1:J4654,SUMPRODUCT(MAX(ROW(E$1:E4654)*(E4655=E$1:E4654)))))</f>
        <v> </v>
      </c>
      <c r="L4655" s="26"/>
    </row>
    <row r="4656" spans="1:12">
      <c r="A4656" s="20" t="s">
        <v>1087</v>
      </c>
      <c r="E4656" s="21">
        <f>IF(D4656="?OLD","!!!","")</f>
        <v/>
      </c>
      <c r="F4656" s="22" t="str">
        <f>IF(OR(E4656="",E4656="!!!"),"",IF(NOT(ISNA(VLOOKUP(E4656,E$1:E4655,1,FALSE()))),"OLD",IF(AND(E4656&lt;&gt;"",E4656&lt;&gt;"!!!"),"NEW","")))</f>
        <v> </v>
      </c>
      <c r="G4656" s="23" t="str">
        <f>IF(OR(E4656="",E4656="!!!"),"",IF(OR(J4656=0,AND(J4656=1,K4656=1),AND(J4656=1,I4656="SBJ"),AND(J4656=1,I4656=0)),"?IN_FOCUS",IF(J4656&lt;=2,"?ACTIVATED",IF(J4656&lt;&gt;"","?FAMILIAR",IF(F4656="NEW",IF(ISNA(VLOOKUP(E4656,#REF!,1,FALSE())),"?TYPE_IDENTIFIABLE","?REFERENTIAL"),"_")))))</f>
        <v> </v>
      </c>
      <c r="H4656" s="24" t="str">
        <f>IF(J4656&lt;&gt;1,"",IF(I4656="SBJ","CB","?"))</f>
        <v> </v>
      </c>
      <c r="I4656" s="25" t="str">
        <f>IF(OR(E4656="",E4656="!!!",F4656="NEW"),"",INDEX(B4655:B$2,-1+SUMPRODUCT(MAX(ROW(E4655:E$2)*(E4656=E4655:E$2)))))</f>
        <v> </v>
      </c>
      <c r="J4656" s="25" t="str">
        <f>IF(OR(E4656="",E4656="!!!",F4656="NEW"),"",COUNTBLANK(OFFSET(A$1,,,SUMPRODUCT(MAX(ROW(E$2:E4656)*(E4656=E$2:E4656)))))-COUNTBLANK(OFFSET(A$1,,,SUMPRODUCT(MAX(ROW(E$1:E4655)*(E2=E$1:E4655))))))</f>
        <v> </v>
      </c>
      <c r="K4656" s="25" t="str">
        <f>IF(OR(E4656="",E4656="!!!",F4656="NEW"),"",INDEX(J$1:J4655,SUMPRODUCT(MAX(ROW(E$1:E4655)*(E4656=E$1:E4655)))))</f>
        <v> </v>
      </c>
      <c r="L4656" s="26"/>
    </row>
    <row r="4657" spans="1:12">
      <c r="A4657" s="20" t="s">
        <v>1149</v>
      </c>
      <c r="E4657" s="21">
        <f>IF(D4657="?OLD","!!!","")</f>
        <v/>
      </c>
      <c r="F4657" s="22" t="str">
        <f>IF(OR(E4657="",E4657="!!!"),"",IF(NOT(ISNA(VLOOKUP(E4657,E$1:E4656,1,FALSE()))),"OLD",IF(AND(E4657&lt;&gt;"",E4657&lt;&gt;"!!!"),"NEW","")))</f>
        <v> </v>
      </c>
      <c r="G4657" s="23" t="str">
        <f>IF(OR(E4657="",E4657="!!!"),"",IF(OR(J4657=0,AND(J4657=1,K4657=1),AND(J4657=1,I4657="SBJ"),AND(J4657=1,I4657=0)),"?IN_FOCUS",IF(J4657&lt;=2,"?ACTIVATED",IF(J4657&lt;&gt;"","?FAMILIAR",IF(F4657="NEW",IF(ISNA(VLOOKUP(E4657,#REF!,1,FALSE())),"?TYPE_IDENTIFIABLE","?REFERENTIAL"),"_")))))</f>
        <v> </v>
      </c>
      <c r="H4657" s="24" t="str">
        <f>IF(J4657&lt;&gt;1,"",IF(I4657="SBJ","CB","?"))</f>
        <v> </v>
      </c>
      <c r="I4657" s="25" t="str">
        <f>IF(OR(E4657="",E4657="!!!",F4657="NEW"),"",INDEX(B4656:B$2,-1+SUMPRODUCT(MAX(ROW(E4656:E$2)*(E4657=E4656:E$2)))))</f>
        <v> </v>
      </c>
      <c r="J4657" s="25" t="str">
        <f>IF(OR(E4657="",E4657="!!!",F4657="NEW"),"",COUNTBLANK(OFFSET(A$1,,,SUMPRODUCT(MAX(ROW(E$2:E4657)*(E4657=E$2:E4657)))))-COUNTBLANK(OFFSET(A$1,,,SUMPRODUCT(MAX(ROW(E$1:E4656)*(E2=E$1:E4656))))))</f>
        <v> </v>
      </c>
      <c r="K4657" s="25" t="str">
        <f>IF(OR(E4657="",E4657="!!!",F4657="NEW"),"",INDEX(J$1:J4656,SUMPRODUCT(MAX(ROW(E$1:E4656)*(E4657=E$1:E4656)))))</f>
        <v> </v>
      </c>
      <c r="L4657" s="26"/>
    </row>
    <row r="4658" spans="1:12">
      <c r="A4658" s="20" t="s">
        <v>1108</v>
      </c>
      <c r="B4658" s="27" t="s">
        <v>1095</v>
      </c>
      <c r="C4658" s="27" t="s">
        <v>1110</v>
      </c>
      <c r="D4658" s="27" t="s">
        <v>1069</v>
      </c>
      <c r="E4658" s="21">
        <f>IF(D4658="?OLD","!!!","")</f>
        <v/>
      </c>
      <c r="F4658" s="22" t="str">
        <f>IF(OR(E4658="",E4658="!!!"),"",IF(NOT(ISNA(VLOOKUP(E4658,E$1:E4657,1,FALSE()))),"OLD",IF(AND(E4658&lt;&gt;"",E4658&lt;&gt;"!!!"),"NEW","")))</f>
        <v> </v>
      </c>
      <c r="G4658" s="23" t="str">
        <f>IF(OR(E4658="",E4658="!!!"),"",IF(OR(J4658=0,AND(J4658=1,K4658=1),AND(J4658=1,I4658="SBJ"),AND(J4658=1,I4658=0)),"?IN_FOCUS",IF(J4658&lt;=2,"?ACTIVATED",IF(J4658&lt;&gt;"","?FAMILIAR",IF(F4658="NEW",IF(ISNA(VLOOKUP(E4658,#REF!,1,FALSE())),"?TYPE_IDENTIFIABLE","?REFERENTIAL"),"_")))))</f>
        <v> </v>
      </c>
      <c r="H4658" s="24" t="str">
        <f>IF(J4658&lt;&gt;1,"",IF(I4658="SBJ","CB","?"))</f>
        <v> </v>
      </c>
      <c r="I4658" s="25" t="str">
        <f>IF(OR(E4658="",E4658="!!!",F4658="NEW"),"",INDEX(B4657:B$2,-1+SUMPRODUCT(MAX(ROW(E4657:E$2)*(E4658=E4657:E$2)))))</f>
        <v> </v>
      </c>
      <c r="J4658" s="25" t="str">
        <f>IF(OR(E4658="",E4658="!!!",F4658="NEW"),"",COUNTBLANK(OFFSET(A$1,,,SUMPRODUCT(MAX(ROW(E$2:E4658)*(E4658=E$2:E4658)))))-COUNTBLANK(OFFSET(A$1,,,SUMPRODUCT(MAX(ROW(E$1:E4657)*(E2=E$1:E4657))))))</f>
        <v> </v>
      </c>
      <c r="K4658" s="25" t="str">
        <f>IF(OR(E4658="",E4658="!!!",F4658="NEW"),"",INDEX(J$1:J4657,SUMPRODUCT(MAX(ROW(E$1:E4657)*(E4658=E$1:E4657)))))</f>
        <v> </v>
      </c>
      <c r="L4658" s="26"/>
    </row>
    <row r="4659" spans="1:12">
      <c r="A4659" s="20" t="s">
        <v>1083</v>
      </c>
      <c r="B4659" s="27" t="s">
        <v>1090</v>
      </c>
      <c r="E4659" s="21">
        <f>IF(D4659="?OLD","!!!","")</f>
        <v/>
      </c>
      <c r="F4659" s="22" t="str">
        <f>IF(OR(E4659="",E4659="!!!"),"",IF(NOT(ISNA(VLOOKUP(E4659,E$1:E4658,1,FALSE()))),"OLD",IF(AND(E4659&lt;&gt;"",E4659&lt;&gt;"!!!"),"NEW","")))</f>
        <v> </v>
      </c>
      <c r="G4659" s="23" t="str">
        <f>IF(OR(E4659="",E4659="!!!"),"",IF(OR(J4659=0,AND(J4659=1,K4659=1),AND(J4659=1,I4659="SBJ"),AND(J4659=1,I4659=0)),"?IN_FOCUS",IF(J4659&lt;=2,"?ACTIVATED",IF(J4659&lt;&gt;"","?FAMILIAR",IF(F4659="NEW",IF(ISNA(VLOOKUP(E4659,#REF!,1,FALSE())),"?TYPE_IDENTIFIABLE","?REFERENTIAL"),"_")))))</f>
        <v> </v>
      </c>
      <c r="H4659" s="24" t="str">
        <f>IF(J4659&lt;&gt;1,"",IF(I4659="SBJ","CB","?"))</f>
        <v> </v>
      </c>
      <c r="I4659" s="25" t="str">
        <f>IF(OR(E4659="",E4659="!!!",F4659="NEW"),"",INDEX(B4658:B$2,-1+SUMPRODUCT(MAX(ROW(E4658:E$2)*(E4659=E4658:E$2)))))</f>
        <v> </v>
      </c>
      <c r="J4659" s="25" t="str">
        <f>IF(OR(E4659="",E4659="!!!",F4659="NEW"),"",COUNTBLANK(OFFSET(A$1,,,SUMPRODUCT(MAX(ROW(E$2:E4659)*(E4659=E$2:E4659)))))-COUNTBLANK(OFFSET(A$1,,,SUMPRODUCT(MAX(ROW(E$1:E4658)*(E2=E$1:E4658))))))</f>
        <v> </v>
      </c>
      <c r="K4659" s="25" t="str">
        <f>IF(OR(E4659="",E4659="!!!",F4659="NEW"),"",INDEX(J$1:J4658,SUMPRODUCT(MAX(ROW(E$1:E4658)*(E4659=E$1:E4658)))))</f>
        <v> </v>
      </c>
      <c r="L4659" s="26"/>
    </row>
    <row r="4660" spans="1:12">
      <c r="A4660" s="20" t="s">
        <v>1155</v>
      </c>
      <c r="E4660" s="21">
        <f>IF(D4660="?OLD","!!!","")</f>
        <v/>
      </c>
      <c r="F4660" s="22" t="str">
        <f>IF(OR(E4660="",E4660="!!!"),"",IF(NOT(ISNA(VLOOKUP(E4660,E$1:E4659,1,FALSE()))),"OLD",IF(AND(E4660&lt;&gt;"",E4660&lt;&gt;"!!!"),"NEW","")))</f>
        <v> </v>
      </c>
      <c r="G4660" s="23" t="str">
        <f>IF(OR(E4660="",E4660="!!!"),"",IF(OR(J4660=0,AND(J4660=1,K4660=1),AND(J4660=1,I4660="SBJ"),AND(J4660=1,I4660=0)),"?IN_FOCUS",IF(J4660&lt;=2,"?ACTIVATED",IF(J4660&lt;&gt;"","?FAMILIAR",IF(F4660="NEW",IF(ISNA(VLOOKUP(E4660,#REF!,1,FALSE())),"?TYPE_IDENTIFIABLE","?REFERENTIAL"),"_")))))</f>
        <v> </v>
      </c>
      <c r="H4660" s="24" t="str">
        <f>IF(J4660&lt;&gt;1,"",IF(I4660="SBJ","CB","?"))</f>
        <v> </v>
      </c>
      <c r="I4660" s="25" t="str">
        <f>IF(OR(E4660="",E4660="!!!",F4660="NEW"),"",INDEX(B4659:B$2,-1+SUMPRODUCT(MAX(ROW(E4659:E$2)*(E4660=E4659:E$2)))))</f>
        <v> </v>
      </c>
      <c r="J4660" s="25" t="str">
        <f>IF(OR(E4660="",E4660="!!!",F4660="NEW"),"",COUNTBLANK(OFFSET(A$1,,,SUMPRODUCT(MAX(ROW(E$2:E4660)*(E4660=E$2:E4660)))))-COUNTBLANK(OFFSET(A$1,,,SUMPRODUCT(MAX(ROW(E$1:E4659)*(E2=E$1:E4659))))))</f>
        <v> </v>
      </c>
      <c r="K4660" s="25" t="str">
        <f>IF(OR(E4660="",E4660="!!!",F4660="NEW"),"",INDEX(J$1:J4659,SUMPRODUCT(MAX(ROW(E$1:E4659)*(E4660=E$1:E4659)))))</f>
        <v> </v>
      </c>
      <c r="L4660" s="26"/>
    </row>
    <row r="4661" spans="1:12">
      <c r="A4661" s="20" t="s">
        <v>282</v>
      </c>
      <c r="E4661" s="21">
        <f>IF(D4661="?OLD","!!!","")</f>
        <v/>
      </c>
      <c r="F4661" s="22" t="str">
        <f>IF(OR(E4661="",E4661="!!!"),"",IF(NOT(ISNA(VLOOKUP(E4661,E$1:E4660,1,FALSE()))),"OLD",IF(AND(E4661&lt;&gt;"",E4661&lt;&gt;"!!!"),"NEW","")))</f>
        <v> </v>
      </c>
      <c r="G4661" s="23" t="str">
        <f>IF(OR(E4661="",E4661="!!!"),"",IF(OR(J4661=0,AND(J4661=1,K4661=1),AND(J4661=1,I4661="SBJ"),AND(J4661=1,I4661=0)),"?IN_FOCUS",IF(J4661&lt;=2,"?ACTIVATED",IF(J4661&lt;&gt;"","?FAMILIAR",IF(F4661="NEW",IF(ISNA(VLOOKUP(E4661,#REF!,1,FALSE())),"?TYPE_IDENTIFIABLE","?REFERENTIAL"),"_")))))</f>
        <v> </v>
      </c>
      <c r="H4661" s="24" t="str">
        <f>IF(J4661&lt;&gt;1,"",IF(I4661="SBJ","CB","?"))</f>
        <v> </v>
      </c>
      <c r="I4661" s="25" t="str">
        <f>IF(OR(E4661="",E4661="!!!",F4661="NEW"),"",INDEX(B4660:B$2,-1+SUMPRODUCT(MAX(ROW(E4660:E$2)*(E4661=E4660:E$2)))))</f>
        <v> </v>
      </c>
      <c r="J4661" s="25" t="str">
        <f>IF(OR(E4661="",E4661="!!!",F4661="NEW"),"",COUNTBLANK(OFFSET(A$1,,,SUMPRODUCT(MAX(ROW(E$2:E4661)*(E4661=E$2:E4661)))))-COUNTBLANK(OFFSET(A$1,,,SUMPRODUCT(MAX(ROW(E$1:E4660)*(E2=E$1:E4660))))))</f>
        <v> </v>
      </c>
      <c r="K4661" s="25" t="str">
        <f>IF(OR(E4661="",E4661="!!!",F4661="NEW"),"",INDEX(J$1:J4660,SUMPRODUCT(MAX(ROW(E$1:E4660)*(E4661=E$1:E4660)))))</f>
        <v> </v>
      </c>
      <c r="L4661" s="26"/>
    </row>
    <row r="4662" spans="1:12">
      <c r="A4662" s="20" t="s">
        <v>1080</v>
      </c>
      <c r="E4662" s="21">
        <f>IF(D4662="?OLD","!!!","")</f>
        <v/>
      </c>
      <c r="F4662" s="22" t="str">
        <f>IF(OR(E4662="",E4662="!!!"),"",IF(NOT(ISNA(VLOOKUP(E4662,E$1:E4661,1,FALSE()))),"OLD",IF(AND(E4662&lt;&gt;"",E4662&lt;&gt;"!!!"),"NEW","")))</f>
        <v> </v>
      </c>
      <c r="G4662" s="23" t="str">
        <f>IF(OR(E4662="",E4662="!!!"),"",IF(OR(J4662=0,AND(J4662=1,K4662=1),AND(J4662=1,I4662="SBJ"),AND(J4662=1,I4662=0)),"?IN_FOCUS",IF(J4662&lt;=2,"?ACTIVATED",IF(J4662&lt;&gt;"","?FAMILIAR",IF(F4662="NEW",IF(ISNA(VLOOKUP(E4662,#REF!,1,FALSE())),"?TYPE_IDENTIFIABLE","?REFERENTIAL"),"_")))))</f>
        <v> </v>
      </c>
      <c r="H4662" s="24" t="str">
        <f>IF(J4662&lt;&gt;1,"",IF(I4662="SBJ","CB","?"))</f>
        <v> </v>
      </c>
      <c r="I4662" s="25" t="str">
        <f>IF(OR(E4662="",E4662="!!!",F4662="NEW"),"",INDEX(B4661:B$2,-1+SUMPRODUCT(MAX(ROW(E4661:E$2)*(E4662=E4661:E$2)))))</f>
        <v> </v>
      </c>
      <c r="J4662" s="25" t="str">
        <f>IF(OR(E4662="",E4662="!!!",F4662="NEW"),"",COUNTBLANK(OFFSET(A$1,,,SUMPRODUCT(MAX(ROW(E$2:E4662)*(E4662=E$2:E4662)))))-COUNTBLANK(OFFSET(A$1,,,SUMPRODUCT(MAX(ROW(E$1:E4661)*(E2=E$1:E4661))))))</f>
        <v> </v>
      </c>
      <c r="K4662" s="25" t="str">
        <f>IF(OR(E4662="",E4662="!!!",F4662="NEW"),"",INDEX(J$1:J4661,SUMPRODUCT(MAX(ROW(E$1:E4661)*(E4662=E$1:E4661)))))</f>
        <v> </v>
      </c>
      <c r="L4662" s="26"/>
    </row>
    <row r="4663" spans="1:12">
      <c r="A4663" s="20"/>
    </row>
    <row r="4664" spans="1:12">
      <c r="A4664" s="20" t="s">
        <v>2438</v>
      </c>
    </row>
    <row r="4665" spans="1:12">
      <c r="A4665" s="20" t="s">
        <v>2439</v>
      </c>
      <c r="B4665" s="27" t="s">
        <v>1071</v>
      </c>
      <c r="C4665" s="27" t="s">
        <v>1072</v>
      </c>
      <c r="E4665" s="21">
        <f>IF(D4665="?OLD","!!!","")</f>
        <v/>
      </c>
      <c r="F4665" s="22" t="str">
        <f>IF(OR(E4665="",E4665="!!!"),"",IF(NOT(ISNA(VLOOKUP(E4665,E$1:E4664,1,FALSE()))),"OLD",IF(AND(E4665&lt;&gt;"",E4665&lt;&gt;"!!!"),"NEW","")))</f>
        <v> </v>
      </c>
      <c r="G4665" s="23" t="str">
        <f>IF(OR(E4665="",E4665="!!!"),"",IF(OR(J4665=0,AND(J4665=1,K4665=1),AND(J4665=1,I4665="SBJ"),AND(J4665=1,I4665=0)),"?IN_FOCUS",IF(J4665&lt;=2,"?ACTIVATED",IF(J4665&lt;&gt;"","?FAMILIAR",IF(F4665="NEW",IF(ISNA(VLOOKUP(E4665,#REF!,1,FALSE())),"?TYPE_IDENTIFIABLE","?REFERENTIAL"),"_")))))</f>
        <v> </v>
      </c>
      <c r="H4665" s="24" t="str">
        <f>IF(J4665&lt;&gt;1,"",IF(I4665="SBJ","CB","?"))</f>
        <v> </v>
      </c>
      <c r="I4665" s="25" t="str">
        <f>IF(OR(E4665="",E4665="!!!",F4665="NEW"),"",INDEX(B4664:B$2,-1+SUMPRODUCT(MAX(ROW(E4664:E$2)*(E4665=E4664:E$2)))))</f>
        <v> </v>
      </c>
      <c r="J4665" s="25" t="str">
        <f>IF(OR(E4665="",E4665="!!!",F4665="NEW"),"",COUNTBLANK(OFFSET(A$1,,,SUMPRODUCT(MAX(ROW(E$2:E4665)*(E4665=E$2:E4665)))))-COUNTBLANK(OFFSET(A$1,,,SUMPRODUCT(MAX(ROW(E$1:E4664)*(E2=E$1:E4664))))))</f>
        <v> </v>
      </c>
      <c r="K4665" s="25" t="str">
        <f>IF(OR(E4665="",E4665="!!!",F4665="NEW"),"",INDEX(J$1:J4664,SUMPRODUCT(MAX(ROW(E$1:E4664)*(E4665=E$1:E4664)))))</f>
        <v> </v>
      </c>
      <c r="L4665" s="26"/>
    </row>
    <row r="4666" spans="1:12">
      <c r="A4666" s="20" t="s">
        <v>1622</v>
      </c>
      <c r="B4666" s="27" t="s">
        <v>1067</v>
      </c>
      <c r="C4666" s="27" t="s">
        <v>1117</v>
      </c>
      <c r="E4666" s="21">
        <f>IF(D4666="?OLD","!!!","")</f>
        <v/>
      </c>
      <c r="F4666" s="22" t="str">
        <f>IF(OR(E4666="",E4666="!!!"),"",IF(NOT(ISNA(VLOOKUP(E4666,E$1:E4665,1,FALSE()))),"OLD",IF(AND(E4666&lt;&gt;"",E4666&lt;&gt;"!!!"),"NEW","")))</f>
        <v> </v>
      </c>
      <c r="G4666" s="23" t="str">
        <f>IF(OR(E4666="",E4666="!!!"),"",IF(OR(J4666=0,AND(J4666=1,K4666=1),AND(J4666=1,I4666="SBJ"),AND(J4666=1,I4666=0)),"?IN_FOCUS",IF(J4666&lt;=2,"?ACTIVATED",IF(J4666&lt;&gt;"","?FAMILIAR",IF(F4666="NEW",IF(ISNA(VLOOKUP(E4666,#REF!,1,FALSE())),"?TYPE_IDENTIFIABLE","?REFERENTIAL"),"_")))))</f>
        <v> </v>
      </c>
      <c r="H4666" s="24" t="str">
        <f>IF(J4666&lt;&gt;1,"",IF(I4666="SBJ","CB","?"))</f>
        <v> </v>
      </c>
      <c r="I4666" s="25" t="str">
        <f>IF(OR(E4666="",E4666="!!!",F4666="NEW"),"",INDEX(B4665:B$2,-1+SUMPRODUCT(MAX(ROW(E4665:E$2)*(E4666=E4665:E$2)))))</f>
        <v> </v>
      </c>
      <c r="J4666" s="25" t="str">
        <f>IF(OR(E4666="",E4666="!!!",F4666="NEW"),"",COUNTBLANK(OFFSET(A$1,,,SUMPRODUCT(MAX(ROW(E$2:E4666)*(E4666=E$2:E4666)))))-COUNTBLANK(OFFSET(A$1,,,SUMPRODUCT(MAX(ROW(E$1:E4665)*(E2=E$1:E4665))))))</f>
        <v> </v>
      </c>
      <c r="K4666" s="25" t="str">
        <f>IF(OR(E4666="",E4666="!!!",F4666="NEW"),"",INDEX(J$1:J4665,SUMPRODUCT(MAX(ROW(E$1:E4665)*(E4666=E$1:E4665)))))</f>
        <v> </v>
      </c>
      <c r="L4666" s="26"/>
    </row>
    <row r="4667" spans="1:12">
      <c r="A4667" s="20" t="s">
        <v>121</v>
      </c>
      <c r="E4667" s="21">
        <f>IF(D4667="?OLD","!!!","")</f>
        <v/>
      </c>
      <c r="F4667" s="22" t="str">
        <f>IF(OR(E4667="",E4667="!!!"),"",IF(NOT(ISNA(VLOOKUP(E4667,E$1:E4666,1,FALSE()))),"OLD",IF(AND(E4667&lt;&gt;"",E4667&lt;&gt;"!!!"),"NEW","")))</f>
        <v> </v>
      </c>
      <c r="G4667" s="23" t="str">
        <f>IF(OR(E4667="",E4667="!!!"),"",IF(OR(J4667=0,AND(J4667=1,K4667=1),AND(J4667=1,I4667="SBJ"),AND(J4667=1,I4667=0)),"?IN_FOCUS",IF(J4667&lt;=2,"?ACTIVATED",IF(J4667&lt;&gt;"","?FAMILIAR",IF(F4667="NEW",IF(ISNA(VLOOKUP(E4667,#REF!,1,FALSE())),"?TYPE_IDENTIFIABLE","?REFERENTIAL"),"_")))))</f>
        <v> </v>
      </c>
      <c r="H4667" s="24" t="str">
        <f>IF(J4667&lt;&gt;1,"",IF(I4667="SBJ","CB","?"))</f>
        <v> </v>
      </c>
      <c r="I4667" s="25" t="str">
        <f>IF(OR(E4667="",E4667="!!!",F4667="NEW"),"",INDEX(B4666:B$2,-1+SUMPRODUCT(MAX(ROW(E4666:E$2)*(E4667=E4666:E$2)))))</f>
        <v> </v>
      </c>
      <c r="J4667" s="25" t="str">
        <f>IF(OR(E4667="",E4667="!!!",F4667="NEW"),"",COUNTBLANK(OFFSET(A$1,,,SUMPRODUCT(MAX(ROW(E$2:E4667)*(E4667=E$2:E4667)))))-COUNTBLANK(OFFSET(A$1,,,SUMPRODUCT(MAX(ROW(E$1:E4666)*(E2=E$1:E4666))))))</f>
        <v> </v>
      </c>
      <c r="K4667" s="25" t="str">
        <f>IF(OR(E4667="",E4667="!!!",F4667="NEW"),"",INDEX(J$1:J4666,SUMPRODUCT(MAX(ROW(E$1:E4666)*(E4667=E$1:E4666)))))</f>
        <v> </v>
      </c>
      <c r="L4667" s="26"/>
    </row>
    <row r="4668" spans="1:12">
      <c r="A4668" s="20" t="s">
        <v>1087</v>
      </c>
      <c r="E4668" s="21">
        <f>IF(D4668="?OLD","!!!","")</f>
        <v/>
      </c>
      <c r="F4668" s="22" t="str">
        <f>IF(OR(E4668="",E4668="!!!"),"",IF(NOT(ISNA(VLOOKUP(E4668,E$1:E4667,1,FALSE()))),"OLD",IF(AND(E4668&lt;&gt;"",E4668&lt;&gt;"!!!"),"NEW","")))</f>
        <v> </v>
      </c>
      <c r="G4668" s="23" t="str">
        <f>IF(OR(E4668="",E4668="!!!"),"",IF(OR(J4668=0,AND(J4668=1,K4668=1),AND(J4668=1,I4668="SBJ"),AND(J4668=1,I4668=0)),"?IN_FOCUS",IF(J4668&lt;=2,"?ACTIVATED",IF(J4668&lt;&gt;"","?FAMILIAR",IF(F4668="NEW",IF(ISNA(VLOOKUP(E4668,#REF!,1,FALSE())),"?TYPE_IDENTIFIABLE","?REFERENTIAL"),"_")))))</f>
        <v> </v>
      </c>
      <c r="H4668" s="24" t="str">
        <f>IF(J4668&lt;&gt;1,"",IF(I4668="SBJ","CB","?"))</f>
        <v> </v>
      </c>
      <c r="I4668" s="25" t="str">
        <f>IF(OR(E4668="",E4668="!!!",F4668="NEW"),"",INDEX(B4667:B$2,-1+SUMPRODUCT(MAX(ROW(E4667:E$2)*(E4668=E4667:E$2)))))</f>
        <v> </v>
      </c>
      <c r="J4668" s="25" t="str">
        <f>IF(OR(E4668="",E4668="!!!",F4668="NEW"),"",COUNTBLANK(OFFSET(A$1,,,SUMPRODUCT(MAX(ROW(E$2:E4668)*(E4668=E$2:E4668)))))-COUNTBLANK(OFFSET(A$1,,,SUMPRODUCT(MAX(ROW(E$1:E4667)*(E2=E$1:E4667))))))</f>
        <v> </v>
      </c>
      <c r="K4668" s="25" t="str">
        <f>IF(OR(E4668="",E4668="!!!",F4668="NEW"),"",INDEX(J$1:J4667,SUMPRODUCT(MAX(ROW(E$1:E4667)*(E4668=E$1:E4667)))))</f>
        <v> </v>
      </c>
      <c r="L4668" s="26"/>
    </row>
    <row r="4669" spans="1:12">
      <c r="A4669" s="20" t="s">
        <v>1351</v>
      </c>
      <c r="B4669" s="27" t="s">
        <v>1095</v>
      </c>
      <c r="C4669" s="27" t="s">
        <v>1072</v>
      </c>
      <c r="E4669" s="21">
        <f>IF(D4669="?OLD","!!!","")</f>
        <v/>
      </c>
      <c r="F4669" s="22" t="str">
        <f>IF(OR(E4669="",E4669="!!!"),"",IF(NOT(ISNA(VLOOKUP(E4669,E$1:E4668,1,FALSE()))),"OLD",IF(AND(E4669&lt;&gt;"",E4669&lt;&gt;"!!!"),"NEW","")))</f>
        <v> </v>
      </c>
      <c r="G4669" s="23" t="str">
        <f>IF(OR(E4669="",E4669="!!!"),"",IF(OR(J4669=0,AND(J4669=1,K4669=1),AND(J4669=1,I4669="SBJ"),AND(J4669=1,I4669=0)),"?IN_FOCUS",IF(J4669&lt;=2,"?ACTIVATED",IF(J4669&lt;&gt;"","?FAMILIAR",IF(F4669="NEW",IF(ISNA(VLOOKUP(E4669,#REF!,1,FALSE())),"?TYPE_IDENTIFIABLE","?REFERENTIAL"),"_")))))</f>
        <v> </v>
      </c>
      <c r="H4669" s="24" t="str">
        <f>IF(J4669&lt;&gt;1,"",IF(I4669="SBJ","CB","?"))</f>
        <v> </v>
      </c>
      <c r="I4669" s="25" t="str">
        <f>IF(OR(E4669="",E4669="!!!",F4669="NEW"),"",INDEX(B4668:B$2,-1+SUMPRODUCT(MAX(ROW(E4668:E$2)*(E4669=E4668:E$2)))))</f>
        <v> </v>
      </c>
      <c r="J4669" s="25" t="str">
        <f>IF(OR(E4669="",E4669="!!!",F4669="NEW"),"",COUNTBLANK(OFFSET(A$1,,,SUMPRODUCT(MAX(ROW(E$2:E4669)*(E4669=E$2:E4669)))))-COUNTBLANK(OFFSET(A$1,,,SUMPRODUCT(MAX(ROW(E$1:E4668)*(E2=E$1:E4668))))))</f>
        <v> </v>
      </c>
      <c r="K4669" s="25" t="str">
        <f>IF(OR(E4669="",E4669="!!!",F4669="NEW"),"",INDEX(J$1:J4668,SUMPRODUCT(MAX(ROW(E$1:E4668)*(E4669=E$1:E4668)))))</f>
        <v> </v>
      </c>
      <c r="L4669" s="26"/>
    </row>
    <row r="4670" spans="1:12">
      <c r="A4670" s="20" t="s">
        <v>1784</v>
      </c>
      <c r="E4670" s="21">
        <f>IF(D4670="?OLD","!!!","")</f>
        <v/>
      </c>
      <c r="F4670" s="22" t="str">
        <f>IF(OR(E4670="",E4670="!!!"),"",IF(NOT(ISNA(VLOOKUP(E4670,E$1:E4669,1,FALSE()))),"OLD",IF(AND(E4670&lt;&gt;"",E4670&lt;&gt;"!!!"),"NEW","")))</f>
        <v> </v>
      </c>
      <c r="G4670" s="23" t="str">
        <f>IF(OR(E4670="",E4670="!!!"),"",IF(OR(J4670=0,AND(J4670=1,K4670=1),AND(J4670=1,I4670="SBJ"),AND(J4670=1,I4670=0)),"?IN_FOCUS",IF(J4670&lt;=2,"?ACTIVATED",IF(J4670&lt;&gt;"","?FAMILIAR",IF(F4670="NEW",IF(ISNA(VLOOKUP(E4670,#REF!,1,FALSE())),"?TYPE_IDENTIFIABLE","?REFERENTIAL"),"_")))))</f>
        <v> </v>
      </c>
      <c r="H4670" s="24" t="str">
        <f>IF(J4670&lt;&gt;1,"",IF(I4670="SBJ","CB","?"))</f>
        <v> </v>
      </c>
      <c r="I4670" s="25" t="str">
        <f>IF(OR(E4670="",E4670="!!!",F4670="NEW"),"",INDEX(B4669:B$2,-1+SUMPRODUCT(MAX(ROW(E4669:E$2)*(E4670=E4669:E$2)))))</f>
        <v> </v>
      </c>
      <c r="J4670" s="25" t="str">
        <f>IF(OR(E4670="",E4670="!!!",F4670="NEW"),"",COUNTBLANK(OFFSET(A$1,,,SUMPRODUCT(MAX(ROW(E$2:E4670)*(E4670=E$2:E4670)))))-COUNTBLANK(OFFSET(A$1,,,SUMPRODUCT(MAX(ROW(E$1:E4669)*(E2=E$1:E4669))))))</f>
        <v> </v>
      </c>
      <c r="K4670" s="25" t="str">
        <f>IF(OR(E4670="",E4670="!!!",F4670="NEW"),"",INDEX(J$1:J4669,SUMPRODUCT(MAX(ROW(E$1:E4669)*(E4670=E$1:E4669)))))</f>
        <v> </v>
      </c>
      <c r="L4670" s="26"/>
    </row>
    <row r="4671" spans="1:12">
      <c r="A4671" s="20" t="s">
        <v>2440</v>
      </c>
      <c r="E4671" s="21">
        <f>IF(D4671="?OLD","!!!","")</f>
        <v/>
      </c>
      <c r="F4671" s="22" t="str">
        <f>IF(OR(E4671="",E4671="!!!"),"",IF(NOT(ISNA(VLOOKUP(E4671,E$1:E4670,1,FALSE()))),"OLD",IF(AND(E4671&lt;&gt;"",E4671&lt;&gt;"!!!"),"NEW","")))</f>
        <v> </v>
      </c>
      <c r="G4671" s="23" t="str">
        <f>IF(OR(E4671="",E4671="!!!"),"",IF(OR(J4671=0,AND(J4671=1,K4671=1),AND(J4671=1,I4671="SBJ"),AND(J4671=1,I4671=0)),"?IN_FOCUS",IF(J4671&lt;=2,"?ACTIVATED",IF(J4671&lt;&gt;"","?FAMILIAR",IF(F4671="NEW",IF(ISNA(VLOOKUP(E4671,#REF!,1,FALSE())),"?TYPE_IDENTIFIABLE","?REFERENTIAL"),"_")))))</f>
        <v> </v>
      </c>
      <c r="H4671" s="24" t="str">
        <f>IF(J4671&lt;&gt;1,"",IF(I4671="SBJ","CB","?"))</f>
        <v> </v>
      </c>
      <c r="I4671" s="25" t="str">
        <f>IF(OR(E4671="",E4671="!!!",F4671="NEW"),"",INDEX(B4670:B$2,-1+SUMPRODUCT(MAX(ROW(E4670:E$2)*(E4671=E4670:E$2)))))</f>
        <v> </v>
      </c>
      <c r="J4671" s="25" t="str">
        <f>IF(OR(E4671="",E4671="!!!",F4671="NEW"),"",COUNTBLANK(OFFSET(A$1,,,SUMPRODUCT(MAX(ROW(E$2:E4671)*(E4671=E$2:E4671)))))-COUNTBLANK(OFFSET(A$1,,,SUMPRODUCT(MAX(ROW(E$1:E4670)*(E2=E$1:E4670))))))</f>
        <v> </v>
      </c>
      <c r="K4671" s="25" t="str">
        <f>IF(OR(E4671="",E4671="!!!",F4671="NEW"),"",INDEX(J$1:J4670,SUMPRODUCT(MAX(ROW(E$1:E4670)*(E4671=E$1:E4670)))))</f>
        <v> </v>
      </c>
      <c r="L4671" s="26"/>
    </row>
    <row r="4672" spans="1:12">
      <c r="A4672" s="20" t="s">
        <v>1155</v>
      </c>
      <c r="E4672" s="21">
        <f>IF(D4672="?OLD","!!!","")</f>
        <v/>
      </c>
      <c r="F4672" s="22" t="str">
        <f>IF(OR(E4672="",E4672="!!!"),"",IF(NOT(ISNA(VLOOKUP(E4672,E$1:E4671,1,FALSE()))),"OLD",IF(AND(E4672&lt;&gt;"",E4672&lt;&gt;"!!!"),"NEW","")))</f>
        <v> </v>
      </c>
      <c r="G4672" s="23" t="str">
        <f>IF(OR(E4672="",E4672="!!!"),"",IF(OR(J4672=0,AND(J4672=1,K4672=1),AND(J4672=1,I4672="SBJ"),AND(J4672=1,I4672=0)),"?IN_FOCUS",IF(J4672&lt;=2,"?ACTIVATED",IF(J4672&lt;&gt;"","?FAMILIAR",IF(F4672="NEW",IF(ISNA(VLOOKUP(E4672,#REF!,1,FALSE())),"?TYPE_IDENTIFIABLE","?REFERENTIAL"),"_")))))</f>
        <v> </v>
      </c>
      <c r="H4672" s="24" t="str">
        <f>IF(J4672&lt;&gt;1,"",IF(I4672="SBJ","CB","?"))</f>
        <v> </v>
      </c>
      <c r="I4672" s="25" t="str">
        <f>IF(OR(E4672="",E4672="!!!",F4672="NEW"),"",INDEX(B4671:B$2,-1+SUMPRODUCT(MAX(ROW(E4671:E$2)*(E4672=E4671:E$2)))))</f>
        <v> </v>
      </c>
      <c r="J4672" s="25" t="str">
        <f>IF(OR(E4672="",E4672="!!!",F4672="NEW"),"",COUNTBLANK(OFFSET(A$1,,,SUMPRODUCT(MAX(ROW(E$2:E4672)*(E4672=E$2:E4672)))))-COUNTBLANK(OFFSET(A$1,,,SUMPRODUCT(MAX(ROW(E$1:E4671)*(E2=E$1:E4671))))))</f>
        <v> </v>
      </c>
      <c r="K4672" s="25" t="str">
        <f>IF(OR(E4672="",E4672="!!!",F4672="NEW"),"",INDEX(J$1:J4671,SUMPRODUCT(MAX(ROW(E$1:E4671)*(E4672=E$1:E4671)))))</f>
        <v> </v>
      </c>
      <c r="L4672" s="26"/>
    </row>
    <row r="4673" spans="1:12">
      <c r="A4673" s="20" t="s">
        <v>2441</v>
      </c>
      <c r="E4673" s="21">
        <f>IF(D4673="?OLD","!!!","")</f>
        <v/>
      </c>
      <c r="F4673" s="22" t="str">
        <f>IF(OR(E4673="",E4673="!!!"),"",IF(NOT(ISNA(VLOOKUP(E4673,E$1:E4672,1,FALSE()))),"OLD",IF(AND(E4673&lt;&gt;"",E4673&lt;&gt;"!!!"),"NEW","")))</f>
        <v> </v>
      </c>
      <c r="G4673" s="23" t="str">
        <f>IF(OR(E4673="",E4673="!!!"),"",IF(OR(J4673=0,AND(J4673=1,K4673=1),AND(J4673=1,I4673="SBJ"),AND(J4673=1,I4673=0)),"?IN_FOCUS",IF(J4673&lt;=2,"?ACTIVATED",IF(J4673&lt;&gt;"","?FAMILIAR",IF(F4673="NEW",IF(ISNA(VLOOKUP(E4673,#REF!,1,FALSE())),"?TYPE_IDENTIFIABLE","?REFERENTIAL"),"_")))))</f>
        <v> </v>
      </c>
      <c r="H4673" s="24" t="str">
        <f>IF(J4673&lt;&gt;1,"",IF(I4673="SBJ","CB","?"))</f>
        <v> </v>
      </c>
      <c r="I4673" s="25" t="str">
        <f>IF(OR(E4673="",E4673="!!!",F4673="NEW"),"",INDEX(B4672:B$2,-1+SUMPRODUCT(MAX(ROW(E4672:E$2)*(E4673=E4672:E$2)))))</f>
        <v> </v>
      </c>
      <c r="J4673" s="25" t="str">
        <f>IF(OR(E4673="",E4673="!!!",F4673="NEW"),"",COUNTBLANK(OFFSET(A$1,,,SUMPRODUCT(MAX(ROW(E$2:E4673)*(E4673=E$2:E4673)))))-COUNTBLANK(OFFSET(A$1,,,SUMPRODUCT(MAX(ROW(E$1:E4672)*(E2=E$1:E4672))))))</f>
        <v> </v>
      </c>
      <c r="K4673" s="25" t="str">
        <f>IF(OR(E4673="",E4673="!!!",F4673="NEW"),"",INDEX(J$1:J4672,SUMPRODUCT(MAX(ROW(E$1:E4672)*(E4673=E$1:E4672)))))</f>
        <v> </v>
      </c>
      <c r="L4673" s="26"/>
    </row>
    <row r="4674" spans="1:12">
      <c r="A4674" s="20" t="s">
        <v>1207</v>
      </c>
      <c r="E4674" s="21">
        <f>IF(D4674="?OLD","!!!","")</f>
        <v/>
      </c>
      <c r="F4674" s="22" t="str">
        <f>IF(OR(E4674="",E4674="!!!"),"",IF(NOT(ISNA(VLOOKUP(E4674,E$1:E4673,1,FALSE()))),"OLD",IF(AND(E4674&lt;&gt;"",E4674&lt;&gt;"!!!"),"NEW","")))</f>
        <v> </v>
      </c>
      <c r="G4674" s="23" t="str">
        <f>IF(OR(E4674="",E4674="!!!"),"",IF(OR(J4674=0,AND(J4674=1,K4674=1),AND(J4674=1,I4674="SBJ"),AND(J4674=1,I4674=0)),"?IN_FOCUS",IF(J4674&lt;=2,"?ACTIVATED",IF(J4674&lt;&gt;"","?FAMILIAR",IF(F4674="NEW",IF(ISNA(VLOOKUP(E4674,#REF!,1,FALSE())),"?TYPE_IDENTIFIABLE","?REFERENTIAL"),"_")))))</f>
        <v> </v>
      </c>
      <c r="H4674" s="24" t="str">
        <f>IF(J4674&lt;&gt;1,"",IF(I4674="SBJ","CB","?"))</f>
        <v> </v>
      </c>
      <c r="I4674" s="25" t="str">
        <f>IF(OR(E4674="",E4674="!!!",F4674="NEW"),"",INDEX(B4673:B$2,-1+SUMPRODUCT(MAX(ROW(E4673:E$2)*(E4674=E4673:E$2)))))</f>
        <v> </v>
      </c>
      <c r="J4674" s="25" t="str">
        <f>IF(OR(E4674="",E4674="!!!",F4674="NEW"),"",COUNTBLANK(OFFSET(A$1,,,SUMPRODUCT(MAX(ROW(E$2:E4674)*(E4674=E$2:E4674)))))-COUNTBLANK(OFFSET(A$1,,,SUMPRODUCT(MAX(ROW(E$1:E4673)*(E2=E$1:E4673))))))</f>
        <v> </v>
      </c>
      <c r="K4674" s="25" t="str">
        <f>IF(OR(E4674="",E4674="!!!",F4674="NEW"),"",INDEX(J$1:J4673,SUMPRODUCT(MAX(ROW(E$1:E4673)*(E4674=E$1:E4673)))))</f>
        <v> </v>
      </c>
      <c r="L4674" s="26"/>
    </row>
    <row r="4675" spans="1:12">
      <c r="A4675" s="20" t="s">
        <v>1097</v>
      </c>
      <c r="E4675" s="21">
        <f>IF(D4675="?OLD","!!!","")</f>
        <v/>
      </c>
      <c r="F4675" s="22" t="str">
        <f>IF(OR(E4675="",E4675="!!!"),"",IF(NOT(ISNA(VLOOKUP(E4675,E$1:E4674,1,FALSE()))),"OLD",IF(AND(E4675&lt;&gt;"",E4675&lt;&gt;"!!!"),"NEW","")))</f>
        <v> </v>
      </c>
      <c r="G4675" s="23" t="str">
        <f>IF(OR(E4675="",E4675="!!!"),"",IF(OR(J4675=0,AND(J4675=1,K4675=1),AND(J4675=1,I4675="SBJ"),AND(J4675=1,I4675=0)),"?IN_FOCUS",IF(J4675&lt;=2,"?ACTIVATED",IF(J4675&lt;&gt;"","?FAMILIAR",IF(F4675="NEW",IF(ISNA(VLOOKUP(E4675,#REF!,1,FALSE())),"?TYPE_IDENTIFIABLE","?REFERENTIAL"),"_")))))</f>
        <v> </v>
      </c>
      <c r="H4675" s="24" t="str">
        <f>IF(J4675&lt;&gt;1,"",IF(I4675="SBJ","CB","?"))</f>
        <v> </v>
      </c>
      <c r="I4675" s="25" t="str">
        <f>IF(OR(E4675="",E4675="!!!",F4675="NEW"),"",INDEX(B4674:B$2,-1+SUMPRODUCT(MAX(ROW(E4674:E$2)*(E4675=E4674:E$2)))))</f>
        <v> </v>
      </c>
      <c r="J4675" s="25" t="str">
        <f>IF(OR(E4675="",E4675="!!!",F4675="NEW"),"",COUNTBLANK(OFFSET(A$1,,,SUMPRODUCT(MAX(ROW(E$2:E4675)*(E4675=E$2:E4675)))))-COUNTBLANK(OFFSET(A$1,,,SUMPRODUCT(MAX(ROW(E$1:E4674)*(E2=E$1:E4674))))))</f>
        <v> </v>
      </c>
      <c r="K4675" s="25" t="str">
        <f>IF(OR(E4675="",E4675="!!!",F4675="NEW"),"",INDEX(J$1:J4674,SUMPRODUCT(MAX(ROW(E$1:E4674)*(E4675=E$1:E4674)))))</f>
        <v> </v>
      </c>
      <c r="L4675" s="26"/>
    </row>
    <row r="4676" spans="1:12">
      <c r="A4676" s="20" t="s">
        <v>2442</v>
      </c>
      <c r="B4676" s="27" t="s">
        <v>1071</v>
      </c>
      <c r="C4676" s="27" t="s">
        <v>1086</v>
      </c>
      <c r="D4676" s="27" t="s">
        <v>1069</v>
      </c>
      <c r="E4676" s="21">
        <f>IF(D4676="?OLD","!!!","")</f>
        <v/>
      </c>
      <c r="F4676" s="22" t="str">
        <f>IF(OR(E4676="",E4676="!!!"),"",IF(NOT(ISNA(VLOOKUP(E4676,E$1:E4675,1,FALSE()))),"OLD",IF(AND(E4676&lt;&gt;"",E4676&lt;&gt;"!!!"),"NEW","")))</f>
        <v> </v>
      </c>
      <c r="G4676" s="23" t="str">
        <f>IF(OR(E4676="",E4676="!!!"),"",IF(OR(J4676=0,AND(J4676=1,K4676=1),AND(J4676=1,I4676="SBJ"),AND(J4676=1,I4676=0)),"?IN_FOCUS",IF(J4676&lt;=2,"?ACTIVATED",IF(J4676&lt;&gt;"","?FAMILIAR",IF(F4676="NEW",IF(ISNA(VLOOKUP(E4676,#REF!,1,FALSE())),"?TYPE_IDENTIFIABLE","?REFERENTIAL"),"_")))))</f>
        <v> </v>
      </c>
      <c r="H4676" s="24" t="str">
        <f>IF(J4676&lt;&gt;1,"",IF(I4676="SBJ","CB","?"))</f>
        <v> </v>
      </c>
      <c r="I4676" s="25" t="str">
        <f>IF(OR(E4676="",E4676="!!!",F4676="NEW"),"",INDEX(B4675:B$2,-1+SUMPRODUCT(MAX(ROW(E4675:E$2)*(E4676=E4675:E$2)))))</f>
        <v> </v>
      </c>
      <c r="J4676" s="25" t="str">
        <f>IF(OR(E4676="",E4676="!!!",F4676="NEW"),"",COUNTBLANK(OFFSET(A$1,,,SUMPRODUCT(MAX(ROW(E$2:E4676)*(E4676=E$2:E4676)))))-COUNTBLANK(OFFSET(A$1,,,SUMPRODUCT(MAX(ROW(E$1:E4675)*(E2=E$1:E4675))))))</f>
        <v> </v>
      </c>
      <c r="K4676" s="25" t="str">
        <f>IF(OR(E4676="",E4676="!!!",F4676="NEW"),"",INDEX(J$1:J4675,SUMPRODUCT(MAX(ROW(E$1:E4675)*(E4676=E$1:E4675)))))</f>
        <v> </v>
      </c>
      <c r="L4676" s="26"/>
    </row>
    <row r="4677" spans="1:12">
      <c r="A4677" s="20" t="s">
        <v>432</v>
      </c>
      <c r="E4677" s="21">
        <f>IF(D4677="?OLD","!!!","")</f>
        <v/>
      </c>
      <c r="F4677" s="22" t="str">
        <f>IF(OR(E4677="",E4677="!!!"),"",IF(NOT(ISNA(VLOOKUP(E4677,E$1:E4676,1,FALSE()))),"OLD",IF(AND(E4677&lt;&gt;"",E4677&lt;&gt;"!!!"),"NEW","")))</f>
        <v> </v>
      </c>
      <c r="G4677" s="23" t="str">
        <f>IF(OR(E4677="",E4677="!!!"),"",IF(OR(J4677=0,AND(J4677=1,K4677=1),AND(J4677=1,I4677="SBJ"),AND(J4677=1,I4677=0)),"?IN_FOCUS",IF(J4677&lt;=2,"?ACTIVATED",IF(J4677&lt;&gt;"","?FAMILIAR",IF(F4677="NEW",IF(ISNA(VLOOKUP(E4677,#REF!,1,FALSE())),"?TYPE_IDENTIFIABLE","?REFERENTIAL"),"_")))))</f>
        <v> </v>
      </c>
      <c r="H4677" s="24" t="str">
        <f>IF(J4677&lt;&gt;1,"",IF(I4677="SBJ","CB","?"))</f>
        <v> </v>
      </c>
      <c r="I4677" s="25" t="str">
        <f>IF(OR(E4677="",E4677="!!!",F4677="NEW"),"",INDEX(B4676:B$2,-1+SUMPRODUCT(MAX(ROW(E4676:E$2)*(E4677=E4676:E$2)))))</f>
        <v> </v>
      </c>
      <c r="J4677" s="25" t="str">
        <f>IF(OR(E4677="",E4677="!!!",F4677="NEW"),"",COUNTBLANK(OFFSET(A$1,,,SUMPRODUCT(MAX(ROW(E$2:E4677)*(E4677=E$2:E4677)))))-COUNTBLANK(OFFSET(A$1,,,SUMPRODUCT(MAX(ROW(E$1:E4676)*(E2=E$1:E4676))))))</f>
        <v> </v>
      </c>
      <c r="K4677" s="25" t="str">
        <f>IF(OR(E4677="",E4677="!!!",F4677="NEW"),"",INDEX(J$1:J4676,SUMPRODUCT(MAX(ROW(E$1:E4676)*(E4677=E$1:E4676)))))</f>
        <v> </v>
      </c>
      <c r="L4677" s="26"/>
    </row>
    <row r="4678" spans="1:12">
      <c r="A4678" s="20" t="s">
        <v>1088</v>
      </c>
      <c r="E4678" s="21">
        <f>IF(D4678="?OLD","!!!","")</f>
        <v/>
      </c>
      <c r="F4678" s="22" t="str">
        <f>IF(OR(E4678="",E4678="!!!"),"",IF(NOT(ISNA(VLOOKUP(E4678,E$1:E4677,1,FALSE()))),"OLD",IF(AND(E4678&lt;&gt;"",E4678&lt;&gt;"!!!"),"NEW","")))</f>
        <v> </v>
      </c>
      <c r="G4678" s="23" t="str">
        <f>IF(OR(E4678="",E4678="!!!"),"",IF(OR(J4678=0,AND(J4678=1,K4678=1),AND(J4678=1,I4678="SBJ"),AND(J4678=1,I4678=0)),"?IN_FOCUS",IF(J4678&lt;=2,"?ACTIVATED",IF(J4678&lt;&gt;"","?FAMILIAR",IF(F4678="NEW",IF(ISNA(VLOOKUP(E4678,#REF!,1,FALSE())),"?TYPE_IDENTIFIABLE","?REFERENTIAL"),"_")))))</f>
        <v> </v>
      </c>
      <c r="H4678" s="24" t="str">
        <f>IF(J4678&lt;&gt;1,"",IF(I4678="SBJ","CB","?"))</f>
        <v> </v>
      </c>
      <c r="I4678" s="25" t="str">
        <f>IF(OR(E4678="",E4678="!!!",F4678="NEW"),"",INDEX(B4677:B$2,-1+SUMPRODUCT(MAX(ROW(E4677:E$2)*(E4678=E4677:E$2)))))</f>
        <v> </v>
      </c>
      <c r="J4678" s="25" t="str">
        <f>IF(OR(E4678="",E4678="!!!",F4678="NEW"),"",COUNTBLANK(OFFSET(A$1,,,SUMPRODUCT(MAX(ROW(E$2:E4678)*(E4678=E$2:E4678)))))-COUNTBLANK(OFFSET(A$1,,,SUMPRODUCT(MAX(ROW(E$1:E4677)*(E2=E$1:E4677))))))</f>
        <v> </v>
      </c>
      <c r="K4678" s="25" t="str">
        <f>IF(OR(E4678="",E4678="!!!",F4678="NEW"),"",INDEX(J$1:J4677,SUMPRODUCT(MAX(ROW(E$1:E4677)*(E4678=E$1:E4677)))))</f>
        <v> </v>
      </c>
      <c r="L4678" s="26"/>
    </row>
    <row r="4679" spans="1:12">
      <c r="A4679" s="20" t="s">
        <v>1228</v>
      </c>
      <c r="B4679" s="27" t="s">
        <v>1133</v>
      </c>
      <c r="C4679" s="27" t="s">
        <v>1072</v>
      </c>
      <c r="E4679" s="21">
        <f>IF(D4679="?OLD","!!!","")</f>
        <v/>
      </c>
      <c r="F4679" s="22" t="str">
        <f>IF(OR(E4679="",E4679="!!!"),"",IF(NOT(ISNA(VLOOKUP(E4679,E$1:E4678,1,FALSE()))),"OLD",IF(AND(E4679&lt;&gt;"",E4679&lt;&gt;"!!!"),"NEW","")))</f>
        <v> </v>
      </c>
      <c r="G4679" s="23" t="str">
        <f>IF(OR(E4679="",E4679="!!!"),"",IF(OR(J4679=0,AND(J4679=1,K4679=1),AND(J4679=1,I4679="SBJ"),AND(J4679=1,I4679=0)),"?IN_FOCUS",IF(J4679&lt;=2,"?ACTIVATED",IF(J4679&lt;&gt;"","?FAMILIAR",IF(F4679="NEW",IF(ISNA(VLOOKUP(E4679,#REF!,1,FALSE())),"?TYPE_IDENTIFIABLE","?REFERENTIAL"),"_")))))</f>
        <v> </v>
      </c>
      <c r="H4679" s="24" t="str">
        <f>IF(J4679&lt;&gt;1,"",IF(I4679="SBJ","CB","?"))</f>
        <v> </v>
      </c>
      <c r="I4679" s="25" t="str">
        <f>IF(OR(E4679="",E4679="!!!",F4679="NEW"),"",INDEX(B4678:B$2,-1+SUMPRODUCT(MAX(ROW(E4678:E$2)*(E4679=E4678:E$2)))))</f>
        <v> </v>
      </c>
      <c r="J4679" s="25" t="str">
        <f>IF(OR(E4679="",E4679="!!!",F4679="NEW"),"",COUNTBLANK(OFFSET(A$1,,,SUMPRODUCT(MAX(ROW(E$2:E4679)*(E4679=E$2:E4679)))))-COUNTBLANK(OFFSET(A$1,,,SUMPRODUCT(MAX(ROW(E$1:E4678)*(E2=E$1:E4678))))))</f>
        <v> </v>
      </c>
      <c r="K4679" s="25" t="str">
        <f>IF(OR(E4679="",E4679="!!!",F4679="NEW"),"",INDEX(J$1:J4678,SUMPRODUCT(MAX(ROW(E$1:E4678)*(E4679=E$1:E4678)))))</f>
        <v> </v>
      </c>
      <c r="L4679" s="26"/>
    </row>
    <row r="4680" spans="1:12">
      <c r="A4680" s="20" t="s">
        <v>1083</v>
      </c>
      <c r="E4680" s="21">
        <f>IF(D4680="?OLD","!!!","")</f>
        <v/>
      </c>
      <c r="F4680" s="22" t="str">
        <f>IF(OR(E4680="",E4680="!!!"),"",IF(NOT(ISNA(VLOOKUP(E4680,E$1:E4679,1,FALSE()))),"OLD",IF(AND(E4680&lt;&gt;"",E4680&lt;&gt;"!!!"),"NEW","")))</f>
        <v> </v>
      </c>
      <c r="G4680" s="23" t="str">
        <f>IF(OR(E4680="",E4680="!!!"),"",IF(OR(J4680=0,AND(J4680=1,K4680=1),AND(J4680=1,I4680="SBJ"),AND(J4680=1,I4680=0)),"?IN_FOCUS",IF(J4680&lt;=2,"?ACTIVATED",IF(J4680&lt;&gt;"","?FAMILIAR",IF(F4680="NEW",IF(ISNA(VLOOKUP(E4680,#REF!,1,FALSE())),"?TYPE_IDENTIFIABLE","?REFERENTIAL"),"_")))))</f>
        <v> </v>
      </c>
      <c r="H4680" s="24" t="str">
        <f>IF(J4680&lt;&gt;1,"",IF(I4680="SBJ","CB","?"))</f>
        <v> </v>
      </c>
      <c r="I4680" s="25" t="str">
        <f>IF(OR(E4680="",E4680="!!!",F4680="NEW"),"",INDEX(B4679:B$2,-1+SUMPRODUCT(MAX(ROW(E4679:E$2)*(E4680=E4679:E$2)))))</f>
        <v> </v>
      </c>
      <c r="J4680" s="25" t="str">
        <f>IF(OR(E4680="",E4680="!!!",F4680="NEW"),"",COUNTBLANK(OFFSET(A$1,,,SUMPRODUCT(MAX(ROW(E$2:E4680)*(E4680=E$2:E4680)))))-COUNTBLANK(OFFSET(A$1,,,SUMPRODUCT(MAX(ROW(E$1:E4679)*(E2=E$1:E4679))))))</f>
        <v> </v>
      </c>
      <c r="K4680" s="25" t="str">
        <f>IF(OR(E4680="",E4680="!!!",F4680="NEW"),"",INDEX(J$1:J4679,SUMPRODUCT(MAX(ROW(E$1:E4679)*(E4680=E$1:E4679)))))</f>
        <v> </v>
      </c>
      <c r="L4680" s="26"/>
    </row>
    <row r="4681" spans="1:12">
      <c r="A4681" s="20" t="s">
        <v>1085</v>
      </c>
      <c r="E4681" s="21">
        <f>IF(D4681="?OLD","!!!","")</f>
        <v/>
      </c>
      <c r="F4681" s="22" t="str">
        <f>IF(OR(E4681="",E4681="!!!"),"",IF(NOT(ISNA(VLOOKUP(E4681,E$1:E4680,1,FALSE()))),"OLD",IF(AND(E4681&lt;&gt;"",E4681&lt;&gt;"!!!"),"NEW","")))</f>
        <v> </v>
      </c>
      <c r="G4681" s="23" t="str">
        <f>IF(OR(E4681="",E4681="!!!"),"",IF(OR(J4681=0,AND(J4681=1,K4681=1),AND(J4681=1,I4681="SBJ"),AND(J4681=1,I4681=0)),"?IN_FOCUS",IF(J4681&lt;=2,"?ACTIVATED",IF(J4681&lt;&gt;"","?FAMILIAR",IF(F4681="NEW",IF(ISNA(VLOOKUP(E4681,#REF!,1,FALSE())),"?TYPE_IDENTIFIABLE","?REFERENTIAL"),"_")))))</f>
        <v> </v>
      </c>
      <c r="H4681" s="24" t="str">
        <f>IF(J4681&lt;&gt;1,"",IF(I4681="SBJ","CB","?"))</f>
        <v> </v>
      </c>
      <c r="I4681" s="25" t="str">
        <f>IF(OR(E4681="",E4681="!!!",F4681="NEW"),"",INDEX(B4680:B$2,-1+SUMPRODUCT(MAX(ROW(E4680:E$2)*(E4681=E4680:E$2)))))</f>
        <v> </v>
      </c>
      <c r="J4681" s="25" t="str">
        <f>IF(OR(E4681="",E4681="!!!",F4681="NEW"),"",COUNTBLANK(OFFSET(A$1,,,SUMPRODUCT(MAX(ROW(E$2:E4681)*(E4681=E$2:E4681)))))-COUNTBLANK(OFFSET(A$1,,,SUMPRODUCT(MAX(ROW(E$1:E4680)*(E2=E$1:E4680))))))</f>
        <v> </v>
      </c>
      <c r="K4681" s="25" t="str">
        <f>IF(OR(E4681="",E4681="!!!",F4681="NEW"),"",INDEX(J$1:J4680,SUMPRODUCT(MAX(ROW(E$1:E4680)*(E4681=E$1:E4680)))))</f>
        <v> </v>
      </c>
      <c r="L4681" s="26"/>
    </row>
    <row r="4682" spans="1:12">
      <c r="A4682" s="20" t="s">
        <v>2443</v>
      </c>
      <c r="E4682" s="21">
        <f>IF(D4682="?OLD","!!!","")</f>
        <v/>
      </c>
      <c r="F4682" s="22" t="str">
        <f>IF(OR(E4682="",E4682="!!!"),"",IF(NOT(ISNA(VLOOKUP(E4682,E$1:E4681,1,FALSE()))),"OLD",IF(AND(E4682&lt;&gt;"",E4682&lt;&gt;"!!!"),"NEW","")))</f>
        <v> </v>
      </c>
      <c r="G4682" s="23" t="str">
        <f>IF(OR(E4682="",E4682="!!!"),"",IF(OR(J4682=0,AND(J4682=1,K4682=1),AND(J4682=1,I4682="SBJ"),AND(J4682=1,I4682=0)),"?IN_FOCUS",IF(J4682&lt;=2,"?ACTIVATED",IF(J4682&lt;&gt;"","?FAMILIAR",IF(F4682="NEW",IF(ISNA(VLOOKUP(E4682,#REF!,1,FALSE())),"?TYPE_IDENTIFIABLE","?REFERENTIAL"),"_")))))</f>
        <v> </v>
      </c>
      <c r="H4682" s="24" t="str">
        <f>IF(J4682&lt;&gt;1,"",IF(I4682="SBJ","CB","?"))</f>
        <v> </v>
      </c>
      <c r="I4682" s="25" t="str">
        <f>IF(OR(E4682="",E4682="!!!",F4682="NEW"),"",INDEX(B4681:B$2,-1+SUMPRODUCT(MAX(ROW(E4681:E$2)*(E4682=E4681:E$2)))))</f>
        <v> </v>
      </c>
      <c r="J4682" s="25" t="str">
        <f>IF(OR(E4682="",E4682="!!!",F4682="NEW"),"",COUNTBLANK(OFFSET(A$1,,,SUMPRODUCT(MAX(ROW(E$2:E4682)*(E4682=E$2:E4682)))))-COUNTBLANK(OFFSET(A$1,,,SUMPRODUCT(MAX(ROW(E$1:E4681)*(E2=E$1:E4681))))))</f>
        <v> </v>
      </c>
      <c r="K4682" s="25" t="str">
        <f>IF(OR(E4682="",E4682="!!!",F4682="NEW"),"",INDEX(J$1:J4681,SUMPRODUCT(MAX(ROW(E$1:E4681)*(E4682=E$1:E4681)))))</f>
        <v> </v>
      </c>
      <c r="L4682" s="26"/>
    </row>
    <row r="4683" spans="1:12">
      <c r="A4683" s="20" t="s">
        <v>1769</v>
      </c>
      <c r="E4683" s="21">
        <f>IF(D4683="?OLD","!!!","")</f>
        <v/>
      </c>
      <c r="F4683" s="22" t="str">
        <f>IF(OR(E4683="",E4683="!!!"),"",IF(NOT(ISNA(VLOOKUP(E4683,E$1:E4682,1,FALSE()))),"OLD",IF(AND(E4683&lt;&gt;"",E4683&lt;&gt;"!!!"),"NEW","")))</f>
        <v> </v>
      </c>
      <c r="G4683" s="23" t="str">
        <f>IF(OR(E4683="",E4683="!!!"),"",IF(OR(J4683=0,AND(J4683=1,K4683=1),AND(J4683=1,I4683="SBJ"),AND(J4683=1,I4683=0)),"?IN_FOCUS",IF(J4683&lt;=2,"?ACTIVATED",IF(J4683&lt;&gt;"","?FAMILIAR",IF(F4683="NEW",IF(ISNA(VLOOKUP(E4683,#REF!,1,FALSE())),"?TYPE_IDENTIFIABLE","?REFERENTIAL"),"_")))))</f>
        <v> </v>
      </c>
      <c r="H4683" s="24" t="str">
        <f>IF(J4683&lt;&gt;1,"",IF(I4683="SBJ","CB","?"))</f>
        <v> </v>
      </c>
      <c r="I4683" s="25" t="str">
        <f>IF(OR(E4683="",E4683="!!!",F4683="NEW"),"",INDEX(B4682:B$2,-1+SUMPRODUCT(MAX(ROW(E4682:E$2)*(E4683=E4682:E$2)))))</f>
        <v> </v>
      </c>
      <c r="J4683" s="25" t="str">
        <f>IF(OR(E4683="",E4683="!!!",F4683="NEW"),"",COUNTBLANK(OFFSET(A$1,,,SUMPRODUCT(MAX(ROW(E$2:E4683)*(E4683=E$2:E4683)))))-COUNTBLANK(OFFSET(A$1,,,SUMPRODUCT(MAX(ROW(E$1:E4682)*(E2=E$1:E4682))))))</f>
        <v> </v>
      </c>
      <c r="K4683" s="25" t="str">
        <f>IF(OR(E4683="",E4683="!!!",F4683="NEW"),"",INDEX(J$1:J4682,SUMPRODUCT(MAX(ROW(E$1:E4682)*(E4683=E$1:E4682)))))</f>
        <v> </v>
      </c>
      <c r="L4683" s="26"/>
    </row>
    <row r="4684" spans="1:12">
      <c r="A4684" s="20" t="s">
        <v>1087</v>
      </c>
      <c r="E4684" s="21">
        <f>IF(D4684="?OLD","!!!","")</f>
        <v/>
      </c>
      <c r="F4684" s="22" t="str">
        <f>IF(OR(E4684="",E4684="!!!"),"",IF(NOT(ISNA(VLOOKUP(E4684,E$1:E4683,1,FALSE()))),"OLD",IF(AND(E4684&lt;&gt;"",E4684&lt;&gt;"!!!"),"NEW","")))</f>
        <v> </v>
      </c>
      <c r="G4684" s="23" t="str">
        <f>IF(OR(E4684="",E4684="!!!"),"",IF(OR(J4684=0,AND(J4684=1,K4684=1),AND(J4684=1,I4684="SBJ"),AND(J4684=1,I4684=0)),"?IN_FOCUS",IF(J4684&lt;=2,"?ACTIVATED",IF(J4684&lt;&gt;"","?FAMILIAR",IF(F4684="NEW",IF(ISNA(VLOOKUP(E4684,#REF!,1,FALSE())),"?TYPE_IDENTIFIABLE","?REFERENTIAL"),"_")))))</f>
        <v> </v>
      </c>
      <c r="H4684" s="24" t="str">
        <f>IF(J4684&lt;&gt;1,"",IF(I4684="SBJ","CB","?"))</f>
        <v> </v>
      </c>
      <c r="I4684" s="25" t="str">
        <f>IF(OR(E4684="",E4684="!!!",F4684="NEW"),"",INDEX(B4683:B$2,-1+SUMPRODUCT(MAX(ROW(E4683:E$2)*(E4684=E4683:E$2)))))</f>
        <v> </v>
      </c>
      <c r="J4684" s="25" t="str">
        <f>IF(OR(E4684="",E4684="!!!",F4684="NEW"),"",COUNTBLANK(OFFSET(A$1,,,SUMPRODUCT(MAX(ROW(E$2:E4684)*(E4684=E$2:E4684)))))-COUNTBLANK(OFFSET(A$1,,,SUMPRODUCT(MAX(ROW(E$1:E4683)*(E2=E$1:E4683))))))</f>
        <v> </v>
      </c>
      <c r="K4684" s="25" t="str">
        <f>IF(OR(E4684="",E4684="!!!",F4684="NEW"),"",INDEX(J$1:J4683,SUMPRODUCT(MAX(ROW(E$1:E4683)*(E4684=E$1:E4683)))))</f>
        <v> </v>
      </c>
      <c r="L4684" s="26"/>
    </row>
    <row r="4685" spans="1:12">
      <c r="A4685" s="20" t="s">
        <v>2444</v>
      </c>
      <c r="E4685" s="21">
        <f>IF(D4685="?OLD","!!!","")</f>
        <v/>
      </c>
      <c r="F4685" s="22" t="str">
        <f>IF(OR(E4685="",E4685="!!!"),"",IF(NOT(ISNA(VLOOKUP(E4685,E$1:E4684,1,FALSE()))),"OLD",IF(AND(E4685&lt;&gt;"",E4685&lt;&gt;"!!!"),"NEW","")))</f>
        <v> </v>
      </c>
      <c r="G4685" s="23" t="str">
        <f>IF(OR(E4685="",E4685="!!!"),"",IF(OR(J4685=0,AND(J4685=1,K4685=1),AND(J4685=1,I4685="SBJ"),AND(J4685=1,I4685=0)),"?IN_FOCUS",IF(J4685&lt;=2,"?ACTIVATED",IF(J4685&lt;&gt;"","?FAMILIAR",IF(F4685="NEW",IF(ISNA(VLOOKUP(E4685,#REF!,1,FALSE())),"?TYPE_IDENTIFIABLE","?REFERENTIAL"),"_")))))</f>
        <v> </v>
      </c>
      <c r="H4685" s="24" t="str">
        <f>IF(J4685&lt;&gt;1,"",IF(I4685="SBJ","CB","?"))</f>
        <v> </v>
      </c>
      <c r="I4685" s="25" t="str">
        <f>IF(OR(E4685="",E4685="!!!",F4685="NEW"),"",INDEX(B4684:B$2,-1+SUMPRODUCT(MAX(ROW(E4684:E$2)*(E4685=E4684:E$2)))))</f>
        <v> </v>
      </c>
      <c r="J4685" s="25" t="str">
        <f>IF(OR(E4685="",E4685="!!!",F4685="NEW"),"",COUNTBLANK(OFFSET(A$1,,,SUMPRODUCT(MAX(ROW(E$2:E4685)*(E4685=E$2:E4685)))))-COUNTBLANK(OFFSET(A$1,,,SUMPRODUCT(MAX(ROW(E$1:E4684)*(E2=E$1:E4684))))))</f>
        <v> </v>
      </c>
      <c r="K4685" s="25" t="str">
        <f>IF(OR(E4685="",E4685="!!!",F4685="NEW"),"",INDEX(J$1:J4684,SUMPRODUCT(MAX(ROW(E$1:E4684)*(E4685=E$1:E4684)))))</f>
        <v> </v>
      </c>
      <c r="L4685" s="26"/>
    </row>
    <row r="4686" spans="1:12">
      <c r="A4686" s="20" t="s">
        <v>1351</v>
      </c>
      <c r="B4686" s="27" t="s">
        <v>1235</v>
      </c>
      <c r="C4686" s="27" t="s">
        <v>1072</v>
      </c>
      <c r="E4686" s="21">
        <f>IF(D4686="?OLD","!!!","")</f>
        <v/>
      </c>
      <c r="F4686" s="22" t="str">
        <f>IF(OR(E4686="",E4686="!!!"),"",IF(NOT(ISNA(VLOOKUP(E4686,E$1:E4685,1,FALSE()))),"OLD",IF(AND(E4686&lt;&gt;"",E4686&lt;&gt;"!!!"),"NEW","")))</f>
        <v> </v>
      </c>
      <c r="G4686" s="23" t="str">
        <f>IF(OR(E4686="",E4686="!!!"),"",IF(OR(J4686=0,AND(J4686=1,K4686=1),AND(J4686=1,I4686="SBJ"),AND(J4686=1,I4686=0)),"?IN_FOCUS",IF(J4686&lt;=2,"?ACTIVATED",IF(J4686&lt;&gt;"","?FAMILIAR",IF(F4686="NEW",IF(ISNA(VLOOKUP(E4686,#REF!,1,FALSE())),"?TYPE_IDENTIFIABLE","?REFERENTIAL"),"_")))))</f>
        <v> </v>
      </c>
      <c r="H4686" s="24" t="str">
        <f>IF(J4686&lt;&gt;1,"",IF(I4686="SBJ","CB","?"))</f>
        <v> </v>
      </c>
      <c r="I4686" s="25" t="str">
        <f>IF(OR(E4686="",E4686="!!!",F4686="NEW"),"",INDEX(B4685:B$2,-1+SUMPRODUCT(MAX(ROW(E4685:E$2)*(E4686=E4685:E$2)))))</f>
        <v> </v>
      </c>
      <c r="J4686" s="25" t="str">
        <f>IF(OR(E4686="",E4686="!!!",F4686="NEW"),"",COUNTBLANK(OFFSET(A$1,,,SUMPRODUCT(MAX(ROW(E$2:E4686)*(E4686=E$2:E4686)))))-COUNTBLANK(OFFSET(A$1,,,SUMPRODUCT(MAX(ROW(E$1:E4685)*(E2=E$1:E4685))))))</f>
        <v> </v>
      </c>
      <c r="K4686" s="25" t="str">
        <f>IF(OR(E4686="",E4686="!!!",F4686="NEW"),"",INDEX(J$1:J4685,SUMPRODUCT(MAX(ROW(E$1:E4685)*(E4686=E$1:E4685)))))</f>
        <v> </v>
      </c>
      <c r="L4686" s="26"/>
    </row>
    <row r="4687" spans="1:12">
      <c r="A4687" s="20" t="s">
        <v>1332</v>
      </c>
      <c r="E4687" s="21">
        <f>IF(D4687="?OLD","!!!","")</f>
        <v/>
      </c>
      <c r="F4687" s="22" t="str">
        <f>IF(OR(E4687="",E4687="!!!"),"",IF(NOT(ISNA(VLOOKUP(E4687,E$1:E4686,1,FALSE()))),"OLD",IF(AND(E4687&lt;&gt;"",E4687&lt;&gt;"!!!"),"NEW","")))</f>
        <v> </v>
      </c>
      <c r="G4687" s="23" t="str">
        <f>IF(OR(E4687="",E4687="!!!"),"",IF(OR(J4687=0,AND(J4687=1,K4687=1),AND(J4687=1,I4687="SBJ"),AND(J4687=1,I4687=0)),"?IN_FOCUS",IF(J4687&lt;=2,"?ACTIVATED",IF(J4687&lt;&gt;"","?FAMILIAR",IF(F4687="NEW",IF(ISNA(VLOOKUP(E4687,#REF!,1,FALSE())),"?TYPE_IDENTIFIABLE","?REFERENTIAL"),"_")))))</f>
        <v> </v>
      </c>
      <c r="H4687" s="24" t="str">
        <f>IF(J4687&lt;&gt;1,"",IF(I4687="SBJ","CB","?"))</f>
        <v> </v>
      </c>
      <c r="I4687" s="25" t="str">
        <f>IF(OR(E4687="",E4687="!!!",F4687="NEW"),"",INDEX(B4686:B$2,-1+SUMPRODUCT(MAX(ROW(E4686:E$2)*(E4687=E4686:E$2)))))</f>
        <v> </v>
      </c>
      <c r="J4687" s="25" t="str">
        <f>IF(OR(E4687="",E4687="!!!",F4687="NEW"),"",COUNTBLANK(OFFSET(A$1,,,SUMPRODUCT(MAX(ROW(E$2:E4687)*(E4687=E$2:E4687)))))-COUNTBLANK(OFFSET(A$1,,,SUMPRODUCT(MAX(ROW(E$1:E4686)*(E2=E$1:E4686))))))</f>
        <v> </v>
      </c>
      <c r="K4687" s="25" t="str">
        <f>IF(OR(E4687="",E4687="!!!",F4687="NEW"),"",INDEX(J$1:J4686,SUMPRODUCT(MAX(ROW(E$1:E4686)*(E4687=E$1:E4686)))))</f>
        <v> </v>
      </c>
      <c r="L4687" s="26"/>
    </row>
    <row r="4688" spans="1:12">
      <c r="A4688" s="20" t="s">
        <v>2445</v>
      </c>
      <c r="E4688" s="21">
        <f>IF(D4688="?OLD","!!!","")</f>
        <v/>
      </c>
      <c r="F4688" s="22" t="str">
        <f>IF(OR(E4688="",E4688="!!!"),"",IF(NOT(ISNA(VLOOKUP(E4688,E$1:E4687,1,FALSE()))),"OLD",IF(AND(E4688&lt;&gt;"",E4688&lt;&gt;"!!!"),"NEW","")))</f>
        <v> </v>
      </c>
      <c r="G4688" s="23" t="str">
        <f>IF(OR(E4688="",E4688="!!!"),"",IF(OR(J4688=0,AND(J4688=1,K4688=1),AND(J4688=1,I4688="SBJ"),AND(J4688=1,I4688=0)),"?IN_FOCUS",IF(J4688&lt;=2,"?ACTIVATED",IF(J4688&lt;&gt;"","?FAMILIAR",IF(F4688="NEW",IF(ISNA(VLOOKUP(E4688,#REF!,1,FALSE())),"?TYPE_IDENTIFIABLE","?REFERENTIAL"),"_")))))</f>
        <v> </v>
      </c>
      <c r="H4688" s="24" t="str">
        <f>IF(J4688&lt;&gt;1,"",IF(I4688="SBJ","CB","?"))</f>
        <v> </v>
      </c>
      <c r="I4688" s="25" t="str">
        <f>IF(OR(E4688="",E4688="!!!",F4688="NEW"),"",INDEX(B4687:B$2,-1+SUMPRODUCT(MAX(ROW(E4687:E$2)*(E4688=E4687:E$2)))))</f>
        <v> </v>
      </c>
      <c r="J4688" s="25" t="str">
        <f>IF(OR(E4688="",E4688="!!!",F4688="NEW"),"",COUNTBLANK(OFFSET(A$1,,,SUMPRODUCT(MAX(ROW(E$2:E4688)*(E4688=E$2:E4688)))))-COUNTBLANK(OFFSET(A$1,,,SUMPRODUCT(MAX(ROW(E$1:E4687)*(E2=E$1:E4687))))))</f>
        <v> </v>
      </c>
      <c r="K4688" s="25" t="str">
        <f>IF(OR(E4688="",E4688="!!!",F4688="NEW"),"",INDEX(J$1:J4687,SUMPRODUCT(MAX(ROW(E$1:E4687)*(E4688=E$1:E4687)))))</f>
        <v> </v>
      </c>
      <c r="L4688" s="26"/>
    </row>
    <row r="4689" spans="1:12">
      <c r="A4689" s="20" t="s">
        <v>1087</v>
      </c>
      <c r="E4689" s="21">
        <f>IF(D4689="?OLD","!!!","")</f>
        <v/>
      </c>
      <c r="F4689" s="22" t="str">
        <f>IF(OR(E4689="",E4689="!!!"),"",IF(NOT(ISNA(VLOOKUP(E4689,E$1:E4688,1,FALSE()))),"OLD",IF(AND(E4689&lt;&gt;"",E4689&lt;&gt;"!!!"),"NEW","")))</f>
        <v> </v>
      </c>
      <c r="G4689" s="23" t="str">
        <f>IF(OR(E4689="",E4689="!!!"),"",IF(OR(J4689=0,AND(J4689=1,K4689=1),AND(J4689=1,I4689="SBJ"),AND(J4689=1,I4689=0)),"?IN_FOCUS",IF(J4689&lt;=2,"?ACTIVATED",IF(J4689&lt;&gt;"","?FAMILIAR",IF(F4689="NEW",IF(ISNA(VLOOKUP(E4689,#REF!,1,FALSE())),"?TYPE_IDENTIFIABLE","?REFERENTIAL"),"_")))))</f>
        <v> </v>
      </c>
      <c r="H4689" s="24" t="str">
        <f>IF(J4689&lt;&gt;1,"",IF(I4689="SBJ","CB","?"))</f>
        <v> </v>
      </c>
      <c r="I4689" s="25" t="str">
        <f>IF(OR(E4689="",E4689="!!!",F4689="NEW"),"",INDEX(B4688:B$2,-1+SUMPRODUCT(MAX(ROW(E4688:E$2)*(E4689=E4688:E$2)))))</f>
        <v> </v>
      </c>
      <c r="J4689" s="25" t="str">
        <f>IF(OR(E4689="",E4689="!!!",F4689="NEW"),"",COUNTBLANK(OFFSET(A$1,,,SUMPRODUCT(MAX(ROW(E$2:E4689)*(E4689=E$2:E4689)))))-COUNTBLANK(OFFSET(A$1,,,SUMPRODUCT(MAX(ROW(E$1:E4688)*(E2=E$1:E4688))))))</f>
        <v> </v>
      </c>
      <c r="K4689" s="25" t="str">
        <f>IF(OR(E4689="",E4689="!!!",F4689="NEW"),"",INDEX(J$1:J4688,SUMPRODUCT(MAX(ROW(E$1:E4688)*(E4689=E$1:E4688)))))</f>
        <v> </v>
      </c>
      <c r="L4689" s="26"/>
    </row>
    <row r="4690" spans="1:12">
      <c r="A4690" s="20" t="s">
        <v>1088</v>
      </c>
      <c r="E4690" s="21">
        <f>IF(D4690="?OLD","!!!","")</f>
        <v/>
      </c>
      <c r="F4690" s="22" t="str">
        <f>IF(OR(E4690="",E4690="!!!"),"",IF(NOT(ISNA(VLOOKUP(E4690,E$1:E4689,1,FALSE()))),"OLD",IF(AND(E4690&lt;&gt;"",E4690&lt;&gt;"!!!"),"NEW","")))</f>
        <v> </v>
      </c>
      <c r="G4690" s="23" t="str">
        <f>IF(OR(E4690="",E4690="!!!"),"",IF(OR(J4690=0,AND(J4690=1,K4690=1),AND(J4690=1,I4690="SBJ"),AND(J4690=1,I4690=0)),"?IN_FOCUS",IF(J4690&lt;=2,"?ACTIVATED",IF(J4690&lt;&gt;"","?FAMILIAR",IF(F4690="NEW",IF(ISNA(VLOOKUP(E4690,#REF!,1,FALSE())),"?TYPE_IDENTIFIABLE","?REFERENTIAL"),"_")))))</f>
        <v> </v>
      </c>
      <c r="H4690" s="24" t="str">
        <f>IF(J4690&lt;&gt;1,"",IF(I4690="SBJ","CB","?"))</f>
        <v> </v>
      </c>
      <c r="I4690" s="25" t="str">
        <f>IF(OR(E4690="",E4690="!!!",F4690="NEW"),"",INDEX(B4689:B$2,-1+SUMPRODUCT(MAX(ROW(E4689:E$2)*(E4690=E4689:E$2)))))</f>
        <v> </v>
      </c>
      <c r="J4690" s="25" t="str">
        <f>IF(OR(E4690="",E4690="!!!",F4690="NEW"),"",COUNTBLANK(OFFSET(A$1,,,SUMPRODUCT(MAX(ROW(E$2:E4690)*(E4690=E$2:E4690)))))-COUNTBLANK(OFFSET(A$1,,,SUMPRODUCT(MAX(ROW(E$1:E4689)*(E2=E$1:E4689))))))</f>
        <v> </v>
      </c>
      <c r="K4690" s="25" t="str">
        <f>IF(OR(E4690="",E4690="!!!",F4690="NEW"),"",INDEX(J$1:J4689,SUMPRODUCT(MAX(ROW(E$1:E4689)*(E4690=E$1:E4689)))))</f>
        <v> </v>
      </c>
      <c r="L4690" s="26"/>
    </row>
    <row r="4691" spans="1:12">
      <c r="A4691" s="20" t="s">
        <v>1351</v>
      </c>
      <c r="B4691" s="27" t="s">
        <v>1109</v>
      </c>
      <c r="C4691" s="27" t="s">
        <v>1072</v>
      </c>
      <c r="E4691" s="21">
        <f>IF(D4691="?OLD","!!!","")</f>
        <v/>
      </c>
      <c r="F4691" s="22" t="str">
        <f>IF(OR(E4691="",E4691="!!!"),"",IF(NOT(ISNA(VLOOKUP(E4691,E$1:E4690,1,FALSE()))),"OLD",IF(AND(E4691&lt;&gt;"",E4691&lt;&gt;"!!!"),"NEW","")))</f>
        <v> </v>
      </c>
      <c r="G4691" s="23" t="str">
        <f>IF(OR(E4691="",E4691="!!!"),"",IF(OR(J4691=0,AND(J4691=1,K4691=1),AND(J4691=1,I4691="SBJ"),AND(J4691=1,I4691=0)),"?IN_FOCUS",IF(J4691&lt;=2,"?ACTIVATED",IF(J4691&lt;&gt;"","?FAMILIAR",IF(F4691="NEW",IF(ISNA(VLOOKUP(E4691,#REF!,1,FALSE())),"?TYPE_IDENTIFIABLE","?REFERENTIAL"),"_")))))</f>
        <v> </v>
      </c>
      <c r="H4691" s="24" t="str">
        <f>IF(J4691&lt;&gt;1,"",IF(I4691="SBJ","CB","?"))</f>
        <v> </v>
      </c>
      <c r="I4691" s="25" t="str">
        <f>IF(OR(E4691="",E4691="!!!",F4691="NEW"),"",INDEX(B4690:B$2,-1+SUMPRODUCT(MAX(ROW(E4690:E$2)*(E4691=E4690:E$2)))))</f>
        <v> </v>
      </c>
      <c r="J4691" s="25" t="str">
        <f>IF(OR(E4691="",E4691="!!!",F4691="NEW"),"",COUNTBLANK(OFFSET(A$1,,,SUMPRODUCT(MAX(ROW(E$2:E4691)*(E4691=E$2:E4691)))))-COUNTBLANK(OFFSET(A$1,,,SUMPRODUCT(MAX(ROW(E$1:E4690)*(E2=E$1:E4690))))))</f>
        <v> </v>
      </c>
      <c r="K4691" s="25" t="str">
        <f>IF(OR(E4691="",E4691="!!!",F4691="NEW"),"",INDEX(J$1:J4690,SUMPRODUCT(MAX(ROW(E$1:E4690)*(E4691=E$1:E4690)))))</f>
        <v> </v>
      </c>
      <c r="L4691" s="26"/>
    </row>
    <row r="4692" spans="1:12">
      <c r="A4692" s="20" t="s">
        <v>2446</v>
      </c>
      <c r="E4692" s="21">
        <f>IF(D4692="?OLD","!!!","")</f>
        <v/>
      </c>
      <c r="F4692" s="22" t="str">
        <f>IF(OR(E4692="",E4692="!!!"),"",IF(NOT(ISNA(VLOOKUP(E4692,E$1:E4691,1,FALSE()))),"OLD",IF(AND(E4692&lt;&gt;"",E4692&lt;&gt;"!!!"),"NEW","")))</f>
        <v> </v>
      </c>
      <c r="G4692" s="23" t="str">
        <f>IF(OR(E4692="",E4692="!!!"),"",IF(OR(J4692=0,AND(J4692=1,K4692=1),AND(J4692=1,I4692="SBJ"),AND(J4692=1,I4692=0)),"?IN_FOCUS",IF(J4692&lt;=2,"?ACTIVATED",IF(J4692&lt;&gt;"","?FAMILIAR",IF(F4692="NEW",IF(ISNA(VLOOKUP(E4692,#REF!,1,FALSE())),"?TYPE_IDENTIFIABLE","?REFERENTIAL"),"_")))))</f>
        <v> </v>
      </c>
      <c r="H4692" s="24" t="str">
        <f>IF(J4692&lt;&gt;1,"",IF(I4692="SBJ","CB","?"))</f>
        <v> </v>
      </c>
      <c r="I4692" s="25" t="str">
        <f>IF(OR(E4692="",E4692="!!!",F4692="NEW"),"",INDEX(B4691:B$2,-1+SUMPRODUCT(MAX(ROW(E4691:E$2)*(E4692=E4691:E$2)))))</f>
        <v> </v>
      </c>
      <c r="J4692" s="25" t="str">
        <f>IF(OR(E4692="",E4692="!!!",F4692="NEW"),"",COUNTBLANK(OFFSET(A$1,,,SUMPRODUCT(MAX(ROW(E$2:E4692)*(E4692=E$2:E4692)))))-COUNTBLANK(OFFSET(A$1,,,SUMPRODUCT(MAX(ROW(E$1:E4691)*(E2=E$1:E4691))))))</f>
        <v> </v>
      </c>
      <c r="K4692" s="25" t="str">
        <f>IF(OR(E4692="",E4692="!!!",F4692="NEW"),"",INDEX(J$1:J4691,SUMPRODUCT(MAX(ROW(E$1:E4691)*(E4692=E$1:E4691)))))</f>
        <v> </v>
      </c>
      <c r="L4692" s="26"/>
    </row>
    <row r="4693" spans="1:12">
      <c r="A4693" s="20" t="s">
        <v>1087</v>
      </c>
      <c r="E4693" s="21">
        <f>IF(D4693="?OLD","!!!","")</f>
        <v/>
      </c>
      <c r="F4693" s="22" t="str">
        <f>IF(OR(E4693="",E4693="!!!"),"",IF(NOT(ISNA(VLOOKUP(E4693,E$1:E4692,1,FALSE()))),"OLD",IF(AND(E4693&lt;&gt;"",E4693&lt;&gt;"!!!"),"NEW","")))</f>
        <v> </v>
      </c>
      <c r="G4693" s="23" t="str">
        <f>IF(OR(E4693="",E4693="!!!"),"",IF(OR(J4693=0,AND(J4693=1,K4693=1),AND(J4693=1,I4693="SBJ"),AND(J4693=1,I4693=0)),"?IN_FOCUS",IF(J4693&lt;=2,"?ACTIVATED",IF(J4693&lt;&gt;"","?FAMILIAR",IF(F4693="NEW",IF(ISNA(VLOOKUP(E4693,#REF!,1,FALSE())),"?TYPE_IDENTIFIABLE","?REFERENTIAL"),"_")))))</f>
        <v> </v>
      </c>
      <c r="H4693" s="24" t="str">
        <f>IF(J4693&lt;&gt;1,"",IF(I4693="SBJ","CB","?"))</f>
        <v> </v>
      </c>
      <c r="I4693" s="25" t="str">
        <f>IF(OR(E4693="",E4693="!!!",F4693="NEW"),"",INDEX(B4692:B$2,-1+SUMPRODUCT(MAX(ROW(E4692:E$2)*(E4693=E4692:E$2)))))</f>
        <v> </v>
      </c>
      <c r="J4693" s="25" t="str">
        <f>IF(OR(E4693="",E4693="!!!",F4693="NEW"),"",COUNTBLANK(OFFSET(A$1,,,SUMPRODUCT(MAX(ROW(E$2:E4693)*(E4693=E$2:E4693)))))-COUNTBLANK(OFFSET(A$1,,,SUMPRODUCT(MAX(ROW(E$1:E4692)*(E2=E$1:E4692))))))</f>
        <v> </v>
      </c>
      <c r="K4693" s="25" t="str">
        <f>IF(OR(E4693="",E4693="!!!",F4693="NEW"),"",INDEX(J$1:J4692,SUMPRODUCT(MAX(ROW(E$1:E4692)*(E4693=E$1:E4692)))))</f>
        <v> </v>
      </c>
      <c r="L4693" s="26"/>
    </row>
    <row r="4694" spans="1:12">
      <c r="A4694" s="20" t="s">
        <v>1149</v>
      </c>
      <c r="E4694" s="21">
        <f>IF(D4694="?OLD","!!!","")</f>
        <v/>
      </c>
      <c r="F4694" s="22" t="str">
        <f>IF(OR(E4694="",E4694="!!!"),"",IF(NOT(ISNA(VLOOKUP(E4694,E$1:E4693,1,FALSE()))),"OLD",IF(AND(E4694&lt;&gt;"",E4694&lt;&gt;"!!!"),"NEW","")))</f>
        <v> </v>
      </c>
      <c r="G4694" s="23" t="str">
        <f>IF(OR(E4694="",E4694="!!!"),"",IF(OR(J4694=0,AND(J4694=1,K4694=1),AND(J4694=1,I4694="SBJ"),AND(J4694=1,I4694=0)),"?IN_FOCUS",IF(J4694&lt;=2,"?ACTIVATED",IF(J4694&lt;&gt;"","?FAMILIAR",IF(F4694="NEW",IF(ISNA(VLOOKUP(E4694,#REF!,1,FALSE())),"?TYPE_IDENTIFIABLE","?REFERENTIAL"),"_")))))</f>
        <v> </v>
      </c>
      <c r="H4694" s="24" t="str">
        <f>IF(J4694&lt;&gt;1,"",IF(I4694="SBJ","CB","?"))</f>
        <v> </v>
      </c>
      <c r="I4694" s="25" t="str">
        <f>IF(OR(E4694="",E4694="!!!",F4694="NEW"),"",INDEX(B4693:B$2,-1+SUMPRODUCT(MAX(ROW(E4693:E$2)*(E4694=E4693:E$2)))))</f>
        <v> </v>
      </c>
      <c r="J4694" s="25" t="str">
        <f>IF(OR(E4694="",E4694="!!!",F4694="NEW"),"",COUNTBLANK(OFFSET(A$1,,,SUMPRODUCT(MAX(ROW(E$2:E4694)*(E4694=E$2:E4694)))))-COUNTBLANK(OFFSET(A$1,,,SUMPRODUCT(MAX(ROW(E$1:E4693)*(E2=E$1:E4693))))))</f>
        <v> </v>
      </c>
      <c r="K4694" s="25" t="str">
        <f>IF(OR(E4694="",E4694="!!!",F4694="NEW"),"",INDEX(J$1:J4693,SUMPRODUCT(MAX(ROW(E$1:E4693)*(E4694=E$1:E4693)))))</f>
        <v> </v>
      </c>
      <c r="L4694" s="26"/>
    </row>
    <row r="4695" spans="1:12">
      <c r="A4695" s="20" t="s">
        <v>1228</v>
      </c>
      <c r="B4695" s="27" t="s">
        <v>1507</v>
      </c>
      <c r="C4695" s="27" t="s">
        <v>1110</v>
      </c>
      <c r="D4695" s="27" t="s">
        <v>1069</v>
      </c>
      <c r="E4695" s="21">
        <f>IF(D4695="?OLD","!!!","")</f>
        <v/>
      </c>
      <c r="F4695" s="22" t="str">
        <f>IF(OR(E4695="",E4695="!!!"),"",IF(NOT(ISNA(VLOOKUP(E4695,E$1:E4694,1,FALSE()))),"OLD",IF(AND(E4695&lt;&gt;"",E4695&lt;&gt;"!!!"),"NEW","")))</f>
        <v> </v>
      </c>
      <c r="G4695" s="23" t="str">
        <f>IF(OR(E4695="",E4695="!!!"),"",IF(OR(J4695=0,AND(J4695=1,K4695=1),AND(J4695=1,I4695="SBJ"),AND(J4695=1,I4695=0)),"?IN_FOCUS",IF(J4695&lt;=2,"?ACTIVATED",IF(J4695&lt;&gt;"","?FAMILIAR",IF(F4695="NEW",IF(ISNA(VLOOKUP(E4695,#REF!,1,FALSE())),"?TYPE_IDENTIFIABLE","?REFERENTIAL"),"_")))))</f>
        <v> </v>
      </c>
      <c r="H4695" s="24" t="str">
        <f>IF(J4695&lt;&gt;1,"",IF(I4695="SBJ","CB","?"))</f>
        <v> </v>
      </c>
      <c r="I4695" s="25" t="str">
        <f>IF(OR(E4695="",E4695="!!!",F4695="NEW"),"",INDEX(B4694:B$2,-1+SUMPRODUCT(MAX(ROW(E4694:E$2)*(E4695=E4694:E$2)))))</f>
        <v> </v>
      </c>
      <c r="J4695" s="25" t="str">
        <f>IF(OR(E4695="",E4695="!!!",F4695="NEW"),"",COUNTBLANK(OFFSET(A$1,,,SUMPRODUCT(MAX(ROW(E$2:E4695)*(E4695=E$2:E4695)))))-COUNTBLANK(OFFSET(A$1,,,SUMPRODUCT(MAX(ROW(E$1:E4694)*(E2=E$1:E4694))))))</f>
        <v> </v>
      </c>
      <c r="K4695" s="25" t="str">
        <f>IF(OR(E4695="",E4695="!!!",F4695="NEW"),"",INDEX(J$1:J4694,SUMPRODUCT(MAX(ROW(E$1:E4694)*(E4695=E$1:E4694)))))</f>
        <v> </v>
      </c>
      <c r="L4695" s="26"/>
    </row>
    <row r="4696" spans="1:12">
      <c r="A4696" s="20" t="s">
        <v>1104</v>
      </c>
      <c r="E4696" s="21">
        <f>IF(D4696="?OLD","!!!","")</f>
        <v/>
      </c>
      <c r="F4696" s="22" t="str">
        <f>IF(OR(E4696="",E4696="!!!"),"",IF(NOT(ISNA(VLOOKUP(E4696,E$1:E4695,1,FALSE()))),"OLD",IF(AND(E4696&lt;&gt;"",E4696&lt;&gt;"!!!"),"NEW","")))</f>
        <v> </v>
      </c>
      <c r="G4696" s="23" t="str">
        <f>IF(OR(E4696="",E4696="!!!"),"",IF(OR(J4696=0,AND(J4696=1,K4696=1),AND(J4696=1,I4696="SBJ"),AND(J4696=1,I4696=0)),"?IN_FOCUS",IF(J4696&lt;=2,"?ACTIVATED",IF(J4696&lt;&gt;"","?FAMILIAR",IF(F4696="NEW",IF(ISNA(VLOOKUP(E4696,#REF!,1,FALSE())),"?TYPE_IDENTIFIABLE","?REFERENTIAL"),"_")))))</f>
        <v> </v>
      </c>
      <c r="H4696" s="24" t="str">
        <f>IF(J4696&lt;&gt;1,"",IF(I4696="SBJ","CB","?"))</f>
        <v> </v>
      </c>
      <c r="I4696" s="25" t="str">
        <f>IF(OR(E4696="",E4696="!!!",F4696="NEW"),"",INDEX(B4695:B$2,-1+SUMPRODUCT(MAX(ROW(E4695:E$2)*(E4696=E4695:E$2)))))</f>
        <v> </v>
      </c>
      <c r="J4696" s="25" t="str">
        <f>IF(OR(E4696="",E4696="!!!",F4696="NEW"),"",COUNTBLANK(OFFSET(A$1,,,SUMPRODUCT(MAX(ROW(E$2:E4696)*(E4696=E$2:E4696)))))-COUNTBLANK(OFFSET(A$1,,,SUMPRODUCT(MAX(ROW(E$1:E4695)*(E2=E$1:E4695))))))</f>
        <v> </v>
      </c>
      <c r="K4696" s="25" t="str">
        <f>IF(OR(E4696="",E4696="!!!",F4696="NEW"),"",INDEX(J$1:J4695,SUMPRODUCT(MAX(ROW(E$1:E4695)*(E4696=E$1:E4695)))))</f>
        <v> </v>
      </c>
      <c r="L4696" s="26"/>
    </row>
    <row r="4697" spans="1:12">
      <c r="A4697" s="20" t="s">
        <v>2421</v>
      </c>
      <c r="B4697" s="27" t="s">
        <v>1507</v>
      </c>
      <c r="C4697" s="27" t="s">
        <v>1086</v>
      </c>
      <c r="D4697" s="27" t="s">
        <v>1069</v>
      </c>
      <c r="E4697" s="21">
        <f>IF(D4697="?OLD","!!!","")</f>
        <v/>
      </c>
      <c r="F4697" s="22" t="str">
        <f>IF(OR(E4697="",E4697="!!!"),"",IF(NOT(ISNA(VLOOKUP(E4697,E$1:E4696,1,FALSE()))),"OLD",IF(AND(E4697&lt;&gt;"",E4697&lt;&gt;"!!!"),"NEW","")))</f>
        <v> </v>
      </c>
      <c r="G4697" s="23" t="str">
        <f>IF(OR(E4697="",E4697="!!!"),"",IF(OR(J4697=0,AND(J4697=1,K4697=1),AND(J4697=1,I4697="SBJ"),AND(J4697=1,I4697=0)),"?IN_FOCUS",IF(J4697&lt;=2,"?ACTIVATED",IF(J4697&lt;&gt;"","?FAMILIAR",IF(F4697="NEW",IF(ISNA(VLOOKUP(E4697,#REF!,1,FALSE())),"?TYPE_IDENTIFIABLE","?REFERENTIAL"),"_")))))</f>
        <v> </v>
      </c>
      <c r="H4697" s="24" t="str">
        <f>IF(J4697&lt;&gt;1,"",IF(I4697="SBJ","CB","?"))</f>
        <v> </v>
      </c>
      <c r="I4697" s="25" t="str">
        <f>IF(OR(E4697="",E4697="!!!",F4697="NEW"),"",INDEX(B4696:B$2,-1+SUMPRODUCT(MAX(ROW(E4696:E$2)*(E4697=E4696:E$2)))))</f>
        <v> </v>
      </c>
      <c r="J4697" s="25" t="str">
        <f>IF(OR(E4697="",E4697="!!!",F4697="NEW"),"",COUNTBLANK(OFFSET(A$1,,,SUMPRODUCT(MAX(ROW(E$2:E4697)*(E4697=E$2:E4697)))))-COUNTBLANK(OFFSET(A$1,,,SUMPRODUCT(MAX(ROW(E$1:E4696)*(E2=E$1:E4696))))))</f>
        <v> </v>
      </c>
      <c r="K4697" s="25" t="str">
        <f>IF(OR(E4697="",E4697="!!!",F4697="NEW"),"",INDEX(J$1:J4696,SUMPRODUCT(MAX(ROW(E$1:E4696)*(E4697=E$1:E4696)))))</f>
        <v> </v>
      </c>
      <c r="L4697" s="26"/>
    </row>
    <row r="4698" spans="1:12">
      <c r="A4698" s="20" t="s">
        <v>2447</v>
      </c>
      <c r="E4698" s="21">
        <f>IF(D4698="?OLD","!!!","")</f>
        <v/>
      </c>
      <c r="F4698" s="22" t="str">
        <f>IF(OR(E4698="",E4698="!!!"),"",IF(NOT(ISNA(VLOOKUP(E4698,E$1:E4697,1,FALSE()))),"OLD",IF(AND(E4698&lt;&gt;"",E4698&lt;&gt;"!!!"),"NEW","")))</f>
        <v> </v>
      </c>
      <c r="G4698" s="23" t="str">
        <f>IF(OR(E4698="",E4698="!!!"),"",IF(OR(J4698=0,AND(J4698=1,K4698=1),AND(J4698=1,I4698="SBJ"),AND(J4698=1,I4698=0)),"?IN_FOCUS",IF(J4698&lt;=2,"?ACTIVATED",IF(J4698&lt;&gt;"","?FAMILIAR",IF(F4698="NEW",IF(ISNA(VLOOKUP(E4698,#REF!,1,FALSE())),"?TYPE_IDENTIFIABLE","?REFERENTIAL"),"_")))))</f>
        <v> </v>
      </c>
      <c r="H4698" s="24" t="str">
        <f>IF(J4698&lt;&gt;1,"",IF(I4698="SBJ","CB","?"))</f>
        <v> </v>
      </c>
      <c r="I4698" s="25" t="str">
        <f>IF(OR(E4698="",E4698="!!!",F4698="NEW"),"",INDEX(B4697:B$2,-1+SUMPRODUCT(MAX(ROW(E4697:E$2)*(E4698=E4697:E$2)))))</f>
        <v> </v>
      </c>
      <c r="J4698" s="25" t="str">
        <f>IF(OR(E4698="",E4698="!!!",F4698="NEW"),"",COUNTBLANK(OFFSET(A$1,,,SUMPRODUCT(MAX(ROW(E$2:E4698)*(E4698=E$2:E4698)))))-COUNTBLANK(OFFSET(A$1,,,SUMPRODUCT(MAX(ROW(E$1:E4697)*(E2=E$1:E4697))))))</f>
        <v> </v>
      </c>
      <c r="K4698" s="25" t="str">
        <f>IF(OR(E4698="",E4698="!!!",F4698="NEW"),"",INDEX(J$1:J4697,SUMPRODUCT(MAX(ROW(E$1:E4697)*(E4698=E$1:E4697)))))</f>
        <v> </v>
      </c>
      <c r="L4698" s="26"/>
    </row>
    <row r="4699" spans="1:12">
      <c r="A4699" s="20" t="s">
        <v>1184</v>
      </c>
      <c r="E4699" s="21">
        <f>IF(D4699="?OLD","!!!","")</f>
        <v/>
      </c>
      <c r="F4699" s="22" t="str">
        <f>IF(OR(E4699="",E4699="!!!"),"",IF(NOT(ISNA(VLOOKUP(E4699,E$1:E4698,1,FALSE()))),"OLD",IF(AND(E4699&lt;&gt;"",E4699&lt;&gt;"!!!"),"NEW","")))</f>
        <v> </v>
      </c>
      <c r="G4699" s="23" t="str">
        <f>IF(OR(E4699="",E4699="!!!"),"",IF(OR(J4699=0,AND(J4699=1,K4699=1),AND(J4699=1,I4699="SBJ"),AND(J4699=1,I4699=0)),"?IN_FOCUS",IF(J4699&lt;=2,"?ACTIVATED",IF(J4699&lt;&gt;"","?FAMILIAR",IF(F4699="NEW",IF(ISNA(VLOOKUP(E4699,#REF!,1,FALSE())),"?TYPE_IDENTIFIABLE","?REFERENTIAL"),"_")))))</f>
        <v> </v>
      </c>
      <c r="H4699" s="24" t="str">
        <f>IF(J4699&lt;&gt;1,"",IF(I4699="SBJ","CB","?"))</f>
        <v> </v>
      </c>
      <c r="I4699" s="25" t="str">
        <f>IF(OR(E4699="",E4699="!!!",F4699="NEW"),"",INDEX(B4698:B$2,-1+SUMPRODUCT(MAX(ROW(E4698:E$2)*(E4699=E4698:E$2)))))</f>
        <v> </v>
      </c>
      <c r="J4699" s="25" t="str">
        <f>IF(OR(E4699="",E4699="!!!",F4699="NEW"),"",COUNTBLANK(OFFSET(A$1,,,SUMPRODUCT(MAX(ROW(E$2:E4699)*(E4699=E$2:E4699)))))-COUNTBLANK(OFFSET(A$1,,,SUMPRODUCT(MAX(ROW(E$1:E4698)*(E2=E$1:E4698))))))</f>
        <v> </v>
      </c>
      <c r="K4699" s="25" t="str">
        <f>IF(OR(E4699="",E4699="!!!",F4699="NEW"),"",INDEX(J$1:J4698,SUMPRODUCT(MAX(ROW(E$1:E4698)*(E4699=E$1:E4698)))))</f>
        <v> </v>
      </c>
      <c r="L4699" s="26"/>
    </row>
    <row r="4700" spans="1:12">
      <c r="A4700" s="20" t="s">
        <v>1080</v>
      </c>
      <c r="E4700" s="21">
        <f>IF(D4700="?OLD","!!!","")</f>
        <v/>
      </c>
      <c r="F4700" s="22" t="str">
        <f>IF(OR(E4700="",E4700="!!!"),"",IF(NOT(ISNA(VLOOKUP(E4700,E$1:E4699,1,FALSE()))),"OLD",IF(AND(E4700&lt;&gt;"",E4700&lt;&gt;"!!!"),"NEW","")))</f>
        <v> </v>
      </c>
      <c r="G4700" s="23" t="str">
        <f>IF(OR(E4700="",E4700="!!!"),"",IF(OR(J4700=0,AND(J4700=1,K4700=1),AND(J4700=1,I4700="SBJ"),AND(J4700=1,I4700=0)),"?IN_FOCUS",IF(J4700&lt;=2,"?ACTIVATED",IF(J4700&lt;&gt;"","?FAMILIAR",IF(F4700="NEW",IF(ISNA(VLOOKUP(E4700,#REF!,1,FALSE())),"?TYPE_IDENTIFIABLE","?REFERENTIAL"),"_")))))</f>
        <v> </v>
      </c>
      <c r="H4700" s="24" t="str">
        <f>IF(J4700&lt;&gt;1,"",IF(I4700="SBJ","CB","?"))</f>
        <v> </v>
      </c>
      <c r="I4700" s="25" t="str">
        <f>IF(OR(E4700="",E4700="!!!",F4700="NEW"),"",INDEX(B4699:B$2,-1+SUMPRODUCT(MAX(ROW(E4699:E$2)*(E4700=E4699:E$2)))))</f>
        <v> </v>
      </c>
      <c r="J4700" s="25" t="str">
        <f>IF(OR(E4700="",E4700="!!!",F4700="NEW"),"",COUNTBLANK(OFFSET(A$1,,,SUMPRODUCT(MAX(ROW(E$2:E4700)*(E4700=E$2:E4700)))))-COUNTBLANK(OFFSET(A$1,,,SUMPRODUCT(MAX(ROW(E$1:E4699)*(E2=E$1:E4699))))))</f>
        <v> </v>
      </c>
      <c r="K4700" s="25" t="str">
        <f>IF(OR(E4700="",E4700="!!!",F4700="NEW"),"",INDEX(J$1:J4699,SUMPRODUCT(MAX(ROW(E$1:E4699)*(E4700=E$1:E4699)))))</f>
        <v> </v>
      </c>
      <c r="L4700" s="26"/>
    </row>
    <row r="4701" spans="1:12">
      <c r="A4701" s="20"/>
    </row>
    <row r="4702" spans="1:12">
      <c r="A4702" s="20" t="s">
        <v>2448</v>
      </c>
    </row>
    <row r="4703" spans="1:12">
      <c r="A4703" s="20" t="s">
        <v>1311</v>
      </c>
      <c r="B4703" s="27" t="s">
        <v>1067</v>
      </c>
      <c r="C4703" s="27" t="s">
        <v>1068</v>
      </c>
      <c r="D4703" s="27" t="s">
        <v>1069</v>
      </c>
      <c r="E4703" s="21">
        <f>IF(D4703="?OLD","!!!","")</f>
        <v/>
      </c>
      <c r="F4703" s="22" t="str">
        <f>IF(OR(E4703="",E4703="!!!"),"",IF(NOT(ISNA(VLOOKUP(E4703,E$1:E4702,1,FALSE()))),"OLD",IF(AND(E4703&lt;&gt;"",E4703&lt;&gt;"!!!"),"NEW","")))</f>
        <v> </v>
      </c>
      <c r="G4703" s="23" t="str">
        <f>IF(OR(E4703="",E4703="!!!"),"",IF(OR(J4703=0,AND(J4703=1,K4703=1),AND(J4703=1,I4703="SBJ"),AND(J4703=1,I4703=0)),"?IN_FOCUS",IF(J4703&lt;=2,"?ACTIVATED",IF(J4703&lt;&gt;"","?FAMILIAR",IF(F4703="NEW",IF(ISNA(VLOOKUP(E4703,#REF!,1,FALSE())),"?TYPE_IDENTIFIABLE","?REFERENTIAL"),"_")))))</f>
        <v> </v>
      </c>
      <c r="H4703" s="24" t="str">
        <f>IF(J4703&lt;&gt;1,"",IF(I4703="SBJ","CB","?"))</f>
        <v> </v>
      </c>
      <c r="I4703" s="25" t="str">
        <f>IF(OR(E4703="",E4703="!!!",F4703="NEW"),"",INDEX(B4702:B$2,-1+SUMPRODUCT(MAX(ROW(E4702:E$2)*(E4703=E4702:E$2)))))</f>
        <v> </v>
      </c>
      <c r="J4703" s="25" t="str">
        <f>IF(OR(E4703="",E4703="!!!",F4703="NEW"),"",COUNTBLANK(OFFSET(A$1,,,SUMPRODUCT(MAX(ROW(E$2:E4703)*(E4703=E$2:E4703)))))-COUNTBLANK(OFFSET(A$1,,,SUMPRODUCT(MAX(ROW(E$1:E4702)*(E2=E$1:E4702))))))</f>
        <v> </v>
      </c>
      <c r="K4703" s="25" t="str">
        <f>IF(OR(E4703="",E4703="!!!",F4703="NEW"),"",INDEX(J$1:J4702,SUMPRODUCT(MAX(ROW(E$1:E4702)*(E4703=E$1:E4702)))))</f>
        <v> </v>
      </c>
      <c r="L4703" s="26"/>
    </row>
    <row r="4704" spans="1:12">
      <c r="A4704" s="20" t="s">
        <v>2446</v>
      </c>
      <c r="E4704" s="21">
        <f>IF(D4704="?OLD","!!!","")</f>
        <v/>
      </c>
      <c r="F4704" s="22" t="str">
        <f>IF(OR(E4704="",E4704="!!!"),"",IF(NOT(ISNA(VLOOKUP(E4704,E$1:E4703,1,FALSE()))),"OLD",IF(AND(E4704&lt;&gt;"",E4704&lt;&gt;"!!!"),"NEW","")))</f>
        <v> </v>
      </c>
      <c r="G4704" s="23" t="str">
        <f>IF(OR(E4704="",E4704="!!!"),"",IF(OR(J4704=0,AND(J4704=1,K4704=1),AND(J4704=1,I4704="SBJ"),AND(J4704=1,I4704=0)),"?IN_FOCUS",IF(J4704&lt;=2,"?ACTIVATED",IF(J4704&lt;&gt;"","?FAMILIAR",IF(F4704="NEW",IF(ISNA(VLOOKUP(E4704,#REF!,1,FALSE())),"?TYPE_IDENTIFIABLE","?REFERENTIAL"),"_")))))</f>
        <v> </v>
      </c>
      <c r="H4704" s="24" t="str">
        <f>IF(J4704&lt;&gt;1,"",IF(I4704="SBJ","CB","?"))</f>
        <v> </v>
      </c>
      <c r="I4704" s="25" t="str">
        <f>IF(OR(E4704="",E4704="!!!",F4704="NEW"),"",INDEX(B4703:B$2,-1+SUMPRODUCT(MAX(ROW(E4703:E$2)*(E4704=E4703:E$2)))))</f>
        <v> </v>
      </c>
      <c r="J4704" s="25" t="str">
        <f>IF(OR(E4704="",E4704="!!!",F4704="NEW"),"",COUNTBLANK(OFFSET(A$1,,,SUMPRODUCT(MAX(ROW(E$2:E4704)*(E4704=E$2:E4704)))))-COUNTBLANK(OFFSET(A$1,,,SUMPRODUCT(MAX(ROW(E$1:E4703)*(E2=E$1:E4703))))))</f>
        <v> </v>
      </c>
      <c r="K4704" s="25" t="str">
        <f>IF(OR(E4704="",E4704="!!!",F4704="NEW"),"",INDEX(J$1:J4703,SUMPRODUCT(MAX(ROW(E$1:E4703)*(E4704=E$1:E4703)))))</f>
        <v> </v>
      </c>
      <c r="L4704" s="26"/>
    </row>
    <row r="4705" spans="1:12">
      <c r="A4705" s="20" t="s">
        <v>1155</v>
      </c>
      <c r="E4705" s="21">
        <f>IF(D4705="?OLD","!!!","")</f>
        <v/>
      </c>
      <c r="F4705" s="22" t="str">
        <f>IF(OR(E4705="",E4705="!!!"),"",IF(NOT(ISNA(VLOOKUP(E4705,E$1:E4704,1,FALSE()))),"OLD",IF(AND(E4705&lt;&gt;"",E4705&lt;&gt;"!!!"),"NEW","")))</f>
        <v> </v>
      </c>
      <c r="G4705" s="23" t="str">
        <f>IF(OR(E4705="",E4705="!!!"),"",IF(OR(J4705=0,AND(J4705=1,K4705=1),AND(J4705=1,I4705="SBJ"),AND(J4705=1,I4705=0)),"?IN_FOCUS",IF(J4705&lt;=2,"?ACTIVATED",IF(J4705&lt;&gt;"","?FAMILIAR",IF(F4705="NEW",IF(ISNA(VLOOKUP(E4705,#REF!,1,FALSE())),"?TYPE_IDENTIFIABLE","?REFERENTIAL"),"_")))))</f>
        <v> </v>
      </c>
      <c r="H4705" s="24" t="str">
        <f>IF(J4705&lt;&gt;1,"",IF(I4705="SBJ","CB","?"))</f>
        <v> </v>
      </c>
      <c r="I4705" s="25" t="str">
        <f>IF(OR(E4705="",E4705="!!!",F4705="NEW"),"",INDEX(B4704:B$2,-1+SUMPRODUCT(MAX(ROW(E4704:E$2)*(E4705=E4704:E$2)))))</f>
        <v> </v>
      </c>
      <c r="J4705" s="25" t="str">
        <f>IF(OR(E4705="",E4705="!!!",F4705="NEW"),"",COUNTBLANK(OFFSET(A$1,,,SUMPRODUCT(MAX(ROW(E$2:E4705)*(E4705=E$2:E4705)))))-COUNTBLANK(OFFSET(A$1,,,SUMPRODUCT(MAX(ROW(E$1:E4704)*(E2=E$1:E4704))))))</f>
        <v> </v>
      </c>
      <c r="K4705" s="25" t="str">
        <f>IF(OR(E4705="",E4705="!!!",F4705="NEW"),"",INDEX(J$1:J4704,SUMPRODUCT(MAX(ROW(E$1:E4704)*(E4705=E$1:E4704)))))</f>
        <v> </v>
      </c>
      <c r="L4705" s="26"/>
    </row>
    <row r="4706" spans="1:12">
      <c r="A4706" s="20" t="s">
        <v>1087</v>
      </c>
      <c r="E4706" s="21">
        <f>IF(D4706="?OLD","!!!","")</f>
        <v/>
      </c>
      <c r="F4706" s="22" t="str">
        <f>IF(OR(E4706="",E4706="!!!"),"",IF(NOT(ISNA(VLOOKUP(E4706,E$1:E4705,1,FALSE()))),"OLD",IF(AND(E4706&lt;&gt;"",E4706&lt;&gt;"!!!"),"NEW","")))</f>
        <v> </v>
      </c>
      <c r="G4706" s="23" t="str">
        <f>IF(OR(E4706="",E4706="!!!"),"",IF(OR(J4706=0,AND(J4706=1,K4706=1),AND(J4706=1,I4706="SBJ"),AND(J4706=1,I4706=0)),"?IN_FOCUS",IF(J4706&lt;=2,"?ACTIVATED",IF(J4706&lt;&gt;"","?FAMILIAR",IF(F4706="NEW",IF(ISNA(VLOOKUP(E4706,#REF!,1,FALSE())),"?TYPE_IDENTIFIABLE","?REFERENTIAL"),"_")))))</f>
        <v> </v>
      </c>
      <c r="H4706" s="24" t="str">
        <f>IF(J4706&lt;&gt;1,"",IF(I4706="SBJ","CB","?"))</f>
        <v> </v>
      </c>
      <c r="I4706" s="25" t="str">
        <f>IF(OR(E4706="",E4706="!!!",F4706="NEW"),"",INDEX(B4705:B$2,-1+SUMPRODUCT(MAX(ROW(E4705:E$2)*(E4706=E4705:E$2)))))</f>
        <v> </v>
      </c>
      <c r="J4706" s="25" t="str">
        <f>IF(OR(E4706="",E4706="!!!",F4706="NEW"),"",COUNTBLANK(OFFSET(A$1,,,SUMPRODUCT(MAX(ROW(E$2:E4706)*(E4706=E$2:E4706)))))-COUNTBLANK(OFFSET(A$1,,,SUMPRODUCT(MAX(ROW(E$1:E4705)*(E2=E$1:E4705))))))</f>
        <v> </v>
      </c>
      <c r="K4706" s="25" t="str">
        <f>IF(OR(E4706="",E4706="!!!",F4706="NEW"),"",INDEX(J$1:J4705,SUMPRODUCT(MAX(ROW(E$1:E4705)*(E4706=E$1:E4705)))))</f>
        <v> </v>
      </c>
      <c r="L4706" s="26"/>
    </row>
    <row r="4707" spans="1:12">
      <c r="A4707" s="20" t="s">
        <v>1552</v>
      </c>
      <c r="E4707" s="21">
        <f>IF(D4707="?OLD","!!!","")</f>
        <v/>
      </c>
      <c r="F4707" s="22" t="str">
        <f>IF(OR(E4707="",E4707="!!!"),"",IF(NOT(ISNA(VLOOKUP(E4707,E$1:E4706,1,FALSE()))),"OLD",IF(AND(E4707&lt;&gt;"",E4707&lt;&gt;"!!!"),"NEW","")))</f>
        <v> </v>
      </c>
      <c r="G4707" s="23" t="str">
        <f>IF(OR(E4707="",E4707="!!!"),"",IF(OR(J4707=0,AND(J4707=1,K4707=1),AND(J4707=1,I4707="SBJ"),AND(J4707=1,I4707=0)),"?IN_FOCUS",IF(J4707&lt;=2,"?ACTIVATED",IF(J4707&lt;&gt;"","?FAMILIAR",IF(F4707="NEW",IF(ISNA(VLOOKUP(E4707,#REF!,1,FALSE())),"?TYPE_IDENTIFIABLE","?REFERENTIAL"),"_")))))</f>
        <v> </v>
      </c>
      <c r="H4707" s="24" t="str">
        <f>IF(J4707&lt;&gt;1,"",IF(I4707="SBJ","CB","?"))</f>
        <v> </v>
      </c>
      <c r="I4707" s="25" t="str">
        <f>IF(OR(E4707="",E4707="!!!",F4707="NEW"),"",INDEX(B4706:B$2,-1+SUMPRODUCT(MAX(ROW(E4706:E$2)*(E4707=E4706:E$2)))))</f>
        <v> </v>
      </c>
      <c r="J4707" s="25" t="str">
        <f>IF(OR(E4707="",E4707="!!!",F4707="NEW"),"",COUNTBLANK(OFFSET(A$1,,,SUMPRODUCT(MAX(ROW(E$2:E4707)*(E4707=E$2:E4707)))))-COUNTBLANK(OFFSET(A$1,,,SUMPRODUCT(MAX(ROW(E$1:E4706)*(E2=E$1:E4706))))))</f>
        <v> </v>
      </c>
      <c r="K4707" s="25" t="str">
        <f>IF(OR(E4707="",E4707="!!!",F4707="NEW"),"",INDEX(J$1:J4706,SUMPRODUCT(MAX(ROW(E$1:E4706)*(E4707=E$1:E4706)))))</f>
        <v> </v>
      </c>
      <c r="L4707" s="26"/>
    </row>
    <row r="4708" spans="1:12">
      <c r="A4708" s="20" t="s">
        <v>1083</v>
      </c>
      <c r="B4708" s="27" t="s">
        <v>1095</v>
      </c>
      <c r="E4708" s="21">
        <f>IF(D4708="?OLD","!!!","")</f>
        <v/>
      </c>
      <c r="F4708" s="22" t="str">
        <f>IF(OR(E4708="",E4708="!!!"),"",IF(NOT(ISNA(VLOOKUP(E4708,E$1:E4707,1,FALSE()))),"OLD",IF(AND(E4708&lt;&gt;"",E4708&lt;&gt;"!!!"),"NEW","")))</f>
        <v> </v>
      </c>
      <c r="G4708" s="23" t="str">
        <f>IF(OR(E4708="",E4708="!!!"),"",IF(OR(J4708=0,AND(J4708=1,K4708=1),AND(J4708=1,I4708="SBJ"),AND(J4708=1,I4708=0)),"?IN_FOCUS",IF(J4708&lt;=2,"?ACTIVATED",IF(J4708&lt;&gt;"","?FAMILIAR",IF(F4708="NEW",IF(ISNA(VLOOKUP(E4708,#REF!,1,FALSE())),"?TYPE_IDENTIFIABLE","?REFERENTIAL"),"_")))))</f>
        <v> </v>
      </c>
      <c r="H4708" s="24" t="str">
        <f>IF(J4708&lt;&gt;1,"",IF(I4708="SBJ","CB","?"))</f>
        <v> </v>
      </c>
      <c r="I4708" s="25" t="str">
        <f>IF(OR(E4708="",E4708="!!!",F4708="NEW"),"",INDEX(B4707:B$2,-1+SUMPRODUCT(MAX(ROW(E4707:E$2)*(E4708=E4707:E$2)))))</f>
        <v> </v>
      </c>
      <c r="J4708" s="25" t="str">
        <f>IF(OR(E4708="",E4708="!!!",F4708="NEW"),"",COUNTBLANK(OFFSET(A$1,,,SUMPRODUCT(MAX(ROW(E$2:E4708)*(E4708=E$2:E4708)))))-COUNTBLANK(OFFSET(A$1,,,SUMPRODUCT(MAX(ROW(E$1:E4707)*(E2=E$1:E4707))))))</f>
        <v> </v>
      </c>
      <c r="K4708" s="25" t="str">
        <f>IF(OR(E4708="",E4708="!!!",F4708="NEW"),"",INDEX(J$1:J4707,SUMPRODUCT(MAX(ROW(E$1:E4707)*(E4708=E$1:E4707)))))</f>
        <v> </v>
      </c>
      <c r="L4708" s="26"/>
    </row>
    <row r="4709" spans="1:12">
      <c r="A4709" s="20" t="s">
        <v>2449</v>
      </c>
      <c r="E4709" s="21">
        <f>IF(D4709="?OLD","!!!","")</f>
        <v/>
      </c>
      <c r="F4709" s="22" t="str">
        <f>IF(OR(E4709="",E4709="!!!"),"",IF(NOT(ISNA(VLOOKUP(E4709,E$1:E4708,1,FALSE()))),"OLD",IF(AND(E4709&lt;&gt;"",E4709&lt;&gt;"!!!"),"NEW","")))</f>
        <v> </v>
      </c>
      <c r="G4709" s="23" t="str">
        <f>IF(OR(E4709="",E4709="!!!"),"",IF(OR(J4709=0,AND(J4709=1,K4709=1),AND(J4709=1,I4709="SBJ"),AND(J4709=1,I4709=0)),"?IN_FOCUS",IF(J4709&lt;=2,"?ACTIVATED",IF(J4709&lt;&gt;"","?FAMILIAR",IF(F4709="NEW",IF(ISNA(VLOOKUP(E4709,#REF!,1,FALSE())),"?TYPE_IDENTIFIABLE","?REFERENTIAL"),"_")))))</f>
        <v> </v>
      </c>
      <c r="H4709" s="24" t="str">
        <f>IF(J4709&lt;&gt;1,"",IF(I4709="SBJ","CB","?"))</f>
        <v> </v>
      </c>
      <c r="I4709" s="25" t="str">
        <f>IF(OR(E4709="",E4709="!!!",F4709="NEW"),"",INDEX(B4708:B$2,-1+SUMPRODUCT(MAX(ROW(E4708:E$2)*(E4709=E4708:E$2)))))</f>
        <v> </v>
      </c>
      <c r="J4709" s="25" t="str">
        <f>IF(OR(E4709="",E4709="!!!",F4709="NEW"),"",COUNTBLANK(OFFSET(A$1,,,SUMPRODUCT(MAX(ROW(E$2:E4709)*(E4709=E$2:E4709)))))-COUNTBLANK(OFFSET(A$1,,,SUMPRODUCT(MAX(ROW(E$1:E4708)*(E2=E$1:E4708))))))</f>
        <v> </v>
      </c>
      <c r="K4709" s="25" t="str">
        <f>IF(OR(E4709="",E4709="!!!",F4709="NEW"),"",INDEX(J$1:J4708,SUMPRODUCT(MAX(ROW(E$1:E4708)*(E4709=E$1:E4708)))))</f>
        <v> </v>
      </c>
      <c r="L4709" s="26"/>
    </row>
    <row r="4710" spans="1:12">
      <c r="A4710" s="20" t="s">
        <v>1191</v>
      </c>
      <c r="E4710" s="21">
        <f>IF(D4710="?OLD","!!!","")</f>
        <v/>
      </c>
      <c r="F4710" s="22" t="str">
        <f>IF(OR(E4710="",E4710="!!!"),"",IF(NOT(ISNA(VLOOKUP(E4710,E$1:E4709,1,FALSE()))),"OLD",IF(AND(E4710&lt;&gt;"",E4710&lt;&gt;"!!!"),"NEW","")))</f>
        <v> </v>
      </c>
      <c r="G4710" s="23" t="str">
        <f>IF(OR(E4710="",E4710="!!!"),"",IF(OR(J4710=0,AND(J4710=1,K4710=1),AND(J4710=1,I4710="SBJ"),AND(J4710=1,I4710=0)),"?IN_FOCUS",IF(J4710&lt;=2,"?ACTIVATED",IF(J4710&lt;&gt;"","?FAMILIAR",IF(F4710="NEW",IF(ISNA(VLOOKUP(E4710,#REF!,1,FALSE())),"?TYPE_IDENTIFIABLE","?REFERENTIAL"),"_")))))</f>
        <v> </v>
      </c>
      <c r="H4710" s="24" t="str">
        <f>IF(J4710&lt;&gt;1,"",IF(I4710="SBJ","CB","?"))</f>
        <v> </v>
      </c>
      <c r="I4710" s="25" t="str">
        <f>IF(OR(E4710="",E4710="!!!",F4710="NEW"),"",INDEX(B4709:B$2,-1+SUMPRODUCT(MAX(ROW(E4709:E$2)*(E4710=E4709:E$2)))))</f>
        <v> </v>
      </c>
      <c r="J4710" s="25" t="str">
        <f>IF(OR(E4710="",E4710="!!!",F4710="NEW"),"",COUNTBLANK(OFFSET(A$1,,,SUMPRODUCT(MAX(ROW(E$2:E4710)*(E4710=E$2:E4710)))))-COUNTBLANK(OFFSET(A$1,,,SUMPRODUCT(MAX(ROW(E$1:E4709)*(E2=E$1:E4709))))))</f>
        <v> </v>
      </c>
      <c r="K4710" s="25" t="str">
        <f>IF(OR(E4710="",E4710="!!!",F4710="NEW"),"",INDEX(J$1:J4709,SUMPRODUCT(MAX(ROW(E$1:E4709)*(E4710=E$1:E4709)))))</f>
        <v> </v>
      </c>
      <c r="L4710" s="26"/>
    </row>
    <row r="4711" spans="1:12">
      <c r="A4711" s="20" t="s">
        <v>1087</v>
      </c>
      <c r="E4711" s="21">
        <f>IF(D4711="?OLD","!!!","")</f>
        <v/>
      </c>
      <c r="F4711" s="22" t="str">
        <f>IF(OR(E4711="",E4711="!!!"),"",IF(NOT(ISNA(VLOOKUP(E4711,E$1:E4710,1,FALSE()))),"OLD",IF(AND(E4711&lt;&gt;"",E4711&lt;&gt;"!!!"),"NEW","")))</f>
        <v> </v>
      </c>
      <c r="G4711" s="23" t="str">
        <f>IF(OR(E4711="",E4711="!!!"),"",IF(OR(J4711=0,AND(J4711=1,K4711=1),AND(J4711=1,I4711="SBJ"),AND(J4711=1,I4711=0)),"?IN_FOCUS",IF(J4711&lt;=2,"?ACTIVATED",IF(J4711&lt;&gt;"","?FAMILIAR",IF(F4711="NEW",IF(ISNA(VLOOKUP(E4711,#REF!,1,FALSE())),"?TYPE_IDENTIFIABLE","?REFERENTIAL"),"_")))))</f>
        <v> </v>
      </c>
      <c r="H4711" s="24" t="str">
        <f>IF(J4711&lt;&gt;1,"",IF(I4711="SBJ","CB","?"))</f>
        <v> </v>
      </c>
      <c r="I4711" s="25" t="str">
        <f>IF(OR(E4711="",E4711="!!!",F4711="NEW"),"",INDEX(B4710:B$2,-1+SUMPRODUCT(MAX(ROW(E4710:E$2)*(E4711=E4710:E$2)))))</f>
        <v> </v>
      </c>
      <c r="J4711" s="25" t="str">
        <f>IF(OR(E4711="",E4711="!!!",F4711="NEW"),"",COUNTBLANK(OFFSET(A$1,,,SUMPRODUCT(MAX(ROW(E$2:E4711)*(E4711=E$2:E4711)))))-COUNTBLANK(OFFSET(A$1,,,SUMPRODUCT(MAX(ROW(E$1:E4710)*(E2=E$1:E4710))))))</f>
        <v> </v>
      </c>
      <c r="K4711" s="25" t="str">
        <f>IF(OR(E4711="",E4711="!!!",F4711="NEW"),"",INDEX(J$1:J4710,SUMPRODUCT(MAX(ROW(E$1:E4710)*(E4711=E$1:E4710)))))</f>
        <v> </v>
      </c>
      <c r="L4711" s="26"/>
    </row>
    <row r="4712" spans="1:12">
      <c r="A4712" s="20" t="s">
        <v>1196</v>
      </c>
      <c r="E4712" s="21">
        <f>IF(D4712="?OLD","!!!","")</f>
        <v/>
      </c>
      <c r="F4712" s="22" t="str">
        <f>IF(OR(E4712="",E4712="!!!"),"",IF(NOT(ISNA(VLOOKUP(E4712,E$1:E4711,1,FALSE()))),"OLD",IF(AND(E4712&lt;&gt;"",E4712&lt;&gt;"!!!"),"NEW","")))</f>
        <v> </v>
      </c>
      <c r="G4712" s="23" t="str">
        <f>IF(OR(E4712="",E4712="!!!"),"",IF(OR(J4712=0,AND(J4712=1,K4712=1),AND(J4712=1,I4712="SBJ"),AND(J4712=1,I4712=0)),"?IN_FOCUS",IF(J4712&lt;=2,"?ACTIVATED",IF(J4712&lt;&gt;"","?FAMILIAR",IF(F4712="NEW",IF(ISNA(VLOOKUP(E4712,#REF!,1,FALSE())),"?TYPE_IDENTIFIABLE","?REFERENTIAL"),"_")))))</f>
        <v> </v>
      </c>
      <c r="H4712" s="24" t="str">
        <f>IF(J4712&lt;&gt;1,"",IF(I4712="SBJ","CB","?"))</f>
        <v> </v>
      </c>
      <c r="I4712" s="25" t="str">
        <f>IF(OR(E4712="",E4712="!!!",F4712="NEW"),"",INDEX(B4711:B$2,-1+SUMPRODUCT(MAX(ROW(E4711:E$2)*(E4712=E4711:E$2)))))</f>
        <v> </v>
      </c>
      <c r="J4712" s="25" t="str">
        <f>IF(OR(E4712="",E4712="!!!",F4712="NEW"),"",COUNTBLANK(OFFSET(A$1,,,SUMPRODUCT(MAX(ROW(E$2:E4712)*(E4712=E$2:E4712)))))-COUNTBLANK(OFFSET(A$1,,,SUMPRODUCT(MAX(ROW(E$1:E4711)*(E2=E$1:E4711))))))</f>
        <v> </v>
      </c>
      <c r="K4712" s="25" t="str">
        <f>IF(OR(E4712="",E4712="!!!",F4712="NEW"),"",INDEX(J$1:J4711,SUMPRODUCT(MAX(ROW(E$1:E4711)*(E4712=E$1:E4711)))))</f>
        <v> </v>
      </c>
      <c r="L4712" s="26"/>
    </row>
    <row r="4713" spans="1:12">
      <c r="A4713" s="20" t="s">
        <v>1351</v>
      </c>
      <c r="B4713" s="27" t="s">
        <v>1095</v>
      </c>
      <c r="C4713" s="27" t="s">
        <v>1072</v>
      </c>
      <c r="E4713" s="21">
        <f>IF(D4713="?OLD","!!!","")</f>
        <v/>
      </c>
      <c r="F4713" s="22" t="str">
        <f>IF(OR(E4713="",E4713="!!!"),"",IF(NOT(ISNA(VLOOKUP(E4713,E$1:E4712,1,FALSE()))),"OLD",IF(AND(E4713&lt;&gt;"",E4713&lt;&gt;"!!!"),"NEW","")))</f>
        <v> </v>
      </c>
      <c r="G4713" s="23" t="str">
        <f>IF(OR(E4713="",E4713="!!!"),"",IF(OR(J4713=0,AND(J4713=1,K4713=1),AND(J4713=1,I4713="SBJ"),AND(J4713=1,I4713=0)),"?IN_FOCUS",IF(J4713&lt;=2,"?ACTIVATED",IF(J4713&lt;&gt;"","?FAMILIAR",IF(F4713="NEW",IF(ISNA(VLOOKUP(E4713,#REF!,1,FALSE())),"?TYPE_IDENTIFIABLE","?REFERENTIAL"),"_")))))</f>
        <v> </v>
      </c>
      <c r="H4713" s="24" t="str">
        <f>IF(J4713&lt;&gt;1,"",IF(I4713="SBJ","CB","?"))</f>
        <v> </v>
      </c>
      <c r="I4713" s="25" t="str">
        <f>IF(OR(E4713="",E4713="!!!",F4713="NEW"),"",INDEX(B4712:B$2,-1+SUMPRODUCT(MAX(ROW(E4712:E$2)*(E4713=E4712:E$2)))))</f>
        <v> </v>
      </c>
      <c r="J4713" s="25" t="str">
        <f>IF(OR(E4713="",E4713="!!!",F4713="NEW"),"",COUNTBLANK(OFFSET(A$1,,,SUMPRODUCT(MAX(ROW(E$2:E4713)*(E4713=E$2:E4713)))))-COUNTBLANK(OFFSET(A$1,,,SUMPRODUCT(MAX(ROW(E$1:E4712)*(E2=E$1:E4712))))))</f>
        <v> </v>
      </c>
      <c r="K4713" s="25" t="str">
        <f>IF(OR(E4713="",E4713="!!!",F4713="NEW"),"",INDEX(J$1:J4712,SUMPRODUCT(MAX(ROW(E$1:E4712)*(E4713=E$1:E4712)))))</f>
        <v> </v>
      </c>
      <c r="L4713" s="26"/>
    </row>
    <row r="4714" spans="1:12">
      <c r="A4714" s="20" t="s">
        <v>1089</v>
      </c>
      <c r="B4714" s="27" t="s">
        <v>1090</v>
      </c>
      <c r="E4714" s="21">
        <f>IF(D4714="?OLD","!!!","")</f>
        <v/>
      </c>
      <c r="F4714" s="22" t="str">
        <f>IF(OR(E4714="",E4714="!!!"),"",IF(NOT(ISNA(VLOOKUP(E4714,E$1:E4713,1,FALSE()))),"OLD",IF(AND(E4714&lt;&gt;"",E4714&lt;&gt;"!!!"),"NEW","")))</f>
        <v> </v>
      </c>
      <c r="G4714" s="23" t="str">
        <f>IF(OR(E4714="",E4714="!!!"),"",IF(OR(J4714=0,AND(J4714=1,K4714=1),AND(J4714=1,I4714="SBJ"),AND(J4714=1,I4714=0)),"?IN_FOCUS",IF(J4714&lt;=2,"?ACTIVATED",IF(J4714&lt;&gt;"","?FAMILIAR",IF(F4714="NEW",IF(ISNA(VLOOKUP(E4714,#REF!,1,FALSE())),"?TYPE_IDENTIFIABLE","?REFERENTIAL"),"_")))))</f>
        <v> </v>
      </c>
      <c r="H4714" s="24" t="str">
        <f>IF(J4714&lt;&gt;1,"",IF(I4714="SBJ","CB","?"))</f>
        <v> </v>
      </c>
      <c r="I4714" s="25" t="str">
        <f>IF(OR(E4714="",E4714="!!!",F4714="NEW"),"",INDEX(B4713:B$2,-1+SUMPRODUCT(MAX(ROW(E4713:E$2)*(E4714=E4713:E$2)))))</f>
        <v> </v>
      </c>
      <c r="J4714" s="25" t="str">
        <f>IF(OR(E4714="",E4714="!!!",F4714="NEW"),"",COUNTBLANK(OFFSET(A$1,,,SUMPRODUCT(MAX(ROW(E$2:E4714)*(E4714=E$2:E4714)))))-COUNTBLANK(OFFSET(A$1,,,SUMPRODUCT(MAX(ROW(E$1:E4713)*(E2=E$1:E4713))))))</f>
        <v> </v>
      </c>
      <c r="K4714" s="25" t="str">
        <f>IF(OR(E4714="",E4714="!!!",F4714="NEW"),"",INDEX(J$1:J4713,SUMPRODUCT(MAX(ROW(E$1:E4713)*(E4714=E$1:E4713)))))</f>
        <v> </v>
      </c>
      <c r="L4714" s="26"/>
    </row>
    <row r="4715" spans="1:12">
      <c r="A4715" s="20" t="s">
        <v>1104</v>
      </c>
      <c r="E4715" s="21">
        <f>IF(D4715="?OLD","!!!","")</f>
        <v/>
      </c>
      <c r="F4715" s="22" t="str">
        <f>IF(OR(E4715="",E4715="!!!"),"",IF(NOT(ISNA(VLOOKUP(E4715,E$1:E4714,1,FALSE()))),"OLD",IF(AND(E4715&lt;&gt;"",E4715&lt;&gt;"!!!"),"NEW","")))</f>
        <v> </v>
      </c>
      <c r="G4715" s="23" t="str">
        <f>IF(OR(E4715="",E4715="!!!"),"",IF(OR(J4715=0,AND(J4715=1,K4715=1),AND(J4715=1,I4715="SBJ"),AND(J4715=1,I4715=0)),"?IN_FOCUS",IF(J4715&lt;=2,"?ACTIVATED",IF(J4715&lt;&gt;"","?FAMILIAR",IF(F4715="NEW",IF(ISNA(VLOOKUP(E4715,#REF!,1,FALSE())),"?TYPE_IDENTIFIABLE","?REFERENTIAL"),"_")))))</f>
        <v> </v>
      </c>
      <c r="H4715" s="24" t="str">
        <f>IF(J4715&lt;&gt;1,"",IF(I4715="SBJ","CB","?"))</f>
        <v> </v>
      </c>
      <c r="I4715" s="25" t="str">
        <f>IF(OR(E4715="",E4715="!!!",F4715="NEW"),"",INDEX(B4714:B$2,-1+SUMPRODUCT(MAX(ROW(E4714:E$2)*(E4715=E4714:E$2)))))</f>
        <v> </v>
      </c>
      <c r="J4715" s="25" t="str">
        <f>IF(OR(E4715="",E4715="!!!",F4715="NEW"),"",COUNTBLANK(OFFSET(A$1,,,SUMPRODUCT(MAX(ROW(E$2:E4715)*(E4715=E$2:E4715)))))-COUNTBLANK(OFFSET(A$1,,,SUMPRODUCT(MAX(ROW(E$1:E4714)*(E2=E$1:E4714))))))</f>
        <v> </v>
      </c>
      <c r="K4715" s="25" t="str">
        <f>IF(OR(E4715="",E4715="!!!",F4715="NEW"),"",INDEX(J$1:J4714,SUMPRODUCT(MAX(ROW(E$1:E4714)*(E4715=E$1:E4714)))))</f>
        <v> </v>
      </c>
      <c r="L4715" s="26"/>
    </row>
    <row r="4716" spans="1:12">
      <c r="A4716" s="20" t="s">
        <v>2450</v>
      </c>
      <c r="B4716" s="27" t="s">
        <v>1095</v>
      </c>
      <c r="C4716" s="27" t="s">
        <v>1152</v>
      </c>
      <c r="D4716" s="27" t="s">
        <v>1069</v>
      </c>
      <c r="E4716" s="21">
        <f>IF(D4716="?OLD","!!!","")</f>
        <v/>
      </c>
      <c r="F4716" s="22" t="str">
        <f>IF(OR(E4716="",E4716="!!!"),"",IF(NOT(ISNA(VLOOKUP(E4716,E$1:E4715,1,FALSE()))),"OLD",IF(AND(E4716&lt;&gt;"",E4716&lt;&gt;"!!!"),"NEW","")))</f>
        <v> </v>
      </c>
      <c r="G4716" s="23" t="str">
        <f>IF(OR(E4716="",E4716="!!!"),"",IF(OR(J4716=0,AND(J4716=1,K4716=1),AND(J4716=1,I4716="SBJ"),AND(J4716=1,I4716=0)),"?IN_FOCUS",IF(J4716&lt;=2,"?ACTIVATED",IF(J4716&lt;&gt;"","?FAMILIAR",IF(F4716="NEW",IF(ISNA(VLOOKUP(E4716,#REF!,1,FALSE())),"?TYPE_IDENTIFIABLE","?REFERENTIAL"),"_")))))</f>
        <v> </v>
      </c>
      <c r="H4716" s="24" t="str">
        <f>IF(J4716&lt;&gt;1,"",IF(I4716="SBJ","CB","?"))</f>
        <v> </v>
      </c>
      <c r="I4716" s="25" t="str">
        <f>IF(OR(E4716="",E4716="!!!",F4716="NEW"),"",INDEX(B4715:B$2,-1+SUMPRODUCT(MAX(ROW(E4715:E$2)*(E4716=E4715:E$2)))))</f>
        <v> </v>
      </c>
      <c r="J4716" s="25" t="str">
        <f>IF(OR(E4716="",E4716="!!!",F4716="NEW"),"",COUNTBLANK(OFFSET(A$1,,,SUMPRODUCT(MAX(ROW(E$2:E4716)*(E4716=E$2:E4716)))))-COUNTBLANK(OFFSET(A$1,,,SUMPRODUCT(MAX(ROW(E$1:E4715)*(E2=E$1:E4715))))))</f>
        <v> </v>
      </c>
      <c r="K4716" s="25" t="str">
        <f>IF(OR(E4716="",E4716="!!!",F4716="NEW"),"",INDEX(J$1:J4715,SUMPRODUCT(MAX(ROW(E$1:E4715)*(E4716=E$1:E4715)))))</f>
        <v> </v>
      </c>
      <c r="L4716" s="26"/>
    </row>
    <row r="4717" spans="1:12">
      <c r="A4717" s="20" t="s">
        <v>1400</v>
      </c>
      <c r="B4717" s="27" t="s">
        <v>1141</v>
      </c>
      <c r="C4717" s="27" t="s">
        <v>1129</v>
      </c>
      <c r="D4717" s="27" t="s">
        <v>1069</v>
      </c>
      <c r="E4717" s="21">
        <f>IF(D4717="?OLD","!!!","")</f>
        <v/>
      </c>
      <c r="F4717" s="22" t="str">
        <f>IF(OR(E4717="",E4717="!!!"),"",IF(NOT(ISNA(VLOOKUP(E4717,E$1:E4716,1,FALSE()))),"OLD",IF(AND(E4717&lt;&gt;"",E4717&lt;&gt;"!!!"),"NEW","")))</f>
        <v> </v>
      </c>
      <c r="G4717" s="23" t="str">
        <f>IF(OR(E4717="",E4717="!!!"),"",IF(OR(J4717=0,AND(J4717=1,K4717=1),AND(J4717=1,I4717="SBJ"),AND(J4717=1,I4717=0)),"?IN_FOCUS",IF(J4717&lt;=2,"?ACTIVATED",IF(J4717&lt;&gt;"","?FAMILIAR",IF(F4717="NEW",IF(ISNA(VLOOKUP(E4717,#REF!,1,FALSE())),"?TYPE_IDENTIFIABLE","?REFERENTIAL"),"_")))))</f>
        <v> </v>
      </c>
      <c r="H4717" s="24" t="str">
        <f>IF(J4717&lt;&gt;1,"",IF(I4717="SBJ","CB","?"))</f>
        <v> </v>
      </c>
      <c r="I4717" s="25" t="str">
        <f>IF(OR(E4717="",E4717="!!!",F4717="NEW"),"",INDEX(B4716:B$2,-1+SUMPRODUCT(MAX(ROW(E4716:E$2)*(E4717=E4716:E$2)))))</f>
        <v> </v>
      </c>
      <c r="J4717" s="25" t="str">
        <f>IF(OR(E4717="",E4717="!!!",F4717="NEW"),"",COUNTBLANK(OFFSET(A$1,,,SUMPRODUCT(MAX(ROW(E$2:E4717)*(E4717=E$2:E4717)))))-COUNTBLANK(OFFSET(A$1,,,SUMPRODUCT(MAX(ROW(E$1:E4716)*(E2=E$1:E4716))))))</f>
        <v> </v>
      </c>
      <c r="K4717" s="25" t="str">
        <f>IF(OR(E4717="",E4717="!!!",F4717="NEW"),"",INDEX(J$1:J4716,SUMPRODUCT(MAX(ROW(E$1:E4716)*(E4717=E$1:E4716)))))</f>
        <v> </v>
      </c>
      <c r="L4717" s="26"/>
    </row>
    <row r="4718" spans="1:12">
      <c r="A4718" s="20" t="s">
        <v>2451</v>
      </c>
      <c r="B4718" s="27" t="s">
        <v>1092</v>
      </c>
      <c r="C4718" s="27" t="s">
        <v>1131</v>
      </c>
      <c r="D4718" s="27" t="s">
        <v>1069</v>
      </c>
      <c r="E4718" s="21">
        <f>IF(D4718="?OLD","!!!","")</f>
        <v/>
      </c>
      <c r="F4718" s="22" t="str">
        <f>IF(OR(E4718="",E4718="!!!"),"",IF(NOT(ISNA(VLOOKUP(E4718,E$1:E4717,1,FALSE()))),"OLD",IF(AND(E4718&lt;&gt;"",E4718&lt;&gt;"!!!"),"NEW","")))</f>
        <v> </v>
      </c>
      <c r="G4718" s="23" t="str">
        <f>IF(OR(E4718="",E4718="!!!"),"",IF(OR(J4718=0,AND(J4718=1,K4718=1),AND(J4718=1,I4718="SBJ"),AND(J4718=1,I4718=0)),"?IN_FOCUS",IF(J4718&lt;=2,"?ACTIVATED",IF(J4718&lt;&gt;"","?FAMILIAR",IF(F4718="NEW",IF(ISNA(VLOOKUP(E4718,#REF!,1,FALSE())),"?TYPE_IDENTIFIABLE","?REFERENTIAL"),"_")))))</f>
        <v> </v>
      </c>
      <c r="H4718" s="24" t="str">
        <f>IF(J4718&lt;&gt;1,"",IF(I4718="SBJ","CB","?"))</f>
        <v> </v>
      </c>
      <c r="I4718" s="25" t="str">
        <f>IF(OR(E4718="",E4718="!!!",F4718="NEW"),"",INDEX(B4717:B$2,-1+SUMPRODUCT(MAX(ROW(E4717:E$2)*(E4718=E4717:E$2)))))</f>
        <v> </v>
      </c>
      <c r="J4718" s="25" t="str">
        <f>IF(OR(E4718="",E4718="!!!",F4718="NEW"),"",COUNTBLANK(OFFSET(A$1,,,SUMPRODUCT(MAX(ROW(E$2:E4718)*(E4718=E$2:E4718)))))-COUNTBLANK(OFFSET(A$1,,,SUMPRODUCT(MAX(ROW(E$1:E4717)*(E2=E$1:E4717))))))</f>
        <v> </v>
      </c>
      <c r="K4718" s="25" t="str">
        <f>IF(OR(E4718="",E4718="!!!",F4718="NEW"),"",INDEX(J$1:J4717,SUMPRODUCT(MAX(ROW(E$1:E4717)*(E4718=E$1:E4717)))))</f>
        <v> </v>
      </c>
      <c r="L4718" s="26"/>
    </row>
    <row r="4719" spans="1:12">
      <c r="A4719" s="20" t="s">
        <v>1753</v>
      </c>
      <c r="E4719" s="21">
        <f>IF(D4719="?OLD","!!!","")</f>
        <v/>
      </c>
      <c r="F4719" s="22" t="str">
        <f>IF(OR(E4719="",E4719="!!!"),"",IF(NOT(ISNA(VLOOKUP(E4719,E$1:E4718,1,FALSE()))),"OLD",IF(AND(E4719&lt;&gt;"",E4719&lt;&gt;"!!!"),"NEW","")))</f>
        <v> </v>
      </c>
      <c r="G4719" s="23" t="str">
        <f>IF(OR(E4719="",E4719="!!!"),"",IF(OR(J4719=0,AND(J4719=1,K4719=1),AND(J4719=1,I4719="SBJ"),AND(J4719=1,I4719=0)),"?IN_FOCUS",IF(J4719&lt;=2,"?ACTIVATED",IF(J4719&lt;&gt;"","?FAMILIAR",IF(F4719="NEW",IF(ISNA(VLOOKUP(E4719,#REF!,1,FALSE())),"?TYPE_IDENTIFIABLE","?REFERENTIAL"),"_")))))</f>
        <v> </v>
      </c>
      <c r="H4719" s="24" t="str">
        <f>IF(J4719&lt;&gt;1,"",IF(I4719="SBJ","CB","?"))</f>
        <v> </v>
      </c>
      <c r="I4719" s="25" t="str">
        <f>IF(OR(E4719="",E4719="!!!",F4719="NEW"),"",INDEX(B4718:B$2,-1+SUMPRODUCT(MAX(ROW(E4718:E$2)*(E4719=E4718:E$2)))))</f>
        <v> </v>
      </c>
      <c r="J4719" s="25" t="str">
        <f>IF(OR(E4719="",E4719="!!!",F4719="NEW"),"",COUNTBLANK(OFFSET(A$1,,,SUMPRODUCT(MAX(ROW(E$2:E4719)*(E4719=E$2:E4719)))))-COUNTBLANK(OFFSET(A$1,,,SUMPRODUCT(MAX(ROW(E$1:E4718)*(E2=E$1:E4718))))))</f>
        <v> </v>
      </c>
      <c r="K4719" s="25" t="str">
        <f>IF(OR(E4719="",E4719="!!!",F4719="NEW"),"",INDEX(J$1:J4718,SUMPRODUCT(MAX(ROW(E$1:E4718)*(E4719=E$1:E4718)))))</f>
        <v> </v>
      </c>
      <c r="L4719" s="26"/>
    </row>
    <row r="4720" spans="1:12">
      <c r="A4720" s="20" t="s">
        <v>2452</v>
      </c>
      <c r="B4720" s="27" t="s">
        <v>1071</v>
      </c>
      <c r="C4720" s="27" t="s">
        <v>1077</v>
      </c>
      <c r="E4720" s="21">
        <f>IF(D4720="?OLD","!!!","")</f>
        <v/>
      </c>
      <c r="F4720" s="22" t="str">
        <f>IF(OR(E4720="",E4720="!!!"),"",IF(NOT(ISNA(VLOOKUP(E4720,E$1:E4719,1,FALSE()))),"OLD",IF(AND(E4720&lt;&gt;"",E4720&lt;&gt;"!!!"),"NEW","")))</f>
        <v> </v>
      </c>
      <c r="G4720" s="23" t="str">
        <f>IF(OR(E4720="",E4720="!!!"),"",IF(OR(J4720=0,AND(J4720=1,K4720=1),AND(J4720=1,I4720="SBJ"),AND(J4720=1,I4720=0)),"?IN_FOCUS",IF(J4720&lt;=2,"?ACTIVATED",IF(J4720&lt;&gt;"","?FAMILIAR",IF(F4720="NEW",IF(ISNA(VLOOKUP(E4720,#REF!,1,FALSE())),"?TYPE_IDENTIFIABLE","?REFERENTIAL"),"_")))))</f>
        <v> </v>
      </c>
      <c r="H4720" s="24" t="str">
        <f>IF(J4720&lt;&gt;1,"",IF(I4720="SBJ","CB","?"))</f>
        <v> </v>
      </c>
      <c r="I4720" s="25" t="str">
        <f>IF(OR(E4720="",E4720="!!!",F4720="NEW"),"",INDEX(B4719:B$2,-1+SUMPRODUCT(MAX(ROW(E4719:E$2)*(E4720=E4719:E$2)))))</f>
        <v> </v>
      </c>
      <c r="J4720" s="25" t="str">
        <f>IF(OR(E4720="",E4720="!!!",F4720="NEW"),"",COUNTBLANK(OFFSET(A$1,,,SUMPRODUCT(MAX(ROW(E$2:E4720)*(E4720=E$2:E4720)))))-COUNTBLANK(OFFSET(A$1,,,SUMPRODUCT(MAX(ROW(E$1:E4719)*(E2=E$1:E4719))))))</f>
        <v> </v>
      </c>
      <c r="K4720" s="25" t="str">
        <f>IF(OR(E4720="",E4720="!!!",F4720="NEW"),"",INDEX(J$1:J4719,SUMPRODUCT(MAX(ROW(E$1:E4719)*(E4720=E$1:E4719)))))</f>
        <v> </v>
      </c>
      <c r="L4720" s="26"/>
    </row>
    <row r="4721" spans="1:12">
      <c r="A4721" s="20" t="s">
        <v>1176</v>
      </c>
      <c r="E4721" s="21">
        <f>IF(D4721="?OLD","!!!","")</f>
        <v/>
      </c>
      <c r="F4721" s="22" t="str">
        <f>IF(OR(E4721="",E4721="!!!"),"",IF(NOT(ISNA(VLOOKUP(E4721,E$1:E4720,1,FALSE()))),"OLD",IF(AND(E4721&lt;&gt;"",E4721&lt;&gt;"!!!"),"NEW","")))</f>
        <v> </v>
      </c>
      <c r="G4721" s="23" t="str">
        <f>IF(OR(E4721="",E4721="!!!"),"",IF(OR(J4721=0,AND(J4721=1,K4721=1),AND(J4721=1,I4721="SBJ"),AND(J4721=1,I4721=0)),"?IN_FOCUS",IF(J4721&lt;=2,"?ACTIVATED",IF(J4721&lt;&gt;"","?FAMILIAR",IF(F4721="NEW",IF(ISNA(VLOOKUP(E4721,#REF!,1,FALSE())),"?TYPE_IDENTIFIABLE","?REFERENTIAL"),"_")))))</f>
        <v> </v>
      </c>
      <c r="H4721" s="24" t="str">
        <f>IF(J4721&lt;&gt;1,"",IF(I4721="SBJ","CB","?"))</f>
        <v> </v>
      </c>
      <c r="I4721" s="25" t="str">
        <f>IF(OR(E4721="",E4721="!!!",F4721="NEW"),"",INDEX(B4720:B$2,-1+SUMPRODUCT(MAX(ROW(E4720:E$2)*(E4721=E4720:E$2)))))</f>
        <v> </v>
      </c>
      <c r="J4721" s="25" t="str">
        <f>IF(OR(E4721="",E4721="!!!",F4721="NEW"),"",COUNTBLANK(OFFSET(A$1,,,SUMPRODUCT(MAX(ROW(E$2:E4721)*(E4721=E$2:E4721)))))-COUNTBLANK(OFFSET(A$1,,,SUMPRODUCT(MAX(ROW(E$1:E4720)*(E2=E$1:E4720))))))</f>
        <v> </v>
      </c>
      <c r="K4721" s="25" t="str">
        <f>IF(OR(E4721="",E4721="!!!",F4721="NEW"),"",INDEX(J$1:J4720,SUMPRODUCT(MAX(ROW(E$1:E4720)*(E4721=E$1:E4720)))))</f>
        <v> </v>
      </c>
      <c r="L4721" s="26"/>
    </row>
    <row r="4722" spans="1:12">
      <c r="A4722" s="20" t="s">
        <v>1087</v>
      </c>
      <c r="E4722" s="21">
        <f>IF(D4722="?OLD","!!!","")</f>
        <v/>
      </c>
      <c r="F4722" s="22" t="str">
        <f>IF(OR(E4722="",E4722="!!!"),"",IF(NOT(ISNA(VLOOKUP(E4722,E$1:E4721,1,FALSE()))),"OLD",IF(AND(E4722&lt;&gt;"",E4722&lt;&gt;"!!!"),"NEW","")))</f>
        <v> </v>
      </c>
      <c r="G4722" s="23" t="str">
        <f>IF(OR(E4722="",E4722="!!!"),"",IF(OR(J4722=0,AND(J4722=1,K4722=1),AND(J4722=1,I4722="SBJ"),AND(J4722=1,I4722=0)),"?IN_FOCUS",IF(J4722&lt;=2,"?ACTIVATED",IF(J4722&lt;&gt;"","?FAMILIAR",IF(F4722="NEW",IF(ISNA(VLOOKUP(E4722,#REF!,1,FALSE())),"?TYPE_IDENTIFIABLE","?REFERENTIAL"),"_")))))</f>
        <v> </v>
      </c>
      <c r="H4722" s="24" t="str">
        <f>IF(J4722&lt;&gt;1,"",IF(I4722="SBJ","CB","?"))</f>
        <v> </v>
      </c>
      <c r="I4722" s="25" t="str">
        <f>IF(OR(E4722="",E4722="!!!",F4722="NEW"),"",INDEX(B4721:B$2,-1+SUMPRODUCT(MAX(ROW(E4721:E$2)*(E4722=E4721:E$2)))))</f>
        <v> </v>
      </c>
      <c r="J4722" s="25" t="str">
        <f>IF(OR(E4722="",E4722="!!!",F4722="NEW"),"",COUNTBLANK(OFFSET(A$1,,,SUMPRODUCT(MAX(ROW(E$2:E4722)*(E4722=E$2:E4722)))))-COUNTBLANK(OFFSET(A$1,,,SUMPRODUCT(MAX(ROW(E$1:E4721)*(E2=E$1:E4721))))))</f>
        <v> </v>
      </c>
      <c r="K4722" s="25" t="str">
        <f>IF(OR(E4722="",E4722="!!!",F4722="NEW"),"",INDEX(J$1:J4721,SUMPRODUCT(MAX(ROW(E$1:E4721)*(E4722=E$1:E4721)))))</f>
        <v> </v>
      </c>
      <c r="L4722" s="26"/>
    </row>
    <row r="4723" spans="1:12">
      <c r="A4723" s="20" t="s">
        <v>1301</v>
      </c>
      <c r="E4723" s="21">
        <f>IF(D4723="?OLD","!!!","")</f>
        <v/>
      </c>
      <c r="F4723" s="22" t="str">
        <f>IF(OR(E4723="",E4723="!!!"),"",IF(NOT(ISNA(VLOOKUP(E4723,E$1:E4722,1,FALSE()))),"OLD",IF(AND(E4723&lt;&gt;"",E4723&lt;&gt;"!!!"),"NEW","")))</f>
        <v> </v>
      </c>
      <c r="G4723" s="23" t="str">
        <f>IF(OR(E4723="",E4723="!!!"),"",IF(OR(J4723=0,AND(J4723=1,K4723=1),AND(J4723=1,I4723="SBJ"),AND(J4723=1,I4723=0)),"?IN_FOCUS",IF(J4723&lt;=2,"?ACTIVATED",IF(J4723&lt;&gt;"","?FAMILIAR",IF(F4723="NEW",IF(ISNA(VLOOKUP(E4723,#REF!,1,FALSE())),"?TYPE_IDENTIFIABLE","?REFERENTIAL"),"_")))))</f>
        <v> </v>
      </c>
      <c r="H4723" s="24" t="str">
        <f>IF(J4723&lt;&gt;1,"",IF(I4723="SBJ","CB","?"))</f>
        <v> </v>
      </c>
      <c r="I4723" s="25" t="str">
        <f>IF(OR(E4723="",E4723="!!!",F4723="NEW"),"",INDEX(B4722:B$2,-1+SUMPRODUCT(MAX(ROW(E4722:E$2)*(E4723=E4722:E$2)))))</f>
        <v> </v>
      </c>
      <c r="J4723" s="25" t="str">
        <f>IF(OR(E4723="",E4723="!!!",F4723="NEW"),"",COUNTBLANK(OFFSET(A$1,,,SUMPRODUCT(MAX(ROW(E$2:E4723)*(E4723=E$2:E4723)))))-COUNTBLANK(OFFSET(A$1,,,SUMPRODUCT(MAX(ROW(E$1:E4722)*(E2=E$1:E4722))))))</f>
        <v> </v>
      </c>
      <c r="K4723" s="25" t="str">
        <f>IF(OR(E4723="",E4723="!!!",F4723="NEW"),"",INDEX(J$1:J4722,SUMPRODUCT(MAX(ROW(E$1:E4722)*(E4723=E$1:E4722)))))</f>
        <v> </v>
      </c>
      <c r="L4723" s="26"/>
    </row>
    <row r="4724" spans="1:12">
      <c r="A4724" s="20" t="s">
        <v>1167</v>
      </c>
      <c r="E4724" s="21">
        <f>IF(D4724="?OLD","!!!","")</f>
        <v/>
      </c>
      <c r="F4724" s="22" t="str">
        <f>IF(OR(E4724="",E4724="!!!"),"",IF(NOT(ISNA(VLOOKUP(E4724,E$1:E4723,1,FALSE()))),"OLD",IF(AND(E4724&lt;&gt;"",E4724&lt;&gt;"!!!"),"NEW","")))</f>
        <v> </v>
      </c>
      <c r="G4724" s="23" t="str">
        <f>IF(OR(E4724="",E4724="!!!"),"",IF(OR(J4724=0,AND(J4724=1,K4724=1),AND(J4724=1,I4724="SBJ"),AND(J4724=1,I4724=0)),"?IN_FOCUS",IF(J4724&lt;=2,"?ACTIVATED",IF(J4724&lt;&gt;"","?FAMILIAR",IF(F4724="NEW",IF(ISNA(VLOOKUP(E4724,#REF!,1,FALSE())),"?TYPE_IDENTIFIABLE","?REFERENTIAL"),"_")))))</f>
        <v> </v>
      </c>
      <c r="H4724" s="24" t="str">
        <f>IF(J4724&lt;&gt;1,"",IF(I4724="SBJ","CB","?"))</f>
        <v> </v>
      </c>
      <c r="I4724" s="25" t="str">
        <f>IF(OR(E4724="",E4724="!!!",F4724="NEW"),"",INDEX(B4723:B$2,-1+SUMPRODUCT(MAX(ROW(E4723:E$2)*(E4724=E4723:E$2)))))</f>
        <v> </v>
      </c>
      <c r="J4724" s="25" t="str">
        <f>IF(OR(E4724="",E4724="!!!",F4724="NEW"),"",COUNTBLANK(OFFSET(A$1,,,SUMPRODUCT(MAX(ROW(E$2:E4724)*(E4724=E$2:E4724)))))-COUNTBLANK(OFFSET(A$1,,,SUMPRODUCT(MAX(ROW(E$1:E4723)*(E2=E$1:E4723))))))</f>
        <v> </v>
      </c>
      <c r="K4724" s="25" t="str">
        <f>IF(OR(E4724="",E4724="!!!",F4724="NEW"),"",INDEX(J$1:J4723,SUMPRODUCT(MAX(ROW(E$1:E4723)*(E4724=E$1:E4723)))))</f>
        <v> </v>
      </c>
      <c r="L4724" s="26"/>
    </row>
    <row r="4725" spans="1:12">
      <c r="A4725" s="20" t="s">
        <v>1299</v>
      </c>
      <c r="E4725" s="21">
        <f>IF(D4725="?OLD","!!!","")</f>
        <v/>
      </c>
      <c r="F4725" s="22" t="str">
        <f>IF(OR(E4725="",E4725="!!!"),"",IF(NOT(ISNA(VLOOKUP(E4725,E$1:E4724,1,FALSE()))),"OLD",IF(AND(E4725&lt;&gt;"",E4725&lt;&gt;"!!!"),"NEW","")))</f>
        <v> </v>
      </c>
      <c r="G4725" s="23" t="str">
        <f>IF(OR(E4725="",E4725="!!!"),"",IF(OR(J4725=0,AND(J4725=1,K4725=1),AND(J4725=1,I4725="SBJ"),AND(J4725=1,I4725=0)),"?IN_FOCUS",IF(J4725&lt;=2,"?ACTIVATED",IF(J4725&lt;&gt;"","?FAMILIAR",IF(F4725="NEW",IF(ISNA(VLOOKUP(E4725,#REF!,1,FALSE())),"?TYPE_IDENTIFIABLE","?REFERENTIAL"),"_")))))</f>
        <v> </v>
      </c>
      <c r="H4725" s="24" t="str">
        <f>IF(J4725&lt;&gt;1,"",IF(I4725="SBJ","CB","?"))</f>
        <v> </v>
      </c>
      <c r="I4725" s="25" t="str">
        <f>IF(OR(E4725="",E4725="!!!",F4725="NEW"),"",INDEX(B4724:B$2,-1+SUMPRODUCT(MAX(ROW(E4724:E$2)*(E4725=E4724:E$2)))))</f>
        <v> </v>
      </c>
      <c r="J4725" s="25" t="str">
        <f>IF(OR(E4725="",E4725="!!!",F4725="NEW"),"",COUNTBLANK(OFFSET(A$1,,,SUMPRODUCT(MAX(ROW(E$2:E4725)*(E4725=E$2:E4725)))))-COUNTBLANK(OFFSET(A$1,,,SUMPRODUCT(MAX(ROW(E$1:E4724)*(E2=E$1:E4724))))))</f>
        <v> </v>
      </c>
      <c r="K4725" s="25" t="str">
        <f>IF(OR(E4725="",E4725="!!!",F4725="NEW"),"",INDEX(J$1:J4724,SUMPRODUCT(MAX(ROW(E$1:E4724)*(E4725=E$1:E4724)))))</f>
        <v> </v>
      </c>
      <c r="L4725" s="26"/>
    </row>
    <row r="4726" spans="1:12">
      <c r="A4726" s="20" t="s">
        <v>1576</v>
      </c>
      <c r="E4726" s="21">
        <f>IF(D4726="?OLD","!!!","")</f>
        <v/>
      </c>
      <c r="F4726" s="22" t="str">
        <f>IF(OR(E4726="",E4726="!!!"),"",IF(NOT(ISNA(VLOOKUP(E4726,E$1:E4725,1,FALSE()))),"OLD",IF(AND(E4726&lt;&gt;"",E4726&lt;&gt;"!!!"),"NEW","")))</f>
        <v> </v>
      </c>
      <c r="G4726" s="23" t="str">
        <f>IF(OR(E4726="",E4726="!!!"),"",IF(OR(J4726=0,AND(J4726=1,K4726=1),AND(J4726=1,I4726="SBJ"),AND(J4726=1,I4726=0)),"?IN_FOCUS",IF(J4726&lt;=2,"?ACTIVATED",IF(J4726&lt;&gt;"","?FAMILIAR",IF(F4726="NEW",IF(ISNA(VLOOKUP(E4726,#REF!,1,FALSE())),"?TYPE_IDENTIFIABLE","?REFERENTIAL"),"_")))))</f>
        <v> </v>
      </c>
      <c r="H4726" s="24" t="str">
        <f>IF(J4726&lt;&gt;1,"",IF(I4726="SBJ","CB","?"))</f>
        <v> </v>
      </c>
      <c r="I4726" s="25" t="str">
        <f>IF(OR(E4726="",E4726="!!!",F4726="NEW"),"",INDEX(B4725:B$2,-1+SUMPRODUCT(MAX(ROW(E4725:E$2)*(E4726=E4725:E$2)))))</f>
        <v> </v>
      </c>
      <c r="J4726" s="25" t="str">
        <f>IF(OR(E4726="",E4726="!!!",F4726="NEW"),"",COUNTBLANK(OFFSET(A$1,,,SUMPRODUCT(MAX(ROW(E$2:E4726)*(E4726=E$2:E4726)))))-COUNTBLANK(OFFSET(A$1,,,SUMPRODUCT(MAX(ROW(E$1:E4725)*(E2=E$1:E4725))))))</f>
        <v> </v>
      </c>
      <c r="K4726" s="25" t="str">
        <f>IF(OR(E4726="",E4726="!!!",F4726="NEW"),"",INDEX(J$1:J4725,SUMPRODUCT(MAX(ROW(E$1:E4725)*(E4726=E$1:E4725)))))</f>
        <v> </v>
      </c>
      <c r="L4726" s="26"/>
    </row>
    <row r="4727" spans="1:12">
      <c r="A4727" s="20" t="s">
        <v>1228</v>
      </c>
      <c r="E4727" s="21">
        <f>IF(D4727="?OLD","!!!","")</f>
        <v/>
      </c>
      <c r="F4727" s="22" t="str">
        <f>IF(OR(E4727="",E4727="!!!"),"",IF(NOT(ISNA(VLOOKUP(E4727,E$1:E4726,1,FALSE()))),"OLD",IF(AND(E4727&lt;&gt;"",E4727&lt;&gt;"!!!"),"NEW","")))</f>
        <v> </v>
      </c>
      <c r="G4727" s="23" t="str">
        <f>IF(OR(E4727="",E4727="!!!"),"",IF(OR(J4727=0,AND(J4727=1,K4727=1),AND(J4727=1,I4727="SBJ"),AND(J4727=1,I4727=0)),"?IN_FOCUS",IF(J4727&lt;=2,"?ACTIVATED",IF(J4727&lt;&gt;"","?FAMILIAR",IF(F4727="NEW",IF(ISNA(VLOOKUP(E4727,#REF!,1,FALSE())),"?TYPE_IDENTIFIABLE","?REFERENTIAL"),"_")))))</f>
        <v> </v>
      </c>
      <c r="H4727" s="24" t="str">
        <f>IF(J4727&lt;&gt;1,"",IF(I4727="SBJ","CB","?"))</f>
        <v> </v>
      </c>
      <c r="I4727" s="25" t="str">
        <f>IF(OR(E4727="",E4727="!!!",F4727="NEW"),"",INDEX(B4726:B$2,-1+SUMPRODUCT(MAX(ROW(E4726:E$2)*(E4727=E4726:E$2)))))</f>
        <v> </v>
      </c>
      <c r="J4727" s="25" t="str">
        <f>IF(OR(E4727="",E4727="!!!",F4727="NEW"),"",COUNTBLANK(OFFSET(A$1,,,SUMPRODUCT(MAX(ROW(E$2:E4727)*(E4727=E$2:E4727)))))-COUNTBLANK(OFFSET(A$1,,,SUMPRODUCT(MAX(ROW(E$1:E4726)*(E2=E$1:E4726))))))</f>
        <v> </v>
      </c>
      <c r="K4727" s="25" t="str">
        <f>IF(OR(E4727="",E4727="!!!",F4727="NEW"),"",INDEX(J$1:J4726,SUMPRODUCT(MAX(ROW(E$1:E4726)*(E4727=E$1:E4726)))))</f>
        <v> </v>
      </c>
      <c r="L4727" s="26"/>
    </row>
    <row r="4728" spans="1:12">
      <c r="A4728" s="20" t="s">
        <v>2453</v>
      </c>
      <c r="B4728" s="27" t="s">
        <v>1090</v>
      </c>
      <c r="C4728" s="27" t="s">
        <v>1120</v>
      </c>
      <c r="E4728" s="21">
        <f>IF(D4728="?OLD","!!!","")</f>
        <v/>
      </c>
      <c r="F4728" s="22" t="str">
        <f>IF(OR(E4728="",E4728="!!!"),"",IF(NOT(ISNA(VLOOKUP(E4728,E$1:E4727,1,FALSE()))),"OLD",IF(AND(E4728&lt;&gt;"",E4728&lt;&gt;"!!!"),"NEW","")))</f>
        <v> </v>
      </c>
      <c r="G4728" s="23" t="str">
        <f>IF(OR(E4728="",E4728="!!!"),"",IF(OR(J4728=0,AND(J4728=1,K4728=1),AND(J4728=1,I4728="SBJ"),AND(J4728=1,I4728=0)),"?IN_FOCUS",IF(J4728&lt;=2,"?ACTIVATED",IF(J4728&lt;&gt;"","?FAMILIAR",IF(F4728="NEW",IF(ISNA(VLOOKUP(E4728,#REF!,1,FALSE())),"?TYPE_IDENTIFIABLE","?REFERENTIAL"),"_")))))</f>
        <v> </v>
      </c>
      <c r="H4728" s="24" t="str">
        <f>IF(J4728&lt;&gt;1,"",IF(I4728="SBJ","CB","?"))</f>
        <v> </v>
      </c>
      <c r="I4728" s="25" t="str">
        <f>IF(OR(E4728="",E4728="!!!",F4728="NEW"),"",INDEX(B4727:B$2,-1+SUMPRODUCT(MAX(ROW(E4727:E$2)*(E4728=E4727:E$2)))))</f>
        <v> </v>
      </c>
      <c r="J4728" s="25" t="str">
        <f>IF(OR(E4728="",E4728="!!!",F4728="NEW"),"",COUNTBLANK(OFFSET(A$1,,,SUMPRODUCT(MAX(ROW(E$2:E4728)*(E4728=E$2:E4728)))))-COUNTBLANK(OFFSET(A$1,,,SUMPRODUCT(MAX(ROW(E$1:E4727)*(E2=E$1:E4727))))))</f>
        <v> </v>
      </c>
      <c r="K4728" s="25" t="str">
        <f>IF(OR(E4728="",E4728="!!!",F4728="NEW"),"",INDEX(J$1:J4727,SUMPRODUCT(MAX(ROW(E$1:E4727)*(E4728=E$1:E4727)))))</f>
        <v> </v>
      </c>
      <c r="L4728" s="26"/>
    </row>
    <row r="4729" spans="1:12">
      <c r="A4729" s="20" t="s">
        <v>1224</v>
      </c>
      <c r="E4729" s="21">
        <f>IF(D4729="?OLD","!!!","")</f>
        <v/>
      </c>
      <c r="F4729" s="22" t="str">
        <f>IF(OR(E4729="",E4729="!!!"),"",IF(NOT(ISNA(VLOOKUP(E4729,E$1:E4728,1,FALSE()))),"OLD",IF(AND(E4729&lt;&gt;"",E4729&lt;&gt;"!!!"),"NEW","")))</f>
        <v> </v>
      </c>
      <c r="G4729" s="23" t="str">
        <f>IF(OR(E4729="",E4729="!!!"),"",IF(OR(J4729=0,AND(J4729=1,K4729=1),AND(J4729=1,I4729="SBJ"),AND(J4729=1,I4729=0)),"?IN_FOCUS",IF(J4729&lt;=2,"?ACTIVATED",IF(J4729&lt;&gt;"","?FAMILIAR",IF(F4729="NEW",IF(ISNA(VLOOKUP(E4729,#REF!,1,FALSE())),"?TYPE_IDENTIFIABLE","?REFERENTIAL"),"_")))))</f>
        <v> </v>
      </c>
      <c r="H4729" s="24" t="str">
        <f>IF(J4729&lt;&gt;1,"",IF(I4729="SBJ","CB","?"))</f>
        <v> </v>
      </c>
      <c r="I4729" s="25" t="str">
        <f>IF(OR(E4729="",E4729="!!!",F4729="NEW"),"",INDEX(B4728:B$2,-1+SUMPRODUCT(MAX(ROW(E4728:E$2)*(E4729=E4728:E$2)))))</f>
        <v> </v>
      </c>
      <c r="J4729" s="25" t="str">
        <f>IF(OR(E4729="",E4729="!!!",F4729="NEW"),"",COUNTBLANK(OFFSET(A$1,,,SUMPRODUCT(MAX(ROW(E$2:E4729)*(E4729=E$2:E4729)))))-COUNTBLANK(OFFSET(A$1,,,SUMPRODUCT(MAX(ROW(E$1:E4728)*(E2=E$1:E4728))))))</f>
        <v> </v>
      </c>
      <c r="K4729" s="25" t="str">
        <f>IF(OR(E4729="",E4729="!!!",F4729="NEW"),"",INDEX(J$1:J4728,SUMPRODUCT(MAX(ROW(E$1:E4728)*(E4729=E$1:E4728)))))</f>
        <v> </v>
      </c>
      <c r="L4729" s="26"/>
    </row>
    <row r="4730" spans="1:12">
      <c r="A4730" s="20" t="s">
        <v>2425</v>
      </c>
      <c r="B4730" s="27" t="s">
        <v>1092</v>
      </c>
      <c r="C4730" s="27" t="s">
        <v>1134</v>
      </c>
      <c r="D4730" s="27" t="s">
        <v>1069</v>
      </c>
      <c r="E4730" s="21">
        <f>IF(D4730="?OLD","!!!","")</f>
        <v/>
      </c>
      <c r="F4730" s="22" t="str">
        <f>IF(OR(E4730="",E4730="!!!"),"",IF(NOT(ISNA(VLOOKUP(E4730,E$1:E4729,1,FALSE()))),"OLD",IF(AND(E4730&lt;&gt;"",E4730&lt;&gt;"!!!"),"NEW","")))</f>
        <v> </v>
      </c>
      <c r="G4730" s="23" t="str">
        <f>IF(OR(E4730="",E4730="!!!"),"",IF(OR(J4730=0,AND(J4730=1,K4730=1),AND(J4730=1,I4730="SBJ"),AND(J4730=1,I4730=0)),"?IN_FOCUS",IF(J4730&lt;=2,"?ACTIVATED",IF(J4730&lt;&gt;"","?FAMILIAR",IF(F4730="NEW",IF(ISNA(VLOOKUP(E4730,#REF!,1,FALSE())),"?TYPE_IDENTIFIABLE","?REFERENTIAL"),"_")))))</f>
        <v> </v>
      </c>
      <c r="H4730" s="24" t="str">
        <f>IF(J4730&lt;&gt;1,"",IF(I4730="SBJ","CB","?"))</f>
        <v> </v>
      </c>
      <c r="I4730" s="25" t="str">
        <f>IF(OR(E4730="",E4730="!!!",F4730="NEW"),"",INDEX(B4729:B$2,-1+SUMPRODUCT(MAX(ROW(E4729:E$2)*(E4730=E4729:E$2)))))</f>
        <v> </v>
      </c>
      <c r="J4730" s="25" t="str">
        <f>IF(OR(E4730="",E4730="!!!",F4730="NEW"),"",COUNTBLANK(OFFSET(A$1,,,SUMPRODUCT(MAX(ROW(E$2:E4730)*(E4730=E$2:E4730)))))-COUNTBLANK(OFFSET(A$1,,,SUMPRODUCT(MAX(ROW(E$1:E4729)*(E2=E$1:E4729))))))</f>
        <v> </v>
      </c>
      <c r="K4730" s="25" t="str">
        <f>IF(OR(E4730="",E4730="!!!",F4730="NEW"),"",INDEX(J$1:J4729,SUMPRODUCT(MAX(ROW(E$1:E4729)*(E4730=E$1:E4729)))))</f>
        <v> </v>
      </c>
      <c r="L4730" s="26"/>
    </row>
    <row r="4731" spans="1:12">
      <c r="A4731" s="20" t="s">
        <v>1305</v>
      </c>
      <c r="B4731" s="27" t="s">
        <v>1071</v>
      </c>
      <c r="C4731" s="27" t="s">
        <v>1896</v>
      </c>
      <c r="D4731" s="27" t="s">
        <v>1069</v>
      </c>
      <c r="E4731" s="21">
        <f>IF(D4731="?OLD","!!!","")</f>
        <v/>
      </c>
      <c r="F4731" s="22" t="str">
        <f>IF(OR(E4731="",E4731="!!!"),"",IF(NOT(ISNA(VLOOKUP(E4731,E$1:E4730,1,FALSE()))),"OLD",IF(AND(E4731&lt;&gt;"",E4731&lt;&gt;"!!!"),"NEW","")))</f>
        <v> </v>
      </c>
      <c r="G4731" s="23" t="str">
        <f>IF(OR(E4731="",E4731="!!!"),"",IF(OR(J4731=0,AND(J4731=1,K4731=1),AND(J4731=1,I4731="SBJ"),AND(J4731=1,I4731=0)),"?IN_FOCUS",IF(J4731&lt;=2,"?ACTIVATED",IF(J4731&lt;&gt;"","?FAMILIAR",IF(F4731="NEW",IF(ISNA(VLOOKUP(E4731,#REF!,1,FALSE())),"?TYPE_IDENTIFIABLE","?REFERENTIAL"),"_")))))</f>
        <v> </v>
      </c>
      <c r="H4731" s="24" t="str">
        <f>IF(J4731&lt;&gt;1,"",IF(I4731="SBJ","CB","?"))</f>
        <v> </v>
      </c>
      <c r="I4731" s="25" t="str">
        <f>IF(OR(E4731="",E4731="!!!",F4731="NEW"),"",INDEX(B4730:B$2,-1+SUMPRODUCT(MAX(ROW(E4730:E$2)*(E4731=E4730:E$2)))))</f>
        <v> </v>
      </c>
      <c r="J4731" s="25" t="str">
        <f>IF(OR(E4731="",E4731="!!!",F4731="NEW"),"",COUNTBLANK(OFFSET(A$1,,,SUMPRODUCT(MAX(ROW(E$2:E4731)*(E4731=E$2:E4731)))))-COUNTBLANK(OFFSET(A$1,,,SUMPRODUCT(MAX(ROW(E$1:E4730)*(E2=E$1:E4730))))))</f>
        <v> </v>
      </c>
      <c r="K4731" s="25" t="str">
        <f>IF(OR(E4731="",E4731="!!!",F4731="NEW"),"",INDEX(J$1:J4730,SUMPRODUCT(MAX(ROW(E$1:E4730)*(E4731=E$1:E4730)))))</f>
        <v> </v>
      </c>
      <c r="L4731" s="26"/>
    </row>
    <row r="4732" spans="1:12">
      <c r="A4732" s="20" t="s">
        <v>1087</v>
      </c>
      <c r="E4732" s="21">
        <f>IF(D4732="?OLD","!!!","")</f>
        <v/>
      </c>
      <c r="F4732" s="22" t="str">
        <f>IF(OR(E4732="",E4732="!!!"),"",IF(NOT(ISNA(VLOOKUP(E4732,E$1:E4731,1,FALSE()))),"OLD",IF(AND(E4732&lt;&gt;"",E4732&lt;&gt;"!!!"),"NEW","")))</f>
        <v> </v>
      </c>
      <c r="G4732" s="23" t="str">
        <f>IF(OR(E4732="",E4732="!!!"),"",IF(OR(J4732=0,AND(J4732=1,K4732=1),AND(J4732=1,I4732="SBJ"),AND(J4732=1,I4732=0)),"?IN_FOCUS",IF(J4732&lt;=2,"?ACTIVATED",IF(J4732&lt;&gt;"","?FAMILIAR",IF(F4732="NEW",IF(ISNA(VLOOKUP(E4732,#REF!,1,FALSE())),"?TYPE_IDENTIFIABLE","?REFERENTIAL"),"_")))))</f>
        <v> </v>
      </c>
      <c r="H4732" s="24" t="str">
        <f>IF(J4732&lt;&gt;1,"",IF(I4732="SBJ","CB","?"))</f>
        <v> </v>
      </c>
      <c r="I4732" s="25" t="str">
        <f>IF(OR(E4732="",E4732="!!!",F4732="NEW"),"",INDEX(B4731:B$2,-1+SUMPRODUCT(MAX(ROW(E4731:E$2)*(E4732=E4731:E$2)))))</f>
        <v> </v>
      </c>
      <c r="J4732" s="25" t="str">
        <f>IF(OR(E4732="",E4732="!!!",F4732="NEW"),"",COUNTBLANK(OFFSET(A$1,,,SUMPRODUCT(MAX(ROW(E$2:E4732)*(E4732=E$2:E4732)))))-COUNTBLANK(OFFSET(A$1,,,SUMPRODUCT(MAX(ROW(E$1:E4731)*(E2=E$1:E4731))))))</f>
        <v> </v>
      </c>
      <c r="K4732" s="25" t="str">
        <f>IF(OR(E4732="",E4732="!!!",F4732="NEW"),"",INDEX(J$1:J4731,SUMPRODUCT(MAX(ROW(E$1:E4731)*(E4732=E$1:E4731)))))</f>
        <v> </v>
      </c>
      <c r="L4732" s="26"/>
    </row>
    <row r="4733" spans="1:12">
      <c r="A4733" s="20" t="s">
        <v>1552</v>
      </c>
      <c r="E4733" s="21">
        <f>IF(D4733="?OLD","!!!","")</f>
        <v/>
      </c>
      <c r="F4733" s="22" t="str">
        <f>IF(OR(E4733="",E4733="!!!"),"",IF(NOT(ISNA(VLOOKUP(E4733,E$1:E4732,1,FALSE()))),"OLD",IF(AND(E4733&lt;&gt;"",E4733&lt;&gt;"!!!"),"NEW","")))</f>
        <v> </v>
      </c>
      <c r="G4733" s="23" t="str">
        <f>IF(OR(E4733="",E4733="!!!"),"",IF(OR(J4733=0,AND(J4733=1,K4733=1),AND(J4733=1,I4733="SBJ"),AND(J4733=1,I4733=0)),"?IN_FOCUS",IF(J4733&lt;=2,"?ACTIVATED",IF(J4733&lt;&gt;"","?FAMILIAR",IF(F4733="NEW",IF(ISNA(VLOOKUP(E4733,#REF!,1,FALSE())),"?TYPE_IDENTIFIABLE","?REFERENTIAL"),"_")))))</f>
        <v> </v>
      </c>
      <c r="H4733" s="24" t="str">
        <f>IF(J4733&lt;&gt;1,"",IF(I4733="SBJ","CB","?"))</f>
        <v> </v>
      </c>
      <c r="I4733" s="25" t="str">
        <f>IF(OR(E4733="",E4733="!!!",F4733="NEW"),"",INDEX(B4732:B$2,-1+SUMPRODUCT(MAX(ROW(E4732:E$2)*(E4733=E4732:E$2)))))</f>
        <v> </v>
      </c>
      <c r="J4733" s="25" t="str">
        <f>IF(OR(E4733="",E4733="!!!",F4733="NEW"),"",COUNTBLANK(OFFSET(A$1,,,SUMPRODUCT(MAX(ROW(E$2:E4733)*(E4733=E$2:E4733)))))-COUNTBLANK(OFFSET(A$1,,,SUMPRODUCT(MAX(ROW(E$1:E4732)*(E2=E$1:E4732))))))</f>
        <v> </v>
      </c>
      <c r="K4733" s="25" t="str">
        <f>IF(OR(E4733="",E4733="!!!",F4733="NEW"),"",INDEX(J$1:J4732,SUMPRODUCT(MAX(ROW(E$1:E4732)*(E4733=E$1:E4732)))))</f>
        <v> </v>
      </c>
      <c r="L4733" s="26"/>
    </row>
    <row r="4734" spans="1:12">
      <c r="A4734" s="20" t="s">
        <v>1351</v>
      </c>
      <c r="B4734" s="27" t="s">
        <v>1095</v>
      </c>
      <c r="C4734" s="27" t="s">
        <v>1072</v>
      </c>
      <c r="E4734" s="21">
        <f>IF(D4734="?OLD","!!!","")</f>
        <v/>
      </c>
      <c r="F4734" s="22" t="str">
        <f>IF(OR(E4734="",E4734="!!!"),"",IF(NOT(ISNA(VLOOKUP(E4734,E$1:E4733,1,FALSE()))),"OLD",IF(AND(E4734&lt;&gt;"",E4734&lt;&gt;"!!!"),"NEW","")))</f>
        <v> </v>
      </c>
      <c r="G4734" s="23" t="str">
        <f>IF(OR(E4734="",E4734="!!!"),"",IF(OR(J4734=0,AND(J4734=1,K4734=1),AND(J4734=1,I4734="SBJ"),AND(J4734=1,I4734=0)),"?IN_FOCUS",IF(J4734&lt;=2,"?ACTIVATED",IF(J4734&lt;&gt;"","?FAMILIAR",IF(F4734="NEW",IF(ISNA(VLOOKUP(E4734,#REF!,1,FALSE())),"?TYPE_IDENTIFIABLE","?REFERENTIAL"),"_")))))</f>
        <v> </v>
      </c>
      <c r="H4734" s="24" t="str">
        <f>IF(J4734&lt;&gt;1,"",IF(I4734="SBJ","CB","?"))</f>
        <v> </v>
      </c>
      <c r="I4734" s="25" t="str">
        <f>IF(OR(E4734="",E4734="!!!",F4734="NEW"),"",INDEX(B4733:B$2,-1+SUMPRODUCT(MAX(ROW(E4733:E$2)*(E4734=E4733:E$2)))))</f>
        <v> </v>
      </c>
      <c r="J4734" s="25" t="str">
        <f>IF(OR(E4734="",E4734="!!!",F4734="NEW"),"",COUNTBLANK(OFFSET(A$1,,,SUMPRODUCT(MAX(ROW(E$2:E4734)*(E4734=E$2:E4734)))))-COUNTBLANK(OFFSET(A$1,,,SUMPRODUCT(MAX(ROW(E$1:E4733)*(E2=E$1:E4733))))))</f>
        <v> </v>
      </c>
      <c r="K4734" s="25" t="str">
        <f>IF(OR(E4734="",E4734="!!!",F4734="NEW"),"",INDEX(J$1:J4733,SUMPRODUCT(MAX(ROW(E$1:E4733)*(E4734=E$1:E4733)))))</f>
        <v> </v>
      </c>
      <c r="L4734" s="26"/>
    </row>
    <row r="4735" spans="1:12">
      <c r="A4735" s="20" t="s">
        <v>1083</v>
      </c>
      <c r="B4735" s="27" t="s">
        <v>1090</v>
      </c>
      <c r="E4735" s="21">
        <f>IF(D4735="?OLD","!!!","")</f>
        <v/>
      </c>
      <c r="F4735" s="22" t="str">
        <f>IF(OR(E4735="",E4735="!!!"),"",IF(NOT(ISNA(VLOOKUP(E4735,E$1:E4734,1,FALSE()))),"OLD",IF(AND(E4735&lt;&gt;"",E4735&lt;&gt;"!!!"),"NEW","")))</f>
        <v> </v>
      </c>
      <c r="G4735" s="23" t="str">
        <f>IF(OR(E4735="",E4735="!!!"),"",IF(OR(J4735=0,AND(J4735=1,K4735=1),AND(J4735=1,I4735="SBJ"),AND(J4735=1,I4735=0)),"?IN_FOCUS",IF(J4735&lt;=2,"?ACTIVATED",IF(J4735&lt;&gt;"","?FAMILIAR",IF(F4735="NEW",IF(ISNA(VLOOKUP(E4735,#REF!,1,FALSE())),"?TYPE_IDENTIFIABLE","?REFERENTIAL"),"_")))))</f>
        <v> </v>
      </c>
      <c r="H4735" s="24" t="str">
        <f>IF(J4735&lt;&gt;1,"",IF(I4735="SBJ","CB","?"))</f>
        <v> </v>
      </c>
      <c r="I4735" s="25" t="str">
        <f>IF(OR(E4735="",E4735="!!!",F4735="NEW"),"",INDEX(B4734:B$2,-1+SUMPRODUCT(MAX(ROW(E4734:E$2)*(E4735=E4734:E$2)))))</f>
        <v> </v>
      </c>
      <c r="J4735" s="25" t="str">
        <f>IF(OR(E4735="",E4735="!!!",F4735="NEW"),"",COUNTBLANK(OFFSET(A$1,,,SUMPRODUCT(MAX(ROW(E$2:E4735)*(E4735=E$2:E4735)))))-COUNTBLANK(OFFSET(A$1,,,SUMPRODUCT(MAX(ROW(E$1:E4734)*(E2=E$1:E4734))))))</f>
        <v> </v>
      </c>
      <c r="K4735" s="25" t="str">
        <f>IF(OR(E4735="",E4735="!!!",F4735="NEW"),"",INDEX(J$1:J4734,SUMPRODUCT(MAX(ROW(E$1:E4734)*(E4735=E$1:E4734)))))</f>
        <v> </v>
      </c>
      <c r="L4735" s="26"/>
    </row>
    <row r="4736" spans="1:12">
      <c r="A4736" s="20" t="s">
        <v>1070</v>
      </c>
      <c r="B4736" s="27" t="s">
        <v>1092</v>
      </c>
      <c r="C4736" s="27" t="s">
        <v>1072</v>
      </c>
      <c r="E4736" s="21">
        <f>IF(D4736="?OLD","!!!","")</f>
        <v/>
      </c>
      <c r="F4736" s="22" t="str">
        <f>IF(OR(E4736="",E4736="!!!"),"",IF(NOT(ISNA(VLOOKUP(E4736,E$1:E4735,1,FALSE()))),"OLD",IF(AND(E4736&lt;&gt;"",E4736&lt;&gt;"!!!"),"NEW","")))</f>
        <v> </v>
      </c>
      <c r="G4736" s="23" t="str">
        <f>IF(OR(E4736="",E4736="!!!"),"",IF(OR(J4736=0,AND(J4736=1,K4736=1),AND(J4736=1,I4736="SBJ"),AND(J4736=1,I4736=0)),"?IN_FOCUS",IF(J4736&lt;=2,"?ACTIVATED",IF(J4736&lt;&gt;"","?FAMILIAR",IF(F4736="NEW",IF(ISNA(VLOOKUP(E4736,#REF!,1,FALSE())),"?TYPE_IDENTIFIABLE","?REFERENTIAL"),"_")))))</f>
        <v> </v>
      </c>
      <c r="H4736" s="24" t="str">
        <f>IF(J4736&lt;&gt;1,"",IF(I4736="SBJ","CB","?"))</f>
        <v> </v>
      </c>
      <c r="I4736" s="25" t="str">
        <f>IF(OR(E4736="",E4736="!!!",F4736="NEW"),"",INDEX(B4735:B$2,-1+SUMPRODUCT(MAX(ROW(E4735:E$2)*(E4736=E4735:E$2)))))</f>
        <v> </v>
      </c>
      <c r="J4736" s="25" t="str">
        <f>IF(OR(E4736="",E4736="!!!",F4736="NEW"),"",COUNTBLANK(OFFSET(A$1,,,SUMPRODUCT(MAX(ROW(E$2:E4736)*(E4736=E$2:E4736)))))-COUNTBLANK(OFFSET(A$1,,,SUMPRODUCT(MAX(ROW(E$1:E4735)*(E2=E$1:E4735))))))</f>
        <v> </v>
      </c>
      <c r="K4736" s="25" t="str">
        <f>IF(OR(E4736="",E4736="!!!",F4736="NEW"),"",INDEX(J$1:J4735,SUMPRODUCT(MAX(ROW(E$1:E4735)*(E4736=E$1:E4735)))))</f>
        <v> </v>
      </c>
      <c r="L4736" s="26"/>
    </row>
    <row r="4737" spans="1:12">
      <c r="A4737" s="20" t="s">
        <v>1097</v>
      </c>
      <c r="E4737" s="21">
        <f>IF(D4737="?OLD","!!!","")</f>
        <v/>
      </c>
      <c r="F4737" s="22" t="str">
        <f>IF(OR(E4737="",E4737="!!!"),"",IF(NOT(ISNA(VLOOKUP(E4737,E$1:E4736,1,FALSE()))),"OLD",IF(AND(E4737&lt;&gt;"",E4737&lt;&gt;"!!!"),"NEW","")))</f>
        <v> </v>
      </c>
      <c r="G4737" s="23" t="str">
        <f>IF(OR(E4737="",E4737="!!!"),"",IF(OR(J4737=0,AND(J4737=1,K4737=1),AND(J4737=1,I4737="SBJ"),AND(J4737=1,I4737=0)),"?IN_FOCUS",IF(J4737&lt;=2,"?ACTIVATED",IF(J4737&lt;&gt;"","?FAMILIAR",IF(F4737="NEW",IF(ISNA(VLOOKUP(E4737,#REF!,1,FALSE())),"?TYPE_IDENTIFIABLE","?REFERENTIAL"),"_")))))</f>
        <v> </v>
      </c>
      <c r="H4737" s="24" t="str">
        <f>IF(J4737&lt;&gt;1,"",IF(I4737="SBJ","CB","?"))</f>
        <v> </v>
      </c>
      <c r="I4737" s="25" t="str">
        <f>IF(OR(E4737="",E4737="!!!",F4737="NEW"),"",INDEX(B4736:B$2,-1+SUMPRODUCT(MAX(ROW(E4736:E$2)*(E4737=E4736:E$2)))))</f>
        <v> </v>
      </c>
      <c r="J4737" s="25" t="str">
        <f>IF(OR(E4737="",E4737="!!!",F4737="NEW"),"",COUNTBLANK(OFFSET(A$1,,,SUMPRODUCT(MAX(ROW(E$2:E4737)*(E4737=E$2:E4737)))))-COUNTBLANK(OFFSET(A$1,,,SUMPRODUCT(MAX(ROW(E$1:E4736)*(E2=E$1:E4736))))))</f>
        <v> </v>
      </c>
      <c r="K4737" s="25" t="str">
        <f>IF(OR(E4737="",E4737="!!!",F4737="NEW"),"",INDEX(J$1:J4736,SUMPRODUCT(MAX(ROW(E$1:E4736)*(E4737=E$1:E4736)))))</f>
        <v> </v>
      </c>
      <c r="L4737" s="26"/>
    </row>
    <row r="4738" spans="1:12">
      <c r="A4738" s="20" t="s">
        <v>2454</v>
      </c>
      <c r="B4738" s="27" t="s">
        <v>1071</v>
      </c>
      <c r="C4738" s="27" t="s">
        <v>1086</v>
      </c>
      <c r="D4738" s="27" t="s">
        <v>1069</v>
      </c>
      <c r="E4738" s="21">
        <f>IF(D4738="?OLD","!!!","")</f>
        <v/>
      </c>
      <c r="F4738" s="22" t="str">
        <f>IF(OR(E4738="",E4738="!!!"),"",IF(NOT(ISNA(VLOOKUP(E4738,E$1:E4737,1,FALSE()))),"OLD",IF(AND(E4738&lt;&gt;"",E4738&lt;&gt;"!!!"),"NEW","")))</f>
        <v> </v>
      </c>
      <c r="G4738" s="23" t="str">
        <f>IF(OR(E4738="",E4738="!!!"),"",IF(OR(J4738=0,AND(J4738=1,K4738=1),AND(J4738=1,I4738="SBJ"),AND(J4738=1,I4738=0)),"?IN_FOCUS",IF(J4738&lt;=2,"?ACTIVATED",IF(J4738&lt;&gt;"","?FAMILIAR",IF(F4738="NEW",IF(ISNA(VLOOKUP(E4738,#REF!,1,FALSE())),"?TYPE_IDENTIFIABLE","?REFERENTIAL"),"_")))))</f>
        <v> </v>
      </c>
      <c r="H4738" s="24" t="str">
        <f>IF(J4738&lt;&gt;1,"",IF(I4738="SBJ","CB","?"))</f>
        <v> </v>
      </c>
      <c r="I4738" s="25" t="str">
        <f>IF(OR(E4738="",E4738="!!!",F4738="NEW"),"",INDEX(B4737:B$2,-1+SUMPRODUCT(MAX(ROW(E4737:E$2)*(E4738=E4737:E$2)))))</f>
        <v> </v>
      </c>
      <c r="J4738" s="25" t="str">
        <f>IF(OR(E4738="",E4738="!!!",F4738="NEW"),"",COUNTBLANK(OFFSET(A$1,,,SUMPRODUCT(MAX(ROW(E$2:E4738)*(E4738=E$2:E4738)))))-COUNTBLANK(OFFSET(A$1,,,SUMPRODUCT(MAX(ROW(E$1:E4737)*(E2=E$1:E4737))))))</f>
        <v> </v>
      </c>
      <c r="K4738" s="25" t="str">
        <f>IF(OR(E4738="",E4738="!!!",F4738="NEW"),"",INDEX(J$1:J4737,SUMPRODUCT(MAX(ROW(E$1:E4737)*(E4738=E$1:E4737)))))</f>
        <v> </v>
      </c>
      <c r="L4738" s="26"/>
    </row>
    <row r="4739" spans="1:12">
      <c r="A4739" s="20" t="s">
        <v>157</v>
      </c>
      <c r="E4739" s="21">
        <f>IF(D4739="?OLD","!!!","")</f>
        <v/>
      </c>
      <c r="F4739" s="22" t="str">
        <f>IF(OR(E4739="",E4739="!!!"),"",IF(NOT(ISNA(VLOOKUP(E4739,E$1:E4738,1,FALSE()))),"OLD",IF(AND(E4739&lt;&gt;"",E4739&lt;&gt;"!!!"),"NEW","")))</f>
        <v> </v>
      </c>
      <c r="G4739" s="23" t="str">
        <f>IF(OR(E4739="",E4739="!!!"),"",IF(OR(J4739=0,AND(J4739=1,K4739=1),AND(J4739=1,I4739="SBJ"),AND(J4739=1,I4739=0)),"?IN_FOCUS",IF(J4739&lt;=2,"?ACTIVATED",IF(J4739&lt;&gt;"","?FAMILIAR",IF(F4739="NEW",IF(ISNA(VLOOKUP(E4739,#REF!,1,FALSE())),"?TYPE_IDENTIFIABLE","?REFERENTIAL"),"_")))))</f>
        <v> </v>
      </c>
      <c r="H4739" s="24" t="str">
        <f>IF(J4739&lt;&gt;1,"",IF(I4739="SBJ","CB","?"))</f>
        <v> </v>
      </c>
      <c r="I4739" s="25" t="str">
        <f>IF(OR(E4739="",E4739="!!!",F4739="NEW"),"",INDEX(B4738:B$2,-1+SUMPRODUCT(MAX(ROW(E4738:E$2)*(E4739=E4738:E$2)))))</f>
        <v> </v>
      </c>
      <c r="J4739" s="25" t="str">
        <f>IF(OR(E4739="",E4739="!!!",F4739="NEW"),"",COUNTBLANK(OFFSET(A$1,,,SUMPRODUCT(MAX(ROW(E$2:E4739)*(E4739=E$2:E4739)))))-COUNTBLANK(OFFSET(A$1,,,SUMPRODUCT(MAX(ROW(E$1:E4738)*(E2=E$1:E4738))))))</f>
        <v> </v>
      </c>
      <c r="K4739" s="25" t="str">
        <f>IF(OR(E4739="",E4739="!!!",F4739="NEW"),"",INDEX(J$1:J4738,SUMPRODUCT(MAX(ROW(E$1:E4738)*(E4739=E$1:E4738)))))</f>
        <v> </v>
      </c>
      <c r="L4739" s="26"/>
    </row>
    <row r="4740" spans="1:12">
      <c r="A4740" s="20" t="s">
        <v>1784</v>
      </c>
      <c r="E4740" s="21">
        <f>IF(D4740="?OLD","!!!","")</f>
        <v/>
      </c>
      <c r="F4740" s="22" t="str">
        <f>IF(OR(E4740="",E4740="!!!"),"",IF(NOT(ISNA(VLOOKUP(E4740,E$1:E4739,1,FALSE()))),"OLD",IF(AND(E4740&lt;&gt;"",E4740&lt;&gt;"!!!"),"NEW","")))</f>
        <v> </v>
      </c>
      <c r="G4740" s="23" t="str">
        <f>IF(OR(E4740="",E4740="!!!"),"",IF(OR(J4740=0,AND(J4740=1,K4740=1),AND(J4740=1,I4740="SBJ"),AND(J4740=1,I4740=0)),"?IN_FOCUS",IF(J4740&lt;=2,"?ACTIVATED",IF(J4740&lt;&gt;"","?FAMILIAR",IF(F4740="NEW",IF(ISNA(VLOOKUP(E4740,#REF!,1,FALSE())),"?TYPE_IDENTIFIABLE","?REFERENTIAL"),"_")))))</f>
        <v> </v>
      </c>
      <c r="H4740" s="24" t="str">
        <f>IF(J4740&lt;&gt;1,"",IF(I4740="SBJ","CB","?"))</f>
        <v> </v>
      </c>
      <c r="I4740" s="25" t="str">
        <f>IF(OR(E4740="",E4740="!!!",F4740="NEW"),"",INDEX(B4739:B$2,-1+SUMPRODUCT(MAX(ROW(E4739:E$2)*(E4740=E4739:E$2)))))</f>
        <v> </v>
      </c>
      <c r="J4740" s="25" t="str">
        <f>IF(OR(E4740="",E4740="!!!",F4740="NEW"),"",COUNTBLANK(OFFSET(A$1,,,SUMPRODUCT(MAX(ROW(E$2:E4740)*(E4740=E$2:E4740)))))-COUNTBLANK(OFFSET(A$1,,,SUMPRODUCT(MAX(ROW(E$1:E4739)*(E2=E$1:E4739))))))</f>
        <v> </v>
      </c>
      <c r="K4740" s="25" t="str">
        <f>IF(OR(E4740="",E4740="!!!",F4740="NEW"),"",INDEX(J$1:J4739,SUMPRODUCT(MAX(ROW(E$1:E4739)*(E4740=E$1:E4739)))))</f>
        <v> </v>
      </c>
      <c r="L4740" s="26"/>
    </row>
    <row r="4741" spans="1:12">
      <c r="A4741" s="20" t="s">
        <v>1087</v>
      </c>
      <c r="E4741" s="21">
        <f>IF(D4741="?OLD","!!!","")</f>
        <v/>
      </c>
      <c r="F4741" s="22" t="str">
        <f>IF(OR(E4741="",E4741="!!!"),"",IF(NOT(ISNA(VLOOKUP(E4741,E$1:E4740,1,FALSE()))),"OLD",IF(AND(E4741&lt;&gt;"",E4741&lt;&gt;"!!!"),"NEW","")))</f>
        <v> </v>
      </c>
      <c r="G4741" s="23" t="str">
        <f>IF(OR(E4741="",E4741="!!!"),"",IF(OR(J4741=0,AND(J4741=1,K4741=1),AND(J4741=1,I4741="SBJ"),AND(J4741=1,I4741=0)),"?IN_FOCUS",IF(J4741&lt;=2,"?ACTIVATED",IF(J4741&lt;&gt;"","?FAMILIAR",IF(F4741="NEW",IF(ISNA(VLOOKUP(E4741,#REF!,1,FALSE())),"?TYPE_IDENTIFIABLE","?REFERENTIAL"),"_")))))</f>
        <v> </v>
      </c>
      <c r="H4741" s="24" t="str">
        <f>IF(J4741&lt;&gt;1,"",IF(I4741="SBJ","CB","?"))</f>
        <v> </v>
      </c>
      <c r="I4741" s="25" t="str">
        <f>IF(OR(E4741="",E4741="!!!",F4741="NEW"),"",INDEX(B4740:B$2,-1+SUMPRODUCT(MAX(ROW(E4740:E$2)*(E4741=E4740:E$2)))))</f>
        <v> </v>
      </c>
      <c r="J4741" s="25" t="str">
        <f>IF(OR(E4741="",E4741="!!!",F4741="NEW"),"",COUNTBLANK(OFFSET(A$1,,,SUMPRODUCT(MAX(ROW(E$2:E4741)*(E4741=E$2:E4741)))))-COUNTBLANK(OFFSET(A$1,,,SUMPRODUCT(MAX(ROW(E$1:E4740)*(E2=E$1:E4740))))))</f>
        <v> </v>
      </c>
      <c r="K4741" s="25" t="str">
        <f>IF(OR(E4741="",E4741="!!!",F4741="NEW"),"",INDEX(J$1:J4740,SUMPRODUCT(MAX(ROW(E$1:E4740)*(E4741=E$1:E4740)))))</f>
        <v> </v>
      </c>
      <c r="L4741" s="26"/>
    </row>
    <row r="4742" spans="1:12">
      <c r="A4742" s="20" t="s">
        <v>2455</v>
      </c>
      <c r="E4742" s="21">
        <f>IF(D4742="?OLD","!!!","")</f>
        <v/>
      </c>
      <c r="F4742" s="22" t="str">
        <f>IF(OR(E4742="",E4742="!!!"),"",IF(NOT(ISNA(VLOOKUP(E4742,E$1:E4741,1,FALSE()))),"OLD",IF(AND(E4742&lt;&gt;"",E4742&lt;&gt;"!!!"),"NEW","")))</f>
        <v> </v>
      </c>
      <c r="G4742" s="23" t="str">
        <f>IF(OR(E4742="",E4742="!!!"),"",IF(OR(J4742=0,AND(J4742=1,K4742=1),AND(J4742=1,I4742="SBJ"),AND(J4742=1,I4742=0)),"?IN_FOCUS",IF(J4742&lt;=2,"?ACTIVATED",IF(J4742&lt;&gt;"","?FAMILIAR",IF(F4742="NEW",IF(ISNA(VLOOKUP(E4742,#REF!,1,FALSE())),"?TYPE_IDENTIFIABLE","?REFERENTIAL"),"_")))))</f>
        <v> </v>
      </c>
      <c r="H4742" s="24" t="str">
        <f>IF(J4742&lt;&gt;1,"",IF(I4742="SBJ","CB","?"))</f>
        <v> </v>
      </c>
      <c r="I4742" s="25" t="str">
        <f>IF(OR(E4742="",E4742="!!!",F4742="NEW"),"",INDEX(B4741:B$2,-1+SUMPRODUCT(MAX(ROW(E4741:E$2)*(E4742=E4741:E$2)))))</f>
        <v> </v>
      </c>
      <c r="J4742" s="25" t="str">
        <f>IF(OR(E4742="",E4742="!!!",F4742="NEW"),"",COUNTBLANK(OFFSET(A$1,,,SUMPRODUCT(MAX(ROW(E$2:E4742)*(E4742=E$2:E4742)))))-COUNTBLANK(OFFSET(A$1,,,SUMPRODUCT(MAX(ROW(E$1:E4741)*(E2=E$1:E4741))))))</f>
        <v> </v>
      </c>
      <c r="K4742" s="25" t="str">
        <f>IF(OR(E4742="",E4742="!!!",F4742="NEW"),"",INDEX(J$1:J4741,SUMPRODUCT(MAX(ROW(E$1:E4741)*(E4742=E$1:E4741)))))</f>
        <v> </v>
      </c>
      <c r="L4742" s="26"/>
    </row>
    <row r="4743" spans="1:12">
      <c r="A4743" s="20" t="s">
        <v>1104</v>
      </c>
      <c r="E4743" s="21">
        <f>IF(D4743="?OLD","!!!","")</f>
        <v/>
      </c>
      <c r="F4743" s="22" t="str">
        <f>IF(OR(E4743="",E4743="!!!"),"",IF(NOT(ISNA(VLOOKUP(E4743,E$1:E4742,1,FALSE()))),"OLD",IF(AND(E4743&lt;&gt;"",E4743&lt;&gt;"!!!"),"NEW","")))</f>
        <v> </v>
      </c>
      <c r="G4743" s="23" t="str">
        <f>IF(OR(E4743="",E4743="!!!"),"",IF(OR(J4743=0,AND(J4743=1,K4743=1),AND(J4743=1,I4743="SBJ"),AND(J4743=1,I4743=0)),"?IN_FOCUS",IF(J4743&lt;=2,"?ACTIVATED",IF(J4743&lt;&gt;"","?FAMILIAR",IF(F4743="NEW",IF(ISNA(VLOOKUP(E4743,#REF!,1,FALSE())),"?TYPE_IDENTIFIABLE","?REFERENTIAL"),"_")))))</f>
        <v> </v>
      </c>
      <c r="H4743" s="24" t="str">
        <f>IF(J4743&lt;&gt;1,"",IF(I4743="SBJ","CB","?"))</f>
        <v> </v>
      </c>
      <c r="I4743" s="25" t="str">
        <f>IF(OR(E4743="",E4743="!!!",F4743="NEW"),"",INDEX(B4742:B$2,-1+SUMPRODUCT(MAX(ROW(E4742:E$2)*(E4743=E4742:E$2)))))</f>
        <v> </v>
      </c>
      <c r="J4743" s="25" t="str">
        <f>IF(OR(E4743="",E4743="!!!",F4743="NEW"),"",COUNTBLANK(OFFSET(A$1,,,SUMPRODUCT(MAX(ROW(E$2:E4743)*(E4743=E$2:E4743)))))-COUNTBLANK(OFFSET(A$1,,,SUMPRODUCT(MAX(ROW(E$1:E4742)*(E2=E$1:E4742))))))</f>
        <v> </v>
      </c>
      <c r="K4743" s="25" t="str">
        <f>IF(OR(E4743="",E4743="!!!",F4743="NEW"),"",INDEX(J$1:J4742,SUMPRODUCT(MAX(ROW(E$1:E4742)*(E4743=E$1:E4742)))))</f>
        <v> </v>
      </c>
      <c r="L4743" s="26"/>
    </row>
    <row r="4744" spans="1:12">
      <c r="A4744" s="20" t="s">
        <v>1105</v>
      </c>
      <c r="B4744" s="27" t="s">
        <v>1133</v>
      </c>
      <c r="C4744" s="27" t="s">
        <v>1086</v>
      </c>
      <c r="D4744" s="27" t="s">
        <v>1069</v>
      </c>
      <c r="E4744" s="21">
        <f>IF(D4744="?OLD","!!!","")</f>
        <v/>
      </c>
      <c r="F4744" s="22" t="str">
        <f>IF(OR(E4744="",E4744="!!!"),"",IF(NOT(ISNA(VLOOKUP(E4744,E$1:E4743,1,FALSE()))),"OLD",IF(AND(E4744&lt;&gt;"",E4744&lt;&gt;"!!!"),"NEW","")))</f>
        <v> </v>
      </c>
      <c r="G4744" s="23" t="str">
        <f>IF(OR(E4744="",E4744="!!!"),"",IF(OR(J4744=0,AND(J4744=1,K4744=1),AND(J4744=1,I4744="SBJ"),AND(J4744=1,I4744=0)),"?IN_FOCUS",IF(J4744&lt;=2,"?ACTIVATED",IF(J4744&lt;&gt;"","?FAMILIAR",IF(F4744="NEW",IF(ISNA(VLOOKUP(E4744,#REF!,1,FALSE())),"?TYPE_IDENTIFIABLE","?REFERENTIAL"),"_")))))</f>
        <v> </v>
      </c>
      <c r="H4744" s="24" t="str">
        <f>IF(J4744&lt;&gt;1,"",IF(I4744="SBJ","CB","?"))</f>
        <v> </v>
      </c>
      <c r="I4744" s="25" t="str">
        <f>IF(OR(E4744="",E4744="!!!",F4744="NEW"),"",INDEX(B4743:B$2,-1+SUMPRODUCT(MAX(ROW(E4743:E$2)*(E4744=E4743:E$2)))))</f>
        <v> </v>
      </c>
      <c r="J4744" s="25" t="str">
        <f>IF(OR(E4744="",E4744="!!!",F4744="NEW"),"",COUNTBLANK(OFFSET(A$1,,,SUMPRODUCT(MAX(ROW(E$2:E4744)*(E4744=E$2:E4744)))))-COUNTBLANK(OFFSET(A$1,,,SUMPRODUCT(MAX(ROW(E$1:E4743)*(E2=E$1:E4743))))))</f>
        <v> </v>
      </c>
      <c r="K4744" s="25" t="str">
        <f>IF(OR(E4744="",E4744="!!!",F4744="NEW"),"",INDEX(J$1:J4743,SUMPRODUCT(MAX(ROW(E$1:E4743)*(E4744=E$1:E4743)))))</f>
        <v> </v>
      </c>
      <c r="L4744" s="26"/>
    </row>
    <row r="4745" spans="1:12">
      <c r="A4745" s="20" t="s">
        <v>2343</v>
      </c>
      <c r="E4745" s="21">
        <f>IF(D4745="?OLD","!!!","")</f>
        <v/>
      </c>
      <c r="F4745" s="22" t="str">
        <f>IF(OR(E4745="",E4745="!!!"),"",IF(NOT(ISNA(VLOOKUP(E4745,E$1:E4744,1,FALSE()))),"OLD",IF(AND(E4745&lt;&gt;"",E4745&lt;&gt;"!!!"),"NEW","")))</f>
        <v> </v>
      </c>
      <c r="G4745" s="23" t="str">
        <f>IF(OR(E4745="",E4745="!!!"),"",IF(OR(J4745=0,AND(J4745=1,K4745=1),AND(J4745=1,I4745="SBJ"),AND(J4745=1,I4745=0)),"?IN_FOCUS",IF(J4745&lt;=2,"?ACTIVATED",IF(J4745&lt;&gt;"","?FAMILIAR",IF(F4745="NEW",IF(ISNA(VLOOKUP(E4745,#REF!,1,FALSE())),"?TYPE_IDENTIFIABLE","?REFERENTIAL"),"_")))))</f>
        <v> </v>
      </c>
      <c r="H4745" s="24" t="str">
        <f>IF(J4745&lt;&gt;1,"",IF(I4745="SBJ","CB","?"))</f>
        <v> </v>
      </c>
      <c r="I4745" s="25" t="str">
        <f>IF(OR(E4745="",E4745="!!!",F4745="NEW"),"",INDEX(B4744:B$2,-1+SUMPRODUCT(MAX(ROW(E4744:E$2)*(E4745=E4744:E$2)))))</f>
        <v> </v>
      </c>
      <c r="J4745" s="25" t="str">
        <f>IF(OR(E4745="",E4745="!!!",F4745="NEW"),"",COUNTBLANK(OFFSET(A$1,,,SUMPRODUCT(MAX(ROW(E$2:E4745)*(E4745=E$2:E4745)))))-COUNTBLANK(OFFSET(A$1,,,SUMPRODUCT(MAX(ROW(E$1:E4744)*(E2=E$1:E4744))))))</f>
        <v> </v>
      </c>
      <c r="K4745" s="25" t="str">
        <f>IF(OR(E4745="",E4745="!!!",F4745="NEW"),"",INDEX(J$1:J4744,SUMPRODUCT(MAX(ROW(E$1:E4744)*(E4745=E$1:E4744)))))</f>
        <v> </v>
      </c>
      <c r="L4745" s="26"/>
    </row>
    <row r="4746" spans="1:12">
      <c r="A4746" s="20" t="s">
        <v>173</v>
      </c>
      <c r="B4746" s="27" t="s">
        <v>1071</v>
      </c>
      <c r="C4746" s="27" t="s">
        <v>1077</v>
      </c>
      <c r="E4746" s="21">
        <f>IF(D4746="?OLD","!!!","")</f>
        <v/>
      </c>
      <c r="F4746" s="22" t="str">
        <f>IF(OR(E4746="",E4746="!!!"),"",IF(NOT(ISNA(VLOOKUP(E4746,E$1:E4745,1,FALSE()))),"OLD",IF(AND(E4746&lt;&gt;"",E4746&lt;&gt;"!!!"),"NEW","")))</f>
        <v> </v>
      </c>
      <c r="G4746" s="23" t="str">
        <f>IF(OR(E4746="",E4746="!!!"),"",IF(OR(J4746=0,AND(J4746=1,K4746=1),AND(J4746=1,I4746="SBJ"),AND(J4746=1,I4746=0)),"?IN_FOCUS",IF(J4746&lt;=2,"?ACTIVATED",IF(J4746&lt;&gt;"","?FAMILIAR",IF(F4746="NEW",IF(ISNA(VLOOKUP(E4746,#REF!,1,FALSE())),"?TYPE_IDENTIFIABLE","?REFERENTIAL"),"_")))))</f>
        <v> </v>
      </c>
      <c r="H4746" s="24" t="str">
        <f>IF(J4746&lt;&gt;1,"",IF(I4746="SBJ","CB","?"))</f>
        <v> </v>
      </c>
      <c r="I4746" s="25" t="str">
        <f>IF(OR(E4746="",E4746="!!!",F4746="NEW"),"",INDEX(B4745:B$2,-1+SUMPRODUCT(MAX(ROW(E4745:E$2)*(E4746=E4745:E$2)))))</f>
        <v> </v>
      </c>
      <c r="J4746" s="25" t="str">
        <f>IF(OR(E4746="",E4746="!!!",F4746="NEW"),"",COUNTBLANK(OFFSET(A$1,,,SUMPRODUCT(MAX(ROW(E$2:E4746)*(E4746=E$2:E4746)))))-COUNTBLANK(OFFSET(A$1,,,SUMPRODUCT(MAX(ROW(E$1:E4745)*(E2=E$1:E4745))))))</f>
        <v> </v>
      </c>
      <c r="K4746" s="25" t="str">
        <f>IF(OR(E4746="",E4746="!!!",F4746="NEW"),"",INDEX(J$1:J4745,SUMPRODUCT(MAX(ROW(E$1:E4745)*(E4746=E$1:E4745)))))</f>
        <v> </v>
      </c>
      <c r="L4746" s="26"/>
    </row>
    <row r="4747" spans="1:12">
      <c r="A4747" s="20" t="s">
        <v>1087</v>
      </c>
      <c r="E4747" s="21">
        <f>IF(D4747="?OLD","!!!","")</f>
        <v/>
      </c>
      <c r="F4747" s="22" t="str">
        <f>IF(OR(E4747="",E4747="!!!"),"",IF(NOT(ISNA(VLOOKUP(E4747,E$1:E4746,1,FALSE()))),"OLD",IF(AND(E4747&lt;&gt;"",E4747&lt;&gt;"!!!"),"NEW","")))</f>
        <v> </v>
      </c>
      <c r="G4747" s="23" t="str">
        <f>IF(OR(E4747="",E4747="!!!"),"",IF(OR(J4747=0,AND(J4747=1,K4747=1),AND(J4747=1,I4747="SBJ"),AND(J4747=1,I4747=0)),"?IN_FOCUS",IF(J4747&lt;=2,"?ACTIVATED",IF(J4747&lt;&gt;"","?FAMILIAR",IF(F4747="NEW",IF(ISNA(VLOOKUP(E4747,#REF!,1,FALSE())),"?TYPE_IDENTIFIABLE","?REFERENTIAL"),"_")))))</f>
        <v> </v>
      </c>
      <c r="H4747" s="24" t="str">
        <f>IF(J4747&lt;&gt;1,"",IF(I4747="SBJ","CB","?"))</f>
        <v> </v>
      </c>
      <c r="I4747" s="25" t="str">
        <f>IF(OR(E4747="",E4747="!!!",F4747="NEW"),"",INDEX(B4746:B$2,-1+SUMPRODUCT(MAX(ROW(E4746:E$2)*(E4747=E4746:E$2)))))</f>
        <v> </v>
      </c>
      <c r="J4747" s="25" t="str">
        <f>IF(OR(E4747="",E4747="!!!",F4747="NEW"),"",COUNTBLANK(OFFSET(A$1,,,SUMPRODUCT(MAX(ROW(E$2:E4747)*(E4747=E$2:E4747)))))-COUNTBLANK(OFFSET(A$1,,,SUMPRODUCT(MAX(ROW(E$1:E4746)*(E2=E$1:E4746))))))</f>
        <v> </v>
      </c>
      <c r="K4747" s="25" t="str">
        <f>IF(OR(E4747="",E4747="!!!",F4747="NEW"),"",INDEX(J$1:J4746,SUMPRODUCT(MAX(ROW(E$1:E4746)*(E4747=E$1:E4746)))))</f>
        <v> </v>
      </c>
      <c r="L4747" s="26"/>
    </row>
    <row r="4748" spans="1:12">
      <c r="A4748" s="20" t="s">
        <v>1161</v>
      </c>
      <c r="E4748" s="21">
        <f>IF(D4748="?OLD","!!!","")</f>
        <v/>
      </c>
      <c r="F4748" s="22" t="str">
        <f>IF(OR(E4748="",E4748="!!!"),"",IF(NOT(ISNA(VLOOKUP(E4748,E$1:E4747,1,FALSE()))),"OLD",IF(AND(E4748&lt;&gt;"",E4748&lt;&gt;"!!!"),"NEW","")))</f>
        <v> </v>
      </c>
      <c r="G4748" s="23" t="str">
        <f>IF(OR(E4748="",E4748="!!!"),"",IF(OR(J4748=0,AND(J4748=1,K4748=1),AND(J4748=1,I4748="SBJ"),AND(J4748=1,I4748=0)),"?IN_FOCUS",IF(J4748&lt;=2,"?ACTIVATED",IF(J4748&lt;&gt;"","?FAMILIAR",IF(F4748="NEW",IF(ISNA(VLOOKUP(E4748,#REF!,1,FALSE())),"?TYPE_IDENTIFIABLE","?REFERENTIAL"),"_")))))</f>
        <v> </v>
      </c>
      <c r="H4748" s="24" t="str">
        <f>IF(J4748&lt;&gt;1,"",IF(I4748="SBJ","CB","?"))</f>
        <v> </v>
      </c>
      <c r="I4748" s="25" t="str">
        <f>IF(OR(E4748="",E4748="!!!",F4748="NEW"),"",INDEX(B4747:B$2,-1+SUMPRODUCT(MAX(ROW(E4747:E$2)*(E4748=E4747:E$2)))))</f>
        <v> </v>
      </c>
      <c r="J4748" s="25" t="str">
        <f>IF(OR(E4748="",E4748="!!!",F4748="NEW"),"",COUNTBLANK(OFFSET(A$1,,,SUMPRODUCT(MAX(ROW(E$2:E4748)*(E4748=E$2:E4748)))))-COUNTBLANK(OFFSET(A$1,,,SUMPRODUCT(MAX(ROW(E$1:E4747)*(E2=E$1:E4747))))))</f>
        <v> </v>
      </c>
      <c r="K4748" s="25" t="str">
        <f>IF(OR(E4748="",E4748="!!!",F4748="NEW"),"",INDEX(J$1:J4747,SUMPRODUCT(MAX(ROW(E$1:E4747)*(E4748=E$1:E4747)))))</f>
        <v> </v>
      </c>
      <c r="L4748" s="26"/>
    </row>
    <row r="4749" spans="1:12">
      <c r="A4749" s="20" t="s">
        <v>1128</v>
      </c>
      <c r="B4749" s="27" t="s">
        <v>1116</v>
      </c>
      <c r="C4749" s="27" t="s">
        <v>1129</v>
      </c>
      <c r="D4749" s="27" t="s">
        <v>1069</v>
      </c>
      <c r="E4749" s="21">
        <f>IF(D4749="?OLD","!!!","")</f>
        <v/>
      </c>
      <c r="F4749" s="22" t="str">
        <f>IF(OR(E4749="",E4749="!!!"),"",IF(NOT(ISNA(VLOOKUP(E4749,E$1:E4748,1,FALSE()))),"OLD",IF(AND(E4749&lt;&gt;"",E4749&lt;&gt;"!!!"),"NEW","")))</f>
        <v> </v>
      </c>
      <c r="G4749" s="23" t="str">
        <f>IF(OR(E4749="",E4749="!!!"),"",IF(OR(J4749=0,AND(J4749=1,K4749=1),AND(J4749=1,I4749="SBJ"),AND(J4749=1,I4749=0)),"?IN_FOCUS",IF(J4749&lt;=2,"?ACTIVATED",IF(J4749&lt;&gt;"","?FAMILIAR",IF(F4749="NEW",IF(ISNA(VLOOKUP(E4749,#REF!,1,FALSE())),"?TYPE_IDENTIFIABLE","?REFERENTIAL"),"_")))))</f>
        <v> </v>
      </c>
      <c r="H4749" s="24" t="str">
        <f>IF(J4749&lt;&gt;1,"",IF(I4749="SBJ","CB","?"))</f>
        <v> </v>
      </c>
      <c r="I4749" s="25" t="str">
        <f>IF(OR(E4749="",E4749="!!!",F4749="NEW"),"",INDEX(B4748:B$2,-1+SUMPRODUCT(MAX(ROW(E4748:E$2)*(E4749=E4748:E$2)))))</f>
        <v> </v>
      </c>
      <c r="J4749" s="25" t="str">
        <f>IF(OR(E4749="",E4749="!!!",F4749="NEW"),"",COUNTBLANK(OFFSET(A$1,,,SUMPRODUCT(MAX(ROW(E$2:E4749)*(E4749=E$2:E4749)))))-COUNTBLANK(OFFSET(A$1,,,SUMPRODUCT(MAX(ROW(E$1:E4748)*(E2=E$1:E4748))))))</f>
        <v> </v>
      </c>
      <c r="K4749" s="25" t="str">
        <f>IF(OR(E4749="",E4749="!!!",F4749="NEW"),"",INDEX(J$1:J4748,SUMPRODUCT(MAX(ROW(E$1:E4748)*(E4749=E$1:E4748)))))</f>
        <v> </v>
      </c>
      <c r="L4749" s="26"/>
    </row>
    <row r="4750" spans="1:12">
      <c r="A4750" s="20" t="s">
        <v>2110</v>
      </c>
      <c r="B4750" s="27" t="s">
        <v>1235</v>
      </c>
      <c r="C4750" s="27" t="s">
        <v>1131</v>
      </c>
      <c r="D4750" s="27" t="s">
        <v>1069</v>
      </c>
      <c r="E4750" s="21">
        <f>IF(D4750="?OLD","!!!","")</f>
        <v/>
      </c>
      <c r="F4750" s="22" t="str">
        <f>IF(OR(E4750="",E4750="!!!"),"",IF(NOT(ISNA(VLOOKUP(E4750,E$1:E4749,1,FALSE()))),"OLD",IF(AND(E4750&lt;&gt;"",E4750&lt;&gt;"!!!"),"NEW","")))</f>
        <v> </v>
      </c>
      <c r="G4750" s="23" t="str">
        <f>IF(OR(E4750="",E4750="!!!"),"",IF(OR(J4750=0,AND(J4750=1,K4750=1),AND(J4750=1,I4750="SBJ"),AND(J4750=1,I4750=0)),"?IN_FOCUS",IF(J4750&lt;=2,"?ACTIVATED",IF(J4750&lt;&gt;"","?FAMILIAR",IF(F4750="NEW",IF(ISNA(VLOOKUP(E4750,#REF!,1,FALSE())),"?TYPE_IDENTIFIABLE","?REFERENTIAL"),"_")))))</f>
        <v> </v>
      </c>
      <c r="H4750" s="24" t="str">
        <f>IF(J4750&lt;&gt;1,"",IF(I4750="SBJ","CB","?"))</f>
        <v> </v>
      </c>
      <c r="I4750" s="25" t="str">
        <f>IF(OR(E4750="",E4750="!!!",F4750="NEW"),"",INDEX(B4749:B$2,-1+SUMPRODUCT(MAX(ROW(E4749:E$2)*(E4750=E4749:E$2)))))</f>
        <v> </v>
      </c>
      <c r="J4750" s="25" t="str">
        <f>IF(OR(E4750="",E4750="!!!",F4750="NEW"),"",COUNTBLANK(OFFSET(A$1,,,SUMPRODUCT(MAX(ROW(E$2:E4750)*(E4750=E$2:E4750)))))-COUNTBLANK(OFFSET(A$1,,,SUMPRODUCT(MAX(ROW(E$1:E4749)*(E2=E$1:E4749))))))</f>
        <v> </v>
      </c>
      <c r="K4750" s="25" t="str">
        <f>IF(OR(E4750="",E4750="!!!",F4750="NEW"),"",INDEX(J$1:J4749,SUMPRODUCT(MAX(ROW(E$1:E4749)*(E4750=E$1:E4749)))))</f>
        <v> </v>
      </c>
      <c r="L4750" s="26"/>
    </row>
    <row r="4751" spans="1:12">
      <c r="A4751" s="20" t="s">
        <v>2431</v>
      </c>
      <c r="E4751" s="21">
        <f>IF(D4751="?OLD","!!!","")</f>
        <v/>
      </c>
      <c r="F4751" s="22" t="str">
        <f>IF(OR(E4751="",E4751="!!!"),"",IF(NOT(ISNA(VLOOKUP(E4751,E$1:E4750,1,FALSE()))),"OLD",IF(AND(E4751&lt;&gt;"",E4751&lt;&gt;"!!!"),"NEW","")))</f>
        <v> </v>
      </c>
      <c r="G4751" s="23" t="str">
        <f>IF(OR(E4751="",E4751="!!!"),"",IF(OR(J4751=0,AND(J4751=1,K4751=1),AND(J4751=1,I4751="SBJ"),AND(J4751=1,I4751=0)),"?IN_FOCUS",IF(J4751&lt;=2,"?ACTIVATED",IF(J4751&lt;&gt;"","?FAMILIAR",IF(F4751="NEW",IF(ISNA(VLOOKUP(E4751,#REF!,1,FALSE())),"?TYPE_IDENTIFIABLE","?REFERENTIAL"),"_")))))</f>
        <v> </v>
      </c>
      <c r="H4751" s="24" t="str">
        <f>IF(J4751&lt;&gt;1,"",IF(I4751="SBJ","CB","?"))</f>
        <v> </v>
      </c>
      <c r="I4751" s="25" t="str">
        <f>IF(OR(E4751="",E4751="!!!",F4751="NEW"),"",INDEX(B4750:B$2,-1+SUMPRODUCT(MAX(ROW(E4750:E$2)*(E4751=E4750:E$2)))))</f>
        <v> </v>
      </c>
      <c r="J4751" s="25" t="str">
        <f>IF(OR(E4751="",E4751="!!!",F4751="NEW"),"",COUNTBLANK(OFFSET(A$1,,,SUMPRODUCT(MAX(ROW(E$2:E4751)*(E4751=E$2:E4751)))))-COUNTBLANK(OFFSET(A$1,,,SUMPRODUCT(MAX(ROW(E$1:E4750)*(E2=E$1:E4750))))))</f>
        <v> </v>
      </c>
      <c r="K4751" s="25" t="str">
        <f>IF(OR(E4751="",E4751="!!!",F4751="NEW"),"",INDEX(J$1:J4750,SUMPRODUCT(MAX(ROW(E$1:E4750)*(E4751=E$1:E4750)))))</f>
        <v> </v>
      </c>
      <c r="L4751" s="26"/>
    </row>
    <row r="4752" spans="1:12">
      <c r="A4752" s="20" t="s">
        <v>1598</v>
      </c>
      <c r="E4752" s="21">
        <f>IF(D4752="?OLD","!!!","")</f>
        <v/>
      </c>
      <c r="F4752" s="22" t="str">
        <f>IF(OR(E4752="",E4752="!!!"),"",IF(NOT(ISNA(VLOOKUP(E4752,E$1:E4751,1,FALSE()))),"OLD",IF(AND(E4752&lt;&gt;"",E4752&lt;&gt;"!!!"),"NEW","")))</f>
        <v> </v>
      </c>
      <c r="G4752" s="23" t="str">
        <f>IF(OR(E4752="",E4752="!!!"),"",IF(OR(J4752=0,AND(J4752=1,K4752=1),AND(J4752=1,I4752="SBJ"),AND(J4752=1,I4752=0)),"?IN_FOCUS",IF(J4752&lt;=2,"?ACTIVATED",IF(J4752&lt;&gt;"","?FAMILIAR",IF(F4752="NEW",IF(ISNA(VLOOKUP(E4752,#REF!,1,FALSE())),"?TYPE_IDENTIFIABLE","?REFERENTIAL"),"_")))))</f>
        <v> </v>
      </c>
      <c r="H4752" s="24" t="str">
        <f>IF(J4752&lt;&gt;1,"",IF(I4752="SBJ","CB","?"))</f>
        <v> </v>
      </c>
      <c r="I4752" s="25" t="str">
        <f>IF(OR(E4752="",E4752="!!!",F4752="NEW"),"",INDEX(B4751:B$2,-1+SUMPRODUCT(MAX(ROW(E4751:E$2)*(E4752=E4751:E$2)))))</f>
        <v> </v>
      </c>
      <c r="J4752" s="25" t="str">
        <f>IF(OR(E4752="",E4752="!!!",F4752="NEW"),"",COUNTBLANK(OFFSET(A$1,,,SUMPRODUCT(MAX(ROW(E$2:E4752)*(E4752=E$2:E4752)))))-COUNTBLANK(OFFSET(A$1,,,SUMPRODUCT(MAX(ROW(E$1:E4751)*(E2=E$1:E4751))))))</f>
        <v> </v>
      </c>
      <c r="K4752" s="25" t="str">
        <f>IF(OR(E4752="",E4752="!!!",F4752="NEW"),"",INDEX(J$1:J4751,SUMPRODUCT(MAX(ROW(E$1:E4751)*(E4752=E$1:E4751)))))</f>
        <v> </v>
      </c>
      <c r="L4752" s="26"/>
    </row>
    <row r="4753" spans="1:12">
      <c r="A4753" s="20" t="s">
        <v>1087</v>
      </c>
      <c r="E4753" s="21">
        <f>IF(D4753="?OLD","!!!","")</f>
        <v/>
      </c>
      <c r="F4753" s="22" t="str">
        <f>IF(OR(E4753="",E4753="!!!"),"",IF(NOT(ISNA(VLOOKUP(E4753,E$1:E4752,1,FALSE()))),"OLD",IF(AND(E4753&lt;&gt;"",E4753&lt;&gt;"!!!"),"NEW","")))</f>
        <v> </v>
      </c>
      <c r="G4753" s="23" t="str">
        <f>IF(OR(E4753="",E4753="!!!"),"",IF(OR(J4753=0,AND(J4753=1,K4753=1),AND(J4753=1,I4753="SBJ"),AND(J4753=1,I4753=0)),"?IN_FOCUS",IF(J4753&lt;=2,"?ACTIVATED",IF(J4753&lt;&gt;"","?FAMILIAR",IF(F4753="NEW",IF(ISNA(VLOOKUP(E4753,#REF!,1,FALSE())),"?TYPE_IDENTIFIABLE","?REFERENTIAL"),"_")))))</f>
        <v> </v>
      </c>
      <c r="H4753" s="24" t="str">
        <f>IF(J4753&lt;&gt;1,"",IF(I4753="SBJ","CB","?"))</f>
        <v> </v>
      </c>
      <c r="I4753" s="25" t="str">
        <f>IF(OR(E4753="",E4753="!!!",F4753="NEW"),"",INDEX(B4752:B$2,-1+SUMPRODUCT(MAX(ROW(E4752:E$2)*(E4753=E4752:E$2)))))</f>
        <v> </v>
      </c>
      <c r="J4753" s="25" t="str">
        <f>IF(OR(E4753="",E4753="!!!",F4753="NEW"),"",COUNTBLANK(OFFSET(A$1,,,SUMPRODUCT(MAX(ROW(E$2:E4753)*(E4753=E$2:E4753)))))-COUNTBLANK(OFFSET(A$1,,,SUMPRODUCT(MAX(ROW(E$1:E4752)*(E2=E$1:E4752))))))</f>
        <v> </v>
      </c>
      <c r="K4753" s="25" t="str">
        <f>IF(OR(E4753="",E4753="!!!",F4753="NEW"),"",INDEX(J$1:J4752,SUMPRODUCT(MAX(ROW(E$1:E4752)*(E4753=E$1:E4752)))))</f>
        <v> </v>
      </c>
      <c r="L4753" s="26"/>
    </row>
    <row r="4754" spans="1:12">
      <c r="A4754" s="20" t="s">
        <v>1138</v>
      </c>
      <c r="E4754" s="21">
        <f>IF(D4754="?OLD","!!!","")</f>
        <v/>
      </c>
      <c r="F4754" s="22" t="str">
        <f>IF(OR(E4754="",E4754="!!!"),"",IF(NOT(ISNA(VLOOKUP(E4754,E$1:E4753,1,FALSE()))),"OLD",IF(AND(E4754&lt;&gt;"",E4754&lt;&gt;"!!!"),"NEW","")))</f>
        <v> </v>
      </c>
      <c r="G4754" s="23" t="str">
        <f>IF(OR(E4754="",E4754="!!!"),"",IF(OR(J4754=0,AND(J4754=1,K4754=1),AND(J4754=1,I4754="SBJ"),AND(J4754=1,I4754=0)),"?IN_FOCUS",IF(J4754&lt;=2,"?ACTIVATED",IF(J4754&lt;&gt;"","?FAMILIAR",IF(F4754="NEW",IF(ISNA(VLOOKUP(E4754,#REF!,1,FALSE())),"?TYPE_IDENTIFIABLE","?REFERENTIAL"),"_")))))</f>
        <v> </v>
      </c>
      <c r="H4754" s="24" t="str">
        <f>IF(J4754&lt;&gt;1,"",IF(I4754="SBJ","CB","?"))</f>
        <v> </v>
      </c>
      <c r="I4754" s="25" t="str">
        <f>IF(OR(E4754="",E4754="!!!",F4754="NEW"),"",INDEX(B4753:B$2,-1+SUMPRODUCT(MAX(ROW(E4753:E$2)*(E4754=E4753:E$2)))))</f>
        <v> </v>
      </c>
      <c r="J4754" s="25" t="str">
        <f>IF(OR(E4754="",E4754="!!!",F4754="NEW"),"",COUNTBLANK(OFFSET(A$1,,,SUMPRODUCT(MAX(ROW(E$2:E4754)*(E4754=E$2:E4754)))))-COUNTBLANK(OFFSET(A$1,,,SUMPRODUCT(MAX(ROW(E$1:E4753)*(E2=E$1:E4753))))))</f>
        <v> </v>
      </c>
      <c r="K4754" s="25" t="str">
        <f>IF(OR(E4754="",E4754="!!!",F4754="NEW"),"",INDEX(J$1:J4753,SUMPRODUCT(MAX(ROW(E$1:E4753)*(E4754=E$1:E4753)))))</f>
        <v> </v>
      </c>
      <c r="L4754" s="26"/>
    </row>
    <row r="4755" spans="1:12">
      <c r="A4755" s="20" t="s">
        <v>1108</v>
      </c>
      <c r="B4755" s="27" t="s">
        <v>1109</v>
      </c>
      <c r="C4755" s="27" t="s">
        <v>1110</v>
      </c>
      <c r="D4755" s="27" t="s">
        <v>1069</v>
      </c>
      <c r="E4755" s="21">
        <f>IF(D4755="?OLD","!!!","")</f>
        <v/>
      </c>
      <c r="F4755" s="22" t="str">
        <f>IF(OR(E4755="",E4755="!!!"),"",IF(NOT(ISNA(VLOOKUP(E4755,E$1:E4754,1,FALSE()))),"OLD",IF(AND(E4755&lt;&gt;"",E4755&lt;&gt;"!!!"),"NEW","")))</f>
        <v> </v>
      </c>
      <c r="G4755" s="23" t="str">
        <f>IF(OR(E4755="",E4755="!!!"),"",IF(OR(J4755=0,AND(J4755=1,K4755=1),AND(J4755=1,I4755="SBJ"),AND(J4755=1,I4755=0)),"?IN_FOCUS",IF(J4755&lt;=2,"?ACTIVATED",IF(J4755&lt;&gt;"","?FAMILIAR",IF(F4755="NEW",IF(ISNA(VLOOKUP(E4755,#REF!,1,FALSE())),"?TYPE_IDENTIFIABLE","?REFERENTIAL"),"_")))))</f>
        <v> </v>
      </c>
      <c r="H4755" s="24" t="str">
        <f>IF(J4755&lt;&gt;1,"",IF(I4755="SBJ","CB","?"))</f>
        <v> </v>
      </c>
      <c r="I4755" s="25" t="str">
        <f>IF(OR(E4755="",E4755="!!!",F4755="NEW"),"",INDEX(B4754:B$2,-1+SUMPRODUCT(MAX(ROW(E4754:E$2)*(E4755=E4754:E$2)))))</f>
        <v> </v>
      </c>
      <c r="J4755" s="25" t="str">
        <f>IF(OR(E4755="",E4755="!!!",F4755="NEW"),"",COUNTBLANK(OFFSET(A$1,,,SUMPRODUCT(MAX(ROW(E$2:E4755)*(E4755=E$2:E4755)))))-COUNTBLANK(OFFSET(A$1,,,SUMPRODUCT(MAX(ROW(E$1:E4754)*(E2=E$1:E4754))))))</f>
        <v> </v>
      </c>
      <c r="K4755" s="25" t="str">
        <f>IF(OR(E4755="",E4755="!!!",F4755="NEW"),"",INDEX(J$1:J4754,SUMPRODUCT(MAX(ROW(E$1:E4754)*(E4755=E$1:E4754)))))</f>
        <v> </v>
      </c>
      <c r="L4755" s="26"/>
    </row>
    <row r="4756" spans="1:12">
      <c r="A4756" s="20" t="s">
        <v>2456</v>
      </c>
      <c r="E4756" s="21">
        <f>IF(D4756="?OLD","!!!","")</f>
        <v/>
      </c>
      <c r="F4756" s="22" t="str">
        <f>IF(OR(E4756="",E4756="!!!"),"",IF(NOT(ISNA(VLOOKUP(E4756,E$1:E4755,1,FALSE()))),"OLD",IF(AND(E4756&lt;&gt;"",E4756&lt;&gt;"!!!"),"NEW","")))</f>
        <v> </v>
      </c>
      <c r="G4756" s="23" t="str">
        <f>IF(OR(E4756="",E4756="!!!"),"",IF(OR(J4756=0,AND(J4756=1,K4756=1),AND(J4756=1,I4756="SBJ"),AND(J4756=1,I4756=0)),"?IN_FOCUS",IF(J4756&lt;=2,"?ACTIVATED",IF(J4756&lt;&gt;"","?FAMILIAR",IF(F4756="NEW",IF(ISNA(VLOOKUP(E4756,#REF!,1,FALSE())),"?TYPE_IDENTIFIABLE","?REFERENTIAL"),"_")))))</f>
        <v> </v>
      </c>
      <c r="H4756" s="24" t="str">
        <f>IF(J4756&lt;&gt;1,"",IF(I4756="SBJ","CB","?"))</f>
        <v> </v>
      </c>
      <c r="I4756" s="25" t="str">
        <f>IF(OR(E4756="",E4756="!!!",F4756="NEW"),"",INDEX(B4755:B$2,-1+SUMPRODUCT(MAX(ROW(E4755:E$2)*(E4756=E4755:E$2)))))</f>
        <v> </v>
      </c>
      <c r="J4756" s="25" t="str">
        <f>IF(OR(E4756="",E4756="!!!",F4756="NEW"),"",COUNTBLANK(OFFSET(A$1,,,SUMPRODUCT(MAX(ROW(E$2:E4756)*(E4756=E$2:E4756)))))-COUNTBLANK(OFFSET(A$1,,,SUMPRODUCT(MAX(ROW(E$1:E4755)*(E2=E$1:E4755))))))</f>
        <v> </v>
      </c>
      <c r="K4756" s="25" t="str">
        <f>IF(OR(E4756="",E4756="!!!",F4756="NEW"),"",INDEX(J$1:J4755,SUMPRODUCT(MAX(ROW(E$1:E4755)*(E4756=E$1:E4755)))))</f>
        <v> </v>
      </c>
      <c r="L4756" s="26"/>
    </row>
    <row r="4757" spans="1:12">
      <c r="A4757" s="20" t="s">
        <v>1080</v>
      </c>
      <c r="E4757" s="21">
        <f>IF(D4757="?OLD","!!!","")</f>
        <v/>
      </c>
      <c r="F4757" s="22" t="str">
        <f>IF(OR(E4757="",E4757="!!!"),"",IF(NOT(ISNA(VLOOKUP(E4757,E$1:E4756,1,FALSE()))),"OLD",IF(AND(E4757&lt;&gt;"",E4757&lt;&gt;"!!!"),"NEW","")))</f>
        <v> </v>
      </c>
      <c r="G4757" s="23" t="str">
        <f>IF(OR(E4757="",E4757="!!!"),"",IF(OR(J4757=0,AND(J4757=1,K4757=1),AND(J4757=1,I4757="SBJ"),AND(J4757=1,I4757=0)),"?IN_FOCUS",IF(J4757&lt;=2,"?ACTIVATED",IF(J4757&lt;&gt;"","?FAMILIAR",IF(F4757="NEW",IF(ISNA(VLOOKUP(E4757,#REF!,1,FALSE())),"?TYPE_IDENTIFIABLE","?REFERENTIAL"),"_")))))</f>
        <v> </v>
      </c>
      <c r="H4757" s="24" t="str">
        <f>IF(J4757&lt;&gt;1,"",IF(I4757="SBJ","CB","?"))</f>
        <v> </v>
      </c>
      <c r="I4757" s="25" t="str">
        <f>IF(OR(E4757="",E4757="!!!",F4757="NEW"),"",INDEX(B4756:B$2,-1+SUMPRODUCT(MAX(ROW(E4756:E$2)*(E4757=E4756:E$2)))))</f>
        <v> </v>
      </c>
      <c r="J4757" s="25" t="str">
        <f>IF(OR(E4757="",E4757="!!!",F4757="NEW"),"",COUNTBLANK(OFFSET(A$1,,,SUMPRODUCT(MAX(ROW(E$2:E4757)*(E4757=E$2:E4757)))))-COUNTBLANK(OFFSET(A$1,,,SUMPRODUCT(MAX(ROW(E$1:E4756)*(E2=E$1:E4756))))))</f>
        <v> </v>
      </c>
      <c r="K4757" s="25" t="str">
        <f>IF(OR(E4757="",E4757="!!!",F4757="NEW"),"",INDEX(J$1:J4756,SUMPRODUCT(MAX(ROW(E$1:E4756)*(E4757=E$1:E4756)))))</f>
        <v> </v>
      </c>
      <c r="L4757" s="26"/>
    </row>
    <row r="4758" spans="1:12">
      <c r="A4758" s="20"/>
    </row>
    <row r="4759" spans="1:12">
      <c r="A4759" s="20" t="s">
        <v>2457</v>
      </c>
    </row>
    <row r="4760" spans="1:12">
      <c r="A4760" s="20" t="s">
        <v>2258</v>
      </c>
      <c r="E4760" s="21">
        <f>IF(D4760="?OLD","!!!","")</f>
        <v/>
      </c>
      <c r="F4760" s="22" t="str">
        <f>IF(OR(E4760="",E4760="!!!"),"",IF(NOT(ISNA(VLOOKUP(E4760,E$1:E4759,1,FALSE()))),"OLD",IF(AND(E4760&lt;&gt;"",E4760&lt;&gt;"!!!"),"NEW","")))</f>
        <v> </v>
      </c>
      <c r="G4760" s="23" t="str">
        <f>IF(OR(E4760="",E4760="!!!"),"",IF(OR(J4760=0,AND(J4760=1,K4760=1),AND(J4760=1,I4760="SBJ"),AND(J4760=1,I4760=0)),"?IN_FOCUS",IF(J4760&lt;=2,"?ACTIVATED",IF(J4760&lt;&gt;"","?FAMILIAR",IF(F4760="NEW",IF(ISNA(VLOOKUP(E4760,#REF!,1,FALSE())),"?TYPE_IDENTIFIABLE","?REFERENTIAL"),"_")))))</f>
        <v> </v>
      </c>
      <c r="H4760" s="24" t="str">
        <f>IF(J4760&lt;&gt;1,"",IF(I4760="SBJ","CB","?"))</f>
        <v> </v>
      </c>
      <c r="I4760" s="25" t="str">
        <f>IF(OR(E4760="",E4760="!!!",F4760="NEW"),"",INDEX(B4759:B$2,-1+SUMPRODUCT(MAX(ROW(E4759:E$2)*(E4760=E4759:E$2)))))</f>
        <v> </v>
      </c>
      <c r="J4760" s="25" t="str">
        <f>IF(OR(E4760="",E4760="!!!",F4760="NEW"),"",COUNTBLANK(OFFSET(A$1,,,SUMPRODUCT(MAX(ROW(E$2:E4760)*(E4760=E$2:E4760)))))-COUNTBLANK(OFFSET(A$1,,,SUMPRODUCT(MAX(ROW(E$1:E4759)*(E2=E$1:E4759))))))</f>
        <v> </v>
      </c>
      <c r="K4760" s="25" t="str">
        <f>IF(OR(E4760="",E4760="!!!",F4760="NEW"),"",INDEX(J$1:J4759,SUMPRODUCT(MAX(ROW(E$1:E4759)*(E4760=E$1:E4759)))))</f>
        <v> </v>
      </c>
      <c r="L4760" s="26"/>
    </row>
    <row r="4761" spans="1:12">
      <c r="A4761" s="20" t="s">
        <v>1317</v>
      </c>
      <c r="E4761" s="21">
        <f>IF(D4761="?OLD","!!!","")</f>
        <v/>
      </c>
      <c r="F4761" s="22" t="str">
        <f>IF(OR(E4761="",E4761="!!!"),"",IF(NOT(ISNA(VLOOKUP(E4761,E$1:E4760,1,FALSE()))),"OLD",IF(AND(E4761&lt;&gt;"",E4761&lt;&gt;"!!!"),"NEW","")))</f>
        <v> </v>
      </c>
      <c r="G4761" s="23" t="str">
        <f>IF(OR(E4761="",E4761="!!!"),"",IF(OR(J4761=0,AND(J4761=1,K4761=1),AND(J4761=1,I4761="SBJ"),AND(J4761=1,I4761=0)),"?IN_FOCUS",IF(J4761&lt;=2,"?ACTIVATED",IF(J4761&lt;&gt;"","?FAMILIAR",IF(F4761="NEW",IF(ISNA(VLOOKUP(E4761,#REF!,1,FALSE())),"?TYPE_IDENTIFIABLE","?REFERENTIAL"),"_")))))</f>
        <v> </v>
      </c>
      <c r="H4761" s="24" t="str">
        <f>IF(J4761&lt;&gt;1,"",IF(I4761="SBJ","CB","?"))</f>
        <v> </v>
      </c>
      <c r="I4761" s="25" t="str">
        <f>IF(OR(E4761="",E4761="!!!",F4761="NEW"),"",INDEX(B4760:B$2,-1+SUMPRODUCT(MAX(ROW(E4760:E$2)*(E4761=E4760:E$2)))))</f>
        <v> </v>
      </c>
      <c r="J4761" s="25" t="str">
        <f>IF(OR(E4761="",E4761="!!!",F4761="NEW"),"",COUNTBLANK(OFFSET(A$1,,,SUMPRODUCT(MAX(ROW(E$2:E4761)*(E4761=E$2:E4761)))))-COUNTBLANK(OFFSET(A$1,,,SUMPRODUCT(MAX(ROW(E$1:E4760)*(E2=E$1:E4760))))))</f>
        <v> </v>
      </c>
      <c r="K4761" s="25" t="str">
        <f>IF(OR(E4761="",E4761="!!!",F4761="NEW"),"",INDEX(J$1:J4760,SUMPRODUCT(MAX(ROW(E$1:E4760)*(E4761=E$1:E4760)))))</f>
        <v> </v>
      </c>
      <c r="L4761" s="26"/>
    </row>
    <row r="4762" spans="1:12">
      <c r="A4762" s="20" t="s">
        <v>2458</v>
      </c>
      <c r="B4762" s="27" t="s">
        <v>1074</v>
      </c>
      <c r="C4762" s="27" t="s">
        <v>1077</v>
      </c>
      <c r="E4762" s="21">
        <f>IF(D4762="?OLD","!!!","")</f>
        <v/>
      </c>
      <c r="F4762" s="22" t="str">
        <f>IF(OR(E4762="",E4762="!!!"),"",IF(NOT(ISNA(VLOOKUP(E4762,E$1:E4761,1,FALSE()))),"OLD",IF(AND(E4762&lt;&gt;"",E4762&lt;&gt;"!!!"),"NEW","")))</f>
        <v> </v>
      </c>
      <c r="G4762" s="23" t="str">
        <f>IF(OR(E4762="",E4762="!!!"),"",IF(OR(J4762=0,AND(J4762=1,K4762=1),AND(J4762=1,I4762="SBJ"),AND(J4762=1,I4762=0)),"?IN_FOCUS",IF(J4762&lt;=2,"?ACTIVATED",IF(J4762&lt;&gt;"","?FAMILIAR",IF(F4762="NEW",IF(ISNA(VLOOKUP(E4762,#REF!,1,FALSE())),"?TYPE_IDENTIFIABLE","?REFERENTIAL"),"_")))))</f>
        <v> </v>
      </c>
      <c r="H4762" s="24" t="str">
        <f>IF(J4762&lt;&gt;1,"",IF(I4762="SBJ","CB","?"))</f>
        <v> </v>
      </c>
      <c r="I4762" s="25" t="str">
        <f>IF(OR(E4762="",E4762="!!!",F4762="NEW"),"",INDEX(B4761:B$2,-1+SUMPRODUCT(MAX(ROW(E4761:E$2)*(E4762=E4761:E$2)))))</f>
        <v> </v>
      </c>
      <c r="J4762" s="25" t="str">
        <f>IF(OR(E4762="",E4762="!!!",F4762="NEW"),"",COUNTBLANK(OFFSET(A$1,,,SUMPRODUCT(MAX(ROW(E$2:E4762)*(E4762=E$2:E4762)))))-COUNTBLANK(OFFSET(A$1,,,SUMPRODUCT(MAX(ROW(E$1:E4761)*(E2=E$1:E4761))))))</f>
        <v> </v>
      </c>
      <c r="K4762" s="25" t="str">
        <f>IF(OR(E4762="",E4762="!!!",F4762="NEW"),"",INDEX(J$1:J4761,SUMPRODUCT(MAX(ROW(E$1:E4761)*(E4762=E$1:E4761)))))</f>
        <v> </v>
      </c>
      <c r="L4762" s="26"/>
    </row>
    <row r="4763" spans="1:12">
      <c r="A4763" s="20" t="s">
        <v>1317</v>
      </c>
      <c r="E4763" s="21">
        <f>IF(D4763="?OLD","!!!","")</f>
        <v/>
      </c>
      <c r="F4763" s="22" t="str">
        <f>IF(OR(E4763="",E4763="!!!"),"",IF(NOT(ISNA(VLOOKUP(E4763,E$1:E4762,1,FALSE()))),"OLD",IF(AND(E4763&lt;&gt;"",E4763&lt;&gt;"!!!"),"NEW","")))</f>
        <v> </v>
      </c>
      <c r="G4763" s="23" t="str">
        <f>IF(OR(E4763="",E4763="!!!"),"",IF(OR(J4763=0,AND(J4763=1,K4763=1),AND(J4763=1,I4763="SBJ"),AND(J4763=1,I4763=0)),"?IN_FOCUS",IF(J4763&lt;=2,"?ACTIVATED",IF(J4763&lt;&gt;"","?FAMILIAR",IF(F4763="NEW",IF(ISNA(VLOOKUP(E4763,#REF!,1,FALSE())),"?TYPE_IDENTIFIABLE","?REFERENTIAL"),"_")))))</f>
        <v> </v>
      </c>
      <c r="H4763" s="24" t="str">
        <f>IF(J4763&lt;&gt;1,"",IF(I4763="SBJ","CB","?"))</f>
        <v> </v>
      </c>
      <c r="I4763" s="25" t="str">
        <f>IF(OR(E4763="",E4763="!!!",F4763="NEW"),"",INDEX(B4762:B$2,-1+SUMPRODUCT(MAX(ROW(E4762:E$2)*(E4763=E4762:E$2)))))</f>
        <v> </v>
      </c>
      <c r="J4763" s="25" t="str">
        <f>IF(OR(E4763="",E4763="!!!",F4763="NEW"),"",COUNTBLANK(OFFSET(A$1,,,SUMPRODUCT(MAX(ROW(E$2:E4763)*(E4763=E$2:E4763)))))-COUNTBLANK(OFFSET(A$1,,,SUMPRODUCT(MAX(ROW(E$1:E4762)*(E2=E$1:E4762))))))</f>
        <v> </v>
      </c>
      <c r="K4763" s="25" t="str">
        <f>IF(OR(E4763="",E4763="!!!",F4763="NEW"),"",INDEX(J$1:J4762,SUMPRODUCT(MAX(ROW(E$1:E4762)*(E4763=E$1:E4762)))))</f>
        <v> </v>
      </c>
      <c r="L4763" s="26"/>
    </row>
    <row r="4764" spans="1:12">
      <c r="A4764" s="20" t="s">
        <v>2459</v>
      </c>
      <c r="E4764" s="21">
        <f>IF(D4764="?OLD","!!!","")</f>
        <v/>
      </c>
      <c r="F4764" s="22" t="str">
        <f>IF(OR(E4764="",E4764="!!!"),"",IF(NOT(ISNA(VLOOKUP(E4764,E$1:E4763,1,FALSE()))),"OLD",IF(AND(E4764&lt;&gt;"",E4764&lt;&gt;"!!!"),"NEW","")))</f>
        <v> </v>
      </c>
      <c r="G4764" s="23" t="str">
        <f>IF(OR(E4764="",E4764="!!!"),"",IF(OR(J4764=0,AND(J4764=1,K4764=1),AND(J4764=1,I4764="SBJ"),AND(J4764=1,I4764=0)),"?IN_FOCUS",IF(J4764&lt;=2,"?ACTIVATED",IF(J4764&lt;&gt;"","?FAMILIAR",IF(F4764="NEW",IF(ISNA(VLOOKUP(E4764,#REF!,1,FALSE())),"?TYPE_IDENTIFIABLE","?REFERENTIAL"),"_")))))</f>
        <v> </v>
      </c>
      <c r="H4764" s="24" t="str">
        <f>IF(J4764&lt;&gt;1,"",IF(I4764="SBJ","CB","?"))</f>
        <v> </v>
      </c>
      <c r="I4764" s="25" t="str">
        <f>IF(OR(E4764="",E4764="!!!",F4764="NEW"),"",INDEX(B4763:B$2,-1+SUMPRODUCT(MAX(ROW(E4763:E$2)*(E4764=E4763:E$2)))))</f>
        <v> </v>
      </c>
      <c r="J4764" s="25" t="str">
        <f>IF(OR(E4764="",E4764="!!!",F4764="NEW"),"",COUNTBLANK(OFFSET(A$1,,,SUMPRODUCT(MAX(ROW(E$2:E4764)*(E4764=E$2:E4764)))))-COUNTBLANK(OFFSET(A$1,,,SUMPRODUCT(MAX(ROW(E$1:E4763)*(E2=E$1:E4763))))))</f>
        <v> </v>
      </c>
      <c r="K4764" s="25" t="str">
        <f>IF(OR(E4764="",E4764="!!!",F4764="NEW"),"",INDEX(J$1:J4763,SUMPRODUCT(MAX(ROW(E$1:E4763)*(E4764=E$1:E4763)))))</f>
        <v> </v>
      </c>
      <c r="L4764" s="26"/>
    </row>
    <row r="4765" spans="1:12">
      <c r="A4765" s="20"/>
    </row>
    <row r="4766" spans="1:12">
      <c r="A4766" s="20" t="s">
        <v>2460</v>
      </c>
    </row>
    <row r="4767" spans="1:12">
      <c r="A4767" s="20" t="s">
        <v>1197</v>
      </c>
      <c r="B4767" s="27" t="s">
        <v>1067</v>
      </c>
      <c r="C4767" s="27" t="s">
        <v>1068</v>
      </c>
      <c r="D4767" s="27" t="s">
        <v>1069</v>
      </c>
      <c r="E4767" s="21">
        <f>IF(D4767="?OLD","!!!","")</f>
        <v/>
      </c>
      <c r="F4767" s="22" t="str">
        <f>IF(OR(E4767="",E4767="!!!"),"",IF(NOT(ISNA(VLOOKUP(E4767,E$1:E4766,1,FALSE()))),"OLD",IF(AND(E4767&lt;&gt;"",E4767&lt;&gt;"!!!"),"NEW","")))</f>
        <v> </v>
      </c>
      <c r="G4767" s="23" t="str">
        <f>IF(OR(E4767="",E4767="!!!"),"",IF(OR(J4767=0,AND(J4767=1,K4767=1),AND(J4767=1,I4767="SBJ"),AND(J4767=1,I4767=0)),"?IN_FOCUS",IF(J4767&lt;=2,"?ACTIVATED",IF(J4767&lt;&gt;"","?FAMILIAR",IF(F4767="NEW",IF(ISNA(VLOOKUP(E4767,#REF!,1,FALSE())),"?TYPE_IDENTIFIABLE","?REFERENTIAL"),"_")))))</f>
        <v> </v>
      </c>
      <c r="H4767" s="24" t="str">
        <f>IF(J4767&lt;&gt;1,"",IF(I4767="SBJ","CB","?"))</f>
        <v> </v>
      </c>
      <c r="I4767" s="25" t="str">
        <f>IF(OR(E4767="",E4767="!!!",F4767="NEW"),"",INDEX(B4766:B$2,-1+SUMPRODUCT(MAX(ROW(E4766:E$2)*(E4767=E4766:E$2)))))</f>
        <v> </v>
      </c>
      <c r="J4767" s="25" t="str">
        <f>IF(OR(E4767="",E4767="!!!",F4767="NEW"),"",COUNTBLANK(OFFSET(A$1,,,SUMPRODUCT(MAX(ROW(E$2:E4767)*(E4767=E$2:E4767)))))-COUNTBLANK(OFFSET(A$1,,,SUMPRODUCT(MAX(ROW(E$1:E4766)*(E2=E$1:E4766))))))</f>
        <v> </v>
      </c>
      <c r="K4767" s="25" t="str">
        <f>IF(OR(E4767="",E4767="!!!",F4767="NEW"),"",INDEX(J$1:J4766,SUMPRODUCT(MAX(ROW(E$1:E4766)*(E4767=E$1:E4766)))))</f>
        <v> </v>
      </c>
      <c r="L4767" s="26"/>
    </row>
    <row r="4768" spans="1:12">
      <c r="A4768" s="20" t="s">
        <v>141</v>
      </c>
      <c r="E4768" s="21">
        <f>IF(D4768="?OLD","!!!","")</f>
        <v/>
      </c>
      <c r="F4768" s="22" t="str">
        <f>IF(OR(E4768="",E4768="!!!"),"",IF(NOT(ISNA(VLOOKUP(E4768,E$1:E4767,1,FALSE()))),"OLD",IF(AND(E4768&lt;&gt;"",E4768&lt;&gt;"!!!"),"NEW","")))</f>
        <v> </v>
      </c>
      <c r="G4768" s="23" t="str">
        <f>IF(OR(E4768="",E4768="!!!"),"",IF(OR(J4768=0,AND(J4768=1,K4768=1),AND(J4768=1,I4768="SBJ"),AND(J4768=1,I4768=0)),"?IN_FOCUS",IF(J4768&lt;=2,"?ACTIVATED",IF(J4768&lt;&gt;"","?FAMILIAR",IF(F4768="NEW",IF(ISNA(VLOOKUP(E4768,#REF!,1,FALSE())),"?TYPE_IDENTIFIABLE","?REFERENTIAL"),"_")))))</f>
        <v> </v>
      </c>
      <c r="H4768" s="24" t="str">
        <f>IF(J4768&lt;&gt;1,"",IF(I4768="SBJ","CB","?"))</f>
        <v> </v>
      </c>
      <c r="I4768" s="25" t="str">
        <f>IF(OR(E4768="",E4768="!!!",F4768="NEW"),"",INDEX(B4767:B$2,-1+SUMPRODUCT(MAX(ROW(E4767:E$2)*(E4768=E4767:E$2)))))</f>
        <v> </v>
      </c>
      <c r="J4768" s="25" t="str">
        <f>IF(OR(E4768="",E4768="!!!",F4768="NEW"),"",COUNTBLANK(OFFSET(A$1,,,SUMPRODUCT(MAX(ROW(E$2:E4768)*(E4768=E$2:E4768)))))-COUNTBLANK(OFFSET(A$1,,,SUMPRODUCT(MAX(ROW(E$1:E4767)*(E2=E$1:E4767))))))</f>
        <v> </v>
      </c>
      <c r="K4768" s="25" t="str">
        <f>IF(OR(E4768="",E4768="!!!",F4768="NEW"),"",INDEX(J$1:J4767,SUMPRODUCT(MAX(ROW(E$1:E4767)*(E4768=E$1:E4767)))))</f>
        <v> </v>
      </c>
      <c r="L4768" s="26"/>
    </row>
    <row r="4769" spans="1:12">
      <c r="A4769" s="20" t="s">
        <v>1161</v>
      </c>
      <c r="E4769" s="21">
        <f>IF(D4769="?OLD","!!!","")</f>
        <v/>
      </c>
      <c r="F4769" s="22" t="str">
        <f>IF(OR(E4769="",E4769="!!!"),"",IF(NOT(ISNA(VLOOKUP(E4769,E$1:E4768,1,FALSE()))),"OLD",IF(AND(E4769&lt;&gt;"",E4769&lt;&gt;"!!!"),"NEW","")))</f>
        <v> </v>
      </c>
      <c r="G4769" s="23" t="str">
        <f>IF(OR(E4769="",E4769="!!!"),"",IF(OR(J4769=0,AND(J4769=1,K4769=1),AND(J4769=1,I4769="SBJ"),AND(J4769=1,I4769=0)),"?IN_FOCUS",IF(J4769&lt;=2,"?ACTIVATED",IF(J4769&lt;&gt;"","?FAMILIAR",IF(F4769="NEW",IF(ISNA(VLOOKUP(E4769,#REF!,1,FALSE())),"?TYPE_IDENTIFIABLE","?REFERENTIAL"),"_")))))</f>
        <v> </v>
      </c>
      <c r="H4769" s="24" t="str">
        <f>IF(J4769&lt;&gt;1,"",IF(I4769="SBJ","CB","?"))</f>
        <v> </v>
      </c>
      <c r="I4769" s="25" t="str">
        <f>IF(OR(E4769="",E4769="!!!",F4769="NEW"),"",INDEX(B4768:B$2,-1+SUMPRODUCT(MAX(ROW(E4768:E$2)*(E4769=E4768:E$2)))))</f>
        <v> </v>
      </c>
      <c r="J4769" s="25" t="str">
        <f>IF(OR(E4769="",E4769="!!!",F4769="NEW"),"",COUNTBLANK(OFFSET(A$1,,,SUMPRODUCT(MAX(ROW(E$2:E4769)*(E4769=E$2:E4769)))))-COUNTBLANK(OFFSET(A$1,,,SUMPRODUCT(MAX(ROW(E$1:E4768)*(E2=E$1:E4768))))))</f>
        <v> </v>
      </c>
      <c r="K4769" s="25" t="str">
        <f>IF(OR(E4769="",E4769="!!!",F4769="NEW"),"",INDEX(J$1:J4768,SUMPRODUCT(MAX(ROW(E$1:E4768)*(E4769=E$1:E4768)))))</f>
        <v> </v>
      </c>
      <c r="L4769" s="26"/>
    </row>
    <row r="4770" spans="1:12">
      <c r="A4770" s="20" t="s">
        <v>2461</v>
      </c>
      <c r="E4770" s="21">
        <f>IF(D4770="?OLD","!!!","")</f>
        <v/>
      </c>
      <c r="F4770" s="22" t="str">
        <f>IF(OR(E4770="",E4770="!!!"),"",IF(NOT(ISNA(VLOOKUP(E4770,E$1:E4769,1,FALSE()))),"OLD",IF(AND(E4770&lt;&gt;"",E4770&lt;&gt;"!!!"),"NEW","")))</f>
        <v> </v>
      </c>
      <c r="G4770" s="23" t="str">
        <f>IF(OR(E4770="",E4770="!!!"),"",IF(OR(J4770=0,AND(J4770=1,K4770=1),AND(J4770=1,I4770="SBJ"),AND(J4770=1,I4770=0)),"?IN_FOCUS",IF(J4770&lt;=2,"?ACTIVATED",IF(J4770&lt;&gt;"","?FAMILIAR",IF(F4770="NEW",IF(ISNA(VLOOKUP(E4770,#REF!,1,FALSE())),"?TYPE_IDENTIFIABLE","?REFERENTIAL"),"_")))))</f>
        <v> </v>
      </c>
      <c r="H4770" s="24" t="str">
        <f>IF(J4770&lt;&gt;1,"",IF(I4770="SBJ","CB","?"))</f>
        <v> </v>
      </c>
      <c r="I4770" s="25" t="str">
        <f>IF(OR(E4770="",E4770="!!!",F4770="NEW"),"",INDEX(B4769:B$2,-1+SUMPRODUCT(MAX(ROW(E4769:E$2)*(E4770=E4769:E$2)))))</f>
        <v> </v>
      </c>
      <c r="J4770" s="25" t="str">
        <f>IF(OR(E4770="",E4770="!!!",F4770="NEW"),"",COUNTBLANK(OFFSET(A$1,,,SUMPRODUCT(MAX(ROW(E$2:E4770)*(E4770=E$2:E4770)))))-COUNTBLANK(OFFSET(A$1,,,SUMPRODUCT(MAX(ROW(E$1:E4769)*(E2=E$1:E4769))))))</f>
        <v> </v>
      </c>
      <c r="K4770" s="25" t="str">
        <f>IF(OR(E4770="",E4770="!!!",F4770="NEW"),"",INDEX(J$1:J4769,SUMPRODUCT(MAX(ROW(E$1:E4769)*(E4770=E$1:E4769)))))</f>
        <v> </v>
      </c>
      <c r="L4770" s="26"/>
    </row>
    <row r="4771" spans="1:12">
      <c r="A4771" s="20" t="s">
        <v>2462</v>
      </c>
      <c r="B4771" s="27" t="s">
        <v>1074</v>
      </c>
      <c r="C4771" s="27" t="s">
        <v>1120</v>
      </c>
      <c r="E4771" s="21">
        <f>IF(D4771="?OLD","!!!","")</f>
        <v/>
      </c>
      <c r="F4771" s="22" t="str">
        <f>IF(OR(E4771="",E4771="!!!"),"",IF(NOT(ISNA(VLOOKUP(E4771,E$1:E4770,1,FALSE()))),"OLD",IF(AND(E4771&lt;&gt;"",E4771&lt;&gt;"!!!"),"NEW","")))</f>
        <v> </v>
      </c>
      <c r="G4771" s="23" t="str">
        <f>IF(OR(E4771="",E4771="!!!"),"",IF(OR(J4771=0,AND(J4771=1,K4771=1),AND(J4771=1,I4771="SBJ"),AND(J4771=1,I4771=0)),"?IN_FOCUS",IF(J4771&lt;=2,"?ACTIVATED",IF(J4771&lt;&gt;"","?FAMILIAR",IF(F4771="NEW",IF(ISNA(VLOOKUP(E4771,#REF!,1,FALSE())),"?TYPE_IDENTIFIABLE","?REFERENTIAL"),"_")))))</f>
        <v> </v>
      </c>
      <c r="H4771" s="24" t="str">
        <f>IF(J4771&lt;&gt;1,"",IF(I4771="SBJ","CB","?"))</f>
        <v> </v>
      </c>
      <c r="I4771" s="25" t="str">
        <f>IF(OR(E4771="",E4771="!!!",F4771="NEW"),"",INDEX(B4770:B$2,-1+SUMPRODUCT(MAX(ROW(E4770:E$2)*(E4771=E4770:E$2)))))</f>
        <v> </v>
      </c>
      <c r="J4771" s="25" t="str">
        <f>IF(OR(E4771="",E4771="!!!",F4771="NEW"),"",COUNTBLANK(OFFSET(A$1,,,SUMPRODUCT(MAX(ROW(E$2:E4771)*(E4771=E$2:E4771)))))-COUNTBLANK(OFFSET(A$1,,,SUMPRODUCT(MAX(ROW(E$1:E4770)*(E2=E$1:E4770))))))</f>
        <v> </v>
      </c>
      <c r="K4771" s="25" t="str">
        <f>IF(OR(E4771="",E4771="!!!",F4771="NEW"),"",INDEX(J$1:J4770,SUMPRODUCT(MAX(ROW(E$1:E4770)*(E4771=E$1:E4770)))))</f>
        <v> </v>
      </c>
      <c r="L4771" s="26"/>
    </row>
    <row r="4772" spans="1:12">
      <c r="A4772" s="20" t="s">
        <v>1127</v>
      </c>
      <c r="E4772" s="21">
        <f>IF(D4772="?OLD","!!!","")</f>
        <v/>
      </c>
      <c r="F4772" s="22" t="str">
        <f>IF(OR(E4772="",E4772="!!!"),"",IF(NOT(ISNA(VLOOKUP(E4772,E$1:E4771,1,FALSE()))),"OLD",IF(AND(E4772&lt;&gt;"",E4772&lt;&gt;"!!!"),"NEW","")))</f>
        <v> </v>
      </c>
      <c r="G4772" s="23" t="str">
        <f>IF(OR(E4772="",E4772="!!!"),"",IF(OR(J4772=0,AND(J4772=1,K4772=1),AND(J4772=1,I4772="SBJ"),AND(J4772=1,I4772=0)),"?IN_FOCUS",IF(J4772&lt;=2,"?ACTIVATED",IF(J4772&lt;&gt;"","?FAMILIAR",IF(F4772="NEW",IF(ISNA(VLOOKUP(E4772,#REF!,1,FALSE())),"?TYPE_IDENTIFIABLE","?REFERENTIAL"),"_")))))</f>
        <v> </v>
      </c>
      <c r="H4772" s="24" t="str">
        <f>IF(J4772&lt;&gt;1,"",IF(I4772="SBJ","CB","?"))</f>
        <v> </v>
      </c>
      <c r="I4772" s="25" t="str">
        <f>IF(OR(E4772="",E4772="!!!",F4772="NEW"),"",INDEX(B4771:B$2,-1+SUMPRODUCT(MAX(ROW(E4771:E$2)*(E4772=E4771:E$2)))))</f>
        <v> </v>
      </c>
      <c r="J4772" s="25" t="str">
        <f>IF(OR(E4772="",E4772="!!!",F4772="NEW"),"",COUNTBLANK(OFFSET(A$1,,,SUMPRODUCT(MAX(ROW(E$2:E4772)*(E4772=E$2:E4772)))))-COUNTBLANK(OFFSET(A$1,,,SUMPRODUCT(MAX(ROW(E$1:E4771)*(E2=E$1:E4771))))))</f>
        <v> </v>
      </c>
      <c r="K4772" s="25" t="str">
        <f>IF(OR(E4772="",E4772="!!!",F4772="NEW"),"",INDEX(J$1:J4771,SUMPRODUCT(MAX(ROW(E$1:E4771)*(E4772=E$1:E4771)))))</f>
        <v> </v>
      </c>
      <c r="L4772" s="26"/>
    </row>
    <row r="4773" spans="1:12">
      <c r="A4773" s="20" t="s">
        <v>1104</v>
      </c>
      <c r="E4773" s="21">
        <f>IF(D4773="?OLD","!!!","")</f>
        <v/>
      </c>
      <c r="F4773" s="22" t="str">
        <f>IF(OR(E4773="",E4773="!!!"),"",IF(NOT(ISNA(VLOOKUP(E4773,E$1:E4772,1,FALSE()))),"OLD",IF(AND(E4773&lt;&gt;"",E4773&lt;&gt;"!!!"),"NEW","")))</f>
        <v> </v>
      </c>
      <c r="G4773" s="23" t="str">
        <f>IF(OR(E4773="",E4773="!!!"),"",IF(OR(J4773=0,AND(J4773=1,K4773=1),AND(J4773=1,I4773="SBJ"),AND(J4773=1,I4773=0)),"?IN_FOCUS",IF(J4773&lt;=2,"?ACTIVATED",IF(J4773&lt;&gt;"","?FAMILIAR",IF(F4773="NEW",IF(ISNA(VLOOKUP(E4773,#REF!,1,FALSE())),"?TYPE_IDENTIFIABLE","?REFERENTIAL"),"_")))))</f>
        <v> </v>
      </c>
      <c r="H4773" s="24" t="str">
        <f>IF(J4773&lt;&gt;1,"",IF(I4773="SBJ","CB","?"))</f>
        <v> </v>
      </c>
      <c r="I4773" s="25" t="str">
        <f>IF(OR(E4773="",E4773="!!!",F4773="NEW"),"",INDEX(B4772:B$2,-1+SUMPRODUCT(MAX(ROW(E4772:E$2)*(E4773=E4772:E$2)))))</f>
        <v> </v>
      </c>
      <c r="J4773" s="25" t="str">
        <f>IF(OR(E4773="",E4773="!!!",F4773="NEW"),"",COUNTBLANK(OFFSET(A$1,,,SUMPRODUCT(MAX(ROW(E$2:E4773)*(E4773=E$2:E4773)))))-COUNTBLANK(OFFSET(A$1,,,SUMPRODUCT(MAX(ROW(E$1:E4772)*(E2=E$1:E4772))))))</f>
        <v> </v>
      </c>
      <c r="K4773" s="25" t="str">
        <f>IF(OR(E4773="",E4773="!!!",F4773="NEW"),"",INDEX(J$1:J4772,SUMPRODUCT(MAX(ROW(E$1:E4772)*(E4773=E$1:E4772)))))</f>
        <v> </v>
      </c>
      <c r="L4773" s="26"/>
    </row>
    <row r="4774" spans="1:12">
      <c r="A4774" s="20" t="s">
        <v>1087</v>
      </c>
      <c r="E4774" s="21">
        <f>IF(D4774="?OLD","!!!","")</f>
        <v/>
      </c>
      <c r="F4774" s="22" t="str">
        <f>IF(OR(E4774="",E4774="!!!"),"",IF(NOT(ISNA(VLOOKUP(E4774,E$1:E4773,1,FALSE()))),"OLD",IF(AND(E4774&lt;&gt;"",E4774&lt;&gt;"!!!"),"NEW","")))</f>
        <v> </v>
      </c>
      <c r="G4774" s="23" t="str">
        <f>IF(OR(E4774="",E4774="!!!"),"",IF(OR(J4774=0,AND(J4774=1,K4774=1),AND(J4774=1,I4774="SBJ"),AND(J4774=1,I4774=0)),"?IN_FOCUS",IF(J4774&lt;=2,"?ACTIVATED",IF(J4774&lt;&gt;"","?FAMILIAR",IF(F4774="NEW",IF(ISNA(VLOOKUP(E4774,#REF!,1,FALSE())),"?TYPE_IDENTIFIABLE","?REFERENTIAL"),"_")))))</f>
        <v> </v>
      </c>
      <c r="H4774" s="24" t="str">
        <f>IF(J4774&lt;&gt;1,"",IF(I4774="SBJ","CB","?"))</f>
        <v> </v>
      </c>
      <c r="I4774" s="25" t="str">
        <f>IF(OR(E4774="",E4774="!!!",F4774="NEW"),"",INDEX(B4773:B$2,-1+SUMPRODUCT(MAX(ROW(E4773:E$2)*(E4774=E4773:E$2)))))</f>
        <v> </v>
      </c>
      <c r="J4774" s="25" t="str">
        <f>IF(OR(E4774="",E4774="!!!",F4774="NEW"),"",COUNTBLANK(OFFSET(A$1,,,SUMPRODUCT(MAX(ROW(E$2:E4774)*(E4774=E$2:E4774)))))-COUNTBLANK(OFFSET(A$1,,,SUMPRODUCT(MAX(ROW(E$1:E4773)*(E2=E$1:E4773))))))</f>
        <v> </v>
      </c>
      <c r="K4774" s="25" t="str">
        <f>IF(OR(E4774="",E4774="!!!",F4774="NEW"),"",INDEX(J$1:J4773,SUMPRODUCT(MAX(ROW(E$1:E4773)*(E4774=E$1:E4773)))))</f>
        <v> </v>
      </c>
      <c r="L4774" s="26"/>
    </row>
    <row r="4775" spans="1:12">
      <c r="A4775" s="20" t="s">
        <v>1100</v>
      </c>
      <c r="E4775" s="21">
        <f>IF(D4775="?OLD","!!!","")</f>
        <v/>
      </c>
      <c r="F4775" s="22" t="str">
        <f>IF(OR(E4775="",E4775="!!!"),"",IF(NOT(ISNA(VLOOKUP(E4775,E$1:E4774,1,FALSE()))),"OLD",IF(AND(E4775&lt;&gt;"",E4775&lt;&gt;"!!!"),"NEW","")))</f>
        <v> </v>
      </c>
      <c r="G4775" s="23" t="str">
        <f>IF(OR(E4775="",E4775="!!!"),"",IF(OR(J4775=0,AND(J4775=1,K4775=1),AND(J4775=1,I4775="SBJ"),AND(J4775=1,I4775=0)),"?IN_FOCUS",IF(J4775&lt;=2,"?ACTIVATED",IF(J4775&lt;&gt;"","?FAMILIAR",IF(F4775="NEW",IF(ISNA(VLOOKUP(E4775,#REF!,1,FALSE())),"?TYPE_IDENTIFIABLE","?REFERENTIAL"),"_")))))</f>
        <v> </v>
      </c>
      <c r="H4775" s="24" t="str">
        <f>IF(J4775&lt;&gt;1,"",IF(I4775="SBJ","CB","?"))</f>
        <v> </v>
      </c>
      <c r="I4775" s="25" t="str">
        <f>IF(OR(E4775="",E4775="!!!",F4775="NEW"),"",INDEX(B4774:B$2,-1+SUMPRODUCT(MAX(ROW(E4774:E$2)*(E4775=E4774:E$2)))))</f>
        <v> </v>
      </c>
      <c r="J4775" s="25" t="str">
        <f>IF(OR(E4775="",E4775="!!!",F4775="NEW"),"",COUNTBLANK(OFFSET(A$1,,,SUMPRODUCT(MAX(ROW(E$2:E4775)*(E4775=E$2:E4775)))))-COUNTBLANK(OFFSET(A$1,,,SUMPRODUCT(MAX(ROW(E$1:E4774)*(E2=E$1:E4774))))))</f>
        <v> </v>
      </c>
      <c r="K4775" s="25" t="str">
        <f>IF(OR(E4775="",E4775="!!!",F4775="NEW"),"",INDEX(J$1:J4774,SUMPRODUCT(MAX(ROW(E$1:E4774)*(E4775=E$1:E4774)))))</f>
        <v> </v>
      </c>
      <c r="L4775" s="26"/>
    </row>
    <row r="4776" spans="1:12">
      <c r="A4776" s="20" t="s">
        <v>1197</v>
      </c>
      <c r="B4776" s="27" t="s">
        <v>1133</v>
      </c>
      <c r="C4776" s="27" t="s">
        <v>1068</v>
      </c>
      <c r="D4776" s="27" t="s">
        <v>1069</v>
      </c>
      <c r="E4776" s="21">
        <f>IF(D4776="?OLD","!!!","")</f>
        <v/>
      </c>
      <c r="F4776" s="22" t="str">
        <f>IF(OR(E4776="",E4776="!!!"),"",IF(NOT(ISNA(VLOOKUP(E4776,E$1:E4775,1,FALSE()))),"OLD",IF(AND(E4776&lt;&gt;"",E4776&lt;&gt;"!!!"),"NEW","")))</f>
        <v> </v>
      </c>
      <c r="G4776" s="23" t="str">
        <f>IF(OR(E4776="",E4776="!!!"),"",IF(OR(J4776=0,AND(J4776=1,K4776=1),AND(J4776=1,I4776="SBJ"),AND(J4776=1,I4776=0)),"?IN_FOCUS",IF(J4776&lt;=2,"?ACTIVATED",IF(J4776&lt;&gt;"","?FAMILIAR",IF(F4776="NEW",IF(ISNA(VLOOKUP(E4776,#REF!,1,FALSE())),"?TYPE_IDENTIFIABLE","?REFERENTIAL"),"_")))))</f>
        <v> </v>
      </c>
      <c r="H4776" s="24" t="str">
        <f>IF(J4776&lt;&gt;1,"",IF(I4776="SBJ","CB","?"))</f>
        <v> </v>
      </c>
      <c r="I4776" s="25" t="str">
        <f>IF(OR(E4776="",E4776="!!!",F4776="NEW"),"",INDEX(B4775:B$2,-1+SUMPRODUCT(MAX(ROW(E4775:E$2)*(E4776=E4775:E$2)))))</f>
        <v> </v>
      </c>
      <c r="J4776" s="25" t="str">
        <f>IF(OR(E4776="",E4776="!!!",F4776="NEW"),"",COUNTBLANK(OFFSET(A$1,,,SUMPRODUCT(MAX(ROW(E$2:E4776)*(E4776=E$2:E4776)))))-COUNTBLANK(OFFSET(A$1,,,SUMPRODUCT(MAX(ROW(E$1:E4775)*(E2=E$1:E4775))))))</f>
        <v> </v>
      </c>
      <c r="K4776" s="25" t="str">
        <f>IF(OR(E4776="",E4776="!!!",F4776="NEW"),"",INDEX(J$1:J4775,SUMPRODUCT(MAX(ROW(E$1:E4775)*(E4776=E$1:E4775)))))</f>
        <v> </v>
      </c>
      <c r="L4776" s="26"/>
    </row>
    <row r="4777" spans="1:12">
      <c r="A4777" s="20" t="s">
        <v>1085</v>
      </c>
      <c r="E4777" s="21">
        <f>IF(D4777="?OLD","!!!","")</f>
        <v/>
      </c>
      <c r="F4777" s="22" t="str">
        <f>IF(OR(E4777="",E4777="!!!"),"",IF(NOT(ISNA(VLOOKUP(E4777,E$1:E4776,1,FALSE()))),"OLD",IF(AND(E4777&lt;&gt;"",E4777&lt;&gt;"!!!"),"NEW","")))</f>
        <v> </v>
      </c>
      <c r="G4777" s="23" t="str">
        <f>IF(OR(E4777="",E4777="!!!"),"",IF(OR(J4777=0,AND(J4777=1,K4777=1),AND(J4777=1,I4777="SBJ"),AND(J4777=1,I4777=0)),"?IN_FOCUS",IF(J4777&lt;=2,"?ACTIVATED",IF(J4777&lt;&gt;"","?FAMILIAR",IF(F4777="NEW",IF(ISNA(VLOOKUP(E4777,#REF!,1,FALSE())),"?TYPE_IDENTIFIABLE","?REFERENTIAL"),"_")))))</f>
        <v> </v>
      </c>
      <c r="H4777" s="24" t="str">
        <f>IF(J4777&lt;&gt;1,"",IF(I4777="SBJ","CB","?"))</f>
        <v> </v>
      </c>
      <c r="I4777" s="25" t="str">
        <f>IF(OR(E4777="",E4777="!!!",F4777="NEW"),"",INDEX(B4776:B$2,-1+SUMPRODUCT(MAX(ROW(E4776:E$2)*(E4777=E4776:E$2)))))</f>
        <v> </v>
      </c>
      <c r="J4777" s="25" t="str">
        <f>IF(OR(E4777="",E4777="!!!",F4777="NEW"),"",COUNTBLANK(OFFSET(A$1,,,SUMPRODUCT(MAX(ROW(E$2:E4777)*(E4777=E$2:E4777)))))-COUNTBLANK(OFFSET(A$1,,,SUMPRODUCT(MAX(ROW(E$1:E4776)*(E2=E$1:E4776))))))</f>
        <v> </v>
      </c>
      <c r="K4777" s="25" t="str">
        <f>IF(OR(E4777="",E4777="!!!",F4777="NEW"),"",INDEX(J$1:J4776,SUMPRODUCT(MAX(ROW(E$1:E4776)*(E4777=E$1:E4776)))))</f>
        <v> </v>
      </c>
      <c r="L4777" s="26"/>
    </row>
    <row r="4778" spans="1:12">
      <c r="A4778" s="20" t="s">
        <v>1070</v>
      </c>
      <c r="E4778" s="21">
        <f>IF(D4778="?OLD","!!!","")</f>
        <v/>
      </c>
      <c r="F4778" s="22" t="str">
        <f>IF(OR(E4778="",E4778="!!!"),"",IF(NOT(ISNA(VLOOKUP(E4778,E$1:E4777,1,FALSE()))),"OLD",IF(AND(E4778&lt;&gt;"",E4778&lt;&gt;"!!!"),"NEW","")))</f>
        <v> </v>
      </c>
      <c r="G4778" s="23" t="str">
        <f>IF(OR(E4778="",E4778="!!!"),"",IF(OR(J4778=0,AND(J4778=1,K4778=1),AND(J4778=1,I4778="SBJ"),AND(J4778=1,I4778=0)),"?IN_FOCUS",IF(J4778&lt;=2,"?ACTIVATED",IF(J4778&lt;&gt;"","?FAMILIAR",IF(F4778="NEW",IF(ISNA(VLOOKUP(E4778,#REF!,1,FALSE())),"?TYPE_IDENTIFIABLE","?REFERENTIAL"),"_")))))</f>
        <v> </v>
      </c>
      <c r="H4778" s="24" t="str">
        <f>IF(J4778&lt;&gt;1,"",IF(I4778="SBJ","CB","?"))</f>
        <v> </v>
      </c>
      <c r="I4778" s="25" t="str">
        <f>IF(OR(E4778="",E4778="!!!",F4778="NEW"),"",INDEX(B4777:B$2,-1+SUMPRODUCT(MAX(ROW(E4777:E$2)*(E4778=E4777:E$2)))))</f>
        <v> </v>
      </c>
      <c r="J4778" s="25" t="str">
        <f>IF(OR(E4778="",E4778="!!!",F4778="NEW"),"",COUNTBLANK(OFFSET(A$1,,,SUMPRODUCT(MAX(ROW(E$2:E4778)*(E4778=E$2:E4778)))))-COUNTBLANK(OFFSET(A$1,,,SUMPRODUCT(MAX(ROW(E$1:E4777)*(E2=E$1:E4777))))))</f>
        <v> </v>
      </c>
      <c r="K4778" s="25" t="str">
        <f>IF(OR(E4778="",E4778="!!!",F4778="NEW"),"",INDEX(J$1:J4777,SUMPRODUCT(MAX(ROW(E$1:E4777)*(E4778=E$1:E4777)))))</f>
        <v> </v>
      </c>
      <c r="L4778" s="26"/>
    </row>
    <row r="4779" spans="1:12">
      <c r="A4779" s="20" t="s">
        <v>2463</v>
      </c>
      <c r="E4779" s="21">
        <f>IF(D4779="?OLD","!!!","")</f>
        <v/>
      </c>
      <c r="F4779" s="22" t="str">
        <f>IF(OR(E4779="",E4779="!!!"),"",IF(NOT(ISNA(VLOOKUP(E4779,E$1:E4778,1,FALSE()))),"OLD",IF(AND(E4779&lt;&gt;"",E4779&lt;&gt;"!!!"),"NEW","")))</f>
        <v> </v>
      </c>
      <c r="G4779" s="23" t="str">
        <f>IF(OR(E4779="",E4779="!!!"),"",IF(OR(J4779=0,AND(J4779=1,K4779=1),AND(J4779=1,I4779="SBJ"),AND(J4779=1,I4779=0)),"?IN_FOCUS",IF(J4779&lt;=2,"?ACTIVATED",IF(J4779&lt;&gt;"","?FAMILIAR",IF(F4779="NEW",IF(ISNA(VLOOKUP(E4779,#REF!,1,FALSE())),"?TYPE_IDENTIFIABLE","?REFERENTIAL"),"_")))))</f>
        <v> </v>
      </c>
      <c r="H4779" s="24" t="str">
        <f>IF(J4779&lt;&gt;1,"",IF(I4779="SBJ","CB","?"))</f>
        <v> </v>
      </c>
      <c r="I4779" s="25" t="str">
        <f>IF(OR(E4779="",E4779="!!!",F4779="NEW"),"",INDEX(B4778:B$2,-1+SUMPRODUCT(MAX(ROW(E4778:E$2)*(E4779=E4778:E$2)))))</f>
        <v> </v>
      </c>
      <c r="J4779" s="25" t="str">
        <f>IF(OR(E4779="",E4779="!!!",F4779="NEW"),"",COUNTBLANK(OFFSET(A$1,,,SUMPRODUCT(MAX(ROW(E$2:E4779)*(E4779=E$2:E4779)))))-COUNTBLANK(OFFSET(A$1,,,SUMPRODUCT(MAX(ROW(E$1:E4778)*(E2=E$1:E4778))))))</f>
        <v> </v>
      </c>
      <c r="K4779" s="25" t="str">
        <f>IF(OR(E4779="",E4779="!!!",F4779="NEW"),"",INDEX(J$1:J4778,SUMPRODUCT(MAX(ROW(E$1:E4778)*(E4779=E$1:E4778)))))</f>
        <v> </v>
      </c>
      <c r="L4779" s="26"/>
    </row>
    <row r="4780" spans="1:12">
      <c r="A4780" s="20" t="s">
        <v>1324</v>
      </c>
      <c r="E4780" s="21">
        <f>IF(D4780="?OLD","!!!","")</f>
        <v/>
      </c>
      <c r="F4780" s="22" t="str">
        <f>IF(OR(E4780="",E4780="!!!"),"",IF(NOT(ISNA(VLOOKUP(E4780,E$1:E4779,1,FALSE()))),"OLD",IF(AND(E4780&lt;&gt;"",E4780&lt;&gt;"!!!"),"NEW","")))</f>
        <v> </v>
      </c>
      <c r="G4780" s="23" t="str">
        <f>IF(OR(E4780="",E4780="!!!"),"",IF(OR(J4780=0,AND(J4780=1,K4780=1),AND(J4780=1,I4780="SBJ"),AND(J4780=1,I4780=0)),"?IN_FOCUS",IF(J4780&lt;=2,"?ACTIVATED",IF(J4780&lt;&gt;"","?FAMILIAR",IF(F4780="NEW",IF(ISNA(VLOOKUP(E4780,#REF!,1,FALSE())),"?TYPE_IDENTIFIABLE","?REFERENTIAL"),"_")))))</f>
        <v> </v>
      </c>
      <c r="H4780" s="24" t="str">
        <f>IF(J4780&lt;&gt;1,"",IF(I4780="SBJ","CB","?"))</f>
        <v> </v>
      </c>
      <c r="I4780" s="25" t="str">
        <f>IF(OR(E4780="",E4780="!!!",F4780="NEW"),"",INDEX(B4779:B$2,-1+SUMPRODUCT(MAX(ROW(E4779:E$2)*(E4780=E4779:E$2)))))</f>
        <v> </v>
      </c>
      <c r="J4780" s="25" t="str">
        <f>IF(OR(E4780="",E4780="!!!",F4780="NEW"),"",COUNTBLANK(OFFSET(A$1,,,SUMPRODUCT(MAX(ROW(E$2:E4780)*(E4780=E$2:E4780)))))-COUNTBLANK(OFFSET(A$1,,,SUMPRODUCT(MAX(ROW(E$1:E4779)*(E2=E$1:E4779))))))</f>
        <v> </v>
      </c>
      <c r="K4780" s="25" t="str">
        <f>IF(OR(E4780="",E4780="!!!",F4780="NEW"),"",INDEX(J$1:J4779,SUMPRODUCT(MAX(ROW(E$1:E4779)*(E4780=E$1:E4779)))))</f>
        <v> </v>
      </c>
      <c r="L4780" s="26"/>
    </row>
    <row r="4781" spans="1:12">
      <c r="A4781" s="20"/>
    </row>
    <row r="4782" spans="1:12">
      <c r="A4782" s="20" t="s">
        <v>2464</v>
      </c>
    </row>
    <row r="4783" spans="1:12">
      <c r="A4783" s="20" t="s">
        <v>785</v>
      </c>
      <c r="B4783" s="27" t="s">
        <v>1067</v>
      </c>
      <c r="C4783" s="27" t="s">
        <v>1134</v>
      </c>
      <c r="D4783" s="27" t="s">
        <v>1069</v>
      </c>
      <c r="E4783" s="21">
        <f>IF(D4783="?OLD","!!!","")</f>
        <v/>
      </c>
      <c r="F4783" s="22" t="str">
        <f>IF(OR(E4783="",E4783="!!!"),"",IF(NOT(ISNA(VLOOKUP(E4783,E$1:E4782,1,FALSE()))),"OLD",IF(AND(E4783&lt;&gt;"",E4783&lt;&gt;"!!!"),"NEW","")))</f>
        <v> </v>
      </c>
      <c r="G4783" s="23" t="str">
        <f>IF(OR(E4783="",E4783="!!!"),"",IF(OR(J4783=0,AND(J4783=1,K4783=1),AND(J4783=1,I4783="SBJ"),AND(J4783=1,I4783=0)),"?IN_FOCUS",IF(J4783&lt;=2,"?ACTIVATED",IF(J4783&lt;&gt;"","?FAMILIAR",IF(F4783="NEW",IF(ISNA(VLOOKUP(E4783,#REF!,1,FALSE())),"?TYPE_IDENTIFIABLE","?REFERENTIAL"),"_")))))</f>
        <v> </v>
      </c>
      <c r="H4783" s="24" t="str">
        <f>IF(J4783&lt;&gt;1,"",IF(I4783="SBJ","CB","?"))</f>
        <v> </v>
      </c>
      <c r="I4783" s="25" t="str">
        <f>IF(OR(E4783="",E4783="!!!",F4783="NEW"),"",INDEX(B4782:B$2,-1+SUMPRODUCT(MAX(ROW(E4782:E$2)*(E4783=E4782:E$2)))))</f>
        <v> </v>
      </c>
      <c r="J4783" s="25" t="str">
        <f>IF(OR(E4783="",E4783="!!!",F4783="NEW"),"",COUNTBLANK(OFFSET(A$1,,,SUMPRODUCT(MAX(ROW(E$2:E4783)*(E4783=E$2:E4783)))))-COUNTBLANK(OFFSET(A$1,,,SUMPRODUCT(MAX(ROW(E$1:E4782)*(E2=E$1:E4782))))))</f>
        <v> </v>
      </c>
      <c r="K4783" s="25" t="str">
        <f>IF(OR(E4783="",E4783="!!!",F4783="NEW"),"",INDEX(J$1:J4782,SUMPRODUCT(MAX(ROW(E$1:E4782)*(E4783=E$1:E4782)))))</f>
        <v> </v>
      </c>
      <c r="L4783" s="26"/>
    </row>
    <row r="4784" spans="1:12">
      <c r="A4784" s="20" t="s">
        <v>1317</v>
      </c>
      <c r="E4784" s="21">
        <f>IF(D4784="?OLD","!!!","")</f>
        <v/>
      </c>
      <c r="F4784" s="22" t="str">
        <f>IF(OR(E4784="",E4784="!!!"),"",IF(NOT(ISNA(VLOOKUP(E4784,E$1:E4783,1,FALSE()))),"OLD",IF(AND(E4784&lt;&gt;"",E4784&lt;&gt;"!!!"),"NEW","")))</f>
        <v> </v>
      </c>
      <c r="G4784" s="23" t="str">
        <f>IF(OR(E4784="",E4784="!!!"),"",IF(OR(J4784=0,AND(J4784=1,K4784=1),AND(J4784=1,I4784="SBJ"),AND(J4784=1,I4784=0)),"?IN_FOCUS",IF(J4784&lt;=2,"?ACTIVATED",IF(J4784&lt;&gt;"","?FAMILIAR",IF(F4784="NEW",IF(ISNA(VLOOKUP(E4784,#REF!,1,FALSE())),"?TYPE_IDENTIFIABLE","?REFERENTIAL"),"_")))))</f>
        <v> </v>
      </c>
      <c r="H4784" s="24" t="str">
        <f>IF(J4784&lt;&gt;1,"",IF(I4784="SBJ","CB","?"))</f>
        <v> </v>
      </c>
      <c r="I4784" s="25" t="str">
        <f>IF(OR(E4784="",E4784="!!!",F4784="NEW"),"",INDEX(B4783:B$2,-1+SUMPRODUCT(MAX(ROW(E4783:E$2)*(E4784=E4783:E$2)))))</f>
        <v> </v>
      </c>
      <c r="J4784" s="25" t="str">
        <f>IF(OR(E4784="",E4784="!!!",F4784="NEW"),"",COUNTBLANK(OFFSET(A$1,,,SUMPRODUCT(MAX(ROW(E$2:E4784)*(E4784=E$2:E4784)))))-COUNTBLANK(OFFSET(A$1,,,SUMPRODUCT(MAX(ROW(E$1:E4783)*(E2=E$1:E4783))))))</f>
        <v> </v>
      </c>
      <c r="K4784" s="25" t="str">
        <f>IF(OR(E4784="",E4784="!!!",F4784="NEW"),"",INDEX(J$1:J4783,SUMPRODUCT(MAX(ROW(E$1:E4783)*(E4784=E$1:E4783)))))</f>
        <v> </v>
      </c>
      <c r="L4784" s="26"/>
    </row>
    <row r="4785" spans="1:12">
      <c r="A4785" s="20" t="s">
        <v>1210</v>
      </c>
      <c r="E4785" s="21">
        <f>IF(D4785="?OLD","!!!","")</f>
        <v/>
      </c>
      <c r="F4785" s="22" t="str">
        <f>IF(OR(E4785="",E4785="!!!"),"",IF(NOT(ISNA(VLOOKUP(E4785,E$1:E4784,1,FALSE()))),"OLD",IF(AND(E4785&lt;&gt;"",E4785&lt;&gt;"!!!"),"NEW","")))</f>
        <v> </v>
      </c>
      <c r="G4785" s="23" t="str">
        <f>IF(OR(E4785="",E4785="!!!"),"",IF(OR(J4785=0,AND(J4785=1,K4785=1),AND(J4785=1,I4785="SBJ"),AND(J4785=1,I4785=0)),"?IN_FOCUS",IF(J4785&lt;=2,"?ACTIVATED",IF(J4785&lt;&gt;"","?FAMILIAR",IF(F4785="NEW",IF(ISNA(VLOOKUP(E4785,#REF!,1,FALSE())),"?TYPE_IDENTIFIABLE","?REFERENTIAL"),"_")))))</f>
        <v> </v>
      </c>
      <c r="H4785" s="24" t="str">
        <f>IF(J4785&lt;&gt;1,"",IF(I4785="SBJ","CB","?"))</f>
        <v> </v>
      </c>
      <c r="I4785" s="25" t="str">
        <f>IF(OR(E4785="",E4785="!!!",F4785="NEW"),"",INDEX(B4784:B$2,-1+SUMPRODUCT(MAX(ROW(E4784:E$2)*(E4785=E4784:E$2)))))</f>
        <v> </v>
      </c>
      <c r="J4785" s="25" t="str">
        <f>IF(OR(E4785="",E4785="!!!",F4785="NEW"),"",COUNTBLANK(OFFSET(A$1,,,SUMPRODUCT(MAX(ROW(E$2:E4785)*(E4785=E$2:E4785)))))-COUNTBLANK(OFFSET(A$1,,,SUMPRODUCT(MAX(ROW(E$1:E4784)*(E2=E$1:E4784))))))</f>
        <v> </v>
      </c>
      <c r="K4785" s="25" t="str">
        <f>IF(OR(E4785="",E4785="!!!",F4785="NEW"),"",INDEX(J$1:J4784,SUMPRODUCT(MAX(ROW(E$1:E4784)*(E4785=E$1:E4784)))))</f>
        <v> </v>
      </c>
      <c r="L4785" s="26"/>
    </row>
    <row r="4786" spans="1:12">
      <c r="A4786" s="20" t="s">
        <v>1087</v>
      </c>
      <c r="E4786" s="21">
        <f>IF(D4786="?OLD","!!!","")</f>
        <v/>
      </c>
      <c r="F4786" s="22" t="str">
        <f>IF(OR(E4786="",E4786="!!!"),"",IF(NOT(ISNA(VLOOKUP(E4786,E$1:E4785,1,FALSE()))),"OLD",IF(AND(E4786&lt;&gt;"",E4786&lt;&gt;"!!!"),"NEW","")))</f>
        <v> </v>
      </c>
      <c r="G4786" s="23" t="str">
        <f>IF(OR(E4786="",E4786="!!!"),"",IF(OR(J4786=0,AND(J4786=1,K4786=1),AND(J4786=1,I4786="SBJ"),AND(J4786=1,I4786=0)),"?IN_FOCUS",IF(J4786&lt;=2,"?ACTIVATED",IF(J4786&lt;&gt;"","?FAMILIAR",IF(F4786="NEW",IF(ISNA(VLOOKUP(E4786,#REF!,1,FALSE())),"?TYPE_IDENTIFIABLE","?REFERENTIAL"),"_")))))</f>
        <v> </v>
      </c>
      <c r="H4786" s="24" t="str">
        <f>IF(J4786&lt;&gt;1,"",IF(I4786="SBJ","CB","?"))</f>
        <v> </v>
      </c>
      <c r="I4786" s="25" t="str">
        <f>IF(OR(E4786="",E4786="!!!",F4786="NEW"),"",INDEX(B4785:B$2,-1+SUMPRODUCT(MAX(ROW(E4785:E$2)*(E4786=E4785:E$2)))))</f>
        <v> </v>
      </c>
      <c r="J4786" s="25" t="str">
        <f>IF(OR(E4786="",E4786="!!!",F4786="NEW"),"",COUNTBLANK(OFFSET(A$1,,,SUMPRODUCT(MAX(ROW(E$2:E4786)*(E4786=E$2:E4786)))))-COUNTBLANK(OFFSET(A$1,,,SUMPRODUCT(MAX(ROW(E$1:E4785)*(E2=E$1:E4785))))))</f>
        <v> </v>
      </c>
      <c r="K4786" s="25" t="str">
        <f>IF(OR(E4786="",E4786="!!!",F4786="NEW"),"",INDEX(J$1:J4785,SUMPRODUCT(MAX(ROW(E$1:E4785)*(E4786=E$1:E4785)))))</f>
        <v> </v>
      </c>
      <c r="L4786" s="26"/>
    </row>
    <row r="4787" spans="1:12">
      <c r="A4787" s="20" t="s">
        <v>2465</v>
      </c>
      <c r="E4787" s="21">
        <f>IF(D4787="?OLD","!!!","")</f>
        <v/>
      </c>
      <c r="F4787" s="22" t="str">
        <f>IF(OR(E4787="",E4787="!!!"),"",IF(NOT(ISNA(VLOOKUP(E4787,E$1:E4786,1,FALSE()))),"OLD",IF(AND(E4787&lt;&gt;"",E4787&lt;&gt;"!!!"),"NEW","")))</f>
        <v> </v>
      </c>
      <c r="G4787" s="23" t="str">
        <f>IF(OR(E4787="",E4787="!!!"),"",IF(OR(J4787=0,AND(J4787=1,K4787=1),AND(J4787=1,I4787="SBJ"),AND(J4787=1,I4787=0)),"?IN_FOCUS",IF(J4787&lt;=2,"?ACTIVATED",IF(J4787&lt;&gt;"","?FAMILIAR",IF(F4787="NEW",IF(ISNA(VLOOKUP(E4787,#REF!,1,FALSE())),"?TYPE_IDENTIFIABLE","?REFERENTIAL"),"_")))))</f>
        <v> </v>
      </c>
      <c r="H4787" s="24" t="str">
        <f>IF(J4787&lt;&gt;1,"",IF(I4787="SBJ","CB","?"))</f>
        <v> </v>
      </c>
      <c r="I4787" s="25" t="str">
        <f>IF(OR(E4787="",E4787="!!!",F4787="NEW"),"",INDEX(B4786:B$2,-1+SUMPRODUCT(MAX(ROW(E4786:E$2)*(E4787=E4786:E$2)))))</f>
        <v> </v>
      </c>
      <c r="J4787" s="25" t="str">
        <f>IF(OR(E4787="",E4787="!!!",F4787="NEW"),"",COUNTBLANK(OFFSET(A$1,,,SUMPRODUCT(MAX(ROW(E$2:E4787)*(E4787=E$2:E4787)))))-COUNTBLANK(OFFSET(A$1,,,SUMPRODUCT(MAX(ROW(E$1:E4786)*(E2=E$1:E4786))))))</f>
        <v> </v>
      </c>
      <c r="K4787" s="25" t="str">
        <f>IF(OR(E4787="",E4787="!!!",F4787="NEW"),"",INDEX(J$1:J4786,SUMPRODUCT(MAX(ROW(E$1:E4786)*(E4787=E$1:E4786)))))</f>
        <v> </v>
      </c>
      <c r="L4787" s="26"/>
    </row>
    <row r="4788" spans="1:12">
      <c r="A4788" s="20" t="s">
        <v>185</v>
      </c>
      <c r="E4788" s="21">
        <f>IF(D4788="?OLD","!!!","")</f>
        <v/>
      </c>
      <c r="F4788" s="22" t="str">
        <f>IF(OR(E4788="",E4788="!!!"),"",IF(NOT(ISNA(VLOOKUP(E4788,E$1:E4787,1,FALSE()))),"OLD",IF(AND(E4788&lt;&gt;"",E4788&lt;&gt;"!!!"),"NEW","")))</f>
        <v> </v>
      </c>
      <c r="G4788" s="23" t="str">
        <f>IF(OR(E4788="",E4788="!!!"),"",IF(OR(J4788=0,AND(J4788=1,K4788=1),AND(J4788=1,I4788="SBJ"),AND(J4788=1,I4788=0)),"?IN_FOCUS",IF(J4788&lt;=2,"?ACTIVATED",IF(J4788&lt;&gt;"","?FAMILIAR",IF(F4788="NEW",IF(ISNA(VLOOKUP(E4788,#REF!,1,FALSE())),"?TYPE_IDENTIFIABLE","?REFERENTIAL"),"_")))))</f>
        <v> </v>
      </c>
      <c r="H4788" s="24" t="str">
        <f>IF(J4788&lt;&gt;1,"",IF(I4788="SBJ","CB","?"))</f>
        <v> </v>
      </c>
      <c r="I4788" s="25" t="str">
        <f>IF(OR(E4788="",E4788="!!!",F4788="NEW"),"",INDEX(B4787:B$2,-1+SUMPRODUCT(MAX(ROW(E4787:E$2)*(E4788=E4787:E$2)))))</f>
        <v> </v>
      </c>
      <c r="J4788" s="25" t="str">
        <f>IF(OR(E4788="",E4788="!!!",F4788="NEW"),"",COUNTBLANK(OFFSET(A$1,,,SUMPRODUCT(MAX(ROW(E$2:E4788)*(E4788=E$2:E4788)))))-COUNTBLANK(OFFSET(A$1,,,SUMPRODUCT(MAX(ROW(E$1:E4787)*(E2=E$1:E4787))))))</f>
        <v> </v>
      </c>
      <c r="K4788" s="25" t="str">
        <f>IF(OR(E4788="",E4788="!!!",F4788="NEW"),"",INDEX(J$1:J4787,SUMPRODUCT(MAX(ROW(E$1:E4787)*(E4788=E$1:E4787)))))</f>
        <v> </v>
      </c>
      <c r="L4788" s="26"/>
    </row>
    <row r="4789" spans="1:12">
      <c r="A4789" s="20" t="s">
        <v>1104</v>
      </c>
      <c r="E4789" s="21">
        <f>IF(D4789="?OLD","!!!","")</f>
        <v/>
      </c>
      <c r="F4789" s="22" t="str">
        <f>IF(OR(E4789="",E4789="!!!"),"",IF(NOT(ISNA(VLOOKUP(E4789,E$1:E4788,1,FALSE()))),"OLD",IF(AND(E4789&lt;&gt;"",E4789&lt;&gt;"!!!"),"NEW","")))</f>
        <v> </v>
      </c>
      <c r="G4789" s="23" t="str">
        <f>IF(OR(E4789="",E4789="!!!"),"",IF(OR(J4789=0,AND(J4789=1,K4789=1),AND(J4789=1,I4789="SBJ"),AND(J4789=1,I4789=0)),"?IN_FOCUS",IF(J4789&lt;=2,"?ACTIVATED",IF(J4789&lt;&gt;"","?FAMILIAR",IF(F4789="NEW",IF(ISNA(VLOOKUP(E4789,#REF!,1,FALSE())),"?TYPE_IDENTIFIABLE","?REFERENTIAL"),"_")))))</f>
        <v> </v>
      </c>
      <c r="H4789" s="24" t="str">
        <f>IF(J4789&lt;&gt;1,"",IF(I4789="SBJ","CB","?"))</f>
        <v> </v>
      </c>
      <c r="I4789" s="25" t="str">
        <f>IF(OR(E4789="",E4789="!!!",F4789="NEW"),"",INDEX(B4788:B$2,-1+SUMPRODUCT(MAX(ROW(E4788:E$2)*(E4789=E4788:E$2)))))</f>
        <v> </v>
      </c>
      <c r="J4789" s="25" t="str">
        <f>IF(OR(E4789="",E4789="!!!",F4789="NEW"),"",COUNTBLANK(OFFSET(A$1,,,SUMPRODUCT(MAX(ROW(E$2:E4789)*(E4789=E$2:E4789)))))-COUNTBLANK(OFFSET(A$1,,,SUMPRODUCT(MAX(ROW(E$1:E4788)*(E2=E$1:E4788))))))</f>
        <v> </v>
      </c>
      <c r="K4789" s="25" t="str">
        <f>IF(OR(E4789="",E4789="!!!",F4789="NEW"),"",INDEX(J$1:J4788,SUMPRODUCT(MAX(ROW(E$1:E4788)*(E4789=E$1:E4788)))))</f>
        <v> </v>
      </c>
      <c r="L4789" s="26"/>
    </row>
    <row r="4790" spans="1:12">
      <c r="A4790" s="20" t="s">
        <v>2466</v>
      </c>
      <c r="B4790" s="27" t="s">
        <v>1067</v>
      </c>
      <c r="C4790" s="27" t="s">
        <v>1086</v>
      </c>
      <c r="D4790" s="27" t="s">
        <v>1069</v>
      </c>
      <c r="E4790" s="21">
        <f>IF(D4790="?OLD","!!!","")</f>
        <v/>
      </c>
      <c r="F4790" s="22" t="str">
        <f>IF(OR(E4790="",E4790="!!!"),"",IF(NOT(ISNA(VLOOKUP(E4790,E$1:E4789,1,FALSE()))),"OLD",IF(AND(E4790&lt;&gt;"",E4790&lt;&gt;"!!!"),"NEW","")))</f>
        <v> </v>
      </c>
      <c r="G4790" s="23" t="str">
        <f>IF(OR(E4790="",E4790="!!!"),"",IF(OR(J4790=0,AND(J4790=1,K4790=1),AND(J4790=1,I4790="SBJ"),AND(J4790=1,I4790=0)),"?IN_FOCUS",IF(J4790&lt;=2,"?ACTIVATED",IF(J4790&lt;&gt;"","?FAMILIAR",IF(F4790="NEW",IF(ISNA(VLOOKUP(E4790,#REF!,1,FALSE())),"?TYPE_IDENTIFIABLE","?REFERENTIAL"),"_")))))</f>
        <v> </v>
      </c>
      <c r="H4790" s="24" t="str">
        <f>IF(J4790&lt;&gt;1,"",IF(I4790="SBJ","CB","?"))</f>
        <v> </v>
      </c>
      <c r="I4790" s="25" t="str">
        <f>IF(OR(E4790="",E4790="!!!",F4790="NEW"),"",INDEX(B4789:B$2,-1+SUMPRODUCT(MAX(ROW(E4789:E$2)*(E4790=E4789:E$2)))))</f>
        <v> </v>
      </c>
      <c r="J4790" s="25" t="str">
        <f>IF(OR(E4790="",E4790="!!!",F4790="NEW"),"",COUNTBLANK(OFFSET(A$1,,,SUMPRODUCT(MAX(ROW(E$2:E4790)*(E4790=E$2:E4790)))))-COUNTBLANK(OFFSET(A$1,,,SUMPRODUCT(MAX(ROW(E$1:E4789)*(E2=E$1:E4789))))))</f>
        <v> </v>
      </c>
      <c r="K4790" s="25" t="str">
        <f>IF(OR(E4790="",E4790="!!!",F4790="NEW"),"",INDEX(J$1:J4789,SUMPRODUCT(MAX(ROW(E$1:E4789)*(E4790=E$1:E4789)))))</f>
        <v> </v>
      </c>
      <c r="L4790" s="26"/>
    </row>
    <row r="4791" spans="1:12">
      <c r="A4791" s="20" t="s">
        <v>1224</v>
      </c>
      <c r="E4791" s="21">
        <f>IF(D4791="?OLD","!!!","")</f>
        <v/>
      </c>
      <c r="F4791" s="22" t="str">
        <f>IF(OR(E4791="",E4791="!!!"),"",IF(NOT(ISNA(VLOOKUP(E4791,E$1:E4790,1,FALSE()))),"OLD",IF(AND(E4791&lt;&gt;"",E4791&lt;&gt;"!!!"),"NEW","")))</f>
        <v> </v>
      </c>
      <c r="G4791" s="23" t="str">
        <f>IF(OR(E4791="",E4791="!!!"),"",IF(OR(J4791=0,AND(J4791=1,K4791=1),AND(J4791=1,I4791="SBJ"),AND(J4791=1,I4791=0)),"?IN_FOCUS",IF(J4791&lt;=2,"?ACTIVATED",IF(J4791&lt;&gt;"","?FAMILIAR",IF(F4791="NEW",IF(ISNA(VLOOKUP(E4791,#REF!,1,FALSE())),"?TYPE_IDENTIFIABLE","?REFERENTIAL"),"_")))))</f>
        <v> </v>
      </c>
      <c r="H4791" s="24" t="str">
        <f>IF(J4791&lt;&gt;1,"",IF(I4791="SBJ","CB","?"))</f>
        <v> </v>
      </c>
      <c r="I4791" s="25" t="str">
        <f>IF(OR(E4791="",E4791="!!!",F4791="NEW"),"",INDEX(B4790:B$2,-1+SUMPRODUCT(MAX(ROW(E4790:E$2)*(E4791=E4790:E$2)))))</f>
        <v> </v>
      </c>
      <c r="J4791" s="25" t="str">
        <f>IF(OR(E4791="",E4791="!!!",F4791="NEW"),"",COUNTBLANK(OFFSET(A$1,,,SUMPRODUCT(MAX(ROW(E$2:E4791)*(E4791=E$2:E4791)))))-COUNTBLANK(OFFSET(A$1,,,SUMPRODUCT(MAX(ROW(E$1:E4790)*(E2=E$1:E4790))))))</f>
        <v> </v>
      </c>
      <c r="K4791" s="25" t="str">
        <f>IF(OR(E4791="",E4791="!!!",F4791="NEW"),"",INDEX(J$1:J4790,SUMPRODUCT(MAX(ROW(E$1:E4790)*(E4791=E$1:E4790)))))</f>
        <v> </v>
      </c>
      <c r="L4791" s="26"/>
    </row>
    <row r="4792" spans="1:12">
      <c r="A4792" s="20" t="s">
        <v>1193</v>
      </c>
      <c r="E4792" s="21">
        <f>IF(D4792="?OLD","!!!","")</f>
        <v/>
      </c>
      <c r="F4792" s="22" t="str">
        <f>IF(OR(E4792="",E4792="!!!"),"",IF(NOT(ISNA(VLOOKUP(E4792,E$1:E4791,1,FALSE()))),"OLD",IF(AND(E4792&lt;&gt;"",E4792&lt;&gt;"!!!"),"NEW","")))</f>
        <v> </v>
      </c>
      <c r="G4792" s="23" t="str">
        <f>IF(OR(E4792="",E4792="!!!"),"",IF(OR(J4792=0,AND(J4792=1,K4792=1),AND(J4792=1,I4792="SBJ"),AND(J4792=1,I4792=0)),"?IN_FOCUS",IF(J4792&lt;=2,"?ACTIVATED",IF(J4792&lt;&gt;"","?FAMILIAR",IF(F4792="NEW",IF(ISNA(VLOOKUP(E4792,#REF!,1,FALSE())),"?TYPE_IDENTIFIABLE","?REFERENTIAL"),"_")))))</f>
        <v> </v>
      </c>
      <c r="H4792" s="24" t="str">
        <f>IF(J4792&lt;&gt;1,"",IF(I4792="SBJ","CB","?"))</f>
        <v> </v>
      </c>
      <c r="I4792" s="25" t="str">
        <f>IF(OR(E4792="",E4792="!!!",F4792="NEW"),"",INDEX(B4791:B$2,-1+SUMPRODUCT(MAX(ROW(E4791:E$2)*(E4792=E4791:E$2)))))</f>
        <v> </v>
      </c>
      <c r="J4792" s="25" t="str">
        <f>IF(OR(E4792="",E4792="!!!",F4792="NEW"),"",COUNTBLANK(OFFSET(A$1,,,SUMPRODUCT(MAX(ROW(E$2:E4792)*(E4792=E$2:E4792)))))-COUNTBLANK(OFFSET(A$1,,,SUMPRODUCT(MAX(ROW(E$1:E4791)*(E2=E$1:E4791))))))</f>
        <v> </v>
      </c>
      <c r="K4792" s="25" t="str">
        <f>IF(OR(E4792="",E4792="!!!",F4792="NEW"),"",INDEX(J$1:J4791,SUMPRODUCT(MAX(ROW(E$1:E4791)*(E4792=E$1:E4791)))))</f>
        <v> </v>
      </c>
      <c r="L4792" s="26"/>
    </row>
    <row r="4793" spans="1:12">
      <c r="A4793" s="20" t="s">
        <v>2311</v>
      </c>
      <c r="E4793" s="21">
        <f>IF(D4793="?OLD","!!!","")</f>
        <v/>
      </c>
      <c r="F4793" s="22" t="str">
        <f>IF(OR(E4793="",E4793="!!!"),"",IF(NOT(ISNA(VLOOKUP(E4793,E$1:E4792,1,FALSE()))),"OLD",IF(AND(E4793&lt;&gt;"",E4793&lt;&gt;"!!!"),"NEW","")))</f>
        <v> </v>
      </c>
      <c r="G4793" s="23" t="str">
        <f>IF(OR(E4793="",E4793="!!!"),"",IF(OR(J4793=0,AND(J4793=1,K4793=1),AND(J4793=1,I4793="SBJ"),AND(J4793=1,I4793=0)),"?IN_FOCUS",IF(J4793&lt;=2,"?ACTIVATED",IF(J4793&lt;&gt;"","?FAMILIAR",IF(F4793="NEW",IF(ISNA(VLOOKUP(E4793,#REF!,1,FALSE())),"?TYPE_IDENTIFIABLE","?REFERENTIAL"),"_")))))</f>
        <v> </v>
      </c>
      <c r="H4793" s="24" t="str">
        <f>IF(J4793&lt;&gt;1,"",IF(I4793="SBJ","CB","?"))</f>
        <v> </v>
      </c>
      <c r="I4793" s="25" t="str">
        <f>IF(OR(E4793="",E4793="!!!",F4793="NEW"),"",INDEX(B4792:B$2,-1+SUMPRODUCT(MAX(ROW(E4792:E$2)*(E4793=E4792:E$2)))))</f>
        <v> </v>
      </c>
      <c r="J4793" s="25" t="str">
        <f>IF(OR(E4793="",E4793="!!!",F4793="NEW"),"",COUNTBLANK(OFFSET(A$1,,,SUMPRODUCT(MAX(ROW(E$2:E4793)*(E4793=E$2:E4793)))))-COUNTBLANK(OFFSET(A$1,,,SUMPRODUCT(MAX(ROW(E$1:E4792)*(E2=E$1:E4792))))))</f>
        <v> </v>
      </c>
      <c r="K4793" s="25" t="str">
        <f>IF(OR(E4793="",E4793="!!!",F4793="NEW"),"",INDEX(J$1:J4792,SUMPRODUCT(MAX(ROW(E$1:E4792)*(E4793=E$1:E4792)))))</f>
        <v> </v>
      </c>
      <c r="L4793" s="26"/>
    </row>
    <row r="4794" spans="1:12">
      <c r="A4794" s="20" t="s">
        <v>2467</v>
      </c>
      <c r="B4794" s="27" t="s">
        <v>1074</v>
      </c>
      <c r="C4794" s="27" t="s">
        <v>1077</v>
      </c>
      <c r="E4794" s="21">
        <f>IF(D4794="?OLD","!!!","")</f>
        <v/>
      </c>
      <c r="F4794" s="22" t="str">
        <f>IF(OR(E4794="",E4794="!!!"),"",IF(NOT(ISNA(VLOOKUP(E4794,E$1:E4793,1,FALSE()))),"OLD",IF(AND(E4794&lt;&gt;"",E4794&lt;&gt;"!!!"),"NEW","")))</f>
        <v> </v>
      </c>
      <c r="G4794" s="23" t="str">
        <f>IF(OR(E4794="",E4794="!!!"),"",IF(OR(J4794=0,AND(J4794=1,K4794=1),AND(J4794=1,I4794="SBJ"),AND(J4794=1,I4794=0)),"?IN_FOCUS",IF(J4794&lt;=2,"?ACTIVATED",IF(J4794&lt;&gt;"","?FAMILIAR",IF(F4794="NEW",IF(ISNA(VLOOKUP(E4794,#REF!,1,FALSE())),"?TYPE_IDENTIFIABLE","?REFERENTIAL"),"_")))))</f>
        <v> </v>
      </c>
      <c r="H4794" s="24" t="str">
        <f>IF(J4794&lt;&gt;1,"",IF(I4794="SBJ","CB","?"))</f>
        <v> </v>
      </c>
      <c r="I4794" s="25" t="str">
        <f>IF(OR(E4794="",E4794="!!!",F4794="NEW"),"",INDEX(B4793:B$2,-1+SUMPRODUCT(MAX(ROW(E4793:E$2)*(E4794=E4793:E$2)))))</f>
        <v> </v>
      </c>
      <c r="J4794" s="25" t="str">
        <f>IF(OR(E4794="",E4794="!!!",F4794="NEW"),"",COUNTBLANK(OFFSET(A$1,,,SUMPRODUCT(MAX(ROW(E$2:E4794)*(E4794=E$2:E4794)))))-COUNTBLANK(OFFSET(A$1,,,SUMPRODUCT(MAX(ROW(E$1:E4793)*(E2=E$1:E4793))))))</f>
        <v> </v>
      </c>
      <c r="K4794" s="25" t="str">
        <f>IF(OR(E4794="",E4794="!!!",F4794="NEW"),"",INDEX(J$1:J4793,SUMPRODUCT(MAX(ROW(E$1:E4793)*(E4794=E$1:E4793)))))</f>
        <v> </v>
      </c>
      <c r="L4794" s="26"/>
    </row>
    <row r="4795" spans="1:12">
      <c r="A4795" s="20" t="s">
        <v>1080</v>
      </c>
      <c r="E4795" s="21">
        <f>IF(D4795="?OLD","!!!","")</f>
        <v/>
      </c>
      <c r="F4795" s="22" t="str">
        <f>IF(OR(E4795="",E4795="!!!"),"",IF(NOT(ISNA(VLOOKUP(E4795,E$1:E4794,1,FALSE()))),"OLD",IF(AND(E4795&lt;&gt;"",E4795&lt;&gt;"!!!"),"NEW","")))</f>
        <v> </v>
      </c>
      <c r="G4795" s="23" t="str">
        <f>IF(OR(E4795="",E4795="!!!"),"",IF(OR(J4795=0,AND(J4795=1,K4795=1),AND(J4795=1,I4795="SBJ"),AND(J4795=1,I4795=0)),"?IN_FOCUS",IF(J4795&lt;=2,"?ACTIVATED",IF(J4795&lt;&gt;"","?FAMILIAR",IF(F4795="NEW",IF(ISNA(VLOOKUP(E4795,#REF!,1,FALSE())),"?TYPE_IDENTIFIABLE","?REFERENTIAL"),"_")))))</f>
        <v> </v>
      </c>
      <c r="H4795" s="24" t="str">
        <f>IF(J4795&lt;&gt;1,"",IF(I4795="SBJ","CB","?"))</f>
        <v> </v>
      </c>
      <c r="I4795" s="25" t="str">
        <f>IF(OR(E4795="",E4795="!!!",F4795="NEW"),"",INDEX(B4794:B$2,-1+SUMPRODUCT(MAX(ROW(E4794:E$2)*(E4795=E4794:E$2)))))</f>
        <v> </v>
      </c>
      <c r="J4795" s="25" t="str">
        <f>IF(OR(E4795="",E4795="!!!",F4795="NEW"),"",COUNTBLANK(OFFSET(A$1,,,SUMPRODUCT(MAX(ROW(E$2:E4795)*(E4795=E$2:E4795)))))-COUNTBLANK(OFFSET(A$1,,,SUMPRODUCT(MAX(ROW(E$1:E4794)*(E2=E$1:E4794))))))</f>
        <v> </v>
      </c>
      <c r="K4795" s="25" t="str">
        <f>IF(OR(E4795="",E4795="!!!",F4795="NEW"),"",INDEX(J$1:J4794,SUMPRODUCT(MAX(ROW(E$1:E4794)*(E4795=E$1:E4794)))))</f>
        <v> </v>
      </c>
      <c r="L4795" s="26"/>
    </row>
    <row r="4796" spans="1:12">
      <c r="A4796" s="20"/>
    </row>
    <row r="4797" spans="1:12">
      <c r="A4797" s="20" t="s">
        <v>2468</v>
      </c>
    </row>
    <row r="4798" spans="1:12">
      <c r="A4798" s="20" t="s">
        <v>2469</v>
      </c>
      <c r="B4798" s="27" t="s">
        <v>1067</v>
      </c>
      <c r="C4798" s="27" t="s">
        <v>1129</v>
      </c>
      <c r="D4798" s="27" t="s">
        <v>1069</v>
      </c>
      <c r="E4798" s="21">
        <f>IF(D4798="?OLD","!!!","")</f>
        <v/>
      </c>
      <c r="F4798" s="22" t="str">
        <f>IF(OR(E4798="",E4798="!!!"),"",IF(NOT(ISNA(VLOOKUP(E4798,E$1:E4797,1,FALSE()))),"OLD",IF(AND(E4798&lt;&gt;"",E4798&lt;&gt;"!!!"),"NEW","")))</f>
        <v> </v>
      </c>
      <c r="G4798" s="23" t="str">
        <f>IF(OR(E4798="",E4798="!!!"),"",IF(OR(J4798=0,AND(J4798=1,K4798=1),AND(J4798=1,I4798="SBJ"),AND(J4798=1,I4798=0)),"?IN_FOCUS",IF(J4798&lt;=2,"?ACTIVATED",IF(J4798&lt;&gt;"","?FAMILIAR",IF(F4798="NEW",IF(ISNA(VLOOKUP(E4798,#REF!,1,FALSE())),"?TYPE_IDENTIFIABLE","?REFERENTIAL"),"_")))))</f>
        <v> </v>
      </c>
      <c r="H4798" s="24" t="str">
        <f>IF(J4798&lt;&gt;1,"",IF(I4798="SBJ","CB","?"))</f>
        <v> </v>
      </c>
      <c r="I4798" s="25" t="str">
        <f>IF(OR(E4798="",E4798="!!!",F4798="NEW"),"",INDEX(B4797:B$2,-1+SUMPRODUCT(MAX(ROW(E4797:E$2)*(E4798=E4797:E$2)))))</f>
        <v> </v>
      </c>
      <c r="J4798" s="25" t="str">
        <f>IF(OR(E4798="",E4798="!!!",F4798="NEW"),"",COUNTBLANK(OFFSET(A$1,,,SUMPRODUCT(MAX(ROW(E$2:E4798)*(E4798=E$2:E4798)))))-COUNTBLANK(OFFSET(A$1,,,SUMPRODUCT(MAX(ROW(E$1:E4797)*(E2=E$1:E4797))))))</f>
        <v> </v>
      </c>
      <c r="K4798" s="25" t="str">
        <f>IF(OR(E4798="",E4798="!!!",F4798="NEW"),"",INDEX(J$1:J4797,SUMPRODUCT(MAX(ROW(E$1:E4797)*(E4798=E$1:E4797)))))</f>
        <v> </v>
      </c>
      <c r="L4798" s="26"/>
    </row>
    <row r="4799" spans="1:12">
      <c r="A4799" s="20" t="s">
        <v>1087</v>
      </c>
      <c r="E4799" s="21">
        <f>IF(D4799="?OLD","!!!","")</f>
        <v/>
      </c>
      <c r="F4799" s="22" t="str">
        <f>IF(OR(E4799="",E4799="!!!"),"",IF(NOT(ISNA(VLOOKUP(E4799,E$1:E4798,1,FALSE()))),"OLD",IF(AND(E4799&lt;&gt;"",E4799&lt;&gt;"!!!"),"NEW","")))</f>
        <v> </v>
      </c>
      <c r="G4799" s="23" t="str">
        <f>IF(OR(E4799="",E4799="!!!"),"",IF(OR(J4799=0,AND(J4799=1,K4799=1),AND(J4799=1,I4799="SBJ"),AND(J4799=1,I4799=0)),"?IN_FOCUS",IF(J4799&lt;=2,"?ACTIVATED",IF(J4799&lt;&gt;"","?FAMILIAR",IF(F4799="NEW",IF(ISNA(VLOOKUP(E4799,#REF!,1,FALSE())),"?TYPE_IDENTIFIABLE","?REFERENTIAL"),"_")))))</f>
        <v> </v>
      </c>
      <c r="H4799" s="24" t="str">
        <f>IF(J4799&lt;&gt;1,"",IF(I4799="SBJ","CB","?"))</f>
        <v> </v>
      </c>
      <c r="I4799" s="25" t="str">
        <f>IF(OR(E4799="",E4799="!!!",F4799="NEW"),"",INDEX(B4798:B$2,-1+SUMPRODUCT(MAX(ROW(E4798:E$2)*(E4799=E4798:E$2)))))</f>
        <v> </v>
      </c>
      <c r="J4799" s="25" t="str">
        <f>IF(OR(E4799="",E4799="!!!",F4799="NEW"),"",COUNTBLANK(OFFSET(A$1,,,SUMPRODUCT(MAX(ROW(E$2:E4799)*(E4799=E$2:E4799)))))-COUNTBLANK(OFFSET(A$1,,,SUMPRODUCT(MAX(ROW(E$1:E4798)*(E2=E$1:E4798))))))</f>
        <v> </v>
      </c>
      <c r="K4799" s="25" t="str">
        <f>IF(OR(E4799="",E4799="!!!",F4799="NEW"),"",INDEX(J$1:J4798,SUMPRODUCT(MAX(ROW(E$1:E4798)*(E4799=E$1:E4798)))))</f>
        <v> </v>
      </c>
      <c r="L4799" s="26"/>
    </row>
    <row r="4800" spans="1:12">
      <c r="A4800" s="20" t="s">
        <v>1104</v>
      </c>
      <c r="E4800" s="21">
        <f>IF(D4800="?OLD","!!!","")</f>
        <v/>
      </c>
      <c r="F4800" s="22" t="str">
        <f>IF(OR(E4800="",E4800="!!!"),"",IF(NOT(ISNA(VLOOKUP(E4800,E$1:E4799,1,FALSE()))),"OLD",IF(AND(E4800&lt;&gt;"",E4800&lt;&gt;"!!!"),"NEW","")))</f>
        <v> </v>
      </c>
      <c r="G4800" s="23" t="str">
        <f>IF(OR(E4800="",E4800="!!!"),"",IF(OR(J4800=0,AND(J4800=1,K4800=1),AND(J4800=1,I4800="SBJ"),AND(J4800=1,I4800=0)),"?IN_FOCUS",IF(J4800&lt;=2,"?ACTIVATED",IF(J4800&lt;&gt;"","?FAMILIAR",IF(F4800="NEW",IF(ISNA(VLOOKUP(E4800,#REF!,1,FALSE())),"?TYPE_IDENTIFIABLE","?REFERENTIAL"),"_")))))</f>
        <v> </v>
      </c>
      <c r="H4800" s="24" t="str">
        <f>IF(J4800&lt;&gt;1,"",IF(I4800="SBJ","CB","?"))</f>
        <v> </v>
      </c>
      <c r="I4800" s="25" t="str">
        <f>IF(OR(E4800="",E4800="!!!",F4800="NEW"),"",INDEX(B4799:B$2,-1+SUMPRODUCT(MAX(ROW(E4799:E$2)*(E4800=E4799:E$2)))))</f>
        <v> </v>
      </c>
      <c r="J4800" s="25" t="str">
        <f>IF(OR(E4800="",E4800="!!!",F4800="NEW"),"",COUNTBLANK(OFFSET(A$1,,,SUMPRODUCT(MAX(ROW(E$2:E4800)*(E4800=E$2:E4800)))))-COUNTBLANK(OFFSET(A$1,,,SUMPRODUCT(MAX(ROW(E$1:E4799)*(E2=E$1:E4799))))))</f>
        <v> </v>
      </c>
      <c r="K4800" s="25" t="str">
        <f>IF(OR(E4800="",E4800="!!!",F4800="NEW"),"",INDEX(J$1:J4799,SUMPRODUCT(MAX(ROW(E$1:E4799)*(E4800=E$1:E4799)))))</f>
        <v> </v>
      </c>
      <c r="L4800" s="26"/>
    </row>
    <row r="4801" spans="1:12">
      <c r="A4801" s="20" t="s">
        <v>2470</v>
      </c>
      <c r="E4801" s="21">
        <f>IF(D4801="?OLD","!!!","")</f>
        <v/>
      </c>
      <c r="F4801" s="22" t="str">
        <f>IF(OR(E4801="",E4801="!!!"),"",IF(NOT(ISNA(VLOOKUP(E4801,E$1:E4800,1,FALSE()))),"OLD",IF(AND(E4801&lt;&gt;"",E4801&lt;&gt;"!!!"),"NEW","")))</f>
        <v> </v>
      </c>
      <c r="G4801" s="23" t="str">
        <f>IF(OR(E4801="",E4801="!!!"),"",IF(OR(J4801=0,AND(J4801=1,K4801=1),AND(J4801=1,I4801="SBJ"),AND(J4801=1,I4801=0)),"?IN_FOCUS",IF(J4801&lt;=2,"?ACTIVATED",IF(J4801&lt;&gt;"","?FAMILIAR",IF(F4801="NEW",IF(ISNA(VLOOKUP(E4801,#REF!,1,FALSE())),"?TYPE_IDENTIFIABLE","?REFERENTIAL"),"_")))))</f>
        <v> </v>
      </c>
      <c r="H4801" s="24" t="str">
        <f>IF(J4801&lt;&gt;1,"",IF(I4801="SBJ","CB","?"))</f>
        <v> </v>
      </c>
      <c r="I4801" s="25" t="str">
        <f>IF(OR(E4801="",E4801="!!!",F4801="NEW"),"",INDEX(B4800:B$2,-1+SUMPRODUCT(MAX(ROW(E4800:E$2)*(E4801=E4800:E$2)))))</f>
        <v> </v>
      </c>
      <c r="J4801" s="25" t="str">
        <f>IF(OR(E4801="",E4801="!!!",F4801="NEW"),"",COUNTBLANK(OFFSET(A$1,,,SUMPRODUCT(MAX(ROW(E$2:E4801)*(E4801=E$2:E4801)))))-COUNTBLANK(OFFSET(A$1,,,SUMPRODUCT(MAX(ROW(E$1:E4800)*(E2=E$1:E4800))))))</f>
        <v> </v>
      </c>
      <c r="K4801" s="25" t="str">
        <f>IF(OR(E4801="",E4801="!!!",F4801="NEW"),"",INDEX(J$1:J4800,SUMPRODUCT(MAX(ROW(E$1:E4800)*(E4801=E$1:E4800)))))</f>
        <v> </v>
      </c>
      <c r="L4801" s="26"/>
    </row>
    <row r="4802" spans="1:12">
      <c r="A4802" s="20" t="s">
        <v>2471</v>
      </c>
      <c r="B4802" s="27" t="s">
        <v>1106</v>
      </c>
      <c r="C4802" s="27" t="s">
        <v>1086</v>
      </c>
      <c r="D4802" s="27" t="s">
        <v>1069</v>
      </c>
      <c r="E4802" s="21">
        <f>IF(D4802="?OLD","!!!","")</f>
        <v/>
      </c>
      <c r="F4802" s="22" t="str">
        <f>IF(OR(E4802="",E4802="!!!"),"",IF(NOT(ISNA(VLOOKUP(E4802,E$1:E4801,1,FALSE()))),"OLD",IF(AND(E4802&lt;&gt;"",E4802&lt;&gt;"!!!"),"NEW","")))</f>
        <v> </v>
      </c>
      <c r="G4802" s="23" t="str">
        <f>IF(OR(E4802="",E4802="!!!"),"",IF(OR(J4802=0,AND(J4802=1,K4802=1),AND(J4802=1,I4802="SBJ"),AND(J4802=1,I4802=0)),"?IN_FOCUS",IF(J4802&lt;=2,"?ACTIVATED",IF(J4802&lt;&gt;"","?FAMILIAR",IF(F4802="NEW",IF(ISNA(VLOOKUP(E4802,#REF!,1,FALSE())),"?TYPE_IDENTIFIABLE","?REFERENTIAL"),"_")))))</f>
        <v> </v>
      </c>
      <c r="H4802" s="24" t="str">
        <f>IF(J4802&lt;&gt;1,"",IF(I4802="SBJ","CB","?"))</f>
        <v> </v>
      </c>
      <c r="I4802" s="25" t="str">
        <f>IF(OR(E4802="",E4802="!!!",F4802="NEW"),"",INDEX(B4801:B$2,-1+SUMPRODUCT(MAX(ROW(E4801:E$2)*(E4802=E4801:E$2)))))</f>
        <v> </v>
      </c>
      <c r="J4802" s="25" t="str">
        <f>IF(OR(E4802="",E4802="!!!",F4802="NEW"),"",COUNTBLANK(OFFSET(A$1,,,SUMPRODUCT(MAX(ROW(E$2:E4802)*(E4802=E$2:E4802)))))-COUNTBLANK(OFFSET(A$1,,,SUMPRODUCT(MAX(ROW(E$1:E4801)*(E2=E$1:E4801))))))</f>
        <v> </v>
      </c>
      <c r="K4802" s="25" t="str">
        <f>IF(OR(E4802="",E4802="!!!",F4802="NEW"),"",INDEX(J$1:J4801,SUMPRODUCT(MAX(ROW(E$1:E4801)*(E4802=E$1:E4801)))))</f>
        <v> </v>
      </c>
      <c r="L4802" s="26"/>
    </row>
    <row r="4803" spans="1:12">
      <c r="A4803" s="20" t="s">
        <v>212</v>
      </c>
      <c r="E4803" s="21">
        <f>IF(D4803="?OLD","!!!","")</f>
        <v/>
      </c>
      <c r="F4803" s="22" t="str">
        <f>IF(OR(E4803="",E4803="!!!"),"",IF(NOT(ISNA(VLOOKUP(E4803,E$1:E4802,1,FALSE()))),"OLD",IF(AND(E4803&lt;&gt;"",E4803&lt;&gt;"!!!"),"NEW","")))</f>
        <v> </v>
      </c>
      <c r="G4803" s="23" t="str">
        <f>IF(OR(E4803="",E4803="!!!"),"",IF(OR(J4803=0,AND(J4803=1,K4803=1),AND(J4803=1,I4803="SBJ"),AND(J4803=1,I4803=0)),"?IN_FOCUS",IF(J4803&lt;=2,"?ACTIVATED",IF(J4803&lt;&gt;"","?FAMILIAR",IF(F4803="NEW",IF(ISNA(VLOOKUP(E4803,#REF!,1,FALSE())),"?TYPE_IDENTIFIABLE","?REFERENTIAL"),"_")))))</f>
        <v> </v>
      </c>
      <c r="H4803" s="24" t="str">
        <f>IF(J4803&lt;&gt;1,"",IF(I4803="SBJ","CB","?"))</f>
        <v> </v>
      </c>
      <c r="I4803" s="25" t="str">
        <f>IF(OR(E4803="",E4803="!!!",F4803="NEW"),"",INDEX(B4802:B$2,-1+SUMPRODUCT(MAX(ROW(E4802:E$2)*(E4803=E4802:E$2)))))</f>
        <v> </v>
      </c>
      <c r="J4803" s="25" t="str">
        <f>IF(OR(E4803="",E4803="!!!",F4803="NEW"),"",COUNTBLANK(OFFSET(A$1,,,SUMPRODUCT(MAX(ROW(E$2:E4803)*(E4803=E$2:E4803)))))-COUNTBLANK(OFFSET(A$1,,,SUMPRODUCT(MAX(ROW(E$1:E4802)*(E2=E$1:E4802))))))</f>
        <v> </v>
      </c>
      <c r="K4803" s="25" t="str">
        <f>IF(OR(E4803="",E4803="!!!",F4803="NEW"),"",INDEX(J$1:J4802,SUMPRODUCT(MAX(ROW(E$1:E4802)*(E4803=E$1:E4802)))))</f>
        <v> </v>
      </c>
      <c r="L4803" s="26"/>
    </row>
    <row r="4804" spans="1:12">
      <c r="A4804" s="20" t="s">
        <v>1087</v>
      </c>
      <c r="E4804" s="21">
        <f>IF(D4804="?OLD","!!!","")</f>
        <v/>
      </c>
      <c r="F4804" s="22" t="str">
        <f>IF(OR(E4804="",E4804="!!!"),"",IF(NOT(ISNA(VLOOKUP(E4804,E$1:E4803,1,FALSE()))),"OLD",IF(AND(E4804&lt;&gt;"",E4804&lt;&gt;"!!!"),"NEW","")))</f>
        <v> </v>
      </c>
      <c r="G4804" s="23" t="str">
        <f>IF(OR(E4804="",E4804="!!!"),"",IF(OR(J4804=0,AND(J4804=1,K4804=1),AND(J4804=1,I4804="SBJ"),AND(J4804=1,I4804=0)),"?IN_FOCUS",IF(J4804&lt;=2,"?ACTIVATED",IF(J4804&lt;&gt;"","?FAMILIAR",IF(F4804="NEW",IF(ISNA(VLOOKUP(E4804,#REF!,1,FALSE())),"?TYPE_IDENTIFIABLE","?REFERENTIAL"),"_")))))</f>
        <v> </v>
      </c>
      <c r="H4804" s="24" t="str">
        <f>IF(J4804&lt;&gt;1,"",IF(I4804="SBJ","CB","?"))</f>
        <v> </v>
      </c>
      <c r="I4804" s="25" t="str">
        <f>IF(OR(E4804="",E4804="!!!",F4804="NEW"),"",INDEX(B4803:B$2,-1+SUMPRODUCT(MAX(ROW(E4803:E$2)*(E4804=E4803:E$2)))))</f>
        <v> </v>
      </c>
      <c r="J4804" s="25" t="str">
        <f>IF(OR(E4804="",E4804="!!!",F4804="NEW"),"",COUNTBLANK(OFFSET(A$1,,,SUMPRODUCT(MAX(ROW(E$2:E4804)*(E4804=E$2:E4804)))))-COUNTBLANK(OFFSET(A$1,,,SUMPRODUCT(MAX(ROW(E$1:E4803)*(E2=E$1:E4803))))))</f>
        <v> </v>
      </c>
      <c r="K4804" s="25" t="str">
        <f>IF(OR(E4804="",E4804="!!!",F4804="NEW"),"",INDEX(J$1:J4803,SUMPRODUCT(MAX(ROW(E$1:E4803)*(E4804=E$1:E4803)))))</f>
        <v> </v>
      </c>
      <c r="L4804" s="26"/>
    </row>
    <row r="4805" spans="1:12">
      <c r="A4805" s="20" t="s">
        <v>1124</v>
      </c>
      <c r="E4805" s="21">
        <f>IF(D4805="?OLD","!!!","")</f>
        <v/>
      </c>
      <c r="F4805" s="22" t="str">
        <f>IF(OR(E4805="",E4805="!!!"),"",IF(NOT(ISNA(VLOOKUP(E4805,E$1:E4804,1,FALSE()))),"OLD",IF(AND(E4805&lt;&gt;"",E4805&lt;&gt;"!!!"),"NEW","")))</f>
        <v> </v>
      </c>
      <c r="G4805" s="23" t="str">
        <f>IF(OR(E4805="",E4805="!!!"),"",IF(OR(J4805=0,AND(J4805=1,K4805=1),AND(J4805=1,I4805="SBJ"),AND(J4805=1,I4805=0)),"?IN_FOCUS",IF(J4805&lt;=2,"?ACTIVATED",IF(J4805&lt;&gt;"","?FAMILIAR",IF(F4805="NEW",IF(ISNA(VLOOKUP(E4805,#REF!,1,FALSE())),"?TYPE_IDENTIFIABLE","?REFERENTIAL"),"_")))))</f>
        <v> </v>
      </c>
      <c r="H4805" s="24" t="str">
        <f>IF(J4805&lt;&gt;1,"",IF(I4805="SBJ","CB","?"))</f>
        <v> </v>
      </c>
      <c r="I4805" s="25" t="str">
        <f>IF(OR(E4805="",E4805="!!!",F4805="NEW"),"",INDEX(B4804:B$2,-1+SUMPRODUCT(MAX(ROW(E4804:E$2)*(E4805=E4804:E$2)))))</f>
        <v> </v>
      </c>
      <c r="J4805" s="25" t="str">
        <f>IF(OR(E4805="",E4805="!!!",F4805="NEW"),"",COUNTBLANK(OFFSET(A$1,,,SUMPRODUCT(MAX(ROW(E$2:E4805)*(E4805=E$2:E4805)))))-COUNTBLANK(OFFSET(A$1,,,SUMPRODUCT(MAX(ROW(E$1:E4804)*(E2=E$1:E4804))))))</f>
        <v> </v>
      </c>
      <c r="K4805" s="25" t="str">
        <f>IF(OR(E4805="",E4805="!!!",F4805="NEW"),"",INDEX(J$1:J4804,SUMPRODUCT(MAX(ROW(E$1:E4804)*(E4805=E$1:E4804)))))</f>
        <v> </v>
      </c>
      <c r="L4805" s="26"/>
    </row>
    <row r="4806" spans="1:12">
      <c r="A4806" s="20" t="s">
        <v>1193</v>
      </c>
      <c r="E4806" s="21">
        <f>IF(D4806="?OLD","!!!","")</f>
        <v/>
      </c>
      <c r="F4806" s="22" t="str">
        <f>IF(OR(E4806="",E4806="!!!"),"",IF(NOT(ISNA(VLOOKUP(E4806,E$1:E4805,1,FALSE()))),"OLD",IF(AND(E4806&lt;&gt;"",E4806&lt;&gt;"!!!"),"NEW","")))</f>
        <v> </v>
      </c>
      <c r="G4806" s="23" t="str">
        <f>IF(OR(E4806="",E4806="!!!"),"",IF(OR(J4806=0,AND(J4806=1,K4806=1),AND(J4806=1,I4806="SBJ"),AND(J4806=1,I4806=0)),"?IN_FOCUS",IF(J4806&lt;=2,"?ACTIVATED",IF(J4806&lt;&gt;"","?FAMILIAR",IF(F4806="NEW",IF(ISNA(VLOOKUP(E4806,#REF!,1,FALSE())),"?TYPE_IDENTIFIABLE","?REFERENTIAL"),"_")))))</f>
        <v> </v>
      </c>
      <c r="H4806" s="24" t="str">
        <f>IF(J4806&lt;&gt;1,"",IF(I4806="SBJ","CB","?"))</f>
        <v> </v>
      </c>
      <c r="I4806" s="25" t="str">
        <f>IF(OR(E4806="",E4806="!!!",F4806="NEW"),"",INDEX(B4805:B$2,-1+SUMPRODUCT(MAX(ROW(E4805:E$2)*(E4806=E4805:E$2)))))</f>
        <v> </v>
      </c>
      <c r="J4806" s="25" t="str">
        <f>IF(OR(E4806="",E4806="!!!",F4806="NEW"),"",COUNTBLANK(OFFSET(A$1,,,SUMPRODUCT(MAX(ROW(E$2:E4806)*(E4806=E$2:E4806)))))-COUNTBLANK(OFFSET(A$1,,,SUMPRODUCT(MAX(ROW(E$1:E4805)*(E2=E$1:E4805))))))</f>
        <v> </v>
      </c>
      <c r="K4806" s="25" t="str">
        <f>IF(OR(E4806="",E4806="!!!",F4806="NEW"),"",INDEX(J$1:J4805,SUMPRODUCT(MAX(ROW(E$1:E4805)*(E4806=E$1:E4805)))))</f>
        <v> </v>
      </c>
      <c r="L4806" s="26"/>
    </row>
    <row r="4807" spans="1:12">
      <c r="A4807" s="20" t="s">
        <v>1162</v>
      </c>
      <c r="E4807" s="21">
        <f>IF(D4807="?OLD","!!!","")</f>
        <v/>
      </c>
      <c r="F4807" s="22" t="str">
        <f>IF(OR(E4807="",E4807="!!!"),"",IF(NOT(ISNA(VLOOKUP(E4807,E$1:E4806,1,FALSE()))),"OLD",IF(AND(E4807&lt;&gt;"",E4807&lt;&gt;"!!!"),"NEW","")))</f>
        <v> </v>
      </c>
      <c r="G4807" s="23" t="str">
        <f>IF(OR(E4807="",E4807="!!!"),"",IF(OR(J4807=0,AND(J4807=1,K4807=1),AND(J4807=1,I4807="SBJ"),AND(J4807=1,I4807=0)),"?IN_FOCUS",IF(J4807&lt;=2,"?ACTIVATED",IF(J4807&lt;&gt;"","?FAMILIAR",IF(F4807="NEW",IF(ISNA(VLOOKUP(E4807,#REF!,1,FALSE())),"?TYPE_IDENTIFIABLE","?REFERENTIAL"),"_")))))</f>
        <v> </v>
      </c>
      <c r="H4807" s="24" t="str">
        <f>IF(J4807&lt;&gt;1,"",IF(I4807="SBJ","CB","?"))</f>
        <v> </v>
      </c>
      <c r="I4807" s="25" t="str">
        <f>IF(OR(E4807="",E4807="!!!",F4807="NEW"),"",INDEX(B4806:B$2,-1+SUMPRODUCT(MAX(ROW(E4806:E$2)*(E4807=E4806:E$2)))))</f>
        <v> </v>
      </c>
      <c r="J4807" s="25" t="str">
        <f>IF(OR(E4807="",E4807="!!!",F4807="NEW"),"",COUNTBLANK(OFFSET(A$1,,,SUMPRODUCT(MAX(ROW(E$2:E4807)*(E4807=E$2:E4807)))))-COUNTBLANK(OFFSET(A$1,,,SUMPRODUCT(MAX(ROW(E$1:E4806)*(E2=E$1:E4806))))))</f>
        <v> </v>
      </c>
      <c r="K4807" s="25" t="str">
        <f>IF(OR(E4807="",E4807="!!!",F4807="NEW"),"",INDEX(J$1:J4806,SUMPRODUCT(MAX(ROW(E$1:E4806)*(E4807=E$1:E4806)))))</f>
        <v> </v>
      </c>
      <c r="L4807" s="26"/>
    </row>
    <row r="4808" spans="1:12">
      <c r="A4808" s="20" t="s">
        <v>1080</v>
      </c>
      <c r="E4808" s="21">
        <f>IF(D4808="?OLD","!!!","")</f>
        <v/>
      </c>
      <c r="F4808" s="22" t="str">
        <f>IF(OR(E4808="",E4808="!!!"),"",IF(NOT(ISNA(VLOOKUP(E4808,E$1:E4807,1,FALSE()))),"OLD",IF(AND(E4808&lt;&gt;"",E4808&lt;&gt;"!!!"),"NEW","")))</f>
        <v> </v>
      </c>
      <c r="G4808" s="23" t="str">
        <f>IF(OR(E4808="",E4808="!!!"),"",IF(OR(J4808=0,AND(J4808=1,K4808=1),AND(J4808=1,I4808="SBJ"),AND(J4808=1,I4808=0)),"?IN_FOCUS",IF(J4808&lt;=2,"?ACTIVATED",IF(J4808&lt;&gt;"","?FAMILIAR",IF(F4808="NEW",IF(ISNA(VLOOKUP(E4808,#REF!,1,FALSE())),"?TYPE_IDENTIFIABLE","?REFERENTIAL"),"_")))))</f>
        <v> </v>
      </c>
      <c r="H4808" s="24" t="str">
        <f>IF(J4808&lt;&gt;1,"",IF(I4808="SBJ","CB","?"))</f>
        <v> </v>
      </c>
      <c r="I4808" s="25" t="str">
        <f>IF(OR(E4808="",E4808="!!!",F4808="NEW"),"",INDEX(B4807:B$2,-1+SUMPRODUCT(MAX(ROW(E4807:E$2)*(E4808=E4807:E$2)))))</f>
        <v> </v>
      </c>
      <c r="J4808" s="25" t="str">
        <f>IF(OR(E4808="",E4808="!!!",F4808="NEW"),"",COUNTBLANK(OFFSET(A$1,,,SUMPRODUCT(MAX(ROW(E$2:E4808)*(E4808=E$2:E4808)))))-COUNTBLANK(OFFSET(A$1,,,SUMPRODUCT(MAX(ROW(E$1:E4807)*(E2=E$1:E4807))))))</f>
        <v> </v>
      </c>
      <c r="K4808" s="25" t="str">
        <f>IF(OR(E4808="",E4808="!!!",F4808="NEW"),"",INDEX(J$1:J4807,SUMPRODUCT(MAX(ROW(E$1:E4807)*(E4808=E$1:E4807)))))</f>
        <v> </v>
      </c>
      <c r="L4808" s="26"/>
    </row>
    <row r="4809" spans="1:12">
      <c r="A4809" s="20"/>
    </row>
    <row r="4810" spans="1:12">
      <c r="A4810" s="20" t="s">
        <v>2472</v>
      </c>
    </row>
    <row r="4811" spans="1:12">
      <c r="A4811" s="20" t="s">
        <v>2473</v>
      </c>
      <c r="E4811" s="21">
        <f>IF(D4811="?OLD","!!!","")</f>
        <v/>
      </c>
      <c r="F4811" s="22" t="str">
        <f>IF(OR(E4811="",E4811="!!!"),"",IF(NOT(ISNA(VLOOKUP(E4811,E$1:E4810,1,FALSE()))),"OLD",IF(AND(E4811&lt;&gt;"",E4811&lt;&gt;"!!!"),"NEW","")))</f>
        <v> </v>
      </c>
      <c r="G4811" s="23" t="str">
        <f>IF(OR(E4811="",E4811="!!!"),"",IF(OR(J4811=0,AND(J4811=1,K4811=1),AND(J4811=1,I4811="SBJ"),AND(J4811=1,I4811=0)),"?IN_FOCUS",IF(J4811&lt;=2,"?ACTIVATED",IF(J4811&lt;&gt;"","?FAMILIAR",IF(F4811="NEW",IF(ISNA(VLOOKUP(E4811,#REF!,1,FALSE())),"?TYPE_IDENTIFIABLE","?REFERENTIAL"),"_")))))</f>
        <v> </v>
      </c>
      <c r="H4811" s="24" t="str">
        <f>IF(J4811&lt;&gt;1,"",IF(I4811="SBJ","CB","?"))</f>
        <v> </v>
      </c>
      <c r="I4811" s="25" t="str">
        <f>IF(OR(E4811="",E4811="!!!",F4811="NEW"),"",INDEX(B4810:B$2,-1+SUMPRODUCT(MAX(ROW(E4810:E$2)*(E4811=E4810:E$2)))))</f>
        <v> </v>
      </c>
      <c r="J4811" s="25" t="str">
        <f>IF(OR(E4811="",E4811="!!!",F4811="NEW"),"",COUNTBLANK(OFFSET(A$1,,,SUMPRODUCT(MAX(ROW(E$2:E4811)*(E4811=E$2:E4811)))))-COUNTBLANK(OFFSET(A$1,,,SUMPRODUCT(MAX(ROW(E$1:E4810)*(E2=E$1:E4810))))))</f>
        <v> </v>
      </c>
      <c r="K4811" s="25" t="str">
        <f>IF(OR(E4811="",E4811="!!!",F4811="NEW"),"",INDEX(J$1:J4810,SUMPRODUCT(MAX(ROW(E$1:E4810)*(E4811=E$1:E4810)))))</f>
        <v> </v>
      </c>
      <c r="L4811" s="26"/>
    </row>
    <row r="4812" spans="1:12">
      <c r="A4812" s="20" t="s">
        <v>1188</v>
      </c>
      <c r="B4812" s="27" t="s">
        <v>1067</v>
      </c>
      <c r="C4812" s="27" t="s">
        <v>1110</v>
      </c>
      <c r="D4812" s="27" t="s">
        <v>1069</v>
      </c>
      <c r="E4812" s="21">
        <f>IF(D4812="?OLD","!!!","")</f>
        <v/>
      </c>
      <c r="F4812" s="22" t="str">
        <f>IF(OR(E4812="",E4812="!!!"),"",IF(NOT(ISNA(VLOOKUP(E4812,E$1:E4811,1,FALSE()))),"OLD",IF(AND(E4812&lt;&gt;"",E4812&lt;&gt;"!!!"),"NEW","")))</f>
        <v> </v>
      </c>
      <c r="G4812" s="23" t="str">
        <f>IF(OR(E4812="",E4812="!!!"),"",IF(OR(J4812=0,AND(J4812=1,K4812=1),AND(J4812=1,I4812="SBJ"),AND(J4812=1,I4812=0)),"?IN_FOCUS",IF(J4812&lt;=2,"?ACTIVATED",IF(J4812&lt;&gt;"","?FAMILIAR",IF(F4812="NEW",IF(ISNA(VLOOKUP(E4812,#REF!,1,FALSE())),"?TYPE_IDENTIFIABLE","?REFERENTIAL"),"_")))))</f>
        <v> </v>
      </c>
      <c r="H4812" s="24" t="str">
        <f>IF(J4812&lt;&gt;1,"",IF(I4812="SBJ","CB","?"))</f>
        <v> </v>
      </c>
      <c r="I4812" s="25" t="str">
        <f>IF(OR(E4812="",E4812="!!!",F4812="NEW"),"",INDEX(B4811:B$2,-1+SUMPRODUCT(MAX(ROW(E4811:E$2)*(E4812=E4811:E$2)))))</f>
        <v> </v>
      </c>
      <c r="J4812" s="25" t="str">
        <f>IF(OR(E4812="",E4812="!!!",F4812="NEW"),"",COUNTBLANK(OFFSET(A$1,,,SUMPRODUCT(MAX(ROW(E$2:E4812)*(E4812=E$2:E4812)))))-COUNTBLANK(OFFSET(A$1,,,SUMPRODUCT(MAX(ROW(E$1:E4811)*(E2=E$1:E4811))))))</f>
        <v> </v>
      </c>
      <c r="K4812" s="25" t="str">
        <f>IF(OR(E4812="",E4812="!!!",F4812="NEW"),"",INDEX(J$1:J4811,SUMPRODUCT(MAX(ROW(E$1:E4811)*(E4812=E$1:E4811)))))</f>
        <v> </v>
      </c>
      <c r="L4812" s="26"/>
    </row>
    <row r="4813" spans="1:12">
      <c r="A4813" s="20" t="s">
        <v>1087</v>
      </c>
      <c r="E4813" s="21">
        <f>IF(D4813="?OLD","!!!","")</f>
        <v/>
      </c>
      <c r="F4813" s="22" t="str">
        <f>IF(OR(E4813="",E4813="!!!"),"",IF(NOT(ISNA(VLOOKUP(E4813,E$1:E4812,1,FALSE()))),"OLD",IF(AND(E4813&lt;&gt;"",E4813&lt;&gt;"!!!"),"NEW","")))</f>
        <v> </v>
      </c>
      <c r="G4813" s="23" t="str">
        <f>IF(OR(E4813="",E4813="!!!"),"",IF(OR(J4813=0,AND(J4813=1,K4813=1),AND(J4813=1,I4813="SBJ"),AND(J4813=1,I4813=0)),"?IN_FOCUS",IF(J4813&lt;=2,"?ACTIVATED",IF(J4813&lt;&gt;"","?FAMILIAR",IF(F4813="NEW",IF(ISNA(VLOOKUP(E4813,#REF!,1,FALSE())),"?TYPE_IDENTIFIABLE","?REFERENTIAL"),"_")))))</f>
        <v> </v>
      </c>
      <c r="H4813" s="24" t="str">
        <f>IF(J4813&lt;&gt;1,"",IF(I4813="SBJ","CB","?"))</f>
        <v> </v>
      </c>
      <c r="I4813" s="25" t="str">
        <f>IF(OR(E4813="",E4813="!!!",F4813="NEW"),"",INDEX(B4812:B$2,-1+SUMPRODUCT(MAX(ROW(E4812:E$2)*(E4813=E4812:E$2)))))</f>
        <v> </v>
      </c>
      <c r="J4813" s="25" t="str">
        <f>IF(OR(E4813="",E4813="!!!",F4813="NEW"),"",COUNTBLANK(OFFSET(A$1,,,SUMPRODUCT(MAX(ROW(E$2:E4813)*(E4813=E$2:E4813)))))-COUNTBLANK(OFFSET(A$1,,,SUMPRODUCT(MAX(ROW(E$1:E4812)*(E2=E$1:E4812))))))</f>
        <v> </v>
      </c>
      <c r="K4813" s="25" t="str">
        <f>IF(OR(E4813="",E4813="!!!",F4813="NEW"),"",INDEX(J$1:J4812,SUMPRODUCT(MAX(ROW(E$1:E4812)*(E4813=E$1:E4812)))))</f>
        <v> </v>
      </c>
      <c r="L4813" s="26"/>
    </row>
    <row r="4814" spans="1:12">
      <c r="A4814" s="20" t="s">
        <v>1149</v>
      </c>
      <c r="E4814" s="21">
        <f>IF(D4814="?OLD","!!!","")</f>
        <v/>
      </c>
      <c r="F4814" s="22" t="str">
        <f>IF(OR(E4814="",E4814="!!!"),"",IF(NOT(ISNA(VLOOKUP(E4814,E$1:E4813,1,FALSE()))),"OLD",IF(AND(E4814&lt;&gt;"",E4814&lt;&gt;"!!!"),"NEW","")))</f>
        <v> </v>
      </c>
      <c r="G4814" s="23" t="str">
        <f>IF(OR(E4814="",E4814="!!!"),"",IF(OR(J4814=0,AND(J4814=1,K4814=1),AND(J4814=1,I4814="SBJ"),AND(J4814=1,I4814=0)),"?IN_FOCUS",IF(J4814&lt;=2,"?ACTIVATED",IF(J4814&lt;&gt;"","?FAMILIAR",IF(F4814="NEW",IF(ISNA(VLOOKUP(E4814,#REF!,1,FALSE())),"?TYPE_IDENTIFIABLE","?REFERENTIAL"),"_")))))</f>
        <v> </v>
      </c>
      <c r="H4814" s="24" t="str">
        <f>IF(J4814&lt;&gt;1,"",IF(I4814="SBJ","CB","?"))</f>
        <v> </v>
      </c>
      <c r="I4814" s="25" t="str">
        <f>IF(OR(E4814="",E4814="!!!",F4814="NEW"),"",INDEX(B4813:B$2,-1+SUMPRODUCT(MAX(ROW(E4813:E$2)*(E4814=E4813:E$2)))))</f>
        <v> </v>
      </c>
      <c r="J4814" s="25" t="str">
        <f>IF(OR(E4814="",E4814="!!!",F4814="NEW"),"",COUNTBLANK(OFFSET(A$1,,,SUMPRODUCT(MAX(ROW(E$2:E4814)*(E4814=E$2:E4814)))))-COUNTBLANK(OFFSET(A$1,,,SUMPRODUCT(MAX(ROW(E$1:E4813)*(E2=E$1:E4813))))))</f>
        <v> </v>
      </c>
      <c r="K4814" s="25" t="str">
        <f>IF(OR(E4814="",E4814="!!!",F4814="NEW"),"",INDEX(J$1:J4813,SUMPRODUCT(MAX(ROW(E$1:E4813)*(E4814=E$1:E4813)))))</f>
        <v> </v>
      </c>
      <c r="L4814" s="26"/>
    </row>
    <row r="4815" spans="1:12">
      <c r="A4815" s="20" t="s">
        <v>1167</v>
      </c>
      <c r="B4815" s="27" t="s">
        <v>1095</v>
      </c>
      <c r="C4815" s="27" t="s">
        <v>1068</v>
      </c>
      <c r="D4815" s="27" t="s">
        <v>1069</v>
      </c>
      <c r="E4815" s="21">
        <f>IF(D4815="?OLD","!!!","")</f>
        <v/>
      </c>
      <c r="F4815" s="22" t="str">
        <f>IF(OR(E4815="",E4815="!!!"),"",IF(NOT(ISNA(VLOOKUP(E4815,E$1:E4814,1,FALSE()))),"OLD",IF(AND(E4815&lt;&gt;"",E4815&lt;&gt;"!!!"),"NEW","")))</f>
        <v> </v>
      </c>
      <c r="G4815" s="23" t="str">
        <f>IF(OR(E4815="",E4815="!!!"),"",IF(OR(J4815=0,AND(J4815=1,K4815=1),AND(J4815=1,I4815="SBJ"),AND(J4815=1,I4815=0)),"?IN_FOCUS",IF(J4815&lt;=2,"?ACTIVATED",IF(J4815&lt;&gt;"","?FAMILIAR",IF(F4815="NEW",IF(ISNA(VLOOKUP(E4815,#REF!,1,FALSE())),"?TYPE_IDENTIFIABLE","?REFERENTIAL"),"_")))))</f>
        <v> </v>
      </c>
      <c r="H4815" s="24" t="str">
        <f>IF(J4815&lt;&gt;1,"",IF(I4815="SBJ","CB","?"))</f>
        <v> </v>
      </c>
      <c r="I4815" s="25" t="str">
        <f>IF(OR(E4815="",E4815="!!!",F4815="NEW"),"",INDEX(B4814:B$2,-1+SUMPRODUCT(MAX(ROW(E4814:E$2)*(E4815=E4814:E$2)))))</f>
        <v> </v>
      </c>
      <c r="J4815" s="25" t="str">
        <f>IF(OR(E4815="",E4815="!!!",F4815="NEW"),"",COUNTBLANK(OFFSET(A$1,,,SUMPRODUCT(MAX(ROW(E$2:E4815)*(E4815=E$2:E4815)))))-COUNTBLANK(OFFSET(A$1,,,SUMPRODUCT(MAX(ROW(E$1:E4814)*(E2=E$1:E4814))))))</f>
        <v> </v>
      </c>
      <c r="K4815" s="25" t="str">
        <f>IF(OR(E4815="",E4815="!!!",F4815="NEW"),"",INDEX(J$1:J4814,SUMPRODUCT(MAX(ROW(E$1:E4814)*(E4815=E$1:E4814)))))</f>
        <v> </v>
      </c>
      <c r="L4815" s="26"/>
    </row>
    <row r="4816" spans="1:12">
      <c r="A4816" s="20" t="s">
        <v>1270</v>
      </c>
      <c r="E4816" s="21">
        <f>IF(D4816="?OLD","!!!","")</f>
        <v/>
      </c>
      <c r="F4816" s="22" t="str">
        <f>IF(OR(E4816="",E4816="!!!"),"",IF(NOT(ISNA(VLOOKUP(E4816,E$1:E4815,1,FALSE()))),"OLD",IF(AND(E4816&lt;&gt;"",E4816&lt;&gt;"!!!"),"NEW","")))</f>
        <v> </v>
      </c>
      <c r="G4816" s="23" t="str">
        <f>IF(OR(E4816="",E4816="!!!"),"",IF(OR(J4816=0,AND(J4816=1,K4816=1),AND(J4816=1,I4816="SBJ"),AND(J4816=1,I4816=0)),"?IN_FOCUS",IF(J4816&lt;=2,"?ACTIVATED",IF(J4816&lt;&gt;"","?FAMILIAR",IF(F4816="NEW",IF(ISNA(VLOOKUP(E4816,#REF!,1,FALSE())),"?TYPE_IDENTIFIABLE","?REFERENTIAL"),"_")))))</f>
        <v> </v>
      </c>
      <c r="H4816" s="24" t="str">
        <f>IF(J4816&lt;&gt;1,"",IF(I4816="SBJ","CB","?"))</f>
        <v> </v>
      </c>
      <c r="I4816" s="25" t="str">
        <f>IF(OR(E4816="",E4816="!!!",F4816="NEW"),"",INDEX(B4815:B$2,-1+SUMPRODUCT(MAX(ROW(E4815:E$2)*(E4816=E4815:E$2)))))</f>
        <v> </v>
      </c>
      <c r="J4816" s="25" t="str">
        <f>IF(OR(E4816="",E4816="!!!",F4816="NEW"),"",COUNTBLANK(OFFSET(A$1,,,SUMPRODUCT(MAX(ROW(E$2:E4816)*(E4816=E$2:E4816)))))-COUNTBLANK(OFFSET(A$1,,,SUMPRODUCT(MAX(ROW(E$1:E4815)*(E2=E$1:E4815))))))</f>
        <v> </v>
      </c>
      <c r="K4816" s="25" t="str">
        <f>IF(OR(E4816="",E4816="!!!",F4816="NEW"),"",INDEX(J$1:J4815,SUMPRODUCT(MAX(ROW(E$1:E4815)*(E4816=E$1:E4815)))))</f>
        <v> </v>
      </c>
      <c r="L4816" s="26"/>
    </row>
    <row r="4817" spans="1:12">
      <c r="A4817" s="20" t="s">
        <v>2404</v>
      </c>
      <c r="B4817" s="27" t="s">
        <v>1090</v>
      </c>
      <c r="C4817" s="27" t="s">
        <v>1077</v>
      </c>
      <c r="E4817" s="21">
        <f>IF(D4817="?OLD","!!!","")</f>
        <v/>
      </c>
      <c r="F4817" s="22" t="str">
        <f>IF(OR(E4817="",E4817="!!!"),"",IF(NOT(ISNA(VLOOKUP(E4817,E$1:E4816,1,FALSE()))),"OLD",IF(AND(E4817&lt;&gt;"",E4817&lt;&gt;"!!!"),"NEW","")))</f>
        <v> </v>
      </c>
      <c r="G4817" s="23" t="str">
        <f>IF(OR(E4817="",E4817="!!!"),"",IF(OR(J4817=0,AND(J4817=1,K4817=1),AND(J4817=1,I4817="SBJ"),AND(J4817=1,I4817=0)),"?IN_FOCUS",IF(J4817&lt;=2,"?ACTIVATED",IF(J4817&lt;&gt;"","?FAMILIAR",IF(F4817="NEW",IF(ISNA(VLOOKUP(E4817,#REF!,1,FALSE())),"?TYPE_IDENTIFIABLE","?REFERENTIAL"),"_")))))</f>
        <v> </v>
      </c>
      <c r="H4817" s="24" t="str">
        <f>IF(J4817&lt;&gt;1,"",IF(I4817="SBJ","CB","?"))</f>
        <v> </v>
      </c>
      <c r="I4817" s="25" t="str">
        <f>IF(OR(E4817="",E4817="!!!",F4817="NEW"),"",INDEX(B4816:B$2,-1+SUMPRODUCT(MAX(ROW(E4816:E$2)*(E4817=E4816:E$2)))))</f>
        <v> </v>
      </c>
      <c r="J4817" s="25" t="str">
        <f>IF(OR(E4817="",E4817="!!!",F4817="NEW"),"",COUNTBLANK(OFFSET(A$1,,,SUMPRODUCT(MAX(ROW(E$2:E4817)*(E4817=E$2:E4817)))))-COUNTBLANK(OFFSET(A$1,,,SUMPRODUCT(MAX(ROW(E$1:E4816)*(E2=E$1:E4816))))))</f>
        <v> </v>
      </c>
      <c r="K4817" s="25" t="str">
        <f>IF(OR(E4817="",E4817="!!!",F4817="NEW"),"",INDEX(J$1:J4816,SUMPRODUCT(MAX(ROW(E$1:E4816)*(E4817=E$1:E4816)))))</f>
        <v> </v>
      </c>
      <c r="L4817" s="26"/>
    </row>
    <row r="4818" spans="1:12">
      <c r="A4818" s="20" t="s">
        <v>1299</v>
      </c>
      <c r="E4818" s="21">
        <f>IF(D4818="?OLD","!!!","")</f>
        <v/>
      </c>
      <c r="F4818" s="22" t="str">
        <f>IF(OR(E4818="",E4818="!!!"),"",IF(NOT(ISNA(VLOOKUP(E4818,E$1:E4817,1,FALSE()))),"OLD",IF(AND(E4818&lt;&gt;"",E4818&lt;&gt;"!!!"),"NEW","")))</f>
        <v> </v>
      </c>
      <c r="G4818" s="23" t="str">
        <f>IF(OR(E4818="",E4818="!!!"),"",IF(OR(J4818=0,AND(J4818=1,K4818=1),AND(J4818=1,I4818="SBJ"),AND(J4818=1,I4818=0)),"?IN_FOCUS",IF(J4818&lt;=2,"?ACTIVATED",IF(J4818&lt;&gt;"","?FAMILIAR",IF(F4818="NEW",IF(ISNA(VLOOKUP(E4818,#REF!,1,FALSE())),"?TYPE_IDENTIFIABLE","?REFERENTIAL"),"_")))))</f>
        <v> </v>
      </c>
      <c r="H4818" s="24" t="str">
        <f>IF(J4818&lt;&gt;1,"",IF(I4818="SBJ","CB","?"))</f>
        <v> </v>
      </c>
      <c r="I4818" s="25" t="str">
        <f>IF(OR(E4818="",E4818="!!!",F4818="NEW"),"",INDEX(B4817:B$2,-1+SUMPRODUCT(MAX(ROW(E4817:E$2)*(E4818=E4817:E$2)))))</f>
        <v> </v>
      </c>
      <c r="J4818" s="25" t="str">
        <f>IF(OR(E4818="",E4818="!!!",F4818="NEW"),"",COUNTBLANK(OFFSET(A$1,,,SUMPRODUCT(MAX(ROW(E$2:E4818)*(E4818=E$2:E4818)))))-COUNTBLANK(OFFSET(A$1,,,SUMPRODUCT(MAX(ROW(E$1:E4817)*(E2=E$1:E4817))))))</f>
        <v> </v>
      </c>
      <c r="K4818" s="25" t="str">
        <f>IF(OR(E4818="",E4818="!!!",F4818="NEW"),"",INDEX(J$1:J4817,SUMPRODUCT(MAX(ROW(E$1:E4817)*(E4818=E$1:E4817)))))</f>
        <v> </v>
      </c>
      <c r="L4818" s="26"/>
    </row>
    <row r="4819" spans="1:12">
      <c r="A4819" s="20" t="s">
        <v>1087</v>
      </c>
      <c r="E4819" s="21">
        <f>IF(D4819="?OLD","!!!","")</f>
        <v/>
      </c>
      <c r="F4819" s="22" t="str">
        <f>IF(OR(E4819="",E4819="!!!"),"",IF(NOT(ISNA(VLOOKUP(E4819,E$1:E4818,1,FALSE()))),"OLD",IF(AND(E4819&lt;&gt;"",E4819&lt;&gt;"!!!"),"NEW","")))</f>
        <v> </v>
      </c>
      <c r="G4819" s="23" t="str">
        <f>IF(OR(E4819="",E4819="!!!"),"",IF(OR(J4819=0,AND(J4819=1,K4819=1),AND(J4819=1,I4819="SBJ"),AND(J4819=1,I4819=0)),"?IN_FOCUS",IF(J4819&lt;=2,"?ACTIVATED",IF(J4819&lt;&gt;"","?FAMILIAR",IF(F4819="NEW",IF(ISNA(VLOOKUP(E4819,#REF!,1,FALSE())),"?TYPE_IDENTIFIABLE","?REFERENTIAL"),"_")))))</f>
        <v> </v>
      </c>
      <c r="H4819" s="24" t="str">
        <f>IF(J4819&lt;&gt;1,"",IF(I4819="SBJ","CB","?"))</f>
        <v> </v>
      </c>
      <c r="I4819" s="25" t="str">
        <f>IF(OR(E4819="",E4819="!!!",F4819="NEW"),"",INDEX(B4818:B$2,-1+SUMPRODUCT(MAX(ROW(E4818:E$2)*(E4819=E4818:E$2)))))</f>
        <v> </v>
      </c>
      <c r="J4819" s="25" t="str">
        <f>IF(OR(E4819="",E4819="!!!",F4819="NEW"),"",COUNTBLANK(OFFSET(A$1,,,SUMPRODUCT(MAX(ROW(E$2:E4819)*(E4819=E$2:E4819)))))-COUNTBLANK(OFFSET(A$1,,,SUMPRODUCT(MAX(ROW(E$1:E4818)*(E2=E$1:E4818))))))</f>
        <v> </v>
      </c>
      <c r="K4819" s="25" t="str">
        <f>IF(OR(E4819="",E4819="!!!",F4819="NEW"),"",INDEX(J$1:J4818,SUMPRODUCT(MAX(ROW(E$1:E4818)*(E4819=E$1:E4818)))))</f>
        <v> </v>
      </c>
      <c r="L4819" s="26"/>
    </row>
    <row r="4820" spans="1:12">
      <c r="A4820" s="20" t="s">
        <v>1104</v>
      </c>
      <c r="B4820" s="27" t="s">
        <v>1095</v>
      </c>
      <c r="E4820" s="21">
        <f>IF(D4820="?OLD","!!!","")</f>
        <v/>
      </c>
      <c r="F4820" s="22" t="str">
        <f>IF(OR(E4820="",E4820="!!!"),"",IF(NOT(ISNA(VLOOKUP(E4820,E$1:E4819,1,FALSE()))),"OLD",IF(AND(E4820&lt;&gt;"",E4820&lt;&gt;"!!!"),"NEW","")))</f>
        <v> </v>
      </c>
      <c r="G4820" s="23" t="str">
        <f>IF(OR(E4820="",E4820="!!!"),"",IF(OR(J4820=0,AND(J4820=1,K4820=1),AND(J4820=1,I4820="SBJ"),AND(J4820=1,I4820=0)),"?IN_FOCUS",IF(J4820&lt;=2,"?ACTIVATED",IF(J4820&lt;&gt;"","?FAMILIAR",IF(F4820="NEW",IF(ISNA(VLOOKUP(E4820,#REF!,1,FALSE())),"?TYPE_IDENTIFIABLE","?REFERENTIAL"),"_")))))</f>
        <v> </v>
      </c>
      <c r="H4820" s="24" t="str">
        <f>IF(J4820&lt;&gt;1,"",IF(I4820="SBJ","CB","?"))</f>
        <v> </v>
      </c>
      <c r="I4820" s="25" t="str">
        <f>IF(OR(E4820="",E4820="!!!",F4820="NEW"),"",INDEX(B4819:B$2,-1+SUMPRODUCT(MAX(ROW(E4819:E$2)*(E4820=E4819:E$2)))))</f>
        <v> </v>
      </c>
      <c r="J4820" s="25" t="str">
        <f>IF(OR(E4820="",E4820="!!!",F4820="NEW"),"",COUNTBLANK(OFFSET(A$1,,,SUMPRODUCT(MAX(ROW(E$2:E4820)*(E4820=E$2:E4820)))))-COUNTBLANK(OFFSET(A$1,,,SUMPRODUCT(MAX(ROW(E$1:E4819)*(E2=E$1:E4819))))))</f>
        <v> </v>
      </c>
      <c r="K4820" s="25" t="str">
        <f>IF(OR(E4820="",E4820="!!!",F4820="NEW"),"",INDEX(J$1:J4819,SUMPRODUCT(MAX(ROW(E$1:E4819)*(E4820=E$1:E4819)))))</f>
        <v> </v>
      </c>
      <c r="L4820" s="26"/>
    </row>
    <row r="4821" spans="1:12">
      <c r="A4821" s="20" t="s">
        <v>1246</v>
      </c>
      <c r="E4821" s="21">
        <f>IF(D4821="?OLD","!!!","")</f>
        <v/>
      </c>
      <c r="F4821" s="22" t="str">
        <f>IF(OR(E4821="",E4821="!!!"),"",IF(NOT(ISNA(VLOOKUP(E4821,E$1:E4820,1,FALSE()))),"OLD",IF(AND(E4821&lt;&gt;"",E4821&lt;&gt;"!!!"),"NEW","")))</f>
        <v> </v>
      </c>
      <c r="G4821" s="23" t="str">
        <f>IF(OR(E4821="",E4821="!!!"),"",IF(OR(J4821=0,AND(J4821=1,K4821=1),AND(J4821=1,I4821="SBJ"),AND(J4821=1,I4821=0)),"?IN_FOCUS",IF(J4821&lt;=2,"?ACTIVATED",IF(J4821&lt;&gt;"","?FAMILIAR",IF(F4821="NEW",IF(ISNA(VLOOKUP(E4821,#REF!,1,FALSE())),"?TYPE_IDENTIFIABLE","?REFERENTIAL"),"_")))))</f>
        <v> </v>
      </c>
      <c r="H4821" s="24" t="str">
        <f>IF(J4821&lt;&gt;1,"",IF(I4821="SBJ","CB","?"))</f>
        <v> </v>
      </c>
      <c r="I4821" s="25" t="str">
        <f>IF(OR(E4821="",E4821="!!!",F4821="NEW"),"",INDEX(B4820:B$2,-1+SUMPRODUCT(MAX(ROW(E4820:E$2)*(E4821=E4820:E$2)))))</f>
        <v> </v>
      </c>
      <c r="J4821" s="25" t="str">
        <f>IF(OR(E4821="",E4821="!!!",F4821="NEW"),"",COUNTBLANK(OFFSET(A$1,,,SUMPRODUCT(MAX(ROW(E$2:E4821)*(E4821=E$2:E4821)))))-COUNTBLANK(OFFSET(A$1,,,SUMPRODUCT(MAX(ROW(E$1:E4820)*(E2=E$1:E4820))))))</f>
        <v> </v>
      </c>
      <c r="K4821" s="25" t="str">
        <f>IF(OR(E4821="",E4821="!!!",F4821="NEW"),"",INDEX(J$1:J4820,SUMPRODUCT(MAX(ROW(E$1:E4820)*(E4821=E$1:E4820)))))</f>
        <v> </v>
      </c>
      <c r="L4821" s="26"/>
    </row>
    <row r="4822" spans="1:12">
      <c r="A4822" s="20" t="s">
        <v>1113</v>
      </c>
      <c r="E4822" s="21">
        <f>IF(D4822="?OLD","!!!","")</f>
        <v/>
      </c>
      <c r="F4822" s="22" t="str">
        <f>IF(OR(E4822="",E4822="!!!"),"",IF(NOT(ISNA(VLOOKUP(E4822,E$1:E4821,1,FALSE()))),"OLD",IF(AND(E4822&lt;&gt;"",E4822&lt;&gt;"!!!"),"NEW","")))</f>
        <v> </v>
      </c>
      <c r="G4822" s="23" t="str">
        <f>IF(OR(E4822="",E4822="!!!"),"",IF(OR(J4822=0,AND(J4822=1,K4822=1),AND(J4822=1,I4822="SBJ"),AND(J4822=1,I4822=0)),"?IN_FOCUS",IF(J4822&lt;=2,"?ACTIVATED",IF(J4822&lt;&gt;"","?FAMILIAR",IF(F4822="NEW",IF(ISNA(VLOOKUP(E4822,#REF!,1,FALSE())),"?TYPE_IDENTIFIABLE","?REFERENTIAL"),"_")))))</f>
        <v> </v>
      </c>
      <c r="H4822" s="24" t="str">
        <f>IF(J4822&lt;&gt;1,"",IF(I4822="SBJ","CB","?"))</f>
        <v> </v>
      </c>
      <c r="I4822" s="25" t="str">
        <f>IF(OR(E4822="",E4822="!!!",F4822="NEW"),"",INDEX(B4821:B$2,-1+SUMPRODUCT(MAX(ROW(E4821:E$2)*(E4822=E4821:E$2)))))</f>
        <v> </v>
      </c>
      <c r="J4822" s="25" t="str">
        <f>IF(OR(E4822="",E4822="!!!",F4822="NEW"),"",COUNTBLANK(OFFSET(A$1,,,SUMPRODUCT(MAX(ROW(E$2:E4822)*(E4822=E$2:E4822)))))-COUNTBLANK(OFFSET(A$1,,,SUMPRODUCT(MAX(ROW(E$1:E4821)*(E2=E$1:E4821))))))</f>
        <v> </v>
      </c>
      <c r="K4822" s="25" t="str">
        <f>IF(OR(E4822="",E4822="!!!",F4822="NEW"),"",INDEX(J$1:J4821,SUMPRODUCT(MAX(ROW(E$1:E4821)*(E4822=E$1:E4821)))))</f>
        <v> </v>
      </c>
      <c r="L4822" s="26"/>
    </row>
    <row r="4823" spans="1:12">
      <c r="A4823" s="20" t="s">
        <v>2474</v>
      </c>
      <c r="B4823" s="27" t="s">
        <v>1071</v>
      </c>
      <c r="C4823" s="27" t="s">
        <v>1086</v>
      </c>
      <c r="D4823" s="27" t="s">
        <v>1069</v>
      </c>
      <c r="E4823" s="21">
        <f>IF(D4823="?OLD","!!!","")</f>
        <v/>
      </c>
      <c r="F4823" s="22" t="str">
        <f>IF(OR(E4823="",E4823="!!!"),"",IF(NOT(ISNA(VLOOKUP(E4823,E$1:E4822,1,FALSE()))),"OLD",IF(AND(E4823&lt;&gt;"",E4823&lt;&gt;"!!!"),"NEW","")))</f>
        <v> </v>
      </c>
      <c r="G4823" s="23" t="str">
        <f>IF(OR(E4823="",E4823="!!!"),"",IF(OR(J4823=0,AND(J4823=1,K4823=1),AND(J4823=1,I4823="SBJ"),AND(J4823=1,I4823=0)),"?IN_FOCUS",IF(J4823&lt;=2,"?ACTIVATED",IF(J4823&lt;&gt;"","?FAMILIAR",IF(F4823="NEW",IF(ISNA(VLOOKUP(E4823,#REF!,1,FALSE())),"?TYPE_IDENTIFIABLE","?REFERENTIAL"),"_")))))</f>
        <v> </v>
      </c>
      <c r="H4823" s="24" t="str">
        <f>IF(J4823&lt;&gt;1,"",IF(I4823="SBJ","CB","?"))</f>
        <v> </v>
      </c>
      <c r="I4823" s="25" t="str">
        <f>IF(OR(E4823="",E4823="!!!",F4823="NEW"),"",INDEX(B4822:B$2,-1+SUMPRODUCT(MAX(ROW(E4822:E$2)*(E4823=E4822:E$2)))))</f>
        <v> </v>
      </c>
      <c r="J4823" s="25" t="str">
        <f>IF(OR(E4823="",E4823="!!!",F4823="NEW"),"",COUNTBLANK(OFFSET(A$1,,,SUMPRODUCT(MAX(ROW(E$2:E4823)*(E4823=E$2:E4823)))))-COUNTBLANK(OFFSET(A$1,,,SUMPRODUCT(MAX(ROW(E$1:E4822)*(E2=E$1:E4822))))))</f>
        <v> </v>
      </c>
      <c r="K4823" s="25" t="str">
        <f>IF(OR(E4823="",E4823="!!!",F4823="NEW"),"",INDEX(J$1:J4822,SUMPRODUCT(MAX(ROW(E$1:E4822)*(E4823=E$1:E4822)))))</f>
        <v> </v>
      </c>
      <c r="L4823" s="26"/>
    </row>
    <row r="4824" spans="1:12">
      <c r="A4824" s="20" t="s">
        <v>1070</v>
      </c>
      <c r="E4824" s="21">
        <f>IF(D4824="?OLD","!!!","")</f>
        <v/>
      </c>
      <c r="F4824" s="22" t="str">
        <f>IF(OR(E4824="",E4824="!!!"),"",IF(NOT(ISNA(VLOOKUP(E4824,E$1:E4823,1,FALSE()))),"OLD",IF(AND(E4824&lt;&gt;"",E4824&lt;&gt;"!!!"),"NEW","")))</f>
        <v> </v>
      </c>
      <c r="G4824" s="23" t="str">
        <f>IF(OR(E4824="",E4824="!!!"),"",IF(OR(J4824=0,AND(J4824=1,K4824=1),AND(J4824=1,I4824="SBJ"),AND(J4824=1,I4824=0)),"?IN_FOCUS",IF(J4824&lt;=2,"?ACTIVATED",IF(J4824&lt;&gt;"","?FAMILIAR",IF(F4824="NEW",IF(ISNA(VLOOKUP(E4824,#REF!,1,FALSE())),"?TYPE_IDENTIFIABLE","?REFERENTIAL"),"_")))))</f>
        <v> </v>
      </c>
      <c r="H4824" s="24" t="str">
        <f>IF(J4824&lt;&gt;1,"",IF(I4824="SBJ","CB","?"))</f>
        <v> </v>
      </c>
      <c r="I4824" s="25" t="str">
        <f>IF(OR(E4824="",E4824="!!!",F4824="NEW"),"",INDEX(B4823:B$2,-1+SUMPRODUCT(MAX(ROW(E4823:E$2)*(E4824=E4823:E$2)))))</f>
        <v> </v>
      </c>
      <c r="J4824" s="25" t="str">
        <f>IF(OR(E4824="",E4824="!!!",F4824="NEW"),"",COUNTBLANK(OFFSET(A$1,,,SUMPRODUCT(MAX(ROW(E$2:E4824)*(E4824=E$2:E4824)))))-COUNTBLANK(OFFSET(A$1,,,SUMPRODUCT(MAX(ROW(E$1:E4823)*(E2=E$1:E4823))))))</f>
        <v> </v>
      </c>
      <c r="K4824" s="25" t="str">
        <f>IF(OR(E4824="",E4824="!!!",F4824="NEW"),"",INDEX(J$1:J4823,SUMPRODUCT(MAX(ROW(E$1:E4823)*(E4824=E$1:E4823)))))</f>
        <v> </v>
      </c>
      <c r="L4824" s="26"/>
    </row>
    <row r="4825" spans="1:12">
      <c r="A4825" s="20" t="s">
        <v>707</v>
      </c>
      <c r="E4825" s="21">
        <f>IF(D4825="?OLD","!!!","")</f>
        <v/>
      </c>
      <c r="F4825" s="22" t="str">
        <f>IF(OR(E4825="",E4825="!!!"),"",IF(NOT(ISNA(VLOOKUP(E4825,E$1:E4824,1,FALSE()))),"OLD",IF(AND(E4825&lt;&gt;"",E4825&lt;&gt;"!!!"),"NEW","")))</f>
        <v> </v>
      </c>
      <c r="G4825" s="23" t="str">
        <f>IF(OR(E4825="",E4825="!!!"),"",IF(OR(J4825=0,AND(J4825=1,K4825=1),AND(J4825=1,I4825="SBJ"),AND(J4825=1,I4825=0)),"?IN_FOCUS",IF(J4825&lt;=2,"?ACTIVATED",IF(J4825&lt;&gt;"","?FAMILIAR",IF(F4825="NEW",IF(ISNA(VLOOKUP(E4825,#REF!,1,FALSE())),"?TYPE_IDENTIFIABLE","?REFERENTIAL"),"_")))))</f>
        <v> </v>
      </c>
      <c r="H4825" s="24" t="str">
        <f>IF(J4825&lt;&gt;1,"",IF(I4825="SBJ","CB","?"))</f>
        <v> </v>
      </c>
      <c r="I4825" s="25" t="str">
        <f>IF(OR(E4825="",E4825="!!!",F4825="NEW"),"",INDEX(B4824:B$2,-1+SUMPRODUCT(MAX(ROW(E4824:E$2)*(E4825=E4824:E$2)))))</f>
        <v> </v>
      </c>
      <c r="J4825" s="25" t="str">
        <f>IF(OR(E4825="",E4825="!!!",F4825="NEW"),"",COUNTBLANK(OFFSET(A$1,,,SUMPRODUCT(MAX(ROW(E$2:E4825)*(E4825=E$2:E4825)))))-COUNTBLANK(OFFSET(A$1,,,SUMPRODUCT(MAX(ROW(E$1:E4824)*(E2=E$1:E4824))))))</f>
        <v> </v>
      </c>
      <c r="K4825" s="25" t="str">
        <f>IF(OR(E4825="",E4825="!!!",F4825="NEW"),"",INDEX(J$1:J4824,SUMPRODUCT(MAX(ROW(E$1:E4824)*(E4825=E$1:E4824)))))</f>
        <v> </v>
      </c>
      <c r="L4825" s="26"/>
    </row>
    <row r="4826" spans="1:12">
      <c r="A4826" s="20" t="s">
        <v>157</v>
      </c>
      <c r="E4826" s="21">
        <f>IF(D4826="?OLD","!!!","")</f>
        <v/>
      </c>
      <c r="F4826" s="22" t="str">
        <f>IF(OR(E4826="",E4826="!!!"),"",IF(NOT(ISNA(VLOOKUP(E4826,E$1:E4825,1,FALSE()))),"OLD",IF(AND(E4826&lt;&gt;"",E4826&lt;&gt;"!!!"),"NEW","")))</f>
        <v> </v>
      </c>
      <c r="G4826" s="23" t="str">
        <f>IF(OR(E4826="",E4826="!!!"),"",IF(OR(J4826=0,AND(J4826=1,K4826=1),AND(J4826=1,I4826="SBJ"),AND(J4826=1,I4826=0)),"?IN_FOCUS",IF(J4826&lt;=2,"?ACTIVATED",IF(J4826&lt;&gt;"","?FAMILIAR",IF(F4826="NEW",IF(ISNA(VLOOKUP(E4826,#REF!,1,FALSE())),"?TYPE_IDENTIFIABLE","?REFERENTIAL"),"_")))))</f>
        <v> </v>
      </c>
      <c r="H4826" s="24" t="str">
        <f>IF(J4826&lt;&gt;1,"",IF(I4826="SBJ","CB","?"))</f>
        <v> </v>
      </c>
      <c r="I4826" s="25" t="str">
        <f>IF(OR(E4826="",E4826="!!!",F4826="NEW"),"",INDEX(B4825:B$2,-1+SUMPRODUCT(MAX(ROW(E4825:E$2)*(E4826=E4825:E$2)))))</f>
        <v> </v>
      </c>
      <c r="J4826" s="25" t="str">
        <f>IF(OR(E4826="",E4826="!!!",F4826="NEW"),"",COUNTBLANK(OFFSET(A$1,,,SUMPRODUCT(MAX(ROW(E$2:E4826)*(E4826=E$2:E4826)))))-COUNTBLANK(OFFSET(A$1,,,SUMPRODUCT(MAX(ROW(E$1:E4825)*(E2=E$1:E4825))))))</f>
        <v> </v>
      </c>
      <c r="K4826" s="25" t="str">
        <f>IF(OR(E4826="",E4826="!!!",F4826="NEW"),"",INDEX(J$1:J4825,SUMPRODUCT(MAX(ROW(E$1:E4825)*(E4826=E$1:E4825)))))</f>
        <v> </v>
      </c>
      <c r="L4826" s="26"/>
    </row>
    <row r="4827" spans="1:12">
      <c r="A4827" s="20" t="s">
        <v>1087</v>
      </c>
      <c r="E4827" s="21">
        <f>IF(D4827="?OLD","!!!","")</f>
        <v/>
      </c>
      <c r="F4827" s="22" t="str">
        <f>IF(OR(E4827="",E4827="!!!"),"",IF(NOT(ISNA(VLOOKUP(E4827,E$1:E4826,1,FALSE()))),"OLD",IF(AND(E4827&lt;&gt;"",E4827&lt;&gt;"!!!"),"NEW","")))</f>
        <v> </v>
      </c>
      <c r="G4827" s="23" t="str">
        <f>IF(OR(E4827="",E4827="!!!"),"",IF(OR(J4827=0,AND(J4827=1,K4827=1),AND(J4827=1,I4827="SBJ"),AND(J4827=1,I4827=0)),"?IN_FOCUS",IF(J4827&lt;=2,"?ACTIVATED",IF(J4827&lt;&gt;"","?FAMILIAR",IF(F4827="NEW",IF(ISNA(VLOOKUP(E4827,#REF!,1,FALSE())),"?TYPE_IDENTIFIABLE","?REFERENTIAL"),"_")))))</f>
        <v> </v>
      </c>
      <c r="H4827" s="24" t="str">
        <f>IF(J4827&lt;&gt;1,"",IF(I4827="SBJ","CB","?"))</f>
        <v> </v>
      </c>
      <c r="I4827" s="25" t="str">
        <f>IF(OR(E4827="",E4827="!!!",F4827="NEW"),"",INDEX(B4826:B$2,-1+SUMPRODUCT(MAX(ROW(E4826:E$2)*(E4827=E4826:E$2)))))</f>
        <v> </v>
      </c>
      <c r="J4827" s="25" t="str">
        <f>IF(OR(E4827="",E4827="!!!",F4827="NEW"),"",COUNTBLANK(OFFSET(A$1,,,SUMPRODUCT(MAX(ROW(E$2:E4827)*(E4827=E$2:E4827)))))-COUNTBLANK(OFFSET(A$1,,,SUMPRODUCT(MAX(ROW(E$1:E4826)*(E2=E$1:E4826))))))</f>
        <v> </v>
      </c>
      <c r="K4827" s="25" t="str">
        <f>IF(OR(E4827="",E4827="!!!",F4827="NEW"),"",INDEX(J$1:J4826,SUMPRODUCT(MAX(ROW(E$1:E4826)*(E4827=E$1:E4826)))))</f>
        <v> </v>
      </c>
      <c r="L4827" s="26"/>
    </row>
    <row r="4828" spans="1:12">
      <c r="A4828" s="20" t="s">
        <v>1104</v>
      </c>
      <c r="E4828" s="21">
        <f>IF(D4828="?OLD","!!!","")</f>
        <v/>
      </c>
      <c r="F4828" s="22" t="str">
        <f>IF(OR(E4828="",E4828="!!!"),"",IF(NOT(ISNA(VLOOKUP(E4828,E$1:E4827,1,FALSE()))),"OLD",IF(AND(E4828&lt;&gt;"",E4828&lt;&gt;"!!!"),"NEW","")))</f>
        <v> </v>
      </c>
      <c r="G4828" s="23" t="str">
        <f>IF(OR(E4828="",E4828="!!!"),"",IF(OR(J4828=0,AND(J4828=1,K4828=1),AND(J4828=1,I4828="SBJ"),AND(J4828=1,I4828=0)),"?IN_FOCUS",IF(J4828&lt;=2,"?ACTIVATED",IF(J4828&lt;&gt;"","?FAMILIAR",IF(F4828="NEW",IF(ISNA(VLOOKUP(E4828,#REF!,1,FALSE())),"?TYPE_IDENTIFIABLE","?REFERENTIAL"),"_")))))</f>
        <v> </v>
      </c>
      <c r="H4828" s="24" t="str">
        <f>IF(J4828&lt;&gt;1,"",IF(I4828="SBJ","CB","?"))</f>
        <v> </v>
      </c>
      <c r="I4828" s="25" t="str">
        <f>IF(OR(E4828="",E4828="!!!",F4828="NEW"),"",INDEX(B4827:B$2,-1+SUMPRODUCT(MAX(ROW(E4827:E$2)*(E4828=E4827:E$2)))))</f>
        <v> </v>
      </c>
      <c r="J4828" s="25" t="str">
        <f>IF(OR(E4828="",E4828="!!!",F4828="NEW"),"",COUNTBLANK(OFFSET(A$1,,,SUMPRODUCT(MAX(ROW(E$2:E4828)*(E4828=E$2:E4828)))))-COUNTBLANK(OFFSET(A$1,,,SUMPRODUCT(MAX(ROW(E$1:E4827)*(E2=E$1:E4827))))))</f>
        <v> </v>
      </c>
      <c r="K4828" s="25" t="str">
        <f>IF(OR(E4828="",E4828="!!!",F4828="NEW"),"",INDEX(J$1:J4827,SUMPRODUCT(MAX(ROW(E$1:E4827)*(E4828=E$1:E4827)))))</f>
        <v> </v>
      </c>
      <c r="L4828" s="26"/>
    </row>
    <row r="4829" spans="1:12">
      <c r="A4829" s="20" t="s">
        <v>1105</v>
      </c>
      <c r="B4829" s="27" t="s">
        <v>1090</v>
      </c>
      <c r="C4829" s="27" t="s">
        <v>1086</v>
      </c>
      <c r="D4829" s="27" t="s">
        <v>1069</v>
      </c>
      <c r="E4829" s="21">
        <f>IF(D4829="?OLD","!!!","")</f>
        <v/>
      </c>
      <c r="F4829" s="22" t="str">
        <f>IF(OR(E4829="",E4829="!!!"),"",IF(NOT(ISNA(VLOOKUP(E4829,E$1:E4828,1,FALSE()))),"OLD",IF(AND(E4829&lt;&gt;"",E4829&lt;&gt;"!!!"),"NEW","")))</f>
        <v> </v>
      </c>
      <c r="G4829" s="23" t="str">
        <f>IF(OR(E4829="",E4829="!!!"),"",IF(OR(J4829=0,AND(J4829=1,K4829=1),AND(J4829=1,I4829="SBJ"),AND(J4829=1,I4829=0)),"?IN_FOCUS",IF(J4829&lt;=2,"?ACTIVATED",IF(J4829&lt;&gt;"","?FAMILIAR",IF(F4829="NEW",IF(ISNA(VLOOKUP(E4829,#REF!,1,FALSE())),"?TYPE_IDENTIFIABLE","?REFERENTIAL"),"_")))))</f>
        <v> </v>
      </c>
      <c r="H4829" s="24" t="str">
        <f>IF(J4829&lt;&gt;1,"",IF(I4829="SBJ","CB","?"))</f>
        <v> </v>
      </c>
      <c r="I4829" s="25" t="str">
        <f>IF(OR(E4829="",E4829="!!!",F4829="NEW"),"",INDEX(B4828:B$2,-1+SUMPRODUCT(MAX(ROW(E4828:E$2)*(E4829=E4828:E$2)))))</f>
        <v> </v>
      </c>
      <c r="J4829" s="25" t="str">
        <f>IF(OR(E4829="",E4829="!!!",F4829="NEW"),"",COUNTBLANK(OFFSET(A$1,,,SUMPRODUCT(MAX(ROW(E$2:E4829)*(E4829=E$2:E4829)))))-COUNTBLANK(OFFSET(A$1,,,SUMPRODUCT(MAX(ROW(E$1:E4828)*(E2=E$1:E4828))))))</f>
        <v> </v>
      </c>
      <c r="K4829" s="25" t="str">
        <f>IF(OR(E4829="",E4829="!!!",F4829="NEW"),"",INDEX(J$1:J4828,SUMPRODUCT(MAX(ROW(E$1:E4828)*(E4829=E$1:E4828)))))</f>
        <v> </v>
      </c>
      <c r="L4829" s="26"/>
    </row>
    <row r="4830" spans="1:12">
      <c r="A4830" s="20" t="s">
        <v>2475</v>
      </c>
      <c r="E4830" s="21">
        <f>IF(D4830="?OLD","!!!","")</f>
        <v/>
      </c>
      <c r="F4830" s="22" t="str">
        <f>IF(OR(E4830="",E4830="!!!"),"",IF(NOT(ISNA(VLOOKUP(E4830,E$1:E4829,1,FALSE()))),"OLD",IF(AND(E4830&lt;&gt;"",E4830&lt;&gt;"!!!"),"NEW","")))</f>
        <v> </v>
      </c>
      <c r="G4830" s="23" t="str">
        <f>IF(OR(E4830="",E4830="!!!"),"",IF(OR(J4830=0,AND(J4830=1,K4830=1),AND(J4830=1,I4830="SBJ"),AND(J4830=1,I4830=0)),"?IN_FOCUS",IF(J4830&lt;=2,"?ACTIVATED",IF(J4830&lt;&gt;"","?FAMILIAR",IF(F4830="NEW",IF(ISNA(VLOOKUP(E4830,#REF!,1,FALSE())),"?TYPE_IDENTIFIABLE","?REFERENTIAL"),"_")))))</f>
        <v> </v>
      </c>
      <c r="H4830" s="24" t="str">
        <f>IF(J4830&lt;&gt;1,"",IF(I4830="SBJ","CB","?"))</f>
        <v> </v>
      </c>
      <c r="I4830" s="25" t="str">
        <f>IF(OR(E4830="",E4830="!!!",F4830="NEW"),"",INDEX(B4829:B$2,-1+SUMPRODUCT(MAX(ROW(E4829:E$2)*(E4830=E4829:E$2)))))</f>
        <v> </v>
      </c>
      <c r="J4830" s="25" t="str">
        <f>IF(OR(E4830="",E4830="!!!",F4830="NEW"),"",COUNTBLANK(OFFSET(A$1,,,SUMPRODUCT(MAX(ROW(E$2:E4830)*(E4830=E$2:E4830)))))-COUNTBLANK(OFFSET(A$1,,,SUMPRODUCT(MAX(ROW(E$1:E4829)*(E2=E$1:E4829))))))</f>
        <v> </v>
      </c>
      <c r="K4830" s="25" t="str">
        <f>IF(OR(E4830="",E4830="!!!",F4830="NEW"),"",INDEX(J$1:J4829,SUMPRODUCT(MAX(ROW(E$1:E4829)*(E4830=E$1:E4829)))))</f>
        <v> </v>
      </c>
      <c r="L4830" s="26"/>
    </row>
    <row r="4831" spans="1:12">
      <c r="A4831" s="20" t="s">
        <v>1324</v>
      </c>
      <c r="E4831" s="21">
        <f>IF(D4831="?OLD","!!!","")</f>
        <v/>
      </c>
      <c r="F4831" s="22" t="str">
        <f>IF(OR(E4831="",E4831="!!!"),"",IF(NOT(ISNA(VLOOKUP(E4831,E$1:E4830,1,FALSE()))),"OLD",IF(AND(E4831&lt;&gt;"",E4831&lt;&gt;"!!!"),"NEW","")))</f>
        <v> </v>
      </c>
      <c r="G4831" s="23" t="str">
        <f>IF(OR(E4831="",E4831="!!!"),"",IF(OR(J4831=0,AND(J4831=1,K4831=1),AND(J4831=1,I4831="SBJ"),AND(J4831=1,I4831=0)),"?IN_FOCUS",IF(J4831&lt;=2,"?ACTIVATED",IF(J4831&lt;&gt;"","?FAMILIAR",IF(F4831="NEW",IF(ISNA(VLOOKUP(E4831,#REF!,1,FALSE())),"?TYPE_IDENTIFIABLE","?REFERENTIAL"),"_")))))</f>
        <v> </v>
      </c>
      <c r="H4831" s="24" t="str">
        <f>IF(J4831&lt;&gt;1,"",IF(I4831="SBJ","CB","?"))</f>
        <v> </v>
      </c>
      <c r="I4831" s="25" t="str">
        <f>IF(OR(E4831="",E4831="!!!",F4831="NEW"),"",INDEX(B4830:B$2,-1+SUMPRODUCT(MAX(ROW(E4830:E$2)*(E4831=E4830:E$2)))))</f>
        <v> </v>
      </c>
      <c r="J4831" s="25" t="str">
        <f>IF(OR(E4831="",E4831="!!!",F4831="NEW"),"",COUNTBLANK(OFFSET(A$1,,,SUMPRODUCT(MAX(ROW(E$2:E4831)*(E4831=E$2:E4831)))))-COUNTBLANK(OFFSET(A$1,,,SUMPRODUCT(MAX(ROW(E$1:E4830)*(E2=E$1:E4830))))))</f>
        <v> </v>
      </c>
      <c r="K4831" s="25" t="str">
        <f>IF(OR(E4831="",E4831="!!!",F4831="NEW"),"",INDEX(J$1:J4830,SUMPRODUCT(MAX(ROW(E$1:E4830)*(E4831=E$1:E4830)))))</f>
        <v> </v>
      </c>
      <c r="L4831" s="26"/>
    </row>
    <row r="4832" spans="1:12">
      <c r="A4832" s="20"/>
    </row>
    <row r="4833" spans="1:12">
      <c r="A4833" s="20" t="s">
        <v>2476</v>
      </c>
    </row>
    <row r="4834" spans="1:12">
      <c r="A4834" s="20" t="s">
        <v>1158</v>
      </c>
      <c r="E4834" s="21">
        <f>IF(D4834="?OLD","!!!","")</f>
        <v/>
      </c>
      <c r="F4834" s="22" t="str">
        <f>IF(OR(E4834="",E4834="!!!"),"",IF(NOT(ISNA(VLOOKUP(E4834,E$1:E4833,1,FALSE()))),"OLD",IF(AND(E4834&lt;&gt;"",E4834&lt;&gt;"!!!"),"NEW","")))</f>
        <v> </v>
      </c>
      <c r="G4834" s="23" t="str">
        <f>IF(OR(E4834="",E4834="!!!"),"",IF(OR(J4834=0,AND(J4834=1,K4834=1),AND(J4834=1,I4834="SBJ"),AND(J4834=1,I4834=0)),"?IN_FOCUS",IF(J4834&lt;=2,"?ACTIVATED",IF(J4834&lt;&gt;"","?FAMILIAR",IF(F4834="NEW",IF(ISNA(VLOOKUP(E4834,#REF!,1,FALSE())),"?TYPE_IDENTIFIABLE","?REFERENTIAL"),"_")))))</f>
        <v> </v>
      </c>
      <c r="H4834" s="24" t="str">
        <f>IF(J4834&lt;&gt;1,"",IF(I4834="SBJ","CB","?"))</f>
        <v> </v>
      </c>
      <c r="I4834" s="25" t="str">
        <f>IF(OR(E4834="",E4834="!!!",F4834="NEW"),"",INDEX(B4833:B$2,-1+SUMPRODUCT(MAX(ROW(E4833:E$2)*(E4834=E4833:E$2)))))</f>
        <v> </v>
      </c>
      <c r="J4834" s="25" t="str">
        <f>IF(OR(E4834="",E4834="!!!",F4834="NEW"),"",COUNTBLANK(OFFSET(A$1,,,SUMPRODUCT(MAX(ROW(E$2:E4834)*(E4834=E$2:E4834)))))-COUNTBLANK(OFFSET(A$1,,,SUMPRODUCT(MAX(ROW(E$1:E4833)*(E2=E$1:E4833))))))</f>
        <v> </v>
      </c>
      <c r="K4834" s="25" t="str">
        <f>IF(OR(E4834="",E4834="!!!",F4834="NEW"),"",INDEX(J$1:J4833,SUMPRODUCT(MAX(ROW(E$1:E4833)*(E4834=E$1:E4833)))))</f>
        <v> </v>
      </c>
      <c r="L4834" s="26"/>
    </row>
    <row r="4835" spans="1:12">
      <c r="A4835" s="20" t="s">
        <v>1299</v>
      </c>
      <c r="E4835" s="21">
        <f>IF(D4835="?OLD","!!!","")</f>
        <v/>
      </c>
      <c r="F4835" s="22" t="str">
        <f>IF(OR(E4835="",E4835="!!!"),"",IF(NOT(ISNA(VLOOKUP(E4835,E$1:E4834,1,FALSE()))),"OLD",IF(AND(E4835&lt;&gt;"",E4835&lt;&gt;"!!!"),"NEW","")))</f>
        <v> </v>
      </c>
      <c r="G4835" s="23" t="str">
        <f>IF(OR(E4835="",E4835="!!!"),"",IF(OR(J4835=0,AND(J4835=1,K4835=1),AND(J4835=1,I4835="SBJ"),AND(J4835=1,I4835=0)),"?IN_FOCUS",IF(J4835&lt;=2,"?ACTIVATED",IF(J4835&lt;&gt;"","?FAMILIAR",IF(F4835="NEW",IF(ISNA(VLOOKUP(E4835,#REF!,1,FALSE())),"?TYPE_IDENTIFIABLE","?REFERENTIAL"),"_")))))</f>
        <v> </v>
      </c>
      <c r="H4835" s="24" t="str">
        <f>IF(J4835&lt;&gt;1,"",IF(I4835="SBJ","CB","?"))</f>
        <v> </v>
      </c>
      <c r="I4835" s="25" t="str">
        <f>IF(OR(E4835="",E4835="!!!",F4835="NEW"),"",INDEX(B4834:B$2,-1+SUMPRODUCT(MAX(ROW(E4834:E$2)*(E4835=E4834:E$2)))))</f>
        <v> </v>
      </c>
      <c r="J4835" s="25" t="str">
        <f>IF(OR(E4835="",E4835="!!!",F4835="NEW"),"",COUNTBLANK(OFFSET(A$1,,,SUMPRODUCT(MAX(ROW(E$2:E4835)*(E4835=E$2:E4835)))))-COUNTBLANK(OFFSET(A$1,,,SUMPRODUCT(MAX(ROW(E$1:E4834)*(E2=E$1:E4834))))))</f>
        <v> </v>
      </c>
      <c r="K4835" s="25" t="str">
        <f>IF(OR(E4835="",E4835="!!!",F4835="NEW"),"",INDEX(J$1:J4834,SUMPRODUCT(MAX(ROW(E$1:E4834)*(E4835=E$1:E4834)))))</f>
        <v> </v>
      </c>
      <c r="L4835" s="26"/>
    </row>
    <row r="4836" spans="1:12">
      <c r="A4836" s="20" t="s">
        <v>1193</v>
      </c>
      <c r="E4836" s="21">
        <f>IF(D4836="?OLD","!!!","")</f>
        <v/>
      </c>
      <c r="F4836" s="22" t="str">
        <f>IF(OR(E4836="",E4836="!!!"),"",IF(NOT(ISNA(VLOOKUP(E4836,E$1:E4835,1,FALSE()))),"OLD",IF(AND(E4836&lt;&gt;"",E4836&lt;&gt;"!!!"),"NEW","")))</f>
        <v> </v>
      </c>
      <c r="G4836" s="23" t="str">
        <f>IF(OR(E4836="",E4836="!!!"),"",IF(OR(J4836=0,AND(J4836=1,K4836=1),AND(J4836=1,I4836="SBJ"),AND(J4836=1,I4836=0)),"?IN_FOCUS",IF(J4836&lt;=2,"?ACTIVATED",IF(J4836&lt;&gt;"","?FAMILIAR",IF(F4836="NEW",IF(ISNA(VLOOKUP(E4836,#REF!,1,FALSE())),"?TYPE_IDENTIFIABLE","?REFERENTIAL"),"_")))))</f>
        <v> </v>
      </c>
      <c r="H4836" s="24" t="str">
        <f>IF(J4836&lt;&gt;1,"",IF(I4836="SBJ","CB","?"))</f>
        <v> </v>
      </c>
      <c r="I4836" s="25" t="str">
        <f>IF(OR(E4836="",E4836="!!!",F4836="NEW"),"",INDEX(B4835:B$2,-1+SUMPRODUCT(MAX(ROW(E4835:E$2)*(E4836=E4835:E$2)))))</f>
        <v> </v>
      </c>
      <c r="J4836" s="25" t="str">
        <f>IF(OR(E4836="",E4836="!!!",F4836="NEW"),"",COUNTBLANK(OFFSET(A$1,,,SUMPRODUCT(MAX(ROW(E$2:E4836)*(E4836=E$2:E4836)))))-COUNTBLANK(OFFSET(A$1,,,SUMPRODUCT(MAX(ROW(E$1:E4835)*(E2=E$1:E4835))))))</f>
        <v> </v>
      </c>
      <c r="K4836" s="25" t="str">
        <f>IF(OR(E4836="",E4836="!!!",F4836="NEW"),"",INDEX(J$1:J4835,SUMPRODUCT(MAX(ROW(E$1:E4835)*(E4836=E$1:E4835)))))</f>
        <v> </v>
      </c>
      <c r="L4836" s="26"/>
    </row>
    <row r="4837" spans="1:12">
      <c r="A4837" s="20" t="s">
        <v>1087</v>
      </c>
      <c r="E4837" s="21">
        <f>IF(D4837="?OLD","!!!","")</f>
        <v/>
      </c>
      <c r="F4837" s="22" t="str">
        <f>IF(OR(E4837="",E4837="!!!"),"",IF(NOT(ISNA(VLOOKUP(E4837,E$1:E4836,1,FALSE()))),"OLD",IF(AND(E4837&lt;&gt;"",E4837&lt;&gt;"!!!"),"NEW","")))</f>
        <v> </v>
      </c>
      <c r="G4837" s="23" t="str">
        <f>IF(OR(E4837="",E4837="!!!"),"",IF(OR(J4837=0,AND(J4837=1,K4837=1),AND(J4837=1,I4837="SBJ"),AND(J4837=1,I4837=0)),"?IN_FOCUS",IF(J4837&lt;=2,"?ACTIVATED",IF(J4837&lt;&gt;"","?FAMILIAR",IF(F4837="NEW",IF(ISNA(VLOOKUP(E4837,#REF!,1,FALSE())),"?TYPE_IDENTIFIABLE","?REFERENTIAL"),"_")))))</f>
        <v> </v>
      </c>
      <c r="H4837" s="24" t="str">
        <f>IF(J4837&lt;&gt;1,"",IF(I4837="SBJ","CB","?"))</f>
        <v> </v>
      </c>
      <c r="I4837" s="25" t="str">
        <f>IF(OR(E4837="",E4837="!!!",F4837="NEW"),"",INDEX(B4836:B$2,-1+SUMPRODUCT(MAX(ROW(E4836:E$2)*(E4837=E4836:E$2)))))</f>
        <v> </v>
      </c>
      <c r="J4837" s="25" t="str">
        <f>IF(OR(E4837="",E4837="!!!",F4837="NEW"),"",COUNTBLANK(OFFSET(A$1,,,SUMPRODUCT(MAX(ROW(E$2:E4837)*(E4837=E$2:E4837)))))-COUNTBLANK(OFFSET(A$1,,,SUMPRODUCT(MAX(ROW(E$1:E4836)*(E2=E$1:E4836))))))</f>
        <v> </v>
      </c>
      <c r="K4837" s="25" t="str">
        <f>IF(OR(E4837="",E4837="!!!",F4837="NEW"),"",INDEX(J$1:J4836,SUMPRODUCT(MAX(ROW(E$1:E4836)*(E4837=E$1:E4836)))))</f>
        <v> </v>
      </c>
      <c r="L4837" s="26"/>
    </row>
    <row r="4838" spans="1:12">
      <c r="A4838" s="20" t="s">
        <v>1193</v>
      </c>
      <c r="E4838" s="21">
        <f>IF(D4838="?OLD","!!!","")</f>
        <v/>
      </c>
      <c r="F4838" s="22" t="str">
        <f>IF(OR(E4838="",E4838="!!!"),"",IF(NOT(ISNA(VLOOKUP(E4838,E$1:E4837,1,FALSE()))),"OLD",IF(AND(E4838&lt;&gt;"",E4838&lt;&gt;"!!!"),"NEW","")))</f>
        <v> </v>
      </c>
      <c r="G4838" s="23" t="str">
        <f>IF(OR(E4838="",E4838="!!!"),"",IF(OR(J4838=0,AND(J4838=1,K4838=1),AND(J4838=1,I4838="SBJ"),AND(J4838=1,I4838=0)),"?IN_FOCUS",IF(J4838&lt;=2,"?ACTIVATED",IF(J4838&lt;&gt;"","?FAMILIAR",IF(F4838="NEW",IF(ISNA(VLOOKUP(E4838,#REF!,1,FALSE())),"?TYPE_IDENTIFIABLE","?REFERENTIAL"),"_")))))</f>
        <v> </v>
      </c>
      <c r="H4838" s="24" t="str">
        <f>IF(J4838&lt;&gt;1,"",IF(I4838="SBJ","CB","?"))</f>
        <v> </v>
      </c>
      <c r="I4838" s="25" t="str">
        <f>IF(OR(E4838="",E4838="!!!",F4838="NEW"),"",INDEX(B4837:B$2,-1+SUMPRODUCT(MAX(ROW(E4837:E$2)*(E4838=E4837:E$2)))))</f>
        <v> </v>
      </c>
      <c r="J4838" s="25" t="str">
        <f>IF(OR(E4838="",E4838="!!!",F4838="NEW"),"",COUNTBLANK(OFFSET(A$1,,,SUMPRODUCT(MAX(ROW(E$2:E4838)*(E4838=E$2:E4838)))))-COUNTBLANK(OFFSET(A$1,,,SUMPRODUCT(MAX(ROW(E$1:E4837)*(E2=E$1:E4837))))))</f>
        <v> </v>
      </c>
      <c r="K4838" s="25" t="str">
        <f>IF(OR(E4838="",E4838="!!!",F4838="NEW"),"",INDEX(J$1:J4837,SUMPRODUCT(MAX(ROW(E$1:E4837)*(E4838=E$1:E4837)))))</f>
        <v> </v>
      </c>
      <c r="L4838" s="26"/>
    </row>
    <row r="4839" spans="1:12">
      <c r="A4839" s="20" t="s">
        <v>2477</v>
      </c>
      <c r="B4839" s="27" t="s">
        <v>1074</v>
      </c>
      <c r="C4839" s="27" t="s">
        <v>1110</v>
      </c>
      <c r="D4839" s="27" t="s">
        <v>1069</v>
      </c>
      <c r="E4839" s="21">
        <f>IF(D4839="?OLD","!!!","")</f>
        <v/>
      </c>
      <c r="F4839" s="22" t="str">
        <f>IF(OR(E4839="",E4839="!!!"),"",IF(NOT(ISNA(VLOOKUP(E4839,E$1:E4838,1,FALSE()))),"OLD",IF(AND(E4839&lt;&gt;"",E4839&lt;&gt;"!!!"),"NEW","")))</f>
        <v> </v>
      </c>
      <c r="G4839" s="23" t="str">
        <f>IF(OR(E4839="",E4839="!!!"),"",IF(OR(J4839=0,AND(J4839=1,K4839=1),AND(J4839=1,I4839="SBJ"),AND(J4839=1,I4839=0)),"?IN_FOCUS",IF(J4839&lt;=2,"?ACTIVATED",IF(J4839&lt;&gt;"","?FAMILIAR",IF(F4839="NEW",IF(ISNA(VLOOKUP(E4839,#REF!,1,FALSE())),"?TYPE_IDENTIFIABLE","?REFERENTIAL"),"_")))))</f>
        <v> </v>
      </c>
      <c r="H4839" s="24" t="str">
        <f>IF(J4839&lt;&gt;1,"",IF(I4839="SBJ","CB","?"))</f>
        <v> </v>
      </c>
      <c r="I4839" s="25" t="str">
        <f>IF(OR(E4839="",E4839="!!!",F4839="NEW"),"",INDEX(B4838:B$2,-1+SUMPRODUCT(MAX(ROW(E4838:E$2)*(E4839=E4838:E$2)))))</f>
        <v> </v>
      </c>
      <c r="J4839" s="25" t="str">
        <f>IF(OR(E4839="",E4839="!!!",F4839="NEW"),"",COUNTBLANK(OFFSET(A$1,,,SUMPRODUCT(MAX(ROW(E$2:E4839)*(E4839=E$2:E4839)))))-COUNTBLANK(OFFSET(A$1,,,SUMPRODUCT(MAX(ROW(E$1:E4838)*(E2=E$1:E4838))))))</f>
        <v> </v>
      </c>
      <c r="K4839" s="25" t="str">
        <f>IF(OR(E4839="",E4839="!!!",F4839="NEW"),"",INDEX(J$1:J4838,SUMPRODUCT(MAX(ROW(E$1:E4838)*(E4839=E$1:E4838)))))</f>
        <v> </v>
      </c>
      <c r="L4839" s="26"/>
    </row>
    <row r="4840" spans="1:12">
      <c r="A4840" s="20" t="s">
        <v>1105</v>
      </c>
      <c r="B4840" s="27" t="s">
        <v>1067</v>
      </c>
      <c r="C4840" s="27" t="s">
        <v>1077</v>
      </c>
      <c r="E4840" s="21">
        <f>IF(D4840="?OLD","!!!","")</f>
        <v/>
      </c>
      <c r="F4840" s="22" t="str">
        <f>IF(OR(E4840="",E4840="!!!"),"",IF(NOT(ISNA(VLOOKUP(E4840,E$1:E4839,1,FALSE()))),"OLD",IF(AND(E4840&lt;&gt;"",E4840&lt;&gt;"!!!"),"NEW","")))</f>
        <v> </v>
      </c>
      <c r="G4840" s="23" t="str">
        <f>IF(OR(E4840="",E4840="!!!"),"",IF(OR(J4840=0,AND(J4840=1,K4840=1),AND(J4840=1,I4840="SBJ"),AND(J4840=1,I4840=0)),"?IN_FOCUS",IF(J4840&lt;=2,"?ACTIVATED",IF(J4840&lt;&gt;"","?FAMILIAR",IF(F4840="NEW",IF(ISNA(VLOOKUP(E4840,#REF!,1,FALSE())),"?TYPE_IDENTIFIABLE","?REFERENTIAL"),"_")))))</f>
        <v> </v>
      </c>
      <c r="H4840" s="24" t="str">
        <f>IF(J4840&lt;&gt;1,"",IF(I4840="SBJ","CB","?"))</f>
        <v> </v>
      </c>
      <c r="I4840" s="25" t="str">
        <f>IF(OR(E4840="",E4840="!!!",F4840="NEW"),"",INDEX(B4839:B$2,-1+SUMPRODUCT(MAX(ROW(E4839:E$2)*(E4840=E4839:E$2)))))</f>
        <v> </v>
      </c>
      <c r="J4840" s="25" t="str">
        <f>IF(OR(E4840="",E4840="!!!",F4840="NEW"),"",COUNTBLANK(OFFSET(A$1,,,SUMPRODUCT(MAX(ROW(E$2:E4840)*(E4840=E$2:E4840)))))-COUNTBLANK(OFFSET(A$1,,,SUMPRODUCT(MAX(ROW(E$1:E4839)*(E2=E$1:E4839))))))</f>
        <v> </v>
      </c>
      <c r="K4840" s="25" t="str">
        <f>IF(OR(E4840="",E4840="!!!",F4840="NEW"),"",INDEX(J$1:J4839,SUMPRODUCT(MAX(ROW(E$1:E4839)*(E4840=E$1:E4839)))))</f>
        <v> </v>
      </c>
      <c r="L4840" s="26"/>
    </row>
    <row r="4841" spans="1:12">
      <c r="A4841" s="20" t="s">
        <v>1087</v>
      </c>
      <c r="E4841" s="21">
        <f>IF(D4841="?OLD","!!!","")</f>
        <v/>
      </c>
      <c r="F4841" s="22" t="str">
        <f>IF(OR(E4841="",E4841="!!!"),"",IF(NOT(ISNA(VLOOKUP(E4841,E$1:E4840,1,FALSE()))),"OLD",IF(AND(E4841&lt;&gt;"",E4841&lt;&gt;"!!!"),"NEW","")))</f>
        <v> </v>
      </c>
      <c r="G4841" s="23" t="str">
        <f>IF(OR(E4841="",E4841="!!!"),"",IF(OR(J4841=0,AND(J4841=1,K4841=1),AND(J4841=1,I4841="SBJ"),AND(J4841=1,I4841=0)),"?IN_FOCUS",IF(J4841&lt;=2,"?ACTIVATED",IF(J4841&lt;&gt;"","?FAMILIAR",IF(F4841="NEW",IF(ISNA(VLOOKUP(E4841,#REF!,1,FALSE())),"?TYPE_IDENTIFIABLE","?REFERENTIAL"),"_")))))</f>
        <v> </v>
      </c>
      <c r="H4841" s="24" t="str">
        <f>IF(J4841&lt;&gt;1,"",IF(I4841="SBJ","CB","?"))</f>
        <v> </v>
      </c>
      <c r="I4841" s="25" t="str">
        <f>IF(OR(E4841="",E4841="!!!",F4841="NEW"),"",INDEX(B4840:B$2,-1+SUMPRODUCT(MAX(ROW(E4840:E$2)*(E4841=E4840:E$2)))))</f>
        <v> </v>
      </c>
      <c r="J4841" s="25" t="str">
        <f>IF(OR(E4841="",E4841="!!!",F4841="NEW"),"",COUNTBLANK(OFFSET(A$1,,,SUMPRODUCT(MAX(ROW(E$2:E4841)*(E4841=E$2:E4841)))))-COUNTBLANK(OFFSET(A$1,,,SUMPRODUCT(MAX(ROW(E$1:E4840)*(E2=E$1:E4840))))))</f>
        <v> </v>
      </c>
      <c r="K4841" s="25" t="str">
        <f>IF(OR(E4841="",E4841="!!!",F4841="NEW"),"",INDEX(J$1:J4840,SUMPRODUCT(MAX(ROW(E$1:E4840)*(E4841=E$1:E4840)))))</f>
        <v> </v>
      </c>
      <c r="L4841" s="26"/>
    </row>
    <row r="4842" spans="1:12">
      <c r="A4842" s="20" t="s">
        <v>1104</v>
      </c>
      <c r="B4842" s="27" t="s">
        <v>1106</v>
      </c>
      <c r="E4842" s="21">
        <f>IF(D4842="?OLD","!!!","")</f>
        <v/>
      </c>
      <c r="F4842" s="22" t="str">
        <f>IF(OR(E4842="",E4842="!!!"),"",IF(NOT(ISNA(VLOOKUP(E4842,E$1:E4841,1,FALSE()))),"OLD",IF(AND(E4842&lt;&gt;"",E4842&lt;&gt;"!!!"),"NEW","")))</f>
        <v> </v>
      </c>
      <c r="G4842" s="23" t="str">
        <f>IF(OR(E4842="",E4842="!!!"),"",IF(OR(J4842=0,AND(J4842=1,K4842=1),AND(J4842=1,I4842="SBJ"),AND(J4842=1,I4842=0)),"?IN_FOCUS",IF(J4842&lt;=2,"?ACTIVATED",IF(J4842&lt;&gt;"","?FAMILIAR",IF(F4842="NEW",IF(ISNA(VLOOKUP(E4842,#REF!,1,FALSE())),"?TYPE_IDENTIFIABLE","?REFERENTIAL"),"_")))))</f>
        <v> </v>
      </c>
      <c r="H4842" s="24" t="str">
        <f>IF(J4842&lt;&gt;1,"",IF(I4842="SBJ","CB","?"))</f>
        <v> </v>
      </c>
      <c r="I4842" s="25" t="str">
        <f>IF(OR(E4842="",E4842="!!!",F4842="NEW"),"",INDEX(B4841:B$2,-1+SUMPRODUCT(MAX(ROW(E4841:E$2)*(E4842=E4841:E$2)))))</f>
        <v> </v>
      </c>
      <c r="J4842" s="25" t="str">
        <f>IF(OR(E4842="",E4842="!!!",F4842="NEW"),"",COUNTBLANK(OFFSET(A$1,,,SUMPRODUCT(MAX(ROW(E$2:E4842)*(E4842=E$2:E4842)))))-COUNTBLANK(OFFSET(A$1,,,SUMPRODUCT(MAX(ROW(E$1:E4841)*(E2=E$1:E4841))))))</f>
        <v> </v>
      </c>
      <c r="K4842" s="25" t="str">
        <f>IF(OR(E4842="",E4842="!!!",F4842="NEW"),"",INDEX(J$1:J4841,SUMPRODUCT(MAX(ROW(E$1:E4841)*(E4842=E$1:E4841)))))</f>
        <v> </v>
      </c>
      <c r="L4842" s="26"/>
    </row>
    <row r="4843" spans="1:12">
      <c r="A4843" s="20" t="s">
        <v>1188</v>
      </c>
      <c r="B4843" s="27" t="s">
        <v>1133</v>
      </c>
      <c r="C4843" s="27" t="s">
        <v>1110</v>
      </c>
      <c r="D4843" s="27" t="s">
        <v>1069</v>
      </c>
      <c r="E4843" s="21">
        <f>IF(D4843="?OLD","!!!","")</f>
        <v/>
      </c>
      <c r="F4843" s="22" t="str">
        <f>IF(OR(E4843="",E4843="!!!"),"",IF(NOT(ISNA(VLOOKUP(E4843,E$1:E4842,1,FALSE()))),"OLD",IF(AND(E4843&lt;&gt;"",E4843&lt;&gt;"!!!"),"NEW","")))</f>
        <v> </v>
      </c>
      <c r="G4843" s="23" t="str">
        <f>IF(OR(E4843="",E4843="!!!"),"",IF(OR(J4843=0,AND(J4843=1,K4843=1),AND(J4843=1,I4843="SBJ"),AND(J4843=1,I4843=0)),"?IN_FOCUS",IF(J4843&lt;=2,"?ACTIVATED",IF(J4843&lt;&gt;"","?FAMILIAR",IF(F4843="NEW",IF(ISNA(VLOOKUP(E4843,#REF!,1,FALSE())),"?TYPE_IDENTIFIABLE","?REFERENTIAL"),"_")))))</f>
        <v> </v>
      </c>
      <c r="H4843" s="24" t="str">
        <f>IF(J4843&lt;&gt;1,"",IF(I4843="SBJ","CB","?"))</f>
        <v> </v>
      </c>
      <c r="I4843" s="25" t="str">
        <f>IF(OR(E4843="",E4843="!!!",F4843="NEW"),"",INDEX(B4842:B$2,-1+SUMPRODUCT(MAX(ROW(E4842:E$2)*(E4843=E4842:E$2)))))</f>
        <v> </v>
      </c>
      <c r="J4843" s="25" t="str">
        <f>IF(OR(E4843="",E4843="!!!",F4843="NEW"),"",COUNTBLANK(OFFSET(A$1,,,SUMPRODUCT(MAX(ROW(E$2:E4843)*(E4843=E$2:E4843)))))-COUNTBLANK(OFFSET(A$1,,,SUMPRODUCT(MAX(ROW(E$1:E4842)*(E2=E$1:E4842))))))</f>
        <v> </v>
      </c>
      <c r="K4843" s="25" t="str">
        <f>IF(OR(E4843="",E4843="!!!",F4843="NEW"),"",INDEX(J$1:J4842,SUMPRODUCT(MAX(ROW(E$1:E4842)*(E4843=E$1:E4842)))))</f>
        <v> </v>
      </c>
      <c r="L4843" s="26"/>
    </row>
    <row r="4844" spans="1:12">
      <c r="A4844" s="20" t="s">
        <v>1387</v>
      </c>
      <c r="E4844" s="21">
        <f>IF(D4844="?OLD","!!!","")</f>
        <v/>
      </c>
      <c r="F4844" s="22" t="str">
        <f>IF(OR(E4844="",E4844="!!!"),"",IF(NOT(ISNA(VLOOKUP(E4844,E$1:E4843,1,FALSE()))),"OLD",IF(AND(E4844&lt;&gt;"",E4844&lt;&gt;"!!!"),"NEW","")))</f>
        <v> </v>
      </c>
      <c r="G4844" s="23" t="str">
        <f>IF(OR(E4844="",E4844="!!!"),"",IF(OR(J4844=0,AND(J4844=1,K4844=1),AND(J4844=1,I4844="SBJ"),AND(J4844=1,I4844=0)),"?IN_FOCUS",IF(J4844&lt;=2,"?ACTIVATED",IF(J4844&lt;&gt;"","?FAMILIAR",IF(F4844="NEW",IF(ISNA(VLOOKUP(E4844,#REF!,1,FALSE())),"?TYPE_IDENTIFIABLE","?REFERENTIAL"),"_")))))</f>
        <v> </v>
      </c>
      <c r="H4844" s="24" t="str">
        <f>IF(J4844&lt;&gt;1,"",IF(I4844="SBJ","CB","?"))</f>
        <v> </v>
      </c>
      <c r="I4844" s="25" t="str">
        <f>IF(OR(E4844="",E4844="!!!",F4844="NEW"),"",INDEX(B4843:B$2,-1+SUMPRODUCT(MAX(ROW(E4843:E$2)*(E4844=E4843:E$2)))))</f>
        <v> </v>
      </c>
      <c r="J4844" s="25" t="str">
        <f>IF(OR(E4844="",E4844="!!!",F4844="NEW"),"",COUNTBLANK(OFFSET(A$1,,,SUMPRODUCT(MAX(ROW(E$2:E4844)*(E4844=E$2:E4844)))))-COUNTBLANK(OFFSET(A$1,,,SUMPRODUCT(MAX(ROW(E$1:E4843)*(E2=E$1:E4843))))))</f>
        <v> </v>
      </c>
      <c r="K4844" s="25" t="str">
        <f>IF(OR(E4844="",E4844="!!!",F4844="NEW"),"",INDEX(J$1:J4843,SUMPRODUCT(MAX(ROW(E$1:E4843)*(E4844=E$1:E4843)))))</f>
        <v> </v>
      </c>
      <c r="L4844" s="26"/>
    </row>
    <row r="4845" spans="1:12">
      <c r="A4845" s="20" t="s">
        <v>121</v>
      </c>
      <c r="E4845" s="21">
        <f>IF(D4845="?OLD","!!!","")</f>
        <v/>
      </c>
      <c r="F4845" s="22" t="str">
        <f>IF(OR(E4845="",E4845="!!!"),"",IF(NOT(ISNA(VLOOKUP(E4845,E$1:E4844,1,FALSE()))),"OLD",IF(AND(E4845&lt;&gt;"",E4845&lt;&gt;"!!!"),"NEW","")))</f>
        <v> </v>
      </c>
      <c r="G4845" s="23" t="str">
        <f>IF(OR(E4845="",E4845="!!!"),"",IF(OR(J4845=0,AND(J4845=1,K4845=1),AND(J4845=1,I4845="SBJ"),AND(J4845=1,I4845=0)),"?IN_FOCUS",IF(J4845&lt;=2,"?ACTIVATED",IF(J4845&lt;&gt;"","?FAMILIAR",IF(F4845="NEW",IF(ISNA(VLOOKUP(E4845,#REF!,1,FALSE())),"?TYPE_IDENTIFIABLE","?REFERENTIAL"),"_")))))</f>
        <v> </v>
      </c>
      <c r="H4845" s="24" t="str">
        <f>IF(J4845&lt;&gt;1,"",IF(I4845="SBJ","CB","?"))</f>
        <v> </v>
      </c>
      <c r="I4845" s="25" t="str">
        <f>IF(OR(E4845="",E4845="!!!",F4845="NEW"),"",INDEX(B4844:B$2,-1+SUMPRODUCT(MAX(ROW(E4844:E$2)*(E4845=E4844:E$2)))))</f>
        <v> </v>
      </c>
      <c r="J4845" s="25" t="str">
        <f>IF(OR(E4845="",E4845="!!!",F4845="NEW"),"",COUNTBLANK(OFFSET(A$1,,,SUMPRODUCT(MAX(ROW(E$2:E4845)*(E4845=E$2:E4845)))))-COUNTBLANK(OFFSET(A$1,,,SUMPRODUCT(MAX(ROW(E$1:E4844)*(E2=E$1:E4844))))))</f>
        <v> </v>
      </c>
      <c r="K4845" s="25" t="str">
        <f>IF(OR(E4845="",E4845="!!!",F4845="NEW"),"",INDEX(J$1:J4844,SUMPRODUCT(MAX(ROW(E$1:E4844)*(E4845=E$1:E4844)))))</f>
        <v> </v>
      </c>
      <c r="L4845" s="26"/>
    </row>
    <row r="4846" spans="1:12">
      <c r="A4846" s="20" t="s">
        <v>1236</v>
      </c>
      <c r="E4846" s="21">
        <f>IF(D4846="?OLD","!!!","")</f>
        <v/>
      </c>
      <c r="F4846" s="22" t="str">
        <f>IF(OR(E4846="",E4846="!!!"),"",IF(NOT(ISNA(VLOOKUP(E4846,E$1:E4845,1,FALSE()))),"OLD",IF(AND(E4846&lt;&gt;"",E4846&lt;&gt;"!!!"),"NEW","")))</f>
        <v> </v>
      </c>
      <c r="G4846" s="23" t="str">
        <f>IF(OR(E4846="",E4846="!!!"),"",IF(OR(J4846=0,AND(J4846=1,K4846=1),AND(J4846=1,I4846="SBJ"),AND(J4846=1,I4846=0)),"?IN_FOCUS",IF(J4846&lt;=2,"?ACTIVATED",IF(J4846&lt;&gt;"","?FAMILIAR",IF(F4846="NEW",IF(ISNA(VLOOKUP(E4846,#REF!,1,FALSE())),"?TYPE_IDENTIFIABLE","?REFERENTIAL"),"_")))))</f>
        <v> </v>
      </c>
      <c r="H4846" s="24" t="str">
        <f>IF(J4846&lt;&gt;1,"",IF(I4846="SBJ","CB","?"))</f>
        <v> </v>
      </c>
      <c r="I4846" s="25" t="str">
        <f>IF(OR(E4846="",E4846="!!!",F4846="NEW"),"",INDEX(B4845:B$2,-1+SUMPRODUCT(MAX(ROW(E4845:E$2)*(E4846=E4845:E$2)))))</f>
        <v> </v>
      </c>
      <c r="J4846" s="25" t="str">
        <f>IF(OR(E4846="",E4846="!!!",F4846="NEW"),"",COUNTBLANK(OFFSET(A$1,,,SUMPRODUCT(MAX(ROW(E$2:E4846)*(E4846=E$2:E4846)))))-COUNTBLANK(OFFSET(A$1,,,SUMPRODUCT(MAX(ROW(E$1:E4845)*(E2=E$1:E4845))))))</f>
        <v> </v>
      </c>
      <c r="K4846" s="25" t="str">
        <f>IF(OR(E4846="",E4846="!!!",F4846="NEW"),"",INDEX(J$1:J4845,SUMPRODUCT(MAX(ROW(E$1:E4845)*(E4846=E$1:E4845)))))</f>
        <v> </v>
      </c>
      <c r="L4846" s="26"/>
    </row>
    <row r="4847" spans="1:12">
      <c r="A4847" s="20" t="s">
        <v>1087</v>
      </c>
      <c r="E4847" s="21">
        <f>IF(D4847="?OLD","!!!","")</f>
        <v/>
      </c>
      <c r="F4847" s="22" t="str">
        <f>IF(OR(E4847="",E4847="!!!"),"",IF(NOT(ISNA(VLOOKUP(E4847,E$1:E4846,1,FALSE()))),"OLD",IF(AND(E4847&lt;&gt;"",E4847&lt;&gt;"!!!"),"NEW","")))</f>
        <v> </v>
      </c>
      <c r="G4847" s="23" t="str">
        <f>IF(OR(E4847="",E4847="!!!"),"",IF(OR(J4847=0,AND(J4847=1,K4847=1),AND(J4847=1,I4847="SBJ"),AND(J4847=1,I4847=0)),"?IN_FOCUS",IF(J4847&lt;=2,"?ACTIVATED",IF(J4847&lt;&gt;"","?FAMILIAR",IF(F4847="NEW",IF(ISNA(VLOOKUP(E4847,#REF!,1,FALSE())),"?TYPE_IDENTIFIABLE","?REFERENTIAL"),"_")))))</f>
        <v> </v>
      </c>
      <c r="H4847" s="24" t="str">
        <f>IF(J4847&lt;&gt;1,"",IF(I4847="SBJ","CB","?"))</f>
        <v> </v>
      </c>
      <c r="I4847" s="25" t="str">
        <f>IF(OR(E4847="",E4847="!!!",F4847="NEW"),"",INDEX(B4846:B$2,-1+SUMPRODUCT(MAX(ROW(E4846:E$2)*(E4847=E4846:E$2)))))</f>
        <v> </v>
      </c>
      <c r="J4847" s="25" t="str">
        <f>IF(OR(E4847="",E4847="!!!",F4847="NEW"),"",COUNTBLANK(OFFSET(A$1,,,SUMPRODUCT(MAX(ROW(E$2:E4847)*(E4847=E$2:E4847)))))-COUNTBLANK(OFFSET(A$1,,,SUMPRODUCT(MAX(ROW(E$1:E4846)*(E2=E$1:E4846))))))</f>
        <v> </v>
      </c>
      <c r="K4847" s="25" t="str">
        <f>IF(OR(E4847="",E4847="!!!",F4847="NEW"),"",INDEX(J$1:J4846,SUMPRODUCT(MAX(ROW(E$1:E4846)*(E4847=E$1:E4846)))))</f>
        <v> </v>
      </c>
      <c r="L4847" s="26"/>
    </row>
    <row r="4848" spans="1:12">
      <c r="A4848" s="20" t="s">
        <v>1199</v>
      </c>
      <c r="E4848" s="21">
        <f>IF(D4848="?OLD","!!!","")</f>
        <v/>
      </c>
      <c r="F4848" s="22" t="str">
        <f>IF(OR(E4848="",E4848="!!!"),"",IF(NOT(ISNA(VLOOKUP(E4848,E$1:E4847,1,FALSE()))),"OLD",IF(AND(E4848&lt;&gt;"",E4848&lt;&gt;"!!!"),"NEW","")))</f>
        <v> </v>
      </c>
      <c r="G4848" s="23" t="str">
        <f>IF(OR(E4848="",E4848="!!!"),"",IF(OR(J4848=0,AND(J4848=1,K4848=1),AND(J4848=1,I4848="SBJ"),AND(J4848=1,I4848=0)),"?IN_FOCUS",IF(J4848&lt;=2,"?ACTIVATED",IF(J4848&lt;&gt;"","?FAMILIAR",IF(F4848="NEW",IF(ISNA(VLOOKUP(E4848,#REF!,1,FALSE())),"?TYPE_IDENTIFIABLE","?REFERENTIAL"),"_")))))</f>
        <v> </v>
      </c>
      <c r="H4848" s="24" t="str">
        <f>IF(J4848&lt;&gt;1,"",IF(I4848="SBJ","CB","?"))</f>
        <v> </v>
      </c>
      <c r="I4848" s="25" t="str">
        <f>IF(OR(E4848="",E4848="!!!",F4848="NEW"),"",INDEX(B4847:B$2,-1+SUMPRODUCT(MAX(ROW(E4847:E$2)*(E4848=E4847:E$2)))))</f>
        <v> </v>
      </c>
      <c r="J4848" s="25" t="str">
        <f>IF(OR(E4848="",E4848="!!!",F4848="NEW"),"",COUNTBLANK(OFFSET(A$1,,,SUMPRODUCT(MAX(ROW(E$2:E4848)*(E4848=E$2:E4848)))))-COUNTBLANK(OFFSET(A$1,,,SUMPRODUCT(MAX(ROW(E$1:E4847)*(E2=E$1:E4847))))))</f>
        <v> </v>
      </c>
      <c r="K4848" s="25" t="str">
        <f>IF(OR(E4848="",E4848="!!!",F4848="NEW"),"",INDEX(J$1:J4847,SUMPRODUCT(MAX(ROW(E$1:E4847)*(E4848=E$1:E4847)))))</f>
        <v> </v>
      </c>
      <c r="L4848" s="26"/>
    </row>
    <row r="4849" spans="1:12">
      <c r="A4849" s="20" t="s">
        <v>1663</v>
      </c>
      <c r="E4849" s="21">
        <f>IF(D4849="?OLD","!!!","")</f>
        <v/>
      </c>
      <c r="F4849" s="22" t="str">
        <f>IF(OR(E4849="",E4849="!!!"),"",IF(NOT(ISNA(VLOOKUP(E4849,E$1:E4848,1,FALSE()))),"OLD",IF(AND(E4849&lt;&gt;"",E4849&lt;&gt;"!!!"),"NEW","")))</f>
        <v> </v>
      </c>
      <c r="G4849" s="23" t="str">
        <f>IF(OR(E4849="",E4849="!!!"),"",IF(OR(J4849=0,AND(J4849=1,K4849=1),AND(J4849=1,I4849="SBJ"),AND(J4849=1,I4849=0)),"?IN_FOCUS",IF(J4849&lt;=2,"?ACTIVATED",IF(J4849&lt;&gt;"","?FAMILIAR",IF(F4849="NEW",IF(ISNA(VLOOKUP(E4849,#REF!,1,FALSE())),"?TYPE_IDENTIFIABLE","?REFERENTIAL"),"_")))))</f>
        <v> </v>
      </c>
      <c r="H4849" s="24" t="str">
        <f>IF(J4849&lt;&gt;1,"",IF(I4849="SBJ","CB","?"))</f>
        <v> </v>
      </c>
      <c r="I4849" s="25" t="str">
        <f>IF(OR(E4849="",E4849="!!!",F4849="NEW"),"",INDEX(B4848:B$2,-1+SUMPRODUCT(MAX(ROW(E4848:E$2)*(E4849=E4848:E$2)))))</f>
        <v> </v>
      </c>
      <c r="J4849" s="25" t="str">
        <f>IF(OR(E4849="",E4849="!!!",F4849="NEW"),"",COUNTBLANK(OFFSET(A$1,,,SUMPRODUCT(MAX(ROW(E$2:E4849)*(E4849=E$2:E4849)))))-COUNTBLANK(OFFSET(A$1,,,SUMPRODUCT(MAX(ROW(E$1:E4848)*(E2=E$1:E4848))))))</f>
        <v> </v>
      </c>
      <c r="K4849" s="25" t="str">
        <f>IF(OR(E4849="",E4849="!!!",F4849="NEW"),"",INDEX(J$1:J4848,SUMPRODUCT(MAX(ROW(E$1:E4848)*(E4849=E$1:E4848)))))</f>
        <v> </v>
      </c>
      <c r="L4849" s="26"/>
    </row>
    <row r="4850" spans="1:12">
      <c r="A4850" s="20" t="s">
        <v>1167</v>
      </c>
      <c r="B4850" s="27" t="s">
        <v>1133</v>
      </c>
      <c r="C4850" s="27" t="s">
        <v>1068</v>
      </c>
      <c r="D4850" s="27" t="s">
        <v>1069</v>
      </c>
      <c r="E4850" s="21">
        <f>IF(D4850="?OLD","!!!","")</f>
        <v/>
      </c>
      <c r="F4850" s="22" t="str">
        <f>IF(OR(E4850="",E4850="!!!"),"",IF(NOT(ISNA(VLOOKUP(E4850,E$1:E4849,1,FALSE()))),"OLD",IF(AND(E4850&lt;&gt;"",E4850&lt;&gt;"!!!"),"NEW","")))</f>
        <v> </v>
      </c>
      <c r="G4850" s="23" t="str">
        <f>IF(OR(E4850="",E4850="!!!"),"",IF(OR(J4850=0,AND(J4850=1,K4850=1),AND(J4850=1,I4850="SBJ"),AND(J4850=1,I4850=0)),"?IN_FOCUS",IF(J4850&lt;=2,"?ACTIVATED",IF(J4850&lt;&gt;"","?FAMILIAR",IF(F4850="NEW",IF(ISNA(VLOOKUP(E4850,#REF!,1,FALSE())),"?TYPE_IDENTIFIABLE","?REFERENTIAL"),"_")))))</f>
        <v> </v>
      </c>
      <c r="H4850" s="24" t="str">
        <f>IF(J4850&lt;&gt;1,"",IF(I4850="SBJ","CB","?"))</f>
        <v> </v>
      </c>
      <c r="I4850" s="25" t="str">
        <f>IF(OR(E4850="",E4850="!!!",F4850="NEW"),"",INDEX(B4849:B$2,-1+SUMPRODUCT(MAX(ROW(E4849:E$2)*(E4850=E4849:E$2)))))</f>
        <v> </v>
      </c>
      <c r="J4850" s="25" t="str">
        <f>IF(OR(E4850="",E4850="!!!",F4850="NEW"),"",COUNTBLANK(OFFSET(A$1,,,SUMPRODUCT(MAX(ROW(E$2:E4850)*(E4850=E$2:E4850)))))-COUNTBLANK(OFFSET(A$1,,,SUMPRODUCT(MAX(ROW(E$1:E4849)*(E2=E$1:E4849))))))</f>
        <v> </v>
      </c>
      <c r="K4850" s="25" t="str">
        <f>IF(OR(E4850="",E4850="!!!",F4850="NEW"),"",INDEX(J$1:J4849,SUMPRODUCT(MAX(ROW(E$1:E4849)*(E4850=E$1:E4849)))))</f>
        <v> </v>
      </c>
      <c r="L4850" s="26"/>
    </row>
    <row r="4851" spans="1:12">
      <c r="A4851" s="20" t="s">
        <v>1185</v>
      </c>
      <c r="E4851" s="21">
        <f>IF(D4851="?OLD","!!!","")</f>
        <v/>
      </c>
      <c r="F4851" s="22" t="str">
        <f>IF(OR(E4851="",E4851="!!!"),"",IF(NOT(ISNA(VLOOKUP(E4851,E$1:E4850,1,FALSE()))),"OLD",IF(AND(E4851&lt;&gt;"",E4851&lt;&gt;"!!!"),"NEW","")))</f>
        <v> </v>
      </c>
      <c r="G4851" s="23" t="str">
        <f>IF(OR(E4851="",E4851="!!!"),"",IF(OR(J4851=0,AND(J4851=1,K4851=1),AND(J4851=1,I4851="SBJ"),AND(J4851=1,I4851=0)),"?IN_FOCUS",IF(J4851&lt;=2,"?ACTIVATED",IF(J4851&lt;&gt;"","?FAMILIAR",IF(F4851="NEW",IF(ISNA(VLOOKUP(E4851,#REF!,1,FALSE())),"?TYPE_IDENTIFIABLE","?REFERENTIAL"),"_")))))</f>
        <v> </v>
      </c>
      <c r="H4851" s="24" t="str">
        <f>IF(J4851&lt;&gt;1,"",IF(I4851="SBJ","CB","?"))</f>
        <v> </v>
      </c>
      <c r="I4851" s="25" t="str">
        <f>IF(OR(E4851="",E4851="!!!",F4851="NEW"),"",INDEX(B4850:B$2,-1+SUMPRODUCT(MAX(ROW(E4850:E$2)*(E4851=E4850:E$2)))))</f>
        <v> </v>
      </c>
      <c r="J4851" s="25" t="str">
        <f>IF(OR(E4851="",E4851="!!!",F4851="NEW"),"",COUNTBLANK(OFFSET(A$1,,,SUMPRODUCT(MAX(ROW(E$2:E4851)*(E4851=E$2:E4851)))))-COUNTBLANK(OFFSET(A$1,,,SUMPRODUCT(MAX(ROW(E$1:E4850)*(E2=E$1:E4850))))))</f>
        <v> </v>
      </c>
      <c r="K4851" s="25" t="str">
        <f>IF(OR(E4851="",E4851="!!!",F4851="NEW"),"",INDEX(J$1:J4850,SUMPRODUCT(MAX(ROW(E$1:E4850)*(E4851=E$1:E4850)))))</f>
        <v> </v>
      </c>
      <c r="L4851" s="26"/>
    </row>
    <row r="4852" spans="1:12">
      <c r="A4852" s="20" t="s">
        <v>2478</v>
      </c>
      <c r="B4852" s="27" t="s">
        <v>1133</v>
      </c>
      <c r="C4852" s="27" t="s">
        <v>1120</v>
      </c>
      <c r="E4852" s="21">
        <f>IF(D4852="?OLD","!!!","")</f>
        <v/>
      </c>
      <c r="F4852" s="22" t="str">
        <f>IF(OR(E4852="",E4852="!!!"),"",IF(NOT(ISNA(VLOOKUP(E4852,E$1:E4851,1,FALSE()))),"OLD",IF(AND(E4852&lt;&gt;"",E4852&lt;&gt;"!!!"),"NEW","")))</f>
        <v> </v>
      </c>
      <c r="G4852" s="23" t="str">
        <f>IF(OR(E4852="",E4852="!!!"),"",IF(OR(J4852=0,AND(J4852=1,K4852=1),AND(J4852=1,I4852="SBJ"),AND(J4852=1,I4852=0)),"?IN_FOCUS",IF(J4852&lt;=2,"?ACTIVATED",IF(J4852&lt;&gt;"","?FAMILIAR",IF(F4852="NEW",IF(ISNA(VLOOKUP(E4852,#REF!,1,FALSE())),"?TYPE_IDENTIFIABLE","?REFERENTIAL"),"_")))))</f>
        <v> </v>
      </c>
      <c r="H4852" s="24" t="str">
        <f>IF(J4852&lt;&gt;1,"",IF(I4852="SBJ","CB","?"))</f>
        <v> </v>
      </c>
      <c r="I4852" s="25" t="str">
        <f>IF(OR(E4852="",E4852="!!!",F4852="NEW"),"",INDEX(B4851:B$2,-1+SUMPRODUCT(MAX(ROW(E4851:E$2)*(E4852=E4851:E$2)))))</f>
        <v> </v>
      </c>
      <c r="J4852" s="25" t="str">
        <f>IF(OR(E4852="",E4852="!!!",F4852="NEW"),"",COUNTBLANK(OFFSET(A$1,,,SUMPRODUCT(MAX(ROW(E$2:E4852)*(E4852=E$2:E4852)))))-COUNTBLANK(OFFSET(A$1,,,SUMPRODUCT(MAX(ROW(E$1:E4851)*(E2=E$1:E4851))))))</f>
        <v> </v>
      </c>
      <c r="K4852" s="25" t="str">
        <f>IF(OR(E4852="",E4852="!!!",F4852="NEW"),"",INDEX(J$1:J4851,SUMPRODUCT(MAX(ROW(E$1:E4851)*(E4852=E$1:E4851)))))</f>
        <v> </v>
      </c>
      <c r="L4852" s="26"/>
    </row>
    <row r="4853" spans="1:12">
      <c r="A4853" s="20" t="s">
        <v>1224</v>
      </c>
      <c r="E4853" s="21">
        <f>IF(D4853="?OLD","!!!","")</f>
        <v/>
      </c>
      <c r="F4853" s="22" t="str">
        <f>IF(OR(E4853="",E4853="!!!"),"",IF(NOT(ISNA(VLOOKUP(E4853,E$1:E4852,1,FALSE()))),"OLD",IF(AND(E4853&lt;&gt;"",E4853&lt;&gt;"!!!"),"NEW","")))</f>
        <v> </v>
      </c>
      <c r="G4853" s="23" t="str">
        <f>IF(OR(E4853="",E4853="!!!"),"",IF(OR(J4853=0,AND(J4853=1,K4853=1),AND(J4853=1,I4853="SBJ"),AND(J4853=1,I4853=0)),"?IN_FOCUS",IF(J4853&lt;=2,"?ACTIVATED",IF(J4853&lt;&gt;"","?FAMILIAR",IF(F4853="NEW",IF(ISNA(VLOOKUP(E4853,#REF!,1,FALSE())),"?TYPE_IDENTIFIABLE","?REFERENTIAL"),"_")))))</f>
        <v> </v>
      </c>
      <c r="H4853" s="24" t="str">
        <f>IF(J4853&lt;&gt;1,"",IF(I4853="SBJ","CB","?"))</f>
        <v> </v>
      </c>
      <c r="I4853" s="25" t="str">
        <f>IF(OR(E4853="",E4853="!!!",F4853="NEW"),"",INDEX(B4852:B$2,-1+SUMPRODUCT(MAX(ROW(E4852:E$2)*(E4853=E4852:E$2)))))</f>
        <v> </v>
      </c>
      <c r="J4853" s="25" t="str">
        <f>IF(OR(E4853="",E4853="!!!",F4853="NEW"),"",COUNTBLANK(OFFSET(A$1,,,SUMPRODUCT(MAX(ROW(E$2:E4853)*(E4853=E$2:E4853)))))-COUNTBLANK(OFFSET(A$1,,,SUMPRODUCT(MAX(ROW(E$1:E4852)*(E2=E$1:E4852))))))</f>
        <v> </v>
      </c>
      <c r="K4853" s="25" t="str">
        <f>IF(OR(E4853="",E4853="!!!",F4853="NEW"),"",INDEX(J$1:J4852,SUMPRODUCT(MAX(ROW(E$1:E4852)*(E4853=E$1:E4852)))))</f>
        <v> </v>
      </c>
      <c r="L4853" s="26"/>
    </row>
    <row r="4854" spans="1:12">
      <c r="A4854" s="20" t="s">
        <v>1200</v>
      </c>
      <c r="E4854" s="21">
        <f>IF(D4854="?OLD","!!!","")</f>
        <v/>
      </c>
      <c r="F4854" s="22" t="str">
        <f>IF(OR(E4854="",E4854="!!!"),"",IF(NOT(ISNA(VLOOKUP(E4854,E$1:E4853,1,FALSE()))),"OLD",IF(AND(E4854&lt;&gt;"",E4854&lt;&gt;"!!!"),"NEW","")))</f>
        <v> </v>
      </c>
      <c r="G4854" s="23" t="str">
        <f>IF(OR(E4854="",E4854="!!!"),"",IF(OR(J4854=0,AND(J4854=1,K4854=1),AND(J4854=1,I4854="SBJ"),AND(J4854=1,I4854=0)),"?IN_FOCUS",IF(J4854&lt;=2,"?ACTIVATED",IF(J4854&lt;&gt;"","?FAMILIAR",IF(F4854="NEW",IF(ISNA(VLOOKUP(E4854,#REF!,1,FALSE())),"?TYPE_IDENTIFIABLE","?REFERENTIAL"),"_")))))</f>
        <v> </v>
      </c>
      <c r="H4854" s="24" t="str">
        <f>IF(J4854&lt;&gt;1,"",IF(I4854="SBJ","CB","?"))</f>
        <v> </v>
      </c>
      <c r="I4854" s="25" t="str">
        <f>IF(OR(E4854="",E4854="!!!",F4854="NEW"),"",INDEX(B4853:B$2,-1+SUMPRODUCT(MAX(ROW(E4853:E$2)*(E4854=E4853:E$2)))))</f>
        <v> </v>
      </c>
      <c r="J4854" s="25" t="str">
        <f>IF(OR(E4854="",E4854="!!!",F4854="NEW"),"",COUNTBLANK(OFFSET(A$1,,,SUMPRODUCT(MAX(ROW(E$2:E4854)*(E4854=E$2:E4854)))))-COUNTBLANK(OFFSET(A$1,,,SUMPRODUCT(MAX(ROW(E$1:E4853)*(E2=E$1:E4853))))))</f>
        <v> </v>
      </c>
      <c r="K4854" s="25" t="str">
        <f>IF(OR(E4854="",E4854="!!!",F4854="NEW"),"",INDEX(J$1:J4853,SUMPRODUCT(MAX(ROW(E$1:E4853)*(E4854=E$1:E4853)))))</f>
        <v> </v>
      </c>
      <c r="L4854" s="26"/>
    </row>
    <row r="4855" spans="1:12">
      <c r="A4855" s="20" t="s">
        <v>2233</v>
      </c>
      <c r="B4855" s="27" t="s">
        <v>1092</v>
      </c>
      <c r="C4855" s="27" t="s">
        <v>1120</v>
      </c>
      <c r="E4855" s="21">
        <f>IF(D4855="?OLD","!!!","")</f>
        <v/>
      </c>
      <c r="F4855" s="22" t="str">
        <f>IF(OR(E4855="",E4855="!!!"),"",IF(NOT(ISNA(VLOOKUP(E4855,E$1:E4854,1,FALSE()))),"OLD",IF(AND(E4855&lt;&gt;"",E4855&lt;&gt;"!!!"),"NEW","")))</f>
        <v> </v>
      </c>
      <c r="G4855" s="23" t="str">
        <f>IF(OR(E4855="",E4855="!!!"),"",IF(OR(J4855=0,AND(J4855=1,K4855=1),AND(J4855=1,I4855="SBJ"),AND(J4855=1,I4855=0)),"?IN_FOCUS",IF(J4855&lt;=2,"?ACTIVATED",IF(J4855&lt;&gt;"","?FAMILIAR",IF(F4855="NEW",IF(ISNA(VLOOKUP(E4855,#REF!,1,FALSE())),"?TYPE_IDENTIFIABLE","?REFERENTIAL"),"_")))))</f>
        <v> </v>
      </c>
      <c r="H4855" s="24" t="str">
        <f>IF(J4855&lt;&gt;1,"",IF(I4855="SBJ","CB","?"))</f>
        <v> </v>
      </c>
      <c r="I4855" s="25" t="str">
        <f>IF(OR(E4855="",E4855="!!!",F4855="NEW"),"",INDEX(B4854:B$2,-1+SUMPRODUCT(MAX(ROW(E4854:E$2)*(E4855=E4854:E$2)))))</f>
        <v> </v>
      </c>
      <c r="J4855" s="25" t="str">
        <f>IF(OR(E4855="",E4855="!!!",F4855="NEW"),"",COUNTBLANK(OFFSET(A$1,,,SUMPRODUCT(MAX(ROW(E$2:E4855)*(E4855=E$2:E4855)))))-COUNTBLANK(OFFSET(A$1,,,SUMPRODUCT(MAX(ROW(E$1:E4854)*(E2=E$1:E4854))))))</f>
        <v> </v>
      </c>
      <c r="K4855" s="25" t="str">
        <f>IF(OR(E4855="",E4855="!!!",F4855="NEW"),"",INDEX(J$1:J4854,SUMPRODUCT(MAX(ROW(E$1:E4854)*(E4855=E$1:E4854)))))</f>
        <v> </v>
      </c>
      <c r="L4855" s="26"/>
    </row>
    <row r="4856" spans="1:12">
      <c r="A4856" s="20" t="s">
        <v>1299</v>
      </c>
      <c r="E4856" s="21">
        <f>IF(D4856="?OLD","!!!","")</f>
        <v/>
      </c>
      <c r="F4856" s="22" t="str">
        <f>IF(OR(E4856="",E4856="!!!"),"",IF(NOT(ISNA(VLOOKUP(E4856,E$1:E4855,1,FALSE()))),"OLD",IF(AND(E4856&lt;&gt;"",E4856&lt;&gt;"!!!"),"NEW","")))</f>
        <v> </v>
      </c>
      <c r="G4856" s="23" t="str">
        <f>IF(OR(E4856="",E4856="!!!"),"",IF(OR(J4856=0,AND(J4856=1,K4856=1),AND(J4856=1,I4856="SBJ"),AND(J4856=1,I4856=0)),"?IN_FOCUS",IF(J4856&lt;=2,"?ACTIVATED",IF(J4856&lt;&gt;"","?FAMILIAR",IF(F4856="NEW",IF(ISNA(VLOOKUP(E4856,#REF!,1,FALSE())),"?TYPE_IDENTIFIABLE","?REFERENTIAL"),"_")))))</f>
        <v> </v>
      </c>
      <c r="H4856" s="24" t="str">
        <f>IF(J4856&lt;&gt;1,"",IF(I4856="SBJ","CB","?"))</f>
        <v> </v>
      </c>
      <c r="I4856" s="25" t="str">
        <f>IF(OR(E4856="",E4856="!!!",F4856="NEW"),"",INDEX(B4855:B$2,-1+SUMPRODUCT(MAX(ROW(E4855:E$2)*(E4856=E4855:E$2)))))</f>
        <v> </v>
      </c>
      <c r="J4856" s="25" t="str">
        <f>IF(OR(E4856="",E4856="!!!",F4856="NEW"),"",COUNTBLANK(OFFSET(A$1,,,SUMPRODUCT(MAX(ROW(E$2:E4856)*(E4856=E$2:E4856)))))-COUNTBLANK(OFFSET(A$1,,,SUMPRODUCT(MAX(ROW(E$1:E4855)*(E2=E$1:E4855))))))</f>
        <v> </v>
      </c>
      <c r="K4856" s="25" t="str">
        <f>IF(OR(E4856="",E4856="!!!",F4856="NEW"),"",INDEX(J$1:J4855,SUMPRODUCT(MAX(ROW(E$1:E4855)*(E4856=E$1:E4855)))))</f>
        <v> </v>
      </c>
      <c r="L4856" s="26"/>
    </row>
    <row r="4857" spans="1:12">
      <c r="A4857" s="20" t="s">
        <v>1080</v>
      </c>
      <c r="E4857" s="21">
        <f>IF(D4857="?OLD","!!!","")</f>
        <v/>
      </c>
      <c r="F4857" s="22" t="str">
        <f>IF(OR(E4857="",E4857="!!!"),"",IF(NOT(ISNA(VLOOKUP(E4857,E$1:E4856,1,FALSE()))),"OLD",IF(AND(E4857&lt;&gt;"",E4857&lt;&gt;"!!!"),"NEW","")))</f>
        <v> </v>
      </c>
      <c r="G4857" s="23" t="str">
        <f>IF(OR(E4857="",E4857="!!!"),"",IF(OR(J4857=0,AND(J4857=1,K4857=1),AND(J4857=1,I4857="SBJ"),AND(J4857=1,I4857=0)),"?IN_FOCUS",IF(J4857&lt;=2,"?ACTIVATED",IF(J4857&lt;&gt;"","?FAMILIAR",IF(F4857="NEW",IF(ISNA(VLOOKUP(E4857,#REF!,1,FALSE())),"?TYPE_IDENTIFIABLE","?REFERENTIAL"),"_")))))</f>
        <v> </v>
      </c>
      <c r="H4857" s="24" t="str">
        <f>IF(J4857&lt;&gt;1,"",IF(I4857="SBJ","CB","?"))</f>
        <v> </v>
      </c>
      <c r="I4857" s="25" t="str">
        <f>IF(OR(E4857="",E4857="!!!",F4857="NEW"),"",INDEX(B4856:B$2,-1+SUMPRODUCT(MAX(ROW(E4856:E$2)*(E4857=E4856:E$2)))))</f>
        <v> </v>
      </c>
      <c r="J4857" s="25" t="str">
        <f>IF(OR(E4857="",E4857="!!!",F4857="NEW"),"",COUNTBLANK(OFFSET(A$1,,,SUMPRODUCT(MAX(ROW(E$2:E4857)*(E4857=E$2:E4857)))))-COUNTBLANK(OFFSET(A$1,,,SUMPRODUCT(MAX(ROW(E$1:E4856)*(E2=E$1:E4856))))))</f>
        <v> </v>
      </c>
      <c r="K4857" s="25" t="str">
        <f>IF(OR(E4857="",E4857="!!!",F4857="NEW"),"",INDEX(J$1:J4856,SUMPRODUCT(MAX(ROW(E$1:E4856)*(E4857=E$1:E4856)))))</f>
        <v> </v>
      </c>
      <c r="L4857" s="26"/>
    </row>
    <row r="4858" spans="1:12">
      <c r="A4858" s="20"/>
    </row>
    <row r="4859" spans="1:12">
      <c r="A4859" s="20" t="s">
        <v>2479</v>
      </c>
    </row>
    <row r="4860" spans="1:12">
      <c r="A4860" s="20" t="s">
        <v>1175</v>
      </c>
      <c r="E4860" s="21">
        <f>IF(D4860="?OLD","!!!","")</f>
        <v/>
      </c>
      <c r="F4860" s="22" t="str">
        <f>IF(OR(E4860="",E4860="!!!"),"",IF(NOT(ISNA(VLOOKUP(E4860,E$1:E4859,1,FALSE()))),"OLD",IF(AND(E4860&lt;&gt;"",E4860&lt;&gt;"!!!"),"NEW","")))</f>
        <v> </v>
      </c>
      <c r="G4860" s="23" t="str">
        <f>IF(OR(E4860="",E4860="!!!"),"",IF(OR(J4860=0,AND(J4860=1,K4860=1),AND(J4860=1,I4860="SBJ"),AND(J4860=1,I4860=0)),"?IN_FOCUS",IF(J4860&lt;=2,"?ACTIVATED",IF(J4860&lt;&gt;"","?FAMILIAR",IF(F4860="NEW",IF(ISNA(VLOOKUP(E4860,#REF!,1,FALSE())),"?TYPE_IDENTIFIABLE","?REFERENTIAL"),"_")))))</f>
        <v> </v>
      </c>
      <c r="H4860" s="24" t="str">
        <f>IF(J4860&lt;&gt;1,"",IF(I4860="SBJ","CB","?"))</f>
        <v> </v>
      </c>
      <c r="I4860" s="25" t="str">
        <f>IF(OR(E4860="",E4860="!!!",F4860="NEW"),"",INDEX(B4859:B$2,-1+SUMPRODUCT(MAX(ROW(E4859:E$2)*(E4860=E4859:E$2)))))</f>
        <v> </v>
      </c>
      <c r="J4860" s="25" t="str">
        <f>IF(OR(E4860="",E4860="!!!",F4860="NEW"),"",COUNTBLANK(OFFSET(A$1,,,SUMPRODUCT(MAX(ROW(E$2:E4860)*(E4860=E$2:E4860)))))-COUNTBLANK(OFFSET(A$1,,,SUMPRODUCT(MAX(ROW(E$1:E4859)*(E2=E$1:E4859))))))</f>
        <v> </v>
      </c>
      <c r="K4860" s="25" t="str">
        <f>IF(OR(E4860="",E4860="!!!",F4860="NEW"),"",INDEX(J$1:J4859,SUMPRODUCT(MAX(ROW(E$1:E4859)*(E4860=E$1:E4859)))))</f>
        <v> </v>
      </c>
      <c r="L4860" s="26"/>
    </row>
    <row r="4861" spans="1:12">
      <c r="A4861" s="20" t="s">
        <v>2480</v>
      </c>
      <c r="B4861" s="27" t="s">
        <v>1067</v>
      </c>
      <c r="C4861" s="27" t="s">
        <v>1086</v>
      </c>
      <c r="D4861" s="27" t="s">
        <v>1069</v>
      </c>
      <c r="E4861" s="21">
        <f>IF(D4861="?OLD","!!!","")</f>
        <v/>
      </c>
      <c r="F4861" s="22" t="str">
        <f>IF(OR(E4861="",E4861="!!!"),"",IF(NOT(ISNA(VLOOKUP(E4861,E$1:E4860,1,FALSE()))),"OLD",IF(AND(E4861&lt;&gt;"",E4861&lt;&gt;"!!!"),"NEW","")))</f>
        <v> </v>
      </c>
      <c r="G4861" s="23" t="str">
        <f>IF(OR(E4861="",E4861="!!!"),"",IF(OR(J4861=0,AND(J4861=1,K4861=1),AND(J4861=1,I4861="SBJ"),AND(J4861=1,I4861=0)),"?IN_FOCUS",IF(J4861&lt;=2,"?ACTIVATED",IF(J4861&lt;&gt;"","?FAMILIAR",IF(F4861="NEW",IF(ISNA(VLOOKUP(E4861,#REF!,1,FALSE())),"?TYPE_IDENTIFIABLE","?REFERENTIAL"),"_")))))</f>
        <v> </v>
      </c>
      <c r="H4861" s="24" t="str">
        <f>IF(J4861&lt;&gt;1,"",IF(I4861="SBJ","CB","?"))</f>
        <v> </v>
      </c>
      <c r="I4861" s="25" t="str">
        <f>IF(OR(E4861="",E4861="!!!",F4861="NEW"),"",INDEX(B4860:B$2,-1+SUMPRODUCT(MAX(ROW(E4860:E$2)*(E4861=E4860:E$2)))))</f>
        <v> </v>
      </c>
      <c r="J4861" s="25" t="str">
        <f>IF(OR(E4861="",E4861="!!!",F4861="NEW"),"",COUNTBLANK(OFFSET(A$1,,,SUMPRODUCT(MAX(ROW(E$2:E4861)*(E4861=E$2:E4861)))))-COUNTBLANK(OFFSET(A$1,,,SUMPRODUCT(MAX(ROW(E$1:E4860)*(E2=E$1:E4860))))))</f>
        <v> </v>
      </c>
      <c r="K4861" s="25" t="str">
        <f>IF(OR(E4861="",E4861="!!!",F4861="NEW"),"",INDEX(J$1:J4860,SUMPRODUCT(MAX(ROW(E$1:E4860)*(E4861=E$1:E4860)))))</f>
        <v> </v>
      </c>
      <c r="L4861" s="26"/>
    </row>
    <row r="4862" spans="1:12">
      <c r="A4862" s="20" t="s">
        <v>1356</v>
      </c>
      <c r="E4862" s="21">
        <f>IF(D4862="?OLD","!!!","")</f>
        <v/>
      </c>
      <c r="F4862" s="22" t="str">
        <f>IF(OR(E4862="",E4862="!!!"),"",IF(NOT(ISNA(VLOOKUP(E4862,E$1:E4861,1,FALSE()))),"OLD",IF(AND(E4862&lt;&gt;"",E4862&lt;&gt;"!!!"),"NEW","")))</f>
        <v> </v>
      </c>
      <c r="G4862" s="23" t="str">
        <f>IF(OR(E4862="",E4862="!!!"),"",IF(OR(J4862=0,AND(J4862=1,K4862=1),AND(J4862=1,I4862="SBJ"),AND(J4862=1,I4862=0)),"?IN_FOCUS",IF(J4862&lt;=2,"?ACTIVATED",IF(J4862&lt;&gt;"","?FAMILIAR",IF(F4862="NEW",IF(ISNA(VLOOKUP(E4862,#REF!,1,FALSE())),"?TYPE_IDENTIFIABLE","?REFERENTIAL"),"_")))))</f>
        <v> </v>
      </c>
      <c r="H4862" s="24" t="str">
        <f>IF(J4862&lt;&gt;1,"",IF(I4862="SBJ","CB","?"))</f>
        <v> </v>
      </c>
      <c r="I4862" s="25" t="str">
        <f>IF(OR(E4862="",E4862="!!!",F4862="NEW"),"",INDEX(B4861:B$2,-1+SUMPRODUCT(MAX(ROW(E4861:E$2)*(E4862=E4861:E$2)))))</f>
        <v> </v>
      </c>
      <c r="J4862" s="25" t="str">
        <f>IF(OR(E4862="",E4862="!!!",F4862="NEW"),"",COUNTBLANK(OFFSET(A$1,,,SUMPRODUCT(MAX(ROW(E$2:E4862)*(E4862=E$2:E4862)))))-COUNTBLANK(OFFSET(A$1,,,SUMPRODUCT(MAX(ROW(E$1:E4861)*(E2=E$1:E4861))))))</f>
        <v> </v>
      </c>
      <c r="K4862" s="25" t="str">
        <f>IF(OR(E4862="",E4862="!!!",F4862="NEW"),"",INDEX(J$1:J4861,SUMPRODUCT(MAX(ROW(E$1:E4861)*(E4862=E$1:E4861)))))</f>
        <v> </v>
      </c>
      <c r="L4862" s="26"/>
    </row>
    <row r="4863" spans="1:12">
      <c r="A4863" s="20" t="s">
        <v>1191</v>
      </c>
      <c r="E4863" s="21">
        <f>IF(D4863="?OLD","!!!","")</f>
        <v/>
      </c>
      <c r="F4863" s="22" t="str">
        <f>IF(OR(E4863="",E4863="!!!"),"",IF(NOT(ISNA(VLOOKUP(E4863,E$1:E4862,1,FALSE()))),"OLD",IF(AND(E4863&lt;&gt;"",E4863&lt;&gt;"!!!"),"NEW","")))</f>
        <v> </v>
      </c>
      <c r="G4863" s="23" t="str">
        <f>IF(OR(E4863="",E4863="!!!"),"",IF(OR(J4863=0,AND(J4863=1,K4863=1),AND(J4863=1,I4863="SBJ"),AND(J4863=1,I4863=0)),"?IN_FOCUS",IF(J4863&lt;=2,"?ACTIVATED",IF(J4863&lt;&gt;"","?FAMILIAR",IF(F4863="NEW",IF(ISNA(VLOOKUP(E4863,#REF!,1,FALSE())),"?TYPE_IDENTIFIABLE","?REFERENTIAL"),"_")))))</f>
        <v> </v>
      </c>
      <c r="H4863" s="24" t="str">
        <f>IF(J4863&lt;&gt;1,"",IF(I4863="SBJ","CB","?"))</f>
        <v> </v>
      </c>
      <c r="I4863" s="25" t="str">
        <f>IF(OR(E4863="",E4863="!!!",F4863="NEW"),"",INDEX(B4862:B$2,-1+SUMPRODUCT(MAX(ROW(E4862:E$2)*(E4863=E4862:E$2)))))</f>
        <v> </v>
      </c>
      <c r="J4863" s="25" t="str">
        <f>IF(OR(E4863="",E4863="!!!",F4863="NEW"),"",COUNTBLANK(OFFSET(A$1,,,SUMPRODUCT(MAX(ROW(E$2:E4863)*(E4863=E$2:E4863)))))-COUNTBLANK(OFFSET(A$1,,,SUMPRODUCT(MAX(ROW(E$1:E4862)*(E2=E$1:E4862))))))</f>
        <v> </v>
      </c>
      <c r="K4863" s="25" t="str">
        <f>IF(OR(E4863="",E4863="!!!",F4863="NEW"),"",INDEX(J$1:J4862,SUMPRODUCT(MAX(ROW(E$1:E4862)*(E4863=E$1:E4862)))))</f>
        <v> </v>
      </c>
      <c r="L4863" s="26"/>
    </row>
    <row r="4864" spans="1:12">
      <c r="A4864" s="20" t="s">
        <v>1165</v>
      </c>
      <c r="E4864" s="21">
        <f>IF(D4864="?OLD","!!!","")</f>
        <v/>
      </c>
      <c r="F4864" s="22" t="str">
        <f>IF(OR(E4864="",E4864="!!!"),"",IF(NOT(ISNA(VLOOKUP(E4864,E$1:E4863,1,FALSE()))),"OLD",IF(AND(E4864&lt;&gt;"",E4864&lt;&gt;"!!!"),"NEW","")))</f>
        <v> </v>
      </c>
      <c r="G4864" s="23" t="str">
        <f>IF(OR(E4864="",E4864="!!!"),"",IF(OR(J4864=0,AND(J4864=1,K4864=1),AND(J4864=1,I4864="SBJ"),AND(J4864=1,I4864=0)),"?IN_FOCUS",IF(J4864&lt;=2,"?ACTIVATED",IF(J4864&lt;&gt;"","?FAMILIAR",IF(F4864="NEW",IF(ISNA(VLOOKUP(E4864,#REF!,1,FALSE())),"?TYPE_IDENTIFIABLE","?REFERENTIAL"),"_")))))</f>
        <v> </v>
      </c>
      <c r="H4864" s="24" t="str">
        <f>IF(J4864&lt;&gt;1,"",IF(I4864="SBJ","CB","?"))</f>
        <v> </v>
      </c>
      <c r="I4864" s="25" t="str">
        <f>IF(OR(E4864="",E4864="!!!",F4864="NEW"),"",INDEX(B4863:B$2,-1+SUMPRODUCT(MAX(ROW(E4863:E$2)*(E4864=E4863:E$2)))))</f>
        <v> </v>
      </c>
      <c r="J4864" s="25" t="str">
        <f>IF(OR(E4864="",E4864="!!!",F4864="NEW"),"",COUNTBLANK(OFFSET(A$1,,,SUMPRODUCT(MAX(ROW(E$2:E4864)*(E4864=E$2:E4864)))))-COUNTBLANK(OFFSET(A$1,,,SUMPRODUCT(MAX(ROW(E$1:E4863)*(E2=E$1:E4863))))))</f>
        <v> </v>
      </c>
      <c r="K4864" s="25" t="str">
        <f>IF(OR(E4864="",E4864="!!!",F4864="NEW"),"",INDEX(J$1:J4863,SUMPRODUCT(MAX(ROW(E$1:E4863)*(E4864=E$1:E4863)))))</f>
        <v> </v>
      </c>
      <c r="L4864" s="26"/>
    </row>
    <row r="4865" spans="1:12">
      <c r="A4865" s="20" t="s">
        <v>2481</v>
      </c>
      <c r="E4865" s="21">
        <f>IF(D4865="?OLD","!!!","")</f>
        <v/>
      </c>
      <c r="F4865" s="22" t="str">
        <f>IF(OR(E4865="",E4865="!!!"),"",IF(NOT(ISNA(VLOOKUP(E4865,E$1:E4864,1,FALSE()))),"OLD",IF(AND(E4865&lt;&gt;"",E4865&lt;&gt;"!!!"),"NEW","")))</f>
        <v> </v>
      </c>
      <c r="G4865" s="23" t="str">
        <f>IF(OR(E4865="",E4865="!!!"),"",IF(OR(J4865=0,AND(J4865=1,K4865=1),AND(J4865=1,I4865="SBJ"),AND(J4865=1,I4865=0)),"?IN_FOCUS",IF(J4865&lt;=2,"?ACTIVATED",IF(J4865&lt;&gt;"","?FAMILIAR",IF(F4865="NEW",IF(ISNA(VLOOKUP(E4865,#REF!,1,FALSE())),"?TYPE_IDENTIFIABLE","?REFERENTIAL"),"_")))))</f>
        <v> </v>
      </c>
      <c r="H4865" s="24" t="str">
        <f>IF(J4865&lt;&gt;1,"",IF(I4865="SBJ","CB","?"))</f>
        <v> </v>
      </c>
      <c r="I4865" s="25" t="str">
        <f>IF(OR(E4865="",E4865="!!!",F4865="NEW"),"",INDEX(B4864:B$2,-1+SUMPRODUCT(MAX(ROW(E4864:E$2)*(E4865=E4864:E$2)))))</f>
        <v> </v>
      </c>
      <c r="J4865" s="25" t="str">
        <f>IF(OR(E4865="",E4865="!!!",F4865="NEW"),"",COUNTBLANK(OFFSET(A$1,,,SUMPRODUCT(MAX(ROW(E$2:E4865)*(E4865=E$2:E4865)))))-COUNTBLANK(OFFSET(A$1,,,SUMPRODUCT(MAX(ROW(E$1:E4864)*(E2=E$1:E4864))))))</f>
        <v> </v>
      </c>
      <c r="K4865" s="25" t="str">
        <f>IF(OR(E4865="",E4865="!!!",F4865="NEW"),"",INDEX(J$1:J4864,SUMPRODUCT(MAX(ROW(E$1:E4864)*(E4865=E$1:E4864)))))</f>
        <v> </v>
      </c>
      <c r="L4865" s="26"/>
    </row>
    <row r="4866" spans="1:12">
      <c r="A4866" s="20" t="s">
        <v>1166</v>
      </c>
      <c r="E4866" s="21">
        <f>IF(D4866="?OLD","!!!","")</f>
        <v/>
      </c>
      <c r="F4866" s="22" t="str">
        <f>IF(OR(E4866="",E4866="!!!"),"",IF(NOT(ISNA(VLOOKUP(E4866,E$1:E4865,1,FALSE()))),"OLD",IF(AND(E4866&lt;&gt;"",E4866&lt;&gt;"!!!"),"NEW","")))</f>
        <v> </v>
      </c>
      <c r="G4866" s="23" t="str">
        <f>IF(OR(E4866="",E4866="!!!"),"",IF(OR(J4866=0,AND(J4866=1,K4866=1),AND(J4866=1,I4866="SBJ"),AND(J4866=1,I4866=0)),"?IN_FOCUS",IF(J4866&lt;=2,"?ACTIVATED",IF(J4866&lt;&gt;"","?FAMILIAR",IF(F4866="NEW",IF(ISNA(VLOOKUP(E4866,#REF!,1,FALSE())),"?TYPE_IDENTIFIABLE","?REFERENTIAL"),"_")))))</f>
        <v> </v>
      </c>
      <c r="H4866" s="24" t="str">
        <f>IF(J4866&lt;&gt;1,"",IF(I4866="SBJ","CB","?"))</f>
        <v> </v>
      </c>
      <c r="I4866" s="25" t="str">
        <f>IF(OR(E4866="",E4866="!!!",F4866="NEW"),"",INDEX(B4865:B$2,-1+SUMPRODUCT(MAX(ROW(E4865:E$2)*(E4866=E4865:E$2)))))</f>
        <v> </v>
      </c>
      <c r="J4866" s="25" t="str">
        <f>IF(OR(E4866="",E4866="!!!",F4866="NEW"),"",COUNTBLANK(OFFSET(A$1,,,SUMPRODUCT(MAX(ROW(E$2:E4866)*(E4866=E$2:E4866)))))-COUNTBLANK(OFFSET(A$1,,,SUMPRODUCT(MAX(ROW(E$1:E4865)*(E2=E$1:E4865))))))</f>
        <v> </v>
      </c>
      <c r="K4866" s="25" t="str">
        <f>IF(OR(E4866="",E4866="!!!",F4866="NEW"),"",INDEX(J$1:J4865,SUMPRODUCT(MAX(ROW(E$1:E4865)*(E4866=E$1:E4865)))))</f>
        <v> </v>
      </c>
      <c r="L4866" s="26"/>
    </row>
    <row r="4867" spans="1:12">
      <c r="A4867" s="20" t="s">
        <v>1096</v>
      </c>
      <c r="E4867" s="21">
        <f>IF(D4867="?OLD","!!!","")</f>
        <v/>
      </c>
      <c r="F4867" s="22" t="str">
        <f>IF(OR(E4867="",E4867="!!!"),"",IF(NOT(ISNA(VLOOKUP(E4867,E$1:E4866,1,FALSE()))),"OLD",IF(AND(E4867&lt;&gt;"",E4867&lt;&gt;"!!!"),"NEW","")))</f>
        <v> </v>
      </c>
      <c r="G4867" s="23" t="str">
        <f>IF(OR(E4867="",E4867="!!!"),"",IF(OR(J4867=0,AND(J4867=1,K4867=1),AND(J4867=1,I4867="SBJ"),AND(J4867=1,I4867=0)),"?IN_FOCUS",IF(J4867&lt;=2,"?ACTIVATED",IF(J4867&lt;&gt;"","?FAMILIAR",IF(F4867="NEW",IF(ISNA(VLOOKUP(E4867,#REF!,1,FALSE())),"?TYPE_IDENTIFIABLE","?REFERENTIAL"),"_")))))</f>
        <v> </v>
      </c>
      <c r="H4867" s="24" t="str">
        <f>IF(J4867&lt;&gt;1,"",IF(I4867="SBJ","CB","?"))</f>
        <v> </v>
      </c>
      <c r="I4867" s="25" t="str">
        <f>IF(OR(E4867="",E4867="!!!",F4867="NEW"),"",INDEX(B4866:B$2,-1+SUMPRODUCT(MAX(ROW(E4866:E$2)*(E4867=E4866:E$2)))))</f>
        <v> </v>
      </c>
      <c r="J4867" s="25" t="str">
        <f>IF(OR(E4867="",E4867="!!!",F4867="NEW"),"",COUNTBLANK(OFFSET(A$1,,,SUMPRODUCT(MAX(ROW(E$2:E4867)*(E4867=E$2:E4867)))))-COUNTBLANK(OFFSET(A$1,,,SUMPRODUCT(MAX(ROW(E$1:E4866)*(E2=E$1:E4866))))))</f>
        <v> </v>
      </c>
      <c r="K4867" s="25" t="str">
        <f>IF(OR(E4867="",E4867="!!!",F4867="NEW"),"",INDEX(J$1:J4866,SUMPRODUCT(MAX(ROW(E$1:E4866)*(E4867=E$1:E4866)))))</f>
        <v> </v>
      </c>
      <c r="L4867" s="26"/>
    </row>
    <row r="4868" spans="1:12">
      <c r="A4868" s="20" t="s">
        <v>2482</v>
      </c>
      <c r="B4868" s="27" t="s">
        <v>1074</v>
      </c>
      <c r="C4868" s="27" t="s">
        <v>1134</v>
      </c>
      <c r="D4868" s="27" t="s">
        <v>1069</v>
      </c>
      <c r="E4868" s="21">
        <f>IF(D4868="?OLD","!!!","")</f>
        <v/>
      </c>
      <c r="F4868" s="22" t="str">
        <f>IF(OR(E4868="",E4868="!!!"),"",IF(NOT(ISNA(VLOOKUP(E4868,E$1:E4867,1,FALSE()))),"OLD",IF(AND(E4868&lt;&gt;"",E4868&lt;&gt;"!!!"),"NEW","")))</f>
        <v> </v>
      </c>
      <c r="G4868" s="23" t="str">
        <f>IF(OR(E4868="",E4868="!!!"),"",IF(OR(J4868=0,AND(J4868=1,K4868=1),AND(J4868=1,I4868="SBJ"),AND(J4868=1,I4868=0)),"?IN_FOCUS",IF(J4868&lt;=2,"?ACTIVATED",IF(J4868&lt;&gt;"","?FAMILIAR",IF(F4868="NEW",IF(ISNA(VLOOKUP(E4868,#REF!,1,FALSE())),"?TYPE_IDENTIFIABLE","?REFERENTIAL"),"_")))))</f>
        <v> </v>
      </c>
      <c r="H4868" s="24" t="str">
        <f>IF(J4868&lt;&gt;1,"",IF(I4868="SBJ","CB","?"))</f>
        <v> </v>
      </c>
      <c r="I4868" s="25" t="str">
        <f>IF(OR(E4868="",E4868="!!!",F4868="NEW"),"",INDEX(B4867:B$2,-1+SUMPRODUCT(MAX(ROW(E4867:E$2)*(E4868=E4867:E$2)))))</f>
        <v> </v>
      </c>
      <c r="J4868" s="25" t="str">
        <f>IF(OR(E4868="",E4868="!!!",F4868="NEW"),"",COUNTBLANK(OFFSET(A$1,,,SUMPRODUCT(MAX(ROW(E$2:E4868)*(E4868=E$2:E4868)))))-COUNTBLANK(OFFSET(A$1,,,SUMPRODUCT(MAX(ROW(E$1:E4867)*(E2=E$1:E4867))))))</f>
        <v> </v>
      </c>
      <c r="K4868" s="25" t="str">
        <f>IF(OR(E4868="",E4868="!!!",F4868="NEW"),"",INDEX(J$1:J4867,SUMPRODUCT(MAX(ROW(E$1:E4867)*(E4868=E$1:E4867)))))</f>
        <v> </v>
      </c>
      <c r="L4868" s="26"/>
    </row>
    <row r="4869" spans="1:12">
      <c r="A4869" s="20" t="s">
        <v>1080</v>
      </c>
      <c r="E4869" s="21">
        <f>IF(D4869="?OLD","!!!","")</f>
        <v/>
      </c>
      <c r="F4869" s="22" t="str">
        <f>IF(OR(E4869="",E4869="!!!"),"",IF(NOT(ISNA(VLOOKUP(E4869,E$1:E4868,1,FALSE()))),"OLD",IF(AND(E4869&lt;&gt;"",E4869&lt;&gt;"!!!"),"NEW","")))</f>
        <v> </v>
      </c>
      <c r="G4869" s="23" t="str">
        <f>IF(OR(E4869="",E4869="!!!"),"",IF(OR(J4869=0,AND(J4869=1,K4869=1),AND(J4869=1,I4869="SBJ"),AND(J4869=1,I4869=0)),"?IN_FOCUS",IF(J4869&lt;=2,"?ACTIVATED",IF(J4869&lt;&gt;"","?FAMILIAR",IF(F4869="NEW",IF(ISNA(VLOOKUP(E4869,#REF!,1,FALSE())),"?TYPE_IDENTIFIABLE","?REFERENTIAL"),"_")))))</f>
        <v> </v>
      </c>
      <c r="H4869" s="24" t="str">
        <f>IF(J4869&lt;&gt;1,"",IF(I4869="SBJ","CB","?"))</f>
        <v> </v>
      </c>
      <c r="I4869" s="25" t="str">
        <f>IF(OR(E4869="",E4869="!!!",F4869="NEW"),"",INDEX(B4868:B$2,-1+SUMPRODUCT(MAX(ROW(E4868:E$2)*(E4869=E4868:E$2)))))</f>
        <v> </v>
      </c>
      <c r="J4869" s="25" t="str">
        <f>IF(OR(E4869="",E4869="!!!",F4869="NEW"),"",COUNTBLANK(OFFSET(A$1,,,SUMPRODUCT(MAX(ROW(E$2:E4869)*(E4869=E$2:E4869)))))-COUNTBLANK(OFFSET(A$1,,,SUMPRODUCT(MAX(ROW(E$1:E4868)*(E2=E$1:E4868))))))</f>
        <v> </v>
      </c>
      <c r="K4869" s="25" t="str">
        <f>IF(OR(E4869="",E4869="!!!",F4869="NEW"),"",INDEX(J$1:J4868,SUMPRODUCT(MAX(ROW(E$1:E4868)*(E4869=E$1:E4868)))))</f>
        <v> </v>
      </c>
      <c r="L4869" s="26"/>
    </row>
    <row r="4870" spans="1:12">
      <c r="A4870" s="20"/>
    </row>
    <row r="4871" spans="1:12">
      <c r="A4871" s="20" t="s">
        <v>2483</v>
      </c>
    </row>
    <row r="4872" spans="1:12">
      <c r="A4872" s="20" t="s">
        <v>1644</v>
      </c>
      <c r="B4872" s="27" t="s">
        <v>1067</v>
      </c>
      <c r="C4872" s="27" t="s">
        <v>1072</v>
      </c>
      <c r="E4872" s="21">
        <f>IF(D4872="?OLD","!!!","")</f>
        <v/>
      </c>
      <c r="F4872" s="22" t="str">
        <f>IF(OR(E4872="",E4872="!!!"),"",IF(NOT(ISNA(VLOOKUP(E4872,E$1:E4871,1,FALSE()))),"OLD",IF(AND(E4872&lt;&gt;"",E4872&lt;&gt;"!!!"),"NEW","")))</f>
        <v> </v>
      </c>
      <c r="G4872" s="23" t="str">
        <f>IF(OR(E4872="",E4872="!!!"),"",IF(OR(J4872=0,AND(J4872=1,K4872=1),AND(J4872=1,I4872="SBJ"),AND(J4872=1,I4872=0)),"?IN_FOCUS",IF(J4872&lt;=2,"?ACTIVATED",IF(J4872&lt;&gt;"","?FAMILIAR",IF(F4872="NEW",IF(ISNA(VLOOKUP(E4872,#REF!,1,FALSE())),"?TYPE_IDENTIFIABLE","?REFERENTIAL"),"_")))))</f>
        <v> </v>
      </c>
      <c r="H4872" s="24" t="str">
        <f>IF(J4872&lt;&gt;1,"",IF(I4872="SBJ","CB","?"))</f>
        <v> </v>
      </c>
      <c r="I4872" s="25" t="str">
        <f>IF(OR(E4872="",E4872="!!!",F4872="NEW"),"",INDEX(B4871:B$2,-1+SUMPRODUCT(MAX(ROW(E4871:E$2)*(E4872=E4871:E$2)))))</f>
        <v> </v>
      </c>
      <c r="J4872" s="25" t="str">
        <f>IF(OR(E4872="",E4872="!!!",F4872="NEW"),"",COUNTBLANK(OFFSET(A$1,,,SUMPRODUCT(MAX(ROW(E$2:E4872)*(E4872=E$2:E4872)))))-COUNTBLANK(OFFSET(A$1,,,SUMPRODUCT(MAX(ROW(E$1:E4871)*(E2=E$1:E4871))))))</f>
        <v> </v>
      </c>
      <c r="K4872" s="25" t="str">
        <f>IF(OR(E4872="",E4872="!!!",F4872="NEW"),"",INDEX(J$1:J4871,SUMPRODUCT(MAX(ROW(E$1:E4871)*(E4872=E$1:E4871)))))</f>
        <v> </v>
      </c>
      <c r="L4872" s="26"/>
    </row>
    <row r="4873" spans="1:12">
      <c r="A4873" s="20" t="s">
        <v>1769</v>
      </c>
      <c r="E4873" s="21">
        <f>IF(D4873="?OLD","!!!","")</f>
        <v/>
      </c>
      <c r="F4873" s="22" t="str">
        <f>IF(OR(E4873="",E4873="!!!"),"",IF(NOT(ISNA(VLOOKUP(E4873,E$1:E4872,1,FALSE()))),"OLD",IF(AND(E4873&lt;&gt;"",E4873&lt;&gt;"!!!"),"NEW","")))</f>
        <v> </v>
      </c>
      <c r="G4873" s="23" t="str">
        <f>IF(OR(E4873="",E4873="!!!"),"",IF(OR(J4873=0,AND(J4873=1,K4873=1),AND(J4873=1,I4873="SBJ"),AND(J4873=1,I4873=0)),"?IN_FOCUS",IF(J4873&lt;=2,"?ACTIVATED",IF(J4873&lt;&gt;"","?FAMILIAR",IF(F4873="NEW",IF(ISNA(VLOOKUP(E4873,#REF!,1,FALSE())),"?TYPE_IDENTIFIABLE","?REFERENTIAL"),"_")))))</f>
        <v> </v>
      </c>
      <c r="H4873" s="24" t="str">
        <f>IF(J4873&lt;&gt;1,"",IF(I4873="SBJ","CB","?"))</f>
        <v> </v>
      </c>
      <c r="I4873" s="25" t="str">
        <f>IF(OR(E4873="",E4873="!!!",F4873="NEW"),"",INDEX(B4872:B$2,-1+SUMPRODUCT(MAX(ROW(E4872:E$2)*(E4873=E4872:E$2)))))</f>
        <v> </v>
      </c>
      <c r="J4873" s="25" t="str">
        <f>IF(OR(E4873="",E4873="!!!",F4873="NEW"),"",COUNTBLANK(OFFSET(A$1,,,SUMPRODUCT(MAX(ROW(E$2:E4873)*(E4873=E$2:E4873)))))-COUNTBLANK(OFFSET(A$1,,,SUMPRODUCT(MAX(ROW(E$1:E4872)*(E2=E$1:E4872))))))</f>
        <v> </v>
      </c>
      <c r="K4873" s="25" t="str">
        <f>IF(OR(E4873="",E4873="!!!",F4873="NEW"),"",INDEX(J$1:J4872,SUMPRODUCT(MAX(ROW(E$1:E4872)*(E4873=E$1:E4872)))))</f>
        <v> </v>
      </c>
      <c r="L4873" s="26"/>
    </row>
    <row r="4874" spans="1:12">
      <c r="A4874" s="20" t="s">
        <v>1113</v>
      </c>
      <c r="E4874" s="21">
        <f>IF(D4874="?OLD","!!!","")</f>
        <v/>
      </c>
      <c r="F4874" s="22" t="str">
        <f>IF(OR(E4874="",E4874="!!!"),"",IF(NOT(ISNA(VLOOKUP(E4874,E$1:E4873,1,FALSE()))),"OLD",IF(AND(E4874&lt;&gt;"",E4874&lt;&gt;"!!!"),"NEW","")))</f>
        <v> </v>
      </c>
      <c r="G4874" s="23" t="str">
        <f>IF(OR(E4874="",E4874="!!!"),"",IF(OR(J4874=0,AND(J4874=1,K4874=1),AND(J4874=1,I4874="SBJ"),AND(J4874=1,I4874=0)),"?IN_FOCUS",IF(J4874&lt;=2,"?ACTIVATED",IF(J4874&lt;&gt;"","?FAMILIAR",IF(F4874="NEW",IF(ISNA(VLOOKUP(E4874,#REF!,1,FALSE())),"?TYPE_IDENTIFIABLE","?REFERENTIAL"),"_")))))</f>
        <v> </v>
      </c>
      <c r="H4874" s="24" t="str">
        <f>IF(J4874&lt;&gt;1,"",IF(I4874="SBJ","CB","?"))</f>
        <v> </v>
      </c>
      <c r="I4874" s="25" t="str">
        <f>IF(OR(E4874="",E4874="!!!",F4874="NEW"),"",INDEX(B4873:B$2,-1+SUMPRODUCT(MAX(ROW(E4873:E$2)*(E4874=E4873:E$2)))))</f>
        <v> </v>
      </c>
      <c r="J4874" s="25" t="str">
        <f>IF(OR(E4874="",E4874="!!!",F4874="NEW"),"",COUNTBLANK(OFFSET(A$1,,,SUMPRODUCT(MAX(ROW(E$2:E4874)*(E4874=E$2:E4874)))))-COUNTBLANK(OFFSET(A$1,,,SUMPRODUCT(MAX(ROW(E$1:E4873)*(E2=E$1:E4873))))))</f>
        <v> </v>
      </c>
      <c r="K4874" s="25" t="str">
        <f>IF(OR(E4874="",E4874="!!!",F4874="NEW"),"",INDEX(J$1:J4873,SUMPRODUCT(MAX(ROW(E$1:E4873)*(E4874=E$1:E4873)))))</f>
        <v> </v>
      </c>
      <c r="L4874" s="26"/>
    </row>
    <row r="4875" spans="1:12">
      <c r="A4875" s="20" t="s">
        <v>2484</v>
      </c>
      <c r="B4875" s="27" t="s">
        <v>1160</v>
      </c>
      <c r="C4875" s="27" t="s">
        <v>1086</v>
      </c>
      <c r="D4875" s="27" t="s">
        <v>1069</v>
      </c>
      <c r="E4875" s="21">
        <f>IF(D4875="?OLD","!!!","")</f>
        <v/>
      </c>
      <c r="F4875" s="22" t="str">
        <f>IF(OR(E4875="",E4875="!!!"),"",IF(NOT(ISNA(VLOOKUP(E4875,E$1:E4874,1,FALSE()))),"OLD",IF(AND(E4875&lt;&gt;"",E4875&lt;&gt;"!!!"),"NEW","")))</f>
        <v> </v>
      </c>
      <c r="G4875" s="23" t="str">
        <f>IF(OR(E4875="",E4875="!!!"),"",IF(OR(J4875=0,AND(J4875=1,K4875=1),AND(J4875=1,I4875="SBJ"),AND(J4875=1,I4875=0)),"?IN_FOCUS",IF(J4875&lt;=2,"?ACTIVATED",IF(J4875&lt;&gt;"","?FAMILIAR",IF(F4875="NEW",IF(ISNA(VLOOKUP(E4875,#REF!,1,FALSE())),"?TYPE_IDENTIFIABLE","?REFERENTIAL"),"_")))))</f>
        <v> </v>
      </c>
      <c r="H4875" s="24" t="str">
        <f>IF(J4875&lt;&gt;1,"",IF(I4875="SBJ","CB","?"))</f>
        <v> </v>
      </c>
      <c r="I4875" s="25" t="str">
        <f>IF(OR(E4875="",E4875="!!!",F4875="NEW"),"",INDEX(B4874:B$2,-1+SUMPRODUCT(MAX(ROW(E4874:E$2)*(E4875=E4874:E$2)))))</f>
        <v> </v>
      </c>
      <c r="J4875" s="25" t="str">
        <f>IF(OR(E4875="",E4875="!!!",F4875="NEW"),"",COUNTBLANK(OFFSET(A$1,,,SUMPRODUCT(MAX(ROW(E$2:E4875)*(E4875=E$2:E4875)))))-COUNTBLANK(OFFSET(A$1,,,SUMPRODUCT(MAX(ROW(E$1:E4874)*(E2=E$1:E4874))))))</f>
        <v> </v>
      </c>
      <c r="K4875" s="25" t="str">
        <f>IF(OR(E4875="",E4875="!!!",F4875="NEW"),"",INDEX(J$1:J4874,SUMPRODUCT(MAX(ROW(E$1:E4874)*(E4875=E$1:E4874)))))</f>
        <v> </v>
      </c>
      <c r="L4875" s="26"/>
    </row>
    <row r="4876" spans="1:12">
      <c r="A4876" s="20" t="s">
        <v>1539</v>
      </c>
      <c r="E4876" s="21">
        <f>IF(D4876="?OLD","!!!","")</f>
        <v/>
      </c>
      <c r="F4876" s="22" t="str">
        <f>IF(OR(E4876="",E4876="!!!"),"",IF(NOT(ISNA(VLOOKUP(E4876,E$1:E4875,1,FALSE()))),"OLD",IF(AND(E4876&lt;&gt;"",E4876&lt;&gt;"!!!"),"NEW","")))</f>
        <v> </v>
      </c>
      <c r="G4876" s="23" t="str">
        <f>IF(OR(E4876="",E4876="!!!"),"",IF(OR(J4876=0,AND(J4876=1,K4876=1),AND(J4876=1,I4876="SBJ"),AND(J4876=1,I4876=0)),"?IN_FOCUS",IF(J4876&lt;=2,"?ACTIVATED",IF(J4876&lt;&gt;"","?FAMILIAR",IF(F4876="NEW",IF(ISNA(VLOOKUP(E4876,#REF!,1,FALSE())),"?TYPE_IDENTIFIABLE","?REFERENTIAL"),"_")))))</f>
        <v> </v>
      </c>
      <c r="H4876" s="24" t="str">
        <f>IF(J4876&lt;&gt;1,"",IF(I4876="SBJ","CB","?"))</f>
        <v> </v>
      </c>
      <c r="I4876" s="25" t="str">
        <f>IF(OR(E4876="",E4876="!!!",F4876="NEW"),"",INDEX(B4875:B$2,-1+SUMPRODUCT(MAX(ROW(E4875:E$2)*(E4876=E4875:E$2)))))</f>
        <v> </v>
      </c>
      <c r="J4876" s="25" t="str">
        <f>IF(OR(E4876="",E4876="!!!",F4876="NEW"),"",COUNTBLANK(OFFSET(A$1,,,SUMPRODUCT(MAX(ROW(E$2:E4876)*(E4876=E$2:E4876)))))-COUNTBLANK(OFFSET(A$1,,,SUMPRODUCT(MAX(ROW(E$1:E4875)*(E2=E$1:E4875))))))</f>
        <v> </v>
      </c>
      <c r="K4876" s="25" t="str">
        <f>IF(OR(E4876="",E4876="!!!",F4876="NEW"),"",INDEX(J$1:J4875,SUMPRODUCT(MAX(ROW(E$1:E4875)*(E4876=E$1:E4875)))))</f>
        <v> </v>
      </c>
      <c r="L4876" s="26"/>
    </row>
    <row r="4877" spans="1:12">
      <c r="A4877" s="20" t="s">
        <v>1087</v>
      </c>
      <c r="E4877" s="21">
        <f>IF(D4877="?OLD","!!!","")</f>
        <v/>
      </c>
      <c r="F4877" s="22" t="str">
        <f>IF(OR(E4877="",E4877="!!!"),"",IF(NOT(ISNA(VLOOKUP(E4877,E$1:E4876,1,FALSE()))),"OLD",IF(AND(E4877&lt;&gt;"",E4877&lt;&gt;"!!!"),"NEW","")))</f>
        <v> </v>
      </c>
      <c r="G4877" s="23" t="str">
        <f>IF(OR(E4877="",E4877="!!!"),"",IF(OR(J4877=0,AND(J4877=1,K4877=1),AND(J4877=1,I4877="SBJ"),AND(J4877=1,I4877=0)),"?IN_FOCUS",IF(J4877&lt;=2,"?ACTIVATED",IF(J4877&lt;&gt;"","?FAMILIAR",IF(F4877="NEW",IF(ISNA(VLOOKUP(E4877,#REF!,1,FALSE())),"?TYPE_IDENTIFIABLE","?REFERENTIAL"),"_")))))</f>
        <v> </v>
      </c>
      <c r="H4877" s="24" t="str">
        <f>IF(J4877&lt;&gt;1,"",IF(I4877="SBJ","CB","?"))</f>
        <v> </v>
      </c>
      <c r="I4877" s="25" t="str">
        <f>IF(OR(E4877="",E4877="!!!",F4877="NEW"),"",INDEX(B4876:B$2,-1+SUMPRODUCT(MAX(ROW(E4876:E$2)*(E4877=E4876:E$2)))))</f>
        <v> </v>
      </c>
      <c r="J4877" s="25" t="str">
        <f>IF(OR(E4877="",E4877="!!!",F4877="NEW"),"",COUNTBLANK(OFFSET(A$1,,,SUMPRODUCT(MAX(ROW(E$2:E4877)*(E4877=E$2:E4877)))))-COUNTBLANK(OFFSET(A$1,,,SUMPRODUCT(MAX(ROW(E$1:E4876)*(E2=E$1:E4876))))))</f>
        <v> </v>
      </c>
      <c r="K4877" s="25" t="str">
        <f>IF(OR(E4877="",E4877="!!!",F4877="NEW"),"",INDEX(J$1:J4876,SUMPRODUCT(MAX(ROW(E$1:E4876)*(E4877=E$1:E4876)))))</f>
        <v> </v>
      </c>
      <c r="L4877" s="26"/>
    </row>
    <row r="4878" spans="1:12">
      <c r="A4878" s="20" t="s">
        <v>1078</v>
      </c>
      <c r="E4878" s="21">
        <f>IF(D4878="?OLD","!!!","")</f>
        <v/>
      </c>
      <c r="F4878" s="22" t="str">
        <f>IF(OR(E4878="",E4878="!!!"),"",IF(NOT(ISNA(VLOOKUP(E4878,E$1:E4877,1,FALSE()))),"OLD",IF(AND(E4878&lt;&gt;"",E4878&lt;&gt;"!!!"),"NEW","")))</f>
        <v> </v>
      </c>
      <c r="G4878" s="23" t="str">
        <f>IF(OR(E4878="",E4878="!!!"),"",IF(OR(J4878=0,AND(J4878=1,K4878=1),AND(J4878=1,I4878="SBJ"),AND(J4878=1,I4878=0)),"?IN_FOCUS",IF(J4878&lt;=2,"?ACTIVATED",IF(J4878&lt;&gt;"","?FAMILIAR",IF(F4878="NEW",IF(ISNA(VLOOKUP(E4878,#REF!,1,FALSE())),"?TYPE_IDENTIFIABLE","?REFERENTIAL"),"_")))))</f>
        <v> </v>
      </c>
      <c r="H4878" s="24" t="str">
        <f>IF(J4878&lt;&gt;1,"",IF(I4878="SBJ","CB","?"))</f>
        <v> </v>
      </c>
      <c r="I4878" s="25" t="str">
        <f>IF(OR(E4878="",E4878="!!!",F4878="NEW"),"",INDEX(B4877:B$2,-1+SUMPRODUCT(MAX(ROW(E4877:E$2)*(E4878=E4877:E$2)))))</f>
        <v> </v>
      </c>
      <c r="J4878" s="25" t="str">
        <f>IF(OR(E4878="",E4878="!!!",F4878="NEW"),"",COUNTBLANK(OFFSET(A$1,,,SUMPRODUCT(MAX(ROW(E$2:E4878)*(E4878=E$2:E4878)))))-COUNTBLANK(OFFSET(A$1,,,SUMPRODUCT(MAX(ROW(E$1:E4877)*(E2=E$1:E4877))))))</f>
        <v> </v>
      </c>
      <c r="K4878" s="25" t="str">
        <f>IF(OR(E4878="",E4878="!!!",F4878="NEW"),"",INDEX(J$1:J4877,SUMPRODUCT(MAX(ROW(E$1:E4877)*(E4878=E$1:E4877)))))</f>
        <v> </v>
      </c>
      <c r="L4878" s="26"/>
    </row>
    <row r="4879" spans="1:12">
      <c r="A4879" s="20" t="s">
        <v>1351</v>
      </c>
      <c r="B4879" s="27" t="s">
        <v>1095</v>
      </c>
      <c r="C4879" s="27" t="s">
        <v>1072</v>
      </c>
      <c r="E4879" s="21">
        <f>IF(D4879="?OLD","!!!","")</f>
        <v/>
      </c>
      <c r="F4879" s="22" t="str">
        <f>IF(OR(E4879="",E4879="!!!"),"",IF(NOT(ISNA(VLOOKUP(E4879,E$1:E4878,1,FALSE()))),"OLD",IF(AND(E4879&lt;&gt;"",E4879&lt;&gt;"!!!"),"NEW","")))</f>
        <v> </v>
      </c>
      <c r="G4879" s="23" t="str">
        <f>IF(OR(E4879="",E4879="!!!"),"",IF(OR(J4879=0,AND(J4879=1,K4879=1),AND(J4879=1,I4879="SBJ"),AND(J4879=1,I4879=0)),"?IN_FOCUS",IF(J4879&lt;=2,"?ACTIVATED",IF(J4879&lt;&gt;"","?FAMILIAR",IF(F4879="NEW",IF(ISNA(VLOOKUP(E4879,#REF!,1,FALSE())),"?TYPE_IDENTIFIABLE","?REFERENTIAL"),"_")))))</f>
        <v> </v>
      </c>
      <c r="H4879" s="24" t="str">
        <f>IF(J4879&lt;&gt;1,"",IF(I4879="SBJ","CB","?"))</f>
        <v> </v>
      </c>
      <c r="I4879" s="25" t="str">
        <f>IF(OR(E4879="",E4879="!!!",F4879="NEW"),"",INDEX(B4878:B$2,-1+SUMPRODUCT(MAX(ROW(E4878:E$2)*(E4879=E4878:E$2)))))</f>
        <v> </v>
      </c>
      <c r="J4879" s="25" t="str">
        <f>IF(OR(E4879="",E4879="!!!",F4879="NEW"),"",COUNTBLANK(OFFSET(A$1,,,SUMPRODUCT(MAX(ROW(E$2:E4879)*(E4879=E$2:E4879)))))-COUNTBLANK(OFFSET(A$1,,,SUMPRODUCT(MAX(ROW(E$1:E4878)*(E2=E$1:E4878))))))</f>
        <v> </v>
      </c>
      <c r="K4879" s="25" t="str">
        <f>IF(OR(E4879="",E4879="!!!",F4879="NEW"),"",INDEX(J$1:J4878,SUMPRODUCT(MAX(ROW(E$1:E4878)*(E4879=E$1:E4878)))))</f>
        <v> </v>
      </c>
      <c r="L4879" s="26"/>
    </row>
    <row r="4880" spans="1:12">
      <c r="A4880" s="20" t="s">
        <v>2485</v>
      </c>
      <c r="E4880" s="21">
        <f>IF(D4880="?OLD","!!!","")</f>
        <v/>
      </c>
      <c r="F4880" s="22" t="str">
        <f>IF(OR(E4880="",E4880="!!!"),"",IF(NOT(ISNA(VLOOKUP(E4880,E$1:E4879,1,FALSE()))),"OLD",IF(AND(E4880&lt;&gt;"",E4880&lt;&gt;"!!!"),"NEW","")))</f>
        <v> </v>
      </c>
      <c r="G4880" s="23" t="str">
        <f>IF(OR(E4880="",E4880="!!!"),"",IF(OR(J4880=0,AND(J4880=1,K4880=1),AND(J4880=1,I4880="SBJ"),AND(J4880=1,I4880=0)),"?IN_FOCUS",IF(J4880&lt;=2,"?ACTIVATED",IF(J4880&lt;&gt;"","?FAMILIAR",IF(F4880="NEW",IF(ISNA(VLOOKUP(E4880,#REF!,1,FALSE())),"?TYPE_IDENTIFIABLE","?REFERENTIAL"),"_")))))</f>
        <v> </v>
      </c>
      <c r="H4880" s="24" t="str">
        <f>IF(J4880&lt;&gt;1,"",IF(I4880="SBJ","CB","?"))</f>
        <v> </v>
      </c>
      <c r="I4880" s="25" t="str">
        <f>IF(OR(E4880="",E4880="!!!",F4880="NEW"),"",INDEX(B4879:B$2,-1+SUMPRODUCT(MAX(ROW(E4879:E$2)*(E4880=E4879:E$2)))))</f>
        <v> </v>
      </c>
      <c r="J4880" s="25" t="str">
        <f>IF(OR(E4880="",E4880="!!!",F4880="NEW"),"",COUNTBLANK(OFFSET(A$1,,,SUMPRODUCT(MAX(ROW(E$2:E4880)*(E4880=E$2:E4880)))))-COUNTBLANK(OFFSET(A$1,,,SUMPRODUCT(MAX(ROW(E$1:E4879)*(E2=E$1:E4879))))))</f>
        <v> </v>
      </c>
      <c r="K4880" s="25" t="str">
        <f>IF(OR(E4880="",E4880="!!!",F4880="NEW"),"",INDEX(J$1:J4879,SUMPRODUCT(MAX(ROW(E$1:E4879)*(E4880=E$1:E4879)))))</f>
        <v> </v>
      </c>
      <c r="L4880" s="26"/>
    </row>
    <row r="4881" spans="1:12">
      <c r="A4881" s="20" t="s">
        <v>2138</v>
      </c>
      <c r="E4881" s="21">
        <f>IF(D4881="?OLD","!!!","")</f>
        <v/>
      </c>
      <c r="F4881" s="22" t="str">
        <f>IF(OR(E4881="",E4881="!!!"),"",IF(NOT(ISNA(VLOOKUP(E4881,E$1:E4880,1,FALSE()))),"OLD",IF(AND(E4881&lt;&gt;"",E4881&lt;&gt;"!!!"),"NEW","")))</f>
        <v> </v>
      </c>
      <c r="G4881" s="23" t="str">
        <f>IF(OR(E4881="",E4881="!!!"),"",IF(OR(J4881=0,AND(J4881=1,K4881=1),AND(J4881=1,I4881="SBJ"),AND(J4881=1,I4881=0)),"?IN_FOCUS",IF(J4881&lt;=2,"?ACTIVATED",IF(J4881&lt;&gt;"","?FAMILIAR",IF(F4881="NEW",IF(ISNA(VLOOKUP(E4881,#REF!,1,FALSE())),"?TYPE_IDENTIFIABLE","?REFERENTIAL"),"_")))))</f>
        <v> </v>
      </c>
      <c r="H4881" s="24" t="str">
        <f>IF(J4881&lt;&gt;1,"",IF(I4881="SBJ","CB","?"))</f>
        <v> </v>
      </c>
      <c r="I4881" s="25" t="str">
        <f>IF(OR(E4881="",E4881="!!!",F4881="NEW"),"",INDEX(B4880:B$2,-1+SUMPRODUCT(MAX(ROW(E4880:E$2)*(E4881=E4880:E$2)))))</f>
        <v> </v>
      </c>
      <c r="J4881" s="25" t="str">
        <f>IF(OR(E4881="",E4881="!!!",F4881="NEW"),"",COUNTBLANK(OFFSET(A$1,,,SUMPRODUCT(MAX(ROW(E$2:E4881)*(E4881=E$2:E4881)))))-COUNTBLANK(OFFSET(A$1,,,SUMPRODUCT(MAX(ROW(E$1:E4880)*(E2=E$1:E4880))))))</f>
        <v> </v>
      </c>
      <c r="K4881" s="25" t="str">
        <f>IF(OR(E4881="",E4881="!!!",F4881="NEW"),"",INDEX(J$1:J4880,SUMPRODUCT(MAX(ROW(E$1:E4880)*(E4881=E$1:E4880)))))</f>
        <v> </v>
      </c>
      <c r="L4881" s="26"/>
    </row>
    <row r="4882" spans="1:12">
      <c r="A4882" s="20" t="s">
        <v>1193</v>
      </c>
      <c r="E4882" s="21">
        <f>IF(D4882="?OLD","!!!","")</f>
        <v/>
      </c>
      <c r="F4882" s="22" t="str">
        <f>IF(OR(E4882="",E4882="!!!"),"",IF(NOT(ISNA(VLOOKUP(E4882,E$1:E4881,1,FALSE()))),"OLD",IF(AND(E4882&lt;&gt;"",E4882&lt;&gt;"!!!"),"NEW","")))</f>
        <v> </v>
      </c>
      <c r="G4882" s="23" t="str">
        <f>IF(OR(E4882="",E4882="!!!"),"",IF(OR(J4882=0,AND(J4882=1,K4882=1),AND(J4882=1,I4882="SBJ"),AND(J4882=1,I4882=0)),"?IN_FOCUS",IF(J4882&lt;=2,"?ACTIVATED",IF(J4882&lt;&gt;"","?FAMILIAR",IF(F4882="NEW",IF(ISNA(VLOOKUP(E4882,#REF!,1,FALSE())),"?TYPE_IDENTIFIABLE","?REFERENTIAL"),"_")))))</f>
        <v> </v>
      </c>
      <c r="H4882" s="24" t="str">
        <f>IF(J4882&lt;&gt;1,"",IF(I4882="SBJ","CB","?"))</f>
        <v> </v>
      </c>
      <c r="I4882" s="25" t="str">
        <f>IF(OR(E4882="",E4882="!!!",F4882="NEW"),"",INDEX(B4881:B$2,-1+SUMPRODUCT(MAX(ROW(E4881:E$2)*(E4882=E4881:E$2)))))</f>
        <v> </v>
      </c>
      <c r="J4882" s="25" t="str">
        <f>IF(OR(E4882="",E4882="!!!",F4882="NEW"),"",COUNTBLANK(OFFSET(A$1,,,SUMPRODUCT(MAX(ROW(E$2:E4882)*(E4882=E$2:E4882)))))-COUNTBLANK(OFFSET(A$1,,,SUMPRODUCT(MAX(ROW(E$1:E4881)*(E2=E$1:E4881))))))</f>
        <v> </v>
      </c>
      <c r="K4882" s="25" t="str">
        <f>IF(OR(E4882="",E4882="!!!",F4882="NEW"),"",INDEX(J$1:J4881,SUMPRODUCT(MAX(ROW(E$1:E4881)*(E4882=E$1:E4881)))))</f>
        <v> </v>
      </c>
      <c r="L4882" s="26"/>
    </row>
    <row r="4883" spans="1:12">
      <c r="A4883" s="20" t="s">
        <v>1159</v>
      </c>
      <c r="E4883" s="21">
        <f>IF(D4883="?OLD","!!!","")</f>
        <v/>
      </c>
      <c r="F4883" s="22" t="str">
        <f>IF(OR(E4883="",E4883="!!!"),"",IF(NOT(ISNA(VLOOKUP(E4883,E$1:E4882,1,FALSE()))),"OLD",IF(AND(E4883&lt;&gt;"",E4883&lt;&gt;"!!!"),"NEW","")))</f>
        <v> </v>
      </c>
      <c r="G4883" s="23" t="str">
        <f>IF(OR(E4883="",E4883="!!!"),"",IF(OR(J4883=0,AND(J4883=1,K4883=1),AND(J4883=1,I4883="SBJ"),AND(J4883=1,I4883=0)),"?IN_FOCUS",IF(J4883&lt;=2,"?ACTIVATED",IF(J4883&lt;&gt;"","?FAMILIAR",IF(F4883="NEW",IF(ISNA(VLOOKUP(E4883,#REF!,1,FALSE())),"?TYPE_IDENTIFIABLE","?REFERENTIAL"),"_")))))</f>
        <v> </v>
      </c>
      <c r="H4883" s="24" t="str">
        <f>IF(J4883&lt;&gt;1,"",IF(I4883="SBJ","CB","?"))</f>
        <v> </v>
      </c>
      <c r="I4883" s="25" t="str">
        <f>IF(OR(E4883="",E4883="!!!",F4883="NEW"),"",INDEX(B4882:B$2,-1+SUMPRODUCT(MAX(ROW(E4882:E$2)*(E4883=E4882:E$2)))))</f>
        <v> </v>
      </c>
      <c r="J4883" s="25" t="str">
        <f>IF(OR(E4883="",E4883="!!!",F4883="NEW"),"",COUNTBLANK(OFFSET(A$1,,,SUMPRODUCT(MAX(ROW(E$2:E4883)*(E4883=E$2:E4883)))))-COUNTBLANK(OFFSET(A$1,,,SUMPRODUCT(MAX(ROW(E$1:E4882)*(E2=E$1:E4882))))))</f>
        <v> </v>
      </c>
      <c r="K4883" s="25" t="str">
        <f>IF(OR(E4883="",E4883="!!!",F4883="NEW"),"",INDEX(J$1:J4882,SUMPRODUCT(MAX(ROW(E$1:E4882)*(E4883=E$1:E4882)))))</f>
        <v> </v>
      </c>
      <c r="L4883" s="26"/>
    </row>
    <row r="4884" spans="1:12">
      <c r="A4884" s="20" t="s">
        <v>2486</v>
      </c>
      <c r="E4884" s="21">
        <f>IF(D4884="?OLD","!!!","")</f>
        <v/>
      </c>
      <c r="F4884" s="22" t="str">
        <f>IF(OR(E4884="",E4884="!!!"),"",IF(NOT(ISNA(VLOOKUP(E4884,E$1:E4883,1,FALSE()))),"OLD",IF(AND(E4884&lt;&gt;"",E4884&lt;&gt;"!!!"),"NEW","")))</f>
        <v> </v>
      </c>
      <c r="G4884" s="23" t="str">
        <f>IF(OR(E4884="",E4884="!!!"),"",IF(OR(J4884=0,AND(J4884=1,K4884=1),AND(J4884=1,I4884="SBJ"),AND(J4884=1,I4884=0)),"?IN_FOCUS",IF(J4884&lt;=2,"?ACTIVATED",IF(J4884&lt;&gt;"","?FAMILIAR",IF(F4884="NEW",IF(ISNA(VLOOKUP(E4884,#REF!,1,FALSE())),"?TYPE_IDENTIFIABLE","?REFERENTIAL"),"_")))))</f>
        <v> </v>
      </c>
      <c r="H4884" s="24" t="str">
        <f>IF(J4884&lt;&gt;1,"",IF(I4884="SBJ","CB","?"))</f>
        <v> </v>
      </c>
      <c r="I4884" s="25" t="str">
        <f>IF(OR(E4884="",E4884="!!!",F4884="NEW"),"",INDEX(B4883:B$2,-1+SUMPRODUCT(MAX(ROW(E4883:E$2)*(E4884=E4883:E$2)))))</f>
        <v> </v>
      </c>
      <c r="J4884" s="25" t="str">
        <f>IF(OR(E4884="",E4884="!!!",F4884="NEW"),"",COUNTBLANK(OFFSET(A$1,,,SUMPRODUCT(MAX(ROW(E$2:E4884)*(E4884=E$2:E4884)))))-COUNTBLANK(OFFSET(A$1,,,SUMPRODUCT(MAX(ROW(E$1:E4883)*(E2=E$1:E4883))))))</f>
        <v> </v>
      </c>
      <c r="K4884" s="25" t="str">
        <f>IF(OR(E4884="",E4884="!!!",F4884="NEW"),"",INDEX(J$1:J4883,SUMPRODUCT(MAX(ROW(E$1:E4883)*(E4884=E$1:E4883)))))</f>
        <v> </v>
      </c>
      <c r="L4884" s="26"/>
    </row>
    <row r="4885" spans="1:12">
      <c r="A4885" s="20" t="s">
        <v>1080</v>
      </c>
      <c r="E4885" s="21">
        <f>IF(D4885="?OLD","!!!","")</f>
        <v/>
      </c>
      <c r="F4885" s="22" t="str">
        <f>IF(OR(E4885="",E4885="!!!"),"",IF(NOT(ISNA(VLOOKUP(E4885,E$1:E4884,1,FALSE()))),"OLD",IF(AND(E4885&lt;&gt;"",E4885&lt;&gt;"!!!"),"NEW","")))</f>
        <v> </v>
      </c>
      <c r="G4885" s="23" t="str">
        <f>IF(OR(E4885="",E4885="!!!"),"",IF(OR(J4885=0,AND(J4885=1,K4885=1),AND(J4885=1,I4885="SBJ"),AND(J4885=1,I4885=0)),"?IN_FOCUS",IF(J4885&lt;=2,"?ACTIVATED",IF(J4885&lt;&gt;"","?FAMILIAR",IF(F4885="NEW",IF(ISNA(VLOOKUP(E4885,#REF!,1,FALSE())),"?TYPE_IDENTIFIABLE","?REFERENTIAL"),"_")))))</f>
        <v> </v>
      </c>
      <c r="H4885" s="24" t="str">
        <f>IF(J4885&lt;&gt;1,"",IF(I4885="SBJ","CB","?"))</f>
        <v> </v>
      </c>
      <c r="I4885" s="25" t="str">
        <f>IF(OR(E4885="",E4885="!!!",F4885="NEW"),"",INDEX(B4884:B$2,-1+SUMPRODUCT(MAX(ROW(E4884:E$2)*(E4885=E4884:E$2)))))</f>
        <v> </v>
      </c>
      <c r="J4885" s="25" t="str">
        <f>IF(OR(E4885="",E4885="!!!",F4885="NEW"),"",COUNTBLANK(OFFSET(A$1,,,SUMPRODUCT(MAX(ROW(E$2:E4885)*(E4885=E$2:E4885)))))-COUNTBLANK(OFFSET(A$1,,,SUMPRODUCT(MAX(ROW(E$1:E4884)*(E2=E$1:E4884))))))</f>
        <v> </v>
      </c>
      <c r="K4885" s="25" t="str">
        <f>IF(OR(E4885="",E4885="!!!",F4885="NEW"),"",INDEX(J$1:J4884,SUMPRODUCT(MAX(ROW(E$1:E4884)*(E4885=E$1:E4884)))))</f>
        <v> </v>
      </c>
      <c r="L4885" s="26"/>
    </row>
    <row r="4886" spans="1:12">
      <c r="A4886" s="20"/>
    </row>
    <row r="4887" spans="1:12">
      <c r="A4887" s="20" t="s">
        <v>2487</v>
      </c>
    </row>
    <row r="4888" spans="1:12">
      <c r="A4888" s="20" t="s">
        <v>1082</v>
      </c>
      <c r="E4888" s="21">
        <f>IF(D4888="?OLD","!!!","")</f>
        <v/>
      </c>
      <c r="F4888" s="22" t="str">
        <f>IF(OR(E4888="",E4888="!!!"),"",IF(NOT(ISNA(VLOOKUP(E4888,E$1:E4887,1,FALSE()))),"OLD",IF(AND(E4888&lt;&gt;"",E4888&lt;&gt;"!!!"),"NEW","")))</f>
        <v> </v>
      </c>
      <c r="G4888" s="23" t="str">
        <f>IF(OR(E4888="",E4888="!!!"),"",IF(OR(J4888=0,AND(J4888=1,K4888=1),AND(J4888=1,I4888="SBJ"),AND(J4888=1,I4888=0)),"?IN_FOCUS",IF(J4888&lt;=2,"?ACTIVATED",IF(J4888&lt;&gt;"","?FAMILIAR",IF(F4888="NEW",IF(ISNA(VLOOKUP(E4888,#REF!,1,FALSE())),"?TYPE_IDENTIFIABLE","?REFERENTIAL"),"_")))))</f>
        <v> </v>
      </c>
      <c r="H4888" s="24" t="str">
        <f>IF(J4888&lt;&gt;1,"",IF(I4888="SBJ","CB","?"))</f>
        <v> </v>
      </c>
      <c r="I4888" s="25" t="str">
        <f>IF(OR(E4888="",E4888="!!!",F4888="NEW"),"",INDEX(B4887:B$2,-1+SUMPRODUCT(MAX(ROW(E4887:E$2)*(E4888=E4887:E$2)))))</f>
        <v> </v>
      </c>
      <c r="J4888" s="25" t="str">
        <f>IF(OR(E4888="",E4888="!!!",F4888="NEW"),"",COUNTBLANK(OFFSET(A$1,,,SUMPRODUCT(MAX(ROW(E$2:E4888)*(E4888=E$2:E4888)))))-COUNTBLANK(OFFSET(A$1,,,SUMPRODUCT(MAX(ROW(E$1:E4887)*(E2=E$1:E4887))))))</f>
        <v> </v>
      </c>
      <c r="K4888" s="25" t="str">
        <f>IF(OR(E4888="",E4888="!!!",F4888="NEW"),"",INDEX(J$1:J4887,SUMPRODUCT(MAX(ROW(E$1:E4887)*(E4888=E$1:E4887)))))</f>
        <v> </v>
      </c>
      <c r="L4888" s="26"/>
    </row>
    <row r="4889" spans="1:12">
      <c r="A4889" s="20" t="s">
        <v>1232</v>
      </c>
      <c r="E4889" s="21">
        <f>IF(D4889="?OLD","!!!","")</f>
        <v/>
      </c>
      <c r="F4889" s="22" t="str">
        <f>IF(OR(E4889="",E4889="!!!"),"",IF(NOT(ISNA(VLOOKUP(E4889,E$1:E4888,1,FALSE()))),"OLD",IF(AND(E4889&lt;&gt;"",E4889&lt;&gt;"!!!"),"NEW","")))</f>
        <v> </v>
      </c>
      <c r="G4889" s="23" t="str">
        <f>IF(OR(E4889="",E4889="!!!"),"",IF(OR(J4889=0,AND(J4889=1,K4889=1),AND(J4889=1,I4889="SBJ"),AND(J4889=1,I4889=0)),"?IN_FOCUS",IF(J4889&lt;=2,"?ACTIVATED",IF(J4889&lt;&gt;"","?FAMILIAR",IF(F4889="NEW",IF(ISNA(VLOOKUP(E4889,#REF!,1,FALSE())),"?TYPE_IDENTIFIABLE","?REFERENTIAL"),"_")))))</f>
        <v> </v>
      </c>
      <c r="H4889" s="24" t="str">
        <f>IF(J4889&lt;&gt;1,"",IF(I4889="SBJ","CB","?"))</f>
        <v> </v>
      </c>
      <c r="I4889" s="25" t="str">
        <f>IF(OR(E4889="",E4889="!!!",F4889="NEW"),"",INDEX(B4888:B$2,-1+SUMPRODUCT(MAX(ROW(E4888:E$2)*(E4889=E4888:E$2)))))</f>
        <v> </v>
      </c>
      <c r="J4889" s="25" t="str">
        <f>IF(OR(E4889="",E4889="!!!",F4889="NEW"),"",COUNTBLANK(OFFSET(A$1,,,SUMPRODUCT(MAX(ROW(E$2:E4889)*(E4889=E$2:E4889)))))-COUNTBLANK(OFFSET(A$1,,,SUMPRODUCT(MAX(ROW(E$1:E4888)*(E2=E$1:E4888))))))</f>
        <v> </v>
      </c>
      <c r="K4889" s="25" t="str">
        <f>IF(OR(E4889="",E4889="!!!",F4889="NEW"),"",INDEX(J$1:J4888,SUMPRODUCT(MAX(ROW(E$1:E4888)*(E4889=E$1:E4888)))))</f>
        <v> </v>
      </c>
      <c r="L4889" s="26"/>
    </row>
    <row r="4890" spans="1:12">
      <c r="A4890" s="20" t="s">
        <v>1191</v>
      </c>
      <c r="E4890" s="21">
        <f>IF(D4890="?OLD","!!!","")</f>
        <v/>
      </c>
      <c r="F4890" s="22" t="str">
        <f>IF(OR(E4890="",E4890="!!!"),"",IF(NOT(ISNA(VLOOKUP(E4890,E$1:E4889,1,FALSE()))),"OLD",IF(AND(E4890&lt;&gt;"",E4890&lt;&gt;"!!!"),"NEW","")))</f>
        <v> </v>
      </c>
      <c r="G4890" s="23" t="str">
        <f>IF(OR(E4890="",E4890="!!!"),"",IF(OR(J4890=0,AND(J4890=1,K4890=1),AND(J4890=1,I4890="SBJ"),AND(J4890=1,I4890=0)),"?IN_FOCUS",IF(J4890&lt;=2,"?ACTIVATED",IF(J4890&lt;&gt;"","?FAMILIAR",IF(F4890="NEW",IF(ISNA(VLOOKUP(E4890,#REF!,1,FALSE())),"?TYPE_IDENTIFIABLE","?REFERENTIAL"),"_")))))</f>
        <v> </v>
      </c>
      <c r="H4890" s="24" t="str">
        <f>IF(J4890&lt;&gt;1,"",IF(I4890="SBJ","CB","?"))</f>
        <v> </v>
      </c>
      <c r="I4890" s="25" t="str">
        <f>IF(OR(E4890="",E4890="!!!",F4890="NEW"),"",INDEX(B4889:B$2,-1+SUMPRODUCT(MAX(ROW(E4889:E$2)*(E4890=E4889:E$2)))))</f>
        <v> </v>
      </c>
      <c r="J4890" s="25" t="str">
        <f>IF(OR(E4890="",E4890="!!!",F4890="NEW"),"",COUNTBLANK(OFFSET(A$1,,,SUMPRODUCT(MAX(ROW(E$2:E4890)*(E4890=E$2:E4890)))))-COUNTBLANK(OFFSET(A$1,,,SUMPRODUCT(MAX(ROW(E$1:E4889)*(E2=E$1:E4889))))))</f>
        <v> </v>
      </c>
      <c r="K4890" s="25" t="str">
        <f>IF(OR(E4890="",E4890="!!!",F4890="NEW"),"",INDEX(J$1:J4889,SUMPRODUCT(MAX(ROW(E$1:E4889)*(E4890=E$1:E4889)))))</f>
        <v> </v>
      </c>
      <c r="L4890" s="26"/>
    </row>
    <row r="4891" spans="1:12">
      <c r="A4891" s="20" t="s">
        <v>1104</v>
      </c>
      <c r="E4891" s="21">
        <f>IF(D4891="?OLD","!!!","")</f>
        <v/>
      </c>
      <c r="F4891" s="22" t="str">
        <f>IF(OR(E4891="",E4891="!!!"),"",IF(NOT(ISNA(VLOOKUP(E4891,E$1:E4890,1,FALSE()))),"OLD",IF(AND(E4891&lt;&gt;"",E4891&lt;&gt;"!!!"),"NEW","")))</f>
        <v> </v>
      </c>
      <c r="G4891" s="23" t="str">
        <f>IF(OR(E4891="",E4891="!!!"),"",IF(OR(J4891=0,AND(J4891=1,K4891=1),AND(J4891=1,I4891="SBJ"),AND(J4891=1,I4891=0)),"?IN_FOCUS",IF(J4891&lt;=2,"?ACTIVATED",IF(J4891&lt;&gt;"","?FAMILIAR",IF(F4891="NEW",IF(ISNA(VLOOKUP(E4891,#REF!,1,FALSE())),"?TYPE_IDENTIFIABLE","?REFERENTIAL"),"_")))))</f>
        <v> </v>
      </c>
      <c r="H4891" s="24" t="str">
        <f>IF(J4891&lt;&gt;1,"",IF(I4891="SBJ","CB","?"))</f>
        <v> </v>
      </c>
      <c r="I4891" s="25" t="str">
        <f>IF(OR(E4891="",E4891="!!!",F4891="NEW"),"",INDEX(B4890:B$2,-1+SUMPRODUCT(MAX(ROW(E4890:E$2)*(E4891=E4890:E$2)))))</f>
        <v> </v>
      </c>
      <c r="J4891" s="25" t="str">
        <f>IF(OR(E4891="",E4891="!!!",F4891="NEW"),"",COUNTBLANK(OFFSET(A$1,,,SUMPRODUCT(MAX(ROW(E$2:E4891)*(E4891=E$2:E4891)))))-COUNTBLANK(OFFSET(A$1,,,SUMPRODUCT(MAX(ROW(E$1:E4890)*(E2=E$1:E4890))))))</f>
        <v> </v>
      </c>
      <c r="K4891" s="25" t="str">
        <f>IF(OR(E4891="",E4891="!!!",F4891="NEW"),"",INDEX(J$1:J4890,SUMPRODUCT(MAX(ROW(E$1:E4890)*(E4891=E$1:E4890)))))</f>
        <v> </v>
      </c>
      <c r="L4891" s="26"/>
    </row>
    <row r="4892" spans="1:12">
      <c r="A4892" s="20" t="s">
        <v>1614</v>
      </c>
      <c r="B4892" s="27" t="s">
        <v>1074</v>
      </c>
      <c r="C4892" s="27" t="s">
        <v>1086</v>
      </c>
      <c r="D4892" s="27" t="s">
        <v>1069</v>
      </c>
      <c r="E4892" s="21">
        <f>IF(D4892="?OLD","!!!","")</f>
        <v/>
      </c>
      <c r="F4892" s="22" t="str">
        <f>IF(OR(E4892="",E4892="!!!"),"",IF(NOT(ISNA(VLOOKUP(E4892,E$1:E4891,1,FALSE()))),"OLD",IF(AND(E4892&lt;&gt;"",E4892&lt;&gt;"!!!"),"NEW","")))</f>
        <v> </v>
      </c>
      <c r="G4892" s="23" t="str">
        <f>IF(OR(E4892="",E4892="!!!"),"",IF(OR(J4892=0,AND(J4892=1,K4892=1),AND(J4892=1,I4892="SBJ"),AND(J4892=1,I4892=0)),"?IN_FOCUS",IF(J4892&lt;=2,"?ACTIVATED",IF(J4892&lt;&gt;"","?FAMILIAR",IF(F4892="NEW",IF(ISNA(VLOOKUP(E4892,#REF!,1,FALSE())),"?TYPE_IDENTIFIABLE","?REFERENTIAL"),"_")))))</f>
        <v> </v>
      </c>
      <c r="H4892" s="24" t="str">
        <f>IF(J4892&lt;&gt;1,"",IF(I4892="SBJ","CB","?"))</f>
        <v> </v>
      </c>
      <c r="I4892" s="25" t="str">
        <f>IF(OR(E4892="",E4892="!!!",F4892="NEW"),"",INDEX(B4891:B$2,-1+SUMPRODUCT(MAX(ROW(E4891:E$2)*(E4892=E4891:E$2)))))</f>
        <v> </v>
      </c>
      <c r="J4892" s="25" t="str">
        <f>IF(OR(E4892="",E4892="!!!",F4892="NEW"),"",COUNTBLANK(OFFSET(A$1,,,SUMPRODUCT(MAX(ROW(E$2:E4892)*(E4892=E$2:E4892)))))-COUNTBLANK(OFFSET(A$1,,,SUMPRODUCT(MAX(ROW(E$1:E4891)*(E2=E$1:E4891))))))</f>
        <v> </v>
      </c>
      <c r="K4892" s="25" t="str">
        <f>IF(OR(E4892="",E4892="!!!",F4892="NEW"),"",INDEX(J$1:J4891,SUMPRODUCT(MAX(ROW(E$1:E4891)*(E4892=E$1:E4891)))))</f>
        <v> </v>
      </c>
      <c r="L4892" s="26"/>
    </row>
    <row r="4893" spans="1:12">
      <c r="A4893" s="20" t="s">
        <v>1087</v>
      </c>
      <c r="E4893" s="21">
        <f>IF(D4893="?OLD","!!!","")</f>
        <v/>
      </c>
      <c r="F4893" s="22" t="str">
        <f>IF(OR(E4893="",E4893="!!!"),"",IF(NOT(ISNA(VLOOKUP(E4893,E$1:E4892,1,FALSE()))),"OLD",IF(AND(E4893&lt;&gt;"",E4893&lt;&gt;"!!!"),"NEW","")))</f>
        <v> </v>
      </c>
      <c r="G4893" s="23" t="str">
        <f>IF(OR(E4893="",E4893="!!!"),"",IF(OR(J4893=0,AND(J4893=1,K4893=1),AND(J4893=1,I4893="SBJ"),AND(J4893=1,I4893=0)),"?IN_FOCUS",IF(J4893&lt;=2,"?ACTIVATED",IF(J4893&lt;&gt;"","?FAMILIAR",IF(F4893="NEW",IF(ISNA(VLOOKUP(E4893,#REF!,1,FALSE())),"?TYPE_IDENTIFIABLE","?REFERENTIAL"),"_")))))</f>
        <v> </v>
      </c>
      <c r="H4893" s="24" t="str">
        <f>IF(J4893&lt;&gt;1,"",IF(I4893="SBJ","CB","?"))</f>
        <v> </v>
      </c>
      <c r="I4893" s="25" t="str">
        <f>IF(OR(E4893="",E4893="!!!",F4893="NEW"),"",INDEX(B4892:B$2,-1+SUMPRODUCT(MAX(ROW(E4892:E$2)*(E4893=E4892:E$2)))))</f>
        <v> </v>
      </c>
      <c r="J4893" s="25" t="str">
        <f>IF(OR(E4893="",E4893="!!!",F4893="NEW"),"",COUNTBLANK(OFFSET(A$1,,,SUMPRODUCT(MAX(ROW(E$2:E4893)*(E4893=E$2:E4893)))))-COUNTBLANK(OFFSET(A$1,,,SUMPRODUCT(MAX(ROW(E$1:E4892)*(E2=E$1:E4892))))))</f>
        <v> </v>
      </c>
      <c r="K4893" s="25" t="str">
        <f>IF(OR(E4893="",E4893="!!!",F4893="NEW"),"",INDEX(J$1:J4892,SUMPRODUCT(MAX(ROW(E$1:E4892)*(E4893=E$1:E4892)))))</f>
        <v> </v>
      </c>
      <c r="L4893" s="26"/>
    </row>
    <row r="4894" spans="1:12">
      <c r="A4894" s="20" t="s">
        <v>1539</v>
      </c>
      <c r="E4894" s="21">
        <f>IF(D4894="?OLD","!!!","")</f>
        <v/>
      </c>
      <c r="F4894" s="22" t="str">
        <f>IF(OR(E4894="",E4894="!!!"),"",IF(NOT(ISNA(VLOOKUP(E4894,E$1:E4893,1,FALSE()))),"OLD",IF(AND(E4894&lt;&gt;"",E4894&lt;&gt;"!!!"),"NEW","")))</f>
        <v> </v>
      </c>
      <c r="G4894" s="23" t="str">
        <f>IF(OR(E4894="",E4894="!!!"),"",IF(OR(J4894=0,AND(J4894=1,K4894=1),AND(J4894=1,I4894="SBJ"),AND(J4894=1,I4894=0)),"?IN_FOCUS",IF(J4894&lt;=2,"?ACTIVATED",IF(J4894&lt;&gt;"","?FAMILIAR",IF(F4894="NEW",IF(ISNA(VLOOKUP(E4894,#REF!,1,FALSE())),"?TYPE_IDENTIFIABLE","?REFERENTIAL"),"_")))))</f>
        <v> </v>
      </c>
      <c r="H4894" s="24" t="str">
        <f>IF(J4894&lt;&gt;1,"",IF(I4894="SBJ","CB","?"))</f>
        <v> </v>
      </c>
      <c r="I4894" s="25" t="str">
        <f>IF(OR(E4894="",E4894="!!!",F4894="NEW"),"",INDEX(B4893:B$2,-1+SUMPRODUCT(MAX(ROW(E4893:E$2)*(E4894=E4893:E$2)))))</f>
        <v> </v>
      </c>
      <c r="J4894" s="25" t="str">
        <f>IF(OR(E4894="",E4894="!!!",F4894="NEW"),"",COUNTBLANK(OFFSET(A$1,,,SUMPRODUCT(MAX(ROW(E$2:E4894)*(E4894=E$2:E4894)))))-COUNTBLANK(OFFSET(A$1,,,SUMPRODUCT(MAX(ROW(E$1:E4893)*(E2=E$1:E4893))))))</f>
        <v> </v>
      </c>
      <c r="K4894" s="25" t="str">
        <f>IF(OR(E4894="",E4894="!!!",F4894="NEW"),"",INDEX(J$1:J4893,SUMPRODUCT(MAX(ROW(E$1:E4893)*(E4894=E$1:E4893)))))</f>
        <v> </v>
      </c>
      <c r="L4894" s="26"/>
    </row>
    <row r="4895" spans="1:12">
      <c r="A4895" s="20" t="s">
        <v>1087</v>
      </c>
      <c r="E4895" s="21">
        <f>IF(D4895="?OLD","!!!","")</f>
        <v/>
      </c>
      <c r="F4895" s="22" t="str">
        <f>IF(OR(E4895="",E4895="!!!"),"",IF(NOT(ISNA(VLOOKUP(E4895,E$1:E4894,1,FALSE()))),"OLD",IF(AND(E4895&lt;&gt;"",E4895&lt;&gt;"!!!"),"NEW","")))</f>
        <v> </v>
      </c>
      <c r="G4895" s="23" t="str">
        <f>IF(OR(E4895="",E4895="!!!"),"",IF(OR(J4895=0,AND(J4895=1,K4895=1),AND(J4895=1,I4895="SBJ"),AND(J4895=1,I4895=0)),"?IN_FOCUS",IF(J4895&lt;=2,"?ACTIVATED",IF(J4895&lt;&gt;"","?FAMILIAR",IF(F4895="NEW",IF(ISNA(VLOOKUP(E4895,#REF!,1,FALSE())),"?TYPE_IDENTIFIABLE","?REFERENTIAL"),"_")))))</f>
        <v> </v>
      </c>
      <c r="H4895" s="24" t="str">
        <f>IF(J4895&lt;&gt;1,"",IF(I4895="SBJ","CB","?"))</f>
        <v> </v>
      </c>
      <c r="I4895" s="25" t="str">
        <f>IF(OR(E4895="",E4895="!!!",F4895="NEW"),"",INDEX(B4894:B$2,-1+SUMPRODUCT(MAX(ROW(E4894:E$2)*(E4895=E4894:E$2)))))</f>
        <v> </v>
      </c>
      <c r="J4895" s="25" t="str">
        <f>IF(OR(E4895="",E4895="!!!",F4895="NEW"),"",COUNTBLANK(OFFSET(A$1,,,SUMPRODUCT(MAX(ROW(E$2:E4895)*(E4895=E$2:E4895)))))-COUNTBLANK(OFFSET(A$1,,,SUMPRODUCT(MAX(ROW(E$1:E4894)*(E2=E$1:E4894))))))</f>
        <v> </v>
      </c>
      <c r="K4895" s="25" t="str">
        <f>IF(OR(E4895="",E4895="!!!",F4895="NEW"),"",INDEX(J$1:J4894,SUMPRODUCT(MAX(ROW(E$1:E4894)*(E4895=E$1:E4894)))))</f>
        <v> </v>
      </c>
      <c r="L4895" s="26"/>
    </row>
    <row r="4896" spans="1:12">
      <c r="A4896" s="20" t="s">
        <v>1196</v>
      </c>
      <c r="E4896" s="21">
        <f>IF(D4896="?OLD","!!!","")</f>
        <v/>
      </c>
      <c r="F4896" s="22" t="str">
        <f>IF(OR(E4896="",E4896="!!!"),"",IF(NOT(ISNA(VLOOKUP(E4896,E$1:E4895,1,FALSE()))),"OLD",IF(AND(E4896&lt;&gt;"",E4896&lt;&gt;"!!!"),"NEW","")))</f>
        <v> </v>
      </c>
      <c r="G4896" s="23" t="str">
        <f>IF(OR(E4896="",E4896="!!!"),"",IF(OR(J4896=0,AND(J4896=1,K4896=1),AND(J4896=1,I4896="SBJ"),AND(J4896=1,I4896=0)),"?IN_FOCUS",IF(J4896&lt;=2,"?ACTIVATED",IF(J4896&lt;&gt;"","?FAMILIAR",IF(F4896="NEW",IF(ISNA(VLOOKUP(E4896,#REF!,1,FALSE())),"?TYPE_IDENTIFIABLE","?REFERENTIAL"),"_")))))</f>
        <v> </v>
      </c>
      <c r="H4896" s="24" t="str">
        <f>IF(J4896&lt;&gt;1,"",IF(I4896="SBJ","CB","?"))</f>
        <v> </v>
      </c>
      <c r="I4896" s="25" t="str">
        <f>IF(OR(E4896="",E4896="!!!",F4896="NEW"),"",INDEX(B4895:B$2,-1+SUMPRODUCT(MAX(ROW(E4895:E$2)*(E4896=E4895:E$2)))))</f>
        <v> </v>
      </c>
      <c r="J4896" s="25" t="str">
        <f>IF(OR(E4896="",E4896="!!!",F4896="NEW"),"",COUNTBLANK(OFFSET(A$1,,,SUMPRODUCT(MAX(ROW(E$2:E4896)*(E4896=E$2:E4896)))))-COUNTBLANK(OFFSET(A$1,,,SUMPRODUCT(MAX(ROW(E$1:E4895)*(E2=E$1:E4895))))))</f>
        <v> </v>
      </c>
      <c r="K4896" s="25" t="str">
        <f>IF(OR(E4896="",E4896="!!!",F4896="NEW"),"",INDEX(J$1:J4895,SUMPRODUCT(MAX(ROW(E$1:E4895)*(E4896=E$1:E4895)))))</f>
        <v> </v>
      </c>
      <c r="L4896" s="26"/>
    </row>
    <row r="4897" spans="1:12">
      <c r="A4897" s="20" t="s">
        <v>1351</v>
      </c>
      <c r="B4897" s="27" t="s">
        <v>1133</v>
      </c>
      <c r="C4897" s="27" t="s">
        <v>1072</v>
      </c>
      <c r="E4897" s="21">
        <f>IF(D4897="?OLD","!!!","")</f>
        <v/>
      </c>
      <c r="F4897" s="22" t="str">
        <f>IF(OR(E4897="",E4897="!!!"),"",IF(NOT(ISNA(VLOOKUP(E4897,E$1:E4896,1,FALSE()))),"OLD",IF(AND(E4897&lt;&gt;"",E4897&lt;&gt;"!!!"),"NEW","")))</f>
        <v> </v>
      </c>
      <c r="G4897" s="23" t="str">
        <f>IF(OR(E4897="",E4897="!!!"),"",IF(OR(J4897=0,AND(J4897=1,K4897=1),AND(J4897=1,I4897="SBJ"),AND(J4897=1,I4897=0)),"?IN_FOCUS",IF(J4897&lt;=2,"?ACTIVATED",IF(J4897&lt;&gt;"","?FAMILIAR",IF(F4897="NEW",IF(ISNA(VLOOKUP(E4897,#REF!,1,FALSE())),"?TYPE_IDENTIFIABLE","?REFERENTIAL"),"_")))))</f>
        <v> </v>
      </c>
      <c r="H4897" s="24" t="str">
        <f>IF(J4897&lt;&gt;1,"",IF(I4897="SBJ","CB","?"))</f>
        <v> </v>
      </c>
      <c r="I4897" s="25" t="str">
        <f>IF(OR(E4897="",E4897="!!!",F4897="NEW"),"",INDEX(B4896:B$2,-1+SUMPRODUCT(MAX(ROW(E4896:E$2)*(E4897=E4896:E$2)))))</f>
        <v> </v>
      </c>
      <c r="J4897" s="25" t="str">
        <f>IF(OR(E4897="",E4897="!!!",F4897="NEW"),"",COUNTBLANK(OFFSET(A$1,,,SUMPRODUCT(MAX(ROW(E$2:E4897)*(E4897=E$2:E4897)))))-COUNTBLANK(OFFSET(A$1,,,SUMPRODUCT(MAX(ROW(E$1:E4896)*(E2=E$1:E4896))))))</f>
        <v> </v>
      </c>
      <c r="K4897" s="25" t="str">
        <f>IF(OR(E4897="",E4897="!!!",F4897="NEW"),"",INDEX(J$1:J4896,SUMPRODUCT(MAX(ROW(E$1:E4896)*(E4897=E$1:E4896)))))</f>
        <v> </v>
      </c>
      <c r="L4897" s="26"/>
    </row>
    <row r="4898" spans="1:12">
      <c r="A4898" s="20" t="s">
        <v>1650</v>
      </c>
      <c r="B4898" s="27" t="s">
        <v>1141</v>
      </c>
      <c r="C4898" s="27" t="s">
        <v>1072</v>
      </c>
      <c r="E4898" s="21">
        <f>IF(D4898="?OLD","!!!","")</f>
        <v/>
      </c>
      <c r="F4898" s="22" t="str">
        <f>IF(OR(E4898="",E4898="!!!"),"",IF(NOT(ISNA(VLOOKUP(E4898,E$1:E4897,1,FALSE()))),"OLD",IF(AND(E4898&lt;&gt;"",E4898&lt;&gt;"!!!"),"NEW","")))</f>
        <v> </v>
      </c>
      <c r="G4898" s="23" t="str">
        <f>IF(OR(E4898="",E4898="!!!"),"",IF(OR(J4898=0,AND(J4898=1,K4898=1),AND(J4898=1,I4898="SBJ"),AND(J4898=1,I4898=0)),"?IN_FOCUS",IF(J4898&lt;=2,"?ACTIVATED",IF(J4898&lt;&gt;"","?FAMILIAR",IF(F4898="NEW",IF(ISNA(VLOOKUP(E4898,#REF!,1,FALSE())),"?TYPE_IDENTIFIABLE","?REFERENTIAL"),"_")))))</f>
        <v> </v>
      </c>
      <c r="H4898" s="24" t="str">
        <f>IF(J4898&lt;&gt;1,"",IF(I4898="SBJ","CB","?"))</f>
        <v> </v>
      </c>
      <c r="I4898" s="25" t="str">
        <f>IF(OR(E4898="",E4898="!!!",F4898="NEW"),"",INDEX(B4897:B$2,-1+SUMPRODUCT(MAX(ROW(E4897:E$2)*(E4898=E4897:E$2)))))</f>
        <v> </v>
      </c>
      <c r="J4898" s="25" t="str">
        <f>IF(OR(E4898="",E4898="!!!",F4898="NEW"),"",COUNTBLANK(OFFSET(A$1,,,SUMPRODUCT(MAX(ROW(E$2:E4898)*(E4898=E$2:E4898)))))-COUNTBLANK(OFFSET(A$1,,,SUMPRODUCT(MAX(ROW(E$1:E4897)*(E2=E$1:E4897))))))</f>
        <v> </v>
      </c>
      <c r="K4898" s="25" t="str">
        <f>IF(OR(E4898="",E4898="!!!",F4898="NEW"),"",INDEX(J$1:J4897,SUMPRODUCT(MAX(ROW(E$1:E4897)*(E4898=E$1:E4897)))))</f>
        <v> </v>
      </c>
      <c r="L4898" s="26"/>
    </row>
    <row r="4899" spans="1:12">
      <c r="A4899" s="20" t="s">
        <v>1651</v>
      </c>
      <c r="E4899" s="21">
        <f>IF(D4899="?OLD","!!!","")</f>
        <v/>
      </c>
      <c r="F4899" s="22" t="str">
        <f>IF(OR(E4899="",E4899="!!!"),"",IF(NOT(ISNA(VLOOKUP(E4899,E$1:E4898,1,FALSE()))),"OLD",IF(AND(E4899&lt;&gt;"",E4899&lt;&gt;"!!!"),"NEW","")))</f>
        <v> </v>
      </c>
      <c r="G4899" s="23" t="str">
        <f>IF(OR(E4899="",E4899="!!!"),"",IF(OR(J4899=0,AND(J4899=1,K4899=1),AND(J4899=1,I4899="SBJ"),AND(J4899=1,I4899=0)),"?IN_FOCUS",IF(J4899&lt;=2,"?ACTIVATED",IF(J4899&lt;&gt;"","?FAMILIAR",IF(F4899="NEW",IF(ISNA(VLOOKUP(E4899,#REF!,1,FALSE())),"?TYPE_IDENTIFIABLE","?REFERENTIAL"),"_")))))</f>
        <v> </v>
      </c>
      <c r="H4899" s="24" t="str">
        <f>IF(J4899&lt;&gt;1,"",IF(I4899="SBJ","CB","?"))</f>
        <v> </v>
      </c>
      <c r="I4899" s="25" t="str">
        <f>IF(OR(E4899="",E4899="!!!",F4899="NEW"),"",INDEX(B4898:B$2,-1+SUMPRODUCT(MAX(ROW(E4898:E$2)*(E4899=E4898:E$2)))))</f>
        <v> </v>
      </c>
      <c r="J4899" s="25" t="str">
        <f>IF(OR(E4899="",E4899="!!!",F4899="NEW"),"",COUNTBLANK(OFFSET(A$1,,,SUMPRODUCT(MAX(ROW(E$2:E4899)*(E4899=E$2:E4899)))))-COUNTBLANK(OFFSET(A$1,,,SUMPRODUCT(MAX(ROW(E$1:E4898)*(E2=E$1:E4898))))))</f>
        <v> </v>
      </c>
      <c r="K4899" s="25" t="str">
        <f>IF(OR(E4899="",E4899="!!!",F4899="NEW"),"",INDEX(J$1:J4898,SUMPRODUCT(MAX(ROW(E$1:E4898)*(E4899=E$1:E4898)))))</f>
        <v> </v>
      </c>
      <c r="L4899" s="26"/>
    </row>
    <row r="4900" spans="1:12">
      <c r="A4900" s="20" t="s">
        <v>2488</v>
      </c>
      <c r="E4900" s="21">
        <f>IF(D4900="?OLD","!!!","")</f>
        <v/>
      </c>
      <c r="F4900" s="22" t="str">
        <f>IF(OR(E4900="",E4900="!!!"),"",IF(NOT(ISNA(VLOOKUP(E4900,E$1:E4899,1,FALSE()))),"OLD",IF(AND(E4900&lt;&gt;"",E4900&lt;&gt;"!!!"),"NEW","")))</f>
        <v> </v>
      </c>
      <c r="G4900" s="23" t="str">
        <f>IF(OR(E4900="",E4900="!!!"),"",IF(OR(J4900=0,AND(J4900=1,K4900=1),AND(J4900=1,I4900="SBJ"),AND(J4900=1,I4900=0)),"?IN_FOCUS",IF(J4900&lt;=2,"?ACTIVATED",IF(J4900&lt;&gt;"","?FAMILIAR",IF(F4900="NEW",IF(ISNA(VLOOKUP(E4900,#REF!,1,FALSE())),"?TYPE_IDENTIFIABLE","?REFERENTIAL"),"_")))))</f>
        <v> </v>
      </c>
      <c r="H4900" s="24" t="str">
        <f>IF(J4900&lt;&gt;1,"",IF(I4900="SBJ","CB","?"))</f>
        <v> </v>
      </c>
      <c r="I4900" s="25" t="str">
        <f>IF(OR(E4900="",E4900="!!!",F4900="NEW"),"",INDEX(B4899:B$2,-1+SUMPRODUCT(MAX(ROW(E4899:E$2)*(E4900=E4899:E$2)))))</f>
        <v> </v>
      </c>
      <c r="J4900" s="25" t="str">
        <f>IF(OR(E4900="",E4900="!!!",F4900="NEW"),"",COUNTBLANK(OFFSET(A$1,,,SUMPRODUCT(MAX(ROW(E$2:E4900)*(E4900=E$2:E4900)))))-COUNTBLANK(OFFSET(A$1,,,SUMPRODUCT(MAX(ROW(E$1:E4899)*(E2=E$1:E4899))))))</f>
        <v> </v>
      </c>
      <c r="K4900" s="25" t="str">
        <f>IF(OR(E4900="",E4900="!!!",F4900="NEW"),"",INDEX(J$1:J4899,SUMPRODUCT(MAX(ROW(E$1:E4899)*(E4900=E$1:E4899)))))</f>
        <v> </v>
      </c>
      <c r="L4900" s="26"/>
    </row>
    <row r="4901" spans="1:12">
      <c r="A4901" s="20" t="s">
        <v>1692</v>
      </c>
      <c r="B4901" s="27" t="s">
        <v>1106</v>
      </c>
      <c r="C4901" s="27" t="s">
        <v>1117</v>
      </c>
      <c r="E4901" s="21">
        <f>IF(D4901="?OLD","!!!","")</f>
        <v/>
      </c>
      <c r="F4901" s="22" t="str">
        <f>IF(OR(E4901="",E4901="!!!"),"",IF(NOT(ISNA(VLOOKUP(E4901,E$1:E4900,1,FALSE()))),"OLD",IF(AND(E4901&lt;&gt;"",E4901&lt;&gt;"!!!"),"NEW","")))</f>
        <v> </v>
      </c>
      <c r="G4901" s="23" t="str">
        <f>IF(OR(E4901="",E4901="!!!"),"",IF(OR(J4901=0,AND(J4901=1,K4901=1),AND(J4901=1,I4901="SBJ"),AND(J4901=1,I4901=0)),"?IN_FOCUS",IF(J4901&lt;=2,"?ACTIVATED",IF(J4901&lt;&gt;"","?FAMILIAR",IF(F4901="NEW",IF(ISNA(VLOOKUP(E4901,#REF!,1,FALSE())),"?TYPE_IDENTIFIABLE","?REFERENTIAL"),"_")))))</f>
        <v> </v>
      </c>
      <c r="H4901" s="24" t="str">
        <f>IF(J4901&lt;&gt;1,"",IF(I4901="SBJ","CB","?"))</f>
        <v> </v>
      </c>
      <c r="I4901" s="25" t="str">
        <f>IF(OR(E4901="",E4901="!!!",F4901="NEW"),"",INDEX(B4900:B$2,-1+SUMPRODUCT(MAX(ROW(E4900:E$2)*(E4901=E4900:E$2)))))</f>
        <v> </v>
      </c>
      <c r="J4901" s="25" t="str">
        <f>IF(OR(E4901="",E4901="!!!",F4901="NEW"),"",COUNTBLANK(OFFSET(A$1,,,SUMPRODUCT(MAX(ROW(E$2:E4901)*(E4901=E$2:E4901)))))-COUNTBLANK(OFFSET(A$1,,,SUMPRODUCT(MAX(ROW(E$1:E4900)*(E2=E$1:E4900))))))</f>
        <v> </v>
      </c>
      <c r="K4901" s="25" t="str">
        <f>IF(OR(E4901="",E4901="!!!",F4901="NEW"),"",INDEX(J$1:J4900,SUMPRODUCT(MAX(ROW(E$1:E4900)*(E4901=E$1:E4900)))))</f>
        <v> </v>
      </c>
      <c r="L4901" s="26"/>
    </row>
    <row r="4902" spans="1:12">
      <c r="A4902" s="20" t="s">
        <v>1268</v>
      </c>
      <c r="E4902" s="21">
        <f>IF(D4902="?OLD","!!!","")</f>
        <v/>
      </c>
      <c r="F4902" s="22" t="str">
        <f>IF(OR(E4902="",E4902="!!!"),"",IF(NOT(ISNA(VLOOKUP(E4902,E$1:E4901,1,FALSE()))),"OLD",IF(AND(E4902&lt;&gt;"",E4902&lt;&gt;"!!!"),"NEW","")))</f>
        <v> </v>
      </c>
      <c r="G4902" s="23" t="str">
        <f>IF(OR(E4902="",E4902="!!!"),"",IF(OR(J4902=0,AND(J4902=1,K4902=1),AND(J4902=1,I4902="SBJ"),AND(J4902=1,I4902=0)),"?IN_FOCUS",IF(J4902&lt;=2,"?ACTIVATED",IF(J4902&lt;&gt;"","?FAMILIAR",IF(F4902="NEW",IF(ISNA(VLOOKUP(E4902,#REF!,1,FALSE())),"?TYPE_IDENTIFIABLE","?REFERENTIAL"),"_")))))</f>
        <v> </v>
      </c>
      <c r="H4902" s="24" t="str">
        <f>IF(J4902&lt;&gt;1,"",IF(I4902="SBJ","CB","?"))</f>
        <v> </v>
      </c>
      <c r="I4902" s="25" t="str">
        <f>IF(OR(E4902="",E4902="!!!",F4902="NEW"),"",INDEX(B4901:B$2,-1+SUMPRODUCT(MAX(ROW(E4901:E$2)*(E4902=E4901:E$2)))))</f>
        <v> </v>
      </c>
      <c r="J4902" s="25" t="str">
        <f>IF(OR(E4902="",E4902="!!!",F4902="NEW"),"",COUNTBLANK(OFFSET(A$1,,,SUMPRODUCT(MAX(ROW(E$2:E4902)*(E4902=E$2:E4902)))))-COUNTBLANK(OFFSET(A$1,,,SUMPRODUCT(MAX(ROW(E$1:E4901)*(E2=E$1:E4901))))))</f>
        <v> </v>
      </c>
      <c r="K4902" s="25" t="str">
        <f>IF(OR(E4902="",E4902="!!!",F4902="NEW"),"",INDEX(J$1:J4901,SUMPRODUCT(MAX(ROW(E$1:E4901)*(E4902=E$1:E4901)))))</f>
        <v> </v>
      </c>
      <c r="L4902" s="26"/>
    </row>
    <row r="4903" spans="1:12">
      <c r="A4903" s="20" t="s">
        <v>1087</v>
      </c>
      <c r="E4903" s="21">
        <f>IF(D4903="?OLD","!!!","")</f>
        <v/>
      </c>
      <c r="F4903" s="22" t="str">
        <f>IF(OR(E4903="",E4903="!!!"),"",IF(NOT(ISNA(VLOOKUP(E4903,E$1:E4902,1,FALSE()))),"OLD",IF(AND(E4903&lt;&gt;"",E4903&lt;&gt;"!!!"),"NEW","")))</f>
        <v> </v>
      </c>
      <c r="G4903" s="23" t="str">
        <f>IF(OR(E4903="",E4903="!!!"),"",IF(OR(J4903=0,AND(J4903=1,K4903=1),AND(J4903=1,I4903="SBJ"),AND(J4903=1,I4903=0)),"?IN_FOCUS",IF(J4903&lt;=2,"?ACTIVATED",IF(J4903&lt;&gt;"","?FAMILIAR",IF(F4903="NEW",IF(ISNA(VLOOKUP(E4903,#REF!,1,FALSE())),"?TYPE_IDENTIFIABLE","?REFERENTIAL"),"_")))))</f>
        <v> </v>
      </c>
      <c r="H4903" s="24" t="str">
        <f>IF(J4903&lt;&gt;1,"",IF(I4903="SBJ","CB","?"))</f>
        <v> </v>
      </c>
      <c r="I4903" s="25" t="str">
        <f>IF(OR(E4903="",E4903="!!!",F4903="NEW"),"",INDEX(B4902:B$2,-1+SUMPRODUCT(MAX(ROW(E4902:E$2)*(E4903=E4902:E$2)))))</f>
        <v> </v>
      </c>
      <c r="J4903" s="25" t="str">
        <f>IF(OR(E4903="",E4903="!!!",F4903="NEW"),"",COUNTBLANK(OFFSET(A$1,,,SUMPRODUCT(MAX(ROW(E$2:E4903)*(E4903=E$2:E4903)))))-COUNTBLANK(OFFSET(A$1,,,SUMPRODUCT(MAX(ROW(E$1:E4902)*(E2=E$1:E4902))))))</f>
        <v> </v>
      </c>
      <c r="K4903" s="25" t="str">
        <f>IF(OR(E4903="",E4903="!!!",F4903="NEW"),"",INDEX(J$1:J4902,SUMPRODUCT(MAX(ROW(E$1:E4902)*(E4903=E$1:E4902)))))</f>
        <v> </v>
      </c>
      <c r="L4903" s="26"/>
    </row>
    <row r="4904" spans="1:12">
      <c r="A4904" s="20" t="s">
        <v>1224</v>
      </c>
      <c r="E4904" s="21">
        <f>IF(D4904="?OLD","!!!","")</f>
        <v/>
      </c>
      <c r="F4904" s="22" t="str">
        <f>IF(OR(E4904="",E4904="!!!"),"",IF(NOT(ISNA(VLOOKUP(E4904,E$1:E4903,1,FALSE()))),"OLD",IF(AND(E4904&lt;&gt;"",E4904&lt;&gt;"!!!"),"NEW","")))</f>
        <v> </v>
      </c>
      <c r="G4904" s="23" t="str">
        <f>IF(OR(E4904="",E4904="!!!"),"",IF(OR(J4904=0,AND(J4904=1,K4904=1),AND(J4904=1,I4904="SBJ"),AND(J4904=1,I4904=0)),"?IN_FOCUS",IF(J4904&lt;=2,"?ACTIVATED",IF(J4904&lt;&gt;"","?FAMILIAR",IF(F4904="NEW",IF(ISNA(VLOOKUP(E4904,#REF!,1,FALSE())),"?TYPE_IDENTIFIABLE","?REFERENTIAL"),"_")))))</f>
        <v> </v>
      </c>
      <c r="H4904" s="24" t="str">
        <f>IF(J4904&lt;&gt;1,"",IF(I4904="SBJ","CB","?"))</f>
        <v> </v>
      </c>
      <c r="I4904" s="25" t="str">
        <f>IF(OR(E4904="",E4904="!!!",F4904="NEW"),"",INDEX(B4903:B$2,-1+SUMPRODUCT(MAX(ROW(E4903:E$2)*(E4904=E4903:E$2)))))</f>
        <v> </v>
      </c>
      <c r="J4904" s="25" t="str">
        <f>IF(OR(E4904="",E4904="!!!",F4904="NEW"),"",COUNTBLANK(OFFSET(A$1,,,SUMPRODUCT(MAX(ROW(E$2:E4904)*(E4904=E$2:E4904)))))-COUNTBLANK(OFFSET(A$1,,,SUMPRODUCT(MAX(ROW(E$1:E4903)*(E2=E$1:E4903))))))</f>
        <v> </v>
      </c>
      <c r="K4904" s="25" t="str">
        <f>IF(OR(E4904="",E4904="!!!",F4904="NEW"),"",INDEX(J$1:J4903,SUMPRODUCT(MAX(ROW(E$1:E4903)*(E4904=E$1:E4903)))))</f>
        <v> </v>
      </c>
      <c r="L4904" s="26"/>
    </row>
    <row r="4905" spans="1:12">
      <c r="A4905" s="20" t="s">
        <v>17</v>
      </c>
      <c r="B4905" s="27" t="s">
        <v>1141</v>
      </c>
      <c r="C4905" s="27" t="s">
        <v>1072</v>
      </c>
      <c r="E4905" s="21">
        <f>IF(D4905="?OLD","!!!","")</f>
        <v/>
      </c>
      <c r="F4905" s="22" t="str">
        <f>IF(OR(E4905="",E4905="!!!"),"",IF(NOT(ISNA(VLOOKUP(E4905,E$1:E4904,1,FALSE()))),"OLD",IF(AND(E4905&lt;&gt;"",E4905&lt;&gt;"!!!"),"NEW","")))</f>
        <v> </v>
      </c>
      <c r="G4905" s="23" t="str">
        <f>IF(OR(E4905="",E4905="!!!"),"",IF(OR(J4905=0,AND(J4905=1,K4905=1),AND(J4905=1,I4905="SBJ"),AND(J4905=1,I4905=0)),"?IN_FOCUS",IF(J4905&lt;=2,"?ACTIVATED",IF(J4905&lt;&gt;"","?FAMILIAR",IF(F4905="NEW",IF(ISNA(VLOOKUP(E4905,#REF!,1,FALSE())),"?TYPE_IDENTIFIABLE","?REFERENTIAL"),"_")))))</f>
        <v> </v>
      </c>
      <c r="H4905" s="24" t="str">
        <f>IF(J4905&lt;&gt;1,"",IF(I4905="SBJ","CB","?"))</f>
        <v> </v>
      </c>
      <c r="I4905" s="25" t="str">
        <f>IF(OR(E4905="",E4905="!!!",F4905="NEW"),"",INDEX(B4904:B$2,-1+SUMPRODUCT(MAX(ROW(E4904:E$2)*(E4905=E4904:E$2)))))</f>
        <v> </v>
      </c>
      <c r="J4905" s="25" t="str">
        <f>IF(OR(E4905="",E4905="!!!",F4905="NEW"),"",COUNTBLANK(OFFSET(A$1,,,SUMPRODUCT(MAX(ROW(E$2:E4905)*(E4905=E$2:E4905)))))-COUNTBLANK(OFFSET(A$1,,,SUMPRODUCT(MAX(ROW(E$1:E4904)*(E2=E$1:E4904))))))</f>
        <v> </v>
      </c>
      <c r="K4905" s="25" t="str">
        <f>IF(OR(E4905="",E4905="!!!",F4905="NEW"),"",INDEX(J$1:J4904,SUMPRODUCT(MAX(ROW(E$1:E4904)*(E4905=E$1:E4904)))))</f>
        <v> </v>
      </c>
      <c r="L4905" s="26"/>
    </row>
    <row r="4906" spans="1:12">
      <c r="A4906" s="20" t="s">
        <v>1070</v>
      </c>
      <c r="E4906" s="21">
        <f>IF(D4906="?OLD","!!!","")</f>
        <v/>
      </c>
      <c r="F4906" s="22" t="str">
        <f>IF(OR(E4906="",E4906="!!!"),"",IF(NOT(ISNA(VLOOKUP(E4906,E$1:E4905,1,FALSE()))),"OLD",IF(AND(E4906&lt;&gt;"",E4906&lt;&gt;"!!!"),"NEW","")))</f>
        <v> </v>
      </c>
      <c r="G4906" s="23" t="str">
        <f>IF(OR(E4906="",E4906="!!!"),"",IF(OR(J4906=0,AND(J4906=1,K4906=1),AND(J4906=1,I4906="SBJ"),AND(J4906=1,I4906=0)),"?IN_FOCUS",IF(J4906&lt;=2,"?ACTIVATED",IF(J4906&lt;&gt;"","?FAMILIAR",IF(F4906="NEW",IF(ISNA(VLOOKUP(E4906,#REF!,1,FALSE())),"?TYPE_IDENTIFIABLE","?REFERENTIAL"),"_")))))</f>
        <v> </v>
      </c>
      <c r="H4906" s="24" t="str">
        <f>IF(J4906&lt;&gt;1,"",IF(I4906="SBJ","CB","?"))</f>
        <v> </v>
      </c>
      <c r="I4906" s="25" t="str">
        <f>IF(OR(E4906="",E4906="!!!",F4906="NEW"),"",INDEX(B4905:B$2,-1+SUMPRODUCT(MAX(ROW(E4905:E$2)*(E4906=E4905:E$2)))))</f>
        <v> </v>
      </c>
      <c r="J4906" s="25" t="str">
        <f>IF(OR(E4906="",E4906="!!!",F4906="NEW"),"",COUNTBLANK(OFFSET(A$1,,,SUMPRODUCT(MAX(ROW(E$2:E4906)*(E4906=E$2:E4906)))))-COUNTBLANK(OFFSET(A$1,,,SUMPRODUCT(MAX(ROW(E$1:E4905)*(E2=E$1:E4905))))))</f>
        <v> </v>
      </c>
      <c r="K4906" s="25" t="str">
        <f>IF(OR(E4906="",E4906="!!!",F4906="NEW"),"",INDEX(J$1:J4905,SUMPRODUCT(MAX(ROW(E$1:E4905)*(E4906=E$1:E4905)))))</f>
        <v> </v>
      </c>
      <c r="L4906" s="26"/>
    </row>
    <row r="4907" spans="1:12">
      <c r="A4907" s="20" t="s">
        <v>531</v>
      </c>
      <c r="E4907" s="21">
        <f>IF(D4907="?OLD","!!!","")</f>
        <v/>
      </c>
      <c r="F4907" s="22" t="str">
        <f>IF(OR(E4907="",E4907="!!!"),"",IF(NOT(ISNA(VLOOKUP(E4907,E$1:E4906,1,FALSE()))),"OLD",IF(AND(E4907&lt;&gt;"",E4907&lt;&gt;"!!!"),"NEW","")))</f>
        <v> </v>
      </c>
      <c r="G4907" s="23" t="str">
        <f>IF(OR(E4907="",E4907="!!!"),"",IF(OR(J4907=0,AND(J4907=1,K4907=1),AND(J4907=1,I4907="SBJ"),AND(J4907=1,I4907=0)),"?IN_FOCUS",IF(J4907&lt;=2,"?ACTIVATED",IF(J4907&lt;&gt;"","?FAMILIAR",IF(F4907="NEW",IF(ISNA(VLOOKUP(E4907,#REF!,1,FALSE())),"?TYPE_IDENTIFIABLE","?REFERENTIAL"),"_")))))</f>
        <v> </v>
      </c>
      <c r="H4907" s="24" t="str">
        <f>IF(J4907&lt;&gt;1,"",IF(I4907="SBJ","CB","?"))</f>
        <v> </v>
      </c>
      <c r="I4907" s="25" t="str">
        <f>IF(OR(E4907="",E4907="!!!",F4907="NEW"),"",INDEX(B4906:B$2,-1+SUMPRODUCT(MAX(ROW(E4906:E$2)*(E4907=E4906:E$2)))))</f>
        <v> </v>
      </c>
      <c r="J4907" s="25" t="str">
        <f>IF(OR(E4907="",E4907="!!!",F4907="NEW"),"",COUNTBLANK(OFFSET(A$1,,,SUMPRODUCT(MAX(ROW(E$2:E4907)*(E4907=E$2:E4907)))))-COUNTBLANK(OFFSET(A$1,,,SUMPRODUCT(MAX(ROW(E$1:E4906)*(E2=E$1:E4906))))))</f>
        <v> </v>
      </c>
      <c r="K4907" s="25" t="str">
        <f>IF(OR(E4907="",E4907="!!!",F4907="NEW"),"",INDEX(J$1:J4906,SUMPRODUCT(MAX(ROW(E$1:E4906)*(E4907=E$1:E4906)))))</f>
        <v> </v>
      </c>
      <c r="L4907" s="26"/>
    </row>
    <row r="4908" spans="1:12">
      <c r="A4908" s="20" t="s">
        <v>1087</v>
      </c>
      <c r="E4908" s="21">
        <f>IF(D4908="?OLD","!!!","")</f>
        <v/>
      </c>
      <c r="F4908" s="22" t="str">
        <f>IF(OR(E4908="",E4908="!!!"),"",IF(NOT(ISNA(VLOOKUP(E4908,E$1:E4907,1,FALSE()))),"OLD",IF(AND(E4908&lt;&gt;"",E4908&lt;&gt;"!!!"),"NEW","")))</f>
        <v> </v>
      </c>
      <c r="G4908" s="23" t="str">
        <f>IF(OR(E4908="",E4908="!!!"),"",IF(OR(J4908=0,AND(J4908=1,K4908=1),AND(J4908=1,I4908="SBJ"),AND(J4908=1,I4908=0)),"?IN_FOCUS",IF(J4908&lt;=2,"?ACTIVATED",IF(J4908&lt;&gt;"","?FAMILIAR",IF(F4908="NEW",IF(ISNA(VLOOKUP(E4908,#REF!,1,FALSE())),"?TYPE_IDENTIFIABLE","?REFERENTIAL"),"_")))))</f>
        <v> </v>
      </c>
      <c r="H4908" s="24" t="str">
        <f>IF(J4908&lt;&gt;1,"",IF(I4908="SBJ","CB","?"))</f>
        <v> </v>
      </c>
      <c r="I4908" s="25" t="str">
        <f>IF(OR(E4908="",E4908="!!!",F4908="NEW"),"",INDEX(B4907:B$2,-1+SUMPRODUCT(MAX(ROW(E4907:E$2)*(E4908=E4907:E$2)))))</f>
        <v> </v>
      </c>
      <c r="J4908" s="25" t="str">
        <f>IF(OR(E4908="",E4908="!!!",F4908="NEW"),"",COUNTBLANK(OFFSET(A$1,,,SUMPRODUCT(MAX(ROW(E$2:E4908)*(E4908=E$2:E4908)))))-COUNTBLANK(OFFSET(A$1,,,SUMPRODUCT(MAX(ROW(E$1:E4907)*(E2=E$1:E4907))))))</f>
        <v> </v>
      </c>
      <c r="K4908" s="25" t="str">
        <f>IF(OR(E4908="",E4908="!!!",F4908="NEW"),"",INDEX(J$1:J4907,SUMPRODUCT(MAX(ROW(E$1:E4907)*(E4908=E$1:E4907)))))</f>
        <v> </v>
      </c>
      <c r="L4908" s="26"/>
    </row>
    <row r="4909" spans="1:12">
      <c r="A4909" s="20" t="s">
        <v>1199</v>
      </c>
      <c r="E4909" s="21">
        <f>IF(D4909="?OLD","!!!","")</f>
        <v/>
      </c>
      <c r="F4909" s="22" t="str">
        <f>IF(OR(E4909="",E4909="!!!"),"",IF(NOT(ISNA(VLOOKUP(E4909,E$1:E4908,1,FALSE()))),"OLD",IF(AND(E4909&lt;&gt;"",E4909&lt;&gt;"!!!"),"NEW","")))</f>
        <v> </v>
      </c>
      <c r="G4909" s="23" t="str">
        <f>IF(OR(E4909="",E4909="!!!"),"",IF(OR(J4909=0,AND(J4909=1,K4909=1),AND(J4909=1,I4909="SBJ"),AND(J4909=1,I4909=0)),"?IN_FOCUS",IF(J4909&lt;=2,"?ACTIVATED",IF(J4909&lt;&gt;"","?FAMILIAR",IF(F4909="NEW",IF(ISNA(VLOOKUP(E4909,#REF!,1,FALSE())),"?TYPE_IDENTIFIABLE","?REFERENTIAL"),"_")))))</f>
        <v> </v>
      </c>
      <c r="H4909" s="24" t="str">
        <f>IF(J4909&lt;&gt;1,"",IF(I4909="SBJ","CB","?"))</f>
        <v> </v>
      </c>
      <c r="I4909" s="25" t="str">
        <f>IF(OR(E4909="",E4909="!!!",F4909="NEW"),"",INDEX(B4908:B$2,-1+SUMPRODUCT(MAX(ROW(E4908:E$2)*(E4909=E4908:E$2)))))</f>
        <v> </v>
      </c>
      <c r="J4909" s="25" t="str">
        <f>IF(OR(E4909="",E4909="!!!",F4909="NEW"),"",COUNTBLANK(OFFSET(A$1,,,SUMPRODUCT(MAX(ROW(E$2:E4909)*(E4909=E$2:E4909)))))-COUNTBLANK(OFFSET(A$1,,,SUMPRODUCT(MAX(ROW(E$1:E4908)*(E2=E$1:E4908))))))</f>
        <v> </v>
      </c>
      <c r="K4909" s="25" t="str">
        <f>IF(OR(E4909="",E4909="!!!",F4909="NEW"),"",INDEX(J$1:J4908,SUMPRODUCT(MAX(ROW(E$1:E4908)*(E4909=E$1:E4908)))))</f>
        <v> </v>
      </c>
      <c r="L4909" s="26"/>
    </row>
    <row r="4910" spans="1:12">
      <c r="A4910" s="20" t="s">
        <v>1143</v>
      </c>
      <c r="E4910" s="21">
        <f>IF(D4910="?OLD","!!!","")</f>
        <v/>
      </c>
      <c r="F4910" s="22" t="str">
        <f>IF(OR(E4910="",E4910="!!!"),"",IF(NOT(ISNA(VLOOKUP(E4910,E$1:E4909,1,FALSE()))),"OLD",IF(AND(E4910&lt;&gt;"",E4910&lt;&gt;"!!!"),"NEW","")))</f>
        <v> </v>
      </c>
      <c r="G4910" s="23" t="str">
        <f>IF(OR(E4910="",E4910="!!!"),"",IF(OR(J4910=0,AND(J4910=1,K4910=1),AND(J4910=1,I4910="SBJ"),AND(J4910=1,I4910=0)),"?IN_FOCUS",IF(J4910&lt;=2,"?ACTIVATED",IF(J4910&lt;&gt;"","?FAMILIAR",IF(F4910="NEW",IF(ISNA(VLOOKUP(E4910,#REF!,1,FALSE())),"?TYPE_IDENTIFIABLE","?REFERENTIAL"),"_")))))</f>
        <v> </v>
      </c>
      <c r="H4910" s="24" t="str">
        <f>IF(J4910&lt;&gt;1,"",IF(I4910="SBJ","CB","?"))</f>
        <v> </v>
      </c>
      <c r="I4910" s="25" t="str">
        <f>IF(OR(E4910="",E4910="!!!",F4910="NEW"),"",INDEX(B4909:B$2,-1+SUMPRODUCT(MAX(ROW(E4909:E$2)*(E4910=E4909:E$2)))))</f>
        <v> </v>
      </c>
      <c r="J4910" s="25" t="str">
        <f>IF(OR(E4910="",E4910="!!!",F4910="NEW"),"",COUNTBLANK(OFFSET(A$1,,,SUMPRODUCT(MAX(ROW(E$2:E4910)*(E4910=E$2:E4910)))))-COUNTBLANK(OFFSET(A$1,,,SUMPRODUCT(MAX(ROW(E$1:E4909)*(E2=E$1:E4909))))))</f>
        <v> </v>
      </c>
      <c r="K4910" s="25" t="str">
        <f>IF(OR(E4910="",E4910="!!!",F4910="NEW"),"",INDEX(J$1:J4909,SUMPRODUCT(MAX(ROW(E$1:E4909)*(E4910=E$1:E4909)))))</f>
        <v> </v>
      </c>
      <c r="L4910" s="26"/>
    </row>
    <row r="4911" spans="1:12">
      <c r="A4911" s="20" t="s">
        <v>1351</v>
      </c>
      <c r="B4911" s="27" t="s">
        <v>1109</v>
      </c>
      <c r="C4911" s="27" t="s">
        <v>1072</v>
      </c>
      <c r="E4911" s="21">
        <f>IF(D4911="?OLD","!!!","")</f>
        <v/>
      </c>
      <c r="F4911" s="22" t="str">
        <f>IF(OR(E4911="",E4911="!!!"),"",IF(NOT(ISNA(VLOOKUP(E4911,E$1:E4910,1,FALSE()))),"OLD",IF(AND(E4911&lt;&gt;"",E4911&lt;&gt;"!!!"),"NEW","")))</f>
        <v> </v>
      </c>
      <c r="G4911" s="23" t="str">
        <f>IF(OR(E4911="",E4911="!!!"),"",IF(OR(J4911=0,AND(J4911=1,K4911=1),AND(J4911=1,I4911="SBJ"),AND(J4911=1,I4911=0)),"?IN_FOCUS",IF(J4911&lt;=2,"?ACTIVATED",IF(J4911&lt;&gt;"","?FAMILIAR",IF(F4911="NEW",IF(ISNA(VLOOKUP(E4911,#REF!,1,FALSE())),"?TYPE_IDENTIFIABLE","?REFERENTIAL"),"_")))))</f>
        <v> </v>
      </c>
      <c r="H4911" s="24" t="str">
        <f>IF(J4911&lt;&gt;1,"",IF(I4911="SBJ","CB","?"))</f>
        <v> </v>
      </c>
      <c r="I4911" s="25" t="str">
        <f>IF(OR(E4911="",E4911="!!!",F4911="NEW"),"",INDEX(B4910:B$2,-1+SUMPRODUCT(MAX(ROW(E4910:E$2)*(E4911=E4910:E$2)))))</f>
        <v> </v>
      </c>
      <c r="J4911" s="25" t="str">
        <f>IF(OR(E4911="",E4911="!!!",F4911="NEW"),"",COUNTBLANK(OFFSET(A$1,,,SUMPRODUCT(MAX(ROW(E$2:E4911)*(E4911=E$2:E4911)))))-COUNTBLANK(OFFSET(A$1,,,SUMPRODUCT(MAX(ROW(E$1:E4910)*(E2=E$1:E4910))))))</f>
        <v> </v>
      </c>
      <c r="K4911" s="25" t="str">
        <f>IF(OR(E4911="",E4911="!!!",F4911="NEW"),"",INDEX(J$1:J4910,SUMPRODUCT(MAX(ROW(E$1:E4910)*(E4911=E$1:E4910)))))</f>
        <v> </v>
      </c>
      <c r="L4911" s="26"/>
    </row>
    <row r="4912" spans="1:12">
      <c r="A4912" s="20" t="s">
        <v>2441</v>
      </c>
      <c r="E4912" s="21">
        <f>IF(D4912="?OLD","!!!","")</f>
        <v/>
      </c>
      <c r="F4912" s="22" t="str">
        <f>IF(OR(E4912="",E4912="!!!"),"",IF(NOT(ISNA(VLOOKUP(E4912,E$1:E4911,1,FALSE()))),"OLD",IF(AND(E4912&lt;&gt;"",E4912&lt;&gt;"!!!"),"NEW","")))</f>
        <v> </v>
      </c>
      <c r="G4912" s="23" t="str">
        <f>IF(OR(E4912="",E4912="!!!"),"",IF(OR(J4912=0,AND(J4912=1,K4912=1),AND(J4912=1,I4912="SBJ"),AND(J4912=1,I4912=0)),"?IN_FOCUS",IF(J4912&lt;=2,"?ACTIVATED",IF(J4912&lt;&gt;"","?FAMILIAR",IF(F4912="NEW",IF(ISNA(VLOOKUP(E4912,#REF!,1,FALSE())),"?TYPE_IDENTIFIABLE","?REFERENTIAL"),"_")))))</f>
        <v> </v>
      </c>
      <c r="H4912" s="24" t="str">
        <f>IF(J4912&lt;&gt;1,"",IF(I4912="SBJ","CB","?"))</f>
        <v> </v>
      </c>
      <c r="I4912" s="25" t="str">
        <f>IF(OR(E4912="",E4912="!!!",F4912="NEW"),"",INDEX(B4911:B$2,-1+SUMPRODUCT(MAX(ROW(E4911:E$2)*(E4912=E4911:E$2)))))</f>
        <v> </v>
      </c>
      <c r="J4912" s="25" t="str">
        <f>IF(OR(E4912="",E4912="!!!",F4912="NEW"),"",COUNTBLANK(OFFSET(A$1,,,SUMPRODUCT(MAX(ROW(E$2:E4912)*(E4912=E$2:E4912)))))-COUNTBLANK(OFFSET(A$1,,,SUMPRODUCT(MAX(ROW(E$1:E4911)*(E2=E$1:E4911))))))</f>
        <v> </v>
      </c>
      <c r="K4912" s="25" t="str">
        <f>IF(OR(E4912="",E4912="!!!",F4912="NEW"),"",INDEX(J$1:J4911,SUMPRODUCT(MAX(ROW(E$1:E4911)*(E4912=E$1:E4911)))))</f>
        <v> </v>
      </c>
      <c r="L4912" s="26"/>
    </row>
    <row r="4913" spans="1:12">
      <c r="A4913" s="20" t="s">
        <v>2486</v>
      </c>
      <c r="E4913" s="21">
        <f>IF(D4913="?OLD","!!!","")</f>
        <v/>
      </c>
      <c r="F4913" s="22" t="str">
        <f>IF(OR(E4913="",E4913="!!!"),"",IF(NOT(ISNA(VLOOKUP(E4913,E$1:E4912,1,FALSE()))),"OLD",IF(AND(E4913&lt;&gt;"",E4913&lt;&gt;"!!!"),"NEW","")))</f>
        <v> </v>
      </c>
      <c r="G4913" s="23" t="str">
        <f>IF(OR(E4913="",E4913="!!!"),"",IF(OR(J4913=0,AND(J4913=1,K4913=1),AND(J4913=1,I4913="SBJ"),AND(J4913=1,I4913=0)),"?IN_FOCUS",IF(J4913&lt;=2,"?ACTIVATED",IF(J4913&lt;&gt;"","?FAMILIAR",IF(F4913="NEW",IF(ISNA(VLOOKUP(E4913,#REF!,1,FALSE())),"?TYPE_IDENTIFIABLE","?REFERENTIAL"),"_")))))</f>
        <v> </v>
      </c>
      <c r="H4913" s="24" t="str">
        <f>IF(J4913&lt;&gt;1,"",IF(I4913="SBJ","CB","?"))</f>
        <v> </v>
      </c>
      <c r="I4913" s="25" t="str">
        <f>IF(OR(E4913="",E4913="!!!",F4913="NEW"),"",INDEX(B4912:B$2,-1+SUMPRODUCT(MAX(ROW(E4912:E$2)*(E4913=E4912:E$2)))))</f>
        <v> </v>
      </c>
      <c r="J4913" s="25" t="str">
        <f>IF(OR(E4913="",E4913="!!!",F4913="NEW"),"",COUNTBLANK(OFFSET(A$1,,,SUMPRODUCT(MAX(ROW(E$2:E4913)*(E4913=E$2:E4913)))))-COUNTBLANK(OFFSET(A$1,,,SUMPRODUCT(MAX(ROW(E$1:E4912)*(E2=E$1:E4912))))))</f>
        <v> </v>
      </c>
      <c r="K4913" s="25" t="str">
        <f>IF(OR(E4913="",E4913="!!!",F4913="NEW"),"",INDEX(J$1:J4912,SUMPRODUCT(MAX(ROW(E$1:E4912)*(E4913=E$1:E4912)))))</f>
        <v> </v>
      </c>
      <c r="L4913" s="26"/>
    </row>
    <row r="4914" spans="1:12">
      <c r="A4914" s="20" t="s">
        <v>1568</v>
      </c>
      <c r="B4914" s="27" t="s">
        <v>1109</v>
      </c>
      <c r="C4914" s="27" t="s">
        <v>1110</v>
      </c>
      <c r="D4914" s="27" t="s">
        <v>1069</v>
      </c>
      <c r="E4914" s="21">
        <f>IF(D4914="?OLD","!!!","")</f>
        <v/>
      </c>
      <c r="F4914" s="22" t="str">
        <f>IF(OR(E4914="",E4914="!!!"),"",IF(NOT(ISNA(VLOOKUP(E4914,E$1:E4913,1,FALSE()))),"OLD",IF(AND(E4914&lt;&gt;"",E4914&lt;&gt;"!!!"),"NEW","")))</f>
        <v> </v>
      </c>
      <c r="G4914" s="23" t="str">
        <f>IF(OR(E4914="",E4914="!!!"),"",IF(OR(J4914=0,AND(J4914=1,K4914=1),AND(J4914=1,I4914="SBJ"),AND(J4914=1,I4914=0)),"?IN_FOCUS",IF(J4914&lt;=2,"?ACTIVATED",IF(J4914&lt;&gt;"","?FAMILIAR",IF(F4914="NEW",IF(ISNA(VLOOKUP(E4914,#REF!,1,FALSE())),"?TYPE_IDENTIFIABLE","?REFERENTIAL"),"_")))))</f>
        <v> </v>
      </c>
      <c r="H4914" s="24" t="str">
        <f>IF(J4914&lt;&gt;1,"",IF(I4914="SBJ","CB","?"))</f>
        <v> </v>
      </c>
      <c r="I4914" s="25" t="str">
        <f>IF(OR(E4914="",E4914="!!!",F4914="NEW"),"",INDEX(B4913:B$2,-1+SUMPRODUCT(MAX(ROW(E4913:E$2)*(E4914=E4913:E$2)))))</f>
        <v> </v>
      </c>
      <c r="J4914" s="25" t="str">
        <f>IF(OR(E4914="",E4914="!!!",F4914="NEW"),"",COUNTBLANK(OFFSET(A$1,,,SUMPRODUCT(MAX(ROW(E$2:E4914)*(E4914=E$2:E4914)))))-COUNTBLANK(OFFSET(A$1,,,SUMPRODUCT(MAX(ROW(E$1:E4913)*(E2=E$1:E4913))))))</f>
        <v> </v>
      </c>
      <c r="K4914" s="25" t="str">
        <f>IF(OR(E4914="",E4914="!!!",F4914="NEW"),"",INDEX(J$1:J4913,SUMPRODUCT(MAX(ROW(E$1:E4913)*(E4914=E$1:E4913)))))</f>
        <v> </v>
      </c>
      <c r="L4914" s="26"/>
    </row>
    <row r="4915" spans="1:12">
      <c r="A4915" s="20" t="s">
        <v>1268</v>
      </c>
      <c r="E4915" s="21">
        <f>IF(D4915="?OLD","!!!","")</f>
        <v/>
      </c>
      <c r="F4915" s="22" t="str">
        <f>IF(OR(E4915="",E4915="!!!"),"",IF(NOT(ISNA(VLOOKUP(E4915,E$1:E4914,1,FALSE()))),"OLD",IF(AND(E4915&lt;&gt;"",E4915&lt;&gt;"!!!"),"NEW","")))</f>
        <v> </v>
      </c>
      <c r="G4915" s="23" t="str">
        <f>IF(OR(E4915="",E4915="!!!"),"",IF(OR(J4915=0,AND(J4915=1,K4915=1),AND(J4915=1,I4915="SBJ"),AND(J4915=1,I4915=0)),"?IN_FOCUS",IF(J4915&lt;=2,"?ACTIVATED",IF(J4915&lt;&gt;"","?FAMILIAR",IF(F4915="NEW",IF(ISNA(VLOOKUP(E4915,#REF!,1,FALSE())),"?TYPE_IDENTIFIABLE","?REFERENTIAL"),"_")))))</f>
        <v> </v>
      </c>
      <c r="H4915" s="24" t="str">
        <f>IF(J4915&lt;&gt;1,"",IF(I4915="SBJ","CB","?"))</f>
        <v> </v>
      </c>
      <c r="I4915" s="25" t="str">
        <f>IF(OR(E4915="",E4915="!!!",F4915="NEW"),"",INDEX(B4914:B$2,-1+SUMPRODUCT(MAX(ROW(E4914:E$2)*(E4915=E4914:E$2)))))</f>
        <v> </v>
      </c>
      <c r="J4915" s="25" t="str">
        <f>IF(OR(E4915="",E4915="!!!",F4915="NEW"),"",COUNTBLANK(OFFSET(A$1,,,SUMPRODUCT(MAX(ROW(E$2:E4915)*(E4915=E$2:E4915)))))-COUNTBLANK(OFFSET(A$1,,,SUMPRODUCT(MAX(ROW(E$1:E4914)*(E2=E$1:E4914))))))</f>
        <v> </v>
      </c>
      <c r="K4915" s="25" t="str">
        <f>IF(OR(E4915="",E4915="!!!",F4915="NEW"),"",INDEX(J$1:J4914,SUMPRODUCT(MAX(ROW(E$1:E4914)*(E4915=E$1:E4914)))))</f>
        <v> </v>
      </c>
      <c r="L4915" s="26"/>
    </row>
    <row r="4916" spans="1:12">
      <c r="A4916" s="20" t="s">
        <v>12</v>
      </c>
      <c r="E4916" s="21">
        <f>IF(D4916="?OLD","!!!","")</f>
        <v/>
      </c>
      <c r="F4916" s="22" t="str">
        <f>IF(OR(E4916="",E4916="!!!"),"",IF(NOT(ISNA(VLOOKUP(E4916,E$1:E4915,1,FALSE()))),"OLD",IF(AND(E4916&lt;&gt;"",E4916&lt;&gt;"!!!"),"NEW","")))</f>
        <v> </v>
      </c>
      <c r="G4916" s="23" t="str">
        <f>IF(OR(E4916="",E4916="!!!"),"",IF(OR(J4916=0,AND(J4916=1,K4916=1),AND(J4916=1,I4916="SBJ"),AND(J4916=1,I4916=0)),"?IN_FOCUS",IF(J4916&lt;=2,"?ACTIVATED",IF(J4916&lt;&gt;"","?FAMILIAR",IF(F4916="NEW",IF(ISNA(VLOOKUP(E4916,#REF!,1,FALSE())),"?TYPE_IDENTIFIABLE","?REFERENTIAL"),"_")))))</f>
        <v> </v>
      </c>
      <c r="H4916" s="24" t="str">
        <f>IF(J4916&lt;&gt;1,"",IF(I4916="SBJ","CB","?"))</f>
        <v> </v>
      </c>
      <c r="I4916" s="25" t="str">
        <f>IF(OR(E4916="",E4916="!!!",F4916="NEW"),"",INDEX(B4915:B$2,-1+SUMPRODUCT(MAX(ROW(E4915:E$2)*(E4916=E4915:E$2)))))</f>
        <v> </v>
      </c>
      <c r="J4916" s="25" t="str">
        <f>IF(OR(E4916="",E4916="!!!",F4916="NEW"),"",COUNTBLANK(OFFSET(A$1,,,SUMPRODUCT(MAX(ROW(E$2:E4916)*(E4916=E$2:E4916)))))-COUNTBLANK(OFFSET(A$1,,,SUMPRODUCT(MAX(ROW(E$1:E4915)*(E2=E$1:E4915))))))</f>
        <v> </v>
      </c>
      <c r="K4916" s="25" t="str">
        <f>IF(OR(E4916="",E4916="!!!",F4916="NEW"),"",INDEX(J$1:J4915,SUMPRODUCT(MAX(ROW(E$1:E4915)*(E4916=E$1:E4915)))))</f>
        <v> </v>
      </c>
      <c r="L4916" s="26"/>
    </row>
    <row r="4917" spans="1:12">
      <c r="A4917" s="20" t="s">
        <v>1078</v>
      </c>
      <c r="E4917" s="21">
        <f>IF(D4917="?OLD","!!!","")</f>
        <v/>
      </c>
      <c r="F4917" s="22" t="str">
        <f>IF(OR(E4917="",E4917="!!!"),"",IF(NOT(ISNA(VLOOKUP(E4917,E$1:E4916,1,FALSE()))),"OLD",IF(AND(E4917&lt;&gt;"",E4917&lt;&gt;"!!!"),"NEW","")))</f>
        <v> </v>
      </c>
      <c r="G4917" s="23" t="str">
        <f>IF(OR(E4917="",E4917="!!!"),"",IF(OR(J4917=0,AND(J4917=1,K4917=1),AND(J4917=1,I4917="SBJ"),AND(J4917=1,I4917=0)),"?IN_FOCUS",IF(J4917&lt;=2,"?ACTIVATED",IF(J4917&lt;&gt;"","?FAMILIAR",IF(F4917="NEW",IF(ISNA(VLOOKUP(E4917,#REF!,1,FALSE())),"?TYPE_IDENTIFIABLE","?REFERENTIAL"),"_")))))</f>
        <v> </v>
      </c>
      <c r="H4917" s="24" t="str">
        <f>IF(J4917&lt;&gt;1,"",IF(I4917="SBJ","CB","?"))</f>
        <v> </v>
      </c>
      <c r="I4917" s="25" t="str">
        <f>IF(OR(E4917="",E4917="!!!",F4917="NEW"),"",INDEX(B4916:B$2,-1+SUMPRODUCT(MAX(ROW(E4916:E$2)*(E4917=E4916:E$2)))))</f>
        <v> </v>
      </c>
      <c r="J4917" s="25" t="str">
        <f>IF(OR(E4917="",E4917="!!!",F4917="NEW"),"",COUNTBLANK(OFFSET(A$1,,,SUMPRODUCT(MAX(ROW(E$2:E4917)*(E4917=E$2:E4917)))))-COUNTBLANK(OFFSET(A$1,,,SUMPRODUCT(MAX(ROW(E$1:E4916)*(E2=E$1:E4916))))))</f>
        <v> </v>
      </c>
      <c r="K4917" s="25" t="str">
        <f>IF(OR(E4917="",E4917="!!!",F4917="NEW"),"",INDEX(J$1:J4916,SUMPRODUCT(MAX(ROW(E$1:E4916)*(E4917=E$1:E4916)))))</f>
        <v> </v>
      </c>
      <c r="L4917" s="26"/>
    </row>
    <row r="4918" spans="1:12">
      <c r="A4918" s="20" t="s">
        <v>2489</v>
      </c>
      <c r="E4918" s="21">
        <f>IF(D4918="?OLD","!!!","")</f>
        <v/>
      </c>
      <c r="F4918" s="22" t="str">
        <f>IF(OR(E4918="",E4918="!!!"),"",IF(NOT(ISNA(VLOOKUP(E4918,E$1:E4917,1,FALSE()))),"OLD",IF(AND(E4918&lt;&gt;"",E4918&lt;&gt;"!!!"),"NEW","")))</f>
        <v> </v>
      </c>
      <c r="G4918" s="23" t="str">
        <f>IF(OR(E4918="",E4918="!!!"),"",IF(OR(J4918=0,AND(J4918=1,K4918=1),AND(J4918=1,I4918="SBJ"),AND(J4918=1,I4918=0)),"?IN_FOCUS",IF(J4918&lt;=2,"?ACTIVATED",IF(J4918&lt;&gt;"","?FAMILIAR",IF(F4918="NEW",IF(ISNA(VLOOKUP(E4918,#REF!,1,FALSE())),"?TYPE_IDENTIFIABLE","?REFERENTIAL"),"_")))))</f>
        <v> </v>
      </c>
      <c r="H4918" s="24" t="str">
        <f>IF(J4918&lt;&gt;1,"",IF(I4918="SBJ","CB","?"))</f>
        <v> </v>
      </c>
      <c r="I4918" s="25" t="str">
        <f>IF(OR(E4918="",E4918="!!!",F4918="NEW"),"",INDEX(B4917:B$2,-1+SUMPRODUCT(MAX(ROW(E4917:E$2)*(E4918=E4917:E$2)))))</f>
        <v> </v>
      </c>
      <c r="J4918" s="25" t="str">
        <f>IF(OR(E4918="",E4918="!!!",F4918="NEW"),"",COUNTBLANK(OFFSET(A$1,,,SUMPRODUCT(MAX(ROW(E$2:E4918)*(E4918=E$2:E4918)))))-COUNTBLANK(OFFSET(A$1,,,SUMPRODUCT(MAX(ROW(E$1:E4917)*(E2=E$1:E4917))))))</f>
        <v> </v>
      </c>
      <c r="K4918" s="25" t="str">
        <f>IF(OR(E4918="",E4918="!!!",F4918="NEW"),"",INDEX(J$1:J4917,SUMPRODUCT(MAX(ROW(E$1:E4917)*(E4918=E$1:E4917)))))</f>
        <v> </v>
      </c>
      <c r="L4918" s="26"/>
    </row>
    <row r="4919" spans="1:12">
      <c r="A4919" s="20" t="s">
        <v>1708</v>
      </c>
      <c r="E4919" s="21">
        <f>IF(D4919="?OLD","!!!","")</f>
        <v/>
      </c>
      <c r="F4919" s="22" t="str">
        <f>IF(OR(E4919="",E4919="!!!"),"",IF(NOT(ISNA(VLOOKUP(E4919,E$1:E4918,1,FALSE()))),"OLD",IF(AND(E4919&lt;&gt;"",E4919&lt;&gt;"!!!"),"NEW","")))</f>
        <v> </v>
      </c>
      <c r="G4919" s="23" t="str">
        <f>IF(OR(E4919="",E4919="!!!"),"",IF(OR(J4919=0,AND(J4919=1,K4919=1),AND(J4919=1,I4919="SBJ"),AND(J4919=1,I4919=0)),"?IN_FOCUS",IF(J4919&lt;=2,"?ACTIVATED",IF(J4919&lt;&gt;"","?FAMILIAR",IF(F4919="NEW",IF(ISNA(VLOOKUP(E4919,#REF!,1,FALSE())),"?TYPE_IDENTIFIABLE","?REFERENTIAL"),"_")))))</f>
        <v> </v>
      </c>
      <c r="H4919" s="24" t="str">
        <f>IF(J4919&lt;&gt;1,"",IF(I4919="SBJ","CB","?"))</f>
        <v> </v>
      </c>
      <c r="I4919" s="25" t="str">
        <f>IF(OR(E4919="",E4919="!!!",F4919="NEW"),"",INDEX(B4918:B$2,-1+SUMPRODUCT(MAX(ROW(E4918:E$2)*(E4919=E4918:E$2)))))</f>
        <v> </v>
      </c>
      <c r="J4919" s="25" t="str">
        <f>IF(OR(E4919="",E4919="!!!",F4919="NEW"),"",COUNTBLANK(OFFSET(A$1,,,SUMPRODUCT(MAX(ROW(E$2:E4919)*(E4919=E$2:E4919)))))-COUNTBLANK(OFFSET(A$1,,,SUMPRODUCT(MAX(ROW(E$1:E4918)*(E2=E$1:E4918))))))</f>
        <v> </v>
      </c>
      <c r="K4919" s="25" t="str">
        <f>IF(OR(E4919="",E4919="!!!",F4919="NEW"),"",INDEX(J$1:J4918,SUMPRODUCT(MAX(ROW(E$1:E4918)*(E4919=E$1:E4918)))))</f>
        <v> </v>
      </c>
      <c r="L4919" s="26"/>
    </row>
    <row r="4920" spans="1:12">
      <c r="A4920" s="20" t="s">
        <v>1087</v>
      </c>
      <c r="E4920" s="21">
        <f>IF(D4920="?OLD","!!!","")</f>
        <v/>
      </c>
      <c r="F4920" s="22" t="str">
        <f>IF(OR(E4920="",E4920="!!!"),"",IF(NOT(ISNA(VLOOKUP(E4920,E$1:E4919,1,FALSE()))),"OLD",IF(AND(E4920&lt;&gt;"",E4920&lt;&gt;"!!!"),"NEW","")))</f>
        <v> </v>
      </c>
      <c r="G4920" s="23" t="str">
        <f>IF(OR(E4920="",E4920="!!!"),"",IF(OR(J4920=0,AND(J4920=1,K4920=1),AND(J4920=1,I4920="SBJ"),AND(J4920=1,I4920=0)),"?IN_FOCUS",IF(J4920&lt;=2,"?ACTIVATED",IF(J4920&lt;&gt;"","?FAMILIAR",IF(F4920="NEW",IF(ISNA(VLOOKUP(E4920,#REF!,1,FALSE())),"?TYPE_IDENTIFIABLE","?REFERENTIAL"),"_")))))</f>
        <v> </v>
      </c>
      <c r="H4920" s="24" t="str">
        <f>IF(J4920&lt;&gt;1,"",IF(I4920="SBJ","CB","?"))</f>
        <v> </v>
      </c>
      <c r="I4920" s="25" t="str">
        <f>IF(OR(E4920="",E4920="!!!",F4920="NEW"),"",INDEX(B4919:B$2,-1+SUMPRODUCT(MAX(ROW(E4919:E$2)*(E4920=E4919:E$2)))))</f>
        <v> </v>
      </c>
      <c r="J4920" s="25" t="str">
        <f>IF(OR(E4920="",E4920="!!!",F4920="NEW"),"",COUNTBLANK(OFFSET(A$1,,,SUMPRODUCT(MAX(ROW(E$2:E4920)*(E4920=E$2:E4920)))))-COUNTBLANK(OFFSET(A$1,,,SUMPRODUCT(MAX(ROW(E$1:E4919)*(E2=E$1:E4919))))))</f>
        <v> </v>
      </c>
      <c r="K4920" s="25" t="str">
        <f>IF(OR(E4920="",E4920="!!!",F4920="NEW"),"",INDEX(J$1:J4919,SUMPRODUCT(MAX(ROW(E$1:E4919)*(E4920=E$1:E4919)))))</f>
        <v> </v>
      </c>
      <c r="L4920" s="26"/>
    </row>
    <row r="4921" spans="1:12">
      <c r="A4921" s="20" t="s">
        <v>1149</v>
      </c>
      <c r="E4921" s="21">
        <f>IF(D4921="?OLD","!!!","")</f>
        <v/>
      </c>
      <c r="F4921" s="22" t="str">
        <f>IF(OR(E4921="",E4921="!!!"),"",IF(NOT(ISNA(VLOOKUP(E4921,E$1:E4920,1,FALSE()))),"OLD",IF(AND(E4921&lt;&gt;"",E4921&lt;&gt;"!!!"),"NEW","")))</f>
        <v> </v>
      </c>
      <c r="G4921" s="23" t="str">
        <f>IF(OR(E4921="",E4921="!!!"),"",IF(OR(J4921=0,AND(J4921=1,K4921=1),AND(J4921=1,I4921="SBJ"),AND(J4921=1,I4921=0)),"?IN_FOCUS",IF(J4921&lt;=2,"?ACTIVATED",IF(J4921&lt;&gt;"","?FAMILIAR",IF(F4921="NEW",IF(ISNA(VLOOKUP(E4921,#REF!,1,FALSE())),"?TYPE_IDENTIFIABLE","?REFERENTIAL"),"_")))))</f>
        <v> </v>
      </c>
      <c r="H4921" s="24" t="str">
        <f>IF(J4921&lt;&gt;1,"",IF(I4921="SBJ","CB","?"))</f>
        <v> </v>
      </c>
      <c r="I4921" s="25" t="str">
        <f>IF(OR(E4921="",E4921="!!!",F4921="NEW"),"",INDEX(B4920:B$2,-1+SUMPRODUCT(MAX(ROW(E4920:E$2)*(E4921=E4920:E$2)))))</f>
        <v> </v>
      </c>
      <c r="J4921" s="25" t="str">
        <f>IF(OR(E4921="",E4921="!!!",F4921="NEW"),"",COUNTBLANK(OFFSET(A$1,,,SUMPRODUCT(MAX(ROW(E$2:E4921)*(E4921=E$2:E4921)))))-COUNTBLANK(OFFSET(A$1,,,SUMPRODUCT(MAX(ROW(E$1:E4920)*(E2=E$1:E4920))))))</f>
        <v> </v>
      </c>
      <c r="K4921" s="25" t="str">
        <f>IF(OR(E4921="",E4921="!!!",F4921="NEW"),"",INDEX(J$1:J4920,SUMPRODUCT(MAX(ROW(E$1:E4920)*(E4921=E$1:E4920)))))</f>
        <v> </v>
      </c>
      <c r="L4921" s="26"/>
    </row>
    <row r="4922" spans="1:12">
      <c r="A4922" s="20" t="s">
        <v>1104</v>
      </c>
      <c r="E4922" s="21">
        <f>IF(D4922="?OLD","!!!","")</f>
        <v/>
      </c>
      <c r="F4922" s="22" t="str">
        <f>IF(OR(E4922="",E4922="!!!"),"",IF(NOT(ISNA(VLOOKUP(E4922,E$1:E4921,1,FALSE()))),"OLD",IF(AND(E4922&lt;&gt;"",E4922&lt;&gt;"!!!"),"NEW","")))</f>
        <v> </v>
      </c>
      <c r="G4922" s="23" t="str">
        <f>IF(OR(E4922="",E4922="!!!"),"",IF(OR(J4922=0,AND(J4922=1,K4922=1),AND(J4922=1,I4922="SBJ"),AND(J4922=1,I4922=0)),"?IN_FOCUS",IF(J4922&lt;=2,"?ACTIVATED",IF(J4922&lt;&gt;"","?FAMILIAR",IF(F4922="NEW",IF(ISNA(VLOOKUP(E4922,#REF!,1,FALSE())),"?TYPE_IDENTIFIABLE","?REFERENTIAL"),"_")))))</f>
        <v> </v>
      </c>
      <c r="H4922" s="24" t="str">
        <f>IF(J4922&lt;&gt;1,"",IF(I4922="SBJ","CB","?"))</f>
        <v> </v>
      </c>
      <c r="I4922" s="25" t="str">
        <f>IF(OR(E4922="",E4922="!!!",F4922="NEW"),"",INDEX(B4921:B$2,-1+SUMPRODUCT(MAX(ROW(E4921:E$2)*(E4922=E4921:E$2)))))</f>
        <v> </v>
      </c>
      <c r="J4922" s="25" t="str">
        <f>IF(OR(E4922="",E4922="!!!",F4922="NEW"),"",COUNTBLANK(OFFSET(A$1,,,SUMPRODUCT(MAX(ROW(E$2:E4922)*(E4922=E$2:E4922)))))-COUNTBLANK(OFFSET(A$1,,,SUMPRODUCT(MAX(ROW(E$1:E4921)*(E2=E$1:E4921))))))</f>
        <v> </v>
      </c>
      <c r="K4922" s="25" t="str">
        <f>IF(OR(E4922="",E4922="!!!",F4922="NEW"),"",INDEX(J$1:J4921,SUMPRODUCT(MAX(ROW(E$1:E4921)*(E4922=E$1:E4921)))))</f>
        <v> </v>
      </c>
      <c r="L4922" s="26"/>
    </row>
    <row r="4923" spans="1:12">
      <c r="A4923" s="20" t="s">
        <v>2225</v>
      </c>
      <c r="B4923" s="27" t="s">
        <v>1508</v>
      </c>
      <c r="C4923" s="27" t="s">
        <v>1086</v>
      </c>
      <c r="D4923" s="27" t="s">
        <v>1069</v>
      </c>
      <c r="E4923" s="21">
        <f>IF(D4923="?OLD","!!!","")</f>
        <v/>
      </c>
      <c r="F4923" s="22" t="str">
        <f>IF(OR(E4923="",E4923="!!!"),"",IF(NOT(ISNA(VLOOKUP(E4923,E$1:E4922,1,FALSE()))),"OLD",IF(AND(E4923&lt;&gt;"",E4923&lt;&gt;"!!!"),"NEW","")))</f>
        <v> </v>
      </c>
      <c r="G4923" s="23" t="str">
        <f>IF(OR(E4923="",E4923="!!!"),"",IF(OR(J4923=0,AND(J4923=1,K4923=1),AND(J4923=1,I4923="SBJ"),AND(J4923=1,I4923=0)),"?IN_FOCUS",IF(J4923&lt;=2,"?ACTIVATED",IF(J4923&lt;&gt;"","?FAMILIAR",IF(F4923="NEW",IF(ISNA(VLOOKUP(E4923,#REF!,1,FALSE())),"?TYPE_IDENTIFIABLE","?REFERENTIAL"),"_")))))</f>
        <v> </v>
      </c>
      <c r="H4923" s="24" t="str">
        <f>IF(J4923&lt;&gt;1,"",IF(I4923="SBJ","CB","?"))</f>
        <v> </v>
      </c>
      <c r="I4923" s="25" t="str">
        <f>IF(OR(E4923="",E4923="!!!",F4923="NEW"),"",INDEX(B4922:B$2,-1+SUMPRODUCT(MAX(ROW(E4922:E$2)*(E4923=E4922:E$2)))))</f>
        <v> </v>
      </c>
      <c r="J4923" s="25" t="str">
        <f>IF(OR(E4923="",E4923="!!!",F4923="NEW"),"",COUNTBLANK(OFFSET(A$1,,,SUMPRODUCT(MAX(ROW(E$2:E4923)*(E4923=E$2:E4923)))))-COUNTBLANK(OFFSET(A$1,,,SUMPRODUCT(MAX(ROW(E$1:E4922)*(E2=E$1:E4922))))))</f>
        <v> </v>
      </c>
      <c r="K4923" s="25" t="str">
        <f>IF(OR(E4923="",E4923="!!!",F4923="NEW"),"",INDEX(J$1:J4922,SUMPRODUCT(MAX(ROW(E$1:E4922)*(E4923=E$1:E4922)))))</f>
        <v> </v>
      </c>
      <c r="L4923" s="26"/>
    </row>
    <row r="4924" spans="1:12">
      <c r="A4924" s="20" t="s">
        <v>1155</v>
      </c>
      <c r="E4924" s="21">
        <f>IF(D4924="?OLD","!!!","")</f>
        <v/>
      </c>
      <c r="F4924" s="22" t="str">
        <f>IF(OR(E4924="",E4924="!!!"),"",IF(NOT(ISNA(VLOOKUP(E4924,E$1:E4923,1,FALSE()))),"OLD",IF(AND(E4924&lt;&gt;"",E4924&lt;&gt;"!!!"),"NEW","")))</f>
        <v> </v>
      </c>
      <c r="G4924" s="23" t="str">
        <f>IF(OR(E4924="",E4924="!!!"),"",IF(OR(J4924=0,AND(J4924=1,K4924=1),AND(J4924=1,I4924="SBJ"),AND(J4924=1,I4924=0)),"?IN_FOCUS",IF(J4924&lt;=2,"?ACTIVATED",IF(J4924&lt;&gt;"","?FAMILIAR",IF(F4924="NEW",IF(ISNA(VLOOKUP(E4924,#REF!,1,FALSE())),"?TYPE_IDENTIFIABLE","?REFERENTIAL"),"_")))))</f>
        <v> </v>
      </c>
      <c r="H4924" s="24" t="str">
        <f>IF(J4924&lt;&gt;1,"",IF(I4924="SBJ","CB","?"))</f>
        <v> </v>
      </c>
      <c r="I4924" s="25" t="str">
        <f>IF(OR(E4924="",E4924="!!!",F4924="NEW"),"",INDEX(B4923:B$2,-1+SUMPRODUCT(MAX(ROW(E4923:E$2)*(E4924=E4923:E$2)))))</f>
        <v> </v>
      </c>
      <c r="J4924" s="25" t="str">
        <f>IF(OR(E4924="",E4924="!!!",F4924="NEW"),"",COUNTBLANK(OFFSET(A$1,,,SUMPRODUCT(MAX(ROW(E$2:E4924)*(E4924=E$2:E4924)))))-COUNTBLANK(OFFSET(A$1,,,SUMPRODUCT(MAX(ROW(E$1:E4923)*(E2=E$1:E4923))))))</f>
        <v> </v>
      </c>
      <c r="K4924" s="25" t="str">
        <f>IF(OR(E4924="",E4924="!!!",F4924="NEW"),"",INDEX(J$1:J4923,SUMPRODUCT(MAX(ROW(E$1:E4923)*(E4924=E$1:E4923)))))</f>
        <v> </v>
      </c>
      <c r="L4924" s="26"/>
    </row>
    <row r="4925" spans="1:12">
      <c r="A4925" s="20" t="s">
        <v>1165</v>
      </c>
      <c r="E4925" s="21">
        <f>IF(D4925="?OLD","!!!","")</f>
        <v/>
      </c>
      <c r="F4925" s="22" t="str">
        <f>IF(OR(E4925="",E4925="!!!"),"",IF(NOT(ISNA(VLOOKUP(E4925,E$1:E4924,1,FALSE()))),"OLD",IF(AND(E4925&lt;&gt;"",E4925&lt;&gt;"!!!"),"NEW","")))</f>
        <v> </v>
      </c>
      <c r="G4925" s="23" t="str">
        <f>IF(OR(E4925="",E4925="!!!"),"",IF(OR(J4925=0,AND(J4925=1,K4925=1),AND(J4925=1,I4925="SBJ"),AND(J4925=1,I4925=0)),"?IN_FOCUS",IF(J4925&lt;=2,"?ACTIVATED",IF(J4925&lt;&gt;"","?FAMILIAR",IF(F4925="NEW",IF(ISNA(VLOOKUP(E4925,#REF!,1,FALSE())),"?TYPE_IDENTIFIABLE","?REFERENTIAL"),"_")))))</f>
        <v> </v>
      </c>
      <c r="H4925" s="24" t="str">
        <f>IF(J4925&lt;&gt;1,"",IF(I4925="SBJ","CB","?"))</f>
        <v> </v>
      </c>
      <c r="I4925" s="25" t="str">
        <f>IF(OR(E4925="",E4925="!!!",F4925="NEW"),"",INDEX(B4924:B$2,-1+SUMPRODUCT(MAX(ROW(E4924:E$2)*(E4925=E4924:E$2)))))</f>
        <v> </v>
      </c>
      <c r="J4925" s="25" t="str">
        <f>IF(OR(E4925="",E4925="!!!",F4925="NEW"),"",COUNTBLANK(OFFSET(A$1,,,SUMPRODUCT(MAX(ROW(E$2:E4925)*(E4925=E$2:E4925)))))-COUNTBLANK(OFFSET(A$1,,,SUMPRODUCT(MAX(ROW(E$1:E4924)*(E2=E$1:E4924))))))</f>
        <v> </v>
      </c>
      <c r="K4925" s="25" t="str">
        <f>IF(OR(E4925="",E4925="!!!",F4925="NEW"),"",INDEX(J$1:J4924,SUMPRODUCT(MAX(ROW(E$1:E4924)*(E4925=E$1:E4924)))))</f>
        <v> </v>
      </c>
      <c r="L4925" s="26"/>
    </row>
    <row r="4926" spans="1:12">
      <c r="A4926" s="20" t="s">
        <v>1263</v>
      </c>
      <c r="E4926" s="21">
        <f>IF(D4926="?OLD","!!!","")</f>
        <v/>
      </c>
      <c r="F4926" s="22" t="str">
        <f>IF(OR(E4926="",E4926="!!!"),"",IF(NOT(ISNA(VLOOKUP(E4926,E$1:E4925,1,FALSE()))),"OLD",IF(AND(E4926&lt;&gt;"",E4926&lt;&gt;"!!!"),"NEW","")))</f>
        <v> </v>
      </c>
      <c r="G4926" s="23" t="str">
        <f>IF(OR(E4926="",E4926="!!!"),"",IF(OR(J4926=0,AND(J4926=1,K4926=1),AND(J4926=1,I4926="SBJ"),AND(J4926=1,I4926=0)),"?IN_FOCUS",IF(J4926&lt;=2,"?ACTIVATED",IF(J4926&lt;&gt;"","?FAMILIAR",IF(F4926="NEW",IF(ISNA(VLOOKUP(E4926,#REF!,1,FALSE())),"?TYPE_IDENTIFIABLE","?REFERENTIAL"),"_")))))</f>
        <v> </v>
      </c>
      <c r="H4926" s="24" t="str">
        <f>IF(J4926&lt;&gt;1,"",IF(I4926="SBJ","CB","?"))</f>
        <v> </v>
      </c>
      <c r="I4926" s="25" t="str">
        <f>IF(OR(E4926="",E4926="!!!",F4926="NEW"),"",INDEX(B4925:B$2,-1+SUMPRODUCT(MAX(ROW(E4925:E$2)*(E4926=E4925:E$2)))))</f>
        <v> </v>
      </c>
      <c r="J4926" s="25" t="str">
        <f>IF(OR(E4926="",E4926="!!!",F4926="NEW"),"",COUNTBLANK(OFFSET(A$1,,,SUMPRODUCT(MAX(ROW(E$2:E4926)*(E4926=E$2:E4926)))))-COUNTBLANK(OFFSET(A$1,,,SUMPRODUCT(MAX(ROW(E$1:E4925)*(E2=E$1:E4925))))))</f>
        <v> </v>
      </c>
      <c r="K4926" s="25" t="str">
        <f>IF(OR(E4926="",E4926="!!!",F4926="NEW"),"",INDEX(J$1:J4925,SUMPRODUCT(MAX(ROW(E$1:E4925)*(E4926=E$1:E4925)))))</f>
        <v> </v>
      </c>
      <c r="L4926" s="26"/>
    </row>
    <row r="4927" spans="1:12">
      <c r="A4927" s="20" t="s">
        <v>1191</v>
      </c>
      <c r="E4927" s="21">
        <f>IF(D4927="?OLD","!!!","")</f>
        <v/>
      </c>
      <c r="F4927" s="22" t="str">
        <f>IF(OR(E4927="",E4927="!!!"),"",IF(NOT(ISNA(VLOOKUP(E4927,E$1:E4926,1,FALSE()))),"OLD",IF(AND(E4927&lt;&gt;"",E4927&lt;&gt;"!!!"),"NEW","")))</f>
        <v> </v>
      </c>
      <c r="G4927" s="23" t="str">
        <f>IF(OR(E4927="",E4927="!!!"),"",IF(OR(J4927=0,AND(J4927=1,K4927=1),AND(J4927=1,I4927="SBJ"),AND(J4927=1,I4927=0)),"?IN_FOCUS",IF(J4927&lt;=2,"?ACTIVATED",IF(J4927&lt;&gt;"","?FAMILIAR",IF(F4927="NEW",IF(ISNA(VLOOKUP(E4927,#REF!,1,FALSE())),"?TYPE_IDENTIFIABLE","?REFERENTIAL"),"_")))))</f>
        <v> </v>
      </c>
      <c r="H4927" s="24" t="str">
        <f>IF(J4927&lt;&gt;1,"",IF(I4927="SBJ","CB","?"))</f>
        <v> </v>
      </c>
      <c r="I4927" s="25" t="str">
        <f>IF(OR(E4927="",E4927="!!!",F4927="NEW"),"",INDEX(B4926:B$2,-1+SUMPRODUCT(MAX(ROW(E4926:E$2)*(E4927=E4926:E$2)))))</f>
        <v> </v>
      </c>
      <c r="J4927" s="25" t="str">
        <f>IF(OR(E4927="",E4927="!!!",F4927="NEW"),"",COUNTBLANK(OFFSET(A$1,,,SUMPRODUCT(MAX(ROW(E$2:E4927)*(E4927=E$2:E4927)))))-COUNTBLANK(OFFSET(A$1,,,SUMPRODUCT(MAX(ROW(E$1:E4926)*(E2=E$1:E4926))))))</f>
        <v> </v>
      </c>
      <c r="K4927" s="25" t="str">
        <f>IF(OR(E4927="",E4927="!!!",F4927="NEW"),"",INDEX(J$1:J4926,SUMPRODUCT(MAX(ROW(E$1:E4926)*(E4927=E$1:E4926)))))</f>
        <v> </v>
      </c>
      <c r="L4927" s="26"/>
    </row>
    <row r="4928" spans="1:12">
      <c r="A4928" s="20" t="s">
        <v>1080</v>
      </c>
      <c r="E4928" s="21">
        <f>IF(D4928="?OLD","!!!","")</f>
        <v/>
      </c>
      <c r="F4928" s="22" t="str">
        <f>IF(OR(E4928="",E4928="!!!"),"",IF(NOT(ISNA(VLOOKUP(E4928,E$1:E4927,1,FALSE()))),"OLD",IF(AND(E4928&lt;&gt;"",E4928&lt;&gt;"!!!"),"NEW","")))</f>
        <v> </v>
      </c>
      <c r="G4928" s="23" t="str">
        <f>IF(OR(E4928="",E4928="!!!"),"",IF(OR(J4928=0,AND(J4928=1,K4928=1),AND(J4928=1,I4928="SBJ"),AND(J4928=1,I4928=0)),"?IN_FOCUS",IF(J4928&lt;=2,"?ACTIVATED",IF(J4928&lt;&gt;"","?FAMILIAR",IF(F4928="NEW",IF(ISNA(VLOOKUP(E4928,#REF!,1,FALSE())),"?TYPE_IDENTIFIABLE","?REFERENTIAL"),"_")))))</f>
        <v> </v>
      </c>
      <c r="H4928" s="24" t="str">
        <f>IF(J4928&lt;&gt;1,"",IF(I4928="SBJ","CB","?"))</f>
        <v> </v>
      </c>
      <c r="I4928" s="25" t="str">
        <f>IF(OR(E4928="",E4928="!!!",F4928="NEW"),"",INDEX(B4927:B$2,-1+SUMPRODUCT(MAX(ROW(E4927:E$2)*(E4928=E4927:E$2)))))</f>
        <v> </v>
      </c>
      <c r="J4928" s="25" t="str">
        <f>IF(OR(E4928="",E4928="!!!",F4928="NEW"),"",COUNTBLANK(OFFSET(A$1,,,SUMPRODUCT(MAX(ROW(E$2:E4928)*(E4928=E$2:E4928)))))-COUNTBLANK(OFFSET(A$1,,,SUMPRODUCT(MAX(ROW(E$1:E4927)*(E2=E$1:E4927))))))</f>
        <v> </v>
      </c>
      <c r="K4928" s="25" t="str">
        <f>IF(OR(E4928="",E4928="!!!",F4928="NEW"),"",INDEX(J$1:J4927,SUMPRODUCT(MAX(ROW(E$1:E4927)*(E4928=E$1:E4927)))))</f>
        <v> </v>
      </c>
      <c r="L4928" s="26"/>
    </row>
    <row r="4929" spans="1:12">
      <c r="A4929" s="20"/>
    </row>
    <row r="4930" spans="1:12">
      <c r="A4930" s="20" t="s">
        <v>2490</v>
      </c>
    </row>
    <row r="4931" spans="1:12">
      <c r="A4931" s="20" t="s">
        <v>1214</v>
      </c>
      <c r="E4931" s="21">
        <f>IF(D4931="?OLD","!!!","")</f>
        <v/>
      </c>
      <c r="F4931" s="22" t="str">
        <f>IF(OR(E4931="",E4931="!!!"),"",IF(NOT(ISNA(VLOOKUP(E4931,E$1:E4930,1,FALSE()))),"OLD",IF(AND(E4931&lt;&gt;"",E4931&lt;&gt;"!!!"),"NEW","")))</f>
        <v> </v>
      </c>
      <c r="G4931" s="23" t="str">
        <f>IF(OR(E4931="",E4931="!!!"),"",IF(OR(J4931=0,AND(J4931=1,K4931=1),AND(J4931=1,I4931="SBJ"),AND(J4931=1,I4931=0)),"?IN_FOCUS",IF(J4931&lt;=2,"?ACTIVATED",IF(J4931&lt;&gt;"","?FAMILIAR",IF(F4931="NEW",IF(ISNA(VLOOKUP(E4931,#REF!,1,FALSE())),"?TYPE_IDENTIFIABLE","?REFERENTIAL"),"_")))))</f>
        <v> </v>
      </c>
      <c r="H4931" s="24" t="str">
        <f>IF(J4931&lt;&gt;1,"",IF(I4931="SBJ","CB","?"))</f>
        <v> </v>
      </c>
      <c r="I4931" s="25" t="str">
        <f>IF(OR(E4931="",E4931="!!!",F4931="NEW"),"",INDEX(B4930:B$2,-1+SUMPRODUCT(MAX(ROW(E4930:E$2)*(E4931=E4930:E$2)))))</f>
        <v> </v>
      </c>
      <c r="J4931" s="25" t="str">
        <f>IF(OR(E4931="",E4931="!!!",F4931="NEW"),"",COUNTBLANK(OFFSET(A$1,,,SUMPRODUCT(MAX(ROW(E$2:E4931)*(E4931=E$2:E4931)))))-COUNTBLANK(OFFSET(A$1,,,SUMPRODUCT(MAX(ROW(E$1:E4930)*(E2=E$1:E4930))))))</f>
        <v> </v>
      </c>
      <c r="K4931" s="25" t="str">
        <f>IF(OR(E4931="",E4931="!!!",F4931="NEW"),"",INDEX(J$1:J4930,SUMPRODUCT(MAX(ROW(E$1:E4930)*(E4931=E$1:E4930)))))</f>
        <v> </v>
      </c>
      <c r="L4931" s="26"/>
    </row>
    <row r="4932" spans="1:12">
      <c r="A4932" s="20" t="s">
        <v>1191</v>
      </c>
      <c r="E4932" s="21">
        <f>IF(D4932="?OLD","!!!","")</f>
        <v/>
      </c>
      <c r="F4932" s="22" t="str">
        <f>IF(OR(E4932="",E4932="!!!"),"",IF(NOT(ISNA(VLOOKUP(E4932,E$1:E4931,1,FALSE()))),"OLD",IF(AND(E4932&lt;&gt;"",E4932&lt;&gt;"!!!"),"NEW","")))</f>
        <v> </v>
      </c>
      <c r="G4932" s="23" t="str">
        <f>IF(OR(E4932="",E4932="!!!"),"",IF(OR(J4932=0,AND(J4932=1,K4932=1),AND(J4932=1,I4932="SBJ"),AND(J4932=1,I4932=0)),"?IN_FOCUS",IF(J4932&lt;=2,"?ACTIVATED",IF(J4932&lt;&gt;"","?FAMILIAR",IF(F4932="NEW",IF(ISNA(VLOOKUP(E4932,#REF!,1,FALSE())),"?TYPE_IDENTIFIABLE","?REFERENTIAL"),"_")))))</f>
        <v> </v>
      </c>
      <c r="H4932" s="24" t="str">
        <f>IF(J4932&lt;&gt;1,"",IF(I4932="SBJ","CB","?"))</f>
        <v> </v>
      </c>
      <c r="I4932" s="25" t="str">
        <f>IF(OR(E4932="",E4932="!!!",F4932="NEW"),"",INDEX(B4931:B$2,-1+SUMPRODUCT(MAX(ROW(E4931:E$2)*(E4932=E4931:E$2)))))</f>
        <v> </v>
      </c>
      <c r="J4932" s="25" t="str">
        <f>IF(OR(E4932="",E4932="!!!",F4932="NEW"),"",COUNTBLANK(OFFSET(A$1,,,SUMPRODUCT(MAX(ROW(E$2:E4932)*(E4932=E$2:E4932)))))-COUNTBLANK(OFFSET(A$1,,,SUMPRODUCT(MAX(ROW(E$1:E4931)*(E2=E$1:E4931))))))</f>
        <v> </v>
      </c>
      <c r="K4932" s="25" t="str">
        <f>IF(OR(E4932="",E4932="!!!",F4932="NEW"),"",INDEX(J$1:J4931,SUMPRODUCT(MAX(ROW(E$1:E4931)*(E4932=E$1:E4931)))))</f>
        <v> </v>
      </c>
      <c r="L4932" s="26"/>
    </row>
    <row r="4933" spans="1:12">
      <c r="A4933" s="20" t="s">
        <v>1097</v>
      </c>
      <c r="E4933" s="21">
        <f>IF(D4933="?OLD","!!!","")</f>
        <v/>
      </c>
      <c r="F4933" s="22" t="str">
        <f>IF(OR(E4933="",E4933="!!!"),"",IF(NOT(ISNA(VLOOKUP(E4933,E$1:E4932,1,FALSE()))),"OLD",IF(AND(E4933&lt;&gt;"",E4933&lt;&gt;"!!!"),"NEW","")))</f>
        <v> </v>
      </c>
      <c r="G4933" s="23" t="str">
        <f>IF(OR(E4933="",E4933="!!!"),"",IF(OR(J4933=0,AND(J4933=1,K4933=1),AND(J4933=1,I4933="SBJ"),AND(J4933=1,I4933=0)),"?IN_FOCUS",IF(J4933&lt;=2,"?ACTIVATED",IF(J4933&lt;&gt;"","?FAMILIAR",IF(F4933="NEW",IF(ISNA(VLOOKUP(E4933,#REF!,1,FALSE())),"?TYPE_IDENTIFIABLE","?REFERENTIAL"),"_")))))</f>
        <v> </v>
      </c>
      <c r="H4933" s="24" t="str">
        <f>IF(J4933&lt;&gt;1,"",IF(I4933="SBJ","CB","?"))</f>
        <v> </v>
      </c>
      <c r="I4933" s="25" t="str">
        <f>IF(OR(E4933="",E4933="!!!",F4933="NEW"),"",INDEX(B4932:B$2,-1+SUMPRODUCT(MAX(ROW(E4932:E$2)*(E4933=E4932:E$2)))))</f>
        <v> </v>
      </c>
      <c r="J4933" s="25" t="str">
        <f>IF(OR(E4933="",E4933="!!!",F4933="NEW"),"",COUNTBLANK(OFFSET(A$1,,,SUMPRODUCT(MAX(ROW(E$2:E4933)*(E4933=E$2:E4933)))))-COUNTBLANK(OFFSET(A$1,,,SUMPRODUCT(MAX(ROW(E$1:E4932)*(E2=E$1:E4932))))))</f>
        <v> </v>
      </c>
      <c r="K4933" s="25" t="str">
        <f>IF(OR(E4933="",E4933="!!!",F4933="NEW"),"",INDEX(J$1:J4932,SUMPRODUCT(MAX(ROW(E$1:E4932)*(E4933=E$1:E4932)))))</f>
        <v> </v>
      </c>
      <c r="L4933" s="26"/>
    </row>
    <row r="4934" spans="1:12">
      <c r="A4934" s="20" t="s">
        <v>2491</v>
      </c>
      <c r="B4934" s="27" t="s">
        <v>1095</v>
      </c>
      <c r="C4934" s="27" t="s">
        <v>1134</v>
      </c>
      <c r="D4934" s="27" t="s">
        <v>1069</v>
      </c>
      <c r="E4934" s="21">
        <f>IF(D4934="?OLD","!!!","")</f>
        <v/>
      </c>
      <c r="F4934" s="22" t="str">
        <f>IF(OR(E4934="",E4934="!!!"),"",IF(NOT(ISNA(VLOOKUP(E4934,E$1:E4933,1,FALSE()))),"OLD",IF(AND(E4934&lt;&gt;"",E4934&lt;&gt;"!!!"),"NEW","")))</f>
        <v> </v>
      </c>
      <c r="G4934" s="23" t="str">
        <f>IF(OR(E4934="",E4934="!!!"),"",IF(OR(J4934=0,AND(J4934=1,K4934=1),AND(J4934=1,I4934="SBJ"),AND(J4934=1,I4934=0)),"?IN_FOCUS",IF(J4934&lt;=2,"?ACTIVATED",IF(J4934&lt;&gt;"","?FAMILIAR",IF(F4934="NEW",IF(ISNA(VLOOKUP(E4934,#REF!,1,FALSE())),"?TYPE_IDENTIFIABLE","?REFERENTIAL"),"_")))))</f>
        <v> </v>
      </c>
      <c r="H4934" s="24" t="str">
        <f>IF(J4934&lt;&gt;1,"",IF(I4934="SBJ","CB","?"))</f>
        <v> </v>
      </c>
      <c r="I4934" s="25" t="str">
        <f>IF(OR(E4934="",E4934="!!!",F4934="NEW"),"",INDEX(B4933:B$2,-1+SUMPRODUCT(MAX(ROW(E4933:E$2)*(E4934=E4933:E$2)))))</f>
        <v> </v>
      </c>
      <c r="J4934" s="25" t="str">
        <f>IF(OR(E4934="",E4934="!!!",F4934="NEW"),"",COUNTBLANK(OFFSET(A$1,,,SUMPRODUCT(MAX(ROW(E$2:E4934)*(E4934=E$2:E4934)))))-COUNTBLANK(OFFSET(A$1,,,SUMPRODUCT(MAX(ROW(E$1:E4933)*(E2=E$1:E4933))))))</f>
        <v> </v>
      </c>
      <c r="K4934" s="25" t="str">
        <f>IF(OR(E4934="",E4934="!!!",F4934="NEW"),"",INDEX(J$1:J4933,SUMPRODUCT(MAX(ROW(E$1:E4933)*(E4934=E$1:E4933)))))</f>
        <v> </v>
      </c>
      <c r="L4934" s="26"/>
    </row>
    <row r="4935" spans="1:12">
      <c r="A4935" s="20" t="s">
        <v>2492</v>
      </c>
      <c r="B4935" s="27" t="s">
        <v>1067</v>
      </c>
      <c r="C4935" s="27" t="s">
        <v>1077</v>
      </c>
      <c r="E4935" s="21">
        <f>IF(D4935="?OLD","!!!","")</f>
        <v/>
      </c>
      <c r="F4935" s="22" t="str">
        <f>IF(OR(E4935="",E4935="!!!"),"",IF(NOT(ISNA(VLOOKUP(E4935,E$1:E4934,1,FALSE()))),"OLD",IF(AND(E4935&lt;&gt;"",E4935&lt;&gt;"!!!"),"NEW","")))</f>
        <v> </v>
      </c>
      <c r="G4935" s="23" t="str">
        <f>IF(OR(E4935="",E4935="!!!"),"",IF(OR(J4935=0,AND(J4935=1,K4935=1),AND(J4935=1,I4935="SBJ"),AND(J4935=1,I4935=0)),"?IN_FOCUS",IF(J4935&lt;=2,"?ACTIVATED",IF(J4935&lt;&gt;"","?FAMILIAR",IF(F4935="NEW",IF(ISNA(VLOOKUP(E4935,#REF!,1,FALSE())),"?TYPE_IDENTIFIABLE","?REFERENTIAL"),"_")))))</f>
        <v> </v>
      </c>
      <c r="H4935" s="24" t="str">
        <f>IF(J4935&lt;&gt;1,"",IF(I4935="SBJ","CB","?"))</f>
        <v> </v>
      </c>
      <c r="I4935" s="25" t="str">
        <f>IF(OR(E4935="",E4935="!!!",F4935="NEW"),"",INDEX(B4934:B$2,-1+SUMPRODUCT(MAX(ROW(E4934:E$2)*(E4935=E4934:E$2)))))</f>
        <v> </v>
      </c>
      <c r="J4935" s="25" t="str">
        <f>IF(OR(E4935="",E4935="!!!",F4935="NEW"),"",COUNTBLANK(OFFSET(A$1,,,SUMPRODUCT(MAX(ROW(E$2:E4935)*(E4935=E$2:E4935)))))-COUNTBLANK(OFFSET(A$1,,,SUMPRODUCT(MAX(ROW(E$1:E4934)*(E2=E$1:E4934))))))</f>
        <v> </v>
      </c>
      <c r="K4935" s="25" t="str">
        <f>IF(OR(E4935="",E4935="!!!",F4935="NEW"),"",INDEX(J$1:J4934,SUMPRODUCT(MAX(ROW(E$1:E4934)*(E4935=E$1:E4934)))))</f>
        <v> </v>
      </c>
      <c r="L4935" s="26"/>
    </row>
    <row r="4936" spans="1:12">
      <c r="A4936" s="20" t="s">
        <v>1155</v>
      </c>
      <c r="E4936" s="21">
        <f>IF(D4936="?OLD","!!!","")</f>
        <v/>
      </c>
      <c r="F4936" s="22" t="str">
        <f>IF(OR(E4936="",E4936="!!!"),"",IF(NOT(ISNA(VLOOKUP(E4936,E$1:E4935,1,FALSE()))),"OLD",IF(AND(E4936&lt;&gt;"",E4936&lt;&gt;"!!!"),"NEW","")))</f>
        <v> </v>
      </c>
      <c r="G4936" s="23" t="str">
        <f>IF(OR(E4936="",E4936="!!!"),"",IF(OR(J4936=0,AND(J4936=1,K4936=1),AND(J4936=1,I4936="SBJ"),AND(J4936=1,I4936=0)),"?IN_FOCUS",IF(J4936&lt;=2,"?ACTIVATED",IF(J4936&lt;&gt;"","?FAMILIAR",IF(F4936="NEW",IF(ISNA(VLOOKUP(E4936,#REF!,1,FALSE())),"?TYPE_IDENTIFIABLE","?REFERENTIAL"),"_")))))</f>
        <v> </v>
      </c>
      <c r="H4936" s="24" t="str">
        <f>IF(J4936&lt;&gt;1,"",IF(I4936="SBJ","CB","?"))</f>
        <v> </v>
      </c>
      <c r="I4936" s="25" t="str">
        <f>IF(OR(E4936="",E4936="!!!",F4936="NEW"),"",INDEX(B4935:B$2,-1+SUMPRODUCT(MAX(ROW(E4935:E$2)*(E4936=E4935:E$2)))))</f>
        <v> </v>
      </c>
      <c r="J4936" s="25" t="str">
        <f>IF(OR(E4936="",E4936="!!!",F4936="NEW"),"",COUNTBLANK(OFFSET(A$1,,,SUMPRODUCT(MAX(ROW(E$2:E4936)*(E4936=E$2:E4936)))))-COUNTBLANK(OFFSET(A$1,,,SUMPRODUCT(MAX(ROW(E$1:E4935)*(E2=E$1:E4935))))))</f>
        <v> </v>
      </c>
      <c r="K4936" s="25" t="str">
        <f>IF(OR(E4936="",E4936="!!!",F4936="NEW"),"",INDEX(J$1:J4935,SUMPRODUCT(MAX(ROW(E$1:E4935)*(E4936=E$1:E4935)))))</f>
        <v> </v>
      </c>
      <c r="L4936" s="26"/>
    </row>
    <row r="4937" spans="1:12">
      <c r="A4937" s="20" t="s">
        <v>2493</v>
      </c>
      <c r="E4937" s="21">
        <f>IF(D4937="?OLD","!!!","")</f>
        <v/>
      </c>
      <c r="F4937" s="22" t="str">
        <f>IF(OR(E4937="",E4937="!!!"),"",IF(NOT(ISNA(VLOOKUP(E4937,E$1:E4936,1,FALSE()))),"OLD",IF(AND(E4937&lt;&gt;"",E4937&lt;&gt;"!!!"),"NEW","")))</f>
        <v> </v>
      </c>
      <c r="G4937" s="23" t="str">
        <f>IF(OR(E4937="",E4937="!!!"),"",IF(OR(J4937=0,AND(J4937=1,K4937=1),AND(J4937=1,I4937="SBJ"),AND(J4937=1,I4937=0)),"?IN_FOCUS",IF(J4937&lt;=2,"?ACTIVATED",IF(J4937&lt;&gt;"","?FAMILIAR",IF(F4937="NEW",IF(ISNA(VLOOKUP(E4937,#REF!,1,FALSE())),"?TYPE_IDENTIFIABLE","?REFERENTIAL"),"_")))))</f>
        <v> </v>
      </c>
      <c r="H4937" s="24" t="str">
        <f>IF(J4937&lt;&gt;1,"",IF(I4937="SBJ","CB","?"))</f>
        <v> </v>
      </c>
      <c r="I4937" s="25" t="str">
        <f>IF(OR(E4937="",E4937="!!!",F4937="NEW"),"",INDEX(B4936:B$2,-1+SUMPRODUCT(MAX(ROW(E4936:E$2)*(E4937=E4936:E$2)))))</f>
        <v> </v>
      </c>
      <c r="J4937" s="25" t="str">
        <f>IF(OR(E4937="",E4937="!!!",F4937="NEW"),"",COUNTBLANK(OFFSET(A$1,,,SUMPRODUCT(MAX(ROW(E$2:E4937)*(E4937=E$2:E4937)))))-COUNTBLANK(OFFSET(A$1,,,SUMPRODUCT(MAX(ROW(E$1:E4936)*(E2=E$1:E4936))))))</f>
        <v> </v>
      </c>
      <c r="K4937" s="25" t="str">
        <f>IF(OR(E4937="",E4937="!!!",F4937="NEW"),"",INDEX(J$1:J4936,SUMPRODUCT(MAX(ROW(E$1:E4936)*(E4937=E$1:E4936)))))</f>
        <v> </v>
      </c>
      <c r="L4937" s="26"/>
    </row>
    <row r="4938" spans="1:12">
      <c r="A4938" s="20" t="s">
        <v>1083</v>
      </c>
      <c r="E4938" s="21">
        <f>IF(D4938="?OLD","!!!","")</f>
        <v/>
      </c>
      <c r="F4938" s="22" t="str">
        <f>IF(OR(E4938="",E4938="!!!"),"",IF(NOT(ISNA(VLOOKUP(E4938,E$1:E4937,1,FALSE()))),"OLD",IF(AND(E4938&lt;&gt;"",E4938&lt;&gt;"!!!"),"NEW","")))</f>
        <v> </v>
      </c>
      <c r="G4938" s="23" t="str">
        <f>IF(OR(E4938="",E4938="!!!"),"",IF(OR(J4938=0,AND(J4938=1,K4938=1),AND(J4938=1,I4938="SBJ"),AND(J4938=1,I4938=0)),"?IN_FOCUS",IF(J4938&lt;=2,"?ACTIVATED",IF(J4938&lt;&gt;"","?FAMILIAR",IF(F4938="NEW",IF(ISNA(VLOOKUP(E4938,#REF!,1,FALSE())),"?TYPE_IDENTIFIABLE","?REFERENTIAL"),"_")))))</f>
        <v> </v>
      </c>
      <c r="H4938" s="24" t="str">
        <f>IF(J4938&lt;&gt;1,"",IF(I4938="SBJ","CB","?"))</f>
        <v> </v>
      </c>
      <c r="I4938" s="25" t="str">
        <f>IF(OR(E4938="",E4938="!!!",F4938="NEW"),"",INDEX(B4937:B$2,-1+SUMPRODUCT(MAX(ROW(E4937:E$2)*(E4938=E4937:E$2)))))</f>
        <v> </v>
      </c>
      <c r="J4938" s="25" t="str">
        <f>IF(OR(E4938="",E4938="!!!",F4938="NEW"),"",COUNTBLANK(OFFSET(A$1,,,SUMPRODUCT(MAX(ROW(E$2:E4938)*(E4938=E$2:E4938)))))-COUNTBLANK(OFFSET(A$1,,,SUMPRODUCT(MAX(ROW(E$1:E4937)*(E2=E$1:E4937))))))</f>
        <v> </v>
      </c>
      <c r="K4938" s="25" t="str">
        <f>IF(OR(E4938="",E4938="!!!",F4938="NEW"),"",INDEX(J$1:J4937,SUMPRODUCT(MAX(ROW(E$1:E4937)*(E4938=E$1:E4937)))))</f>
        <v> </v>
      </c>
      <c r="L4938" s="26"/>
    </row>
    <row r="4939" spans="1:12">
      <c r="A4939" s="20" t="s">
        <v>2494</v>
      </c>
      <c r="E4939" s="21">
        <f>IF(D4939="?OLD","!!!","")</f>
        <v/>
      </c>
      <c r="F4939" s="22" t="str">
        <f>IF(OR(E4939="",E4939="!!!"),"",IF(NOT(ISNA(VLOOKUP(E4939,E$1:E4938,1,FALSE()))),"OLD",IF(AND(E4939&lt;&gt;"",E4939&lt;&gt;"!!!"),"NEW","")))</f>
        <v> </v>
      </c>
      <c r="G4939" s="23" t="str">
        <f>IF(OR(E4939="",E4939="!!!"),"",IF(OR(J4939=0,AND(J4939=1,K4939=1),AND(J4939=1,I4939="SBJ"),AND(J4939=1,I4939=0)),"?IN_FOCUS",IF(J4939&lt;=2,"?ACTIVATED",IF(J4939&lt;&gt;"","?FAMILIAR",IF(F4939="NEW",IF(ISNA(VLOOKUP(E4939,#REF!,1,FALSE())),"?TYPE_IDENTIFIABLE","?REFERENTIAL"),"_")))))</f>
        <v> </v>
      </c>
      <c r="H4939" s="24" t="str">
        <f>IF(J4939&lt;&gt;1,"",IF(I4939="SBJ","CB","?"))</f>
        <v> </v>
      </c>
      <c r="I4939" s="25" t="str">
        <f>IF(OR(E4939="",E4939="!!!",F4939="NEW"),"",INDEX(B4938:B$2,-1+SUMPRODUCT(MAX(ROW(E4938:E$2)*(E4939=E4938:E$2)))))</f>
        <v> </v>
      </c>
      <c r="J4939" s="25" t="str">
        <f>IF(OR(E4939="",E4939="!!!",F4939="NEW"),"",COUNTBLANK(OFFSET(A$1,,,SUMPRODUCT(MAX(ROW(E$2:E4939)*(E4939=E$2:E4939)))))-COUNTBLANK(OFFSET(A$1,,,SUMPRODUCT(MAX(ROW(E$1:E4938)*(E2=E$1:E4938))))))</f>
        <v> </v>
      </c>
      <c r="K4939" s="25" t="str">
        <f>IF(OR(E4939="",E4939="!!!",F4939="NEW"),"",INDEX(J$1:J4938,SUMPRODUCT(MAX(ROW(E$1:E4938)*(E4939=E$1:E4938)))))</f>
        <v> </v>
      </c>
      <c r="L4939" s="26"/>
    </row>
    <row r="4940" spans="1:12">
      <c r="A4940" s="20" t="s">
        <v>2495</v>
      </c>
      <c r="B4940" s="27" t="s">
        <v>1095</v>
      </c>
      <c r="C4940" s="27" t="s">
        <v>1086</v>
      </c>
      <c r="D4940" s="27" t="s">
        <v>1069</v>
      </c>
      <c r="E4940" s="21">
        <f>IF(D4940="?OLD","!!!","")</f>
        <v/>
      </c>
      <c r="F4940" s="22" t="str">
        <f>IF(OR(E4940="",E4940="!!!"),"",IF(NOT(ISNA(VLOOKUP(E4940,E$1:E4939,1,FALSE()))),"OLD",IF(AND(E4940&lt;&gt;"",E4940&lt;&gt;"!!!"),"NEW","")))</f>
        <v> </v>
      </c>
      <c r="G4940" s="23" t="str">
        <f>IF(OR(E4940="",E4940="!!!"),"",IF(OR(J4940=0,AND(J4940=1,K4940=1),AND(J4940=1,I4940="SBJ"),AND(J4940=1,I4940=0)),"?IN_FOCUS",IF(J4940&lt;=2,"?ACTIVATED",IF(J4940&lt;&gt;"","?FAMILIAR",IF(F4940="NEW",IF(ISNA(VLOOKUP(E4940,#REF!,1,FALSE())),"?TYPE_IDENTIFIABLE","?REFERENTIAL"),"_")))))</f>
        <v> </v>
      </c>
      <c r="H4940" s="24" t="str">
        <f>IF(J4940&lt;&gt;1,"",IF(I4940="SBJ","CB","?"))</f>
        <v> </v>
      </c>
      <c r="I4940" s="25" t="str">
        <f>IF(OR(E4940="",E4940="!!!",F4940="NEW"),"",INDEX(B4939:B$2,-1+SUMPRODUCT(MAX(ROW(E4939:E$2)*(E4940=E4939:E$2)))))</f>
        <v> </v>
      </c>
      <c r="J4940" s="25" t="str">
        <f>IF(OR(E4940="",E4940="!!!",F4940="NEW"),"",COUNTBLANK(OFFSET(A$1,,,SUMPRODUCT(MAX(ROW(E$2:E4940)*(E4940=E$2:E4940)))))-COUNTBLANK(OFFSET(A$1,,,SUMPRODUCT(MAX(ROW(E$1:E4939)*(E2=E$1:E4939))))))</f>
        <v> </v>
      </c>
      <c r="K4940" s="25" t="str">
        <f>IF(OR(E4940="",E4940="!!!",F4940="NEW"),"",INDEX(J$1:J4939,SUMPRODUCT(MAX(ROW(E$1:E4939)*(E4940=E$1:E4939)))))</f>
        <v> </v>
      </c>
      <c r="L4940" s="26"/>
    </row>
    <row r="4941" spans="1:12">
      <c r="A4941" s="20" t="s">
        <v>1078</v>
      </c>
      <c r="E4941" s="21">
        <f>IF(D4941="?OLD","!!!","")</f>
        <v/>
      </c>
      <c r="F4941" s="22" t="str">
        <f>IF(OR(E4941="",E4941="!!!"),"",IF(NOT(ISNA(VLOOKUP(E4941,E$1:E4940,1,FALSE()))),"OLD",IF(AND(E4941&lt;&gt;"",E4941&lt;&gt;"!!!"),"NEW","")))</f>
        <v> </v>
      </c>
      <c r="G4941" s="23" t="str">
        <f>IF(OR(E4941="",E4941="!!!"),"",IF(OR(J4941=0,AND(J4941=1,K4941=1),AND(J4941=1,I4941="SBJ"),AND(J4941=1,I4941=0)),"?IN_FOCUS",IF(J4941&lt;=2,"?ACTIVATED",IF(J4941&lt;&gt;"","?FAMILIAR",IF(F4941="NEW",IF(ISNA(VLOOKUP(E4941,#REF!,1,FALSE())),"?TYPE_IDENTIFIABLE","?REFERENTIAL"),"_")))))</f>
        <v> </v>
      </c>
      <c r="H4941" s="24" t="str">
        <f>IF(J4941&lt;&gt;1,"",IF(I4941="SBJ","CB","?"))</f>
        <v> </v>
      </c>
      <c r="I4941" s="25" t="str">
        <f>IF(OR(E4941="",E4941="!!!",F4941="NEW"),"",INDEX(B4940:B$2,-1+SUMPRODUCT(MAX(ROW(E4940:E$2)*(E4941=E4940:E$2)))))</f>
        <v> </v>
      </c>
      <c r="J4941" s="25" t="str">
        <f>IF(OR(E4941="",E4941="!!!",F4941="NEW"),"",COUNTBLANK(OFFSET(A$1,,,SUMPRODUCT(MAX(ROW(E$2:E4941)*(E4941=E$2:E4941)))))-COUNTBLANK(OFFSET(A$1,,,SUMPRODUCT(MAX(ROW(E$1:E4940)*(E2=E$1:E4940))))))</f>
        <v> </v>
      </c>
      <c r="K4941" s="25" t="str">
        <f>IF(OR(E4941="",E4941="!!!",F4941="NEW"),"",INDEX(J$1:J4940,SUMPRODUCT(MAX(ROW(E$1:E4940)*(E4941=E$1:E4940)))))</f>
        <v> </v>
      </c>
      <c r="L4941" s="26"/>
    </row>
    <row r="4942" spans="1:12">
      <c r="A4942" s="20" t="s">
        <v>1167</v>
      </c>
      <c r="E4942" s="21">
        <f>IF(D4942="?OLD","!!!","")</f>
        <v/>
      </c>
      <c r="F4942" s="22" t="str">
        <f>IF(OR(E4942="",E4942="!!!"),"",IF(NOT(ISNA(VLOOKUP(E4942,E$1:E4941,1,FALSE()))),"OLD",IF(AND(E4942&lt;&gt;"",E4942&lt;&gt;"!!!"),"NEW","")))</f>
        <v> </v>
      </c>
      <c r="G4942" s="23" t="str">
        <f>IF(OR(E4942="",E4942="!!!"),"",IF(OR(J4942=0,AND(J4942=1,K4942=1),AND(J4942=1,I4942="SBJ"),AND(J4942=1,I4942=0)),"?IN_FOCUS",IF(J4942&lt;=2,"?ACTIVATED",IF(J4942&lt;&gt;"","?FAMILIAR",IF(F4942="NEW",IF(ISNA(VLOOKUP(E4942,#REF!,1,FALSE())),"?TYPE_IDENTIFIABLE","?REFERENTIAL"),"_")))))</f>
        <v> </v>
      </c>
      <c r="H4942" s="24" t="str">
        <f>IF(J4942&lt;&gt;1,"",IF(I4942="SBJ","CB","?"))</f>
        <v> </v>
      </c>
      <c r="I4942" s="25" t="str">
        <f>IF(OR(E4942="",E4942="!!!",F4942="NEW"),"",INDEX(B4941:B$2,-1+SUMPRODUCT(MAX(ROW(E4941:E$2)*(E4942=E4941:E$2)))))</f>
        <v> </v>
      </c>
      <c r="J4942" s="25" t="str">
        <f>IF(OR(E4942="",E4942="!!!",F4942="NEW"),"",COUNTBLANK(OFFSET(A$1,,,SUMPRODUCT(MAX(ROW(E$2:E4942)*(E4942=E$2:E4942)))))-COUNTBLANK(OFFSET(A$1,,,SUMPRODUCT(MAX(ROW(E$1:E4941)*(E2=E$1:E4941))))))</f>
        <v> </v>
      </c>
      <c r="K4942" s="25" t="str">
        <f>IF(OR(E4942="",E4942="!!!",F4942="NEW"),"",INDEX(J$1:J4941,SUMPRODUCT(MAX(ROW(E$1:E4941)*(E4942=E$1:E4941)))))</f>
        <v> </v>
      </c>
      <c r="L4942" s="26"/>
    </row>
    <row r="4943" spans="1:12">
      <c r="A4943" s="20" t="s">
        <v>1299</v>
      </c>
      <c r="E4943" s="21">
        <f>IF(D4943="?OLD","!!!","")</f>
        <v/>
      </c>
      <c r="F4943" s="22" t="str">
        <f>IF(OR(E4943="",E4943="!!!"),"",IF(NOT(ISNA(VLOOKUP(E4943,E$1:E4942,1,FALSE()))),"OLD",IF(AND(E4943&lt;&gt;"",E4943&lt;&gt;"!!!"),"NEW","")))</f>
        <v> </v>
      </c>
      <c r="G4943" s="23" t="str">
        <f>IF(OR(E4943="",E4943="!!!"),"",IF(OR(J4943=0,AND(J4943=1,K4943=1),AND(J4943=1,I4943="SBJ"),AND(J4943=1,I4943=0)),"?IN_FOCUS",IF(J4943&lt;=2,"?ACTIVATED",IF(J4943&lt;&gt;"","?FAMILIAR",IF(F4943="NEW",IF(ISNA(VLOOKUP(E4943,#REF!,1,FALSE())),"?TYPE_IDENTIFIABLE","?REFERENTIAL"),"_")))))</f>
        <v> </v>
      </c>
      <c r="H4943" s="24" t="str">
        <f>IF(J4943&lt;&gt;1,"",IF(I4943="SBJ","CB","?"))</f>
        <v> </v>
      </c>
      <c r="I4943" s="25" t="str">
        <f>IF(OR(E4943="",E4943="!!!",F4943="NEW"),"",INDEX(B4942:B$2,-1+SUMPRODUCT(MAX(ROW(E4942:E$2)*(E4943=E4942:E$2)))))</f>
        <v> </v>
      </c>
      <c r="J4943" s="25" t="str">
        <f>IF(OR(E4943="",E4943="!!!",F4943="NEW"),"",COUNTBLANK(OFFSET(A$1,,,SUMPRODUCT(MAX(ROW(E$2:E4943)*(E4943=E$2:E4943)))))-COUNTBLANK(OFFSET(A$1,,,SUMPRODUCT(MAX(ROW(E$1:E4942)*(E2=E$1:E4942))))))</f>
        <v> </v>
      </c>
      <c r="K4943" s="25" t="str">
        <f>IF(OR(E4943="",E4943="!!!",F4943="NEW"),"",INDEX(J$1:J4942,SUMPRODUCT(MAX(ROW(E$1:E4942)*(E4943=E$1:E4942)))))</f>
        <v> </v>
      </c>
      <c r="L4943" s="26"/>
    </row>
    <row r="4944" spans="1:12">
      <c r="A4944" s="20" t="s">
        <v>1130</v>
      </c>
      <c r="B4944" s="27" t="s">
        <v>1067</v>
      </c>
      <c r="C4944" s="27" t="s">
        <v>1077</v>
      </c>
      <c r="E4944" s="21">
        <f>IF(D4944="?OLD","!!!","")</f>
        <v/>
      </c>
      <c r="F4944" s="22" t="str">
        <f>IF(OR(E4944="",E4944="!!!"),"",IF(NOT(ISNA(VLOOKUP(E4944,E$1:E4943,1,FALSE()))),"OLD",IF(AND(E4944&lt;&gt;"",E4944&lt;&gt;"!!!"),"NEW","")))</f>
        <v> </v>
      </c>
      <c r="G4944" s="23" t="str">
        <f>IF(OR(E4944="",E4944="!!!"),"",IF(OR(J4944=0,AND(J4944=1,K4944=1),AND(J4944=1,I4944="SBJ"),AND(J4944=1,I4944=0)),"?IN_FOCUS",IF(J4944&lt;=2,"?ACTIVATED",IF(J4944&lt;&gt;"","?FAMILIAR",IF(F4944="NEW",IF(ISNA(VLOOKUP(E4944,#REF!,1,FALSE())),"?TYPE_IDENTIFIABLE","?REFERENTIAL"),"_")))))</f>
        <v> </v>
      </c>
      <c r="H4944" s="24" t="str">
        <f>IF(J4944&lt;&gt;1,"",IF(I4944="SBJ","CB","?"))</f>
        <v> </v>
      </c>
      <c r="I4944" s="25" t="str">
        <f>IF(OR(E4944="",E4944="!!!",F4944="NEW"),"",INDEX(B4943:B$2,-1+SUMPRODUCT(MAX(ROW(E4943:E$2)*(E4944=E4943:E$2)))))</f>
        <v> </v>
      </c>
      <c r="J4944" s="25" t="str">
        <f>IF(OR(E4944="",E4944="!!!",F4944="NEW"),"",COUNTBLANK(OFFSET(A$1,,,SUMPRODUCT(MAX(ROW(E$2:E4944)*(E4944=E$2:E4944)))))-COUNTBLANK(OFFSET(A$1,,,SUMPRODUCT(MAX(ROW(E$1:E4943)*(E2=E$1:E4943))))))</f>
        <v> </v>
      </c>
      <c r="K4944" s="25" t="str">
        <f>IF(OR(E4944="",E4944="!!!",F4944="NEW"),"",INDEX(J$1:J4943,SUMPRODUCT(MAX(ROW(E$1:E4943)*(E4944=E$1:E4943)))))</f>
        <v> </v>
      </c>
      <c r="L4944" s="26"/>
    </row>
    <row r="4945" spans="1:12">
      <c r="A4945" s="20" t="s">
        <v>1224</v>
      </c>
      <c r="E4945" s="21">
        <f>IF(D4945="?OLD","!!!","")</f>
        <v/>
      </c>
      <c r="F4945" s="22" t="str">
        <f>IF(OR(E4945="",E4945="!!!"),"",IF(NOT(ISNA(VLOOKUP(E4945,E$1:E4944,1,FALSE()))),"OLD",IF(AND(E4945&lt;&gt;"",E4945&lt;&gt;"!!!"),"NEW","")))</f>
        <v> </v>
      </c>
      <c r="G4945" s="23" t="str">
        <f>IF(OR(E4945="",E4945="!!!"),"",IF(OR(J4945=0,AND(J4945=1,K4945=1),AND(J4945=1,I4945="SBJ"),AND(J4945=1,I4945=0)),"?IN_FOCUS",IF(J4945&lt;=2,"?ACTIVATED",IF(J4945&lt;&gt;"","?FAMILIAR",IF(F4945="NEW",IF(ISNA(VLOOKUP(E4945,#REF!,1,FALSE())),"?TYPE_IDENTIFIABLE","?REFERENTIAL"),"_")))))</f>
        <v> </v>
      </c>
      <c r="H4945" s="24" t="str">
        <f>IF(J4945&lt;&gt;1,"",IF(I4945="SBJ","CB","?"))</f>
        <v> </v>
      </c>
      <c r="I4945" s="25" t="str">
        <f>IF(OR(E4945="",E4945="!!!",F4945="NEW"),"",INDEX(B4944:B$2,-1+SUMPRODUCT(MAX(ROW(E4944:E$2)*(E4945=E4944:E$2)))))</f>
        <v> </v>
      </c>
      <c r="J4945" s="25" t="str">
        <f>IF(OR(E4945="",E4945="!!!",F4945="NEW"),"",COUNTBLANK(OFFSET(A$1,,,SUMPRODUCT(MAX(ROW(E$2:E4945)*(E4945=E$2:E4945)))))-COUNTBLANK(OFFSET(A$1,,,SUMPRODUCT(MAX(ROW(E$1:E4944)*(E2=E$1:E4944))))))</f>
        <v> </v>
      </c>
      <c r="K4945" s="25" t="str">
        <f>IF(OR(E4945="",E4945="!!!",F4945="NEW"),"",INDEX(J$1:J4944,SUMPRODUCT(MAX(ROW(E$1:E4944)*(E4945=E$1:E4944)))))</f>
        <v> </v>
      </c>
      <c r="L4945" s="26"/>
    </row>
    <row r="4946" spans="1:12">
      <c r="A4946" s="20" t="s">
        <v>1097</v>
      </c>
      <c r="E4946" s="21">
        <f>IF(D4946="?OLD","!!!","")</f>
        <v/>
      </c>
      <c r="F4946" s="22" t="str">
        <f>IF(OR(E4946="",E4946="!!!"),"",IF(NOT(ISNA(VLOOKUP(E4946,E$1:E4945,1,FALSE()))),"OLD",IF(AND(E4946&lt;&gt;"",E4946&lt;&gt;"!!!"),"NEW","")))</f>
        <v> </v>
      </c>
      <c r="G4946" s="23" t="str">
        <f>IF(OR(E4946="",E4946="!!!"),"",IF(OR(J4946=0,AND(J4946=1,K4946=1),AND(J4946=1,I4946="SBJ"),AND(J4946=1,I4946=0)),"?IN_FOCUS",IF(J4946&lt;=2,"?ACTIVATED",IF(J4946&lt;&gt;"","?FAMILIAR",IF(F4946="NEW",IF(ISNA(VLOOKUP(E4946,#REF!,1,FALSE())),"?TYPE_IDENTIFIABLE","?REFERENTIAL"),"_")))))</f>
        <v> </v>
      </c>
      <c r="H4946" s="24" t="str">
        <f>IF(J4946&lt;&gt;1,"",IF(I4946="SBJ","CB","?"))</f>
        <v> </v>
      </c>
      <c r="I4946" s="25" t="str">
        <f>IF(OR(E4946="",E4946="!!!",F4946="NEW"),"",INDEX(B4945:B$2,-1+SUMPRODUCT(MAX(ROW(E4945:E$2)*(E4946=E4945:E$2)))))</f>
        <v> </v>
      </c>
      <c r="J4946" s="25" t="str">
        <f>IF(OR(E4946="",E4946="!!!",F4946="NEW"),"",COUNTBLANK(OFFSET(A$1,,,SUMPRODUCT(MAX(ROW(E$2:E4946)*(E4946=E$2:E4946)))))-COUNTBLANK(OFFSET(A$1,,,SUMPRODUCT(MAX(ROW(E$1:E4945)*(E2=E$1:E4945))))))</f>
        <v> </v>
      </c>
      <c r="K4946" s="25" t="str">
        <f>IF(OR(E4946="",E4946="!!!",F4946="NEW"),"",INDEX(J$1:J4945,SUMPRODUCT(MAX(ROW(E$1:E4945)*(E4946=E$1:E4945)))))</f>
        <v> </v>
      </c>
      <c r="L4946" s="26"/>
    </row>
    <row r="4947" spans="1:12">
      <c r="A4947" s="20" t="s">
        <v>256</v>
      </c>
      <c r="E4947" s="21">
        <f>IF(D4947="?OLD","!!!","")</f>
        <v/>
      </c>
      <c r="F4947" s="22" t="str">
        <f>IF(OR(E4947="",E4947="!!!"),"",IF(NOT(ISNA(VLOOKUP(E4947,E$1:E4946,1,FALSE()))),"OLD",IF(AND(E4947&lt;&gt;"",E4947&lt;&gt;"!!!"),"NEW","")))</f>
        <v> </v>
      </c>
      <c r="G4947" s="23" t="str">
        <f>IF(OR(E4947="",E4947="!!!"),"",IF(OR(J4947=0,AND(J4947=1,K4947=1),AND(J4947=1,I4947="SBJ"),AND(J4947=1,I4947=0)),"?IN_FOCUS",IF(J4947&lt;=2,"?ACTIVATED",IF(J4947&lt;&gt;"","?FAMILIAR",IF(F4947="NEW",IF(ISNA(VLOOKUP(E4947,#REF!,1,FALSE())),"?TYPE_IDENTIFIABLE","?REFERENTIAL"),"_")))))</f>
        <v> </v>
      </c>
      <c r="H4947" s="24" t="str">
        <f>IF(J4947&lt;&gt;1,"",IF(I4947="SBJ","CB","?"))</f>
        <v> </v>
      </c>
      <c r="I4947" s="25" t="str">
        <f>IF(OR(E4947="",E4947="!!!",F4947="NEW"),"",INDEX(B4946:B$2,-1+SUMPRODUCT(MAX(ROW(E4946:E$2)*(E4947=E4946:E$2)))))</f>
        <v> </v>
      </c>
      <c r="J4947" s="25" t="str">
        <f>IF(OR(E4947="",E4947="!!!",F4947="NEW"),"",COUNTBLANK(OFFSET(A$1,,,SUMPRODUCT(MAX(ROW(E$2:E4947)*(E4947=E$2:E4947)))))-COUNTBLANK(OFFSET(A$1,,,SUMPRODUCT(MAX(ROW(E$1:E4946)*(E2=E$1:E4946))))))</f>
        <v> </v>
      </c>
      <c r="K4947" s="25" t="str">
        <f>IF(OR(E4947="",E4947="!!!",F4947="NEW"),"",INDEX(J$1:J4946,SUMPRODUCT(MAX(ROW(E$1:E4946)*(E4947=E$1:E4946)))))</f>
        <v> </v>
      </c>
      <c r="L4947" s="26"/>
    </row>
    <row r="4948" spans="1:12">
      <c r="A4948" s="20" t="s">
        <v>1248</v>
      </c>
      <c r="B4948" s="27" t="s">
        <v>1074</v>
      </c>
      <c r="C4948" s="27" t="s">
        <v>1086</v>
      </c>
      <c r="D4948" s="27" t="s">
        <v>1069</v>
      </c>
      <c r="E4948" s="21">
        <f>IF(D4948="?OLD","!!!","")</f>
        <v/>
      </c>
      <c r="F4948" s="22" t="str">
        <f>IF(OR(E4948="",E4948="!!!"),"",IF(NOT(ISNA(VLOOKUP(E4948,E$1:E4947,1,FALSE()))),"OLD",IF(AND(E4948&lt;&gt;"",E4948&lt;&gt;"!!!"),"NEW","")))</f>
        <v> </v>
      </c>
      <c r="G4948" s="23" t="str">
        <f>IF(OR(E4948="",E4948="!!!"),"",IF(OR(J4948=0,AND(J4948=1,K4948=1),AND(J4948=1,I4948="SBJ"),AND(J4948=1,I4948=0)),"?IN_FOCUS",IF(J4948&lt;=2,"?ACTIVATED",IF(J4948&lt;&gt;"","?FAMILIAR",IF(F4948="NEW",IF(ISNA(VLOOKUP(E4948,#REF!,1,FALSE())),"?TYPE_IDENTIFIABLE","?REFERENTIAL"),"_")))))</f>
        <v> </v>
      </c>
      <c r="H4948" s="24" t="str">
        <f>IF(J4948&lt;&gt;1,"",IF(I4948="SBJ","CB","?"))</f>
        <v> </v>
      </c>
      <c r="I4948" s="25" t="str">
        <f>IF(OR(E4948="",E4948="!!!",F4948="NEW"),"",INDEX(B4947:B$2,-1+SUMPRODUCT(MAX(ROW(E4947:E$2)*(E4948=E4947:E$2)))))</f>
        <v> </v>
      </c>
      <c r="J4948" s="25" t="str">
        <f>IF(OR(E4948="",E4948="!!!",F4948="NEW"),"",COUNTBLANK(OFFSET(A$1,,,SUMPRODUCT(MAX(ROW(E$2:E4948)*(E4948=E$2:E4948)))))-COUNTBLANK(OFFSET(A$1,,,SUMPRODUCT(MAX(ROW(E$1:E4947)*(E2=E$1:E4947))))))</f>
        <v> </v>
      </c>
      <c r="K4948" s="25" t="str">
        <f>IF(OR(E4948="",E4948="!!!",F4948="NEW"),"",INDEX(J$1:J4947,SUMPRODUCT(MAX(ROW(E$1:E4947)*(E4948=E$1:E4947)))))</f>
        <v> </v>
      </c>
      <c r="L4948" s="26"/>
    </row>
    <row r="4949" spans="1:12">
      <c r="A4949" s="20" t="s">
        <v>1087</v>
      </c>
      <c r="E4949" s="21">
        <f>IF(D4949="?OLD","!!!","")</f>
        <v/>
      </c>
      <c r="F4949" s="22" t="str">
        <f>IF(OR(E4949="",E4949="!!!"),"",IF(NOT(ISNA(VLOOKUP(E4949,E$1:E4948,1,FALSE()))),"OLD",IF(AND(E4949&lt;&gt;"",E4949&lt;&gt;"!!!"),"NEW","")))</f>
        <v> </v>
      </c>
      <c r="G4949" s="23" t="str">
        <f>IF(OR(E4949="",E4949="!!!"),"",IF(OR(J4949=0,AND(J4949=1,K4949=1),AND(J4949=1,I4949="SBJ"),AND(J4949=1,I4949=0)),"?IN_FOCUS",IF(J4949&lt;=2,"?ACTIVATED",IF(J4949&lt;&gt;"","?FAMILIAR",IF(F4949="NEW",IF(ISNA(VLOOKUP(E4949,#REF!,1,FALSE())),"?TYPE_IDENTIFIABLE","?REFERENTIAL"),"_")))))</f>
        <v> </v>
      </c>
      <c r="H4949" s="24" t="str">
        <f>IF(J4949&lt;&gt;1,"",IF(I4949="SBJ","CB","?"))</f>
        <v> </v>
      </c>
      <c r="I4949" s="25" t="str">
        <f>IF(OR(E4949="",E4949="!!!",F4949="NEW"),"",INDEX(B4948:B$2,-1+SUMPRODUCT(MAX(ROW(E4948:E$2)*(E4949=E4948:E$2)))))</f>
        <v> </v>
      </c>
      <c r="J4949" s="25" t="str">
        <f>IF(OR(E4949="",E4949="!!!",F4949="NEW"),"",COUNTBLANK(OFFSET(A$1,,,SUMPRODUCT(MAX(ROW(E$2:E4949)*(E4949=E$2:E4949)))))-COUNTBLANK(OFFSET(A$1,,,SUMPRODUCT(MAX(ROW(E$1:E4948)*(E2=E$1:E4948))))))</f>
        <v> </v>
      </c>
      <c r="K4949" s="25" t="str">
        <f>IF(OR(E4949="",E4949="!!!",F4949="NEW"),"",INDEX(J$1:J4948,SUMPRODUCT(MAX(ROW(E$1:E4948)*(E4949=E$1:E4948)))))</f>
        <v> </v>
      </c>
      <c r="L4949" s="26"/>
    </row>
    <row r="4950" spans="1:12">
      <c r="A4950" s="20" t="s">
        <v>1104</v>
      </c>
      <c r="B4950" s="27" t="s">
        <v>1133</v>
      </c>
      <c r="E4950" s="21">
        <f>IF(D4950="?OLD","!!!","")</f>
        <v/>
      </c>
      <c r="F4950" s="22" t="str">
        <f>IF(OR(E4950="",E4950="!!!"),"",IF(NOT(ISNA(VLOOKUP(E4950,E$1:E4949,1,FALSE()))),"OLD",IF(AND(E4950&lt;&gt;"",E4950&lt;&gt;"!!!"),"NEW","")))</f>
        <v> </v>
      </c>
      <c r="G4950" s="23" t="str">
        <f>IF(OR(E4950="",E4950="!!!"),"",IF(OR(J4950=0,AND(J4950=1,K4950=1),AND(J4950=1,I4950="SBJ"),AND(J4950=1,I4950=0)),"?IN_FOCUS",IF(J4950&lt;=2,"?ACTIVATED",IF(J4950&lt;&gt;"","?FAMILIAR",IF(F4950="NEW",IF(ISNA(VLOOKUP(E4950,#REF!,1,FALSE())),"?TYPE_IDENTIFIABLE","?REFERENTIAL"),"_")))))</f>
        <v> </v>
      </c>
      <c r="H4950" s="24" t="str">
        <f>IF(J4950&lt;&gt;1,"",IF(I4950="SBJ","CB","?"))</f>
        <v> </v>
      </c>
      <c r="I4950" s="25" t="str">
        <f>IF(OR(E4950="",E4950="!!!",F4950="NEW"),"",INDEX(B4949:B$2,-1+SUMPRODUCT(MAX(ROW(E4949:E$2)*(E4950=E4949:E$2)))))</f>
        <v> </v>
      </c>
      <c r="J4950" s="25" t="str">
        <f>IF(OR(E4950="",E4950="!!!",F4950="NEW"),"",COUNTBLANK(OFFSET(A$1,,,SUMPRODUCT(MAX(ROW(E$2:E4950)*(E4950=E$2:E4950)))))-COUNTBLANK(OFFSET(A$1,,,SUMPRODUCT(MAX(ROW(E$1:E4949)*(E2=E$1:E4949))))))</f>
        <v> </v>
      </c>
      <c r="K4950" s="25" t="str">
        <f>IF(OR(E4950="",E4950="!!!",F4950="NEW"),"",INDEX(J$1:J4949,SUMPRODUCT(MAX(ROW(E$1:E4949)*(E4950=E$1:E4949)))))</f>
        <v> </v>
      </c>
      <c r="L4950" s="26"/>
    </row>
    <row r="4951" spans="1:12">
      <c r="A4951" s="20" t="s">
        <v>1089</v>
      </c>
      <c r="B4951" s="27" t="s">
        <v>1106</v>
      </c>
      <c r="E4951" s="21">
        <f>IF(D4951="?OLD","!!!","")</f>
        <v/>
      </c>
      <c r="F4951" s="22" t="str">
        <f>IF(OR(E4951="",E4951="!!!"),"",IF(NOT(ISNA(VLOOKUP(E4951,E$1:E4950,1,FALSE()))),"OLD",IF(AND(E4951&lt;&gt;"",E4951&lt;&gt;"!!!"),"NEW","")))</f>
        <v> </v>
      </c>
      <c r="G4951" s="23" t="str">
        <f>IF(OR(E4951="",E4951="!!!"),"",IF(OR(J4951=0,AND(J4951=1,K4951=1),AND(J4951=1,I4951="SBJ"),AND(J4951=1,I4951=0)),"?IN_FOCUS",IF(J4951&lt;=2,"?ACTIVATED",IF(J4951&lt;&gt;"","?FAMILIAR",IF(F4951="NEW",IF(ISNA(VLOOKUP(E4951,#REF!,1,FALSE())),"?TYPE_IDENTIFIABLE","?REFERENTIAL"),"_")))))</f>
        <v> </v>
      </c>
      <c r="H4951" s="24" t="str">
        <f>IF(J4951&lt;&gt;1,"",IF(I4951="SBJ","CB","?"))</f>
        <v> </v>
      </c>
      <c r="I4951" s="25" t="str">
        <f>IF(OR(E4951="",E4951="!!!",F4951="NEW"),"",INDEX(B4950:B$2,-1+SUMPRODUCT(MAX(ROW(E4950:E$2)*(E4951=E4950:E$2)))))</f>
        <v> </v>
      </c>
      <c r="J4951" s="25" t="str">
        <f>IF(OR(E4951="",E4951="!!!",F4951="NEW"),"",COUNTBLANK(OFFSET(A$1,,,SUMPRODUCT(MAX(ROW(E$2:E4951)*(E4951=E$2:E4951)))))-COUNTBLANK(OFFSET(A$1,,,SUMPRODUCT(MAX(ROW(E$1:E4950)*(E2=E$1:E4950))))))</f>
        <v> </v>
      </c>
      <c r="K4951" s="25" t="str">
        <f>IF(OR(E4951="",E4951="!!!",F4951="NEW"),"",INDEX(J$1:J4950,SUMPRODUCT(MAX(ROW(E$1:E4950)*(E4951=E$1:E4950)))))</f>
        <v> </v>
      </c>
      <c r="L4951" s="26"/>
    </row>
    <row r="4952" spans="1:12">
      <c r="A4952" s="20" t="s">
        <v>2491</v>
      </c>
      <c r="B4952" s="27" t="s">
        <v>1133</v>
      </c>
      <c r="C4952" s="27" t="s">
        <v>1134</v>
      </c>
      <c r="D4952" s="27" t="s">
        <v>1069</v>
      </c>
      <c r="E4952" s="21">
        <f>IF(D4952="?OLD","!!!","")</f>
        <v/>
      </c>
      <c r="F4952" s="22" t="str">
        <f>IF(OR(E4952="",E4952="!!!"),"",IF(NOT(ISNA(VLOOKUP(E4952,E$1:E4951,1,FALSE()))),"OLD",IF(AND(E4952&lt;&gt;"",E4952&lt;&gt;"!!!"),"NEW","")))</f>
        <v> </v>
      </c>
      <c r="G4952" s="23" t="str">
        <f>IF(OR(E4952="",E4952="!!!"),"",IF(OR(J4952=0,AND(J4952=1,K4952=1),AND(J4952=1,I4952="SBJ"),AND(J4952=1,I4952=0)),"?IN_FOCUS",IF(J4952&lt;=2,"?ACTIVATED",IF(J4952&lt;&gt;"","?FAMILIAR",IF(F4952="NEW",IF(ISNA(VLOOKUP(E4952,#REF!,1,FALSE())),"?TYPE_IDENTIFIABLE","?REFERENTIAL"),"_")))))</f>
        <v> </v>
      </c>
      <c r="H4952" s="24" t="str">
        <f>IF(J4952&lt;&gt;1,"",IF(I4952="SBJ","CB","?"))</f>
        <v> </v>
      </c>
      <c r="I4952" s="25" t="str">
        <f>IF(OR(E4952="",E4952="!!!",F4952="NEW"),"",INDEX(B4951:B$2,-1+SUMPRODUCT(MAX(ROW(E4951:E$2)*(E4952=E4951:E$2)))))</f>
        <v> </v>
      </c>
      <c r="J4952" s="25" t="str">
        <f>IF(OR(E4952="",E4952="!!!",F4952="NEW"),"",COUNTBLANK(OFFSET(A$1,,,SUMPRODUCT(MAX(ROW(E$2:E4952)*(E4952=E$2:E4952)))))-COUNTBLANK(OFFSET(A$1,,,SUMPRODUCT(MAX(ROW(E$1:E4951)*(E2=E$1:E4951))))))</f>
        <v> </v>
      </c>
      <c r="K4952" s="25" t="str">
        <f>IF(OR(E4952="",E4952="!!!",F4952="NEW"),"",INDEX(J$1:J4951,SUMPRODUCT(MAX(ROW(E$1:E4951)*(E4952=E$1:E4951)))))</f>
        <v> </v>
      </c>
      <c r="L4952" s="26"/>
    </row>
    <row r="4953" spans="1:12">
      <c r="A4953" s="20" t="s">
        <v>169</v>
      </c>
      <c r="E4953" s="21">
        <f>IF(D4953="?OLD","!!!","")</f>
        <v/>
      </c>
      <c r="F4953" s="22" t="str">
        <f>IF(OR(E4953="",E4953="!!!"),"",IF(NOT(ISNA(VLOOKUP(E4953,E$1:E4952,1,FALSE()))),"OLD",IF(AND(E4953&lt;&gt;"",E4953&lt;&gt;"!!!"),"NEW","")))</f>
        <v> </v>
      </c>
      <c r="G4953" s="23" t="str">
        <f>IF(OR(E4953="",E4953="!!!"),"",IF(OR(J4953=0,AND(J4953=1,K4953=1),AND(J4953=1,I4953="SBJ"),AND(J4953=1,I4953=0)),"?IN_FOCUS",IF(J4953&lt;=2,"?ACTIVATED",IF(J4953&lt;&gt;"","?FAMILIAR",IF(F4953="NEW",IF(ISNA(VLOOKUP(E4953,#REF!,1,FALSE())),"?TYPE_IDENTIFIABLE","?REFERENTIAL"),"_")))))</f>
        <v> </v>
      </c>
      <c r="H4953" s="24" t="str">
        <f>IF(J4953&lt;&gt;1,"",IF(I4953="SBJ","CB","?"))</f>
        <v> </v>
      </c>
      <c r="I4953" s="25" t="str">
        <f>IF(OR(E4953="",E4953="!!!",F4953="NEW"),"",INDEX(B4952:B$2,-1+SUMPRODUCT(MAX(ROW(E4952:E$2)*(E4953=E4952:E$2)))))</f>
        <v> </v>
      </c>
      <c r="J4953" s="25" t="str">
        <f>IF(OR(E4953="",E4953="!!!",F4953="NEW"),"",COUNTBLANK(OFFSET(A$1,,,SUMPRODUCT(MAX(ROW(E$2:E4953)*(E4953=E$2:E4953)))))-COUNTBLANK(OFFSET(A$1,,,SUMPRODUCT(MAX(ROW(E$1:E4952)*(E2=E$1:E4952))))))</f>
        <v> </v>
      </c>
      <c r="K4953" s="25" t="str">
        <f>IF(OR(E4953="",E4953="!!!",F4953="NEW"),"",INDEX(J$1:J4952,SUMPRODUCT(MAX(ROW(E$1:E4952)*(E4953=E$1:E4952)))))</f>
        <v> </v>
      </c>
      <c r="L4953" s="26"/>
    </row>
    <row r="4954" spans="1:12">
      <c r="A4954" s="20" t="s">
        <v>1078</v>
      </c>
      <c r="E4954" s="21">
        <f>IF(D4954="?OLD","!!!","")</f>
        <v/>
      </c>
      <c r="F4954" s="22" t="str">
        <f>IF(OR(E4954="",E4954="!!!"),"",IF(NOT(ISNA(VLOOKUP(E4954,E$1:E4953,1,FALSE()))),"OLD",IF(AND(E4954&lt;&gt;"",E4954&lt;&gt;"!!!"),"NEW","")))</f>
        <v> </v>
      </c>
      <c r="G4954" s="23" t="str">
        <f>IF(OR(E4954="",E4954="!!!"),"",IF(OR(J4954=0,AND(J4954=1,K4954=1),AND(J4954=1,I4954="SBJ"),AND(J4954=1,I4954=0)),"?IN_FOCUS",IF(J4954&lt;=2,"?ACTIVATED",IF(J4954&lt;&gt;"","?FAMILIAR",IF(F4954="NEW",IF(ISNA(VLOOKUP(E4954,#REF!,1,FALSE())),"?TYPE_IDENTIFIABLE","?REFERENTIAL"),"_")))))</f>
        <v> </v>
      </c>
      <c r="H4954" s="24" t="str">
        <f>IF(J4954&lt;&gt;1,"",IF(I4954="SBJ","CB","?"))</f>
        <v> </v>
      </c>
      <c r="I4954" s="25" t="str">
        <f>IF(OR(E4954="",E4954="!!!",F4954="NEW"),"",INDEX(B4953:B$2,-1+SUMPRODUCT(MAX(ROW(E4953:E$2)*(E4954=E4953:E$2)))))</f>
        <v> </v>
      </c>
      <c r="J4954" s="25" t="str">
        <f>IF(OR(E4954="",E4954="!!!",F4954="NEW"),"",COUNTBLANK(OFFSET(A$1,,,SUMPRODUCT(MAX(ROW(E$2:E4954)*(E4954=E$2:E4954)))))-COUNTBLANK(OFFSET(A$1,,,SUMPRODUCT(MAX(ROW(E$1:E4953)*(E2=E$1:E4953))))))</f>
        <v> </v>
      </c>
      <c r="K4954" s="25" t="str">
        <f>IF(OR(E4954="",E4954="!!!",F4954="NEW"),"",INDEX(J$1:J4953,SUMPRODUCT(MAX(ROW(E$1:E4953)*(E4954=E$1:E4953)))))</f>
        <v> </v>
      </c>
      <c r="L4954" s="26"/>
    </row>
    <row r="4955" spans="1:12">
      <c r="A4955" s="20" t="s">
        <v>121</v>
      </c>
      <c r="E4955" s="21">
        <f>IF(D4955="?OLD","!!!","")</f>
        <v/>
      </c>
      <c r="F4955" s="22" t="str">
        <f>IF(OR(E4955="",E4955="!!!"),"",IF(NOT(ISNA(VLOOKUP(E4955,E$1:E4954,1,FALSE()))),"OLD",IF(AND(E4955&lt;&gt;"",E4955&lt;&gt;"!!!"),"NEW","")))</f>
        <v> </v>
      </c>
      <c r="G4955" s="23" t="str">
        <f>IF(OR(E4955="",E4955="!!!"),"",IF(OR(J4955=0,AND(J4955=1,K4955=1),AND(J4955=1,I4955="SBJ"),AND(J4955=1,I4955=0)),"?IN_FOCUS",IF(J4955&lt;=2,"?ACTIVATED",IF(J4955&lt;&gt;"","?FAMILIAR",IF(F4955="NEW",IF(ISNA(VLOOKUP(E4955,#REF!,1,FALSE())),"?TYPE_IDENTIFIABLE","?REFERENTIAL"),"_")))))</f>
        <v> </v>
      </c>
      <c r="H4955" s="24" t="str">
        <f>IF(J4955&lt;&gt;1,"",IF(I4955="SBJ","CB","?"))</f>
        <v> </v>
      </c>
      <c r="I4955" s="25" t="str">
        <f>IF(OR(E4955="",E4955="!!!",F4955="NEW"),"",INDEX(B4954:B$2,-1+SUMPRODUCT(MAX(ROW(E4954:E$2)*(E4955=E4954:E$2)))))</f>
        <v> </v>
      </c>
      <c r="J4955" s="25" t="str">
        <f>IF(OR(E4955="",E4955="!!!",F4955="NEW"),"",COUNTBLANK(OFFSET(A$1,,,SUMPRODUCT(MAX(ROW(E$2:E4955)*(E4955=E$2:E4955)))))-COUNTBLANK(OFFSET(A$1,,,SUMPRODUCT(MAX(ROW(E$1:E4954)*(E2=E$1:E4954))))))</f>
        <v> </v>
      </c>
      <c r="K4955" s="25" t="str">
        <f>IF(OR(E4955="",E4955="!!!",F4955="NEW"),"",INDEX(J$1:J4954,SUMPRODUCT(MAX(ROW(E$1:E4954)*(E4955=E$1:E4954)))))</f>
        <v> </v>
      </c>
      <c r="L4955" s="26"/>
    </row>
    <row r="4956" spans="1:12">
      <c r="A4956" s="20" t="s">
        <v>1087</v>
      </c>
      <c r="E4956" s="21">
        <f>IF(D4956="?OLD","!!!","")</f>
        <v/>
      </c>
      <c r="F4956" s="22" t="str">
        <f>IF(OR(E4956="",E4956="!!!"),"",IF(NOT(ISNA(VLOOKUP(E4956,E$1:E4955,1,FALSE()))),"OLD",IF(AND(E4956&lt;&gt;"",E4956&lt;&gt;"!!!"),"NEW","")))</f>
        <v> </v>
      </c>
      <c r="G4956" s="23" t="str">
        <f>IF(OR(E4956="",E4956="!!!"),"",IF(OR(J4956=0,AND(J4956=1,K4956=1),AND(J4956=1,I4956="SBJ"),AND(J4956=1,I4956=0)),"?IN_FOCUS",IF(J4956&lt;=2,"?ACTIVATED",IF(J4956&lt;&gt;"","?FAMILIAR",IF(F4956="NEW",IF(ISNA(VLOOKUP(E4956,#REF!,1,FALSE())),"?TYPE_IDENTIFIABLE","?REFERENTIAL"),"_")))))</f>
        <v> </v>
      </c>
      <c r="H4956" s="24" t="str">
        <f>IF(J4956&lt;&gt;1,"",IF(I4956="SBJ","CB","?"))</f>
        <v> </v>
      </c>
      <c r="I4956" s="25" t="str">
        <f>IF(OR(E4956="",E4956="!!!",F4956="NEW"),"",INDEX(B4955:B$2,-1+SUMPRODUCT(MAX(ROW(E4955:E$2)*(E4956=E4955:E$2)))))</f>
        <v> </v>
      </c>
      <c r="J4956" s="25" t="str">
        <f>IF(OR(E4956="",E4956="!!!",F4956="NEW"),"",COUNTBLANK(OFFSET(A$1,,,SUMPRODUCT(MAX(ROW(E$2:E4956)*(E4956=E$2:E4956)))))-COUNTBLANK(OFFSET(A$1,,,SUMPRODUCT(MAX(ROW(E$1:E4955)*(E2=E$1:E4955))))))</f>
        <v> </v>
      </c>
      <c r="K4956" s="25" t="str">
        <f>IF(OR(E4956="",E4956="!!!",F4956="NEW"),"",INDEX(J$1:J4955,SUMPRODUCT(MAX(ROW(E$1:E4955)*(E4956=E$1:E4955)))))</f>
        <v> </v>
      </c>
      <c r="L4956" s="26"/>
    </row>
    <row r="4957" spans="1:12">
      <c r="A4957" s="20" t="s">
        <v>2496</v>
      </c>
      <c r="E4957" s="21">
        <f>IF(D4957="?OLD","!!!","")</f>
        <v/>
      </c>
      <c r="F4957" s="22" t="str">
        <f>IF(OR(E4957="",E4957="!!!"),"",IF(NOT(ISNA(VLOOKUP(E4957,E$1:E4956,1,FALSE()))),"OLD",IF(AND(E4957&lt;&gt;"",E4957&lt;&gt;"!!!"),"NEW","")))</f>
        <v> </v>
      </c>
      <c r="G4957" s="23" t="str">
        <f>IF(OR(E4957="",E4957="!!!"),"",IF(OR(J4957=0,AND(J4957=1,K4957=1),AND(J4957=1,I4957="SBJ"),AND(J4957=1,I4957=0)),"?IN_FOCUS",IF(J4957&lt;=2,"?ACTIVATED",IF(J4957&lt;&gt;"","?FAMILIAR",IF(F4957="NEW",IF(ISNA(VLOOKUP(E4957,#REF!,1,FALSE())),"?TYPE_IDENTIFIABLE","?REFERENTIAL"),"_")))))</f>
        <v> </v>
      </c>
      <c r="H4957" s="24" t="str">
        <f>IF(J4957&lt;&gt;1,"",IF(I4957="SBJ","CB","?"))</f>
        <v> </v>
      </c>
      <c r="I4957" s="25" t="str">
        <f>IF(OR(E4957="",E4957="!!!",F4957="NEW"),"",INDEX(B4956:B$2,-1+SUMPRODUCT(MAX(ROW(E4956:E$2)*(E4957=E4956:E$2)))))</f>
        <v> </v>
      </c>
      <c r="J4957" s="25" t="str">
        <f>IF(OR(E4957="",E4957="!!!",F4957="NEW"),"",COUNTBLANK(OFFSET(A$1,,,SUMPRODUCT(MAX(ROW(E$2:E4957)*(E4957=E$2:E4957)))))-COUNTBLANK(OFFSET(A$1,,,SUMPRODUCT(MAX(ROW(E$1:E4956)*(E2=E$1:E4956))))))</f>
        <v> </v>
      </c>
      <c r="K4957" s="25" t="str">
        <f>IF(OR(E4957="",E4957="!!!",F4957="NEW"),"",INDEX(J$1:J4956,SUMPRODUCT(MAX(ROW(E$1:E4956)*(E4957=E$1:E4956)))))</f>
        <v> </v>
      </c>
      <c r="L4957" s="26"/>
    </row>
    <row r="4958" spans="1:12">
      <c r="A4958" s="20" t="s">
        <v>1087</v>
      </c>
      <c r="E4958" s="21">
        <f>IF(D4958="?OLD","!!!","")</f>
        <v/>
      </c>
      <c r="F4958" s="22" t="str">
        <f>IF(OR(E4958="",E4958="!!!"),"",IF(NOT(ISNA(VLOOKUP(E4958,E$1:E4957,1,FALSE()))),"OLD",IF(AND(E4958&lt;&gt;"",E4958&lt;&gt;"!!!"),"NEW","")))</f>
        <v> </v>
      </c>
      <c r="G4958" s="23" t="str">
        <f>IF(OR(E4958="",E4958="!!!"),"",IF(OR(J4958=0,AND(J4958=1,K4958=1),AND(J4958=1,I4958="SBJ"),AND(J4958=1,I4958=0)),"?IN_FOCUS",IF(J4958&lt;=2,"?ACTIVATED",IF(J4958&lt;&gt;"","?FAMILIAR",IF(F4958="NEW",IF(ISNA(VLOOKUP(E4958,#REF!,1,FALSE())),"?TYPE_IDENTIFIABLE","?REFERENTIAL"),"_")))))</f>
        <v> </v>
      </c>
      <c r="H4958" s="24" t="str">
        <f>IF(J4958&lt;&gt;1,"",IF(I4958="SBJ","CB","?"))</f>
        <v> </v>
      </c>
      <c r="I4958" s="25" t="str">
        <f>IF(OR(E4958="",E4958="!!!",F4958="NEW"),"",INDEX(B4957:B$2,-1+SUMPRODUCT(MAX(ROW(E4957:E$2)*(E4958=E4957:E$2)))))</f>
        <v> </v>
      </c>
      <c r="J4958" s="25" t="str">
        <f>IF(OR(E4958="",E4958="!!!",F4958="NEW"),"",COUNTBLANK(OFFSET(A$1,,,SUMPRODUCT(MAX(ROW(E$2:E4958)*(E4958=E$2:E4958)))))-COUNTBLANK(OFFSET(A$1,,,SUMPRODUCT(MAX(ROW(E$1:E4957)*(E2=E$1:E4957))))))</f>
        <v> </v>
      </c>
      <c r="K4958" s="25" t="str">
        <f>IF(OR(E4958="",E4958="!!!",F4958="NEW"),"",INDEX(J$1:J4957,SUMPRODUCT(MAX(ROW(E$1:E4957)*(E4958=E$1:E4957)))))</f>
        <v> </v>
      </c>
      <c r="L4958" s="26"/>
    </row>
    <row r="4959" spans="1:12">
      <c r="A4959" s="20" t="s">
        <v>1083</v>
      </c>
      <c r="B4959" s="27" t="s">
        <v>1095</v>
      </c>
      <c r="C4959" s="27" t="s">
        <v>1129</v>
      </c>
      <c r="D4959" s="27" t="s">
        <v>1069</v>
      </c>
      <c r="E4959" s="21">
        <f>IF(D4959="?OLD","!!!","")</f>
        <v/>
      </c>
      <c r="F4959" s="22" t="str">
        <f>IF(OR(E4959="",E4959="!!!"),"",IF(NOT(ISNA(VLOOKUP(E4959,E$1:E4958,1,FALSE()))),"OLD",IF(AND(E4959&lt;&gt;"",E4959&lt;&gt;"!!!"),"NEW","")))</f>
        <v> </v>
      </c>
      <c r="G4959" s="23" t="str">
        <f>IF(OR(E4959="",E4959="!!!"),"",IF(OR(J4959=0,AND(J4959=1,K4959=1),AND(J4959=1,I4959="SBJ"),AND(J4959=1,I4959=0)),"?IN_FOCUS",IF(J4959&lt;=2,"?ACTIVATED",IF(J4959&lt;&gt;"","?FAMILIAR",IF(F4959="NEW",IF(ISNA(VLOOKUP(E4959,#REF!,1,FALSE())),"?TYPE_IDENTIFIABLE","?REFERENTIAL"),"_")))))</f>
        <v> </v>
      </c>
      <c r="H4959" s="24" t="str">
        <f>IF(J4959&lt;&gt;1,"",IF(I4959="SBJ","CB","?"))</f>
        <v> </v>
      </c>
      <c r="I4959" s="25" t="str">
        <f>IF(OR(E4959="",E4959="!!!",F4959="NEW"),"",INDEX(B4958:B$2,-1+SUMPRODUCT(MAX(ROW(E4958:E$2)*(E4959=E4958:E$2)))))</f>
        <v> </v>
      </c>
      <c r="J4959" s="25" t="str">
        <f>IF(OR(E4959="",E4959="!!!",F4959="NEW"),"",COUNTBLANK(OFFSET(A$1,,,SUMPRODUCT(MAX(ROW(E$2:E4959)*(E4959=E$2:E4959)))))-COUNTBLANK(OFFSET(A$1,,,SUMPRODUCT(MAX(ROW(E$1:E4958)*(E2=E$1:E4958))))))</f>
        <v> </v>
      </c>
      <c r="K4959" s="25" t="str">
        <f>IF(OR(E4959="",E4959="!!!",F4959="NEW"),"",INDEX(J$1:J4958,SUMPRODUCT(MAX(ROW(E$1:E4958)*(E4959=E$1:E4958)))))</f>
        <v> </v>
      </c>
      <c r="L4959" s="26"/>
    </row>
    <row r="4960" spans="1:12">
      <c r="A4960" s="20" t="s">
        <v>1191</v>
      </c>
      <c r="E4960" s="21">
        <f>IF(D4960="?OLD","!!!","")</f>
        <v/>
      </c>
      <c r="F4960" s="22" t="str">
        <f>IF(OR(E4960="",E4960="!!!"),"",IF(NOT(ISNA(VLOOKUP(E4960,E$1:E4959,1,FALSE()))),"OLD",IF(AND(E4960&lt;&gt;"",E4960&lt;&gt;"!!!"),"NEW","")))</f>
        <v> </v>
      </c>
      <c r="G4960" s="23" t="str">
        <f>IF(OR(E4960="",E4960="!!!"),"",IF(OR(J4960=0,AND(J4960=1,K4960=1),AND(J4960=1,I4960="SBJ"),AND(J4960=1,I4960=0)),"?IN_FOCUS",IF(J4960&lt;=2,"?ACTIVATED",IF(J4960&lt;&gt;"","?FAMILIAR",IF(F4960="NEW",IF(ISNA(VLOOKUP(E4960,#REF!,1,FALSE())),"?TYPE_IDENTIFIABLE","?REFERENTIAL"),"_")))))</f>
        <v> </v>
      </c>
      <c r="H4960" s="24" t="str">
        <f>IF(J4960&lt;&gt;1,"",IF(I4960="SBJ","CB","?"))</f>
        <v> </v>
      </c>
      <c r="I4960" s="25" t="str">
        <f>IF(OR(E4960="",E4960="!!!",F4960="NEW"),"",INDEX(B4959:B$2,-1+SUMPRODUCT(MAX(ROW(E4959:E$2)*(E4960=E4959:E$2)))))</f>
        <v> </v>
      </c>
      <c r="J4960" s="25" t="str">
        <f>IF(OR(E4960="",E4960="!!!",F4960="NEW"),"",COUNTBLANK(OFFSET(A$1,,,SUMPRODUCT(MAX(ROW(E$2:E4960)*(E4960=E$2:E4960)))))-COUNTBLANK(OFFSET(A$1,,,SUMPRODUCT(MAX(ROW(E$1:E4959)*(E2=E$1:E4959))))))</f>
        <v> </v>
      </c>
      <c r="K4960" s="25" t="str">
        <f>IF(OR(E4960="",E4960="!!!",F4960="NEW"),"",INDEX(J$1:J4959,SUMPRODUCT(MAX(ROW(E$1:E4959)*(E4960=E$1:E4959)))))</f>
        <v> </v>
      </c>
      <c r="L4960" s="26"/>
    </row>
    <row r="4961" spans="1:12">
      <c r="A4961" s="20" t="s">
        <v>2497</v>
      </c>
      <c r="B4961" s="27" t="s">
        <v>1071</v>
      </c>
      <c r="C4961" s="27" t="s">
        <v>1110</v>
      </c>
      <c r="D4961" s="27" t="s">
        <v>1069</v>
      </c>
      <c r="E4961" s="21">
        <f>IF(D4961="?OLD","!!!","")</f>
        <v/>
      </c>
      <c r="F4961" s="22" t="str">
        <f>IF(OR(E4961="",E4961="!!!"),"",IF(NOT(ISNA(VLOOKUP(E4961,E$1:E4960,1,FALSE()))),"OLD",IF(AND(E4961&lt;&gt;"",E4961&lt;&gt;"!!!"),"NEW","")))</f>
        <v> </v>
      </c>
      <c r="G4961" s="23" t="str">
        <f>IF(OR(E4961="",E4961="!!!"),"",IF(OR(J4961=0,AND(J4961=1,K4961=1),AND(J4961=1,I4961="SBJ"),AND(J4961=1,I4961=0)),"?IN_FOCUS",IF(J4961&lt;=2,"?ACTIVATED",IF(J4961&lt;&gt;"","?FAMILIAR",IF(F4961="NEW",IF(ISNA(VLOOKUP(E4961,#REF!,1,FALSE())),"?TYPE_IDENTIFIABLE","?REFERENTIAL"),"_")))))</f>
        <v> </v>
      </c>
      <c r="H4961" s="24" t="str">
        <f>IF(J4961&lt;&gt;1,"",IF(I4961="SBJ","CB","?"))</f>
        <v> </v>
      </c>
      <c r="I4961" s="25" t="str">
        <f>IF(OR(E4961="",E4961="!!!",F4961="NEW"),"",INDEX(B4960:B$2,-1+SUMPRODUCT(MAX(ROW(E4960:E$2)*(E4961=E4960:E$2)))))</f>
        <v> </v>
      </c>
      <c r="J4961" s="25" t="str">
        <f>IF(OR(E4961="",E4961="!!!",F4961="NEW"),"",COUNTBLANK(OFFSET(A$1,,,SUMPRODUCT(MAX(ROW(E$2:E4961)*(E4961=E$2:E4961)))))-COUNTBLANK(OFFSET(A$1,,,SUMPRODUCT(MAX(ROW(E$1:E4960)*(E2=E$1:E4960))))))</f>
        <v> </v>
      </c>
      <c r="K4961" s="25" t="str">
        <f>IF(OR(E4961="",E4961="!!!",F4961="NEW"),"",INDEX(J$1:J4960,SUMPRODUCT(MAX(ROW(E$1:E4960)*(E4961=E$1:E4960)))))</f>
        <v> </v>
      </c>
      <c r="L4961" s="26"/>
    </row>
    <row r="4962" spans="1:12">
      <c r="A4962" s="20" t="s">
        <v>2323</v>
      </c>
      <c r="E4962" s="21">
        <f>IF(D4962="?OLD","!!!","")</f>
        <v/>
      </c>
      <c r="F4962" s="22" t="str">
        <f>IF(OR(E4962="",E4962="!!!"),"",IF(NOT(ISNA(VLOOKUP(E4962,E$1:E4961,1,FALSE()))),"OLD",IF(AND(E4962&lt;&gt;"",E4962&lt;&gt;"!!!"),"NEW","")))</f>
        <v> </v>
      </c>
      <c r="G4962" s="23" t="str">
        <f>IF(OR(E4962="",E4962="!!!"),"",IF(OR(J4962=0,AND(J4962=1,K4962=1),AND(J4962=1,I4962="SBJ"),AND(J4962=1,I4962=0)),"?IN_FOCUS",IF(J4962&lt;=2,"?ACTIVATED",IF(J4962&lt;&gt;"","?FAMILIAR",IF(F4962="NEW",IF(ISNA(VLOOKUP(E4962,#REF!,1,FALSE())),"?TYPE_IDENTIFIABLE","?REFERENTIAL"),"_")))))</f>
        <v> </v>
      </c>
      <c r="H4962" s="24" t="str">
        <f>IF(J4962&lt;&gt;1,"",IF(I4962="SBJ","CB","?"))</f>
        <v> </v>
      </c>
      <c r="I4962" s="25" t="str">
        <f>IF(OR(E4962="",E4962="!!!",F4962="NEW"),"",INDEX(B4961:B$2,-1+SUMPRODUCT(MAX(ROW(E4961:E$2)*(E4962=E4961:E$2)))))</f>
        <v> </v>
      </c>
      <c r="J4962" s="25" t="str">
        <f>IF(OR(E4962="",E4962="!!!",F4962="NEW"),"",COUNTBLANK(OFFSET(A$1,,,SUMPRODUCT(MAX(ROW(E$2:E4962)*(E4962=E$2:E4962)))))-COUNTBLANK(OFFSET(A$1,,,SUMPRODUCT(MAX(ROW(E$1:E4961)*(E2=E$1:E4961))))))</f>
        <v> </v>
      </c>
      <c r="K4962" s="25" t="str">
        <f>IF(OR(E4962="",E4962="!!!",F4962="NEW"),"",INDEX(J$1:J4961,SUMPRODUCT(MAX(ROW(E$1:E4961)*(E4962=E$1:E4961)))))</f>
        <v> </v>
      </c>
      <c r="L4962" s="26"/>
    </row>
    <row r="4963" spans="1:12">
      <c r="A4963" s="20" t="s">
        <v>2498</v>
      </c>
      <c r="B4963" s="27" t="s">
        <v>1074</v>
      </c>
      <c r="C4963" s="27" t="s">
        <v>1117</v>
      </c>
      <c r="E4963" s="21">
        <f>IF(D4963="?OLD","!!!","")</f>
        <v/>
      </c>
      <c r="F4963" s="22" t="str">
        <f>IF(OR(E4963="",E4963="!!!"),"",IF(NOT(ISNA(VLOOKUP(E4963,E$1:E4962,1,FALSE()))),"OLD",IF(AND(E4963&lt;&gt;"",E4963&lt;&gt;"!!!"),"NEW","")))</f>
        <v> </v>
      </c>
      <c r="G4963" s="23" t="str">
        <f>IF(OR(E4963="",E4963="!!!"),"",IF(OR(J4963=0,AND(J4963=1,K4963=1),AND(J4963=1,I4963="SBJ"),AND(J4963=1,I4963=0)),"?IN_FOCUS",IF(J4963&lt;=2,"?ACTIVATED",IF(J4963&lt;&gt;"","?FAMILIAR",IF(F4963="NEW",IF(ISNA(VLOOKUP(E4963,#REF!,1,FALSE())),"?TYPE_IDENTIFIABLE","?REFERENTIAL"),"_")))))</f>
        <v> </v>
      </c>
      <c r="H4963" s="24" t="str">
        <f>IF(J4963&lt;&gt;1,"",IF(I4963="SBJ","CB","?"))</f>
        <v> </v>
      </c>
      <c r="I4963" s="25" t="str">
        <f>IF(OR(E4963="",E4963="!!!",F4963="NEW"),"",INDEX(B4962:B$2,-1+SUMPRODUCT(MAX(ROW(E4962:E$2)*(E4963=E4962:E$2)))))</f>
        <v> </v>
      </c>
      <c r="J4963" s="25" t="str">
        <f>IF(OR(E4963="",E4963="!!!",F4963="NEW"),"",COUNTBLANK(OFFSET(A$1,,,SUMPRODUCT(MAX(ROW(E$2:E4963)*(E4963=E$2:E4963)))))-COUNTBLANK(OFFSET(A$1,,,SUMPRODUCT(MAX(ROW(E$1:E4962)*(E2=E$1:E4962))))))</f>
        <v> </v>
      </c>
      <c r="K4963" s="25" t="str">
        <f>IF(OR(E4963="",E4963="!!!",F4963="NEW"),"",INDEX(J$1:J4962,SUMPRODUCT(MAX(ROW(E$1:E4962)*(E4963=E$1:E4962)))))</f>
        <v> </v>
      </c>
      <c r="L4963" s="26"/>
    </row>
    <row r="4964" spans="1:12">
      <c r="A4964" s="20" t="s">
        <v>1080</v>
      </c>
      <c r="E4964" s="21">
        <f>IF(D4964="?OLD","!!!","")</f>
        <v/>
      </c>
      <c r="F4964" s="22" t="str">
        <f>IF(OR(E4964="",E4964="!!!"),"",IF(NOT(ISNA(VLOOKUP(E4964,E$1:E4963,1,FALSE()))),"OLD",IF(AND(E4964&lt;&gt;"",E4964&lt;&gt;"!!!"),"NEW","")))</f>
        <v> </v>
      </c>
      <c r="G4964" s="23" t="str">
        <f>IF(OR(E4964="",E4964="!!!"),"",IF(OR(J4964=0,AND(J4964=1,K4964=1),AND(J4964=1,I4964="SBJ"),AND(J4964=1,I4964=0)),"?IN_FOCUS",IF(J4964&lt;=2,"?ACTIVATED",IF(J4964&lt;&gt;"","?FAMILIAR",IF(F4964="NEW",IF(ISNA(VLOOKUP(E4964,#REF!,1,FALSE())),"?TYPE_IDENTIFIABLE","?REFERENTIAL"),"_")))))</f>
        <v> </v>
      </c>
      <c r="H4964" s="24" t="str">
        <f>IF(J4964&lt;&gt;1,"",IF(I4964="SBJ","CB","?"))</f>
        <v> </v>
      </c>
      <c r="I4964" s="25" t="str">
        <f>IF(OR(E4964="",E4964="!!!",F4964="NEW"),"",INDEX(B4963:B$2,-1+SUMPRODUCT(MAX(ROW(E4963:E$2)*(E4964=E4963:E$2)))))</f>
        <v> </v>
      </c>
      <c r="J4964" s="25" t="str">
        <f>IF(OR(E4964="",E4964="!!!",F4964="NEW"),"",COUNTBLANK(OFFSET(A$1,,,SUMPRODUCT(MAX(ROW(E$2:E4964)*(E4964=E$2:E4964)))))-COUNTBLANK(OFFSET(A$1,,,SUMPRODUCT(MAX(ROW(E$1:E4963)*(E2=E$1:E4963))))))</f>
        <v> </v>
      </c>
      <c r="K4964" s="25" t="str">
        <f>IF(OR(E4964="",E4964="!!!",F4964="NEW"),"",INDEX(J$1:J4963,SUMPRODUCT(MAX(ROW(E$1:E4963)*(E4964=E$1:E4963)))))</f>
        <v> </v>
      </c>
      <c r="L4964" s="26"/>
    </row>
    <row r="4965" spans="1:12">
      <c r="A4965" s="20"/>
    </row>
    <row r="4966" spans="1:12">
      <c r="A4966" s="20" t="s">
        <v>2499</v>
      </c>
    </row>
    <row r="4967" spans="1:12">
      <c r="A4967" s="20" t="s">
        <v>1164</v>
      </c>
      <c r="E4967" s="21">
        <f>IF(D4967="?OLD","!!!","")</f>
        <v/>
      </c>
      <c r="F4967" s="22" t="str">
        <f>IF(OR(E4967="",E4967="!!!"),"",IF(NOT(ISNA(VLOOKUP(E4967,E$1:E4966,1,FALSE()))),"OLD",IF(AND(E4967&lt;&gt;"",E4967&lt;&gt;"!!!"),"NEW","")))</f>
        <v> </v>
      </c>
      <c r="G4967" s="23" t="str">
        <f>IF(OR(E4967="",E4967="!!!"),"",IF(OR(J4967=0,AND(J4967=1,K4967=1),AND(J4967=1,I4967="SBJ"),AND(J4967=1,I4967=0)),"?IN_FOCUS",IF(J4967&lt;=2,"?ACTIVATED",IF(J4967&lt;&gt;"","?FAMILIAR",IF(F4967="NEW",IF(ISNA(VLOOKUP(E4967,#REF!,1,FALSE())),"?TYPE_IDENTIFIABLE","?REFERENTIAL"),"_")))))</f>
        <v> </v>
      </c>
      <c r="H4967" s="24" t="str">
        <f>IF(J4967&lt;&gt;1,"",IF(I4967="SBJ","CB","?"))</f>
        <v> </v>
      </c>
      <c r="I4967" s="25" t="str">
        <f>IF(OR(E4967="",E4967="!!!",F4967="NEW"),"",INDEX(B4966:B$2,-1+SUMPRODUCT(MAX(ROW(E4966:E$2)*(E4967=E4966:E$2)))))</f>
        <v> </v>
      </c>
      <c r="J4967" s="25" t="str">
        <f>IF(OR(E4967="",E4967="!!!",F4967="NEW"),"",COUNTBLANK(OFFSET(A$1,,,SUMPRODUCT(MAX(ROW(E$2:E4967)*(E4967=E$2:E4967)))))-COUNTBLANK(OFFSET(A$1,,,SUMPRODUCT(MAX(ROW(E$1:E4966)*(E2=E$1:E4966))))))</f>
        <v> </v>
      </c>
      <c r="K4967" s="25" t="str">
        <f>IF(OR(E4967="",E4967="!!!",F4967="NEW"),"",INDEX(J$1:J4966,SUMPRODUCT(MAX(ROW(E$1:E4966)*(E4967=E$1:E4966)))))</f>
        <v> </v>
      </c>
      <c r="L4967" s="26"/>
    </row>
    <row r="4968" spans="1:12">
      <c r="A4968" s="20" t="s">
        <v>1195</v>
      </c>
      <c r="B4968" s="27" t="s">
        <v>1074</v>
      </c>
      <c r="C4968" s="27" t="s">
        <v>1086</v>
      </c>
      <c r="D4968" s="27" t="s">
        <v>1069</v>
      </c>
      <c r="E4968" s="21">
        <f>IF(D4968="?OLD","!!!","")</f>
        <v/>
      </c>
      <c r="F4968" s="22" t="str">
        <f>IF(OR(E4968="",E4968="!!!"),"",IF(NOT(ISNA(VLOOKUP(E4968,E$1:E4967,1,FALSE()))),"OLD",IF(AND(E4968&lt;&gt;"",E4968&lt;&gt;"!!!"),"NEW","")))</f>
        <v> </v>
      </c>
      <c r="G4968" s="23" t="str">
        <f>IF(OR(E4968="",E4968="!!!"),"",IF(OR(J4968=0,AND(J4968=1,K4968=1),AND(J4968=1,I4968="SBJ"),AND(J4968=1,I4968=0)),"?IN_FOCUS",IF(J4968&lt;=2,"?ACTIVATED",IF(J4968&lt;&gt;"","?FAMILIAR",IF(F4968="NEW",IF(ISNA(VLOOKUP(E4968,#REF!,1,FALSE())),"?TYPE_IDENTIFIABLE","?REFERENTIAL"),"_")))))</f>
        <v> </v>
      </c>
      <c r="H4968" s="24" t="str">
        <f>IF(J4968&lt;&gt;1,"",IF(I4968="SBJ","CB","?"))</f>
        <v> </v>
      </c>
      <c r="I4968" s="25" t="str">
        <f>IF(OR(E4968="",E4968="!!!",F4968="NEW"),"",INDEX(B4967:B$2,-1+SUMPRODUCT(MAX(ROW(E4967:E$2)*(E4968=E4967:E$2)))))</f>
        <v> </v>
      </c>
      <c r="J4968" s="25" t="str">
        <f>IF(OR(E4968="",E4968="!!!",F4968="NEW"),"",COUNTBLANK(OFFSET(A$1,,,SUMPRODUCT(MAX(ROW(E$2:E4968)*(E4968=E$2:E4968)))))-COUNTBLANK(OFFSET(A$1,,,SUMPRODUCT(MAX(ROW(E$1:E4967)*(E2=E$1:E4967))))))</f>
        <v> </v>
      </c>
      <c r="K4968" s="25" t="str">
        <f>IF(OR(E4968="",E4968="!!!",F4968="NEW"),"",INDEX(J$1:J4967,SUMPRODUCT(MAX(ROW(E$1:E4967)*(E4968=E$1:E4967)))))</f>
        <v> </v>
      </c>
      <c r="L4968" s="26"/>
    </row>
    <row r="4969" spans="1:12">
      <c r="A4969" s="20" t="s">
        <v>1191</v>
      </c>
      <c r="E4969" s="21">
        <f>IF(D4969="?OLD","!!!","")</f>
        <v/>
      </c>
      <c r="F4969" s="22" t="str">
        <f>IF(OR(E4969="",E4969="!!!"),"",IF(NOT(ISNA(VLOOKUP(E4969,E$1:E4968,1,FALSE()))),"OLD",IF(AND(E4969&lt;&gt;"",E4969&lt;&gt;"!!!"),"NEW","")))</f>
        <v> </v>
      </c>
      <c r="G4969" s="23" t="str">
        <f>IF(OR(E4969="",E4969="!!!"),"",IF(OR(J4969=0,AND(J4969=1,K4969=1),AND(J4969=1,I4969="SBJ"),AND(J4969=1,I4969=0)),"?IN_FOCUS",IF(J4969&lt;=2,"?ACTIVATED",IF(J4969&lt;&gt;"","?FAMILIAR",IF(F4969="NEW",IF(ISNA(VLOOKUP(E4969,#REF!,1,FALSE())),"?TYPE_IDENTIFIABLE","?REFERENTIAL"),"_")))))</f>
        <v> </v>
      </c>
      <c r="H4969" s="24" t="str">
        <f>IF(J4969&lt;&gt;1,"",IF(I4969="SBJ","CB","?"))</f>
        <v> </v>
      </c>
      <c r="I4969" s="25" t="str">
        <f>IF(OR(E4969="",E4969="!!!",F4969="NEW"),"",INDEX(B4968:B$2,-1+SUMPRODUCT(MAX(ROW(E4968:E$2)*(E4969=E4968:E$2)))))</f>
        <v> </v>
      </c>
      <c r="J4969" s="25" t="str">
        <f>IF(OR(E4969="",E4969="!!!",F4969="NEW"),"",COUNTBLANK(OFFSET(A$1,,,SUMPRODUCT(MAX(ROW(E$2:E4969)*(E4969=E$2:E4969)))))-COUNTBLANK(OFFSET(A$1,,,SUMPRODUCT(MAX(ROW(E$1:E4968)*(E2=E$1:E4968))))))</f>
        <v> </v>
      </c>
      <c r="K4969" s="25" t="str">
        <f>IF(OR(E4969="",E4969="!!!",F4969="NEW"),"",INDEX(J$1:J4968,SUMPRODUCT(MAX(ROW(E$1:E4968)*(E4969=E$1:E4968)))))</f>
        <v> </v>
      </c>
      <c r="L4969" s="26"/>
    </row>
    <row r="4970" spans="1:12">
      <c r="A4970" s="20" t="s">
        <v>1087</v>
      </c>
      <c r="E4970" s="21">
        <f>IF(D4970="?OLD","!!!","")</f>
        <v/>
      </c>
      <c r="F4970" s="22" t="str">
        <f>IF(OR(E4970="",E4970="!!!"),"",IF(NOT(ISNA(VLOOKUP(E4970,E$1:E4969,1,FALSE()))),"OLD",IF(AND(E4970&lt;&gt;"",E4970&lt;&gt;"!!!"),"NEW","")))</f>
        <v> </v>
      </c>
      <c r="G4970" s="23" t="str">
        <f>IF(OR(E4970="",E4970="!!!"),"",IF(OR(J4970=0,AND(J4970=1,K4970=1),AND(J4970=1,I4970="SBJ"),AND(J4970=1,I4970=0)),"?IN_FOCUS",IF(J4970&lt;=2,"?ACTIVATED",IF(J4970&lt;&gt;"","?FAMILIAR",IF(F4970="NEW",IF(ISNA(VLOOKUP(E4970,#REF!,1,FALSE())),"?TYPE_IDENTIFIABLE","?REFERENTIAL"),"_")))))</f>
        <v> </v>
      </c>
      <c r="H4970" s="24" t="str">
        <f>IF(J4970&lt;&gt;1,"",IF(I4970="SBJ","CB","?"))</f>
        <v> </v>
      </c>
      <c r="I4970" s="25" t="str">
        <f>IF(OR(E4970="",E4970="!!!",F4970="NEW"),"",INDEX(B4969:B$2,-1+SUMPRODUCT(MAX(ROW(E4969:E$2)*(E4970=E4969:E$2)))))</f>
        <v> </v>
      </c>
      <c r="J4970" s="25" t="str">
        <f>IF(OR(E4970="",E4970="!!!",F4970="NEW"),"",COUNTBLANK(OFFSET(A$1,,,SUMPRODUCT(MAX(ROW(E$2:E4970)*(E4970=E$2:E4970)))))-COUNTBLANK(OFFSET(A$1,,,SUMPRODUCT(MAX(ROW(E$1:E4969)*(E2=E$1:E4969))))))</f>
        <v> </v>
      </c>
      <c r="K4970" s="25" t="str">
        <f>IF(OR(E4970="",E4970="!!!",F4970="NEW"),"",INDEX(J$1:J4969,SUMPRODUCT(MAX(ROW(E$1:E4969)*(E4970=E$1:E4969)))))</f>
        <v> </v>
      </c>
      <c r="L4970" s="26"/>
    </row>
    <row r="4971" spans="1:12">
      <c r="A4971" s="20" t="s">
        <v>1149</v>
      </c>
      <c r="E4971" s="21">
        <f>IF(D4971="?OLD","!!!","")</f>
        <v/>
      </c>
      <c r="F4971" s="22" t="str">
        <f>IF(OR(E4971="",E4971="!!!"),"",IF(NOT(ISNA(VLOOKUP(E4971,E$1:E4970,1,FALSE()))),"OLD",IF(AND(E4971&lt;&gt;"",E4971&lt;&gt;"!!!"),"NEW","")))</f>
        <v> </v>
      </c>
      <c r="G4971" s="23" t="str">
        <f>IF(OR(E4971="",E4971="!!!"),"",IF(OR(J4971=0,AND(J4971=1,K4971=1),AND(J4971=1,I4971="SBJ"),AND(J4971=1,I4971=0)),"?IN_FOCUS",IF(J4971&lt;=2,"?ACTIVATED",IF(J4971&lt;&gt;"","?FAMILIAR",IF(F4971="NEW",IF(ISNA(VLOOKUP(E4971,#REF!,1,FALSE())),"?TYPE_IDENTIFIABLE","?REFERENTIAL"),"_")))))</f>
        <v> </v>
      </c>
      <c r="H4971" s="24" t="str">
        <f>IF(J4971&lt;&gt;1,"",IF(I4971="SBJ","CB","?"))</f>
        <v> </v>
      </c>
      <c r="I4971" s="25" t="str">
        <f>IF(OR(E4971="",E4971="!!!",F4971="NEW"),"",INDEX(B4970:B$2,-1+SUMPRODUCT(MAX(ROW(E4970:E$2)*(E4971=E4970:E$2)))))</f>
        <v> </v>
      </c>
      <c r="J4971" s="25" t="str">
        <f>IF(OR(E4971="",E4971="!!!",F4971="NEW"),"",COUNTBLANK(OFFSET(A$1,,,SUMPRODUCT(MAX(ROW(E$2:E4971)*(E4971=E$2:E4971)))))-COUNTBLANK(OFFSET(A$1,,,SUMPRODUCT(MAX(ROW(E$1:E4970)*(E2=E$1:E4970))))))</f>
        <v> </v>
      </c>
      <c r="K4971" s="25" t="str">
        <f>IF(OR(E4971="",E4971="!!!",F4971="NEW"),"",INDEX(J$1:J4970,SUMPRODUCT(MAX(ROW(E$1:E4970)*(E4971=E$1:E4970)))))</f>
        <v> </v>
      </c>
      <c r="L4971" s="26"/>
    </row>
    <row r="4972" spans="1:12">
      <c r="A4972" s="20" t="s">
        <v>1128</v>
      </c>
      <c r="B4972" s="27" t="s">
        <v>1092</v>
      </c>
      <c r="C4972" s="27" t="s">
        <v>1129</v>
      </c>
      <c r="D4972" s="27" t="s">
        <v>1069</v>
      </c>
      <c r="E4972" s="21">
        <f>IF(D4972="?OLD","!!!","")</f>
        <v/>
      </c>
      <c r="F4972" s="22" t="str">
        <f>IF(OR(E4972="",E4972="!!!"),"",IF(NOT(ISNA(VLOOKUP(E4972,E$1:E4971,1,FALSE()))),"OLD",IF(AND(E4972&lt;&gt;"",E4972&lt;&gt;"!!!"),"NEW","")))</f>
        <v> </v>
      </c>
      <c r="G4972" s="23" t="str">
        <f>IF(OR(E4972="",E4972="!!!"),"",IF(OR(J4972=0,AND(J4972=1,K4972=1),AND(J4972=1,I4972="SBJ"),AND(J4972=1,I4972=0)),"?IN_FOCUS",IF(J4972&lt;=2,"?ACTIVATED",IF(J4972&lt;&gt;"","?FAMILIAR",IF(F4972="NEW",IF(ISNA(VLOOKUP(E4972,#REF!,1,FALSE())),"?TYPE_IDENTIFIABLE","?REFERENTIAL"),"_")))))</f>
        <v> </v>
      </c>
      <c r="H4972" s="24" t="str">
        <f>IF(J4972&lt;&gt;1,"",IF(I4972="SBJ","CB","?"))</f>
        <v> </v>
      </c>
      <c r="I4972" s="25" t="str">
        <f>IF(OR(E4972="",E4972="!!!",F4972="NEW"),"",INDEX(B4971:B$2,-1+SUMPRODUCT(MAX(ROW(E4971:E$2)*(E4972=E4971:E$2)))))</f>
        <v> </v>
      </c>
      <c r="J4972" s="25" t="str">
        <f>IF(OR(E4972="",E4972="!!!",F4972="NEW"),"",COUNTBLANK(OFFSET(A$1,,,SUMPRODUCT(MAX(ROW(E$2:E4972)*(E4972=E$2:E4972)))))-COUNTBLANK(OFFSET(A$1,,,SUMPRODUCT(MAX(ROW(E$1:E4971)*(E2=E$1:E4971))))))</f>
        <v> </v>
      </c>
      <c r="K4972" s="25" t="str">
        <f>IF(OR(E4972="",E4972="!!!",F4972="NEW"),"",INDEX(J$1:J4971,SUMPRODUCT(MAX(ROW(E$1:E4971)*(E4972=E$1:E4971)))))</f>
        <v> </v>
      </c>
      <c r="L4972" s="26"/>
    </row>
    <row r="4973" spans="1:12">
      <c r="A4973" s="20" t="s">
        <v>1179</v>
      </c>
      <c r="B4973" s="27" t="s">
        <v>1095</v>
      </c>
      <c r="C4973" s="27" t="s">
        <v>1131</v>
      </c>
      <c r="D4973" s="27" t="s">
        <v>1069</v>
      </c>
      <c r="E4973" s="21">
        <f>IF(D4973="?OLD","!!!","")</f>
        <v/>
      </c>
      <c r="F4973" s="22" t="str">
        <f>IF(OR(E4973="",E4973="!!!"),"",IF(NOT(ISNA(VLOOKUP(E4973,E$1:E4972,1,FALSE()))),"OLD",IF(AND(E4973&lt;&gt;"",E4973&lt;&gt;"!!!"),"NEW","")))</f>
        <v> </v>
      </c>
      <c r="G4973" s="23" t="str">
        <f>IF(OR(E4973="",E4973="!!!"),"",IF(OR(J4973=0,AND(J4973=1,K4973=1),AND(J4973=1,I4973="SBJ"),AND(J4973=1,I4973=0)),"?IN_FOCUS",IF(J4973&lt;=2,"?ACTIVATED",IF(J4973&lt;&gt;"","?FAMILIAR",IF(F4973="NEW",IF(ISNA(VLOOKUP(E4973,#REF!,1,FALSE())),"?TYPE_IDENTIFIABLE","?REFERENTIAL"),"_")))))</f>
        <v> </v>
      </c>
      <c r="H4973" s="24" t="str">
        <f>IF(J4973&lt;&gt;1,"",IF(I4973="SBJ","CB","?"))</f>
        <v> </v>
      </c>
      <c r="I4973" s="25" t="str">
        <f>IF(OR(E4973="",E4973="!!!",F4973="NEW"),"",INDEX(B4972:B$2,-1+SUMPRODUCT(MAX(ROW(E4972:E$2)*(E4973=E4972:E$2)))))</f>
        <v> </v>
      </c>
      <c r="J4973" s="25" t="str">
        <f>IF(OR(E4973="",E4973="!!!",F4973="NEW"),"",COUNTBLANK(OFFSET(A$1,,,SUMPRODUCT(MAX(ROW(E$2:E4973)*(E4973=E$2:E4973)))))-COUNTBLANK(OFFSET(A$1,,,SUMPRODUCT(MAX(ROW(E$1:E4972)*(E2=E$1:E4972))))))</f>
        <v> </v>
      </c>
      <c r="K4973" s="25" t="str">
        <f>IF(OR(E4973="",E4973="!!!",F4973="NEW"),"",INDEX(J$1:J4972,SUMPRODUCT(MAX(ROW(E$1:E4972)*(E4973=E$1:E4972)))))</f>
        <v> </v>
      </c>
      <c r="L4973" s="26"/>
    </row>
    <row r="4974" spans="1:12">
      <c r="A4974" s="20" t="s">
        <v>1242</v>
      </c>
      <c r="B4974" s="27" t="s">
        <v>1092</v>
      </c>
      <c r="C4974" s="27" t="s">
        <v>1093</v>
      </c>
      <c r="D4974" s="27" t="s">
        <v>1069</v>
      </c>
      <c r="E4974" s="21">
        <f>IF(D4974="?OLD","!!!","")</f>
        <v/>
      </c>
      <c r="F4974" s="22" t="str">
        <f>IF(OR(E4974="",E4974="!!!"),"",IF(NOT(ISNA(VLOOKUP(E4974,E$1:E4973,1,FALSE()))),"OLD",IF(AND(E4974&lt;&gt;"",E4974&lt;&gt;"!!!"),"NEW","")))</f>
        <v> </v>
      </c>
      <c r="G4974" s="23" t="str">
        <f>IF(OR(E4974="",E4974="!!!"),"",IF(OR(J4974=0,AND(J4974=1,K4974=1),AND(J4974=1,I4974="SBJ"),AND(J4974=1,I4974=0)),"?IN_FOCUS",IF(J4974&lt;=2,"?ACTIVATED",IF(J4974&lt;&gt;"","?FAMILIAR",IF(F4974="NEW",IF(ISNA(VLOOKUP(E4974,#REF!,1,FALSE())),"?TYPE_IDENTIFIABLE","?REFERENTIAL"),"_")))))</f>
        <v> </v>
      </c>
      <c r="H4974" s="24" t="str">
        <f>IF(J4974&lt;&gt;1,"",IF(I4974="SBJ","CB","?"))</f>
        <v> </v>
      </c>
      <c r="I4974" s="25" t="str">
        <f>IF(OR(E4974="",E4974="!!!",F4974="NEW"),"",INDEX(B4973:B$2,-1+SUMPRODUCT(MAX(ROW(E4973:E$2)*(E4974=E4973:E$2)))))</f>
        <v> </v>
      </c>
      <c r="J4974" s="25" t="str">
        <f>IF(OR(E4974="",E4974="!!!",F4974="NEW"),"",COUNTBLANK(OFFSET(A$1,,,SUMPRODUCT(MAX(ROW(E$2:E4974)*(E4974=E$2:E4974)))))-COUNTBLANK(OFFSET(A$1,,,SUMPRODUCT(MAX(ROW(E$1:E4973)*(E2=E$1:E4973))))))</f>
        <v> </v>
      </c>
      <c r="K4974" s="25" t="str">
        <f>IF(OR(E4974="",E4974="!!!",F4974="NEW"),"",INDEX(J$1:J4973,SUMPRODUCT(MAX(ROW(E$1:E4973)*(E4974=E$1:E4973)))))</f>
        <v> </v>
      </c>
      <c r="L4974" s="26"/>
    </row>
    <row r="4975" spans="1:12">
      <c r="A4975" s="20" t="s">
        <v>2500</v>
      </c>
      <c r="B4975" s="27" t="s">
        <v>1090</v>
      </c>
      <c r="C4975" s="27" t="s">
        <v>1077</v>
      </c>
      <c r="E4975" s="21">
        <f>IF(D4975="?OLD","!!!","")</f>
        <v/>
      </c>
      <c r="F4975" s="22" t="str">
        <f>IF(OR(E4975="",E4975="!!!"),"",IF(NOT(ISNA(VLOOKUP(E4975,E$1:E4974,1,FALSE()))),"OLD",IF(AND(E4975&lt;&gt;"",E4975&lt;&gt;"!!!"),"NEW","")))</f>
        <v> </v>
      </c>
      <c r="G4975" s="23" t="str">
        <f>IF(OR(E4975="",E4975="!!!"),"",IF(OR(J4975=0,AND(J4975=1,K4975=1),AND(J4975=1,I4975="SBJ"),AND(J4975=1,I4975=0)),"?IN_FOCUS",IF(J4975&lt;=2,"?ACTIVATED",IF(J4975&lt;&gt;"","?FAMILIAR",IF(F4975="NEW",IF(ISNA(VLOOKUP(E4975,#REF!,1,FALSE())),"?TYPE_IDENTIFIABLE","?REFERENTIAL"),"_")))))</f>
        <v> </v>
      </c>
      <c r="H4975" s="24" t="str">
        <f>IF(J4975&lt;&gt;1,"",IF(I4975="SBJ","CB","?"))</f>
        <v> </v>
      </c>
      <c r="I4975" s="25" t="str">
        <f>IF(OR(E4975="",E4975="!!!",F4975="NEW"),"",INDEX(B4974:B$2,-1+SUMPRODUCT(MAX(ROW(E4974:E$2)*(E4975=E4974:E$2)))))</f>
        <v> </v>
      </c>
      <c r="J4975" s="25" t="str">
        <f>IF(OR(E4975="",E4975="!!!",F4975="NEW"),"",COUNTBLANK(OFFSET(A$1,,,SUMPRODUCT(MAX(ROW(E$2:E4975)*(E4975=E$2:E4975)))))-COUNTBLANK(OFFSET(A$1,,,SUMPRODUCT(MAX(ROW(E$1:E4974)*(E2=E$1:E4974))))))</f>
        <v> </v>
      </c>
      <c r="K4975" s="25" t="str">
        <f>IF(OR(E4975="",E4975="!!!",F4975="NEW"),"",INDEX(J$1:J4974,SUMPRODUCT(MAX(ROW(E$1:E4974)*(E4975=E$1:E4974)))))</f>
        <v> </v>
      </c>
      <c r="L4975" s="26"/>
    </row>
    <row r="4976" spans="1:12">
      <c r="A4976" s="20" t="s">
        <v>212</v>
      </c>
      <c r="E4976" s="21">
        <f>IF(D4976="?OLD","!!!","")</f>
        <v/>
      </c>
      <c r="F4976" s="22" t="str">
        <f>IF(OR(E4976="",E4976="!!!"),"",IF(NOT(ISNA(VLOOKUP(E4976,E$1:E4975,1,FALSE()))),"OLD",IF(AND(E4976&lt;&gt;"",E4976&lt;&gt;"!!!"),"NEW","")))</f>
        <v> </v>
      </c>
      <c r="G4976" s="23" t="str">
        <f>IF(OR(E4976="",E4976="!!!"),"",IF(OR(J4976=0,AND(J4976=1,K4976=1),AND(J4976=1,I4976="SBJ"),AND(J4976=1,I4976=0)),"?IN_FOCUS",IF(J4976&lt;=2,"?ACTIVATED",IF(J4976&lt;&gt;"","?FAMILIAR",IF(F4976="NEW",IF(ISNA(VLOOKUP(E4976,#REF!,1,FALSE())),"?TYPE_IDENTIFIABLE","?REFERENTIAL"),"_")))))</f>
        <v> </v>
      </c>
      <c r="H4976" s="24" t="str">
        <f>IF(J4976&lt;&gt;1,"",IF(I4976="SBJ","CB","?"))</f>
        <v> </v>
      </c>
      <c r="I4976" s="25" t="str">
        <f>IF(OR(E4976="",E4976="!!!",F4976="NEW"),"",INDEX(B4975:B$2,-1+SUMPRODUCT(MAX(ROW(E4975:E$2)*(E4976=E4975:E$2)))))</f>
        <v> </v>
      </c>
      <c r="J4976" s="25" t="str">
        <f>IF(OR(E4976="",E4976="!!!",F4976="NEW"),"",COUNTBLANK(OFFSET(A$1,,,SUMPRODUCT(MAX(ROW(E$2:E4976)*(E4976=E$2:E4976)))))-COUNTBLANK(OFFSET(A$1,,,SUMPRODUCT(MAX(ROW(E$1:E4975)*(E2=E$1:E4975))))))</f>
        <v> </v>
      </c>
      <c r="K4976" s="25" t="str">
        <f>IF(OR(E4976="",E4976="!!!",F4976="NEW"),"",INDEX(J$1:J4975,SUMPRODUCT(MAX(ROW(E$1:E4975)*(E4976=E$1:E4975)))))</f>
        <v> </v>
      </c>
      <c r="L4976" s="26"/>
    </row>
    <row r="4977" spans="1:12">
      <c r="A4977" s="20" t="s">
        <v>1784</v>
      </c>
      <c r="E4977" s="21">
        <f>IF(D4977="?OLD","!!!","")</f>
        <v/>
      </c>
      <c r="F4977" s="22" t="str">
        <f>IF(OR(E4977="",E4977="!!!"),"",IF(NOT(ISNA(VLOOKUP(E4977,E$1:E4976,1,FALSE()))),"OLD",IF(AND(E4977&lt;&gt;"",E4977&lt;&gt;"!!!"),"NEW","")))</f>
        <v> </v>
      </c>
      <c r="G4977" s="23" t="str">
        <f>IF(OR(E4977="",E4977="!!!"),"",IF(OR(J4977=0,AND(J4977=1,K4977=1),AND(J4977=1,I4977="SBJ"),AND(J4977=1,I4977=0)),"?IN_FOCUS",IF(J4977&lt;=2,"?ACTIVATED",IF(J4977&lt;&gt;"","?FAMILIAR",IF(F4977="NEW",IF(ISNA(VLOOKUP(E4977,#REF!,1,FALSE())),"?TYPE_IDENTIFIABLE","?REFERENTIAL"),"_")))))</f>
        <v> </v>
      </c>
      <c r="H4977" s="24" t="str">
        <f>IF(J4977&lt;&gt;1,"",IF(I4977="SBJ","CB","?"))</f>
        <v> </v>
      </c>
      <c r="I4977" s="25" t="str">
        <f>IF(OR(E4977="",E4977="!!!",F4977="NEW"),"",INDEX(B4976:B$2,-1+SUMPRODUCT(MAX(ROW(E4976:E$2)*(E4977=E4976:E$2)))))</f>
        <v> </v>
      </c>
      <c r="J4977" s="25" t="str">
        <f>IF(OR(E4977="",E4977="!!!",F4977="NEW"),"",COUNTBLANK(OFFSET(A$1,,,SUMPRODUCT(MAX(ROW(E$2:E4977)*(E4977=E$2:E4977)))))-COUNTBLANK(OFFSET(A$1,,,SUMPRODUCT(MAX(ROW(E$1:E4976)*(E2=E$1:E4976))))))</f>
        <v> </v>
      </c>
      <c r="K4977" s="25" t="str">
        <f>IF(OR(E4977="",E4977="!!!",F4977="NEW"),"",INDEX(J$1:J4976,SUMPRODUCT(MAX(ROW(E$1:E4976)*(E4977=E$1:E4976)))))</f>
        <v> </v>
      </c>
      <c r="L4977" s="26"/>
    </row>
    <row r="4978" spans="1:12">
      <c r="A4978" s="20" t="s">
        <v>1080</v>
      </c>
      <c r="E4978" s="21">
        <f>IF(D4978="?OLD","!!!","")</f>
        <v/>
      </c>
      <c r="F4978" s="22" t="str">
        <f>IF(OR(E4978="",E4978="!!!"),"",IF(NOT(ISNA(VLOOKUP(E4978,E$1:E4977,1,FALSE()))),"OLD",IF(AND(E4978&lt;&gt;"",E4978&lt;&gt;"!!!"),"NEW","")))</f>
        <v> </v>
      </c>
      <c r="G4978" s="23" t="str">
        <f>IF(OR(E4978="",E4978="!!!"),"",IF(OR(J4978=0,AND(J4978=1,K4978=1),AND(J4978=1,I4978="SBJ"),AND(J4978=1,I4978=0)),"?IN_FOCUS",IF(J4978&lt;=2,"?ACTIVATED",IF(J4978&lt;&gt;"","?FAMILIAR",IF(F4978="NEW",IF(ISNA(VLOOKUP(E4978,#REF!,1,FALSE())),"?TYPE_IDENTIFIABLE","?REFERENTIAL"),"_")))))</f>
        <v> </v>
      </c>
      <c r="H4978" s="24" t="str">
        <f>IF(J4978&lt;&gt;1,"",IF(I4978="SBJ","CB","?"))</f>
        <v> </v>
      </c>
      <c r="I4978" s="25" t="str">
        <f>IF(OR(E4978="",E4978="!!!",F4978="NEW"),"",INDEX(B4977:B$2,-1+SUMPRODUCT(MAX(ROW(E4977:E$2)*(E4978=E4977:E$2)))))</f>
        <v> </v>
      </c>
      <c r="J4978" s="25" t="str">
        <f>IF(OR(E4978="",E4978="!!!",F4978="NEW"),"",COUNTBLANK(OFFSET(A$1,,,SUMPRODUCT(MAX(ROW(E$2:E4978)*(E4978=E$2:E4978)))))-COUNTBLANK(OFFSET(A$1,,,SUMPRODUCT(MAX(ROW(E$1:E4977)*(E2=E$1:E4977))))))</f>
        <v> </v>
      </c>
      <c r="K4978" s="25" t="str">
        <f>IF(OR(E4978="",E4978="!!!",F4978="NEW"),"",INDEX(J$1:J4977,SUMPRODUCT(MAX(ROW(E$1:E4977)*(E4978=E$1:E4977)))))</f>
        <v> </v>
      </c>
      <c r="L4978" s="26"/>
    </row>
    <row r="4979" spans="1:12">
      <c r="A4979" s="20"/>
    </row>
    <row r="4980" spans="1:12">
      <c r="A4980" s="20" t="s">
        <v>1309</v>
      </c>
      <c r="E4980" s="21">
        <f>IF(D4980="?OLD","!!!","")</f>
        <v/>
      </c>
      <c r="F4980" s="22" t="str">
        <f>IF(OR(E4980="",E4980="!!!"),"",IF(NOT(ISNA(VLOOKUP(E4980,E$1:E4979,1,FALSE()))),"OLD",IF(AND(E4980&lt;&gt;"",E4980&lt;&gt;"!!!"),"NEW","")))</f>
        <v> </v>
      </c>
      <c r="G4980" s="23" t="str">
        <f>IF(OR(E4980="",E4980="!!!"),"",IF(OR(J4980=0,AND(J4980=1,K4980=1),AND(J4980=1,I4980="SBJ"),AND(J4980=1,I4980=0)),"?IN_FOCUS",IF(J4980&lt;=2,"?ACTIVATED",IF(J4980&lt;&gt;"","?FAMILIAR",IF(F4980="NEW",IF(ISNA(VLOOKUP(E4980,#REF!,1,FALSE())),"?TYPE_IDENTIFIABLE","?REFERENTIAL"),"_")))))</f>
        <v> </v>
      </c>
      <c r="H4980" s="24" t="str">
        <f>IF(J4980&lt;&gt;1,"",IF(I4980="SBJ","CB","?"))</f>
        <v> </v>
      </c>
      <c r="I4980" s="25" t="str">
        <f>IF(OR(E4980="",E4980="!!!",F4980="NEW"),"",INDEX(B4979:B$2,-1+SUMPRODUCT(MAX(ROW(E4979:E$2)*(E4980=E4979:E$2)))))</f>
        <v> </v>
      </c>
      <c r="J4980" s="25" t="str">
        <f>IF(OR(E4980="",E4980="!!!",F4980="NEW"),"",COUNTBLANK(OFFSET(A$1,,,SUMPRODUCT(MAX(ROW(E$2:E4980)*(E4980=E$2:E4980)))))-COUNTBLANK(OFFSET(A$1,,,SUMPRODUCT(MAX(ROW(E$1:E4979)*(E2=E$1:E4979))))))</f>
        <v> </v>
      </c>
      <c r="K4980" s="25" t="str">
        <f>IF(OR(E4980="",E4980="!!!",F4980="NEW"),"",INDEX(J$1:J4979,SUMPRODUCT(MAX(ROW(E$1:E4979)*(E4980=E$1:E4979)))))</f>
        <v> </v>
      </c>
      <c r="L4980" s="26"/>
    </row>
    <row r="4981" spans="1:12">
      <c r="A4981" s="20" t="s">
        <v>2501</v>
      </c>
    </row>
    <row r="4982" spans="1:12">
      <c r="A4982" s="20" t="s">
        <v>1123</v>
      </c>
      <c r="E4982" s="21">
        <f>IF(D4982="?OLD","!!!","")</f>
        <v/>
      </c>
      <c r="F4982" s="22" t="str">
        <f>IF(OR(E4982="",E4982="!!!"),"",IF(NOT(ISNA(VLOOKUP(E4982,E$1:E4981,1,FALSE()))),"OLD",IF(AND(E4982&lt;&gt;"",E4982&lt;&gt;"!!!"),"NEW","")))</f>
        <v> </v>
      </c>
      <c r="G4982" s="23" t="str">
        <f>IF(OR(E4982="",E4982="!!!"),"",IF(OR(J4982=0,AND(J4982=1,K4982=1),AND(J4982=1,I4982="SBJ"),AND(J4982=1,I4982=0)),"?IN_FOCUS",IF(J4982&lt;=2,"?ACTIVATED",IF(J4982&lt;&gt;"","?FAMILIAR",IF(F4982="NEW",IF(ISNA(VLOOKUP(E4982,#REF!,1,FALSE())),"?TYPE_IDENTIFIABLE","?REFERENTIAL"),"_")))))</f>
        <v> </v>
      </c>
      <c r="H4982" s="24" t="str">
        <f>IF(J4982&lt;&gt;1,"",IF(I4982="SBJ","CB","?"))</f>
        <v> </v>
      </c>
      <c r="I4982" s="25" t="str">
        <f>IF(OR(E4982="",E4982="!!!",F4982="NEW"),"",INDEX(B4981:B$2,-1+SUMPRODUCT(MAX(ROW(E4981:E$2)*(E4982=E4981:E$2)))))</f>
        <v> </v>
      </c>
      <c r="J4982" s="25" t="str">
        <f>IF(OR(E4982="",E4982="!!!",F4982="NEW"),"",COUNTBLANK(OFFSET(A$1,,,SUMPRODUCT(MAX(ROW(E$2:E4982)*(E4982=E$2:E4982)))))-COUNTBLANK(OFFSET(A$1,,,SUMPRODUCT(MAX(ROW(E$1:E4981)*(E2=E$1:E4981))))))</f>
        <v> </v>
      </c>
      <c r="K4982" s="25" t="str">
        <f>IF(OR(E4982="",E4982="!!!",F4982="NEW"),"",INDEX(J$1:J4981,SUMPRODUCT(MAX(ROW(E$1:E4981)*(E4982=E$1:E4981)))))</f>
        <v> </v>
      </c>
      <c r="L4982" s="26"/>
    </row>
    <row r="4983" spans="1:12">
      <c r="A4983" s="20" t="s">
        <v>286</v>
      </c>
      <c r="B4983" s="27" t="s">
        <v>1071</v>
      </c>
      <c r="C4983" s="27" t="s">
        <v>1093</v>
      </c>
      <c r="D4983" s="27" t="s">
        <v>1069</v>
      </c>
      <c r="E4983" s="21">
        <f>IF(D4983="?OLD","!!!","")</f>
        <v/>
      </c>
      <c r="F4983" s="22" t="str">
        <f>IF(OR(E4983="",E4983="!!!"),"",IF(NOT(ISNA(VLOOKUP(E4983,E$1:E4982,1,FALSE()))),"OLD",IF(AND(E4983&lt;&gt;"",E4983&lt;&gt;"!!!"),"NEW","")))</f>
        <v> </v>
      </c>
      <c r="G4983" s="23" t="str">
        <f>IF(OR(E4983="",E4983="!!!"),"",IF(OR(J4983=0,AND(J4983=1,K4983=1),AND(J4983=1,I4983="SBJ"),AND(J4983=1,I4983=0)),"?IN_FOCUS",IF(J4983&lt;=2,"?ACTIVATED",IF(J4983&lt;&gt;"","?FAMILIAR",IF(F4983="NEW",IF(ISNA(VLOOKUP(E4983,#REF!,1,FALSE())),"?TYPE_IDENTIFIABLE","?REFERENTIAL"),"_")))))</f>
        <v> </v>
      </c>
      <c r="H4983" s="24" t="str">
        <f>IF(J4983&lt;&gt;1,"",IF(I4983="SBJ","CB","?"))</f>
        <v> </v>
      </c>
      <c r="I4983" s="25" t="str">
        <f>IF(OR(E4983="",E4983="!!!",F4983="NEW"),"",INDEX(B4982:B$2,-1+SUMPRODUCT(MAX(ROW(E4982:E$2)*(E4983=E4982:E$2)))))</f>
        <v> </v>
      </c>
      <c r="J4983" s="25" t="str">
        <f>IF(OR(E4983="",E4983="!!!",F4983="NEW"),"",COUNTBLANK(OFFSET(A$1,,,SUMPRODUCT(MAX(ROW(E$2:E4983)*(E4983=E$2:E4983)))))-COUNTBLANK(OFFSET(A$1,,,SUMPRODUCT(MAX(ROW(E$1:E4982)*(E2=E$1:E4982))))))</f>
        <v> </v>
      </c>
      <c r="K4983" s="25" t="str">
        <f>IF(OR(E4983="",E4983="!!!",F4983="NEW"),"",INDEX(J$1:J4982,SUMPRODUCT(MAX(ROW(E$1:E4982)*(E4983=E$1:E4982)))))</f>
        <v> </v>
      </c>
      <c r="L4983" s="26"/>
    </row>
    <row r="4984" spans="1:12">
      <c r="A4984" s="20" t="s">
        <v>2502</v>
      </c>
      <c r="B4984" s="27" t="s">
        <v>1067</v>
      </c>
      <c r="C4984" s="27" t="s">
        <v>1077</v>
      </c>
      <c r="E4984" s="21">
        <f>IF(D4984="?OLD","!!!","")</f>
        <v/>
      </c>
      <c r="F4984" s="22" t="str">
        <f>IF(OR(E4984="",E4984="!!!"),"",IF(NOT(ISNA(VLOOKUP(E4984,E$1:E4983,1,FALSE()))),"OLD",IF(AND(E4984&lt;&gt;"",E4984&lt;&gt;"!!!"),"NEW","")))</f>
        <v> </v>
      </c>
      <c r="G4984" s="23" t="str">
        <f>IF(OR(E4984="",E4984="!!!"),"",IF(OR(J4984=0,AND(J4984=1,K4984=1),AND(J4984=1,I4984="SBJ"),AND(J4984=1,I4984=0)),"?IN_FOCUS",IF(J4984&lt;=2,"?ACTIVATED",IF(J4984&lt;&gt;"","?FAMILIAR",IF(F4984="NEW",IF(ISNA(VLOOKUP(E4984,#REF!,1,FALSE())),"?TYPE_IDENTIFIABLE","?REFERENTIAL"),"_")))))</f>
        <v> </v>
      </c>
      <c r="H4984" s="24" t="str">
        <f>IF(J4984&lt;&gt;1,"",IF(I4984="SBJ","CB","?"))</f>
        <v> </v>
      </c>
      <c r="I4984" s="25" t="str">
        <f>IF(OR(E4984="",E4984="!!!",F4984="NEW"),"",INDEX(B4983:B$2,-1+SUMPRODUCT(MAX(ROW(E4983:E$2)*(E4984=E4983:E$2)))))</f>
        <v> </v>
      </c>
      <c r="J4984" s="25" t="str">
        <f>IF(OR(E4984="",E4984="!!!",F4984="NEW"),"",COUNTBLANK(OFFSET(A$1,,,SUMPRODUCT(MAX(ROW(E$2:E4984)*(E4984=E$2:E4984)))))-COUNTBLANK(OFFSET(A$1,,,SUMPRODUCT(MAX(ROW(E$1:E4983)*(E2=E$1:E4983))))))</f>
        <v> </v>
      </c>
      <c r="K4984" s="25" t="str">
        <f>IF(OR(E4984="",E4984="!!!",F4984="NEW"),"",INDEX(J$1:J4983,SUMPRODUCT(MAX(ROW(E$1:E4983)*(E4984=E$1:E4983)))))</f>
        <v> </v>
      </c>
      <c r="L4984" s="26"/>
    </row>
    <row r="4985" spans="1:12">
      <c r="A4985" s="20" t="s">
        <v>1356</v>
      </c>
      <c r="E4985" s="21">
        <f>IF(D4985="?OLD","!!!","")</f>
        <v/>
      </c>
      <c r="F4985" s="22" t="str">
        <f>IF(OR(E4985="",E4985="!!!"),"",IF(NOT(ISNA(VLOOKUP(E4985,E$1:E4984,1,FALSE()))),"OLD",IF(AND(E4985&lt;&gt;"",E4985&lt;&gt;"!!!"),"NEW","")))</f>
        <v> </v>
      </c>
      <c r="G4985" s="23" t="str">
        <f>IF(OR(E4985="",E4985="!!!"),"",IF(OR(J4985=0,AND(J4985=1,K4985=1),AND(J4985=1,I4985="SBJ"),AND(J4985=1,I4985=0)),"?IN_FOCUS",IF(J4985&lt;=2,"?ACTIVATED",IF(J4985&lt;&gt;"","?FAMILIAR",IF(F4985="NEW",IF(ISNA(VLOOKUP(E4985,#REF!,1,FALSE())),"?TYPE_IDENTIFIABLE","?REFERENTIAL"),"_")))))</f>
        <v> </v>
      </c>
      <c r="H4985" s="24" t="str">
        <f>IF(J4985&lt;&gt;1,"",IF(I4985="SBJ","CB","?"))</f>
        <v> </v>
      </c>
      <c r="I4985" s="25" t="str">
        <f>IF(OR(E4985="",E4985="!!!",F4985="NEW"),"",INDEX(B4984:B$2,-1+SUMPRODUCT(MAX(ROW(E4984:E$2)*(E4985=E4984:E$2)))))</f>
        <v> </v>
      </c>
      <c r="J4985" s="25" t="str">
        <f>IF(OR(E4985="",E4985="!!!",F4985="NEW"),"",COUNTBLANK(OFFSET(A$1,,,SUMPRODUCT(MAX(ROW(E$2:E4985)*(E4985=E$2:E4985)))))-COUNTBLANK(OFFSET(A$1,,,SUMPRODUCT(MAX(ROW(E$1:E4984)*(E2=E$1:E4984))))))</f>
        <v> </v>
      </c>
      <c r="K4985" s="25" t="str">
        <f>IF(OR(E4985="",E4985="!!!",F4985="NEW"),"",INDEX(J$1:J4984,SUMPRODUCT(MAX(ROW(E$1:E4984)*(E4985=E$1:E4984)))))</f>
        <v> </v>
      </c>
      <c r="L4985" s="26"/>
    </row>
    <row r="4986" spans="1:12">
      <c r="A4986" s="20" t="s">
        <v>1191</v>
      </c>
      <c r="E4986" s="21">
        <f>IF(D4986="?OLD","!!!","")</f>
        <v/>
      </c>
      <c r="F4986" s="22" t="str">
        <f>IF(OR(E4986="",E4986="!!!"),"",IF(NOT(ISNA(VLOOKUP(E4986,E$1:E4985,1,FALSE()))),"OLD",IF(AND(E4986&lt;&gt;"",E4986&lt;&gt;"!!!"),"NEW","")))</f>
        <v> </v>
      </c>
      <c r="G4986" s="23" t="str">
        <f>IF(OR(E4986="",E4986="!!!"),"",IF(OR(J4986=0,AND(J4986=1,K4986=1),AND(J4986=1,I4986="SBJ"),AND(J4986=1,I4986=0)),"?IN_FOCUS",IF(J4986&lt;=2,"?ACTIVATED",IF(J4986&lt;&gt;"","?FAMILIAR",IF(F4986="NEW",IF(ISNA(VLOOKUP(E4986,#REF!,1,FALSE())),"?TYPE_IDENTIFIABLE","?REFERENTIAL"),"_")))))</f>
        <v> </v>
      </c>
      <c r="H4986" s="24" t="str">
        <f>IF(J4986&lt;&gt;1,"",IF(I4986="SBJ","CB","?"))</f>
        <v> </v>
      </c>
      <c r="I4986" s="25" t="str">
        <f>IF(OR(E4986="",E4986="!!!",F4986="NEW"),"",INDEX(B4985:B$2,-1+SUMPRODUCT(MAX(ROW(E4985:E$2)*(E4986=E4985:E$2)))))</f>
        <v> </v>
      </c>
      <c r="J4986" s="25" t="str">
        <f>IF(OR(E4986="",E4986="!!!",F4986="NEW"),"",COUNTBLANK(OFFSET(A$1,,,SUMPRODUCT(MAX(ROW(E$2:E4986)*(E4986=E$2:E4986)))))-COUNTBLANK(OFFSET(A$1,,,SUMPRODUCT(MAX(ROW(E$1:E4985)*(E2=E$1:E4985))))))</f>
        <v> </v>
      </c>
      <c r="K4986" s="25" t="str">
        <f>IF(OR(E4986="",E4986="!!!",F4986="NEW"),"",INDEX(J$1:J4985,SUMPRODUCT(MAX(ROW(E$1:E4985)*(E4986=E$1:E4985)))))</f>
        <v> </v>
      </c>
      <c r="L4986" s="26"/>
    </row>
    <row r="4987" spans="1:12">
      <c r="A4987" s="20" t="s">
        <v>1087</v>
      </c>
      <c r="E4987" s="21">
        <f>IF(D4987="?OLD","!!!","")</f>
        <v/>
      </c>
      <c r="F4987" s="22" t="str">
        <f>IF(OR(E4987="",E4987="!!!"),"",IF(NOT(ISNA(VLOOKUP(E4987,E$1:E4986,1,FALSE()))),"OLD",IF(AND(E4987&lt;&gt;"",E4987&lt;&gt;"!!!"),"NEW","")))</f>
        <v> </v>
      </c>
      <c r="G4987" s="23" t="str">
        <f>IF(OR(E4987="",E4987="!!!"),"",IF(OR(J4987=0,AND(J4987=1,K4987=1),AND(J4987=1,I4987="SBJ"),AND(J4987=1,I4987=0)),"?IN_FOCUS",IF(J4987&lt;=2,"?ACTIVATED",IF(J4987&lt;&gt;"","?FAMILIAR",IF(F4987="NEW",IF(ISNA(VLOOKUP(E4987,#REF!,1,FALSE())),"?TYPE_IDENTIFIABLE","?REFERENTIAL"),"_")))))</f>
        <v> </v>
      </c>
      <c r="H4987" s="24" t="str">
        <f>IF(J4987&lt;&gt;1,"",IF(I4987="SBJ","CB","?"))</f>
        <v> </v>
      </c>
      <c r="I4987" s="25" t="str">
        <f>IF(OR(E4987="",E4987="!!!",F4987="NEW"),"",INDEX(B4986:B$2,-1+SUMPRODUCT(MAX(ROW(E4986:E$2)*(E4987=E4986:E$2)))))</f>
        <v> </v>
      </c>
      <c r="J4987" s="25" t="str">
        <f>IF(OR(E4987="",E4987="!!!",F4987="NEW"),"",COUNTBLANK(OFFSET(A$1,,,SUMPRODUCT(MAX(ROW(E$2:E4987)*(E4987=E$2:E4987)))))-COUNTBLANK(OFFSET(A$1,,,SUMPRODUCT(MAX(ROW(E$1:E4986)*(E2=E$1:E4986))))))</f>
        <v> </v>
      </c>
      <c r="K4987" s="25" t="str">
        <f>IF(OR(E4987="",E4987="!!!",F4987="NEW"),"",INDEX(J$1:J4986,SUMPRODUCT(MAX(ROW(E$1:E4986)*(E4987=E$1:E4986)))))</f>
        <v> </v>
      </c>
      <c r="L4987" s="26"/>
    </row>
    <row r="4988" spans="1:12">
      <c r="A4988" s="20" t="s">
        <v>1149</v>
      </c>
      <c r="E4988" s="21">
        <f>IF(D4988="?OLD","!!!","")</f>
        <v/>
      </c>
      <c r="F4988" s="22" t="str">
        <f>IF(OR(E4988="",E4988="!!!"),"",IF(NOT(ISNA(VLOOKUP(E4988,E$1:E4987,1,FALSE()))),"OLD",IF(AND(E4988&lt;&gt;"",E4988&lt;&gt;"!!!"),"NEW","")))</f>
        <v> </v>
      </c>
      <c r="G4988" s="23" t="str">
        <f>IF(OR(E4988="",E4988="!!!"),"",IF(OR(J4988=0,AND(J4988=1,K4988=1),AND(J4988=1,I4988="SBJ"),AND(J4988=1,I4988=0)),"?IN_FOCUS",IF(J4988&lt;=2,"?ACTIVATED",IF(J4988&lt;&gt;"","?FAMILIAR",IF(F4988="NEW",IF(ISNA(VLOOKUP(E4988,#REF!,1,FALSE())),"?TYPE_IDENTIFIABLE","?REFERENTIAL"),"_")))))</f>
        <v> </v>
      </c>
      <c r="H4988" s="24" t="str">
        <f>IF(J4988&lt;&gt;1,"",IF(I4988="SBJ","CB","?"))</f>
        <v> </v>
      </c>
      <c r="I4988" s="25" t="str">
        <f>IF(OR(E4988="",E4988="!!!",F4988="NEW"),"",INDEX(B4987:B$2,-1+SUMPRODUCT(MAX(ROW(E4987:E$2)*(E4988=E4987:E$2)))))</f>
        <v> </v>
      </c>
      <c r="J4988" s="25" t="str">
        <f>IF(OR(E4988="",E4988="!!!",F4988="NEW"),"",COUNTBLANK(OFFSET(A$1,,,SUMPRODUCT(MAX(ROW(E$2:E4988)*(E4988=E$2:E4988)))))-COUNTBLANK(OFFSET(A$1,,,SUMPRODUCT(MAX(ROW(E$1:E4987)*(E2=E$1:E4987))))))</f>
        <v> </v>
      </c>
      <c r="K4988" s="25" t="str">
        <f>IF(OR(E4988="",E4988="!!!",F4988="NEW"),"",INDEX(J$1:J4987,SUMPRODUCT(MAX(ROW(E$1:E4987)*(E4988=E$1:E4987)))))</f>
        <v> </v>
      </c>
      <c r="L4988" s="26"/>
    </row>
    <row r="4989" spans="1:12">
      <c r="A4989" s="20" t="s">
        <v>1087</v>
      </c>
      <c r="E4989" s="21">
        <f>IF(D4989="?OLD","!!!","")</f>
        <v/>
      </c>
      <c r="F4989" s="22" t="str">
        <f>IF(OR(E4989="",E4989="!!!"),"",IF(NOT(ISNA(VLOOKUP(E4989,E$1:E4988,1,FALSE()))),"OLD",IF(AND(E4989&lt;&gt;"",E4989&lt;&gt;"!!!"),"NEW","")))</f>
        <v> </v>
      </c>
      <c r="G4989" s="23" t="str">
        <f>IF(OR(E4989="",E4989="!!!"),"",IF(OR(J4989=0,AND(J4989=1,K4989=1),AND(J4989=1,I4989="SBJ"),AND(J4989=1,I4989=0)),"?IN_FOCUS",IF(J4989&lt;=2,"?ACTIVATED",IF(J4989&lt;&gt;"","?FAMILIAR",IF(F4989="NEW",IF(ISNA(VLOOKUP(E4989,#REF!,1,FALSE())),"?TYPE_IDENTIFIABLE","?REFERENTIAL"),"_")))))</f>
        <v> </v>
      </c>
      <c r="H4989" s="24" t="str">
        <f>IF(J4989&lt;&gt;1,"",IF(I4989="SBJ","CB","?"))</f>
        <v> </v>
      </c>
      <c r="I4989" s="25" t="str">
        <f>IF(OR(E4989="",E4989="!!!",F4989="NEW"),"",INDEX(B4988:B$2,-1+SUMPRODUCT(MAX(ROW(E4988:E$2)*(E4989=E4988:E$2)))))</f>
        <v> </v>
      </c>
      <c r="J4989" s="25" t="str">
        <f>IF(OR(E4989="",E4989="!!!",F4989="NEW"),"",COUNTBLANK(OFFSET(A$1,,,SUMPRODUCT(MAX(ROW(E$2:E4989)*(E4989=E$2:E4989)))))-COUNTBLANK(OFFSET(A$1,,,SUMPRODUCT(MAX(ROW(E$1:E4988)*(E2=E$1:E4988))))))</f>
        <v> </v>
      </c>
      <c r="K4989" s="25" t="str">
        <f>IF(OR(E4989="",E4989="!!!",F4989="NEW"),"",INDEX(J$1:J4988,SUMPRODUCT(MAX(ROW(E$1:E4988)*(E4989=E$1:E4988)))))</f>
        <v> </v>
      </c>
      <c r="L4989" s="26"/>
    </row>
    <row r="4990" spans="1:12">
      <c r="A4990" s="20" t="s">
        <v>1196</v>
      </c>
      <c r="E4990" s="21">
        <f>IF(D4990="?OLD","!!!","")</f>
        <v/>
      </c>
      <c r="F4990" s="22" t="str">
        <f>IF(OR(E4990="",E4990="!!!"),"",IF(NOT(ISNA(VLOOKUP(E4990,E$1:E4989,1,FALSE()))),"OLD",IF(AND(E4990&lt;&gt;"",E4990&lt;&gt;"!!!"),"NEW","")))</f>
        <v> </v>
      </c>
      <c r="G4990" s="23" t="str">
        <f>IF(OR(E4990="",E4990="!!!"),"",IF(OR(J4990=0,AND(J4990=1,K4990=1),AND(J4990=1,I4990="SBJ"),AND(J4990=1,I4990=0)),"?IN_FOCUS",IF(J4990&lt;=2,"?ACTIVATED",IF(J4990&lt;&gt;"","?FAMILIAR",IF(F4990="NEW",IF(ISNA(VLOOKUP(E4990,#REF!,1,FALSE())),"?TYPE_IDENTIFIABLE","?REFERENTIAL"),"_")))))</f>
        <v> </v>
      </c>
      <c r="H4990" s="24" t="str">
        <f>IF(J4990&lt;&gt;1,"",IF(I4990="SBJ","CB","?"))</f>
        <v> </v>
      </c>
      <c r="I4990" s="25" t="str">
        <f>IF(OR(E4990="",E4990="!!!",F4990="NEW"),"",INDEX(B4989:B$2,-1+SUMPRODUCT(MAX(ROW(E4989:E$2)*(E4990=E4989:E$2)))))</f>
        <v> </v>
      </c>
      <c r="J4990" s="25" t="str">
        <f>IF(OR(E4990="",E4990="!!!",F4990="NEW"),"",COUNTBLANK(OFFSET(A$1,,,SUMPRODUCT(MAX(ROW(E$2:E4990)*(E4990=E$2:E4990)))))-COUNTBLANK(OFFSET(A$1,,,SUMPRODUCT(MAX(ROW(E$1:E4989)*(E2=E$1:E4989))))))</f>
        <v> </v>
      </c>
      <c r="K4990" s="25" t="str">
        <f>IF(OR(E4990="",E4990="!!!",F4990="NEW"),"",INDEX(J$1:J4989,SUMPRODUCT(MAX(ROW(E$1:E4989)*(E4990=E$1:E4989)))))</f>
        <v> </v>
      </c>
      <c r="L4990" s="26"/>
    </row>
    <row r="4991" spans="1:12">
      <c r="A4991" s="20" t="s">
        <v>1351</v>
      </c>
      <c r="B4991" s="27" t="s">
        <v>1095</v>
      </c>
      <c r="C4991" s="27" t="s">
        <v>1072</v>
      </c>
      <c r="E4991" s="21">
        <f>IF(D4991="?OLD","!!!","")</f>
        <v/>
      </c>
      <c r="F4991" s="22" t="str">
        <f>IF(OR(E4991="",E4991="!!!"),"",IF(NOT(ISNA(VLOOKUP(E4991,E$1:E4990,1,FALSE()))),"OLD",IF(AND(E4991&lt;&gt;"",E4991&lt;&gt;"!!!"),"NEW","")))</f>
        <v> </v>
      </c>
      <c r="G4991" s="23" t="str">
        <f>IF(OR(E4991="",E4991="!!!"),"",IF(OR(J4991=0,AND(J4991=1,K4991=1),AND(J4991=1,I4991="SBJ"),AND(J4991=1,I4991=0)),"?IN_FOCUS",IF(J4991&lt;=2,"?ACTIVATED",IF(J4991&lt;&gt;"","?FAMILIAR",IF(F4991="NEW",IF(ISNA(VLOOKUP(E4991,#REF!,1,FALSE())),"?TYPE_IDENTIFIABLE","?REFERENTIAL"),"_")))))</f>
        <v> </v>
      </c>
      <c r="H4991" s="24" t="str">
        <f>IF(J4991&lt;&gt;1,"",IF(I4991="SBJ","CB","?"))</f>
        <v> </v>
      </c>
      <c r="I4991" s="25" t="str">
        <f>IF(OR(E4991="",E4991="!!!",F4991="NEW"),"",INDEX(B4990:B$2,-1+SUMPRODUCT(MAX(ROW(E4990:E$2)*(E4991=E4990:E$2)))))</f>
        <v> </v>
      </c>
      <c r="J4991" s="25" t="str">
        <f>IF(OR(E4991="",E4991="!!!",F4991="NEW"),"",COUNTBLANK(OFFSET(A$1,,,SUMPRODUCT(MAX(ROW(E$2:E4991)*(E4991=E$2:E4991)))))-COUNTBLANK(OFFSET(A$1,,,SUMPRODUCT(MAX(ROW(E$1:E4990)*(E2=E$1:E4990))))))</f>
        <v> </v>
      </c>
      <c r="K4991" s="25" t="str">
        <f>IF(OR(E4991="",E4991="!!!",F4991="NEW"),"",INDEX(J$1:J4990,SUMPRODUCT(MAX(ROW(E$1:E4990)*(E4991=E$1:E4990)))))</f>
        <v> </v>
      </c>
      <c r="L4991" s="26"/>
    </row>
    <row r="4992" spans="1:12">
      <c r="A4992" s="20" t="s">
        <v>1167</v>
      </c>
      <c r="B4992" s="27" t="s">
        <v>1090</v>
      </c>
      <c r="C4992" s="27" t="s">
        <v>1068</v>
      </c>
      <c r="D4992" s="27" t="s">
        <v>1069</v>
      </c>
      <c r="E4992" s="21">
        <f>IF(D4992="?OLD","!!!","")</f>
        <v/>
      </c>
      <c r="F4992" s="22" t="str">
        <f>IF(OR(E4992="",E4992="!!!"),"",IF(NOT(ISNA(VLOOKUP(E4992,E$1:E4991,1,FALSE()))),"OLD",IF(AND(E4992&lt;&gt;"",E4992&lt;&gt;"!!!"),"NEW","")))</f>
        <v> </v>
      </c>
      <c r="G4992" s="23" t="str">
        <f>IF(OR(E4992="",E4992="!!!"),"",IF(OR(J4992=0,AND(J4992=1,K4992=1),AND(J4992=1,I4992="SBJ"),AND(J4992=1,I4992=0)),"?IN_FOCUS",IF(J4992&lt;=2,"?ACTIVATED",IF(J4992&lt;&gt;"","?FAMILIAR",IF(F4992="NEW",IF(ISNA(VLOOKUP(E4992,#REF!,1,FALSE())),"?TYPE_IDENTIFIABLE","?REFERENTIAL"),"_")))))</f>
        <v> </v>
      </c>
      <c r="H4992" s="24" t="str">
        <f>IF(J4992&lt;&gt;1,"",IF(I4992="SBJ","CB","?"))</f>
        <v> </v>
      </c>
      <c r="I4992" s="25" t="str">
        <f>IF(OR(E4992="",E4992="!!!",F4992="NEW"),"",INDEX(B4991:B$2,-1+SUMPRODUCT(MAX(ROW(E4991:E$2)*(E4992=E4991:E$2)))))</f>
        <v> </v>
      </c>
      <c r="J4992" s="25" t="str">
        <f>IF(OR(E4992="",E4992="!!!",F4992="NEW"),"",COUNTBLANK(OFFSET(A$1,,,SUMPRODUCT(MAX(ROW(E$2:E4992)*(E4992=E$2:E4992)))))-COUNTBLANK(OFFSET(A$1,,,SUMPRODUCT(MAX(ROW(E$1:E4991)*(E2=E$1:E4991))))))</f>
        <v> </v>
      </c>
      <c r="K4992" s="25" t="str">
        <f>IF(OR(E4992="",E4992="!!!",F4992="NEW"),"",INDEX(J$1:J4991,SUMPRODUCT(MAX(ROW(E$1:E4991)*(E4992=E$1:E4991)))))</f>
        <v> </v>
      </c>
      <c r="L4992" s="26"/>
    </row>
    <row r="4993" spans="1:12">
      <c r="A4993" s="20" t="s">
        <v>2503</v>
      </c>
      <c r="E4993" s="21">
        <f>IF(D4993="?OLD","!!!","")</f>
        <v/>
      </c>
      <c r="F4993" s="22" t="str">
        <f>IF(OR(E4993="",E4993="!!!"),"",IF(NOT(ISNA(VLOOKUP(E4993,E$1:E4992,1,FALSE()))),"OLD",IF(AND(E4993&lt;&gt;"",E4993&lt;&gt;"!!!"),"NEW","")))</f>
        <v> </v>
      </c>
      <c r="G4993" s="23" t="str">
        <f>IF(OR(E4993="",E4993="!!!"),"",IF(OR(J4993=0,AND(J4993=1,K4993=1),AND(J4993=1,I4993="SBJ"),AND(J4993=1,I4993=0)),"?IN_FOCUS",IF(J4993&lt;=2,"?ACTIVATED",IF(J4993&lt;&gt;"","?FAMILIAR",IF(F4993="NEW",IF(ISNA(VLOOKUP(E4993,#REF!,1,FALSE())),"?TYPE_IDENTIFIABLE","?REFERENTIAL"),"_")))))</f>
        <v> </v>
      </c>
      <c r="H4993" s="24" t="str">
        <f>IF(J4993&lt;&gt;1,"",IF(I4993="SBJ","CB","?"))</f>
        <v> </v>
      </c>
      <c r="I4993" s="25" t="str">
        <f>IF(OR(E4993="",E4993="!!!",F4993="NEW"),"",INDEX(B4992:B$2,-1+SUMPRODUCT(MAX(ROW(E4992:E$2)*(E4993=E4992:E$2)))))</f>
        <v> </v>
      </c>
      <c r="J4993" s="25" t="str">
        <f>IF(OR(E4993="",E4993="!!!",F4993="NEW"),"",COUNTBLANK(OFFSET(A$1,,,SUMPRODUCT(MAX(ROW(E$2:E4993)*(E4993=E$2:E4993)))))-COUNTBLANK(OFFSET(A$1,,,SUMPRODUCT(MAX(ROW(E$1:E4992)*(E2=E$1:E4992))))))</f>
        <v> </v>
      </c>
      <c r="K4993" s="25" t="str">
        <f>IF(OR(E4993="",E4993="!!!",F4993="NEW"),"",INDEX(J$1:J4992,SUMPRODUCT(MAX(ROW(E$1:E4992)*(E4993=E$1:E4992)))))</f>
        <v> </v>
      </c>
      <c r="L4993" s="26"/>
    </row>
    <row r="4994" spans="1:12">
      <c r="A4994" s="20" t="s">
        <v>212</v>
      </c>
      <c r="E4994" s="21">
        <f>IF(D4994="?OLD","!!!","")</f>
        <v/>
      </c>
      <c r="F4994" s="22" t="str">
        <f>IF(OR(E4994="",E4994="!!!"),"",IF(NOT(ISNA(VLOOKUP(E4994,E$1:E4993,1,FALSE()))),"OLD",IF(AND(E4994&lt;&gt;"",E4994&lt;&gt;"!!!"),"NEW","")))</f>
        <v> </v>
      </c>
      <c r="G4994" s="23" t="str">
        <f>IF(OR(E4994="",E4994="!!!"),"",IF(OR(J4994=0,AND(J4994=1,K4994=1),AND(J4994=1,I4994="SBJ"),AND(J4994=1,I4994=0)),"?IN_FOCUS",IF(J4994&lt;=2,"?ACTIVATED",IF(J4994&lt;&gt;"","?FAMILIAR",IF(F4994="NEW",IF(ISNA(VLOOKUP(E4994,#REF!,1,FALSE())),"?TYPE_IDENTIFIABLE","?REFERENTIAL"),"_")))))</f>
        <v> </v>
      </c>
      <c r="H4994" s="24" t="str">
        <f>IF(J4994&lt;&gt;1,"",IF(I4994="SBJ","CB","?"))</f>
        <v> </v>
      </c>
      <c r="I4994" s="25" t="str">
        <f>IF(OR(E4994="",E4994="!!!",F4994="NEW"),"",INDEX(B4993:B$2,-1+SUMPRODUCT(MAX(ROW(E4993:E$2)*(E4994=E4993:E$2)))))</f>
        <v> </v>
      </c>
      <c r="J4994" s="25" t="str">
        <f>IF(OR(E4994="",E4994="!!!",F4994="NEW"),"",COUNTBLANK(OFFSET(A$1,,,SUMPRODUCT(MAX(ROW(E$2:E4994)*(E4994=E$2:E4994)))))-COUNTBLANK(OFFSET(A$1,,,SUMPRODUCT(MAX(ROW(E$1:E4993)*(E2=E$1:E4993))))))</f>
        <v> </v>
      </c>
      <c r="K4994" s="25" t="str">
        <f>IF(OR(E4994="",E4994="!!!",F4994="NEW"),"",INDEX(J$1:J4993,SUMPRODUCT(MAX(ROW(E$1:E4993)*(E4994=E$1:E4993)))))</f>
        <v> </v>
      </c>
      <c r="L4994" s="26"/>
    </row>
    <row r="4995" spans="1:12">
      <c r="A4995" s="20" t="s">
        <v>1173</v>
      </c>
      <c r="E4995" s="21">
        <f>IF(D4995="?OLD","!!!","")</f>
        <v/>
      </c>
      <c r="F4995" s="22" t="str">
        <f>IF(OR(E4995="",E4995="!!!"),"",IF(NOT(ISNA(VLOOKUP(E4995,E$1:E4994,1,FALSE()))),"OLD",IF(AND(E4995&lt;&gt;"",E4995&lt;&gt;"!!!"),"NEW","")))</f>
        <v> </v>
      </c>
      <c r="G4995" s="23" t="str">
        <f>IF(OR(E4995="",E4995="!!!"),"",IF(OR(J4995=0,AND(J4995=1,K4995=1),AND(J4995=1,I4995="SBJ"),AND(J4995=1,I4995=0)),"?IN_FOCUS",IF(J4995&lt;=2,"?ACTIVATED",IF(J4995&lt;&gt;"","?FAMILIAR",IF(F4995="NEW",IF(ISNA(VLOOKUP(E4995,#REF!,1,FALSE())),"?TYPE_IDENTIFIABLE","?REFERENTIAL"),"_")))))</f>
        <v> </v>
      </c>
      <c r="H4995" s="24" t="str">
        <f>IF(J4995&lt;&gt;1,"",IF(I4995="SBJ","CB","?"))</f>
        <v> </v>
      </c>
      <c r="I4995" s="25" t="str">
        <f>IF(OR(E4995="",E4995="!!!",F4995="NEW"),"",INDEX(B4994:B$2,-1+SUMPRODUCT(MAX(ROW(E4994:E$2)*(E4995=E4994:E$2)))))</f>
        <v> </v>
      </c>
      <c r="J4995" s="25" t="str">
        <f>IF(OR(E4995="",E4995="!!!",F4995="NEW"),"",COUNTBLANK(OFFSET(A$1,,,SUMPRODUCT(MAX(ROW(E$2:E4995)*(E4995=E$2:E4995)))))-COUNTBLANK(OFFSET(A$1,,,SUMPRODUCT(MAX(ROW(E$1:E4994)*(E2=E$1:E4994))))))</f>
        <v> </v>
      </c>
      <c r="K4995" s="25" t="str">
        <f>IF(OR(E4995="",E4995="!!!",F4995="NEW"),"",INDEX(J$1:J4994,SUMPRODUCT(MAX(ROW(E$1:E4994)*(E4995=E$1:E4994)))))</f>
        <v> </v>
      </c>
      <c r="L4995" s="26"/>
    </row>
    <row r="4996" spans="1:12">
      <c r="A4996" s="20" t="s">
        <v>1087</v>
      </c>
      <c r="E4996" s="21">
        <f>IF(D4996="?OLD","!!!","")</f>
        <v/>
      </c>
      <c r="F4996" s="22" t="str">
        <f>IF(OR(E4996="",E4996="!!!"),"",IF(NOT(ISNA(VLOOKUP(E4996,E$1:E4995,1,FALSE()))),"OLD",IF(AND(E4996&lt;&gt;"",E4996&lt;&gt;"!!!"),"NEW","")))</f>
        <v> </v>
      </c>
      <c r="G4996" s="23" t="str">
        <f>IF(OR(E4996="",E4996="!!!"),"",IF(OR(J4996=0,AND(J4996=1,K4996=1),AND(J4996=1,I4996="SBJ"),AND(J4996=1,I4996=0)),"?IN_FOCUS",IF(J4996&lt;=2,"?ACTIVATED",IF(J4996&lt;&gt;"","?FAMILIAR",IF(F4996="NEW",IF(ISNA(VLOOKUP(E4996,#REF!,1,FALSE())),"?TYPE_IDENTIFIABLE","?REFERENTIAL"),"_")))))</f>
        <v> </v>
      </c>
      <c r="H4996" s="24" t="str">
        <f>IF(J4996&lt;&gt;1,"",IF(I4996="SBJ","CB","?"))</f>
        <v> </v>
      </c>
      <c r="I4996" s="25" t="str">
        <f>IF(OR(E4996="",E4996="!!!",F4996="NEW"),"",INDEX(B4995:B$2,-1+SUMPRODUCT(MAX(ROW(E4995:E$2)*(E4996=E4995:E$2)))))</f>
        <v> </v>
      </c>
      <c r="J4996" s="25" t="str">
        <f>IF(OR(E4996="",E4996="!!!",F4996="NEW"),"",COUNTBLANK(OFFSET(A$1,,,SUMPRODUCT(MAX(ROW(E$2:E4996)*(E4996=E$2:E4996)))))-COUNTBLANK(OFFSET(A$1,,,SUMPRODUCT(MAX(ROW(E$1:E4995)*(E2=E$1:E4995))))))</f>
        <v> </v>
      </c>
      <c r="K4996" s="25" t="str">
        <f>IF(OR(E4996="",E4996="!!!",F4996="NEW"),"",INDEX(J$1:J4995,SUMPRODUCT(MAX(ROW(E$1:E4995)*(E4996=E$1:E4995)))))</f>
        <v> </v>
      </c>
      <c r="L4996" s="26"/>
    </row>
    <row r="4997" spans="1:12">
      <c r="A4997" s="20" t="s">
        <v>1078</v>
      </c>
      <c r="E4997" s="21">
        <f>IF(D4997="?OLD","!!!","")</f>
        <v/>
      </c>
      <c r="F4997" s="22" t="str">
        <f>IF(OR(E4997="",E4997="!!!"),"",IF(NOT(ISNA(VLOOKUP(E4997,E$1:E4996,1,FALSE()))),"OLD",IF(AND(E4997&lt;&gt;"",E4997&lt;&gt;"!!!"),"NEW","")))</f>
        <v> </v>
      </c>
      <c r="G4997" s="23" t="str">
        <f>IF(OR(E4997="",E4997="!!!"),"",IF(OR(J4997=0,AND(J4997=1,K4997=1),AND(J4997=1,I4997="SBJ"),AND(J4997=1,I4997=0)),"?IN_FOCUS",IF(J4997&lt;=2,"?ACTIVATED",IF(J4997&lt;&gt;"","?FAMILIAR",IF(F4997="NEW",IF(ISNA(VLOOKUP(E4997,#REF!,1,FALSE())),"?TYPE_IDENTIFIABLE","?REFERENTIAL"),"_")))))</f>
        <v> </v>
      </c>
      <c r="H4997" s="24" t="str">
        <f>IF(J4997&lt;&gt;1,"",IF(I4997="SBJ","CB","?"))</f>
        <v> </v>
      </c>
      <c r="I4997" s="25" t="str">
        <f>IF(OR(E4997="",E4997="!!!",F4997="NEW"),"",INDEX(B4996:B$2,-1+SUMPRODUCT(MAX(ROW(E4996:E$2)*(E4997=E4996:E$2)))))</f>
        <v> </v>
      </c>
      <c r="J4997" s="25" t="str">
        <f>IF(OR(E4997="",E4997="!!!",F4997="NEW"),"",COUNTBLANK(OFFSET(A$1,,,SUMPRODUCT(MAX(ROW(E$2:E4997)*(E4997=E$2:E4997)))))-COUNTBLANK(OFFSET(A$1,,,SUMPRODUCT(MAX(ROW(E$1:E4996)*(E2=E$1:E4996))))))</f>
        <v> </v>
      </c>
      <c r="K4997" s="25" t="str">
        <f>IF(OR(E4997="",E4997="!!!",F4997="NEW"),"",INDEX(J$1:J4996,SUMPRODUCT(MAX(ROW(E$1:E4996)*(E4997=E$1:E4996)))))</f>
        <v> </v>
      </c>
      <c r="L4997" s="26"/>
    </row>
    <row r="4998" spans="1:12">
      <c r="A4998" s="20" t="s">
        <v>2504</v>
      </c>
      <c r="E4998" s="21">
        <f>IF(D4998="?OLD","!!!","")</f>
        <v/>
      </c>
      <c r="F4998" s="22" t="str">
        <f>IF(OR(E4998="",E4998="!!!"),"",IF(NOT(ISNA(VLOOKUP(E4998,E$1:E4997,1,FALSE()))),"OLD",IF(AND(E4998&lt;&gt;"",E4998&lt;&gt;"!!!"),"NEW","")))</f>
        <v> </v>
      </c>
      <c r="G4998" s="23" t="str">
        <f>IF(OR(E4998="",E4998="!!!"),"",IF(OR(J4998=0,AND(J4998=1,K4998=1),AND(J4998=1,I4998="SBJ"),AND(J4998=1,I4998=0)),"?IN_FOCUS",IF(J4998&lt;=2,"?ACTIVATED",IF(J4998&lt;&gt;"","?FAMILIAR",IF(F4998="NEW",IF(ISNA(VLOOKUP(E4998,#REF!,1,FALSE())),"?TYPE_IDENTIFIABLE","?REFERENTIAL"),"_")))))</f>
        <v> </v>
      </c>
      <c r="H4998" s="24" t="str">
        <f>IF(J4998&lt;&gt;1,"",IF(I4998="SBJ","CB","?"))</f>
        <v> </v>
      </c>
      <c r="I4998" s="25" t="str">
        <f>IF(OR(E4998="",E4998="!!!",F4998="NEW"),"",INDEX(B4997:B$2,-1+SUMPRODUCT(MAX(ROW(E4997:E$2)*(E4998=E4997:E$2)))))</f>
        <v> </v>
      </c>
      <c r="J4998" s="25" t="str">
        <f>IF(OR(E4998="",E4998="!!!",F4998="NEW"),"",COUNTBLANK(OFFSET(A$1,,,SUMPRODUCT(MAX(ROW(E$2:E4998)*(E4998=E$2:E4998)))))-COUNTBLANK(OFFSET(A$1,,,SUMPRODUCT(MAX(ROW(E$1:E4997)*(E2=E$1:E4997))))))</f>
        <v> </v>
      </c>
      <c r="K4998" s="25" t="str">
        <f>IF(OR(E4998="",E4998="!!!",F4998="NEW"),"",INDEX(J$1:J4997,SUMPRODUCT(MAX(ROW(E$1:E4997)*(E4998=E$1:E4997)))))</f>
        <v> </v>
      </c>
      <c r="L4998" s="26"/>
    </row>
    <row r="4999" spans="1:12">
      <c r="A4999" s="20" t="s">
        <v>1083</v>
      </c>
      <c r="E4999" s="21">
        <f>IF(D4999="?OLD","!!!","")</f>
        <v/>
      </c>
      <c r="F4999" s="22" t="str">
        <f>IF(OR(E4999="",E4999="!!!"),"",IF(NOT(ISNA(VLOOKUP(E4999,E$1:E4998,1,FALSE()))),"OLD",IF(AND(E4999&lt;&gt;"",E4999&lt;&gt;"!!!"),"NEW","")))</f>
        <v> </v>
      </c>
      <c r="G4999" s="23" t="str">
        <f>IF(OR(E4999="",E4999="!!!"),"",IF(OR(J4999=0,AND(J4999=1,K4999=1),AND(J4999=1,I4999="SBJ"),AND(J4999=1,I4999=0)),"?IN_FOCUS",IF(J4999&lt;=2,"?ACTIVATED",IF(J4999&lt;&gt;"","?FAMILIAR",IF(F4999="NEW",IF(ISNA(VLOOKUP(E4999,#REF!,1,FALSE())),"?TYPE_IDENTIFIABLE","?REFERENTIAL"),"_")))))</f>
        <v> </v>
      </c>
      <c r="H4999" s="24" t="str">
        <f>IF(J4999&lt;&gt;1,"",IF(I4999="SBJ","CB","?"))</f>
        <v> </v>
      </c>
      <c r="I4999" s="25" t="str">
        <f>IF(OR(E4999="",E4999="!!!",F4999="NEW"),"",INDEX(B4998:B$2,-1+SUMPRODUCT(MAX(ROW(E4998:E$2)*(E4999=E4998:E$2)))))</f>
        <v> </v>
      </c>
      <c r="J4999" s="25" t="str">
        <f>IF(OR(E4999="",E4999="!!!",F4999="NEW"),"",COUNTBLANK(OFFSET(A$1,,,SUMPRODUCT(MAX(ROW(E$2:E4999)*(E4999=E$2:E4999)))))-COUNTBLANK(OFFSET(A$1,,,SUMPRODUCT(MAX(ROW(E$1:E4998)*(E2=E$1:E4998))))))</f>
        <v> </v>
      </c>
      <c r="K4999" s="25" t="str">
        <f>IF(OR(E4999="",E4999="!!!",F4999="NEW"),"",INDEX(J$1:J4998,SUMPRODUCT(MAX(ROW(E$1:E4998)*(E4999=E$1:E4998)))))</f>
        <v> </v>
      </c>
      <c r="L4999" s="26"/>
    </row>
    <row r="5000" spans="1:12">
      <c r="A5000" s="20" t="s">
        <v>1256</v>
      </c>
      <c r="B5000" s="27" t="s">
        <v>1133</v>
      </c>
      <c r="C5000" s="27" t="s">
        <v>1134</v>
      </c>
      <c r="D5000" s="27" t="s">
        <v>1069</v>
      </c>
      <c r="E5000" s="21">
        <f>IF(D5000="?OLD","!!!","")</f>
        <v/>
      </c>
      <c r="F5000" s="22" t="str">
        <f>IF(OR(E5000="",E5000="!!!"),"",IF(NOT(ISNA(VLOOKUP(E5000,E$1:E4999,1,FALSE()))),"OLD",IF(AND(E5000&lt;&gt;"",E5000&lt;&gt;"!!!"),"NEW","")))</f>
        <v> </v>
      </c>
      <c r="G5000" s="23" t="str">
        <f>IF(OR(E5000="",E5000="!!!"),"",IF(OR(J5000=0,AND(J5000=1,K5000=1),AND(J5000=1,I5000="SBJ"),AND(J5000=1,I5000=0)),"?IN_FOCUS",IF(J5000&lt;=2,"?ACTIVATED",IF(J5000&lt;&gt;"","?FAMILIAR",IF(F5000="NEW",IF(ISNA(VLOOKUP(E5000,#REF!,1,FALSE())),"?TYPE_IDENTIFIABLE","?REFERENTIAL"),"_")))))</f>
        <v> </v>
      </c>
      <c r="H5000" s="24" t="str">
        <f>IF(J5000&lt;&gt;1,"",IF(I5000="SBJ","CB","?"))</f>
        <v> </v>
      </c>
      <c r="I5000" s="25" t="str">
        <f>IF(OR(E5000="",E5000="!!!",F5000="NEW"),"",INDEX(B4999:B$2,-1+SUMPRODUCT(MAX(ROW(E4999:E$2)*(E5000=E4999:E$2)))))</f>
        <v> </v>
      </c>
      <c r="J5000" s="25" t="str">
        <f>IF(OR(E5000="",E5000="!!!",F5000="NEW"),"",COUNTBLANK(OFFSET(A$1,,,SUMPRODUCT(MAX(ROW(E$2:E5000)*(E5000=E$2:E5000)))))-COUNTBLANK(OFFSET(A$1,,,SUMPRODUCT(MAX(ROW(E$1:E4999)*(E2=E$1:E4999))))))</f>
        <v> </v>
      </c>
      <c r="K5000" s="25" t="str">
        <f>IF(OR(E5000="",E5000="!!!",F5000="NEW"),"",INDEX(J$1:J4999,SUMPRODUCT(MAX(ROW(E$1:E4999)*(E5000=E$1:E4999)))))</f>
        <v> </v>
      </c>
      <c r="L5000" s="26"/>
    </row>
    <row r="5001" spans="1:12">
      <c r="A5001" s="20" t="s">
        <v>2505</v>
      </c>
      <c r="E5001" s="21">
        <f>IF(D5001="?OLD","!!!","")</f>
        <v/>
      </c>
      <c r="F5001" s="22" t="str">
        <f>IF(OR(E5001="",E5001="!!!"),"",IF(NOT(ISNA(VLOOKUP(E5001,E$1:E5000,1,FALSE()))),"OLD",IF(AND(E5001&lt;&gt;"",E5001&lt;&gt;"!!!"),"NEW","")))</f>
        <v> </v>
      </c>
      <c r="G5001" s="23" t="str">
        <f>IF(OR(E5001="",E5001="!!!"),"",IF(OR(J5001=0,AND(J5001=1,K5001=1),AND(J5001=1,I5001="SBJ"),AND(J5001=1,I5001=0)),"?IN_FOCUS",IF(J5001&lt;=2,"?ACTIVATED",IF(J5001&lt;&gt;"","?FAMILIAR",IF(F5001="NEW",IF(ISNA(VLOOKUP(E5001,#REF!,1,FALSE())),"?TYPE_IDENTIFIABLE","?REFERENTIAL"),"_")))))</f>
        <v> </v>
      </c>
      <c r="H5001" s="24" t="str">
        <f>IF(J5001&lt;&gt;1,"",IF(I5001="SBJ","CB","?"))</f>
        <v> </v>
      </c>
      <c r="I5001" s="25" t="str">
        <f>IF(OR(E5001="",E5001="!!!",F5001="NEW"),"",INDEX(B5000:B$2,-1+SUMPRODUCT(MAX(ROW(E5000:E$2)*(E5001=E5000:E$2)))))</f>
        <v> </v>
      </c>
      <c r="J5001" s="25" t="str">
        <f>IF(OR(E5001="",E5001="!!!",F5001="NEW"),"",COUNTBLANK(OFFSET(A$1,,,SUMPRODUCT(MAX(ROW(E$2:E5001)*(E5001=E$2:E5001)))))-COUNTBLANK(OFFSET(A$1,,,SUMPRODUCT(MAX(ROW(E$1:E5000)*(E2=E$1:E5000))))))</f>
        <v> </v>
      </c>
      <c r="K5001" s="25" t="str">
        <f>IF(OR(E5001="",E5001="!!!",F5001="NEW"),"",INDEX(J$1:J5000,SUMPRODUCT(MAX(ROW(E$1:E5000)*(E5001=E$1:E5000)))))</f>
        <v> </v>
      </c>
      <c r="L5001" s="26"/>
    </row>
    <row r="5002" spans="1:12">
      <c r="A5002" s="20" t="s">
        <v>1087</v>
      </c>
      <c r="E5002" s="21">
        <f>IF(D5002="?OLD","!!!","")</f>
        <v/>
      </c>
      <c r="F5002" s="22" t="str">
        <f>IF(OR(E5002="",E5002="!!!"),"",IF(NOT(ISNA(VLOOKUP(E5002,E$1:E5001,1,FALSE()))),"OLD",IF(AND(E5002&lt;&gt;"",E5002&lt;&gt;"!!!"),"NEW","")))</f>
        <v> </v>
      </c>
      <c r="G5002" s="23" t="str">
        <f>IF(OR(E5002="",E5002="!!!"),"",IF(OR(J5002=0,AND(J5002=1,K5002=1),AND(J5002=1,I5002="SBJ"),AND(J5002=1,I5002=0)),"?IN_FOCUS",IF(J5002&lt;=2,"?ACTIVATED",IF(J5002&lt;&gt;"","?FAMILIAR",IF(F5002="NEW",IF(ISNA(VLOOKUP(E5002,#REF!,1,FALSE())),"?TYPE_IDENTIFIABLE","?REFERENTIAL"),"_")))))</f>
        <v> </v>
      </c>
      <c r="H5002" s="24" t="str">
        <f>IF(J5002&lt;&gt;1,"",IF(I5002="SBJ","CB","?"))</f>
        <v> </v>
      </c>
      <c r="I5002" s="25" t="str">
        <f>IF(OR(E5002="",E5002="!!!",F5002="NEW"),"",INDEX(B5001:B$2,-1+SUMPRODUCT(MAX(ROW(E5001:E$2)*(E5002=E5001:E$2)))))</f>
        <v> </v>
      </c>
      <c r="J5002" s="25" t="str">
        <f>IF(OR(E5002="",E5002="!!!",F5002="NEW"),"",COUNTBLANK(OFFSET(A$1,,,SUMPRODUCT(MAX(ROW(E$2:E5002)*(E5002=E$2:E5002)))))-COUNTBLANK(OFFSET(A$1,,,SUMPRODUCT(MAX(ROW(E$1:E5001)*(E2=E$1:E5001))))))</f>
        <v> </v>
      </c>
      <c r="K5002" s="25" t="str">
        <f>IF(OR(E5002="",E5002="!!!",F5002="NEW"),"",INDEX(J$1:J5001,SUMPRODUCT(MAX(ROW(E$1:E5001)*(E5002=E$1:E5001)))))</f>
        <v> </v>
      </c>
      <c r="L5002" s="26"/>
    </row>
    <row r="5003" spans="1:12">
      <c r="A5003" s="20" t="s">
        <v>1352</v>
      </c>
      <c r="E5003" s="21">
        <f>IF(D5003="?OLD","!!!","")</f>
        <v/>
      </c>
      <c r="F5003" s="22" t="str">
        <f>IF(OR(E5003="",E5003="!!!"),"",IF(NOT(ISNA(VLOOKUP(E5003,E$1:E5002,1,FALSE()))),"OLD",IF(AND(E5003&lt;&gt;"",E5003&lt;&gt;"!!!"),"NEW","")))</f>
        <v> </v>
      </c>
      <c r="G5003" s="23" t="str">
        <f>IF(OR(E5003="",E5003="!!!"),"",IF(OR(J5003=0,AND(J5003=1,K5003=1),AND(J5003=1,I5003="SBJ"),AND(J5003=1,I5003=0)),"?IN_FOCUS",IF(J5003&lt;=2,"?ACTIVATED",IF(J5003&lt;&gt;"","?FAMILIAR",IF(F5003="NEW",IF(ISNA(VLOOKUP(E5003,#REF!,1,FALSE())),"?TYPE_IDENTIFIABLE","?REFERENTIAL"),"_")))))</f>
        <v> </v>
      </c>
      <c r="H5003" s="24" t="str">
        <f>IF(J5003&lt;&gt;1,"",IF(I5003="SBJ","CB","?"))</f>
        <v> </v>
      </c>
      <c r="I5003" s="25" t="str">
        <f>IF(OR(E5003="",E5003="!!!",F5003="NEW"),"",INDEX(B5002:B$2,-1+SUMPRODUCT(MAX(ROW(E5002:E$2)*(E5003=E5002:E$2)))))</f>
        <v> </v>
      </c>
      <c r="J5003" s="25" t="str">
        <f>IF(OR(E5003="",E5003="!!!",F5003="NEW"),"",COUNTBLANK(OFFSET(A$1,,,SUMPRODUCT(MAX(ROW(E$2:E5003)*(E5003=E$2:E5003)))))-COUNTBLANK(OFFSET(A$1,,,SUMPRODUCT(MAX(ROW(E$1:E5002)*(E2=E$1:E5002))))))</f>
        <v> </v>
      </c>
      <c r="K5003" s="25" t="str">
        <f>IF(OR(E5003="",E5003="!!!",F5003="NEW"),"",INDEX(J$1:J5002,SUMPRODUCT(MAX(ROW(E$1:E5002)*(E5003=E$1:E5002)))))</f>
        <v> </v>
      </c>
      <c r="L5003" s="26"/>
    </row>
    <row r="5004" spans="1:12">
      <c r="A5004" s="20" t="s">
        <v>121</v>
      </c>
      <c r="E5004" s="21">
        <f>IF(D5004="?OLD","!!!","")</f>
        <v/>
      </c>
      <c r="F5004" s="22" t="str">
        <f>IF(OR(E5004="",E5004="!!!"),"",IF(NOT(ISNA(VLOOKUP(E5004,E$1:E5003,1,FALSE()))),"OLD",IF(AND(E5004&lt;&gt;"",E5004&lt;&gt;"!!!"),"NEW","")))</f>
        <v> </v>
      </c>
      <c r="G5004" s="23" t="str">
        <f>IF(OR(E5004="",E5004="!!!"),"",IF(OR(J5004=0,AND(J5004=1,K5004=1),AND(J5004=1,I5004="SBJ"),AND(J5004=1,I5004=0)),"?IN_FOCUS",IF(J5004&lt;=2,"?ACTIVATED",IF(J5004&lt;&gt;"","?FAMILIAR",IF(F5004="NEW",IF(ISNA(VLOOKUP(E5004,#REF!,1,FALSE())),"?TYPE_IDENTIFIABLE","?REFERENTIAL"),"_")))))</f>
        <v> </v>
      </c>
      <c r="H5004" s="24" t="str">
        <f>IF(J5004&lt;&gt;1,"",IF(I5004="SBJ","CB","?"))</f>
        <v> </v>
      </c>
      <c r="I5004" s="25" t="str">
        <f>IF(OR(E5004="",E5004="!!!",F5004="NEW"),"",INDEX(B5003:B$2,-1+SUMPRODUCT(MAX(ROW(E5003:E$2)*(E5004=E5003:E$2)))))</f>
        <v> </v>
      </c>
      <c r="J5004" s="25" t="str">
        <f>IF(OR(E5004="",E5004="!!!",F5004="NEW"),"",COUNTBLANK(OFFSET(A$1,,,SUMPRODUCT(MAX(ROW(E$2:E5004)*(E5004=E$2:E5004)))))-COUNTBLANK(OFFSET(A$1,,,SUMPRODUCT(MAX(ROW(E$1:E5003)*(E2=E$1:E5003))))))</f>
        <v> </v>
      </c>
      <c r="K5004" s="25" t="str">
        <f>IF(OR(E5004="",E5004="!!!",F5004="NEW"),"",INDEX(J$1:J5003,SUMPRODUCT(MAX(ROW(E$1:E5003)*(E5004=E$1:E5003)))))</f>
        <v> </v>
      </c>
      <c r="L5004" s="26"/>
    </row>
    <row r="5005" spans="1:12">
      <c r="A5005" s="20" t="s">
        <v>1751</v>
      </c>
      <c r="E5005" s="21">
        <f>IF(D5005="?OLD","!!!","")</f>
        <v/>
      </c>
      <c r="F5005" s="22" t="str">
        <f>IF(OR(E5005="",E5005="!!!"),"",IF(NOT(ISNA(VLOOKUP(E5005,E$1:E5004,1,FALSE()))),"OLD",IF(AND(E5005&lt;&gt;"",E5005&lt;&gt;"!!!"),"NEW","")))</f>
        <v> </v>
      </c>
      <c r="G5005" s="23" t="str">
        <f>IF(OR(E5005="",E5005="!!!"),"",IF(OR(J5005=0,AND(J5005=1,K5005=1),AND(J5005=1,I5005="SBJ"),AND(J5005=1,I5005=0)),"?IN_FOCUS",IF(J5005&lt;=2,"?ACTIVATED",IF(J5005&lt;&gt;"","?FAMILIAR",IF(F5005="NEW",IF(ISNA(VLOOKUP(E5005,#REF!,1,FALSE())),"?TYPE_IDENTIFIABLE","?REFERENTIAL"),"_")))))</f>
        <v> </v>
      </c>
      <c r="H5005" s="24" t="str">
        <f>IF(J5005&lt;&gt;1,"",IF(I5005="SBJ","CB","?"))</f>
        <v> </v>
      </c>
      <c r="I5005" s="25" t="str">
        <f>IF(OR(E5005="",E5005="!!!",F5005="NEW"),"",INDEX(B5004:B$2,-1+SUMPRODUCT(MAX(ROW(E5004:E$2)*(E5005=E5004:E$2)))))</f>
        <v> </v>
      </c>
      <c r="J5005" s="25" t="str">
        <f>IF(OR(E5005="",E5005="!!!",F5005="NEW"),"",COUNTBLANK(OFFSET(A$1,,,SUMPRODUCT(MAX(ROW(E$2:E5005)*(E5005=E$2:E5005)))))-COUNTBLANK(OFFSET(A$1,,,SUMPRODUCT(MAX(ROW(E$1:E5004)*(E2=E$1:E5004))))))</f>
        <v> </v>
      </c>
      <c r="K5005" s="25" t="str">
        <f>IF(OR(E5005="",E5005="!!!",F5005="NEW"),"",INDEX(J$1:J5004,SUMPRODUCT(MAX(ROW(E$1:E5004)*(E5005=E$1:E5004)))))</f>
        <v> </v>
      </c>
      <c r="L5005" s="26"/>
    </row>
    <row r="5006" spans="1:12">
      <c r="A5006" s="20" t="s">
        <v>1104</v>
      </c>
      <c r="E5006" s="21">
        <f>IF(D5006="?OLD","!!!","")</f>
        <v/>
      </c>
      <c r="F5006" s="22" t="str">
        <f>IF(OR(E5006="",E5006="!!!"),"",IF(NOT(ISNA(VLOOKUP(E5006,E$1:E5005,1,FALSE()))),"OLD",IF(AND(E5006&lt;&gt;"",E5006&lt;&gt;"!!!"),"NEW","")))</f>
        <v> </v>
      </c>
      <c r="G5006" s="23" t="str">
        <f>IF(OR(E5006="",E5006="!!!"),"",IF(OR(J5006=0,AND(J5006=1,K5006=1),AND(J5006=1,I5006="SBJ"),AND(J5006=1,I5006=0)),"?IN_FOCUS",IF(J5006&lt;=2,"?ACTIVATED",IF(J5006&lt;&gt;"","?FAMILIAR",IF(F5006="NEW",IF(ISNA(VLOOKUP(E5006,#REF!,1,FALSE())),"?TYPE_IDENTIFIABLE","?REFERENTIAL"),"_")))))</f>
        <v> </v>
      </c>
      <c r="H5006" s="24" t="str">
        <f>IF(J5006&lt;&gt;1,"",IF(I5006="SBJ","CB","?"))</f>
        <v> </v>
      </c>
      <c r="I5006" s="25" t="str">
        <f>IF(OR(E5006="",E5006="!!!",F5006="NEW"),"",INDEX(B5005:B$2,-1+SUMPRODUCT(MAX(ROW(E5005:E$2)*(E5006=E5005:E$2)))))</f>
        <v> </v>
      </c>
      <c r="J5006" s="25" t="str">
        <f>IF(OR(E5006="",E5006="!!!",F5006="NEW"),"",COUNTBLANK(OFFSET(A$1,,,SUMPRODUCT(MAX(ROW(E$2:E5006)*(E5006=E$2:E5006)))))-COUNTBLANK(OFFSET(A$1,,,SUMPRODUCT(MAX(ROW(E$1:E5005)*(E2=E$1:E5005))))))</f>
        <v> </v>
      </c>
      <c r="K5006" s="25" t="str">
        <f>IF(OR(E5006="",E5006="!!!",F5006="NEW"),"",INDEX(J$1:J5005,SUMPRODUCT(MAX(ROW(E$1:E5005)*(E5006=E$1:E5005)))))</f>
        <v> </v>
      </c>
      <c r="L5006" s="26"/>
    </row>
    <row r="5007" spans="1:12">
      <c r="A5007" s="20" t="s">
        <v>2466</v>
      </c>
      <c r="B5007" s="27" t="s">
        <v>1109</v>
      </c>
      <c r="C5007" s="27" t="s">
        <v>1086</v>
      </c>
      <c r="D5007" s="27" t="s">
        <v>1069</v>
      </c>
      <c r="E5007" s="21">
        <f>IF(D5007="?OLD","!!!","")</f>
        <v/>
      </c>
      <c r="F5007" s="22" t="str">
        <f>IF(OR(E5007="",E5007="!!!"),"",IF(NOT(ISNA(VLOOKUP(E5007,E$1:E5006,1,FALSE()))),"OLD",IF(AND(E5007&lt;&gt;"",E5007&lt;&gt;"!!!"),"NEW","")))</f>
        <v> </v>
      </c>
      <c r="G5007" s="23" t="str">
        <f>IF(OR(E5007="",E5007="!!!"),"",IF(OR(J5007=0,AND(J5007=1,K5007=1),AND(J5007=1,I5007="SBJ"),AND(J5007=1,I5007=0)),"?IN_FOCUS",IF(J5007&lt;=2,"?ACTIVATED",IF(J5007&lt;&gt;"","?FAMILIAR",IF(F5007="NEW",IF(ISNA(VLOOKUP(E5007,#REF!,1,FALSE())),"?TYPE_IDENTIFIABLE","?REFERENTIAL"),"_")))))</f>
        <v> </v>
      </c>
      <c r="H5007" s="24" t="str">
        <f>IF(J5007&lt;&gt;1,"",IF(I5007="SBJ","CB","?"))</f>
        <v> </v>
      </c>
      <c r="I5007" s="25" t="str">
        <f>IF(OR(E5007="",E5007="!!!",F5007="NEW"),"",INDEX(B5006:B$2,-1+SUMPRODUCT(MAX(ROW(E5006:E$2)*(E5007=E5006:E$2)))))</f>
        <v> </v>
      </c>
      <c r="J5007" s="25" t="str">
        <f>IF(OR(E5007="",E5007="!!!",F5007="NEW"),"",COUNTBLANK(OFFSET(A$1,,,SUMPRODUCT(MAX(ROW(E$2:E5007)*(E5007=E$2:E5007)))))-COUNTBLANK(OFFSET(A$1,,,SUMPRODUCT(MAX(ROW(E$1:E5006)*(E2=E$1:E5006))))))</f>
        <v> </v>
      </c>
      <c r="K5007" s="25" t="str">
        <f>IF(OR(E5007="",E5007="!!!",F5007="NEW"),"",INDEX(J$1:J5006,SUMPRODUCT(MAX(ROW(E$1:E5006)*(E5007=E$1:E5006)))))</f>
        <v> </v>
      </c>
      <c r="L5007" s="26"/>
    </row>
    <row r="5008" spans="1:12">
      <c r="A5008" s="20" t="s">
        <v>1317</v>
      </c>
      <c r="E5008" s="21">
        <f>IF(D5008="?OLD","!!!","")</f>
        <v/>
      </c>
      <c r="F5008" s="22" t="str">
        <f>IF(OR(E5008="",E5008="!!!"),"",IF(NOT(ISNA(VLOOKUP(E5008,E$1:E5007,1,FALSE()))),"OLD",IF(AND(E5008&lt;&gt;"",E5008&lt;&gt;"!!!"),"NEW","")))</f>
        <v> </v>
      </c>
      <c r="G5008" s="23" t="str">
        <f>IF(OR(E5008="",E5008="!!!"),"",IF(OR(J5008=0,AND(J5008=1,K5008=1),AND(J5008=1,I5008="SBJ"),AND(J5008=1,I5008=0)),"?IN_FOCUS",IF(J5008&lt;=2,"?ACTIVATED",IF(J5008&lt;&gt;"","?FAMILIAR",IF(F5008="NEW",IF(ISNA(VLOOKUP(E5008,#REF!,1,FALSE())),"?TYPE_IDENTIFIABLE","?REFERENTIAL"),"_")))))</f>
        <v> </v>
      </c>
      <c r="H5008" s="24" t="str">
        <f>IF(J5008&lt;&gt;1,"",IF(I5008="SBJ","CB","?"))</f>
        <v> </v>
      </c>
      <c r="I5008" s="25" t="str">
        <f>IF(OR(E5008="",E5008="!!!",F5008="NEW"),"",INDEX(B5007:B$2,-1+SUMPRODUCT(MAX(ROW(E5007:E$2)*(E5008=E5007:E$2)))))</f>
        <v> </v>
      </c>
      <c r="J5008" s="25" t="str">
        <f>IF(OR(E5008="",E5008="!!!",F5008="NEW"),"",COUNTBLANK(OFFSET(A$1,,,SUMPRODUCT(MAX(ROW(E$2:E5008)*(E5008=E$2:E5008)))))-COUNTBLANK(OFFSET(A$1,,,SUMPRODUCT(MAX(ROW(E$1:E5007)*(E2=E$1:E5007))))))</f>
        <v> </v>
      </c>
      <c r="K5008" s="25" t="str">
        <f>IF(OR(E5008="",E5008="!!!",F5008="NEW"),"",INDEX(J$1:J5007,SUMPRODUCT(MAX(ROW(E$1:E5007)*(E5008=E$1:E5007)))))</f>
        <v> </v>
      </c>
      <c r="L5008" s="26"/>
    </row>
    <row r="5009" spans="1:12">
      <c r="A5009" s="20" t="s">
        <v>1318</v>
      </c>
      <c r="E5009" s="21">
        <f>IF(D5009="?OLD","!!!","")</f>
        <v/>
      </c>
      <c r="F5009" s="22" t="str">
        <f>IF(OR(E5009="",E5009="!!!"),"",IF(NOT(ISNA(VLOOKUP(E5009,E$1:E5008,1,FALSE()))),"OLD",IF(AND(E5009&lt;&gt;"",E5009&lt;&gt;"!!!"),"NEW","")))</f>
        <v> </v>
      </c>
      <c r="G5009" s="23" t="str">
        <f>IF(OR(E5009="",E5009="!!!"),"",IF(OR(J5009=0,AND(J5009=1,K5009=1),AND(J5009=1,I5009="SBJ"),AND(J5009=1,I5009=0)),"?IN_FOCUS",IF(J5009&lt;=2,"?ACTIVATED",IF(J5009&lt;&gt;"","?FAMILIAR",IF(F5009="NEW",IF(ISNA(VLOOKUP(E5009,#REF!,1,FALSE())),"?TYPE_IDENTIFIABLE","?REFERENTIAL"),"_")))))</f>
        <v> </v>
      </c>
      <c r="H5009" s="24" t="str">
        <f>IF(J5009&lt;&gt;1,"",IF(I5009="SBJ","CB","?"))</f>
        <v> </v>
      </c>
      <c r="I5009" s="25" t="str">
        <f>IF(OR(E5009="",E5009="!!!",F5009="NEW"),"",INDEX(B5008:B$2,-1+SUMPRODUCT(MAX(ROW(E5008:E$2)*(E5009=E5008:E$2)))))</f>
        <v> </v>
      </c>
      <c r="J5009" s="25" t="str">
        <f>IF(OR(E5009="",E5009="!!!",F5009="NEW"),"",COUNTBLANK(OFFSET(A$1,,,SUMPRODUCT(MAX(ROW(E$2:E5009)*(E5009=E$2:E5009)))))-COUNTBLANK(OFFSET(A$1,,,SUMPRODUCT(MAX(ROW(E$1:E5008)*(E2=E$1:E5008))))))</f>
        <v> </v>
      </c>
      <c r="K5009" s="25" t="str">
        <f>IF(OR(E5009="",E5009="!!!",F5009="NEW"),"",INDEX(J$1:J5008,SUMPRODUCT(MAX(ROW(E$1:E5008)*(E5009=E$1:E5008)))))</f>
        <v> </v>
      </c>
      <c r="L5009" s="26"/>
    </row>
    <row r="5010" spans="1:12">
      <c r="A5010" s="20" t="s">
        <v>2506</v>
      </c>
      <c r="B5010" s="27" t="s">
        <v>1116</v>
      </c>
      <c r="C5010" s="27" t="s">
        <v>1134</v>
      </c>
      <c r="D5010" s="27" t="s">
        <v>1069</v>
      </c>
      <c r="E5010" s="21">
        <f>IF(D5010="?OLD","!!!","")</f>
        <v/>
      </c>
      <c r="F5010" s="22" t="str">
        <f>IF(OR(E5010="",E5010="!!!"),"",IF(NOT(ISNA(VLOOKUP(E5010,E$1:E5009,1,FALSE()))),"OLD",IF(AND(E5010&lt;&gt;"",E5010&lt;&gt;"!!!"),"NEW","")))</f>
        <v> </v>
      </c>
      <c r="G5010" s="23" t="str">
        <f>IF(OR(E5010="",E5010="!!!"),"",IF(OR(J5010=0,AND(J5010=1,K5010=1),AND(J5010=1,I5010="SBJ"),AND(J5010=1,I5010=0)),"?IN_FOCUS",IF(J5010&lt;=2,"?ACTIVATED",IF(J5010&lt;&gt;"","?FAMILIAR",IF(F5010="NEW",IF(ISNA(VLOOKUP(E5010,#REF!,1,FALSE())),"?TYPE_IDENTIFIABLE","?REFERENTIAL"),"_")))))</f>
        <v> </v>
      </c>
      <c r="H5010" s="24" t="str">
        <f>IF(J5010&lt;&gt;1,"",IF(I5010="SBJ","CB","?"))</f>
        <v> </v>
      </c>
      <c r="I5010" s="25" t="str">
        <f>IF(OR(E5010="",E5010="!!!",F5010="NEW"),"",INDEX(B5009:B$2,-1+SUMPRODUCT(MAX(ROW(E5009:E$2)*(E5010=E5009:E$2)))))</f>
        <v> </v>
      </c>
      <c r="J5010" s="25" t="str">
        <f>IF(OR(E5010="",E5010="!!!",F5010="NEW"),"",COUNTBLANK(OFFSET(A$1,,,SUMPRODUCT(MAX(ROW(E$2:E5010)*(E5010=E$2:E5010)))))-COUNTBLANK(OFFSET(A$1,,,SUMPRODUCT(MAX(ROW(E$1:E5009)*(E2=E$1:E5009))))))</f>
        <v> </v>
      </c>
      <c r="K5010" s="25" t="str">
        <f>IF(OR(E5010="",E5010="!!!",F5010="NEW"),"",INDEX(J$1:J5009,SUMPRODUCT(MAX(ROW(E$1:E5009)*(E5010=E$1:E5009)))))</f>
        <v> </v>
      </c>
      <c r="L5010" s="26"/>
    </row>
    <row r="5011" spans="1:12">
      <c r="A5011" s="20" t="s">
        <v>1087</v>
      </c>
      <c r="E5011" s="21">
        <f>IF(D5011="?OLD","!!!","")</f>
        <v/>
      </c>
      <c r="F5011" s="22" t="str">
        <f>IF(OR(E5011="",E5011="!!!"),"",IF(NOT(ISNA(VLOOKUP(E5011,E$1:E5010,1,FALSE()))),"OLD",IF(AND(E5011&lt;&gt;"",E5011&lt;&gt;"!!!"),"NEW","")))</f>
        <v> </v>
      </c>
      <c r="G5011" s="23" t="str">
        <f>IF(OR(E5011="",E5011="!!!"),"",IF(OR(J5011=0,AND(J5011=1,K5011=1),AND(J5011=1,I5011="SBJ"),AND(J5011=1,I5011=0)),"?IN_FOCUS",IF(J5011&lt;=2,"?ACTIVATED",IF(J5011&lt;&gt;"","?FAMILIAR",IF(F5011="NEW",IF(ISNA(VLOOKUP(E5011,#REF!,1,FALSE())),"?TYPE_IDENTIFIABLE","?REFERENTIAL"),"_")))))</f>
        <v> </v>
      </c>
      <c r="H5011" s="24" t="str">
        <f>IF(J5011&lt;&gt;1,"",IF(I5011="SBJ","CB","?"))</f>
        <v> </v>
      </c>
      <c r="I5011" s="25" t="str">
        <f>IF(OR(E5011="",E5011="!!!",F5011="NEW"),"",INDEX(B5010:B$2,-1+SUMPRODUCT(MAX(ROW(E5010:E$2)*(E5011=E5010:E$2)))))</f>
        <v> </v>
      </c>
      <c r="J5011" s="25" t="str">
        <f>IF(OR(E5011="",E5011="!!!",F5011="NEW"),"",COUNTBLANK(OFFSET(A$1,,,SUMPRODUCT(MAX(ROW(E$2:E5011)*(E5011=E$2:E5011)))))-COUNTBLANK(OFFSET(A$1,,,SUMPRODUCT(MAX(ROW(E$1:E5010)*(E2=E$1:E5010))))))</f>
        <v> </v>
      </c>
      <c r="K5011" s="25" t="str">
        <f>IF(OR(E5011="",E5011="!!!",F5011="NEW"),"",INDEX(J$1:J5010,SUMPRODUCT(MAX(ROW(E$1:E5010)*(E5011=E$1:E5010)))))</f>
        <v> </v>
      </c>
      <c r="L5011" s="26"/>
    </row>
    <row r="5012" spans="1:12">
      <c r="A5012" s="20" t="s">
        <v>1158</v>
      </c>
      <c r="B5012" s="27" t="s">
        <v>1109</v>
      </c>
      <c r="C5012" s="27" t="s">
        <v>1068</v>
      </c>
      <c r="D5012" s="27" t="s">
        <v>1069</v>
      </c>
      <c r="E5012" s="21">
        <f>IF(D5012="?OLD","!!!","")</f>
        <v/>
      </c>
      <c r="F5012" s="22" t="str">
        <f>IF(OR(E5012="",E5012="!!!"),"",IF(NOT(ISNA(VLOOKUP(E5012,E$1:E5011,1,FALSE()))),"OLD",IF(AND(E5012&lt;&gt;"",E5012&lt;&gt;"!!!"),"NEW","")))</f>
        <v> </v>
      </c>
      <c r="G5012" s="23" t="str">
        <f>IF(OR(E5012="",E5012="!!!"),"",IF(OR(J5012=0,AND(J5012=1,K5012=1),AND(J5012=1,I5012="SBJ"),AND(J5012=1,I5012=0)),"?IN_FOCUS",IF(J5012&lt;=2,"?ACTIVATED",IF(J5012&lt;&gt;"","?FAMILIAR",IF(F5012="NEW",IF(ISNA(VLOOKUP(E5012,#REF!,1,FALSE())),"?TYPE_IDENTIFIABLE","?REFERENTIAL"),"_")))))</f>
        <v> </v>
      </c>
      <c r="H5012" s="24" t="str">
        <f>IF(J5012&lt;&gt;1,"",IF(I5012="SBJ","CB","?"))</f>
        <v> </v>
      </c>
      <c r="I5012" s="25" t="str">
        <f>IF(OR(E5012="",E5012="!!!",F5012="NEW"),"",INDEX(B5011:B$2,-1+SUMPRODUCT(MAX(ROW(E5011:E$2)*(E5012=E5011:E$2)))))</f>
        <v> </v>
      </c>
      <c r="J5012" s="25" t="str">
        <f>IF(OR(E5012="",E5012="!!!",F5012="NEW"),"",COUNTBLANK(OFFSET(A$1,,,SUMPRODUCT(MAX(ROW(E$2:E5012)*(E5012=E$2:E5012)))))-COUNTBLANK(OFFSET(A$1,,,SUMPRODUCT(MAX(ROW(E$1:E5011)*(E2=E$1:E5011))))))</f>
        <v> </v>
      </c>
      <c r="K5012" s="25" t="str">
        <f>IF(OR(E5012="",E5012="!!!",F5012="NEW"),"",INDEX(J$1:J5011,SUMPRODUCT(MAX(ROW(E$1:E5011)*(E5012=E$1:E5011)))))</f>
        <v> </v>
      </c>
      <c r="L5012" s="26"/>
    </row>
    <row r="5013" spans="1:12">
      <c r="A5013" s="20" t="s">
        <v>2507</v>
      </c>
      <c r="E5013" s="21">
        <f>IF(D5013="?OLD","!!!","")</f>
        <v/>
      </c>
      <c r="F5013" s="22" t="str">
        <f>IF(OR(E5013="",E5013="!!!"),"",IF(NOT(ISNA(VLOOKUP(E5013,E$1:E5012,1,FALSE()))),"OLD",IF(AND(E5013&lt;&gt;"",E5013&lt;&gt;"!!!"),"NEW","")))</f>
        <v> </v>
      </c>
      <c r="G5013" s="23" t="str">
        <f>IF(OR(E5013="",E5013="!!!"),"",IF(OR(J5013=0,AND(J5013=1,K5013=1),AND(J5013=1,I5013="SBJ"),AND(J5013=1,I5013=0)),"?IN_FOCUS",IF(J5013&lt;=2,"?ACTIVATED",IF(J5013&lt;&gt;"","?FAMILIAR",IF(F5013="NEW",IF(ISNA(VLOOKUP(E5013,#REF!,1,FALSE())),"?TYPE_IDENTIFIABLE","?REFERENTIAL"),"_")))))</f>
        <v> </v>
      </c>
      <c r="H5013" s="24" t="str">
        <f>IF(J5013&lt;&gt;1,"",IF(I5013="SBJ","CB","?"))</f>
        <v> </v>
      </c>
      <c r="I5013" s="25" t="str">
        <f>IF(OR(E5013="",E5013="!!!",F5013="NEW"),"",INDEX(B5012:B$2,-1+SUMPRODUCT(MAX(ROW(E5012:E$2)*(E5013=E5012:E$2)))))</f>
        <v> </v>
      </c>
      <c r="J5013" s="25" t="str">
        <f>IF(OR(E5013="",E5013="!!!",F5013="NEW"),"",COUNTBLANK(OFFSET(A$1,,,SUMPRODUCT(MAX(ROW(E$2:E5013)*(E5013=E$2:E5013)))))-COUNTBLANK(OFFSET(A$1,,,SUMPRODUCT(MAX(ROW(E$1:E5012)*(E2=E$1:E5012))))))</f>
        <v> </v>
      </c>
      <c r="K5013" s="25" t="str">
        <f>IF(OR(E5013="",E5013="!!!",F5013="NEW"),"",INDEX(J$1:J5012,SUMPRODUCT(MAX(ROW(E$1:E5012)*(E5013=E$1:E5012)))))</f>
        <v> </v>
      </c>
      <c r="L5013" s="26"/>
    </row>
    <row r="5014" spans="1:12">
      <c r="A5014" s="20" t="s">
        <v>1608</v>
      </c>
      <c r="B5014" s="27" t="s">
        <v>1107</v>
      </c>
      <c r="E5014" s="21">
        <f>IF(D5014="?OLD","!!!","")</f>
        <v/>
      </c>
      <c r="F5014" s="22" t="str">
        <f>IF(OR(E5014="",E5014="!!!"),"",IF(NOT(ISNA(VLOOKUP(E5014,E$1:E5013,1,FALSE()))),"OLD",IF(AND(E5014&lt;&gt;"",E5014&lt;&gt;"!!!"),"NEW","")))</f>
        <v> </v>
      </c>
      <c r="G5014" s="23" t="str">
        <f>IF(OR(E5014="",E5014="!!!"),"",IF(OR(J5014=0,AND(J5014=1,K5014=1),AND(J5014=1,I5014="SBJ"),AND(J5014=1,I5014=0)),"?IN_FOCUS",IF(J5014&lt;=2,"?ACTIVATED",IF(J5014&lt;&gt;"","?FAMILIAR",IF(F5014="NEW",IF(ISNA(VLOOKUP(E5014,#REF!,1,FALSE())),"?TYPE_IDENTIFIABLE","?REFERENTIAL"),"_")))))</f>
        <v> </v>
      </c>
      <c r="H5014" s="24" t="str">
        <f>IF(J5014&lt;&gt;1,"",IF(I5014="SBJ","CB","?"))</f>
        <v> </v>
      </c>
      <c r="I5014" s="25" t="str">
        <f>IF(OR(E5014="",E5014="!!!",F5014="NEW"),"",INDEX(B5013:B$2,-1+SUMPRODUCT(MAX(ROW(E5013:E$2)*(E5014=E5013:E$2)))))</f>
        <v> </v>
      </c>
      <c r="J5014" s="25" t="str">
        <f>IF(OR(E5014="",E5014="!!!",F5014="NEW"),"",COUNTBLANK(OFFSET(A$1,,,SUMPRODUCT(MAX(ROW(E$2:E5014)*(E5014=E$2:E5014)))))-COUNTBLANK(OFFSET(A$1,,,SUMPRODUCT(MAX(ROW(E$1:E5013)*(E2=E$1:E5013))))))</f>
        <v> </v>
      </c>
      <c r="K5014" s="25" t="str">
        <f>IF(OR(E5014="",E5014="!!!",F5014="NEW"),"",INDEX(J$1:J5013,SUMPRODUCT(MAX(ROW(E$1:E5013)*(E5014=E$1:E5013)))))</f>
        <v> </v>
      </c>
      <c r="L5014" s="26"/>
    </row>
    <row r="5015" spans="1:12">
      <c r="A5015" s="20" t="s">
        <v>1155</v>
      </c>
      <c r="E5015" s="21">
        <f>IF(D5015="?OLD","!!!","")</f>
        <v/>
      </c>
      <c r="F5015" s="22" t="str">
        <f>IF(OR(E5015="",E5015="!!!"),"",IF(NOT(ISNA(VLOOKUP(E5015,E$1:E5014,1,FALSE()))),"OLD",IF(AND(E5015&lt;&gt;"",E5015&lt;&gt;"!!!"),"NEW","")))</f>
        <v> </v>
      </c>
      <c r="G5015" s="23" t="str">
        <f>IF(OR(E5015="",E5015="!!!"),"",IF(OR(J5015=0,AND(J5015=1,K5015=1),AND(J5015=1,I5015="SBJ"),AND(J5015=1,I5015=0)),"?IN_FOCUS",IF(J5015&lt;=2,"?ACTIVATED",IF(J5015&lt;&gt;"","?FAMILIAR",IF(F5015="NEW",IF(ISNA(VLOOKUP(E5015,#REF!,1,FALSE())),"?TYPE_IDENTIFIABLE","?REFERENTIAL"),"_")))))</f>
        <v> </v>
      </c>
      <c r="H5015" s="24" t="str">
        <f>IF(J5015&lt;&gt;1,"",IF(I5015="SBJ","CB","?"))</f>
        <v> </v>
      </c>
      <c r="I5015" s="25" t="str">
        <f>IF(OR(E5015="",E5015="!!!",F5015="NEW"),"",INDEX(B5014:B$2,-1+SUMPRODUCT(MAX(ROW(E5014:E$2)*(E5015=E5014:E$2)))))</f>
        <v> </v>
      </c>
      <c r="J5015" s="25" t="str">
        <f>IF(OR(E5015="",E5015="!!!",F5015="NEW"),"",COUNTBLANK(OFFSET(A$1,,,SUMPRODUCT(MAX(ROW(E$2:E5015)*(E5015=E$2:E5015)))))-COUNTBLANK(OFFSET(A$1,,,SUMPRODUCT(MAX(ROW(E$1:E5014)*(E2=E$1:E5014))))))</f>
        <v> </v>
      </c>
      <c r="K5015" s="25" t="str">
        <f>IF(OR(E5015="",E5015="!!!",F5015="NEW"),"",INDEX(J$1:J5014,SUMPRODUCT(MAX(ROW(E$1:E5014)*(E5015=E$1:E5014)))))</f>
        <v> </v>
      </c>
      <c r="L5015" s="26"/>
    </row>
    <row r="5016" spans="1:12">
      <c r="A5016" s="20" t="s">
        <v>1087</v>
      </c>
      <c r="E5016" s="21">
        <f>IF(D5016="?OLD","!!!","")</f>
        <v/>
      </c>
      <c r="F5016" s="22" t="str">
        <f>IF(OR(E5016="",E5016="!!!"),"",IF(NOT(ISNA(VLOOKUP(E5016,E$1:E5015,1,FALSE()))),"OLD",IF(AND(E5016&lt;&gt;"",E5016&lt;&gt;"!!!"),"NEW","")))</f>
        <v> </v>
      </c>
      <c r="G5016" s="23" t="str">
        <f>IF(OR(E5016="",E5016="!!!"),"",IF(OR(J5016=0,AND(J5016=1,K5016=1),AND(J5016=1,I5016="SBJ"),AND(J5016=1,I5016=0)),"?IN_FOCUS",IF(J5016&lt;=2,"?ACTIVATED",IF(J5016&lt;&gt;"","?FAMILIAR",IF(F5016="NEW",IF(ISNA(VLOOKUP(E5016,#REF!,1,FALSE())),"?TYPE_IDENTIFIABLE","?REFERENTIAL"),"_")))))</f>
        <v> </v>
      </c>
      <c r="H5016" s="24" t="str">
        <f>IF(J5016&lt;&gt;1,"",IF(I5016="SBJ","CB","?"))</f>
        <v> </v>
      </c>
      <c r="I5016" s="25" t="str">
        <f>IF(OR(E5016="",E5016="!!!",F5016="NEW"),"",INDEX(B5015:B$2,-1+SUMPRODUCT(MAX(ROW(E5015:E$2)*(E5016=E5015:E$2)))))</f>
        <v> </v>
      </c>
      <c r="J5016" s="25" t="str">
        <f>IF(OR(E5016="",E5016="!!!",F5016="NEW"),"",COUNTBLANK(OFFSET(A$1,,,SUMPRODUCT(MAX(ROW(E$2:E5016)*(E5016=E$2:E5016)))))-COUNTBLANK(OFFSET(A$1,,,SUMPRODUCT(MAX(ROW(E$1:E5015)*(E2=E$1:E5015))))))</f>
        <v> </v>
      </c>
      <c r="K5016" s="25" t="str">
        <f>IF(OR(E5016="",E5016="!!!",F5016="NEW"),"",INDEX(J$1:J5015,SUMPRODUCT(MAX(ROW(E$1:E5015)*(E5016=E$1:E5015)))))</f>
        <v> </v>
      </c>
      <c r="L5016" s="26"/>
    </row>
    <row r="5017" spans="1:12">
      <c r="A5017" s="20" t="s">
        <v>1149</v>
      </c>
      <c r="E5017" s="21">
        <f>IF(D5017="?OLD","!!!","")</f>
        <v/>
      </c>
      <c r="F5017" s="22" t="str">
        <f>IF(OR(E5017="",E5017="!!!"),"",IF(NOT(ISNA(VLOOKUP(E5017,E$1:E5016,1,FALSE()))),"OLD",IF(AND(E5017&lt;&gt;"",E5017&lt;&gt;"!!!"),"NEW","")))</f>
        <v> </v>
      </c>
      <c r="G5017" s="23" t="str">
        <f>IF(OR(E5017="",E5017="!!!"),"",IF(OR(J5017=0,AND(J5017=1,K5017=1),AND(J5017=1,I5017="SBJ"),AND(J5017=1,I5017=0)),"?IN_FOCUS",IF(J5017&lt;=2,"?ACTIVATED",IF(J5017&lt;&gt;"","?FAMILIAR",IF(F5017="NEW",IF(ISNA(VLOOKUP(E5017,#REF!,1,FALSE())),"?TYPE_IDENTIFIABLE","?REFERENTIAL"),"_")))))</f>
        <v> </v>
      </c>
      <c r="H5017" s="24" t="str">
        <f>IF(J5017&lt;&gt;1,"",IF(I5017="SBJ","CB","?"))</f>
        <v> </v>
      </c>
      <c r="I5017" s="25" t="str">
        <f>IF(OR(E5017="",E5017="!!!",F5017="NEW"),"",INDEX(B5016:B$2,-1+SUMPRODUCT(MAX(ROW(E5016:E$2)*(E5017=E5016:E$2)))))</f>
        <v> </v>
      </c>
      <c r="J5017" s="25" t="str">
        <f>IF(OR(E5017="",E5017="!!!",F5017="NEW"),"",COUNTBLANK(OFFSET(A$1,,,SUMPRODUCT(MAX(ROW(E$2:E5017)*(E5017=E$2:E5017)))))-COUNTBLANK(OFFSET(A$1,,,SUMPRODUCT(MAX(ROW(E$1:E5016)*(E2=E$1:E5016))))))</f>
        <v> </v>
      </c>
      <c r="K5017" s="25" t="str">
        <f>IF(OR(E5017="",E5017="!!!",F5017="NEW"),"",INDEX(J$1:J5016,SUMPRODUCT(MAX(ROW(E$1:E5016)*(E5017=E$1:E5016)))))</f>
        <v> </v>
      </c>
      <c r="L5017" s="26"/>
    </row>
    <row r="5018" spans="1:12">
      <c r="A5018" s="20" t="s">
        <v>1167</v>
      </c>
      <c r="B5018" s="27" t="s">
        <v>1683</v>
      </c>
      <c r="C5018" s="27" t="s">
        <v>1068</v>
      </c>
      <c r="D5018" s="27" t="s">
        <v>1069</v>
      </c>
      <c r="E5018" s="21">
        <f>IF(D5018="?OLD","!!!","")</f>
        <v/>
      </c>
      <c r="F5018" s="22" t="str">
        <f>IF(OR(E5018="",E5018="!!!"),"",IF(NOT(ISNA(VLOOKUP(E5018,E$1:E5017,1,FALSE()))),"OLD",IF(AND(E5018&lt;&gt;"",E5018&lt;&gt;"!!!"),"NEW","")))</f>
        <v> </v>
      </c>
      <c r="G5018" s="23" t="str">
        <f>IF(OR(E5018="",E5018="!!!"),"",IF(OR(J5018=0,AND(J5018=1,K5018=1),AND(J5018=1,I5018="SBJ"),AND(J5018=1,I5018=0)),"?IN_FOCUS",IF(J5018&lt;=2,"?ACTIVATED",IF(J5018&lt;&gt;"","?FAMILIAR",IF(F5018="NEW",IF(ISNA(VLOOKUP(E5018,#REF!,1,FALSE())),"?TYPE_IDENTIFIABLE","?REFERENTIAL"),"_")))))</f>
        <v> </v>
      </c>
      <c r="H5018" s="24" t="str">
        <f>IF(J5018&lt;&gt;1,"",IF(I5018="SBJ","CB","?"))</f>
        <v> </v>
      </c>
      <c r="I5018" s="25" t="str">
        <f>IF(OR(E5018="",E5018="!!!",F5018="NEW"),"",INDEX(B5017:B$2,-1+SUMPRODUCT(MAX(ROW(E5017:E$2)*(E5018=E5017:E$2)))))</f>
        <v> </v>
      </c>
      <c r="J5018" s="25" t="str">
        <f>IF(OR(E5018="",E5018="!!!",F5018="NEW"),"",COUNTBLANK(OFFSET(A$1,,,SUMPRODUCT(MAX(ROW(E$2:E5018)*(E5018=E$2:E5018)))))-COUNTBLANK(OFFSET(A$1,,,SUMPRODUCT(MAX(ROW(E$1:E5017)*(E2=E$1:E5017))))))</f>
        <v> </v>
      </c>
      <c r="K5018" s="25" t="str">
        <f>IF(OR(E5018="",E5018="!!!",F5018="NEW"),"",INDEX(J$1:J5017,SUMPRODUCT(MAX(ROW(E$1:E5017)*(E5018=E$1:E5017)))))</f>
        <v> </v>
      </c>
      <c r="L5018" s="26"/>
    </row>
    <row r="5019" spans="1:12">
      <c r="A5019" s="20" t="s">
        <v>2497</v>
      </c>
      <c r="B5019" s="27" t="s">
        <v>2508</v>
      </c>
      <c r="C5019" s="27" t="s">
        <v>1110</v>
      </c>
      <c r="D5019" s="27" t="s">
        <v>1069</v>
      </c>
      <c r="E5019" s="21">
        <f>IF(D5019="?OLD","!!!","")</f>
        <v/>
      </c>
      <c r="F5019" s="22" t="str">
        <f>IF(OR(E5019="",E5019="!!!"),"",IF(NOT(ISNA(VLOOKUP(E5019,E$1:E5018,1,FALSE()))),"OLD",IF(AND(E5019&lt;&gt;"",E5019&lt;&gt;"!!!"),"NEW","")))</f>
        <v> </v>
      </c>
      <c r="G5019" s="23" t="str">
        <f>IF(OR(E5019="",E5019="!!!"),"",IF(OR(J5019=0,AND(J5019=1,K5019=1),AND(J5019=1,I5019="SBJ"),AND(J5019=1,I5019=0)),"?IN_FOCUS",IF(J5019&lt;=2,"?ACTIVATED",IF(J5019&lt;&gt;"","?FAMILIAR",IF(F5019="NEW",IF(ISNA(VLOOKUP(E5019,#REF!,1,FALSE())),"?TYPE_IDENTIFIABLE","?REFERENTIAL"),"_")))))</f>
        <v> </v>
      </c>
      <c r="H5019" s="24" t="str">
        <f>IF(J5019&lt;&gt;1,"",IF(I5019="SBJ","CB","?"))</f>
        <v> </v>
      </c>
      <c r="I5019" s="25" t="str">
        <f>IF(OR(E5019="",E5019="!!!",F5019="NEW"),"",INDEX(B5018:B$2,-1+SUMPRODUCT(MAX(ROW(E5018:E$2)*(E5019=E5018:E$2)))))</f>
        <v> </v>
      </c>
      <c r="J5019" s="25" t="str">
        <f>IF(OR(E5019="",E5019="!!!",F5019="NEW"),"",COUNTBLANK(OFFSET(A$1,,,SUMPRODUCT(MAX(ROW(E$2:E5019)*(E5019=E$2:E5019)))))-COUNTBLANK(OFFSET(A$1,,,SUMPRODUCT(MAX(ROW(E$1:E5018)*(E2=E$1:E5018))))))</f>
        <v> </v>
      </c>
      <c r="K5019" s="25" t="str">
        <f>IF(OR(E5019="",E5019="!!!",F5019="NEW"),"",INDEX(J$1:J5018,SUMPRODUCT(MAX(ROW(E$1:E5018)*(E5019=E$1:E5018)))))</f>
        <v> </v>
      </c>
      <c r="L5019" s="26"/>
    </row>
    <row r="5020" spans="1:12">
      <c r="A5020" s="20" t="s">
        <v>1256</v>
      </c>
      <c r="B5020" s="27" t="s">
        <v>2509</v>
      </c>
      <c r="C5020" s="27" t="s">
        <v>1134</v>
      </c>
      <c r="D5020" s="27" t="s">
        <v>1069</v>
      </c>
      <c r="E5020" s="21">
        <f>IF(D5020="?OLD","!!!","")</f>
        <v/>
      </c>
      <c r="F5020" s="22" t="str">
        <f>IF(OR(E5020="",E5020="!!!"),"",IF(NOT(ISNA(VLOOKUP(E5020,E$1:E5019,1,FALSE()))),"OLD",IF(AND(E5020&lt;&gt;"",E5020&lt;&gt;"!!!"),"NEW","")))</f>
        <v> </v>
      </c>
      <c r="G5020" s="23" t="str">
        <f>IF(OR(E5020="",E5020="!!!"),"",IF(OR(J5020=0,AND(J5020=1,K5020=1),AND(J5020=1,I5020="SBJ"),AND(J5020=1,I5020=0)),"?IN_FOCUS",IF(J5020&lt;=2,"?ACTIVATED",IF(J5020&lt;&gt;"","?FAMILIAR",IF(F5020="NEW",IF(ISNA(VLOOKUP(E5020,#REF!,1,FALSE())),"?TYPE_IDENTIFIABLE","?REFERENTIAL"),"_")))))</f>
        <v> </v>
      </c>
      <c r="H5020" s="24" t="str">
        <f>IF(J5020&lt;&gt;1,"",IF(I5020="SBJ","CB","?"))</f>
        <v> </v>
      </c>
      <c r="I5020" s="25" t="str">
        <f>IF(OR(E5020="",E5020="!!!",F5020="NEW"),"",INDEX(B5019:B$2,-1+SUMPRODUCT(MAX(ROW(E5019:E$2)*(E5020=E5019:E$2)))))</f>
        <v> </v>
      </c>
      <c r="J5020" s="25" t="str">
        <f>IF(OR(E5020="",E5020="!!!",F5020="NEW"),"",COUNTBLANK(OFFSET(A$1,,,SUMPRODUCT(MAX(ROW(E$2:E5020)*(E5020=E$2:E5020)))))-COUNTBLANK(OFFSET(A$1,,,SUMPRODUCT(MAX(ROW(E$1:E5019)*(E2=E$1:E5019))))))</f>
        <v> </v>
      </c>
      <c r="K5020" s="25" t="str">
        <f>IF(OR(E5020="",E5020="!!!",F5020="NEW"),"",INDEX(J$1:J5019,SUMPRODUCT(MAX(ROW(E$1:E5019)*(E5020=E$1:E5019)))))</f>
        <v> </v>
      </c>
      <c r="L5020" s="26"/>
    </row>
    <row r="5021" spans="1:12">
      <c r="A5021" s="20" t="s">
        <v>1414</v>
      </c>
      <c r="E5021" s="21">
        <f>IF(D5021="?OLD","!!!","")</f>
        <v/>
      </c>
      <c r="F5021" s="22" t="str">
        <f>IF(OR(E5021="",E5021="!!!"),"",IF(NOT(ISNA(VLOOKUP(E5021,E$1:E5020,1,FALSE()))),"OLD",IF(AND(E5021&lt;&gt;"",E5021&lt;&gt;"!!!"),"NEW","")))</f>
        <v> </v>
      </c>
      <c r="G5021" s="23" t="str">
        <f>IF(OR(E5021="",E5021="!!!"),"",IF(OR(J5021=0,AND(J5021=1,K5021=1),AND(J5021=1,I5021="SBJ"),AND(J5021=1,I5021=0)),"?IN_FOCUS",IF(J5021&lt;=2,"?ACTIVATED",IF(J5021&lt;&gt;"","?FAMILIAR",IF(F5021="NEW",IF(ISNA(VLOOKUP(E5021,#REF!,1,FALSE())),"?TYPE_IDENTIFIABLE","?REFERENTIAL"),"_")))))</f>
        <v> </v>
      </c>
      <c r="H5021" s="24" t="str">
        <f>IF(J5021&lt;&gt;1,"",IF(I5021="SBJ","CB","?"))</f>
        <v> </v>
      </c>
      <c r="I5021" s="25" t="str">
        <f>IF(OR(E5021="",E5021="!!!",F5021="NEW"),"",INDEX(B5020:B$2,-1+SUMPRODUCT(MAX(ROW(E5020:E$2)*(E5021=E5020:E$2)))))</f>
        <v> </v>
      </c>
      <c r="J5021" s="25" t="str">
        <f>IF(OR(E5021="",E5021="!!!",F5021="NEW"),"",COUNTBLANK(OFFSET(A$1,,,SUMPRODUCT(MAX(ROW(E$2:E5021)*(E5021=E$2:E5021)))))-COUNTBLANK(OFFSET(A$1,,,SUMPRODUCT(MAX(ROW(E$1:E5020)*(E2=E$1:E5020))))))</f>
        <v> </v>
      </c>
      <c r="K5021" s="25" t="str">
        <f>IF(OR(E5021="",E5021="!!!",F5021="NEW"),"",INDEX(J$1:J5020,SUMPRODUCT(MAX(ROW(E$1:E5020)*(E5021=E$1:E5020)))))</f>
        <v> </v>
      </c>
      <c r="L5021" s="26"/>
    </row>
    <row r="5022" spans="1:12">
      <c r="A5022" s="20" t="s">
        <v>1087</v>
      </c>
      <c r="E5022" s="21">
        <f>IF(D5022="?OLD","!!!","")</f>
        <v/>
      </c>
      <c r="F5022" s="22" t="str">
        <f>IF(OR(E5022="",E5022="!!!"),"",IF(NOT(ISNA(VLOOKUP(E5022,E$1:E5021,1,FALSE()))),"OLD",IF(AND(E5022&lt;&gt;"",E5022&lt;&gt;"!!!"),"NEW","")))</f>
        <v> </v>
      </c>
      <c r="G5022" s="23" t="str">
        <f>IF(OR(E5022="",E5022="!!!"),"",IF(OR(J5022=0,AND(J5022=1,K5022=1),AND(J5022=1,I5022="SBJ"),AND(J5022=1,I5022=0)),"?IN_FOCUS",IF(J5022&lt;=2,"?ACTIVATED",IF(J5022&lt;&gt;"","?FAMILIAR",IF(F5022="NEW",IF(ISNA(VLOOKUP(E5022,#REF!,1,FALSE())),"?TYPE_IDENTIFIABLE","?REFERENTIAL"),"_")))))</f>
        <v> </v>
      </c>
      <c r="H5022" s="24" t="str">
        <f>IF(J5022&lt;&gt;1,"",IF(I5022="SBJ","CB","?"))</f>
        <v> </v>
      </c>
      <c r="I5022" s="25" t="str">
        <f>IF(OR(E5022="",E5022="!!!",F5022="NEW"),"",INDEX(B5021:B$2,-1+SUMPRODUCT(MAX(ROW(E5021:E$2)*(E5022=E5021:E$2)))))</f>
        <v> </v>
      </c>
      <c r="J5022" s="25" t="str">
        <f>IF(OR(E5022="",E5022="!!!",F5022="NEW"),"",COUNTBLANK(OFFSET(A$1,,,SUMPRODUCT(MAX(ROW(E$2:E5022)*(E5022=E$2:E5022)))))-COUNTBLANK(OFFSET(A$1,,,SUMPRODUCT(MAX(ROW(E$1:E5021)*(E2=E$1:E5021))))))</f>
        <v> </v>
      </c>
      <c r="K5022" s="25" t="str">
        <f>IF(OR(E5022="",E5022="!!!",F5022="NEW"),"",INDEX(J$1:J5021,SUMPRODUCT(MAX(ROW(E$1:E5021)*(E5022=E$1:E5021)))))</f>
        <v> </v>
      </c>
      <c r="L5022" s="26"/>
    </row>
    <row r="5023" spans="1:12">
      <c r="A5023" s="20" t="s">
        <v>1066</v>
      </c>
      <c r="B5023" s="27" t="s">
        <v>1508</v>
      </c>
      <c r="C5023" s="27" t="s">
        <v>1068</v>
      </c>
      <c r="D5023" s="27" t="s">
        <v>1069</v>
      </c>
      <c r="E5023" s="21">
        <f>IF(D5023="?OLD","!!!","")</f>
        <v/>
      </c>
      <c r="F5023" s="22" t="str">
        <f>IF(OR(E5023="",E5023="!!!"),"",IF(NOT(ISNA(VLOOKUP(E5023,E$1:E5022,1,FALSE()))),"OLD",IF(AND(E5023&lt;&gt;"",E5023&lt;&gt;"!!!"),"NEW","")))</f>
        <v> </v>
      </c>
      <c r="G5023" s="23" t="str">
        <f>IF(OR(E5023="",E5023="!!!"),"",IF(OR(J5023=0,AND(J5023=1,K5023=1),AND(J5023=1,I5023="SBJ"),AND(J5023=1,I5023=0)),"?IN_FOCUS",IF(J5023&lt;=2,"?ACTIVATED",IF(J5023&lt;&gt;"","?FAMILIAR",IF(F5023="NEW",IF(ISNA(VLOOKUP(E5023,#REF!,1,FALSE())),"?TYPE_IDENTIFIABLE","?REFERENTIAL"),"_")))))</f>
        <v> </v>
      </c>
      <c r="H5023" s="24" t="str">
        <f>IF(J5023&lt;&gt;1,"",IF(I5023="SBJ","CB","?"))</f>
        <v> </v>
      </c>
      <c r="I5023" s="25" t="str">
        <f>IF(OR(E5023="",E5023="!!!",F5023="NEW"),"",INDEX(B5022:B$2,-1+SUMPRODUCT(MAX(ROW(E5022:E$2)*(E5023=E5022:E$2)))))</f>
        <v> </v>
      </c>
      <c r="J5023" s="25" t="str">
        <f>IF(OR(E5023="",E5023="!!!",F5023="NEW"),"",COUNTBLANK(OFFSET(A$1,,,SUMPRODUCT(MAX(ROW(E$2:E5023)*(E5023=E$2:E5023)))))-COUNTBLANK(OFFSET(A$1,,,SUMPRODUCT(MAX(ROW(E$1:E5022)*(E2=E$1:E5022))))))</f>
        <v> </v>
      </c>
      <c r="K5023" s="25" t="str">
        <f>IF(OR(E5023="",E5023="!!!",F5023="NEW"),"",INDEX(J$1:J5022,SUMPRODUCT(MAX(ROW(E$1:E5022)*(E5023=E$1:E5022)))))</f>
        <v> </v>
      </c>
      <c r="L5023" s="26"/>
    </row>
    <row r="5024" spans="1:12">
      <c r="A5024" s="20" t="s">
        <v>2510</v>
      </c>
      <c r="E5024" s="21">
        <f>IF(D5024="?OLD","!!!","")</f>
        <v/>
      </c>
      <c r="F5024" s="22" t="str">
        <f>IF(OR(E5024="",E5024="!!!"),"",IF(NOT(ISNA(VLOOKUP(E5024,E$1:E5023,1,FALSE()))),"OLD",IF(AND(E5024&lt;&gt;"",E5024&lt;&gt;"!!!"),"NEW","")))</f>
        <v> </v>
      </c>
      <c r="G5024" s="23" t="str">
        <f>IF(OR(E5024="",E5024="!!!"),"",IF(OR(J5024=0,AND(J5024=1,K5024=1),AND(J5024=1,I5024="SBJ"),AND(J5024=1,I5024=0)),"?IN_FOCUS",IF(J5024&lt;=2,"?ACTIVATED",IF(J5024&lt;&gt;"","?FAMILIAR",IF(F5024="NEW",IF(ISNA(VLOOKUP(E5024,#REF!,1,FALSE())),"?TYPE_IDENTIFIABLE","?REFERENTIAL"),"_")))))</f>
        <v> </v>
      </c>
      <c r="H5024" s="24" t="str">
        <f>IF(J5024&lt;&gt;1,"",IF(I5024="SBJ","CB","?"))</f>
        <v> </v>
      </c>
      <c r="I5024" s="25" t="str">
        <f>IF(OR(E5024="",E5024="!!!",F5024="NEW"),"",INDEX(B5023:B$2,-1+SUMPRODUCT(MAX(ROW(E5023:E$2)*(E5024=E5023:E$2)))))</f>
        <v> </v>
      </c>
      <c r="J5024" s="25" t="str">
        <f>IF(OR(E5024="",E5024="!!!",F5024="NEW"),"",COUNTBLANK(OFFSET(A$1,,,SUMPRODUCT(MAX(ROW(E$2:E5024)*(E5024=E$2:E5024)))))-COUNTBLANK(OFFSET(A$1,,,SUMPRODUCT(MAX(ROW(E$1:E5023)*(E2=E$1:E5023))))))</f>
        <v> </v>
      </c>
      <c r="K5024" s="25" t="str">
        <f>IF(OR(E5024="",E5024="!!!",F5024="NEW"),"",INDEX(J$1:J5023,SUMPRODUCT(MAX(ROW(E$1:E5023)*(E5024=E$1:E5023)))))</f>
        <v> </v>
      </c>
      <c r="L5024" s="26"/>
    </row>
    <row r="5025" spans="1:12">
      <c r="A5025" s="20" t="s">
        <v>1460</v>
      </c>
      <c r="E5025" s="21">
        <f>IF(D5025="?OLD","!!!","")</f>
        <v/>
      </c>
      <c r="F5025" s="22" t="str">
        <f>IF(OR(E5025="",E5025="!!!"),"",IF(NOT(ISNA(VLOOKUP(E5025,E$1:E5024,1,FALSE()))),"OLD",IF(AND(E5025&lt;&gt;"",E5025&lt;&gt;"!!!"),"NEW","")))</f>
        <v> </v>
      </c>
      <c r="G5025" s="23" t="str">
        <f>IF(OR(E5025="",E5025="!!!"),"",IF(OR(J5025=0,AND(J5025=1,K5025=1),AND(J5025=1,I5025="SBJ"),AND(J5025=1,I5025=0)),"?IN_FOCUS",IF(J5025&lt;=2,"?ACTIVATED",IF(J5025&lt;&gt;"","?FAMILIAR",IF(F5025="NEW",IF(ISNA(VLOOKUP(E5025,#REF!,1,FALSE())),"?TYPE_IDENTIFIABLE","?REFERENTIAL"),"_")))))</f>
        <v> </v>
      </c>
      <c r="H5025" s="24" t="str">
        <f>IF(J5025&lt;&gt;1,"",IF(I5025="SBJ","CB","?"))</f>
        <v> </v>
      </c>
      <c r="I5025" s="25" t="str">
        <f>IF(OR(E5025="",E5025="!!!",F5025="NEW"),"",INDEX(B5024:B$2,-1+SUMPRODUCT(MAX(ROW(E5024:E$2)*(E5025=E5024:E$2)))))</f>
        <v> </v>
      </c>
      <c r="J5025" s="25" t="str">
        <f>IF(OR(E5025="",E5025="!!!",F5025="NEW"),"",COUNTBLANK(OFFSET(A$1,,,SUMPRODUCT(MAX(ROW(E$2:E5025)*(E5025=E$2:E5025)))))-COUNTBLANK(OFFSET(A$1,,,SUMPRODUCT(MAX(ROW(E$1:E5024)*(E2=E$1:E5024))))))</f>
        <v> </v>
      </c>
      <c r="K5025" s="25" t="str">
        <f>IF(OR(E5025="",E5025="!!!",F5025="NEW"),"",INDEX(J$1:J5024,SUMPRODUCT(MAX(ROW(E$1:E5024)*(E5025=E$1:E5024)))))</f>
        <v> </v>
      </c>
      <c r="L5025" s="26"/>
    </row>
    <row r="5026" spans="1:12">
      <c r="A5026" s="20" t="s">
        <v>1087</v>
      </c>
      <c r="E5026" s="21">
        <f>IF(D5026="?OLD","!!!","")</f>
        <v/>
      </c>
      <c r="F5026" s="22" t="str">
        <f>IF(OR(E5026="",E5026="!!!"),"",IF(NOT(ISNA(VLOOKUP(E5026,E$1:E5025,1,FALSE()))),"OLD",IF(AND(E5026&lt;&gt;"",E5026&lt;&gt;"!!!"),"NEW","")))</f>
        <v> </v>
      </c>
      <c r="G5026" s="23" t="str">
        <f>IF(OR(E5026="",E5026="!!!"),"",IF(OR(J5026=0,AND(J5026=1,K5026=1),AND(J5026=1,I5026="SBJ"),AND(J5026=1,I5026=0)),"?IN_FOCUS",IF(J5026&lt;=2,"?ACTIVATED",IF(J5026&lt;&gt;"","?FAMILIAR",IF(F5026="NEW",IF(ISNA(VLOOKUP(E5026,#REF!,1,FALSE())),"?TYPE_IDENTIFIABLE","?REFERENTIAL"),"_")))))</f>
        <v> </v>
      </c>
      <c r="H5026" s="24" t="str">
        <f>IF(J5026&lt;&gt;1,"",IF(I5026="SBJ","CB","?"))</f>
        <v> </v>
      </c>
      <c r="I5026" s="25" t="str">
        <f>IF(OR(E5026="",E5026="!!!",F5026="NEW"),"",INDEX(B5025:B$2,-1+SUMPRODUCT(MAX(ROW(E5025:E$2)*(E5026=E5025:E$2)))))</f>
        <v> </v>
      </c>
      <c r="J5026" s="25" t="str">
        <f>IF(OR(E5026="",E5026="!!!",F5026="NEW"),"",COUNTBLANK(OFFSET(A$1,,,SUMPRODUCT(MAX(ROW(E$2:E5026)*(E5026=E$2:E5026)))))-COUNTBLANK(OFFSET(A$1,,,SUMPRODUCT(MAX(ROW(E$1:E5025)*(E2=E$1:E5025))))))</f>
        <v> </v>
      </c>
      <c r="K5026" s="25" t="str">
        <f>IF(OR(E5026="",E5026="!!!",F5026="NEW"),"",INDEX(J$1:J5025,SUMPRODUCT(MAX(ROW(E$1:E5025)*(E5026=E$1:E5025)))))</f>
        <v> </v>
      </c>
      <c r="L5026" s="26"/>
    </row>
    <row r="5027" spans="1:12">
      <c r="A5027" s="20" t="s">
        <v>1149</v>
      </c>
      <c r="E5027" s="21">
        <f>IF(D5027="?OLD","!!!","")</f>
        <v/>
      </c>
      <c r="F5027" s="22" t="str">
        <f>IF(OR(E5027="",E5027="!!!"),"",IF(NOT(ISNA(VLOOKUP(E5027,E$1:E5026,1,FALSE()))),"OLD",IF(AND(E5027&lt;&gt;"",E5027&lt;&gt;"!!!"),"NEW","")))</f>
        <v> </v>
      </c>
      <c r="G5027" s="23" t="str">
        <f>IF(OR(E5027="",E5027="!!!"),"",IF(OR(J5027=0,AND(J5027=1,K5027=1),AND(J5027=1,I5027="SBJ"),AND(J5027=1,I5027=0)),"?IN_FOCUS",IF(J5027&lt;=2,"?ACTIVATED",IF(J5027&lt;&gt;"","?FAMILIAR",IF(F5027="NEW",IF(ISNA(VLOOKUP(E5027,#REF!,1,FALSE())),"?TYPE_IDENTIFIABLE","?REFERENTIAL"),"_")))))</f>
        <v> </v>
      </c>
      <c r="H5027" s="24" t="str">
        <f>IF(J5027&lt;&gt;1,"",IF(I5027="SBJ","CB","?"))</f>
        <v> </v>
      </c>
      <c r="I5027" s="25" t="str">
        <f>IF(OR(E5027="",E5027="!!!",F5027="NEW"),"",INDEX(B5026:B$2,-1+SUMPRODUCT(MAX(ROW(E5026:E$2)*(E5027=E5026:E$2)))))</f>
        <v> </v>
      </c>
      <c r="J5027" s="25" t="str">
        <f>IF(OR(E5027="",E5027="!!!",F5027="NEW"),"",COUNTBLANK(OFFSET(A$1,,,SUMPRODUCT(MAX(ROW(E$2:E5027)*(E5027=E$2:E5027)))))-COUNTBLANK(OFFSET(A$1,,,SUMPRODUCT(MAX(ROW(E$1:E5026)*(E2=E$1:E5026))))))</f>
        <v> </v>
      </c>
      <c r="K5027" s="25" t="str">
        <f>IF(OR(E5027="",E5027="!!!",F5027="NEW"),"",INDEX(J$1:J5026,SUMPRODUCT(MAX(ROW(E$1:E5026)*(E5027=E$1:E5026)))))</f>
        <v> </v>
      </c>
      <c r="L5027" s="26"/>
    </row>
    <row r="5028" spans="1:12">
      <c r="A5028" s="20" t="s">
        <v>1167</v>
      </c>
      <c r="B5028" s="27" t="s">
        <v>1683</v>
      </c>
      <c r="C5028" s="27" t="s">
        <v>1068</v>
      </c>
      <c r="D5028" s="27" t="s">
        <v>1069</v>
      </c>
      <c r="E5028" s="21">
        <f>IF(D5028="?OLD","!!!","")</f>
        <v/>
      </c>
      <c r="F5028" s="22" t="str">
        <f>IF(OR(E5028="",E5028="!!!"),"",IF(NOT(ISNA(VLOOKUP(E5028,E$1:E5027,1,FALSE()))),"OLD",IF(AND(E5028&lt;&gt;"",E5028&lt;&gt;"!!!"),"NEW","")))</f>
        <v> </v>
      </c>
      <c r="G5028" s="23" t="str">
        <f>IF(OR(E5028="",E5028="!!!"),"",IF(OR(J5028=0,AND(J5028=1,K5028=1),AND(J5028=1,I5028="SBJ"),AND(J5028=1,I5028=0)),"?IN_FOCUS",IF(J5028&lt;=2,"?ACTIVATED",IF(J5028&lt;&gt;"","?FAMILIAR",IF(F5028="NEW",IF(ISNA(VLOOKUP(E5028,#REF!,1,FALSE())),"?TYPE_IDENTIFIABLE","?REFERENTIAL"),"_")))))</f>
        <v> </v>
      </c>
      <c r="H5028" s="24" t="str">
        <f>IF(J5028&lt;&gt;1,"",IF(I5028="SBJ","CB","?"))</f>
        <v> </v>
      </c>
      <c r="I5028" s="25" t="str">
        <f>IF(OR(E5028="",E5028="!!!",F5028="NEW"),"",INDEX(B5027:B$2,-1+SUMPRODUCT(MAX(ROW(E5027:E$2)*(E5028=E5027:E$2)))))</f>
        <v> </v>
      </c>
      <c r="J5028" s="25" t="str">
        <f>IF(OR(E5028="",E5028="!!!",F5028="NEW"),"",COUNTBLANK(OFFSET(A$1,,,SUMPRODUCT(MAX(ROW(E$2:E5028)*(E5028=E$2:E5028)))))-COUNTBLANK(OFFSET(A$1,,,SUMPRODUCT(MAX(ROW(E$1:E5027)*(E2=E$1:E5027))))))</f>
        <v> </v>
      </c>
      <c r="K5028" s="25" t="str">
        <f>IF(OR(E5028="",E5028="!!!",F5028="NEW"),"",INDEX(J$1:J5027,SUMPRODUCT(MAX(ROW(E$1:E5027)*(E5028=E$1:E5027)))))</f>
        <v> </v>
      </c>
      <c r="L5028" s="26"/>
    </row>
    <row r="5029" spans="1:12">
      <c r="A5029" s="20" t="s">
        <v>1083</v>
      </c>
      <c r="E5029" s="21">
        <f>IF(D5029="?OLD","!!!","")</f>
        <v/>
      </c>
      <c r="F5029" s="22" t="str">
        <f>IF(OR(E5029="",E5029="!!!"),"",IF(NOT(ISNA(VLOOKUP(E5029,E$1:E5028,1,FALSE()))),"OLD",IF(AND(E5029&lt;&gt;"",E5029&lt;&gt;"!!!"),"NEW","")))</f>
        <v> </v>
      </c>
      <c r="G5029" s="23" t="str">
        <f>IF(OR(E5029="",E5029="!!!"),"",IF(OR(J5029=0,AND(J5029=1,K5029=1),AND(J5029=1,I5029="SBJ"),AND(J5029=1,I5029=0)),"?IN_FOCUS",IF(J5029&lt;=2,"?ACTIVATED",IF(J5029&lt;&gt;"","?FAMILIAR",IF(F5029="NEW",IF(ISNA(VLOOKUP(E5029,#REF!,1,FALSE())),"?TYPE_IDENTIFIABLE","?REFERENTIAL"),"_")))))</f>
        <v> </v>
      </c>
      <c r="H5029" s="24" t="str">
        <f>IF(J5029&lt;&gt;1,"",IF(I5029="SBJ","CB","?"))</f>
        <v> </v>
      </c>
      <c r="I5029" s="25" t="str">
        <f>IF(OR(E5029="",E5029="!!!",F5029="NEW"),"",INDEX(B5028:B$2,-1+SUMPRODUCT(MAX(ROW(E5028:E$2)*(E5029=E5028:E$2)))))</f>
        <v> </v>
      </c>
      <c r="J5029" s="25" t="str">
        <f>IF(OR(E5029="",E5029="!!!",F5029="NEW"),"",COUNTBLANK(OFFSET(A$1,,,SUMPRODUCT(MAX(ROW(E$2:E5029)*(E5029=E$2:E5029)))))-COUNTBLANK(OFFSET(A$1,,,SUMPRODUCT(MAX(ROW(E$1:E5028)*(E2=E$1:E5028))))))</f>
        <v> </v>
      </c>
      <c r="K5029" s="25" t="str">
        <f>IF(OR(E5029="",E5029="!!!",F5029="NEW"),"",INDEX(J$1:J5028,SUMPRODUCT(MAX(ROW(E$1:E5028)*(E5029=E$1:E5028)))))</f>
        <v> </v>
      </c>
      <c r="L5029" s="26"/>
    </row>
    <row r="5030" spans="1:12">
      <c r="A5030" s="20" t="s">
        <v>2511</v>
      </c>
      <c r="E5030" s="21">
        <f>IF(D5030="?OLD","!!!","")</f>
        <v/>
      </c>
      <c r="F5030" s="22" t="str">
        <f>IF(OR(E5030="",E5030="!!!"),"",IF(NOT(ISNA(VLOOKUP(E5030,E$1:E5029,1,FALSE()))),"OLD",IF(AND(E5030&lt;&gt;"",E5030&lt;&gt;"!!!"),"NEW","")))</f>
        <v> </v>
      </c>
      <c r="G5030" s="23" t="str">
        <f>IF(OR(E5030="",E5030="!!!"),"",IF(OR(J5030=0,AND(J5030=1,K5030=1),AND(J5030=1,I5030="SBJ"),AND(J5030=1,I5030=0)),"?IN_FOCUS",IF(J5030&lt;=2,"?ACTIVATED",IF(J5030&lt;&gt;"","?FAMILIAR",IF(F5030="NEW",IF(ISNA(VLOOKUP(E5030,#REF!,1,FALSE())),"?TYPE_IDENTIFIABLE","?REFERENTIAL"),"_")))))</f>
        <v> </v>
      </c>
      <c r="H5030" s="24" t="str">
        <f>IF(J5030&lt;&gt;1,"",IF(I5030="SBJ","CB","?"))</f>
        <v> </v>
      </c>
      <c r="I5030" s="25" t="str">
        <f>IF(OR(E5030="",E5030="!!!",F5030="NEW"),"",INDEX(B5029:B$2,-1+SUMPRODUCT(MAX(ROW(E5029:E$2)*(E5030=E5029:E$2)))))</f>
        <v> </v>
      </c>
      <c r="J5030" s="25" t="str">
        <f>IF(OR(E5030="",E5030="!!!",F5030="NEW"),"",COUNTBLANK(OFFSET(A$1,,,SUMPRODUCT(MAX(ROW(E$2:E5030)*(E5030=E$2:E5030)))))-COUNTBLANK(OFFSET(A$1,,,SUMPRODUCT(MAX(ROW(E$1:E5029)*(E2=E$1:E5029))))))</f>
        <v> </v>
      </c>
      <c r="K5030" s="25" t="str">
        <f>IF(OR(E5030="",E5030="!!!",F5030="NEW"),"",INDEX(J$1:J5029,SUMPRODUCT(MAX(ROW(E$1:E5029)*(E5030=E$1:E5029)))))</f>
        <v> </v>
      </c>
      <c r="L5030" s="26"/>
    </row>
    <row r="5031" spans="1:12">
      <c r="A5031" s="20" t="s">
        <v>1087</v>
      </c>
      <c r="E5031" s="21">
        <f>IF(D5031="?OLD","!!!","")</f>
        <v/>
      </c>
      <c r="F5031" s="22" t="str">
        <f>IF(OR(E5031="",E5031="!!!"),"",IF(NOT(ISNA(VLOOKUP(E5031,E$1:E5030,1,FALSE()))),"OLD",IF(AND(E5031&lt;&gt;"",E5031&lt;&gt;"!!!"),"NEW","")))</f>
        <v> </v>
      </c>
      <c r="G5031" s="23" t="str">
        <f>IF(OR(E5031="",E5031="!!!"),"",IF(OR(J5031=0,AND(J5031=1,K5031=1),AND(J5031=1,I5031="SBJ"),AND(J5031=1,I5031=0)),"?IN_FOCUS",IF(J5031&lt;=2,"?ACTIVATED",IF(J5031&lt;&gt;"","?FAMILIAR",IF(F5031="NEW",IF(ISNA(VLOOKUP(E5031,#REF!,1,FALSE())),"?TYPE_IDENTIFIABLE","?REFERENTIAL"),"_")))))</f>
        <v> </v>
      </c>
      <c r="H5031" s="24" t="str">
        <f>IF(J5031&lt;&gt;1,"",IF(I5031="SBJ","CB","?"))</f>
        <v> </v>
      </c>
      <c r="I5031" s="25" t="str">
        <f>IF(OR(E5031="",E5031="!!!",F5031="NEW"),"",INDEX(B5030:B$2,-1+SUMPRODUCT(MAX(ROW(E5030:E$2)*(E5031=E5030:E$2)))))</f>
        <v> </v>
      </c>
      <c r="J5031" s="25" t="str">
        <f>IF(OR(E5031="",E5031="!!!",F5031="NEW"),"",COUNTBLANK(OFFSET(A$1,,,SUMPRODUCT(MAX(ROW(E$2:E5031)*(E5031=E$2:E5031)))))-COUNTBLANK(OFFSET(A$1,,,SUMPRODUCT(MAX(ROW(E$1:E5030)*(E2=E$1:E5030))))))</f>
        <v> </v>
      </c>
      <c r="K5031" s="25" t="str">
        <f>IF(OR(E5031="",E5031="!!!",F5031="NEW"),"",INDEX(J$1:J5030,SUMPRODUCT(MAX(ROW(E$1:E5030)*(E5031=E$1:E5030)))))</f>
        <v> </v>
      </c>
      <c r="L5031" s="26"/>
    </row>
    <row r="5032" spans="1:12">
      <c r="A5032" s="20" t="s">
        <v>1301</v>
      </c>
      <c r="E5032" s="21">
        <f>IF(D5032="?OLD","!!!","")</f>
        <v/>
      </c>
      <c r="F5032" s="22" t="str">
        <f>IF(OR(E5032="",E5032="!!!"),"",IF(NOT(ISNA(VLOOKUP(E5032,E$1:E5031,1,FALSE()))),"OLD",IF(AND(E5032&lt;&gt;"",E5032&lt;&gt;"!!!"),"NEW","")))</f>
        <v> </v>
      </c>
      <c r="G5032" s="23" t="str">
        <f>IF(OR(E5032="",E5032="!!!"),"",IF(OR(J5032=0,AND(J5032=1,K5032=1),AND(J5032=1,I5032="SBJ"),AND(J5032=1,I5032=0)),"?IN_FOCUS",IF(J5032&lt;=2,"?ACTIVATED",IF(J5032&lt;&gt;"","?FAMILIAR",IF(F5032="NEW",IF(ISNA(VLOOKUP(E5032,#REF!,1,FALSE())),"?TYPE_IDENTIFIABLE","?REFERENTIAL"),"_")))))</f>
        <v> </v>
      </c>
      <c r="H5032" s="24" t="str">
        <f>IF(J5032&lt;&gt;1,"",IF(I5032="SBJ","CB","?"))</f>
        <v> </v>
      </c>
      <c r="I5032" s="25" t="str">
        <f>IF(OR(E5032="",E5032="!!!",F5032="NEW"),"",INDEX(B5031:B$2,-1+SUMPRODUCT(MAX(ROW(E5031:E$2)*(E5032=E5031:E$2)))))</f>
        <v> </v>
      </c>
      <c r="J5032" s="25" t="str">
        <f>IF(OR(E5032="",E5032="!!!",F5032="NEW"),"",COUNTBLANK(OFFSET(A$1,,,SUMPRODUCT(MAX(ROW(E$2:E5032)*(E5032=E$2:E5032)))))-COUNTBLANK(OFFSET(A$1,,,SUMPRODUCT(MAX(ROW(E$1:E5031)*(E2=E$1:E5031))))))</f>
        <v> </v>
      </c>
      <c r="K5032" s="25" t="str">
        <f>IF(OR(E5032="",E5032="!!!",F5032="NEW"),"",INDEX(J$1:J5031,SUMPRODUCT(MAX(ROW(E$1:E5031)*(E5032=E$1:E5031)))))</f>
        <v> </v>
      </c>
      <c r="L5032" s="26"/>
    </row>
    <row r="5033" spans="1:12">
      <c r="A5033" s="20" t="s">
        <v>1066</v>
      </c>
      <c r="B5033" s="27" t="s">
        <v>1686</v>
      </c>
      <c r="C5033" s="27" t="s">
        <v>1068</v>
      </c>
      <c r="D5033" s="27" t="s">
        <v>1069</v>
      </c>
      <c r="E5033" s="21">
        <f>IF(D5033="?OLD","!!!","")</f>
        <v/>
      </c>
      <c r="F5033" s="22" t="str">
        <f>IF(OR(E5033="",E5033="!!!"),"",IF(NOT(ISNA(VLOOKUP(E5033,E$1:E5032,1,FALSE()))),"OLD",IF(AND(E5033&lt;&gt;"",E5033&lt;&gt;"!!!"),"NEW","")))</f>
        <v> </v>
      </c>
      <c r="G5033" s="23" t="str">
        <f>IF(OR(E5033="",E5033="!!!"),"",IF(OR(J5033=0,AND(J5033=1,K5033=1),AND(J5033=1,I5033="SBJ"),AND(J5033=1,I5033=0)),"?IN_FOCUS",IF(J5033&lt;=2,"?ACTIVATED",IF(J5033&lt;&gt;"","?FAMILIAR",IF(F5033="NEW",IF(ISNA(VLOOKUP(E5033,#REF!,1,FALSE())),"?TYPE_IDENTIFIABLE","?REFERENTIAL"),"_")))))</f>
        <v> </v>
      </c>
      <c r="H5033" s="24" t="str">
        <f>IF(J5033&lt;&gt;1,"",IF(I5033="SBJ","CB","?"))</f>
        <v> </v>
      </c>
      <c r="I5033" s="25" t="str">
        <f>IF(OR(E5033="",E5033="!!!",F5033="NEW"),"",INDEX(B5032:B$2,-1+SUMPRODUCT(MAX(ROW(E5032:E$2)*(E5033=E5032:E$2)))))</f>
        <v> </v>
      </c>
      <c r="J5033" s="25" t="str">
        <f>IF(OR(E5033="",E5033="!!!",F5033="NEW"),"",COUNTBLANK(OFFSET(A$1,,,SUMPRODUCT(MAX(ROW(E$2:E5033)*(E5033=E$2:E5033)))))-COUNTBLANK(OFFSET(A$1,,,SUMPRODUCT(MAX(ROW(E$1:E5032)*(E2=E$1:E5032))))))</f>
        <v> </v>
      </c>
      <c r="K5033" s="25" t="str">
        <f>IF(OR(E5033="",E5033="!!!",F5033="NEW"),"",INDEX(J$1:J5032,SUMPRODUCT(MAX(ROW(E$1:E5032)*(E5033=E$1:E5032)))))</f>
        <v> </v>
      </c>
      <c r="L5033" s="26"/>
    </row>
    <row r="5034" spans="1:12">
      <c r="A5034" s="20" t="s">
        <v>2512</v>
      </c>
      <c r="E5034" s="21">
        <f>IF(D5034="?OLD","!!!","")</f>
        <v/>
      </c>
      <c r="F5034" s="22" t="str">
        <f>IF(OR(E5034="",E5034="!!!"),"",IF(NOT(ISNA(VLOOKUP(E5034,E$1:E5033,1,FALSE()))),"OLD",IF(AND(E5034&lt;&gt;"",E5034&lt;&gt;"!!!"),"NEW","")))</f>
        <v> </v>
      </c>
      <c r="G5034" s="23" t="str">
        <f>IF(OR(E5034="",E5034="!!!"),"",IF(OR(J5034=0,AND(J5034=1,K5034=1),AND(J5034=1,I5034="SBJ"),AND(J5034=1,I5034=0)),"?IN_FOCUS",IF(J5034&lt;=2,"?ACTIVATED",IF(J5034&lt;&gt;"","?FAMILIAR",IF(F5034="NEW",IF(ISNA(VLOOKUP(E5034,#REF!,1,FALSE())),"?TYPE_IDENTIFIABLE","?REFERENTIAL"),"_")))))</f>
        <v> </v>
      </c>
      <c r="H5034" s="24" t="str">
        <f>IF(J5034&lt;&gt;1,"",IF(I5034="SBJ","CB","?"))</f>
        <v> </v>
      </c>
      <c r="I5034" s="25" t="str">
        <f>IF(OR(E5034="",E5034="!!!",F5034="NEW"),"",INDEX(B5033:B$2,-1+SUMPRODUCT(MAX(ROW(E5033:E$2)*(E5034=E5033:E$2)))))</f>
        <v> </v>
      </c>
      <c r="J5034" s="25" t="str">
        <f>IF(OR(E5034="",E5034="!!!",F5034="NEW"),"",COUNTBLANK(OFFSET(A$1,,,SUMPRODUCT(MAX(ROW(E$2:E5034)*(E5034=E$2:E5034)))))-COUNTBLANK(OFFSET(A$1,,,SUMPRODUCT(MAX(ROW(E$1:E5033)*(E2=E$1:E5033))))))</f>
        <v> </v>
      </c>
      <c r="K5034" s="25" t="str">
        <f>IF(OR(E5034="",E5034="!!!",F5034="NEW"),"",INDEX(J$1:J5033,SUMPRODUCT(MAX(ROW(E$1:E5033)*(E5034=E$1:E5033)))))</f>
        <v> </v>
      </c>
      <c r="L5034" s="26"/>
    </row>
    <row r="5035" spans="1:12">
      <c r="A5035" s="20" t="s">
        <v>1167</v>
      </c>
      <c r="B5035" s="27" t="s">
        <v>1686</v>
      </c>
      <c r="C5035" s="27" t="s">
        <v>1068</v>
      </c>
      <c r="D5035" s="27" t="s">
        <v>1069</v>
      </c>
      <c r="E5035" s="21">
        <f>IF(D5035="?OLD","!!!","")</f>
        <v/>
      </c>
      <c r="F5035" s="22" t="str">
        <f>IF(OR(E5035="",E5035="!!!"),"",IF(NOT(ISNA(VLOOKUP(E5035,E$1:E5034,1,FALSE()))),"OLD",IF(AND(E5035&lt;&gt;"",E5035&lt;&gt;"!!!"),"NEW","")))</f>
        <v> </v>
      </c>
      <c r="G5035" s="23" t="str">
        <f>IF(OR(E5035="",E5035="!!!"),"",IF(OR(J5035=0,AND(J5035=1,K5035=1),AND(J5035=1,I5035="SBJ"),AND(J5035=1,I5035=0)),"?IN_FOCUS",IF(J5035&lt;=2,"?ACTIVATED",IF(J5035&lt;&gt;"","?FAMILIAR",IF(F5035="NEW",IF(ISNA(VLOOKUP(E5035,#REF!,1,FALSE())),"?TYPE_IDENTIFIABLE","?REFERENTIAL"),"_")))))</f>
        <v> </v>
      </c>
      <c r="H5035" s="24" t="str">
        <f>IF(J5035&lt;&gt;1,"",IF(I5035="SBJ","CB","?"))</f>
        <v> </v>
      </c>
      <c r="I5035" s="25" t="str">
        <f>IF(OR(E5035="",E5035="!!!",F5035="NEW"),"",INDEX(B5034:B$2,-1+SUMPRODUCT(MAX(ROW(E5034:E$2)*(E5035=E5034:E$2)))))</f>
        <v> </v>
      </c>
      <c r="J5035" s="25" t="str">
        <f>IF(OR(E5035="",E5035="!!!",F5035="NEW"),"",COUNTBLANK(OFFSET(A$1,,,SUMPRODUCT(MAX(ROW(E$2:E5035)*(E5035=E$2:E5035)))))-COUNTBLANK(OFFSET(A$1,,,SUMPRODUCT(MAX(ROW(E$1:E5034)*(E2=E$1:E5034))))))</f>
        <v> </v>
      </c>
      <c r="K5035" s="25" t="str">
        <f>IF(OR(E5035="",E5035="!!!",F5035="NEW"),"",INDEX(J$1:J5034,SUMPRODUCT(MAX(ROW(E$1:E5034)*(E5035=E$1:E5034)))))</f>
        <v> </v>
      </c>
      <c r="L5035" s="26"/>
    </row>
    <row r="5036" spans="1:12">
      <c r="A5036" s="20" t="s">
        <v>1442</v>
      </c>
      <c r="E5036" s="21">
        <f>IF(D5036="?OLD","!!!","")</f>
        <v/>
      </c>
      <c r="F5036" s="22" t="str">
        <f>IF(OR(E5036="",E5036="!!!"),"",IF(NOT(ISNA(VLOOKUP(E5036,E$1:E5035,1,FALSE()))),"OLD",IF(AND(E5036&lt;&gt;"",E5036&lt;&gt;"!!!"),"NEW","")))</f>
        <v> </v>
      </c>
      <c r="G5036" s="23" t="str">
        <f>IF(OR(E5036="",E5036="!!!"),"",IF(OR(J5036=0,AND(J5036=1,K5036=1),AND(J5036=1,I5036="SBJ"),AND(J5036=1,I5036=0)),"?IN_FOCUS",IF(J5036&lt;=2,"?ACTIVATED",IF(J5036&lt;&gt;"","?FAMILIAR",IF(F5036="NEW",IF(ISNA(VLOOKUP(E5036,#REF!,1,FALSE())),"?TYPE_IDENTIFIABLE","?REFERENTIAL"),"_")))))</f>
        <v> </v>
      </c>
      <c r="H5036" s="24" t="str">
        <f>IF(J5036&lt;&gt;1,"",IF(I5036="SBJ","CB","?"))</f>
        <v> </v>
      </c>
      <c r="I5036" s="25" t="str">
        <f>IF(OR(E5036="",E5036="!!!",F5036="NEW"),"",INDEX(B5035:B$2,-1+SUMPRODUCT(MAX(ROW(E5035:E$2)*(E5036=E5035:E$2)))))</f>
        <v> </v>
      </c>
      <c r="J5036" s="25" t="str">
        <f>IF(OR(E5036="",E5036="!!!",F5036="NEW"),"",COUNTBLANK(OFFSET(A$1,,,SUMPRODUCT(MAX(ROW(E$2:E5036)*(E5036=E$2:E5036)))))-COUNTBLANK(OFFSET(A$1,,,SUMPRODUCT(MAX(ROW(E$1:E5035)*(E2=E$1:E5035))))))</f>
        <v> </v>
      </c>
      <c r="K5036" s="25" t="str">
        <f>IF(OR(E5036="",E5036="!!!",F5036="NEW"),"",INDEX(J$1:J5035,SUMPRODUCT(MAX(ROW(E$1:E5035)*(E5036=E$1:E5035)))))</f>
        <v> </v>
      </c>
      <c r="L5036" s="26"/>
    </row>
    <row r="5037" spans="1:12">
      <c r="A5037" s="20" t="s">
        <v>2513</v>
      </c>
      <c r="E5037" s="21">
        <f>IF(D5037="?OLD","!!!","")</f>
        <v/>
      </c>
      <c r="F5037" s="22" t="str">
        <f>IF(OR(E5037="",E5037="!!!"),"",IF(NOT(ISNA(VLOOKUP(E5037,E$1:E5036,1,FALSE()))),"OLD",IF(AND(E5037&lt;&gt;"",E5037&lt;&gt;"!!!"),"NEW","")))</f>
        <v> </v>
      </c>
      <c r="G5037" s="23" t="str">
        <f>IF(OR(E5037="",E5037="!!!"),"",IF(OR(J5037=0,AND(J5037=1,K5037=1),AND(J5037=1,I5037="SBJ"),AND(J5037=1,I5037=0)),"?IN_FOCUS",IF(J5037&lt;=2,"?ACTIVATED",IF(J5037&lt;&gt;"","?FAMILIAR",IF(F5037="NEW",IF(ISNA(VLOOKUP(E5037,#REF!,1,FALSE())),"?TYPE_IDENTIFIABLE","?REFERENTIAL"),"_")))))</f>
        <v> </v>
      </c>
      <c r="H5037" s="24" t="str">
        <f>IF(J5037&lt;&gt;1,"",IF(I5037="SBJ","CB","?"))</f>
        <v> </v>
      </c>
      <c r="I5037" s="25" t="str">
        <f>IF(OR(E5037="",E5037="!!!",F5037="NEW"),"",INDEX(B5036:B$2,-1+SUMPRODUCT(MAX(ROW(E5036:E$2)*(E5037=E5036:E$2)))))</f>
        <v> </v>
      </c>
      <c r="J5037" s="25" t="str">
        <f>IF(OR(E5037="",E5037="!!!",F5037="NEW"),"",COUNTBLANK(OFFSET(A$1,,,SUMPRODUCT(MAX(ROW(E$2:E5037)*(E5037=E$2:E5037)))))-COUNTBLANK(OFFSET(A$1,,,SUMPRODUCT(MAX(ROW(E$1:E5036)*(E2=E$1:E5036))))))</f>
        <v> </v>
      </c>
      <c r="K5037" s="25" t="str">
        <f>IF(OR(E5037="",E5037="!!!",F5037="NEW"),"",INDEX(J$1:J5036,SUMPRODUCT(MAX(ROW(E$1:E5036)*(E5037=E$1:E5036)))))</f>
        <v> </v>
      </c>
      <c r="L5037" s="26"/>
    </row>
    <row r="5038" spans="1:12">
      <c r="A5038" s="20" t="s">
        <v>1087</v>
      </c>
      <c r="E5038" s="21">
        <f>IF(D5038="?OLD","!!!","")</f>
        <v/>
      </c>
      <c r="F5038" s="22" t="str">
        <f>IF(OR(E5038="",E5038="!!!"),"",IF(NOT(ISNA(VLOOKUP(E5038,E$1:E5037,1,FALSE()))),"OLD",IF(AND(E5038&lt;&gt;"",E5038&lt;&gt;"!!!"),"NEW","")))</f>
        <v> </v>
      </c>
      <c r="G5038" s="23" t="str">
        <f>IF(OR(E5038="",E5038="!!!"),"",IF(OR(J5038=0,AND(J5038=1,K5038=1),AND(J5038=1,I5038="SBJ"),AND(J5038=1,I5038=0)),"?IN_FOCUS",IF(J5038&lt;=2,"?ACTIVATED",IF(J5038&lt;&gt;"","?FAMILIAR",IF(F5038="NEW",IF(ISNA(VLOOKUP(E5038,#REF!,1,FALSE())),"?TYPE_IDENTIFIABLE","?REFERENTIAL"),"_")))))</f>
        <v> </v>
      </c>
      <c r="H5038" s="24" t="str">
        <f>IF(J5038&lt;&gt;1,"",IF(I5038="SBJ","CB","?"))</f>
        <v> </v>
      </c>
      <c r="I5038" s="25" t="str">
        <f>IF(OR(E5038="",E5038="!!!",F5038="NEW"),"",INDEX(B5037:B$2,-1+SUMPRODUCT(MAX(ROW(E5037:E$2)*(E5038=E5037:E$2)))))</f>
        <v> </v>
      </c>
      <c r="J5038" s="25" t="str">
        <f>IF(OR(E5038="",E5038="!!!",F5038="NEW"),"",COUNTBLANK(OFFSET(A$1,,,SUMPRODUCT(MAX(ROW(E$2:E5038)*(E5038=E$2:E5038)))))-COUNTBLANK(OFFSET(A$1,,,SUMPRODUCT(MAX(ROW(E$1:E5037)*(E2=E$1:E5037))))))</f>
        <v> </v>
      </c>
      <c r="K5038" s="25" t="str">
        <f>IF(OR(E5038="",E5038="!!!",F5038="NEW"),"",INDEX(J$1:J5037,SUMPRODUCT(MAX(ROW(E$1:E5037)*(E5038=E$1:E5037)))))</f>
        <v> </v>
      </c>
      <c r="L5038" s="26"/>
    </row>
    <row r="5039" spans="1:12">
      <c r="A5039" s="20" t="s">
        <v>1088</v>
      </c>
      <c r="E5039" s="21">
        <f>IF(D5039="?OLD","!!!","")</f>
        <v/>
      </c>
      <c r="F5039" s="22" t="str">
        <f>IF(OR(E5039="",E5039="!!!"),"",IF(NOT(ISNA(VLOOKUP(E5039,E$1:E5038,1,FALSE()))),"OLD",IF(AND(E5039&lt;&gt;"",E5039&lt;&gt;"!!!"),"NEW","")))</f>
        <v> </v>
      </c>
      <c r="G5039" s="23" t="str">
        <f>IF(OR(E5039="",E5039="!!!"),"",IF(OR(J5039=0,AND(J5039=1,K5039=1),AND(J5039=1,I5039="SBJ"),AND(J5039=1,I5039=0)),"?IN_FOCUS",IF(J5039&lt;=2,"?ACTIVATED",IF(J5039&lt;&gt;"","?FAMILIAR",IF(F5039="NEW",IF(ISNA(VLOOKUP(E5039,#REF!,1,FALSE())),"?TYPE_IDENTIFIABLE","?REFERENTIAL"),"_")))))</f>
        <v> </v>
      </c>
      <c r="H5039" s="24" t="str">
        <f>IF(J5039&lt;&gt;1,"",IF(I5039="SBJ","CB","?"))</f>
        <v> </v>
      </c>
      <c r="I5039" s="25" t="str">
        <f>IF(OR(E5039="",E5039="!!!",F5039="NEW"),"",INDEX(B5038:B$2,-1+SUMPRODUCT(MAX(ROW(E5038:E$2)*(E5039=E5038:E$2)))))</f>
        <v> </v>
      </c>
      <c r="J5039" s="25" t="str">
        <f>IF(OR(E5039="",E5039="!!!",F5039="NEW"),"",COUNTBLANK(OFFSET(A$1,,,SUMPRODUCT(MAX(ROW(E$2:E5039)*(E5039=E$2:E5039)))))-COUNTBLANK(OFFSET(A$1,,,SUMPRODUCT(MAX(ROW(E$1:E5038)*(E2=E$1:E5038))))))</f>
        <v> </v>
      </c>
      <c r="K5039" s="25" t="str">
        <f>IF(OR(E5039="",E5039="!!!",F5039="NEW"),"",INDEX(J$1:J5038,SUMPRODUCT(MAX(ROW(E$1:E5038)*(E5039=E$1:E5038)))))</f>
        <v> </v>
      </c>
      <c r="L5039" s="26"/>
    </row>
    <row r="5040" spans="1:12">
      <c r="A5040" s="20" t="s">
        <v>1167</v>
      </c>
      <c r="B5040" s="27" t="s">
        <v>1686</v>
      </c>
      <c r="C5040" s="27" t="s">
        <v>1068</v>
      </c>
      <c r="D5040" s="27" t="s">
        <v>1069</v>
      </c>
      <c r="E5040" s="21">
        <f>IF(D5040="?OLD","!!!","")</f>
        <v/>
      </c>
      <c r="F5040" s="22" t="str">
        <f>IF(OR(E5040="",E5040="!!!"),"",IF(NOT(ISNA(VLOOKUP(E5040,E$1:E5039,1,FALSE()))),"OLD",IF(AND(E5040&lt;&gt;"",E5040&lt;&gt;"!!!"),"NEW","")))</f>
        <v> </v>
      </c>
      <c r="G5040" s="23" t="str">
        <f>IF(OR(E5040="",E5040="!!!"),"",IF(OR(J5040=0,AND(J5040=1,K5040=1),AND(J5040=1,I5040="SBJ"),AND(J5040=1,I5040=0)),"?IN_FOCUS",IF(J5040&lt;=2,"?ACTIVATED",IF(J5040&lt;&gt;"","?FAMILIAR",IF(F5040="NEW",IF(ISNA(VLOOKUP(E5040,#REF!,1,FALSE())),"?TYPE_IDENTIFIABLE","?REFERENTIAL"),"_")))))</f>
        <v> </v>
      </c>
      <c r="H5040" s="24" t="str">
        <f>IF(J5040&lt;&gt;1,"",IF(I5040="SBJ","CB","?"))</f>
        <v> </v>
      </c>
      <c r="I5040" s="25" t="str">
        <f>IF(OR(E5040="",E5040="!!!",F5040="NEW"),"",INDEX(B5039:B$2,-1+SUMPRODUCT(MAX(ROW(E5039:E$2)*(E5040=E5039:E$2)))))</f>
        <v> </v>
      </c>
      <c r="J5040" s="25" t="str">
        <f>IF(OR(E5040="",E5040="!!!",F5040="NEW"),"",COUNTBLANK(OFFSET(A$1,,,SUMPRODUCT(MAX(ROW(E$2:E5040)*(E5040=E$2:E5040)))))-COUNTBLANK(OFFSET(A$1,,,SUMPRODUCT(MAX(ROW(E$1:E5039)*(E2=E$1:E5039))))))</f>
        <v> </v>
      </c>
      <c r="K5040" s="25" t="str">
        <f>IF(OR(E5040="",E5040="!!!",F5040="NEW"),"",INDEX(J$1:J5039,SUMPRODUCT(MAX(ROW(E$1:E5039)*(E5040=E$1:E5039)))))</f>
        <v> </v>
      </c>
      <c r="L5040" s="26"/>
    </row>
    <row r="5041" spans="1:12">
      <c r="A5041" s="20" t="s">
        <v>2514</v>
      </c>
      <c r="E5041" s="21">
        <f>IF(D5041="?OLD","!!!","")</f>
        <v/>
      </c>
      <c r="F5041" s="22" t="str">
        <f>IF(OR(E5041="",E5041="!!!"),"",IF(NOT(ISNA(VLOOKUP(E5041,E$1:E5040,1,FALSE()))),"OLD",IF(AND(E5041&lt;&gt;"",E5041&lt;&gt;"!!!"),"NEW","")))</f>
        <v> </v>
      </c>
      <c r="G5041" s="23" t="str">
        <f>IF(OR(E5041="",E5041="!!!"),"",IF(OR(J5041=0,AND(J5041=1,K5041=1),AND(J5041=1,I5041="SBJ"),AND(J5041=1,I5041=0)),"?IN_FOCUS",IF(J5041&lt;=2,"?ACTIVATED",IF(J5041&lt;&gt;"","?FAMILIAR",IF(F5041="NEW",IF(ISNA(VLOOKUP(E5041,#REF!,1,FALSE())),"?TYPE_IDENTIFIABLE","?REFERENTIAL"),"_")))))</f>
        <v> </v>
      </c>
      <c r="H5041" s="24" t="str">
        <f>IF(J5041&lt;&gt;1,"",IF(I5041="SBJ","CB","?"))</f>
        <v> </v>
      </c>
      <c r="I5041" s="25" t="str">
        <f>IF(OR(E5041="",E5041="!!!",F5041="NEW"),"",INDEX(B5040:B$2,-1+SUMPRODUCT(MAX(ROW(E5040:E$2)*(E5041=E5040:E$2)))))</f>
        <v> </v>
      </c>
      <c r="J5041" s="25" t="str">
        <f>IF(OR(E5041="",E5041="!!!",F5041="NEW"),"",COUNTBLANK(OFFSET(A$1,,,SUMPRODUCT(MAX(ROW(E$2:E5041)*(E5041=E$2:E5041)))))-COUNTBLANK(OFFSET(A$1,,,SUMPRODUCT(MAX(ROW(E$1:E5040)*(E2=E$1:E5040))))))</f>
        <v> </v>
      </c>
      <c r="K5041" s="25" t="str">
        <f>IF(OR(E5041="",E5041="!!!",F5041="NEW"),"",INDEX(J$1:J5040,SUMPRODUCT(MAX(ROW(E$1:E5040)*(E5041=E$1:E5040)))))</f>
        <v> </v>
      </c>
      <c r="L5041" s="26"/>
    </row>
    <row r="5042" spans="1:12">
      <c r="A5042" s="20" t="s">
        <v>1191</v>
      </c>
      <c r="E5042" s="21">
        <f>IF(D5042="?OLD","!!!","")</f>
        <v/>
      </c>
      <c r="F5042" s="22" t="str">
        <f>IF(OR(E5042="",E5042="!!!"),"",IF(NOT(ISNA(VLOOKUP(E5042,E$1:E5041,1,FALSE()))),"OLD",IF(AND(E5042&lt;&gt;"",E5042&lt;&gt;"!!!"),"NEW","")))</f>
        <v> </v>
      </c>
      <c r="G5042" s="23" t="str">
        <f>IF(OR(E5042="",E5042="!!!"),"",IF(OR(J5042=0,AND(J5042=1,K5042=1),AND(J5042=1,I5042="SBJ"),AND(J5042=1,I5042=0)),"?IN_FOCUS",IF(J5042&lt;=2,"?ACTIVATED",IF(J5042&lt;&gt;"","?FAMILIAR",IF(F5042="NEW",IF(ISNA(VLOOKUP(E5042,#REF!,1,FALSE())),"?TYPE_IDENTIFIABLE","?REFERENTIAL"),"_")))))</f>
        <v> </v>
      </c>
      <c r="H5042" s="24" t="str">
        <f>IF(J5042&lt;&gt;1,"",IF(I5042="SBJ","CB","?"))</f>
        <v> </v>
      </c>
      <c r="I5042" s="25" t="str">
        <f>IF(OR(E5042="",E5042="!!!",F5042="NEW"),"",INDEX(B5041:B$2,-1+SUMPRODUCT(MAX(ROW(E5041:E$2)*(E5042=E5041:E$2)))))</f>
        <v> </v>
      </c>
      <c r="J5042" s="25" t="str">
        <f>IF(OR(E5042="",E5042="!!!",F5042="NEW"),"",COUNTBLANK(OFFSET(A$1,,,SUMPRODUCT(MAX(ROW(E$2:E5042)*(E5042=E$2:E5042)))))-COUNTBLANK(OFFSET(A$1,,,SUMPRODUCT(MAX(ROW(E$1:E5041)*(E2=E$1:E5041))))))</f>
        <v> </v>
      </c>
      <c r="K5042" s="25" t="str">
        <f>IF(OR(E5042="",E5042="!!!",F5042="NEW"),"",INDEX(J$1:J5041,SUMPRODUCT(MAX(ROW(E$1:E5041)*(E5042=E$1:E5041)))))</f>
        <v> </v>
      </c>
      <c r="L5042" s="26"/>
    </row>
    <row r="5043" spans="1:12">
      <c r="A5043" s="20" t="s">
        <v>1138</v>
      </c>
      <c r="E5043" s="21">
        <f>IF(D5043="?OLD","!!!","")</f>
        <v/>
      </c>
      <c r="F5043" s="22" t="str">
        <f>IF(OR(E5043="",E5043="!!!"),"",IF(NOT(ISNA(VLOOKUP(E5043,E$1:E5042,1,FALSE()))),"OLD",IF(AND(E5043&lt;&gt;"",E5043&lt;&gt;"!!!"),"NEW","")))</f>
        <v> </v>
      </c>
      <c r="G5043" s="23" t="str">
        <f>IF(OR(E5043="",E5043="!!!"),"",IF(OR(J5043=0,AND(J5043=1,K5043=1),AND(J5043=1,I5043="SBJ"),AND(J5043=1,I5043=0)),"?IN_FOCUS",IF(J5043&lt;=2,"?ACTIVATED",IF(J5043&lt;&gt;"","?FAMILIAR",IF(F5043="NEW",IF(ISNA(VLOOKUP(E5043,#REF!,1,FALSE())),"?TYPE_IDENTIFIABLE","?REFERENTIAL"),"_")))))</f>
        <v> </v>
      </c>
      <c r="H5043" s="24" t="str">
        <f>IF(J5043&lt;&gt;1,"",IF(I5043="SBJ","CB","?"))</f>
        <v> </v>
      </c>
      <c r="I5043" s="25" t="str">
        <f>IF(OR(E5043="",E5043="!!!",F5043="NEW"),"",INDEX(B5042:B$2,-1+SUMPRODUCT(MAX(ROW(E5042:E$2)*(E5043=E5042:E$2)))))</f>
        <v> </v>
      </c>
      <c r="J5043" s="25" t="str">
        <f>IF(OR(E5043="",E5043="!!!",F5043="NEW"),"",COUNTBLANK(OFFSET(A$1,,,SUMPRODUCT(MAX(ROW(E$2:E5043)*(E5043=E$2:E5043)))))-COUNTBLANK(OFFSET(A$1,,,SUMPRODUCT(MAX(ROW(E$1:E5042)*(E2=E$1:E5042))))))</f>
        <v> </v>
      </c>
      <c r="K5043" s="25" t="str">
        <f>IF(OR(E5043="",E5043="!!!",F5043="NEW"),"",INDEX(J$1:J5042,SUMPRODUCT(MAX(ROW(E$1:E5042)*(E5043=E$1:E5042)))))</f>
        <v> </v>
      </c>
      <c r="L5043" s="26"/>
    </row>
    <row r="5044" spans="1:12">
      <c r="A5044" s="20" t="s">
        <v>1104</v>
      </c>
      <c r="E5044" s="21">
        <f>IF(D5044="?OLD","!!!","")</f>
        <v/>
      </c>
      <c r="F5044" s="22" t="str">
        <f>IF(OR(E5044="",E5044="!!!"),"",IF(NOT(ISNA(VLOOKUP(E5044,E$1:E5043,1,FALSE()))),"OLD",IF(AND(E5044&lt;&gt;"",E5044&lt;&gt;"!!!"),"NEW","")))</f>
        <v> </v>
      </c>
      <c r="G5044" s="23" t="str">
        <f>IF(OR(E5044="",E5044="!!!"),"",IF(OR(J5044=0,AND(J5044=1,K5044=1),AND(J5044=1,I5044="SBJ"),AND(J5044=1,I5044=0)),"?IN_FOCUS",IF(J5044&lt;=2,"?ACTIVATED",IF(J5044&lt;&gt;"","?FAMILIAR",IF(F5044="NEW",IF(ISNA(VLOOKUP(E5044,#REF!,1,FALSE())),"?TYPE_IDENTIFIABLE","?REFERENTIAL"),"_")))))</f>
        <v> </v>
      </c>
      <c r="H5044" s="24" t="str">
        <f>IF(J5044&lt;&gt;1,"",IF(I5044="SBJ","CB","?"))</f>
        <v> </v>
      </c>
      <c r="I5044" s="25" t="str">
        <f>IF(OR(E5044="",E5044="!!!",F5044="NEW"),"",INDEX(B5043:B$2,-1+SUMPRODUCT(MAX(ROW(E5043:E$2)*(E5044=E5043:E$2)))))</f>
        <v> </v>
      </c>
      <c r="J5044" s="25" t="str">
        <f>IF(OR(E5044="",E5044="!!!",F5044="NEW"),"",COUNTBLANK(OFFSET(A$1,,,SUMPRODUCT(MAX(ROW(E$2:E5044)*(E5044=E$2:E5044)))))-COUNTBLANK(OFFSET(A$1,,,SUMPRODUCT(MAX(ROW(E$1:E5043)*(E2=E$1:E5043))))))</f>
        <v> </v>
      </c>
      <c r="K5044" s="25" t="str">
        <f>IF(OR(E5044="",E5044="!!!",F5044="NEW"),"",INDEX(J$1:J5043,SUMPRODUCT(MAX(ROW(E$1:E5043)*(E5044=E$1:E5043)))))</f>
        <v> </v>
      </c>
      <c r="L5044" s="26"/>
    </row>
    <row r="5045" spans="1:12">
      <c r="A5045" s="20" t="s">
        <v>2515</v>
      </c>
      <c r="E5045" s="21">
        <f>IF(D5045="?OLD","!!!","")</f>
        <v/>
      </c>
      <c r="F5045" s="22" t="str">
        <f>IF(OR(E5045="",E5045="!!!"),"",IF(NOT(ISNA(VLOOKUP(E5045,E$1:E5044,1,FALSE()))),"OLD",IF(AND(E5045&lt;&gt;"",E5045&lt;&gt;"!!!"),"NEW","")))</f>
        <v> </v>
      </c>
      <c r="G5045" s="23" t="str">
        <f>IF(OR(E5045="",E5045="!!!"),"",IF(OR(J5045=0,AND(J5045=1,K5045=1),AND(J5045=1,I5045="SBJ"),AND(J5045=1,I5045=0)),"?IN_FOCUS",IF(J5045&lt;=2,"?ACTIVATED",IF(J5045&lt;&gt;"","?FAMILIAR",IF(F5045="NEW",IF(ISNA(VLOOKUP(E5045,#REF!,1,FALSE())),"?TYPE_IDENTIFIABLE","?REFERENTIAL"),"_")))))</f>
        <v> </v>
      </c>
      <c r="H5045" s="24" t="str">
        <f>IF(J5045&lt;&gt;1,"",IF(I5045="SBJ","CB","?"))</f>
        <v> </v>
      </c>
      <c r="I5045" s="25" t="str">
        <f>IF(OR(E5045="",E5045="!!!",F5045="NEW"),"",INDEX(B5044:B$2,-1+SUMPRODUCT(MAX(ROW(E5044:E$2)*(E5045=E5044:E$2)))))</f>
        <v> </v>
      </c>
      <c r="J5045" s="25" t="str">
        <f>IF(OR(E5045="",E5045="!!!",F5045="NEW"),"",COUNTBLANK(OFFSET(A$1,,,SUMPRODUCT(MAX(ROW(E$2:E5045)*(E5045=E$2:E5045)))))-COUNTBLANK(OFFSET(A$1,,,SUMPRODUCT(MAX(ROW(E$1:E5044)*(E2=E$1:E5044))))))</f>
        <v> </v>
      </c>
      <c r="K5045" s="25" t="str">
        <f>IF(OR(E5045="",E5045="!!!",F5045="NEW"),"",INDEX(J$1:J5044,SUMPRODUCT(MAX(ROW(E$1:E5044)*(E5045=E$1:E5044)))))</f>
        <v> </v>
      </c>
      <c r="L5045" s="26"/>
    </row>
    <row r="5046" spans="1:12">
      <c r="A5046" s="20" t="s">
        <v>2294</v>
      </c>
      <c r="B5046" s="27" t="s">
        <v>2508</v>
      </c>
      <c r="C5046" s="27" t="s">
        <v>1086</v>
      </c>
      <c r="D5046" s="27" t="s">
        <v>1069</v>
      </c>
      <c r="E5046" s="21">
        <f>IF(D5046="?OLD","!!!","")</f>
        <v/>
      </c>
      <c r="F5046" s="22" t="str">
        <f>IF(OR(E5046="",E5046="!!!"),"",IF(NOT(ISNA(VLOOKUP(E5046,E$1:E5045,1,FALSE()))),"OLD",IF(AND(E5046&lt;&gt;"",E5046&lt;&gt;"!!!"),"NEW","")))</f>
        <v> </v>
      </c>
      <c r="G5046" s="23" t="str">
        <f>IF(OR(E5046="",E5046="!!!"),"",IF(OR(J5046=0,AND(J5046=1,K5046=1),AND(J5046=1,I5046="SBJ"),AND(J5046=1,I5046=0)),"?IN_FOCUS",IF(J5046&lt;=2,"?ACTIVATED",IF(J5046&lt;&gt;"","?FAMILIAR",IF(F5046="NEW",IF(ISNA(VLOOKUP(E5046,#REF!,1,FALSE())),"?TYPE_IDENTIFIABLE","?REFERENTIAL"),"_")))))</f>
        <v> </v>
      </c>
      <c r="H5046" s="24" t="str">
        <f>IF(J5046&lt;&gt;1,"",IF(I5046="SBJ","CB","?"))</f>
        <v> </v>
      </c>
      <c r="I5046" s="25" t="str">
        <f>IF(OR(E5046="",E5046="!!!",F5046="NEW"),"",INDEX(B5045:B$2,-1+SUMPRODUCT(MAX(ROW(E5045:E$2)*(E5046=E5045:E$2)))))</f>
        <v> </v>
      </c>
      <c r="J5046" s="25" t="str">
        <f>IF(OR(E5046="",E5046="!!!",F5046="NEW"),"",COUNTBLANK(OFFSET(A$1,,,SUMPRODUCT(MAX(ROW(E$2:E5046)*(E5046=E$2:E5046)))))-COUNTBLANK(OFFSET(A$1,,,SUMPRODUCT(MAX(ROW(E$1:E5045)*(E2=E$1:E5045))))))</f>
        <v> </v>
      </c>
      <c r="K5046" s="25" t="str">
        <f>IF(OR(E5046="",E5046="!!!",F5046="NEW"),"",INDEX(J$1:J5045,SUMPRODUCT(MAX(ROW(E$1:E5045)*(E5046=E$1:E5045)))))</f>
        <v> </v>
      </c>
      <c r="L5046" s="26"/>
    </row>
    <row r="5047" spans="1:12">
      <c r="A5047" s="20" t="s">
        <v>1080</v>
      </c>
      <c r="E5047" s="21">
        <f>IF(D5047="?OLD","!!!","")</f>
        <v/>
      </c>
      <c r="F5047" s="22" t="str">
        <f>IF(OR(E5047="",E5047="!!!"),"",IF(NOT(ISNA(VLOOKUP(E5047,E$1:E5046,1,FALSE()))),"OLD",IF(AND(E5047&lt;&gt;"",E5047&lt;&gt;"!!!"),"NEW","")))</f>
        <v> </v>
      </c>
      <c r="G5047" s="23" t="str">
        <f>IF(OR(E5047="",E5047="!!!"),"",IF(OR(J5047=0,AND(J5047=1,K5047=1),AND(J5047=1,I5047="SBJ"),AND(J5047=1,I5047=0)),"?IN_FOCUS",IF(J5047&lt;=2,"?ACTIVATED",IF(J5047&lt;&gt;"","?FAMILIAR",IF(F5047="NEW",IF(ISNA(VLOOKUP(E5047,#REF!,1,FALSE())),"?TYPE_IDENTIFIABLE","?REFERENTIAL"),"_")))))</f>
        <v> </v>
      </c>
      <c r="H5047" s="24" t="str">
        <f>IF(J5047&lt;&gt;1,"",IF(I5047="SBJ","CB","?"))</f>
        <v> </v>
      </c>
      <c r="I5047" s="25" t="str">
        <f>IF(OR(E5047="",E5047="!!!",F5047="NEW"),"",INDEX(B5046:B$2,-1+SUMPRODUCT(MAX(ROW(E5046:E$2)*(E5047=E5046:E$2)))))</f>
        <v> </v>
      </c>
      <c r="J5047" s="25" t="str">
        <f>IF(OR(E5047="",E5047="!!!",F5047="NEW"),"",COUNTBLANK(OFFSET(A$1,,,SUMPRODUCT(MAX(ROW(E$2:E5047)*(E5047=E$2:E5047)))))-COUNTBLANK(OFFSET(A$1,,,SUMPRODUCT(MAX(ROW(E$1:E5046)*(E2=E$1:E5046))))))</f>
        <v> </v>
      </c>
      <c r="K5047" s="25" t="str">
        <f>IF(OR(E5047="",E5047="!!!",F5047="NEW"),"",INDEX(J$1:J5046,SUMPRODUCT(MAX(ROW(E$1:E5046)*(E5047=E$1:E5046)))))</f>
        <v> </v>
      </c>
      <c r="L5047" s="26"/>
    </row>
    <row r="5048" spans="1:12">
      <c r="A5048" s="20" t="s">
        <v>1318</v>
      </c>
      <c r="E5048" s="21">
        <f>IF(D5048="?OLD","!!!","")</f>
        <v/>
      </c>
      <c r="F5048" s="22" t="str">
        <f>IF(OR(E5048="",E5048="!!!"),"",IF(NOT(ISNA(VLOOKUP(E5048,E$1:E5047,1,FALSE()))),"OLD",IF(AND(E5048&lt;&gt;"",E5048&lt;&gt;"!!!"),"NEW","")))</f>
        <v> </v>
      </c>
      <c r="G5048" s="23" t="str">
        <f>IF(OR(E5048="",E5048="!!!"),"",IF(OR(J5048=0,AND(J5048=1,K5048=1),AND(J5048=1,I5048="SBJ"),AND(J5048=1,I5048=0)),"?IN_FOCUS",IF(J5048&lt;=2,"?ACTIVATED",IF(J5048&lt;&gt;"","?FAMILIAR",IF(F5048="NEW",IF(ISNA(VLOOKUP(E5048,#REF!,1,FALSE())),"?TYPE_IDENTIFIABLE","?REFERENTIAL"),"_")))))</f>
        <v> </v>
      </c>
      <c r="H5048" s="24" t="str">
        <f>IF(J5048&lt;&gt;1,"",IF(I5048="SBJ","CB","?"))</f>
        <v> </v>
      </c>
      <c r="I5048" s="25" t="str">
        <f>IF(OR(E5048="",E5048="!!!",F5048="NEW"),"",INDEX(B5047:B$2,-1+SUMPRODUCT(MAX(ROW(E5047:E$2)*(E5048=E5047:E$2)))))</f>
        <v> </v>
      </c>
      <c r="J5048" s="25" t="str">
        <f>IF(OR(E5048="",E5048="!!!",F5048="NEW"),"",COUNTBLANK(OFFSET(A$1,,,SUMPRODUCT(MAX(ROW(E$2:E5048)*(E5048=E$2:E5048)))))-COUNTBLANK(OFFSET(A$1,,,SUMPRODUCT(MAX(ROW(E$1:E5047)*(E2=E$1:E5047))))))</f>
        <v> </v>
      </c>
      <c r="K5048" s="25" t="str">
        <f>IF(OR(E5048="",E5048="!!!",F5048="NEW"),"",INDEX(J$1:J5047,SUMPRODUCT(MAX(ROW(E$1:E5047)*(E5048=E$1:E5047)))))</f>
        <v> </v>
      </c>
      <c r="L5048" s="26"/>
    </row>
    <row r="5049" spans="1:12">
      <c r="A5049" s="20"/>
    </row>
    <row r="5050" spans="1:12">
      <c r="A5050" s="20" t="s">
        <v>2516</v>
      </c>
    </row>
    <row r="5051" spans="1:12">
      <c r="A5051" s="20" t="s">
        <v>2258</v>
      </c>
      <c r="B5051" s="27" t="s">
        <v>1074</v>
      </c>
      <c r="C5051" s="27" t="s">
        <v>1134</v>
      </c>
      <c r="D5051" s="27" t="s">
        <v>1069</v>
      </c>
      <c r="E5051" s="21">
        <f>IF(D5051="?OLD","!!!","")</f>
        <v/>
      </c>
      <c r="F5051" s="22" t="str">
        <f>IF(OR(E5051="",E5051="!!!"),"",IF(NOT(ISNA(VLOOKUP(E5051,E$1:E5050,1,FALSE()))),"OLD",IF(AND(E5051&lt;&gt;"",E5051&lt;&gt;"!!!"),"NEW","")))</f>
        <v> </v>
      </c>
      <c r="G5051" s="23" t="str">
        <f>IF(OR(E5051="",E5051="!!!"),"",IF(OR(J5051=0,AND(J5051=1,K5051=1),AND(J5051=1,I5051="SBJ"),AND(J5051=1,I5051=0)),"?IN_FOCUS",IF(J5051&lt;=2,"?ACTIVATED",IF(J5051&lt;&gt;"","?FAMILIAR",IF(F5051="NEW",IF(ISNA(VLOOKUP(E5051,#REF!,1,FALSE())),"?TYPE_IDENTIFIABLE","?REFERENTIAL"),"_")))))</f>
        <v> </v>
      </c>
      <c r="H5051" s="24" t="str">
        <f>IF(J5051&lt;&gt;1,"",IF(I5051="SBJ","CB","?"))</f>
        <v> </v>
      </c>
      <c r="I5051" s="25" t="str">
        <f>IF(OR(E5051="",E5051="!!!",F5051="NEW"),"",INDEX(B5050:B$2,-1+SUMPRODUCT(MAX(ROW(E5050:E$2)*(E5051=E5050:E$2)))))</f>
        <v> </v>
      </c>
      <c r="J5051" s="25" t="str">
        <f>IF(OR(E5051="",E5051="!!!",F5051="NEW"),"",COUNTBLANK(OFFSET(A$1,,,SUMPRODUCT(MAX(ROW(E$2:E5051)*(E5051=E$2:E5051)))))-COUNTBLANK(OFFSET(A$1,,,SUMPRODUCT(MAX(ROW(E$1:E5050)*(E2=E$1:E5050))))))</f>
        <v> </v>
      </c>
      <c r="K5051" s="25" t="str">
        <f>IF(OR(E5051="",E5051="!!!",F5051="NEW"),"",INDEX(J$1:J5050,SUMPRODUCT(MAX(ROW(E$1:E5050)*(E5051=E$1:E5050)))))</f>
        <v> </v>
      </c>
      <c r="L5051" s="26"/>
    </row>
    <row r="5052" spans="1:12">
      <c r="A5052" s="20" t="s">
        <v>1317</v>
      </c>
      <c r="E5052" s="21">
        <f>IF(D5052="?OLD","!!!","")</f>
        <v/>
      </c>
      <c r="F5052" s="22" t="str">
        <f>IF(OR(E5052="",E5052="!!!"),"",IF(NOT(ISNA(VLOOKUP(E5052,E$1:E5051,1,FALSE()))),"OLD",IF(AND(E5052&lt;&gt;"",E5052&lt;&gt;"!!!"),"NEW","")))</f>
        <v> </v>
      </c>
      <c r="G5052" s="23" t="str">
        <f>IF(OR(E5052="",E5052="!!!"),"",IF(OR(J5052=0,AND(J5052=1,K5052=1),AND(J5052=1,I5052="SBJ"),AND(J5052=1,I5052=0)),"?IN_FOCUS",IF(J5052&lt;=2,"?ACTIVATED",IF(J5052&lt;&gt;"","?FAMILIAR",IF(F5052="NEW",IF(ISNA(VLOOKUP(E5052,#REF!,1,FALSE())),"?TYPE_IDENTIFIABLE","?REFERENTIAL"),"_")))))</f>
        <v> </v>
      </c>
      <c r="H5052" s="24" t="str">
        <f>IF(J5052&lt;&gt;1,"",IF(I5052="SBJ","CB","?"))</f>
        <v> </v>
      </c>
      <c r="I5052" s="25" t="str">
        <f>IF(OR(E5052="",E5052="!!!",F5052="NEW"),"",INDEX(B5051:B$2,-1+SUMPRODUCT(MAX(ROW(E5051:E$2)*(E5052=E5051:E$2)))))</f>
        <v> </v>
      </c>
      <c r="J5052" s="25" t="str">
        <f>IF(OR(E5052="",E5052="!!!",F5052="NEW"),"",COUNTBLANK(OFFSET(A$1,,,SUMPRODUCT(MAX(ROW(E$2:E5052)*(E5052=E$2:E5052)))))-COUNTBLANK(OFFSET(A$1,,,SUMPRODUCT(MAX(ROW(E$1:E5051)*(E2=E$1:E5051))))))</f>
        <v> </v>
      </c>
      <c r="K5052" s="25" t="str">
        <f>IF(OR(E5052="",E5052="!!!",F5052="NEW"),"",INDEX(J$1:J5051,SUMPRODUCT(MAX(ROW(E$1:E5051)*(E5052=E$1:E5051)))))</f>
        <v> </v>
      </c>
      <c r="L5052" s="26"/>
    </row>
    <row r="5053" spans="1:12">
      <c r="A5053" s="20" t="s">
        <v>1082</v>
      </c>
      <c r="E5053" s="21">
        <f>IF(D5053="?OLD","!!!","")</f>
        <v/>
      </c>
      <c r="F5053" s="22" t="str">
        <f>IF(OR(E5053="",E5053="!!!"),"",IF(NOT(ISNA(VLOOKUP(E5053,E$1:E5052,1,FALSE()))),"OLD",IF(AND(E5053&lt;&gt;"",E5053&lt;&gt;"!!!"),"NEW","")))</f>
        <v> </v>
      </c>
      <c r="G5053" s="23" t="str">
        <f>IF(OR(E5053="",E5053="!!!"),"",IF(OR(J5053=0,AND(J5053=1,K5053=1),AND(J5053=1,I5053="SBJ"),AND(J5053=1,I5053=0)),"?IN_FOCUS",IF(J5053&lt;=2,"?ACTIVATED",IF(J5053&lt;&gt;"","?FAMILIAR",IF(F5053="NEW",IF(ISNA(VLOOKUP(E5053,#REF!,1,FALSE())),"?TYPE_IDENTIFIABLE","?REFERENTIAL"),"_")))))</f>
        <v> </v>
      </c>
      <c r="H5053" s="24" t="str">
        <f>IF(J5053&lt;&gt;1,"",IF(I5053="SBJ","CB","?"))</f>
        <v> </v>
      </c>
      <c r="I5053" s="25" t="str">
        <f>IF(OR(E5053="",E5053="!!!",F5053="NEW"),"",INDEX(B5052:B$2,-1+SUMPRODUCT(MAX(ROW(E5052:E$2)*(E5053=E5052:E$2)))))</f>
        <v> </v>
      </c>
      <c r="J5053" s="25" t="str">
        <f>IF(OR(E5053="",E5053="!!!",F5053="NEW"),"",COUNTBLANK(OFFSET(A$1,,,SUMPRODUCT(MAX(ROW(E$2:E5053)*(E5053=E$2:E5053)))))-COUNTBLANK(OFFSET(A$1,,,SUMPRODUCT(MAX(ROW(E$1:E5052)*(E2=E$1:E5052))))))</f>
        <v> </v>
      </c>
      <c r="K5053" s="25" t="str">
        <f>IF(OR(E5053="",E5053="!!!",F5053="NEW"),"",INDEX(J$1:J5052,SUMPRODUCT(MAX(ROW(E$1:E5052)*(E5053=E$1:E5052)))))</f>
        <v> </v>
      </c>
      <c r="L5053" s="26"/>
    </row>
    <row r="5054" spans="1:12">
      <c r="A5054" s="20" t="s">
        <v>1083</v>
      </c>
      <c r="B5054" s="27" t="s">
        <v>1067</v>
      </c>
      <c r="C5054" s="27" t="s">
        <v>1110</v>
      </c>
      <c r="D5054" s="27" t="s">
        <v>1069</v>
      </c>
      <c r="E5054" s="21">
        <f>IF(D5054="?OLD","!!!","")</f>
        <v/>
      </c>
      <c r="F5054" s="22" t="str">
        <f>IF(OR(E5054="",E5054="!!!"),"",IF(NOT(ISNA(VLOOKUP(E5054,E$1:E5053,1,FALSE()))),"OLD",IF(AND(E5054&lt;&gt;"",E5054&lt;&gt;"!!!"),"NEW","")))</f>
        <v> </v>
      </c>
      <c r="G5054" s="23" t="str">
        <f>IF(OR(E5054="",E5054="!!!"),"",IF(OR(J5054=0,AND(J5054=1,K5054=1),AND(J5054=1,I5054="SBJ"),AND(J5054=1,I5054=0)),"?IN_FOCUS",IF(J5054&lt;=2,"?ACTIVATED",IF(J5054&lt;&gt;"","?FAMILIAR",IF(F5054="NEW",IF(ISNA(VLOOKUP(E5054,#REF!,1,FALSE())),"?TYPE_IDENTIFIABLE","?REFERENTIAL"),"_")))))</f>
        <v> </v>
      </c>
      <c r="H5054" s="24" t="str">
        <f>IF(J5054&lt;&gt;1,"",IF(I5054="SBJ","CB","?"))</f>
        <v> </v>
      </c>
      <c r="I5054" s="25" t="str">
        <f>IF(OR(E5054="",E5054="!!!",F5054="NEW"),"",INDEX(B5053:B$2,-1+SUMPRODUCT(MAX(ROW(E5053:E$2)*(E5054=E5053:E$2)))))</f>
        <v> </v>
      </c>
      <c r="J5054" s="25" t="str">
        <f>IF(OR(E5054="",E5054="!!!",F5054="NEW"),"",COUNTBLANK(OFFSET(A$1,,,SUMPRODUCT(MAX(ROW(E$2:E5054)*(E5054=E$2:E5054)))))-COUNTBLANK(OFFSET(A$1,,,SUMPRODUCT(MAX(ROW(E$1:E5053)*(E2=E$1:E5053))))))</f>
        <v> </v>
      </c>
      <c r="K5054" s="25" t="str">
        <f>IF(OR(E5054="",E5054="!!!",F5054="NEW"),"",INDEX(J$1:J5053,SUMPRODUCT(MAX(ROW(E$1:E5053)*(E5054=E$1:E5053)))))</f>
        <v> </v>
      </c>
      <c r="L5054" s="26"/>
    </row>
    <row r="5055" spans="1:12">
      <c r="A5055" s="20" t="s">
        <v>1205</v>
      </c>
      <c r="E5055" s="21">
        <f>IF(D5055="?OLD","!!!","")</f>
        <v/>
      </c>
      <c r="F5055" s="22" t="str">
        <f>IF(OR(E5055="",E5055="!!!"),"",IF(NOT(ISNA(VLOOKUP(E5055,E$1:E5054,1,FALSE()))),"OLD",IF(AND(E5055&lt;&gt;"",E5055&lt;&gt;"!!!"),"NEW","")))</f>
        <v> </v>
      </c>
      <c r="G5055" s="23" t="str">
        <f>IF(OR(E5055="",E5055="!!!"),"",IF(OR(J5055=0,AND(J5055=1,K5055=1),AND(J5055=1,I5055="SBJ"),AND(J5055=1,I5055=0)),"?IN_FOCUS",IF(J5055&lt;=2,"?ACTIVATED",IF(J5055&lt;&gt;"","?FAMILIAR",IF(F5055="NEW",IF(ISNA(VLOOKUP(E5055,#REF!,1,FALSE())),"?TYPE_IDENTIFIABLE","?REFERENTIAL"),"_")))))</f>
        <v> </v>
      </c>
      <c r="H5055" s="24" t="str">
        <f>IF(J5055&lt;&gt;1,"",IF(I5055="SBJ","CB","?"))</f>
        <v> </v>
      </c>
      <c r="I5055" s="25" t="str">
        <f>IF(OR(E5055="",E5055="!!!",F5055="NEW"),"",INDEX(B5054:B$2,-1+SUMPRODUCT(MAX(ROW(E5054:E$2)*(E5055=E5054:E$2)))))</f>
        <v> </v>
      </c>
      <c r="J5055" s="25" t="str">
        <f>IF(OR(E5055="",E5055="!!!",F5055="NEW"),"",COUNTBLANK(OFFSET(A$1,,,SUMPRODUCT(MAX(ROW(E$2:E5055)*(E5055=E$2:E5055)))))-COUNTBLANK(OFFSET(A$1,,,SUMPRODUCT(MAX(ROW(E$1:E5054)*(E2=E$1:E5054))))))</f>
        <v> </v>
      </c>
      <c r="K5055" s="25" t="str">
        <f>IF(OR(E5055="",E5055="!!!",F5055="NEW"),"",INDEX(J$1:J5054,SUMPRODUCT(MAX(ROW(E$1:E5054)*(E5055=E$1:E5054)))))</f>
        <v> </v>
      </c>
      <c r="L5055" s="26"/>
    </row>
    <row r="5056" spans="1:12">
      <c r="A5056" s="20" t="s">
        <v>2517</v>
      </c>
      <c r="E5056" s="21">
        <f>IF(D5056="?OLD","!!!","")</f>
        <v/>
      </c>
      <c r="F5056" s="22" t="str">
        <f>IF(OR(E5056="",E5056="!!!"),"",IF(NOT(ISNA(VLOOKUP(E5056,E$1:E5055,1,FALSE()))),"OLD",IF(AND(E5056&lt;&gt;"",E5056&lt;&gt;"!!!"),"NEW","")))</f>
        <v> </v>
      </c>
      <c r="G5056" s="23" t="str">
        <f>IF(OR(E5056="",E5056="!!!"),"",IF(OR(J5056=0,AND(J5056=1,K5056=1),AND(J5056=1,I5056="SBJ"),AND(J5056=1,I5056=0)),"?IN_FOCUS",IF(J5056&lt;=2,"?ACTIVATED",IF(J5056&lt;&gt;"","?FAMILIAR",IF(F5056="NEW",IF(ISNA(VLOOKUP(E5056,#REF!,1,FALSE())),"?TYPE_IDENTIFIABLE","?REFERENTIAL"),"_")))))</f>
        <v> </v>
      </c>
      <c r="H5056" s="24" t="str">
        <f>IF(J5056&lt;&gt;1,"",IF(I5056="SBJ","CB","?"))</f>
        <v> </v>
      </c>
      <c r="I5056" s="25" t="str">
        <f>IF(OR(E5056="",E5056="!!!",F5056="NEW"),"",INDEX(B5055:B$2,-1+SUMPRODUCT(MAX(ROW(E5055:E$2)*(E5056=E5055:E$2)))))</f>
        <v> </v>
      </c>
      <c r="J5056" s="25" t="str">
        <f>IF(OR(E5056="",E5056="!!!",F5056="NEW"),"",COUNTBLANK(OFFSET(A$1,,,SUMPRODUCT(MAX(ROW(E$2:E5056)*(E5056=E$2:E5056)))))-COUNTBLANK(OFFSET(A$1,,,SUMPRODUCT(MAX(ROW(E$1:E5055)*(E2=E$1:E5055))))))</f>
        <v> </v>
      </c>
      <c r="K5056" s="25" t="str">
        <f>IF(OR(E5056="",E5056="!!!",F5056="NEW"),"",INDEX(J$1:J5055,SUMPRODUCT(MAX(ROW(E$1:E5055)*(E5056=E$1:E5055)))))</f>
        <v> </v>
      </c>
      <c r="L5056" s="26"/>
    </row>
    <row r="5057" spans="1:12">
      <c r="A5057" s="20" t="s">
        <v>1329</v>
      </c>
      <c r="B5057" s="27" t="s">
        <v>1074</v>
      </c>
      <c r="C5057" s="27" t="s">
        <v>1171</v>
      </c>
      <c r="E5057" s="21">
        <f>IF(D5057="?OLD","!!!","")</f>
        <v/>
      </c>
      <c r="F5057" s="22" t="str">
        <f>IF(OR(E5057="",E5057="!!!"),"",IF(NOT(ISNA(VLOOKUP(E5057,E$1:E5056,1,FALSE()))),"OLD",IF(AND(E5057&lt;&gt;"",E5057&lt;&gt;"!!!"),"NEW","")))</f>
        <v> </v>
      </c>
      <c r="G5057" s="23" t="str">
        <f>IF(OR(E5057="",E5057="!!!"),"",IF(OR(J5057=0,AND(J5057=1,K5057=1),AND(J5057=1,I5057="SBJ"),AND(J5057=1,I5057=0)),"?IN_FOCUS",IF(J5057&lt;=2,"?ACTIVATED",IF(J5057&lt;&gt;"","?FAMILIAR",IF(F5057="NEW",IF(ISNA(VLOOKUP(E5057,#REF!,1,FALSE())),"?TYPE_IDENTIFIABLE","?REFERENTIAL"),"_")))))</f>
        <v> </v>
      </c>
      <c r="H5057" s="24" t="str">
        <f>IF(J5057&lt;&gt;1,"",IF(I5057="SBJ","CB","?"))</f>
        <v> </v>
      </c>
      <c r="I5057" s="25" t="str">
        <f>IF(OR(E5057="",E5057="!!!",F5057="NEW"),"",INDEX(B5056:B$2,-1+SUMPRODUCT(MAX(ROW(E5056:E$2)*(E5057=E5056:E$2)))))</f>
        <v> </v>
      </c>
      <c r="J5057" s="25" t="str">
        <f>IF(OR(E5057="",E5057="!!!",F5057="NEW"),"",COUNTBLANK(OFFSET(A$1,,,SUMPRODUCT(MAX(ROW(E$2:E5057)*(E5057=E$2:E5057)))))-COUNTBLANK(OFFSET(A$1,,,SUMPRODUCT(MAX(ROW(E$1:E5056)*(E2=E$1:E5056))))))</f>
        <v> </v>
      </c>
      <c r="K5057" s="25" t="str">
        <f>IF(OR(E5057="",E5057="!!!",F5057="NEW"),"",INDEX(J$1:J5056,SUMPRODUCT(MAX(ROW(E$1:E5056)*(E5057=E$1:E5056)))))</f>
        <v> </v>
      </c>
      <c r="L5057" s="26"/>
    </row>
    <row r="5058" spans="1:12">
      <c r="A5058" s="20" t="s">
        <v>1142</v>
      </c>
      <c r="E5058" s="21">
        <f>IF(D5058="?OLD","!!!","")</f>
        <v/>
      </c>
      <c r="F5058" s="22" t="str">
        <f>IF(OR(E5058="",E5058="!!!"),"",IF(NOT(ISNA(VLOOKUP(E5058,E$1:E5057,1,FALSE()))),"OLD",IF(AND(E5058&lt;&gt;"",E5058&lt;&gt;"!!!"),"NEW","")))</f>
        <v> </v>
      </c>
      <c r="G5058" s="23" t="str">
        <f>IF(OR(E5058="",E5058="!!!"),"",IF(OR(J5058=0,AND(J5058=1,K5058=1),AND(J5058=1,I5058="SBJ"),AND(J5058=1,I5058=0)),"?IN_FOCUS",IF(J5058&lt;=2,"?ACTIVATED",IF(J5058&lt;&gt;"","?FAMILIAR",IF(F5058="NEW",IF(ISNA(VLOOKUP(E5058,#REF!,1,FALSE())),"?TYPE_IDENTIFIABLE","?REFERENTIAL"),"_")))))</f>
        <v> </v>
      </c>
      <c r="H5058" s="24" t="str">
        <f>IF(J5058&lt;&gt;1,"",IF(I5058="SBJ","CB","?"))</f>
        <v> </v>
      </c>
      <c r="I5058" s="25" t="str">
        <f>IF(OR(E5058="",E5058="!!!",F5058="NEW"),"",INDEX(B5057:B$2,-1+SUMPRODUCT(MAX(ROW(E5057:E$2)*(E5058=E5057:E$2)))))</f>
        <v> </v>
      </c>
      <c r="J5058" s="25" t="str">
        <f>IF(OR(E5058="",E5058="!!!",F5058="NEW"),"",COUNTBLANK(OFFSET(A$1,,,SUMPRODUCT(MAX(ROW(E$2:E5058)*(E5058=E$2:E5058)))))-COUNTBLANK(OFFSET(A$1,,,SUMPRODUCT(MAX(ROW(E$1:E5057)*(E2=E$1:E5057))))))</f>
        <v> </v>
      </c>
      <c r="K5058" s="25" t="str">
        <f>IF(OR(E5058="",E5058="!!!",F5058="NEW"),"",INDEX(J$1:J5057,SUMPRODUCT(MAX(ROW(E$1:E5057)*(E5058=E$1:E5057)))))</f>
        <v> </v>
      </c>
      <c r="L5058" s="26"/>
    </row>
    <row r="5059" spans="1:12">
      <c r="A5059" s="20" t="s">
        <v>1083</v>
      </c>
      <c r="E5059" s="21">
        <f>IF(D5059="?OLD","!!!","")</f>
        <v/>
      </c>
      <c r="F5059" s="22" t="str">
        <f>IF(OR(E5059="",E5059="!!!"),"",IF(NOT(ISNA(VLOOKUP(E5059,E$1:E5058,1,FALSE()))),"OLD",IF(AND(E5059&lt;&gt;"",E5059&lt;&gt;"!!!"),"NEW","")))</f>
        <v> </v>
      </c>
      <c r="G5059" s="23" t="str">
        <f>IF(OR(E5059="",E5059="!!!"),"",IF(OR(J5059=0,AND(J5059=1,K5059=1),AND(J5059=1,I5059="SBJ"),AND(J5059=1,I5059=0)),"?IN_FOCUS",IF(J5059&lt;=2,"?ACTIVATED",IF(J5059&lt;&gt;"","?FAMILIAR",IF(F5059="NEW",IF(ISNA(VLOOKUP(E5059,#REF!,1,FALSE())),"?TYPE_IDENTIFIABLE","?REFERENTIAL"),"_")))))</f>
        <v> </v>
      </c>
      <c r="H5059" s="24" t="str">
        <f>IF(J5059&lt;&gt;1,"",IF(I5059="SBJ","CB","?"))</f>
        <v> </v>
      </c>
      <c r="I5059" s="25" t="str">
        <f>IF(OR(E5059="",E5059="!!!",F5059="NEW"),"",INDEX(B5058:B$2,-1+SUMPRODUCT(MAX(ROW(E5058:E$2)*(E5059=E5058:E$2)))))</f>
        <v> </v>
      </c>
      <c r="J5059" s="25" t="str">
        <f>IF(OR(E5059="",E5059="!!!",F5059="NEW"),"",COUNTBLANK(OFFSET(A$1,,,SUMPRODUCT(MAX(ROW(E$2:E5059)*(E5059=E$2:E5059)))))-COUNTBLANK(OFFSET(A$1,,,SUMPRODUCT(MAX(ROW(E$1:E5058)*(E2=E$1:E5058))))))</f>
        <v> </v>
      </c>
      <c r="K5059" s="25" t="str">
        <f>IF(OR(E5059="",E5059="!!!",F5059="NEW"),"",INDEX(J$1:J5058,SUMPRODUCT(MAX(ROW(E$1:E5058)*(E5059=E$1:E5058)))))</f>
        <v> </v>
      </c>
      <c r="L5059" s="26"/>
    </row>
    <row r="5060" spans="1:12">
      <c r="A5060" s="20" t="s">
        <v>2518</v>
      </c>
      <c r="B5060" s="27" t="s">
        <v>1074</v>
      </c>
      <c r="C5060" s="27" t="s">
        <v>1086</v>
      </c>
      <c r="D5060" s="27" t="s">
        <v>1069</v>
      </c>
      <c r="E5060" s="21">
        <f>IF(D5060="?OLD","!!!","")</f>
        <v/>
      </c>
      <c r="F5060" s="22" t="str">
        <f>IF(OR(E5060="",E5060="!!!"),"",IF(NOT(ISNA(VLOOKUP(E5060,E$1:E5059,1,FALSE()))),"OLD",IF(AND(E5060&lt;&gt;"",E5060&lt;&gt;"!!!"),"NEW","")))</f>
        <v> </v>
      </c>
      <c r="G5060" s="23" t="str">
        <f>IF(OR(E5060="",E5060="!!!"),"",IF(OR(J5060=0,AND(J5060=1,K5060=1),AND(J5060=1,I5060="SBJ"),AND(J5060=1,I5060=0)),"?IN_FOCUS",IF(J5060&lt;=2,"?ACTIVATED",IF(J5060&lt;&gt;"","?FAMILIAR",IF(F5060="NEW",IF(ISNA(VLOOKUP(E5060,#REF!,1,FALSE())),"?TYPE_IDENTIFIABLE","?REFERENTIAL"),"_")))))</f>
        <v> </v>
      </c>
      <c r="H5060" s="24" t="str">
        <f>IF(J5060&lt;&gt;1,"",IF(I5060="SBJ","CB","?"))</f>
        <v> </v>
      </c>
      <c r="I5060" s="25" t="str">
        <f>IF(OR(E5060="",E5060="!!!",F5060="NEW"),"",INDEX(B5059:B$2,-1+SUMPRODUCT(MAX(ROW(E5059:E$2)*(E5060=E5059:E$2)))))</f>
        <v> </v>
      </c>
      <c r="J5060" s="25" t="str">
        <f>IF(OR(E5060="",E5060="!!!",F5060="NEW"),"",COUNTBLANK(OFFSET(A$1,,,SUMPRODUCT(MAX(ROW(E$2:E5060)*(E5060=E$2:E5060)))))-COUNTBLANK(OFFSET(A$1,,,SUMPRODUCT(MAX(ROW(E$1:E5059)*(E2=E$1:E5059))))))</f>
        <v> </v>
      </c>
      <c r="K5060" s="25" t="str">
        <f>IF(OR(E5060="",E5060="!!!",F5060="NEW"),"",INDEX(J$1:J5059,SUMPRODUCT(MAX(ROW(E$1:E5059)*(E5060=E$1:E5059)))))</f>
        <v> </v>
      </c>
      <c r="L5060" s="26"/>
    </row>
    <row r="5061" spans="1:12">
      <c r="A5061" s="20" t="s">
        <v>2519</v>
      </c>
      <c r="B5061" s="27" t="s">
        <v>1071</v>
      </c>
      <c r="C5061" s="27" t="s">
        <v>1134</v>
      </c>
      <c r="D5061" s="27" t="s">
        <v>1069</v>
      </c>
      <c r="E5061" s="21">
        <f>IF(D5061="?OLD","!!!","")</f>
        <v/>
      </c>
      <c r="F5061" s="22" t="str">
        <f>IF(OR(E5061="",E5061="!!!"),"",IF(NOT(ISNA(VLOOKUP(E5061,E$1:E5060,1,FALSE()))),"OLD",IF(AND(E5061&lt;&gt;"",E5061&lt;&gt;"!!!"),"NEW","")))</f>
        <v> </v>
      </c>
      <c r="G5061" s="23" t="str">
        <f>IF(OR(E5061="",E5061="!!!"),"",IF(OR(J5061=0,AND(J5061=1,K5061=1),AND(J5061=1,I5061="SBJ"),AND(J5061=1,I5061=0)),"?IN_FOCUS",IF(J5061&lt;=2,"?ACTIVATED",IF(J5061&lt;&gt;"","?FAMILIAR",IF(F5061="NEW",IF(ISNA(VLOOKUP(E5061,#REF!,1,FALSE())),"?TYPE_IDENTIFIABLE","?REFERENTIAL"),"_")))))</f>
        <v> </v>
      </c>
      <c r="H5061" s="24" t="str">
        <f>IF(J5061&lt;&gt;1,"",IF(I5061="SBJ","CB","?"))</f>
        <v> </v>
      </c>
      <c r="I5061" s="25" t="str">
        <f>IF(OR(E5061="",E5061="!!!",F5061="NEW"),"",INDEX(B5060:B$2,-1+SUMPRODUCT(MAX(ROW(E5060:E$2)*(E5061=E5060:E$2)))))</f>
        <v> </v>
      </c>
      <c r="J5061" s="25" t="str">
        <f>IF(OR(E5061="",E5061="!!!",F5061="NEW"),"",COUNTBLANK(OFFSET(A$1,,,SUMPRODUCT(MAX(ROW(E$2:E5061)*(E5061=E$2:E5061)))))-COUNTBLANK(OFFSET(A$1,,,SUMPRODUCT(MAX(ROW(E$1:E5060)*(E2=E$1:E5060))))))</f>
        <v> </v>
      </c>
      <c r="K5061" s="25" t="str">
        <f>IF(OR(E5061="",E5061="!!!",F5061="NEW"),"",INDEX(J$1:J5060,SUMPRODUCT(MAX(ROW(E$1:E5060)*(E5061=E$1:E5060)))))</f>
        <v> </v>
      </c>
      <c r="L5061" s="26"/>
    </row>
    <row r="5062" spans="1:12">
      <c r="A5062" s="20" t="s">
        <v>2520</v>
      </c>
      <c r="E5062" s="21">
        <f>IF(D5062="?OLD","!!!","")</f>
        <v/>
      </c>
      <c r="F5062" s="22" t="str">
        <f>IF(OR(E5062="",E5062="!!!"),"",IF(NOT(ISNA(VLOOKUP(E5062,E$1:E5061,1,FALSE()))),"OLD",IF(AND(E5062&lt;&gt;"",E5062&lt;&gt;"!!!"),"NEW","")))</f>
        <v> </v>
      </c>
      <c r="G5062" s="23" t="str">
        <f>IF(OR(E5062="",E5062="!!!"),"",IF(OR(J5062=0,AND(J5062=1,K5062=1),AND(J5062=1,I5062="SBJ"),AND(J5062=1,I5062=0)),"?IN_FOCUS",IF(J5062&lt;=2,"?ACTIVATED",IF(J5062&lt;&gt;"","?FAMILIAR",IF(F5062="NEW",IF(ISNA(VLOOKUP(E5062,#REF!,1,FALSE())),"?TYPE_IDENTIFIABLE","?REFERENTIAL"),"_")))))</f>
        <v> </v>
      </c>
      <c r="H5062" s="24" t="str">
        <f>IF(J5062&lt;&gt;1,"",IF(I5062="SBJ","CB","?"))</f>
        <v> </v>
      </c>
      <c r="I5062" s="25" t="str">
        <f>IF(OR(E5062="",E5062="!!!",F5062="NEW"),"",INDEX(B5061:B$2,-1+SUMPRODUCT(MAX(ROW(E5061:E$2)*(E5062=E5061:E$2)))))</f>
        <v> </v>
      </c>
      <c r="J5062" s="25" t="str">
        <f>IF(OR(E5062="",E5062="!!!",F5062="NEW"),"",COUNTBLANK(OFFSET(A$1,,,SUMPRODUCT(MAX(ROW(E$2:E5062)*(E5062=E$2:E5062)))))-COUNTBLANK(OFFSET(A$1,,,SUMPRODUCT(MAX(ROW(E$1:E5061)*(E2=E$1:E5061))))))</f>
        <v> </v>
      </c>
      <c r="K5062" s="25" t="str">
        <f>IF(OR(E5062="",E5062="!!!",F5062="NEW"),"",INDEX(J$1:J5061,SUMPRODUCT(MAX(ROW(E$1:E5061)*(E5062=E$1:E5061)))))</f>
        <v> </v>
      </c>
      <c r="L5062" s="26"/>
    </row>
    <row r="5063" spans="1:12">
      <c r="A5063" s="20" t="s">
        <v>1087</v>
      </c>
      <c r="E5063" s="21">
        <f>IF(D5063="?OLD","!!!","")</f>
        <v/>
      </c>
      <c r="F5063" s="22" t="str">
        <f>IF(OR(E5063="",E5063="!!!"),"",IF(NOT(ISNA(VLOOKUP(E5063,E$1:E5062,1,FALSE()))),"OLD",IF(AND(E5063&lt;&gt;"",E5063&lt;&gt;"!!!"),"NEW","")))</f>
        <v> </v>
      </c>
      <c r="G5063" s="23" t="str">
        <f>IF(OR(E5063="",E5063="!!!"),"",IF(OR(J5063=0,AND(J5063=1,K5063=1),AND(J5063=1,I5063="SBJ"),AND(J5063=1,I5063=0)),"?IN_FOCUS",IF(J5063&lt;=2,"?ACTIVATED",IF(J5063&lt;&gt;"","?FAMILIAR",IF(F5063="NEW",IF(ISNA(VLOOKUP(E5063,#REF!,1,FALSE())),"?TYPE_IDENTIFIABLE","?REFERENTIAL"),"_")))))</f>
        <v> </v>
      </c>
      <c r="H5063" s="24" t="str">
        <f>IF(J5063&lt;&gt;1,"",IF(I5063="SBJ","CB","?"))</f>
        <v> </v>
      </c>
      <c r="I5063" s="25" t="str">
        <f>IF(OR(E5063="",E5063="!!!",F5063="NEW"),"",INDEX(B5062:B$2,-1+SUMPRODUCT(MAX(ROW(E5062:E$2)*(E5063=E5062:E$2)))))</f>
        <v> </v>
      </c>
      <c r="J5063" s="25" t="str">
        <f>IF(OR(E5063="",E5063="!!!",F5063="NEW"),"",COUNTBLANK(OFFSET(A$1,,,SUMPRODUCT(MAX(ROW(E$2:E5063)*(E5063=E$2:E5063)))))-COUNTBLANK(OFFSET(A$1,,,SUMPRODUCT(MAX(ROW(E$1:E5062)*(E2=E$1:E5062))))))</f>
        <v> </v>
      </c>
      <c r="K5063" s="25" t="str">
        <f>IF(OR(E5063="",E5063="!!!",F5063="NEW"),"",INDEX(J$1:J5062,SUMPRODUCT(MAX(ROW(E$1:E5062)*(E5063=E$1:E5062)))))</f>
        <v> </v>
      </c>
      <c r="L5063" s="26"/>
    </row>
    <row r="5064" spans="1:12">
      <c r="A5064" s="20" t="s">
        <v>1149</v>
      </c>
      <c r="E5064" s="21">
        <f>IF(D5064="?OLD","!!!","")</f>
        <v/>
      </c>
      <c r="F5064" s="22" t="str">
        <f>IF(OR(E5064="",E5064="!!!"),"",IF(NOT(ISNA(VLOOKUP(E5064,E$1:E5063,1,FALSE()))),"OLD",IF(AND(E5064&lt;&gt;"",E5064&lt;&gt;"!!!"),"NEW","")))</f>
        <v> </v>
      </c>
      <c r="G5064" s="23" t="str">
        <f>IF(OR(E5064="",E5064="!!!"),"",IF(OR(J5064=0,AND(J5064=1,K5064=1),AND(J5064=1,I5064="SBJ"),AND(J5064=1,I5064=0)),"?IN_FOCUS",IF(J5064&lt;=2,"?ACTIVATED",IF(J5064&lt;&gt;"","?FAMILIAR",IF(F5064="NEW",IF(ISNA(VLOOKUP(E5064,#REF!,1,FALSE())),"?TYPE_IDENTIFIABLE","?REFERENTIAL"),"_")))))</f>
        <v> </v>
      </c>
      <c r="H5064" s="24" t="str">
        <f>IF(J5064&lt;&gt;1,"",IF(I5064="SBJ","CB","?"))</f>
        <v> </v>
      </c>
      <c r="I5064" s="25" t="str">
        <f>IF(OR(E5064="",E5064="!!!",F5064="NEW"),"",INDEX(B5063:B$2,-1+SUMPRODUCT(MAX(ROW(E5063:E$2)*(E5064=E5063:E$2)))))</f>
        <v> </v>
      </c>
      <c r="J5064" s="25" t="str">
        <f>IF(OR(E5064="",E5064="!!!",F5064="NEW"),"",COUNTBLANK(OFFSET(A$1,,,SUMPRODUCT(MAX(ROW(E$2:E5064)*(E5064=E$2:E5064)))))-COUNTBLANK(OFFSET(A$1,,,SUMPRODUCT(MAX(ROW(E$1:E5063)*(E2=E$1:E5063))))))</f>
        <v> </v>
      </c>
      <c r="K5064" s="25" t="str">
        <f>IF(OR(E5064="",E5064="!!!",F5064="NEW"),"",INDEX(J$1:J5063,SUMPRODUCT(MAX(ROW(E$1:E5063)*(E5064=E$1:E5063)))))</f>
        <v> </v>
      </c>
      <c r="L5064" s="26"/>
    </row>
    <row r="5065" spans="1:12">
      <c r="A5065" s="20" t="s">
        <v>1087</v>
      </c>
      <c r="E5065" s="21">
        <f>IF(D5065="?OLD","!!!","")</f>
        <v/>
      </c>
      <c r="F5065" s="22" t="str">
        <f>IF(OR(E5065="",E5065="!!!"),"",IF(NOT(ISNA(VLOOKUP(E5065,E$1:E5064,1,FALSE()))),"OLD",IF(AND(E5065&lt;&gt;"",E5065&lt;&gt;"!!!"),"NEW","")))</f>
        <v> </v>
      </c>
      <c r="G5065" s="23" t="str">
        <f>IF(OR(E5065="",E5065="!!!"),"",IF(OR(J5065=0,AND(J5065=1,K5065=1),AND(J5065=1,I5065="SBJ"),AND(J5065=1,I5065=0)),"?IN_FOCUS",IF(J5065&lt;=2,"?ACTIVATED",IF(J5065&lt;&gt;"","?FAMILIAR",IF(F5065="NEW",IF(ISNA(VLOOKUP(E5065,#REF!,1,FALSE())),"?TYPE_IDENTIFIABLE","?REFERENTIAL"),"_")))))</f>
        <v> </v>
      </c>
      <c r="H5065" s="24" t="str">
        <f>IF(J5065&lt;&gt;1,"",IF(I5065="SBJ","CB","?"))</f>
        <v> </v>
      </c>
      <c r="I5065" s="25" t="str">
        <f>IF(OR(E5065="",E5065="!!!",F5065="NEW"),"",INDEX(B5064:B$2,-1+SUMPRODUCT(MAX(ROW(E5064:E$2)*(E5065=E5064:E$2)))))</f>
        <v> </v>
      </c>
      <c r="J5065" s="25" t="str">
        <f>IF(OR(E5065="",E5065="!!!",F5065="NEW"),"",COUNTBLANK(OFFSET(A$1,,,SUMPRODUCT(MAX(ROW(E$2:E5065)*(E5065=E$2:E5065)))))-COUNTBLANK(OFFSET(A$1,,,SUMPRODUCT(MAX(ROW(E$1:E5064)*(E2=E$1:E5064))))))</f>
        <v> </v>
      </c>
      <c r="K5065" s="25" t="str">
        <f>IF(OR(E5065="",E5065="!!!",F5065="NEW"),"",INDEX(J$1:J5064,SUMPRODUCT(MAX(ROW(E$1:E5064)*(E5065=E$1:E5064)))))</f>
        <v> </v>
      </c>
      <c r="L5065" s="26"/>
    </row>
    <row r="5066" spans="1:12">
      <c r="A5066" s="20" t="s">
        <v>1196</v>
      </c>
      <c r="E5066" s="21">
        <f>IF(D5066="?OLD","!!!","")</f>
        <v/>
      </c>
      <c r="F5066" s="22" t="str">
        <f>IF(OR(E5066="",E5066="!!!"),"",IF(NOT(ISNA(VLOOKUP(E5066,E$1:E5065,1,FALSE()))),"OLD",IF(AND(E5066&lt;&gt;"",E5066&lt;&gt;"!!!"),"NEW","")))</f>
        <v> </v>
      </c>
      <c r="G5066" s="23" t="str">
        <f>IF(OR(E5066="",E5066="!!!"),"",IF(OR(J5066=0,AND(J5066=1,K5066=1),AND(J5066=1,I5066="SBJ"),AND(J5066=1,I5066=0)),"?IN_FOCUS",IF(J5066&lt;=2,"?ACTIVATED",IF(J5066&lt;&gt;"","?FAMILIAR",IF(F5066="NEW",IF(ISNA(VLOOKUP(E5066,#REF!,1,FALSE())),"?TYPE_IDENTIFIABLE","?REFERENTIAL"),"_")))))</f>
        <v> </v>
      </c>
      <c r="H5066" s="24" t="str">
        <f>IF(J5066&lt;&gt;1,"",IF(I5066="SBJ","CB","?"))</f>
        <v> </v>
      </c>
      <c r="I5066" s="25" t="str">
        <f>IF(OR(E5066="",E5066="!!!",F5066="NEW"),"",INDEX(B5065:B$2,-1+SUMPRODUCT(MAX(ROW(E5065:E$2)*(E5066=E5065:E$2)))))</f>
        <v> </v>
      </c>
      <c r="J5066" s="25" t="str">
        <f>IF(OR(E5066="",E5066="!!!",F5066="NEW"),"",COUNTBLANK(OFFSET(A$1,,,SUMPRODUCT(MAX(ROW(E$2:E5066)*(E5066=E$2:E5066)))))-COUNTBLANK(OFFSET(A$1,,,SUMPRODUCT(MAX(ROW(E$1:E5065)*(E2=E$1:E5065))))))</f>
        <v> </v>
      </c>
      <c r="K5066" s="25" t="str">
        <f>IF(OR(E5066="",E5066="!!!",F5066="NEW"),"",INDEX(J$1:J5065,SUMPRODUCT(MAX(ROW(E$1:E5065)*(E5066=E$1:E5065)))))</f>
        <v> </v>
      </c>
      <c r="L5066" s="26"/>
    </row>
    <row r="5067" spans="1:12">
      <c r="A5067" s="20" t="s">
        <v>1351</v>
      </c>
      <c r="B5067" s="27" t="s">
        <v>1235</v>
      </c>
      <c r="C5067" s="27" t="s">
        <v>1072</v>
      </c>
      <c r="E5067" s="21">
        <f>IF(D5067="?OLD","!!!","")</f>
        <v/>
      </c>
      <c r="F5067" s="22" t="str">
        <f>IF(OR(E5067="",E5067="!!!"),"",IF(NOT(ISNA(VLOOKUP(E5067,E$1:E5066,1,FALSE()))),"OLD",IF(AND(E5067&lt;&gt;"",E5067&lt;&gt;"!!!"),"NEW","")))</f>
        <v> </v>
      </c>
      <c r="G5067" s="23" t="str">
        <f>IF(OR(E5067="",E5067="!!!"),"",IF(OR(J5067=0,AND(J5067=1,K5067=1),AND(J5067=1,I5067="SBJ"),AND(J5067=1,I5067=0)),"?IN_FOCUS",IF(J5067&lt;=2,"?ACTIVATED",IF(J5067&lt;&gt;"","?FAMILIAR",IF(F5067="NEW",IF(ISNA(VLOOKUP(E5067,#REF!,1,FALSE())),"?TYPE_IDENTIFIABLE","?REFERENTIAL"),"_")))))</f>
        <v> </v>
      </c>
      <c r="H5067" s="24" t="str">
        <f>IF(J5067&lt;&gt;1,"",IF(I5067="SBJ","CB","?"))</f>
        <v> </v>
      </c>
      <c r="I5067" s="25" t="str">
        <f>IF(OR(E5067="",E5067="!!!",F5067="NEW"),"",INDEX(B5066:B$2,-1+SUMPRODUCT(MAX(ROW(E5066:E$2)*(E5067=E5066:E$2)))))</f>
        <v> </v>
      </c>
      <c r="J5067" s="25" t="str">
        <f>IF(OR(E5067="",E5067="!!!",F5067="NEW"),"",COUNTBLANK(OFFSET(A$1,,,SUMPRODUCT(MAX(ROW(E$2:E5067)*(E5067=E$2:E5067)))))-COUNTBLANK(OFFSET(A$1,,,SUMPRODUCT(MAX(ROW(E$1:E5066)*(E2=E$1:E5066))))))</f>
        <v> </v>
      </c>
      <c r="K5067" s="25" t="str">
        <f>IF(OR(E5067="",E5067="!!!",F5067="NEW"),"",INDEX(J$1:J5066,SUMPRODUCT(MAX(ROW(E$1:E5066)*(E5067=E$1:E5066)))))</f>
        <v> </v>
      </c>
      <c r="L5067" s="26"/>
    </row>
    <row r="5068" spans="1:12">
      <c r="A5068" s="20" t="s">
        <v>1680</v>
      </c>
      <c r="B5068" s="27" t="s">
        <v>1116</v>
      </c>
      <c r="C5068" s="27" t="s">
        <v>1072</v>
      </c>
      <c r="E5068" s="21">
        <f>IF(D5068="?OLD","!!!","")</f>
        <v/>
      </c>
      <c r="F5068" s="22" t="str">
        <f>IF(OR(E5068="",E5068="!!!"),"",IF(NOT(ISNA(VLOOKUP(E5068,E$1:E5067,1,FALSE()))),"OLD",IF(AND(E5068&lt;&gt;"",E5068&lt;&gt;"!!!"),"NEW","")))</f>
        <v> </v>
      </c>
      <c r="G5068" s="23" t="str">
        <f>IF(OR(E5068="",E5068="!!!"),"",IF(OR(J5068=0,AND(J5068=1,K5068=1),AND(J5068=1,I5068="SBJ"),AND(J5068=1,I5068=0)),"?IN_FOCUS",IF(J5068&lt;=2,"?ACTIVATED",IF(J5068&lt;&gt;"","?FAMILIAR",IF(F5068="NEW",IF(ISNA(VLOOKUP(E5068,#REF!,1,FALSE())),"?TYPE_IDENTIFIABLE","?REFERENTIAL"),"_")))))</f>
        <v> </v>
      </c>
      <c r="H5068" s="24" t="str">
        <f>IF(J5068&lt;&gt;1,"",IF(I5068="SBJ","CB","?"))</f>
        <v> </v>
      </c>
      <c r="I5068" s="25" t="str">
        <f>IF(OR(E5068="",E5068="!!!",F5068="NEW"),"",INDEX(B5067:B$2,-1+SUMPRODUCT(MAX(ROW(E5067:E$2)*(E5068=E5067:E$2)))))</f>
        <v> </v>
      </c>
      <c r="J5068" s="25" t="str">
        <f>IF(OR(E5068="",E5068="!!!",F5068="NEW"),"",COUNTBLANK(OFFSET(A$1,,,SUMPRODUCT(MAX(ROW(E$2:E5068)*(E5068=E$2:E5068)))))-COUNTBLANK(OFFSET(A$1,,,SUMPRODUCT(MAX(ROW(E$1:E5067)*(E2=E$1:E5067))))))</f>
        <v> </v>
      </c>
      <c r="K5068" s="25" t="str">
        <f>IF(OR(E5068="",E5068="!!!",F5068="NEW"),"",INDEX(J$1:J5067,SUMPRODUCT(MAX(ROW(E$1:E5067)*(E5068=E$1:E5067)))))</f>
        <v> </v>
      </c>
      <c r="L5068" s="26"/>
    </row>
    <row r="5069" spans="1:12">
      <c r="A5069" s="20" t="s">
        <v>1128</v>
      </c>
      <c r="B5069" s="27" t="s">
        <v>1116</v>
      </c>
      <c r="C5069" s="27" t="s">
        <v>1129</v>
      </c>
      <c r="D5069" s="27" t="s">
        <v>1069</v>
      </c>
      <c r="E5069" s="21">
        <f>IF(D5069="?OLD","!!!","")</f>
        <v/>
      </c>
      <c r="F5069" s="22" t="str">
        <f>IF(OR(E5069="",E5069="!!!"),"",IF(NOT(ISNA(VLOOKUP(E5069,E$1:E5068,1,FALSE()))),"OLD",IF(AND(E5069&lt;&gt;"",E5069&lt;&gt;"!!!"),"NEW","")))</f>
        <v> </v>
      </c>
      <c r="G5069" s="23" t="str">
        <f>IF(OR(E5069="",E5069="!!!"),"",IF(OR(J5069=0,AND(J5069=1,K5069=1),AND(J5069=1,I5069="SBJ"),AND(J5069=1,I5069=0)),"?IN_FOCUS",IF(J5069&lt;=2,"?ACTIVATED",IF(J5069&lt;&gt;"","?FAMILIAR",IF(F5069="NEW",IF(ISNA(VLOOKUP(E5069,#REF!,1,FALSE())),"?TYPE_IDENTIFIABLE","?REFERENTIAL"),"_")))))</f>
        <v> </v>
      </c>
      <c r="H5069" s="24" t="str">
        <f>IF(J5069&lt;&gt;1,"",IF(I5069="SBJ","CB","?"))</f>
        <v> </v>
      </c>
      <c r="I5069" s="25" t="str">
        <f>IF(OR(E5069="",E5069="!!!",F5069="NEW"),"",INDEX(B5068:B$2,-1+SUMPRODUCT(MAX(ROW(E5068:E$2)*(E5069=E5068:E$2)))))</f>
        <v> </v>
      </c>
      <c r="J5069" s="25" t="str">
        <f>IF(OR(E5069="",E5069="!!!",F5069="NEW"),"",COUNTBLANK(OFFSET(A$1,,,SUMPRODUCT(MAX(ROW(E$2:E5069)*(E5069=E$2:E5069)))))-COUNTBLANK(OFFSET(A$1,,,SUMPRODUCT(MAX(ROW(E$1:E5068)*(E2=E$1:E5068))))))</f>
        <v> </v>
      </c>
      <c r="K5069" s="25" t="str">
        <f>IF(OR(E5069="",E5069="!!!",F5069="NEW"),"",INDEX(J$1:J5068,SUMPRODUCT(MAX(ROW(E$1:E5068)*(E5069=E$1:E5068)))))</f>
        <v> </v>
      </c>
      <c r="L5069" s="26"/>
    </row>
    <row r="5070" spans="1:12">
      <c r="A5070" s="20" t="s">
        <v>1211</v>
      </c>
      <c r="B5070" s="27" t="s">
        <v>1250</v>
      </c>
      <c r="C5070" s="27" t="s">
        <v>1131</v>
      </c>
      <c r="D5070" s="27" t="s">
        <v>1069</v>
      </c>
      <c r="E5070" s="21">
        <f>IF(D5070="?OLD","!!!","")</f>
        <v/>
      </c>
      <c r="F5070" s="22" t="str">
        <f>IF(OR(E5070="",E5070="!!!"),"",IF(NOT(ISNA(VLOOKUP(E5070,E$1:E5069,1,FALSE()))),"OLD",IF(AND(E5070&lt;&gt;"",E5070&lt;&gt;"!!!"),"NEW","")))</f>
        <v> </v>
      </c>
      <c r="G5070" s="23" t="str">
        <f>IF(OR(E5070="",E5070="!!!"),"",IF(OR(J5070=0,AND(J5070=1,K5070=1),AND(J5070=1,I5070="SBJ"),AND(J5070=1,I5070=0)),"?IN_FOCUS",IF(J5070&lt;=2,"?ACTIVATED",IF(J5070&lt;&gt;"","?FAMILIAR",IF(F5070="NEW",IF(ISNA(VLOOKUP(E5070,#REF!,1,FALSE())),"?TYPE_IDENTIFIABLE","?REFERENTIAL"),"_")))))</f>
        <v> </v>
      </c>
      <c r="H5070" s="24" t="str">
        <f>IF(J5070&lt;&gt;1,"",IF(I5070="SBJ","CB","?"))</f>
        <v> </v>
      </c>
      <c r="I5070" s="25" t="str">
        <f>IF(OR(E5070="",E5070="!!!",F5070="NEW"),"",INDEX(B5069:B$2,-1+SUMPRODUCT(MAX(ROW(E5069:E$2)*(E5070=E5069:E$2)))))</f>
        <v> </v>
      </c>
      <c r="J5070" s="25" t="str">
        <f>IF(OR(E5070="",E5070="!!!",F5070="NEW"),"",COUNTBLANK(OFFSET(A$1,,,SUMPRODUCT(MAX(ROW(E$2:E5070)*(E5070=E$2:E5070)))))-COUNTBLANK(OFFSET(A$1,,,SUMPRODUCT(MAX(ROW(E$1:E5069)*(E2=E$1:E5069))))))</f>
        <v> </v>
      </c>
      <c r="K5070" s="25" t="str">
        <f>IF(OR(E5070="",E5070="!!!",F5070="NEW"),"",INDEX(J$1:J5069,SUMPRODUCT(MAX(ROW(E$1:E5069)*(E5070=E$1:E5069)))))</f>
        <v> </v>
      </c>
      <c r="L5070" s="26"/>
    </row>
    <row r="5071" spans="1:12">
      <c r="A5071" s="20" t="s">
        <v>1078</v>
      </c>
      <c r="E5071" s="21">
        <f>IF(D5071="?OLD","!!!","")</f>
        <v/>
      </c>
      <c r="F5071" s="22" t="str">
        <f>IF(OR(E5071="",E5071="!!!"),"",IF(NOT(ISNA(VLOOKUP(E5071,E$1:E5070,1,FALSE()))),"OLD",IF(AND(E5071&lt;&gt;"",E5071&lt;&gt;"!!!"),"NEW","")))</f>
        <v> </v>
      </c>
      <c r="G5071" s="23" t="str">
        <f>IF(OR(E5071="",E5071="!!!"),"",IF(OR(J5071=0,AND(J5071=1,K5071=1),AND(J5071=1,I5071="SBJ"),AND(J5071=1,I5071=0)),"?IN_FOCUS",IF(J5071&lt;=2,"?ACTIVATED",IF(J5071&lt;&gt;"","?FAMILIAR",IF(F5071="NEW",IF(ISNA(VLOOKUP(E5071,#REF!,1,FALSE())),"?TYPE_IDENTIFIABLE","?REFERENTIAL"),"_")))))</f>
        <v> </v>
      </c>
      <c r="H5071" s="24" t="str">
        <f>IF(J5071&lt;&gt;1,"",IF(I5071="SBJ","CB","?"))</f>
        <v> </v>
      </c>
      <c r="I5071" s="25" t="str">
        <f>IF(OR(E5071="",E5071="!!!",F5071="NEW"),"",INDEX(B5070:B$2,-1+SUMPRODUCT(MAX(ROW(E5070:E$2)*(E5071=E5070:E$2)))))</f>
        <v> </v>
      </c>
      <c r="J5071" s="25" t="str">
        <f>IF(OR(E5071="",E5071="!!!",F5071="NEW"),"",COUNTBLANK(OFFSET(A$1,,,SUMPRODUCT(MAX(ROW(E$2:E5071)*(E5071=E$2:E5071)))))-COUNTBLANK(OFFSET(A$1,,,SUMPRODUCT(MAX(ROW(E$1:E5070)*(E2=E$1:E5070))))))</f>
        <v> </v>
      </c>
      <c r="K5071" s="25" t="str">
        <f>IF(OR(E5071="",E5071="!!!",F5071="NEW"),"",INDEX(J$1:J5070,SUMPRODUCT(MAX(ROW(E$1:E5070)*(E5071=E$1:E5070)))))</f>
        <v> </v>
      </c>
      <c r="L5071" s="26"/>
    </row>
    <row r="5072" spans="1:12">
      <c r="A5072" s="20" t="s">
        <v>1076</v>
      </c>
      <c r="B5072" s="27" t="s">
        <v>1116</v>
      </c>
      <c r="C5072" s="27" t="s">
        <v>1077</v>
      </c>
      <c r="E5072" s="21">
        <f>IF(D5072="?OLD","!!!","")</f>
        <v/>
      </c>
      <c r="F5072" s="22" t="str">
        <f>IF(OR(E5072="",E5072="!!!"),"",IF(NOT(ISNA(VLOOKUP(E5072,E$1:E5071,1,FALSE()))),"OLD",IF(AND(E5072&lt;&gt;"",E5072&lt;&gt;"!!!"),"NEW","")))</f>
        <v> </v>
      </c>
      <c r="G5072" s="23" t="str">
        <f>IF(OR(E5072="",E5072="!!!"),"",IF(OR(J5072=0,AND(J5072=1,K5072=1),AND(J5072=1,I5072="SBJ"),AND(J5072=1,I5072=0)),"?IN_FOCUS",IF(J5072&lt;=2,"?ACTIVATED",IF(J5072&lt;&gt;"","?FAMILIAR",IF(F5072="NEW",IF(ISNA(VLOOKUP(E5072,#REF!,1,FALSE())),"?TYPE_IDENTIFIABLE","?REFERENTIAL"),"_")))))</f>
        <v> </v>
      </c>
      <c r="H5072" s="24" t="str">
        <f>IF(J5072&lt;&gt;1,"",IF(I5072="SBJ","CB","?"))</f>
        <v> </v>
      </c>
      <c r="I5072" s="25" t="str">
        <f>IF(OR(E5072="",E5072="!!!",F5072="NEW"),"",INDEX(B5071:B$2,-1+SUMPRODUCT(MAX(ROW(E5071:E$2)*(E5072=E5071:E$2)))))</f>
        <v> </v>
      </c>
      <c r="J5072" s="25" t="str">
        <f>IF(OR(E5072="",E5072="!!!",F5072="NEW"),"",COUNTBLANK(OFFSET(A$1,,,SUMPRODUCT(MAX(ROW(E$2:E5072)*(E5072=E$2:E5072)))))-COUNTBLANK(OFFSET(A$1,,,SUMPRODUCT(MAX(ROW(E$1:E5071)*(E2=E$1:E5071))))))</f>
        <v> </v>
      </c>
      <c r="K5072" s="25" t="str">
        <f>IF(OR(E5072="",E5072="!!!",F5072="NEW"),"",INDEX(J$1:J5071,SUMPRODUCT(MAX(ROW(E$1:E5071)*(E5072=E$1:E5071)))))</f>
        <v> </v>
      </c>
      <c r="L5072" s="26"/>
    </row>
    <row r="5073" spans="1:12">
      <c r="A5073" s="20" t="s">
        <v>1767</v>
      </c>
      <c r="E5073" s="21">
        <f>IF(D5073="?OLD","!!!","")</f>
        <v/>
      </c>
      <c r="F5073" s="22" t="str">
        <f>IF(OR(E5073="",E5073="!!!"),"",IF(NOT(ISNA(VLOOKUP(E5073,E$1:E5072,1,FALSE()))),"OLD",IF(AND(E5073&lt;&gt;"",E5073&lt;&gt;"!!!"),"NEW","")))</f>
        <v> </v>
      </c>
      <c r="G5073" s="23" t="str">
        <f>IF(OR(E5073="",E5073="!!!"),"",IF(OR(J5073=0,AND(J5073=1,K5073=1),AND(J5073=1,I5073="SBJ"),AND(J5073=1,I5073=0)),"?IN_FOCUS",IF(J5073&lt;=2,"?ACTIVATED",IF(J5073&lt;&gt;"","?FAMILIAR",IF(F5073="NEW",IF(ISNA(VLOOKUP(E5073,#REF!,1,FALSE())),"?TYPE_IDENTIFIABLE","?REFERENTIAL"),"_")))))</f>
        <v> </v>
      </c>
      <c r="H5073" s="24" t="str">
        <f>IF(J5073&lt;&gt;1,"",IF(I5073="SBJ","CB","?"))</f>
        <v> </v>
      </c>
      <c r="I5073" s="25" t="str">
        <f>IF(OR(E5073="",E5073="!!!",F5073="NEW"),"",INDEX(B5072:B$2,-1+SUMPRODUCT(MAX(ROW(E5072:E$2)*(E5073=E5072:E$2)))))</f>
        <v> </v>
      </c>
      <c r="J5073" s="25" t="str">
        <f>IF(OR(E5073="",E5073="!!!",F5073="NEW"),"",COUNTBLANK(OFFSET(A$1,,,SUMPRODUCT(MAX(ROW(E$2:E5073)*(E5073=E$2:E5073)))))-COUNTBLANK(OFFSET(A$1,,,SUMPRODUCT(MAX(ROW(E$1:E5072)*(E2=E$1:E5072))))))</f>
        <v> </v>
      </c>
      <c r="K5073" s="25" t="str">
        <f>IF(OR(E5073="",E5073="!!!",F5073="NEW"),"",INDEX(J$1:J5072,SUMPRODUCT(MAX(ROW(E$1:E5072)*(E5073=E$1:E5072)))))</f>
        <v> </v>
      </c>
      <c r="L5073" s="26"/>
    </row>
    <row r="5074" spans="1:12">
      <c r="A5074" s="20" t="s">
        <v>1100</v>
      </c>
      <c r="E5074" s="21">
        <f>IF(D5074="?OLD","!!!","")</f>
        <v/>
      </c>
      <c r="F5074" s="22" t="str">
        <f>IF(OR(E5074="",E5074="!!!"),"",IF(NOT(ISNA(VLOOKUP(E5074,E$1:E5073,1,FALSE()))),"OLD",IF(AND(E5074&lt;&gt;"",E5074&lt;&gt;"!!!"),"NEW","")))</f>
        <v> </v>
      </c>
      <c r="G5074" s="23" t="str">
        <f>IF(OR(E5074="",E5074="!!!"),"",IF(OR(J5074=0,AND(J5074=1,K5074=1),AND(J5074=1,I5074="SBJ"),AND(J5074=1,I5074=0)),"?IN_FOCUS",IF(J5074&lt;=2,"?ACTIVATED",IF(J5074&lt;&gt;"","?FAMILIAR",IF(F5074="NEW",IF(ISNA(VLOOKUP(E5074,#REF!,1,FALSE())),"?TYPE_IDENTIFIABLE","?REFERENTIAL"),"_")))))</f>
        <v> </v>
      </c>
      <c r="H5074" s="24" t="str">
        <f>IF(J5074&lt;&gt;1,"",IF(I5074="SBJ","CB","?"))</f>
        <v> </v>
      </c>
      <c r="I5074" s="25" t="str">
        <f>IF(OR(E5074="",E5074="!!!",F5074="NEW"),"",INDEX(B5073:B$2,-1+SUMPRODUCT(MAX(ROW(E5073:E$2)*(E5074=E5073:E$2)))))</f>
        <v> </v>
      </c>
      <c r="J5074" s="25" t="str">
        <f>IF(OR(E5074="",E5074="!!!",F5074="NEW"),"",COUNTBLANK(OFFSET(A$1,,,SUMPRODUCT(MAX(ROW(E$2:E5074)*(E5074=E$2:E5074)))))-COUNTBLANK(OFFSET(A$1,,,SUMPRODUCT(MAX(ROW(E$1:E5073)*(E2=E$1:E5073))))))</f>
        <v> </v>
      </c>
      <c r="K5074" s="25" t="str">
        <f>IF(OR(E5074="",E5074="!!!",F5074="NEW"),"",INDEX(J$1:J5073,SUMPRODUCT(MAX(ROW(E$1:E5073)*(E5074=E$1:E5073)))))</f>
        <v> </v>
      </c>
      <c r="L5074" s="26"/>
    </row>
    <row r="5075" spans="1:12">
      <c r="A5075" s="20" t="s">
        <v>1083</v>
      </c>
      <c r="E5075" s="21">
        <f>IF(D5075="?OLD","!!!","")</f>
        <v/>
      </c>
      <c r="F5075" s="22" t="str">
        <f>IF(OR(E5075="",E5075="!!!"),"",IF(NOT(ISNA(VLOOKUP(E5075,E$1:E5074,1,FALSE()))),"OLD",IF(AND(E5075&lt;&gt;"",E5075&lt;&gt;"!!!"),"NEW","")))</f>
        <v> </v>
      </c>
      <c r="G5075" s="23" t="str">
        <f>IF(OR(E5075="",E5075="!!!"),"",IF(OR(J5075=0,AND(J5075=1,K5075=1),AND(J5075=1,I5075="SBJ"),AND(J5075=1,I5075=0)),"?IN_FOCUS",IF(J5075&lt;=2,"?ACTIVATED",IF(J5075&lt;&gt;"","?FAMILIAR",IF(F5075="NEW",IF(ISNA(VLOOKUP(E5075,#REF!,1,FALSE())),"?TYPE_IDENTIFIABLE","?REFERENTIAL"),"_")))))</f>
        <v> </v>
      </c>
      <c r="H5075" s="24" t="str">
        <f>IF(J5075&lt;&gt;1,"",IF(I5075="SBJ","CB","?"))</f>
        <v> </v>
      </c>
      <c r="I5075" s="25" t="str">
        <f>IF(OR(E5075="",E5075="!!!",F5075="NEW"),"",INDEX(B5074:B$2,-1+SUMPRODUCT(MAX(ROW(E5074:E$2)*(E5075=E5074:E$2)))))</f>
        <v> </v>
      </c>
      <c r="J5075" s="25" t="str">
        <f>IF(OR(E5075="",E5075="!!!",F5075="NEW"),"",COUNTBLANK(OFFSET(A$1,,,SUMPRODUCT(MAX(ROW(E$2:E5075)*(E5075=E$2:E5075)))))-COUNTBLANK(OFFSET(A$1,,,SUMPRODUCT(MAX(ROW(E$1:E5074)*(E2=E$1:E5074))))))</f>
        <v> </v>
      </c>
      <c r="K5075" s="25" t="str">
        <f>IF(OR(E5075="",E5075="!!!",F5075="NEW"),"",INDEX(J$1:J5074,SUMPRODUCT(MAX(ROW(E$1:E5074)*(E5075=E$1:E5074)))))</f>
        <v> </v>
      </c>
      <c r="L5075" s="26"/>
    </row>
    <row r="5076" spans="1:12">
      <c r="A5076" s="20" t="s">
        <v>1256</v>
      </c>
      <c r="B5076" s="27" t="s">
        <v>1116</v>
      </c>
      <c r="C5076" s="27" t="s">
        <v>1134</v>
      </c>
      <c r="D5076" s="27" t="s">
        <v>1069</v>
      </c>
      <c r="E5076" s="21">
        <f>IF(D5076="?OLD","!!!","")</f>
        <v/>
      </c>
      <c r="F5076" s="22" t="str">
        <f>IF(OR(E5076="",E5076="!!!"),"",IF(NOT(ISNA(VLOOKUP(E5076,E$1:E5075,1,FALSE()))),"OLD",IF(AND(E5076&lt;&gt;"",E5076&lt;&gt;"!!!"),"NEW","")))</f>
        <v> </v>
      </c>
      <c r="G5076" s="23" t="str">
        <f>IF(OR(E5076="",E5076="!!!"),"",IF(OR(J5076=0,AND(J5076=1,K5076=1),AND(J5076=1,I5076="SBJ"),AND(J5076=1,I5076=0)),"?IN_FOCUS",IF(J5076&lt;=2,"?ACTIVATED",IF(J5076&lt;&gt;"","?FAMILIAR",IF(F5076="NEW",IF(ISNA(VLOOKUP(E5076,#REF!,1,FALSE())),"?TYPE_IDENTIFIABLE","?REFERENTIAL"),"_")))))</f>
        <v> </v>
      </c>
      <c r="H5076" s="24" t="str">
        <f>IF(J5076&lt;&gt;1,"",IF(I5076="SBJ","CB","?"))</f>
        <v> </v>
      </c>
      <c r="I5076" s="25" t="str">
        <f>IF(OR(E5076="",E5076="!!!",F5076="NEW"),"",INDEX(B5075:B$2,-1+SUMPRODUCT(MAX(ROW(E5075:E$2)*(E5076=E5075:E$2)))))</f>
        <v> </v>
      </c>
      <c r="J5076" s="25" t="str">
        <f>IF(OR(E5076="",E5076="!!!",F5076="NEW"),"",COUNTBLANK(OFFSET(A$1,,,SUMPRODUCT(MAX(ROW(E$2:E5076)*(E5076=E$2:E5076)))))-COUNTBLANK(OFFSET(A$1,,,SUMPRODUCT(MAX(ROW(E$1:E5075)*(E2=E$1:E5075))))))</f>
        <v> </v>
      </c>
      <c r="K5076" s="25" t="str">
        <f>IF(OR(E5076="",E5076="!!!",F5076="NEW"),"",INDEX(J$1:J5075,SUMPRODUCT(MAX(ROW(E$1:E5075)*(E5076=E$1:E5075)))))</f>
        <v> </v>
      </c>
      <c r="L5076" s="26"/>
    </row>
    <row r="5077" spans="1:12">
      <c r="A5077" s="20" t="s">
        <v>1729</v>
      </c>
      <c r="B5077" s="27" t="s">
        <v>1250</v>
      </c>
      <c r="C5077" s="27" t="s">
        <v>1086</v>
      </c>
      <c r="D5077" s="27" t="s">
        <v>1069</v>
      </c>
      <c r="E5077" s="21">
        <f>IF(D5077="?OLD","!!!","")</f>
        <v/>
      </c>
      <c r="F5077" s="22" t="str">
        <f>IF(OR(E5077="",E5077="!!!"),"",IF(NOT(ISNA(VLOOKUP(E5077,E$1:E5076,1,FALSE()))),"OLD",IF(AND(E5077&lt;&gt;"",E5077&lt;&gt;"!!!"),"NEW","")))</f>
        <v> </v>
      </c>
      <c r="G5077" s="23" t="str">
        <f>IF(OR(E5077="",E5077="!!!"),"",IF(OR(J5077=0,AND(J5077=1,K5077=1),AND(J5077=1,I5077="SBJ"),AND(J5077=1,I5077=0)),"?IN_FOCUS",IF(J5077&lt;=2,"?ACTIVATED",IF(J5077&lt;&gt;"","?FAMILIAR",IF(F5077="NEW",IF(ISNA(VLOOKUP(E5077,#REF!,1,FALSE())),"?TYPE_IDENTIFIABLE","?REFERENTIAL"),"_")))))</f>
        <v> </v>
      </c>
      <c r="H5077" s="24" t="str">
        <f>IF(J5077&lt;&gt;1,"",IF(I5077="SBJ","CB","?"))</f>
        <v> </v>
      </c>
      <c r="I5077" s="25" t="str">
        <f>IF(OR(E5077="",E5077="!!!",F5077="NEW"),"",INDEX(B5076:B$2,-1+SUMPRODUCT(MAX(ROW(E5076:E$2)*(E5077=E5076:E$2)))))</f>
        <v> </v>
      </c>
      <c r="J5077" s="25" t="str">
        <f>IF(OR(E5077="",E5077="!!!",F5077="NEW"),"",COUNTBLANK(OFFSET(A$1,,,SUMPRODUCT(MAX(ROW(E$2:E5077)*(E5077=E$2:E5077)))))-COUNTBLANK(OFFSET(A$1,,,SUMPRODUCT(MAX(ROW(E$1:E5076)*(E2=E$1:E5076))))))</f>
        <v> </v>
      </c>
      <c r="K5077" s="25" t="str">
        <f>IF(OR(E5077="",E5077="!!!",F5077="NEW"),"",INDEX(J$1:J5076,SUMPRODUCT(MAX(ROW(E$1:E5076)*(E5077=E$1:E5076)))))</f>
        <v> </v>
      </c>
      <c r="L5077" s="26"/>
    </row>
    <row r="5078" spans="1:12">
      <c r="A5078" s="20" t="s">
        <v>1070</v>
      </c>
      <c r="E5078" s="21">
        <f>IF(D5078="?OLD","!!!","")</f>
        <v/>
      </c>
      <c r="F5078" s="22" t="str">
        <f>IF(OR(E5078="",E5078="!!!"),"",IF(NOT(ISNA(VLOOKUP(E5078,E$1:E5077,1,FALSE()))),"OLD",IF(AND(E5078&lt;&gt;"",E5078&lt;&gt;"!!!"),"NEW","")))</f>
        <v> </v>
      </c>
      <c r="G5078" s="23" t="str">
        <f>IF(OR(E5078="",E5078="!!!"),"",IF(OR(J5078=0,AND(J5078=1,K5078=1),AND(J5078=1,I5078="SBJ"),AND(J5078=1,I5078=0)),"?IN_FOCUS",IF(J5078&lt;=2,"?ACTIVATED",IF(J5078&lt;&gt;"","?FAMILIAR",IF(F5078="NEW",IF(ISNA(VLOOKUP(E5078,#REF!,1,FALSE())),"?TYPE_IDENTIFIABLE","?REFERENTIAL"),"_")))))</f>
        <v> </v>
      </c>
      <c r="H5078" s="24" t="str">
        <f>IF(J5078&lt;&gt;1,"",IF(I5078="SBJ","CB","?"))</f>
        <v> </v>
      </c>
      <c r="I5078" s="25" t="str">
        <f>IF(OR(E5078="",E5078="!!!",F5078="NEW"),"",INDEX(B5077:B$2,-1+SUMPRODUCT(MAX(ROW(E5077:E$2)*(E5078=E5077:E$2)))))</f>
        <v> </v>
      </c>
      <c r="J5078" s="25" t="str">
        <f>IF(OR(E5078="",E5078="!!!",F5078="NEW"),"",COUNTBLANK(OFFSET(A$1,,,SUMPRODUCT(MAX(ROW(E$2:E5078)*(E5078=E$2:E5078)))))-COUNTBLANK(OFFSET(A$1,,,SUMPRODUCT(MAX(ROW(E$1:E5077)*(E2=E$1:E5077))))))</f>
        <v> </v>
      </c>
      <c r="K5078" s="25" t="str">
        <f>IF(OR(E5078="",E5078="!!!",F5078="NEW"),"",INDEX(J$1:J5077,SUMPRODUCT(MAX(ROW(E$1:E5077)*(E5078=E$1:E5077)))))</f>
        <v> </v>
      </c>
      <c r="L5078" s="26"/>
    </row>
    <row r="5079" spans="1:12">
      <c r="A5079" s="20" t="s">
        <v>582</v>
      </c>
      <c r="E5079" s="21">
        <f>IF(D5079="?OLD","!!!","")</f>
        <v/>
      </c>
      <c r="F5079" s="22" t="str">
        <f>IF(OR(E5079="",E5079="!!!"),"",IF(NOT(ISNA(VLOOKUP(E5079,E$1:E5078,1,FALSE()))),"OLD",IF(AND(E5079&lt;&gt;"",E5079&lt;&gt;"!!!"),"NEW","")))</f>
        <v> </v>
      </c>
      <c r="G5079" s="23" t="str">
        <f>IF(OR(E5079="",E5079="!!!"),"",IF(OR(J5079=0,AND(J5079=1,K5079=1),AND(J5079=1,I5079="SBJ"),AND(J5079=1,I5079=0)),"?IN_FOCUS",IF(J5079&lt;=2,"?ACTIVATED",IF(J5079&lt;&gt;"","?FAMILIAR",IF(F5079="NEW",IF(ISNA(VLOOKUP(E5079,#REF!,1,FALSE())),"?TYPE_IDENTIFIABLE","?REFERENTIAL"),"_")))))</f>
        <v> </v>
      </c>
      <c r="H5079" s="24" t="str">
        <f>IF(J5079&lt;&gt;1,"",IF(I5079="SBJ","CB","?"))</f>
        <v> </v>
      </c>
      <c r="I5079" s="25" t="str">
        <f>IF(OR(E5079="",E5079="!!!",F5079="NEW"),"",INDEX(B5078:B$2,-1+SUMPRODUCT(MAX(ROW(E5078:E$2)*(E5079=E5078:E$2)))))</f>
        <v> </v>
      </c>
      <c r="J5079" s="25" t="str">
        <f>IF(OR(E5079="",E5079="!!!",F5079="NEW"),"",COUNTBLANK(OFFSET(A$1,,,SUMPRODUCT(MAX(ROW(E$2:E5079)*(E5079=E$2:E5079)))))-COUNTBLANK(OFFSET(A$1,,,SUMPRODUCT(MAX(ROW(E$1:E5078)*(E2=E$1:E5078))))))</f>
        <v> </v>
      </c>
      <c r="K5079" s="25" t="str">
        <f>IF(OR(E5079="",E5079="!!!",F5079="NEW"),"",INDEX(J$1:J5078,SUMPRODUCT(MAX(ROW(E$1:E5078)*(E5079=E$1:E5078)))))</f>
        <v> </v>
      </c>
      <c r="L5079" s="26"/>
    </row>
    <row r="5080" spans="1:12">
      <c r="A5080" s="20" t="s">
        <v>1087</v>
      </c>
      <c r="E5080" s="21">
        <f>IF(D5080="?OLD","!!!","")</f>
        <v/>
      </c>
      <c r="F5080" s="22" t="str">
        <f>IF(OR(E5080="",E5080="!!!"),"",IF(NOT(ISNA(VLOOKUP(E5080,E$1:E5079,1,FALSE()))),"OLD",IF(AND(E5080&lt;&gt;"",E5080&lt;&gt;"!!!"),"NEW","")))</f>
        <v> </v>
      </c>
      <c r="G5080" s="23" t="str">
        <f>IF(OR(E5080="",E5080="!!!"),"",IF(OR(J5080=0,AND(J5080=1,K5080=1),AND(J5080=1,I5080="SBJ"),AND(J5080=1,I5080=0)),"?IN_FOCUS",IF(J5080&lt;=2,"?ACTIVATED",IF(J5080&lt;&gt;"","?FAMILIAR",IF(F5080="NEW",IF(ISNA(VLOOKUP(E5080,#REF!,1,FALSE())),"?TYPE_IDENTIFIABLE","?REFERENTIAL"),"_")))))</f>
        <v> </v>
      </c>
      <c r="H5080" s="24" t="str">
        <f>IF(J5080&lt;&gt;1,"",IF(I5080="SBJ","CB","?"))</f>
        <v> </v>
      </c>
      <c r="I5080" s="25" t="str">
        <f>IF(OR(E5080="",E5080="!!!",F5080="NEW"),"",INDEX(B5079:B$2,-1+SUMPRODUCT(MAX(ROW(E5079:E$2)*(E5080=E5079:E$2)))))</f>
        <v> </v>
      </c>
      <c r="J5080" s="25" t="str">
        <f>IF(OR(E5080="",E5080="!!!",F5080="NEW"),"",COUNTBLANK(OFFSET(A$1,,,SUMPRODUCT(MAX(ROW(E$2:E5080)*(E5080=E$2:E5080)))))-COUNTBLANK(OFFSET(A$1,,,SUMPRODUCT(MAX(ROW(E$1:E5079)*(E2=E$1:E5079))))))</f>
        <v> </v>
      </c>
      <c r="K5080" s="25" t="str">
        <f>IF(OR(E5080="",E5080="!!!",F5080="NEW"),"",INDEX(J$1:J5079,SUMPRODUCT(MAX(ROW(E$1:E5079)*(E5080=E$1:E5079)))))</f>
        <v> </v>
      </c>
      <c r="L5080" s="26"/>
    </row>
    <row r="5081" spans="1:12">
      <c r="A5081" s="20" t="s">
        <v>1680</v>
      </c>
      <c r="B5081" s="27" t="s">
        <v>1133</v>
      </c>
      <c r="C5081" s="27" t="s">
        <v>1072</v>
      </c>
      <c r="E5081" s="21">
        <f>IF(D5081="?OLD","!!!","")</f>
        <v/>
      </c>
      <c r="F5081" s="22" t="str">
        <f>IF(OR(E5081="",E5081="!!!"),"",IF(NOT(ISNA(VLOOKUP(E5081,E$1:E5080,1,FALSE()))),"OLD",IF(AND(E5081&lt;&gt;"",E5081&lt;&gt;"!!!"),"NEW","")))</f>
        <v> </v>
      </c>
      <c r="G5081" s="23" t="str">
        <f>IF(OR(E5081="",E5081="!!!"),"",IF(OR(J5081=0,AND(J5081=1,K5081=1),AND(J5081=1,I5081="SBJ"),AND(J5081=1,I5081=0)),"?IN_FOCUS",IF(J5081&lt;=2,"?ACTIVATED",IF(J5081&lt;&gt;"","?FAMILIAR",IF(F5081="NEW",IF(ISNA(VLOOKUP(E5081,#REF!,1,FALSE())),"?TYPE_IDENTIFIABLE","?REFERENTIAL"),"_")))))</f>
        <v> </v>
      </c>
      <c r="H5081" s="24" t="str">
        <f>IF(J5081&lt;&gt;1,"",IF(I5081="SBJ","CB","?"))</f>
        <v> </v>
      </c>
      <c r="I5081" s="25" t="str">
        <f>IF(OR(E5081="",E5081="!!!",F5081="NEW"),"",INDEX(B5080:B$2,-1+SUMPRODUCT(MAX(ROW(E5080:E$2)*(E5081=E5080:E$2)))))</f>
        <v> </v>
      </c>
      <c r="J5081" s="25" t="str">
        <f>IF(OR(E5081="",E5081="!!!",F5081="NEW"),"",COUNTBLANK(OFFSET(A$1,,,SUMPRODUCT(MAX(ROW(E$2:E5081)*(E5081=E$2:E5081)))))-COUNTBLANK(OFFSET(A$1,,,SUMPRODUCT(MAX(ROW(E$1:E5080)*(E2=E$1:E5080))))))</f>
        <v> </v>
      </c>
      <c r="K5081" s="25" t="str">
        <f>IF(OR(E5081="",E5081="!!!",F5081="NEW"),"",INDEX(J$1:J5080,SUMPRODUCT(MAX(ROW(E$1:E5080)*(E5081=E$1:E5080)))))</f>
        <v> </v>
      </c>
      <c r="L5081" s="26"/>
    </row>
    <row r="5082" spans="1:12">
      <c r="A5082" s="20" t="s">
        <v>1104</v>
      </c>
      <c r="E5082" s="21">
        <f>IF(D5082="?OLD","!!!","")</f>
        <v/>
      </c>
      <c r="F5082" s="22" t="str">
        <f>IF(OR(E5082="",E5082="!!!"),"",IF(NOT(ISNA(VLOOKUP(E5082,E$1:E5081,1,FALSE()))),"OLD",IF(AND(E5082&lt;&gt;"",E5082&lt;&gt;"!!!"),"NEW","")))</f>
        <v> </v>
      </c>
      <c r="G5082" s="23" t="str">
        <f>IF(OR(E5082="",E5082="!!!"),"",IF(OR(J5082=0,AND(J5082=1,K5082=1),AND(J5082=1,I5082="SBJ"),AND(J5082=1,I5082=0)),"?IN_FOCUS",IF(J5082&lt;=2,"?ACTIVATED",IF(J5082&lt;&gt;"","?FAMILIAR",IF(F5082="NEW",IF(ISNA(VLOOKUP(E5082,#REF!,1,FALSE())),"?TYPE_IDENTIFIABLE","?REFERENTIAL"),"_")))))</f>
        <v> </v>
      </c>
      <c r="H5082" s="24" t="str">
        <f>IF(J5082&lt;&gt;1,"",IF(I5082="SBJ","CB","?"))</f>
        <v> </v>
      </c>
      <c r="I5082" s="25" t="str">
        <f>IF(OR(E5082="",E5082="!!!",F5082="NEW"),"",INDEX(B5081:B$2,-1+SUMPRODUCT(MAX(ROW(E5081:E$2)*(E5082=E5081:E$2)))))</f>
        <v> </v>
      </c>
      <c r="J5082" s="25" t="str">
        <f>IF(OR(E5082="",E5082="!!!",F5082="NEW"),"",COUNTBLANK(OFFSET(A$1,,,SUMPRODUCT(MAX(ROW(E$2:E5082)*(E5082=E$2:E5082)))))-COUNTBLANK(OFFSET(A$1,,,SUMPRODUCT(MAX(ROW(E$1:E5081)*(E2=E$1:E5081))))))</f>
        <v> </v>
      </c>
      <c r="K5082" s="25" t="str">
        <f>IF(OR(E5082="",E5082="!!!",F5082="NEW"),"",INDEX(J$1:J5081,SUMPRODUCT(MAX(ROW(E$1:E5081)*(E5082=E$1:E5081)))))</f>
        <v> </v>
      </c>
      <c r="L5082" s="26"/>
    </row>
    <row r="5083" spans="1:12">
      <c r="A5083" s="20" t="s">
        <v>1140</v>
      </c>
      <c r="E5083" s="21">
        <f>IF(D5083="?OLD","!!!","")</f>
        <v/>
      </c>
      <c r="F5083" s="22" t="str">
        <f>IF(OR(E5083="",E5083="!!!"),"",IF(NOT(ISNA(VLOOKUP(E5083,E$1:E5082,1,FALSE()))),"OLD",IF(AND(E5083&lt;&gt;"",E5083&lt;&gt;"!!!"),"NEW","")))</f>
        <v> </v>
      </c>
      <c r="G5083" s="23" t="str">
        <f>IF(OR(E5083="",E5083="!!!"),"",IF(OR(J5083=0,AND(J5083=1,K5083=1),AND(J5083=1,I5083="SBJ"),AND(J5083=1,I5083=0)),"?IN_FOCUS",IF(J5083&lt;=2,"?ACTIVATED",IF(J5083&lt;&gt;"","?FAMILIAR",IF(F5083="NEW",IF(ISNA(VLOOKUP(E5083,#REF!,1,FALSE())),"?TYPE_IDENTIFIABLE","?REFERENTIAL"),"_")))))</f>
        <v> </v>
      </c>
      <c r="H5083" s="24" t="str">
        <f>IF(J5083&lt;&gt;1,"",IF(I5083="SBJ","CB","?"))</f>
        <v> </v>
      </c>
      <c r="I5083" s="25" t="str">
        <f>IF(OR(E5083="",E5083="!!!",F5083="NEW"),"",INDEX(B5082:B$2,-1+SUMPRODUCT(MAX(ROW(E5082:E$2)*(E5083=E5082:E$2)))))</f>
        <v> </v>
      </c>
      <c r="J5083" s="25" t="str">
        <f>IF(OR(E5083="",E5083="!!!",F5083="NEW"),"",COUNTBLANK(OFFSET(A$1,,,SUMPRODUCT(MAX(ROW(E$2:E5083)*(E5083=E$2:E5083)))))-COUNTBLANK(OFFSET(A$1,,,SUMPRODUCT(MAX(ROW(E$1:E5082)*(E2=E$1:E5082))))))</f>
        <v> </v>
      </c>
      <c r="K5083" s="25" t="str">
        <f>IF(OR(E5083="",E5083="!!!",F5083="NEW"),"",INDEX(J$1:J5082,SUMPRODUCT(MAX(ROW(E$1:E5082)*(E5083=E$1:E5082)))))</f>
        <v> </v>
      </c>
      <c r="L5083" s="26"/>
    </row>
    <row r="5084" spans="1:12">
      <c r="A5084" s="20" t="s">
        <v>2521</v>
      </c>
      <c r="B5084" s="27" t="s">
        <v>1106</v>
      </c>
      <c r="C5084" s="27" t="s">
        <v>1145</v>
      </c>
      <c r="D5084" s="27" t="s">
        <v>1069</v>
      </c>
      <c r="E5084" s="21">
        <f>IF(D5084="?OLD","!!!","")</f>
        <v/>
      </c>
      <c r="F5084" s="22" t="str">
        <f>IF(OR(E5084="",E5084="!!!"),"",IF(NOT(ISNA(VLOOKUP(E5084,E$1:E5083,1,FALSE()))),"OLD",IF(AND(E5084&lt;&gt;"",E5084&lt;&gt;"!!!"),"NEW","")))</f>
        <v> </v>
      </c>
      <c r="G5084" s="23" t="str">
        <f>IF(OR(E5084="",E5084="!!!"),"",IF(OR(J5084=0,AND(J5084=1,K5084=1),AND(J5084=1,I5084="SBJ"),AND(J5084=1,I5084=0)),"?IN_FOCUS",IF(J5084&lt;=2,"?ACTIVATED",IF(J5084&lt;&gt;"","?FAMILIAR",IF(F5084="NEW",IF(ISNA(VLOOKUP(E5084,#REF!,1,FALSE())),"?TYPE_IDENTIFIABLE","?REFERENTIAL"),"_")))))</f>
        <v> </v>
      </c>
      <c r="H5084" s="24" t="str">
        <f>IF(J5084&lt;&gt;1,"",IF(I5084="SBJ","CB","?"))</f>
        <v> </v>
      </c>
      <c r="I5084" s="25" t="str">
        <f>IF(OR(E5084="",E5084="!!!",F5084="NEW"),"",INDEX(B5083:B$2,-1+SUMPRODUCT(MAX(ROW(E5083:E$2)*(E5084=E5083:E$2)))))</f>
        <v> </v>
      </c>
      <c r="J5084" s="25" t="str">
        <f>IF(OR(E5084="",E5084="!!!",F5084="NEW"),"",COUNTBLANK(OFFSET(A$1,,,SUMPRODUCT(MAX(ROW(E$2:E5084)*(E5084=E$2:E5084)))))-COUNTBLANK(OFFSET(A$1,,,SUMPRODUCT(MAX(ROW(E$1:E5083)*(E2=E$1:E5083))))))</f>
        <v> </v>
      </c>
      <c r="K5084" s="25" t="str">
        <f>IF(OR(E5084="",E5084="!!!",F5084="NEW"),"",INDEX(J$1:J5083,SUMPRODUCT(MAX(ROW(E$1:E5083)*(E5084=E$1:E5083)))))</f>
        <v> </v>
      </c>
      <c r="L5084" s="26"/>
    </row>
    <row r="5085" spans="1:12">
      <c r="A5085" s="20" t="s">
        <v>1354</v>
      </c>
      <c r="E5085" s="21">
        <f>IF(D5085="?OLD","!!!","")</f>
        <v/>
      </c>
      <c r="F5085" s="22" t="str">
        <f>IF(OR(E5085="",E5085="!!!"),"",IF(NOT(ISNA(VLOOKUP(E5085,E$1:E5084,1,FALSE()))),"OLD",IF(AND(E5085&lt;&gt;"",E5085&lt;&gt;"!!!"),"NEW","")))</f>
        <v> </v>
      </c>
      <c r="G5085" s="23" t="str">
        <f>IF(OR(E5085="",E5085="!!!"),"",IF(OR(J5085=0,AND(J5085=1,K5085=1),AND(J5085=1,I5085="SBJ"),AND(J5085=1,I5085=0)),"?IN_FOCUS",IF(J5085&lt;=2,"?ACTIVATED",IF(J5085&lt;&gt;"","?FAMILIAR",IF(F5085="NEW",IF(ISNA(VLOOKUP(E5085,#REF!,1,FALSE())),"?TYPE_IDENTIFIABLE","?REFERENTIAL"),"_")))))</f>
        <v> </v>
      </c>
      <c r="H5085" s="24" t="str">
        <f>IF(J5085&lt;&gt;1,"",IF(I5085="SBJ","CB","?"))</f>
        <v> </v>
      </c>
      <c r="I5085" s="25" t="str">
        <f>IF(OR(E5085="",E5085="!!!",F5085="NEW"),"",INDEX(B5084:B$2,-1+SUMPRODUCT(MAX(ROW(E5084:E$2)*(E5085=E5084:E$2)))))</f>
        <v> </v>
      </c>
      <c r="J5085" s="25" t="str">
        <f>IF(OR(E5085="",E5085="!!!",F5085="NEW"),"",COUNTBLANK(OFFSET(A$1,,,SUMPRODUCT(MAX(ROW(E$2:E5085)*(E5085=E$2:E5085)))))-COUNTBLANK(OFFSET(A$1,,,SUMPRODUCT(MAX(ROW(E$1:E5084)*(E2=E$1:E5084))))))</f>
        <v> </v>
      </c>
      <c r="K5085" s="25" t="str">
        <f>IF(OR(E5085="",E5085="!!!",F5085="NEW"),"",INDEX(J$1:J5084,SUMPRODUCT(MAX(ROW(E$1:E5084)*(E5085=E$1:E5084)))))</f>
        <v> </v>
      </c>
      <c r="L5085" s="26"/>
    </row>
    <row r="5086" spans="1:12">
      <c r="A5086" s="20" t="s">
        <v>991</v>
      </c>
      <c r="E5086" s="21">
        <f>IF(D5086="?OLD","!!!","")</f>
        <v/>
      </c>
      <c r="F5086" s="22" t="str">
        <f>IF(OR(E5086="",E5086="!!!"),"",IF(NOT(ISNA(VLOOKUP(E5086,E$1:E5085,1,FALSE()))),"OLD",IF(AND(E5086&lt;&gt;"",E5086&lt;&gt;"!!!"),"NEW","")))</f>
        <v> </v>
      </c>
      <c r="G5086" s="23" t="str">
        <f>IF(OR(E5086="",E5086="!!!"),"",IF(OR(J5086=0,AND(J5086=1,K5086=1),AND(J5086=1,I5086="SBJ"),AND(J5086=1,I5086=0)),"?IN_FOCUS",IF(J5086&lt;=2,"?ACTIVATED",IF(J5086&lt;&gt;"","?FAMILIAR",IF(F5086="NEW",IF(ISNA(VLOOKUP(E5086,#REF!,1,FALSE())),"?TYPE_IDENTIFIABLE","?REFERENTIAL"),"_")))))</f>
        <v> </v>
      </c>
      <c r="H5086" s="24" t="str">
        <f>IF(J5086&lt;&gt;1,"",IF(I5086="SBJ","CB","?"))</f>
        <v> </v>
      </c>
      <c r="I5086" s="25" t="str">
        <f>IF(OR(E5086="",E5086="!!!",F5086="NEW"),"",INDEX(B5085:B$2,-1+SUMPRODUCT(MAX(ROW(E5085:E$2)*(E5086=E5085:E$2)))))</f>
        <v> </v>
      </c>
      <c r="J5086" s="25" t="str">
        <f>IF(OR(E5086="",E5086="!!!",F5086="NEW"),"",COUNTBLANK(OFFSET(A$1,,,SUMPRODUCT(MAX(ROW(E$2:E5086)*(E5086=E$2:E5086)))))-COUNTBLANK(OFFSET(A$1,,,SUMPRODUCT(MAX(ROW(E$1:E5085)*(E2=E$1:E5085))))))</f>
        <v> </v>
      </c>
      <c r="K5086" s="25" t="str">
        <f>IF(OR(E5086="",E5086="!!!",F5086="NEW"),"",INDEX(J$1:J5085,SUMPRODUCT(MAX(ROW(E$1:E5085)*(E5086=E$1:E5085)))))</f>
        <v> </v>
      </c>
      <c r="L5086" s="26"/>
    </row>
    <row r="5087" spans="1:12">
      <c r="A5087" s="20" t="s">
        <v>1087</v>
      </c>
      <c r="E5087" s="21">
        <f>IF(D5087="?OLD","!!!","")</f>
        <v/>
      </c>
      <c r="F5087" s="22" t="str">
        <f>IF(OR(E5087="",E5087="!!!"),"",IF(NOT(ISNA(VLOOKUP(E5087,E$1:E5086,1,FALSE()))),"OLD",IF(AND(E5087&lt;&gt;"",E5087&lt;&gt;"!!!"),"NEW","")))</f>
        <v> </v>
      </c>
      <c r="G5087" s="23" t="str">
        <f>IF(OR(E5087="",E5087="!!!"),"",IF(OR(J5087=0,AND(J5087=1,K5087=1),AND(J5087=1,I5087="SBJ"),AND(J5087=1,I5087=0)),"?IN_FOCUS",IF(J5087&lt;=2,"?ACTIVATED",IF(J5087&lt;&gt;"","?FAMILIAR",IF(F5087="NEW",IF(ISNA(VLOOKUP(E5087,#REF!,1,FALSE())),"?TYPE_IDENTIFIABLE","?REFERENTIAL"),"_")))))</f>
        <v> </v>
      </c>
      <c r="H5087" s="24" t="str">
        <f>IF(J5087&lt;&gt;1,"",IF(I5087="SBJ","CB","?"))</f>
        <v> </v>
      </c>
      <c r="I5087" s="25" t="str">
        <f>IF(OR(E5087="",E5087="!!!",F5087="NEW"),"",INDEX(B5086:B$2,-1+SUMPRODUCT(MAX(ROW(E5086:E$2)*(E5087=E5086:E$2)))))</f>
        <v> </v>
      </c>
      <c r="J5087" s="25" t="str">
        <f>IF(OR(E5087="",E5087="!!!",F5087="NEW"),"",COUNTBLANK(OFFSET(A$1,,,SUMPRODUCT(MAX(ROW(E$2:E5087)*(E5087=E$2:E5087)))))-COUNTBLANK(OFFSET(A$1,,,SUMPRODUCT(MAX(ROW(E$1:E5086)*(E2=E$1:E5086))))))</f>
        <v> </v>
      </c>
      <c r="K5087" s="25" t="str">
        <f>IF(OR(E5087="",E5087="!!!",F5087="NEW"),"",INDEX(J$1:J5086,SUMPRODUCT(MAX(ROW(E$1:E5086)*(E5087=E$1:E5086)))))</f>
        <v> </v>
      </c>
      <c r="L5087" s="26"/>
    </row>
    <row r="5088" spans="1:12">
      <c r="A5088" s="20" t="s">
        <v>1104</v>
      </c>
      <c r="E5088" s="21">
        <f>IF(D5088="?OLD","!!!","")</f>
        <v/>
      </c>
      <c r="F5088" s="22" t="str">
        <f>IF(OR(E5088="",E5088="!!!"),"",IF(NOT(ISNA(VLOOKUP(E5088,E$1:E5087,1,FALSE()))),"OLD",IF(AND(E5088&lt;&gt;"",E5088&lt;&gt;"!!!"),"NEW","")))</f>
        <v> </v>
      </c>
      <c r="G5088" s="23" t="str">
        <f>IF(OR(E5088="",E5088="!!!"),"",IF(OR(J5088=0,AND(J5088=1,K5088=1),AND(J5088=1,I5088="SBJ"),AND(J5088=1,I5088=0)),"?IN_FOCUS",IF(J5088&lt;=2,"?ACTIVATED",IF(J5088&lt;&gt;"","?FAMILIAR",IF(F5088="NEW",IF(ISNA(VLOOKUP(E5088,#REF!,1,FALSE())),"?TYPE_IDENTIFIABLE","?REFERENTIAL"),"_")))))</f>
        <v> </v>
      </c>
      <c r="H5088" s="24" t="str">
        <f>IF(J5088&lt;&gt;1,"",IF(I5088="SBJ","CB","?"))</f>
        <v> </v>
      </c>
      <c r="I5088" s="25" t="str">
        <f>IF(OR(E5088="",E5088="!!!",F5088="NEW"),"",INDEX(B5087:B$2,-1+SUMPRODUCT(MAX(ROW(E5087:E$2)*(E5088=E5087:E$2)))))</f>
        <v> </v>
      </c>
      <c r="J5088" s="25" t="str">
        <f>IF(OR(E5088="",E5088="!!!",F5088="NEW"),"",COUNTBLANK(OFFSET(A$1,,,SUMPRODUCT(MAX(ROW(E$2:E5088)*(E5088=E$2:E5088)))))-COUNTBLANK(OFFSET(A$1,,,SUMPRODUCT(MAX(ROW(E$1:E5087)*(E2=E$1:E5087))))))</f>
        <v> </v>
      </c>
      <c r="K5088" s="25" t="str">
        <f>IF(OR(E5088="",E5088="!!!",F5088="NEW"),"",INDEX(J$1:J5087,SUMPRODUCT(MAX(ROW(E$1:E5087)*(E5088=E$1:E5087)))))</f>
        <v> </v>
      </c>
      <c r="L5088" s="26"/>
    </row>
    <row r="5089" spans="1:12">
      <c r="A5089" s="20" t="s">
        <v>1204</v>
      </c>
      <c r="B5089" s="27" t="s">
        <v>1141</v>
      </c>
      <c r="C5089" s="27" t="s">
        <v>1086</v>
      </c>
      <c r="D5089" s="27" t="s">
        <v>1069</v>
      </c>
      <c r="E5089" s="21">
        <f>IF(D5089="?OLD","!!!","")</f>
        <v/>
      </c>
      <c r="F5089" s="22" t="str">
        <f>IF(OR(E5089="",E5089="!!!"),"",IF(NOT(ISNA(VLOOKUP(E5089,E$1:E5088,1,FALSE()))),"OLD",IF(AND(E5089&lt;&gt;"",E5089&lt;&gt;"!!!"),"NEW","")))</f>
        <v> </v>
      </c>
      <c r="G5089" s="23" t="str">
        <f>IF(OR(E5089="",E5089="!!!"),"",IF(OR(J5089=0,AND(J5089=1,K5089=1),AND(J5089=1,I5089="SBJ"),AND(J5089=1,I5089=0)),"?IN_FOCUS",IF(J5089&lt;=2,"?ACTIVATED",IF(J5089&lt;&gt;"","?FAMILIAR",IF(F5089="NEW",IF(ISNA(VLOOKUP(E5089,#REF!,1,FALSE())),"?TYPE_IDENTIFIABLE","?REFERENTIAL"),"_")))))</f>
        <v> </v>
      </c>
      <c r="H5089" s="24" t="str">
        <f>IF(J5089&lt;&gt;1,"",IF(I5089="SBJ","CB","?"))</f>
        <v> </v>
      </c>
      <c r="I5089" s="25" t="str">
        <f>IF(OR(E5089="",E5089="!!!",F5089="NEW"),"",INDEX(B5088:B$2,-1+SUMPRODUCT(MAX(ROW(E5088:E$2)*(E5089=E5088:E$2)))))</f>
        <v> </v>
      </c>
      <c r="J5089" s="25" t="str">
        <f>IF(OR(E5089="",E5089="!!!",F5089="NEW"),"",COUNTBLANK(OFFSET(A$1,,,SUMPRODUCT(MAX(ROW(E$2:E5089)*(E5089=E$2:E5089)))))-COUNTBLANK(OFFSET(A$1,,,SUMPRODUCT(MAX(ROW(E$1:E5088)*(E2=E$1:E5088))))))</f>
        <v> </v>
      </c>
      <c r="K5089" s="25" t="str">
        <f>IF(OR(E5089="",E5089="!!!",F5089="NEW"),"",INDEX(J$1:J5088,SUMPRODUCT(MAX(ROW(E$1:E5088)*(E5089=E$1:E5088)))))</f>
        <v> </v>
      </c>
      <c r="L5089" s="26"/>
    </row>
    <row r="5090" spans="1:12">
      <c r="A5090" s="20" t="s">
        <v>1087</v>
      </c>
      <c r="E5090" s="21">
        <f>IF(D5090="?OLD","!!!","")</f>
        <v/>
      </c>
      <c r="F5090" s="22" t="str">
        <f>IF(OR(E5090="",E5090="!!!"),"",IF(NOT(ISNA(VLOOKUP(E5090,E$1:E5089,1,FALSE()))),"OLD",IF(AND(E5090&lt;&gt;"",E5090&lt;&gt;"!!!"),"NEW","")))</f>
        <v> </v>
      </c>
      <c r="G5090" s="23" t="str">
        <f>IF(OR(E5090="",E5090="!!!"),"",IF(OR(J5090=0,AND(J5090=1,K5090=1),AND(J5090=1,I5090="SBJ"),AND(J5090=1,I5090=0)),"?IN_FOCUS",IF(J5090&lt;=2,"?ACTIVATED",IF(J5090&lt;&gt;"","?FAMILIAR",IF(F5090="NEW",IF(ISNA(VLOOKUP(E5090,#REF!,1,FALSE())),"?TYPE_IDENTIFIABLE","?REFERENTIAL"),"_")))))</f>
        <v> </v>
      </c>
      <c r="H5090" s="24" t="str">
        <f>IF(J5090&lt;&gt;1,"",IF(I5090="SBJ","CB","?"))</f>
        <v> </v>
      </c>
      <c r="I5090" s="25" t="str">
        <f>IF(OR(E5090="",E5090="!!!",F5090="NEW"),"",INDEX(B5089:B$2,-1+SUMPRODUCT(MAX(ROW(E5089:E$2)*(E5090=E5089:E$2)))))</f>
        <v> </v>
      </c>
      <c r="J5090" s="25" t="str">
        <f>IF(OR(E5090="",E5090="!!!",F5090="NEW"),"",COUNTBLANK(OFFSET(A$1,,,SUMPRODUCT(MAX(ROW(E$2:E5090)*(E5090=E$2:E5090)))))-COUNTBLANK(OFFSET(A$1,,,SUMPRODUCT(MAX(ROW(E$1:E5089)*(E2=E$1:E5089))))))</f>
        <v> </v>
      </c>
      <c r="K5090" s="25" t="str">
        <f>IF(OR(E5090="",E5090="!!!",F5090="NEW"),"",INDEX(J$1:J5089,SUMPRODUCT(MAX(ROW(E$1:E5089)*(E5090=E$1:E5089)))))</f>
        <v> </v>
      </c>
      <c r="L5090" s="26"/>
    </row>
    <row r="5091" spans="1:12">
      <c r="A5091" s="20" t="s">
        <v>1104</v>
      </c>
      <c r="E5091" s="21">
        <f>IF(D5091="?OLD","!!!","")</f>
        <v/>
      </c>
      <c r="F5091" s="22" t="str">
        <f>IF(OR(E5091="",E5091="!!!"),"",IF(NOT(ISNA(VLOOKUP(E5091,E$1:E5090,1,FALSE()))),"OLD",IF(AND(E5091&lt;&gt;"",E5091&lt;&gt;"!!!"),"NEW","")))</f>
        <v> </v>
      </c>
      <c r="G5091" s="23" t="str">
        <f>IF(OR(E5091="",E5091="!!!"),"",IF(OR(J5091=0,AND(J5091=1,K5091=1),AND(J5091=1,I5091="SBJ"),AND(J5091=1,I5091=0)),"?IN_FOCUS",IF(J5091&lt;=2,"?ACTIVATED",IF(J5091&lt;&gt;"","?FAMILIAR",IF(F5091="NEW",IF(ISNA(VLOOKUP(E5091,#REF!,1,FALSE())),"?TYPE_IDENTIFIABLE","?REFERENTIAL"),"_")))))</f>
        <v> </v>
      </c>
      <c r="H5091" s="24" t="str">
        <f>IF(J5091&lt;&gt;1,"",IF(I5091="SBJ","CB","?"))</f>
        <v> </v>
      </c>
      <c r="I5091" s="25" t="str">
        <f>IF(OR(E5091="",E5091="!!!",F5091="NEW"),"",INDEX(B5090:B$2,-1+SUMPRODUCT(MAX(ROW(E5090:E$2)*(E5091=E5090:E$2)))))</f>
        <v> </v>
      </c>
      <c r="J5091" s="25" t="str">
        <f>IF(OR(E5091="",E5091="!!!",F5091="NEW"),"",COUNTBLANK(OFFSET(A$1,,,SUMPRODUCT(MAX(ROW(E$2:E5091)*(E5091=E$2:E5091)))))-COUNTBLANK(OFFSET(A$1,,,SUMPRODUCT(MAX(ROW(E$1:E5090)*(E2=E$1:E5090))))))</f>
        <v> </v>
      </c>
      <c r="K5091" s="25" t="str">
        <f>IF(OR(E5091="",E5091="!!!",F5091="NEW"),"",INDEX(J$1:J5090,SUMPRODUCT(MAX(ROW(E$1:E5090)*(E5091=E$1:E5090)))))</f>
        <v> </v>
      </c>
      <c r="L5091" s="26"/>
    </row>
    <row r="5092" spans="1:12">
      <c r="A5092" s="20" t="s">
        <v>2522</v>
      </c>
      <c r="B5092" s="27" t="s">
        <v>1116</v>
      </c>
      <c r="C5092" s="27" t="s">
        <v>1086</v>
      </c>
      <c r="D5092" s="27" t="s">
        <v>1069</v>
      </c>
      <c r="E5092" s="21">
        <f>IF(D5092="?OLD","!!!","")</f>
        <v/>
      </c>
      <c r="F5092" s="22" t="str">
        <f>IF(OR(E5092="",E5092="!!!"),"",IF(NOT(ISNA(VLOOKUP(E5092,E$1:E5091,1,FALSE()))),"OLD",IF(AND(E5092&lt;&gt;"",E5092&lt;&gt;"!!!"),"NEW","")))</f>
        <v> </v>
      </c>
      <c r="G5092" s="23" t="str">
        <f>IF(OR(E5092="",E5092="!!!"),"",IF(OR(J5092=0,AND(J5092=1,K5092=1),AND(J5092=1,I5092="SBJ"),AND(J5092=1,I5092=0)),"?IN_FOCUS",IF(J5092&lt;=2,"?ACTIVATED",IF(J5092&lt;&gt;"","?FAMILIAR",IF(F5092="NEW",IF(ISNA(VLOOKUP(E5092,#REF!,1,FALSE())),"?TYPE_IDENTIFIABLE","?REFERENTIAL"),"_")))))</f>
        <v> </v>
      </c>
      <c r="H5092" s="24" t="str">
        <f>IF(J5092&lt;&gt;1,"",IF(I5092="SBJ","CB","?"))</f>
        <v> </v>
      </c>
      <c r="I5092" s="25" t="str">
        <f>IF(OR(E5092="",E5092="!!!",F5092="NEW"),"",INDEX(B5091:B$2,-1+SUMPRODUCT(MAX(ROW(E5091:E$2)*(E5092=E5091:E$2)))))</f>
        <v> </v>
      </c>
      <c r="J5092" s="25" t="str">
        <f>IF(OR(E5092="",E5092="!!!",F5092="NEW"),"",COUNTBLANK(OFFSET(A$1,,,SUMPRODUCT(MAX(ROW(E$2:E5092)*(E5092=E$2:E5092)))))-COUNTBLANK(OFFSET(A$1,,,SUMPRODUCT(MAX(ROW(E$1:E5091)*(E2=E$1:E5091))))))</f>
        <v> </v>
      </c>
      <c r="K5092" s="25" t="str">
        <f>IF(OR(E5092="",E5092="!!!",F5092="NEW"),"",INDEX(J$1:J5091,SUMPRODUCT(MAX(ROW(E$1:E5091)*(E5092=E$1:E5091)))))</f>
        <v> </v>
      </c>
      <c r="L5092" s="26"/>
    </row>
    <row r="5093" spans="1:12">
      <c r="A5093" s="20" t="s">
        <v>1199</v>
      </c>
      <c r="E5093" s="21">
        <f>IF(D5093="?OLD","!!!","")</f>
        <v/>
      </c>
      <c r="F5093" s="22" t="str">
        <f>IF(OR(E5093="",E5093="!!!"),"",IF(NOT(ISNA(VLOOKUP(E5093,E$1:E5092,1,FALSE()))),"OLD",IF(AND(E5093&lt;&gt;"",E5093&lt;&gt;"!!!"),"NEW","")))</f>
        <v> </v>
      </c>
      <c r="G5093" s="23" t="str">
        <f>IF(OR(E5093="",E5093="!!!"),"",IF(OR(J5093=0,AND(J5093=1,K5093=1),AND(J5093=1,I5093="SBJ"),AND(J5093=1,I5093=0)),"?IN_FOCUS",IF(J5093&lt;=2,"?ACTIVATED",IF(J5093&lt;&gt;"","?FAMILIAR",IF(F5093="NEW",IF(ISNA(VLOOKUP(E5093,#REF!,1,FALSE())),"?TYPE_IDENTIFIABLE","?REFERENTIAL"),"_")))))</f>
        <v> </v>
      </c>
      <c r="H5093" s="24" t="str">
        <f>IF(J5093&lt;&gt;1,"",IF(I5093="SBJ","CB","?"))</f>
        <v> </v>
      </c>
      <c r="I5093" s="25" t="str">
        <f>IF(OR(E5093="",E5093="!!!",F5093="NEW"),"",INDEX(B5092:B$2,-1+SUMPRODUCT(MAX(ROW(E5092:E$2)*(E5093=E5092:E$2)))))</f>
        <v> </v>
      </c>
      <c r="J5093" s="25" t="str">
        <f>IF(OR(E5093="",E5093="!!!",F5093="NEW"),"",COUNTBLANK(OFFSET(A$1,,,SUMPRODUCT(MAX(ROW(E$2:E5093)*(E5093=E$2:E5093)))))-COUNTBLANK(OFFSET(A$1,,,SUMPRODUCT(MAX(ROW(E$1:E5092)*(E2=E$1:E5092))))))</f>
        <v> </v>
      </c>
      <c r="K5093" s="25" t="str">
        <f>IF(OR(E5093="",E5093="!!!",F5093="NEW"),"",INDEX(J$1:J5092,SUMPRODUCT(MAX(ROW(E$1:E5092)*(E5093=E$1:E5092)))))</f>
        <v> </v>
      </c>
      <c r="L5093" s="26"/>
    </row>
    <row r="5094" spans="1:12">
      <c r="A5094" s="20" t="s">
        <v>2523</v>
      </c>
      <c r="B5094" s="27" t="s">
        <v>1678</v>
      </c>
      <c r="C5094" s="27" t="s">
        <v>1134</v>
      </c>
      <c r="D5094" s="27" t="s">
        <v>1069</v>
      </c>
      <c r="E5094" s="21">
        <f>IF(D5094="?OLD","!!!","")</f>
        <v/>
      </c>
      <c r="F5094" s="22" t="str">
        <f>IF(OR(E5094="",E5094="!!!"),"",IF(NOT(ISNA(VLOOKUP(E5094,E$1:E5093,1,FALSE()))),"OLD",IF(AND(E5094&lt;&gt;"",E5094&lt;&gt;"!!!"),"NEW","")))</f>
        <v> </v>
      </c>
      <c r="G5094" s="23" t="str">
        <f>IF(OR(E5094="",E5094="!!!"),"",IF(OR(J5094=0,AND(J5094=1,K5094=1),AND(J5094=1,I5094="SBJ"),AND(J5094=1,I5094=0)),"?IN_FOCUS",IF(J5094&lt;=2,"?ACTIVATED",IF(J5094&lt;&gt;"","?FAMILIAR",IF(F5094="NEW",IF(ISNA(VLOOKUP(E5094,#REF!,1,FALSE())),"?TYPE_IDENTIFIABLE","?REFERENTIAL"),"_")))))</f>
        <v> </v>
      </c>
      <c r="H5094" s="24" t="str">
        <f>IF(J5094&lt;&gt;1,"",IF(I5094="SBJ","CB","?"))</f>
        <v> </v>
      </c>
      <c r="I5094" s="25" t="str">
        <f>IF(OR(E5094="",E5094="!!!",F5094="NEW"),"",INDEX(B5093:B$2,-1+SUMPRODUCT(MAX(ROW(E5093:E$2)*(E5094=E5093:E$2)))))</f>
        <v> </v>
      </c>
      <c r="J5094" s="25" t="str">
        <f>IF(OR(E5094="",E5094="!!!",F5094="NEW"),"",COUNTBLANK(OFFSET(A$1,,,SUMPRODUCT(MAX(ROW(E$2:E5094)*(E5094=E$2:E5094)))))-COUNTBLANK(OFFSET(A$1,,,SUMPRODUCT(MAX(ROW(E$1:E5093)*(E2=E$1:E5093))))))</f>
        <v> </v>
      </c>
      <c r="K5094" s="25" t="str">
        <f>IF(OR(E5094="",E5094="!!!",F5094="NEW"),"",INDEX(J$1:J5093,SUMPRODUCT(MAX(ROW(E$1:E5093)*(E5094=E$1:E5093)))))</f>
        <v> </v>
      </c>
      <c r="L5094" s="26"/>
    </row>
    <row r="5095" spans="1:12">
      <c r="A5095" s="20" t="s">
        <v>1078</v>
      </c>
      <c r="E5095" s="21">
        <f>IF(D5095="?OLD","!!!","")</f>
        <v/>
      </c>
      <c r="F5095" s="22" t="str">
        <f>IF(OR(E5095="",E5095="!!!"),"",IF(NOT(ISNA(VLOOKUP(E5095,E$1:E5094,1,FALSE()))),"OLD",IF(AND(E5095&lt;&gt;"",E5095&lt;&gt;"!!!"),"NEW","")))</f>
        <v> </v>
      </c>
      <c r="G5095" s="23" t="str">
        <f>IF(OR(E5095="",E5095="!!!"),"",IF(OR(J5095=0,AND(J5095=1,K5095=1),AND(J5095=1,I5095="SBJ"),AND(J5095=1,I5095=0)),"?IN_FOCUS",IF(J5095&lt;=2,"?ACTIVATED",IF(J5095&lt;&gt;"","?FAMILIAR",IF(F5095="NEW",IF(ISNA(VLOOKUP(E5095,#REF!,1,FALSE())),"?TYPE_IDENTIFIABLE","?REFERENTIAL"),"_")))))</f>
        <v> </v>
      </c>
      <c r="H5095" s="24" t="str">
        <f>IF(J5095&lt;&gt;1,"",IF(I5095="SBJ","CB","?"))</f>
        <v> </v>
      </c>
      <c r="I5095" s="25" t="str">
        <f>IF(OR(E5095="",E5095="!!!",F5095="NEW"),"",INDEX(B5094:B$2,-1+SUMPRODUCT(MAX(ROW(E5094:E$2)*(E5095=E5094:E$2)))))</f>
        <v> </v>
      </c>
      <c r="J5095" s="25" t="str">
        <f>IF(OR(E5095="",E5095="!!!",F5095="NEW"),"",COUNTBLANK(OFFSET(A$1,,,SUMPRODUCT(MAX(ROW(E$2:E5095)*(E5095=E$2:E5095)))))-COUNTBLANK(OFFSET(A$1,,,SUMPRODUCT(MAX(ROW(E$1:E5094)*(E2=E$1:E5094))))))</f>
        <v> </v>
      </c>
      <c r="K5095" s="25" t="str">
        <f>IF(OR(E5095="",E5095="!!!",F5095="NEW"),"",INDEX(J$1:J5094,SUMPRODUCT(MAX(ROW(E$1:E5094)*(E5095=E$1:E5094)))))</f>
        <v> </v>
      </c>
      <c r="L5095" s="26"/>
    </row>
    <row r="5096" spans="1:12">
      <c r="A5096" s="20" t="s">
        <v>1165</v>
      </c>
      <c r="E5096" s="21">
        <f>IF(D5096="?OLD","!!!","")</f>
        <v/>
      </c>
      <c r="F5096" s="22" t="str">
        <f>IF(OR(E5096="",E5096="!!!"),"",IF(NOT(ISNA(VLOOKUP(E5096,E$1:E5095,1,FALSE()))),"OLD",IF(AND(E5096&lt;&gt;"",E5096&lt;&gt;"!!!"),"NEW","")))</f>
        <v> </v>
      </c>
      <c r="G5096" s="23" t="str">
        <f>IF(OR(E5096="",E5096="!!!"),"",IF(OR(J5096=0,AND(J5096=1,K5096=1),AND(J5096=1,I5096="SBJ"),AND(J5096=1,I5096=0)),"?IN_FOCUS",IF(J5096&lt;=2,"?ACTIVATED",IF(J5096&lt;&gt;"","?FAMILIAR",IF(F5096="NEW",IF(ISNA(VLOOKUP(E5096,#REF!,1,FALSE())),"?TYPE_IDENTIFIABLE","?REFERENTIAL"),"_")))))</f>
        <v> </v>
      </c>
      <c r="H5096" s="24" t="str">
        <f>IF(J5096&lt;&gt;1,"",IF(I5096="SBJ","CB","?"))</f>
        <v> </v>
      </c>
      <c r="I5096" s="25" t="str">
        <f>IF(OR(E5096="",E5096="!!!",F5096="NEW"),"",INDEX(B5095:B$2,-1+SUMPRODUCT(MAX(ROW(E5095:E$2)*(E5096=E5095:E$2)))))</f>
        <v> </v>
      </c>
      <c r="J5096" s="25" t="str">
        <f>IF(OR(E5096="",E5096="!!!",F5096="NEW"),"",COUNTBLANK(OFFSET(A$1,,,SUMPRODUCT(MAX(ROW(E$2:E5096)*(E5096=E$2:E5096)))))-COUNTBLANK(OFFSET(A$1,,,SUMPRODUCT(MAX(ROW(E$1:E5095)*(E2=E$1:E5095))))))</f>
        <v> </v>
      </c>
      <c r="K5096" s="25" t="str">
        <f>IF(OR(E5096="",E5096="!!!",F5096="NEW"),"",INDEX(J$1:J5095,SUMPRODUCT(MAX(ROW(E$1:E5095)*(E5096=E$1:E5095)))))</f>
        <v> </v>
      </c>
      <c r="L5096" s="26"/>
    </row>
    <row r="5097" spans="1:12">
      <c r="A5097" s="20" t="s">
        <v>1332</v>
      </c>
      <c r="E5097" s="21">
        <f>IF(D5097="?OLD","!!!","")</f>
        <v/>
      </c>
      <c r="F5097" s="22" t="str">
        <f>IF(OR(E5097="",E5097="!!!"),"",IF(NOT(ISNA(VLOOKUP(E5097,E$1:E5096,1,FALSE()))),"OLD",IF(AND(E5097&lt;&gt;"",E5097&lt;&gt;"!!!"),"NEW","")))</f>
        <v> </v>
      </c>
      <c r="G5097" s="23" t="str">
        <f>IF(OR(E5097="",E5097="!!!"),"",IF(OR(J5097=0,AND(J5097=1,K5097=1),AND(J5097=1,I5097="SBJ"),AND(J5097=1,I5097=0)),"?IN_FOCUS",IF(J5097&lt;=2,"?ACTIVATED",IF(J5097&lt;&gt;"","?FAMILIAR",IF(F5097="NEW",IF(ISNA(VLOOKUP(E5097,#REF!,1,FALSE())),"?TYPE_IDENTIFIABLE","?REFERENTIAL"),"_")))))</f>
        <v> </v>
      </c>
      <c r="H5097" s="24" t="str">
        <f>IF(J5097&lt;&gt;1,"",IF(I5097="SBJ","CB","?"))</f>
        <v> </v>
      </c>
      <c r="I5097" s="25" t="str">
        <f>IF(OR(E5097="",E5097="!!!",F5097="NEW"),"",INDEX(B5096:B$2,-1+SUMPRODUCT(MAX(ROW(E5096:E$2)*(E5097=E5096:E$2)))))</f>
        <v> </v>
      </c>
      <c r="J5097" s="25" t="str">
        <f>IF(OR(E5097="",E5097="!!!",F5097="NEW"),"",COUNTBLANK(OFFSET(A$1,,,SUMPRODUCT(MAX(ROW(E$2:E5097)*(E5097=E$2:E5097)))))-COUNTBLANK(OFFSET(A$1,,,SUMPRODUCT(MAX(ROW(E$1:E5096)*(E2=E$1:E5096))))))</f>
        <v> </v>
      </c>
      <c r="K5097" s="25" t="str">
        <f>IF(OR(E5097="",E5097="!!!",F5097="NEW"),"",INDEX(J$1:J5096,SUMPRODUCT(MAX(ROW(E$1:E5096)*(E5097=E$1:E5096)))))</f>
        <v> </v>
      </c>
      <c r="L5097" s="26"/>
    </row>
    <row r="5098" spans="1:12">
      <c r="A5098" s="20" t="s">
        <v>1087</v>
      </c>
      <c r="E5098" s="21">
        <f>IF(D5098="?OLD","!!!","")</f>
        <v/>
      </c>
      <c r="F5098" s="22" t="str">
        <f>IF(OR(E5098="",E5098="!!!"),"",IF(NOT(ISNA(VLOOKUP(E5098,E$1:E5097,1,FALSE()))),"OLD",IF(AND(E5098&lt;&gt;"",E5098&lt;&gt;"!!!"),"NEW","")))</f>
        <v> </v>
      </c>
      <c r="G5098" s="23" t="str">
        <f>IF(OR(E5098="",E5098="!!!"),"",IF(OR(J5098=0,AND(J5098=1,K5098=1),AND(J5098=1,I5098="SBJ"),AND(J5098=1,I5098=0)),"?IN_FOCUS",IF(J5098&lt;=2,"?ACTIVATED",IF(J5098&lt;&gt;"","?FAMILIAR",IF(F5098="NEW",IF(ISNA(VLOOKUP(E5098,#REF!,1,FALSE())),"?TYPE_IDENTIFIABLE","?REFERENTIAL"),"_")))))</f>
        <v> </v>
      </c>
      <c r="H5098" s="24" t="str">
        <f>IF(J5098&lt;&gt;1,"",IF(I5098="SBJ","CB","?"))</f>
        <v> </v>
      </c>
      <c r="I5098" s="25" t="str">
        <f>IF(OR(E5098="",E5098="!!!",F5098="NEW"),"",INDEX(B5097:B$2,-1+SUMPRODUCT(MAX(ROW(E5097:E$2)*(E5098=E5097:E$2)))))</f>
        <v> </v>
      </c>
      <c r="J5098" s="25" t="str">
        <f>IF(OR(E5098="",E5098="!!!",F5098="NEW"),"",COUNTBLANK(OFFSET(A$1,,,SUMPRODUCT(MAX(ROW(E$2:E5098)*(E5098=E$2:E5098)))))-COUNTBLANK(OFFSET(A$1,,,SUMPRODUCT(MAX(ROW(E$1:E5097)*(E2=E$1:E5097))))))</f>
        <v> </v>
      </c>
      <c r="K5098" s="25" t="str">
        <f>IF(OR(E5098="",E5098="!!!",F5098="NEW"),"",INDEX(J$1:J5097,SUMPRODUCT(MAX(ROW(E$1:E5097)*(E5098=E$1:E5097)))))</f>
        <v> </v>
      </c>
      <c r="L5098" s="26"/>
    </row>
    <row r="5099" spans="1:12">
      <c r="A5099" s="20" t="s">
        <v>1149</v>
      </c>
      <c r="E5099" s="21">
        <f>IF(D5099="?OLD","!!!","")</f>
        <v/>
      </c>
      <c r="F5099" s="22" t="str">
        <f>IF(OR(E5099="",E5099="!!!"),"",IF(NOT(ISNA(VLOOKUP(E5099,E$1:E5098,1,FALSE()))),"OLD",IF(AND(E5099&lt;&gt;"",E5099&lt;&gt;"!!!"),"NEW","")))</f>
        <v> </v>
      </c>
      <c r="G5099" s="23" t="str">
        <f>IF(OR(E5099="",E5099="!!!"),"",IF(OR(J5099=0,AND(J5099=1,K5099=1),AND(J5099=1,I5099="SBJ"),AND(J5099=1,I5099=0)),"?IN_FOCUS",IF(J5099&lt;=2,"?ACTIVATED",IF(J5099&lt;&gt;"","?FAMILIAR",IF(F5099="NEW",IF(ISNA(VLOOKUP(E5099,#REF!,1,FALSE())),"?TYPE_IDENTIFIABLE","?REFERENTIAL"),"_")))))</f>
        <v> </v>
      </c>
      <c r="H5099" s="24" t="str">
        <f>IF(J5099&lt;&gt;1,"",IF(I5099="SBJ","CB","?"))</f>
        <v> </v>
      </c>
      <c r="I5099" s="25" t="str">
        <f>IF(OR(E5099="",E5099="!!!",F5099="NEW"),"",INDEX(B5098:B$2,-1+SUMPRODUCT(MAX(ROW(E5098:E$2)*(E5099=E5098:E$2)))))</f>
        <v> </v>
      </c>
      <c r="J5099" s="25" t="str">
        <f>IF(OR(E5099="",E5099="!!!",F5099="NEW"),"",COUNTBLANK(OFFSET(A$1,,,SUMPRODUCT(MAX(ROW(E$2:E5099)*(E5099=E$2:E5099)))))-COUNTBLANK(OFFSET(A$1,,,SUMPRODUCT(MAX(ROW(E$1:E5098)*(E2=E$1:E5098))))))</f>
        <v> </v>
      </c>
      <c r="K5099" s="25" t="str">
        <f>IF(OR(E5099="",E5099="!!!",F5099="NEW"),"",INDEX(J$1:J5098,SUMPRODUCT(MAX(ROW(E$1:E5098)*(E5099=E$1:E5098)))))</f>
        <v> </v>
      </c>
      <c r="L5099" s="26"/>
    </row>
    <row r="5100" spans="1:12">
      <c r="A5100" s="20" t="s">
        <v>1167</v>
      </c>
      <c r="B5100" s="27" t="s">
        <v>1109</v>
      </c>
      <c r="C5100" s="27" t="s">
        <v>1068</v>
      </c>
      <c r="D5100" s="27" t="s">
        <v>1069</v>
      </c>
      <c r="E5100" s="21">
        <f>IF(D5100="?OLD","!!!","")</f>
        <v/>
      </c>
      <c r="F5100" s="22" t="str">
        <f>IF(OR(E5100="",E5100="!!!"),"",IF(NOT(ISNA(VLOOKUP(E5100,E$1:E5099,1,FALSE()))),"OLD",IF(AND(E5100&lt;&gt;"",E5100&lt;&gt;"!!!"),"NEW","")))</f>
        <v> </v>
      </c>
      <c r="G5100" s="23" t="str">
        <f>IF(OR(E5100="",E5100="!!!"),"",IF(OR(J5100=0,AND(J5100=1,K5100=1),AND(J5100=1,I5100="SBJ"),AND(J5100=1,I5100=0)),"?IN_FOCUS",IF(J5100&lt;=2,"?ACTIVATED",IF(J5100&lt;&gt;"","?FAMILIAR",IF(F5100="NEW",IF(ISNA(VLOOKUP(E5100,#REF!,1,FALSE())),"?TYPE_IDENTIFIABLE","?REFERENTIAL"),"_")))))</f>
        <v> </v>
      </c>
      <c r="H5100" s="24" t="str">
        <f>IF(J5100&lt;&gt;1,"",IF(I5100="SBJ","CB","?"))</f>
        <v> </v>
      </c>
      <c r="I5100" s="25" t="str">
        <f>IF(OR(E5100="",E5100="!!!",F5100="NEW"),"",INDEX(B5099:B$2,-1+SUMPRODUCT(MAX(ROW(E5099:E$2)*(E5100=E5099:E$2)))))</f>
        <v> </v>
      </c>
      <c r="J5100" s="25" t="str">
        <f>IF(OR(E5100="",E5100="!!!",F5100="NEW"),"",COUNTBLANK(OFFSET(A$1,,,SUMPRODUCT(MAX(ROW(E$2:E5100)*(E5100=E$2:E5100)))))-COUNTBLANK(OFFSET(A$1,,,SUMPRODUCT(MAX(ROW(E$1:E5099)*(E2=E$1:E5099))))))</f>
        <v> </v>
      </c>
      <c r="K5100" s="25" t="str">
        <f>IF(OR(E5100="",E5100="!!!",F5100="NEW"),"",INDEX(J$1:J5099,SUMPRODUCT(MAX(ROW(E$1:E5099)*(E5100=E$1:E5099)))))</f>
        <v> </v>
      </c>
      <c r="L5100" s="26"/>
    </row>
    <row r="5101" spans="1:12">
      <c r="A5101" s="20" t="s">
        <v>1185</v>
      </c>
      <c r="E5101" s="21">
        <f>IF(D5101="?OLD","!!!","")</f>
        <v/>
      </c>
      <c r="F5101" s="22" t="str">
        <f>IF(OR(E5101="",E5101="!!!"),"",IF(NOT(ISNA(VLOOKUP(E5101,E$1:E5100,1,FALSE()))),"OLD",IF(AND(E5101&lt;&gt;"",E5101&lt;&gt;"!!!"),"NEW","")))</f>
        <v> </v>
      </c>
      <c r="G5101" s="23" t="str">
        <f>IF(OR(E5101="",E5101="!!!"),"",IF(OR(J5101=0,AND(J5101=1,K5101=1),AND(J5101=1,I5101="SBJ"),AND(J5101=1,I5101=0)),"?IN_FOCUS",IF(J5101&lt;=2,"?ACTIVATED",IF(J5101&lt;&gt;"","?FAMILIAR",IF(F5101="NEW",IF(ISNA(VLOOKUP(E5101,#REF!,1,FALSE())),"?TYPE_IDENTIFIABLE","?REFERENTIAL"),"_")))))</f>
        <v> </v>
      </c>
      <c r="H5101" s="24" t="str">
        <f>IF(J5101&lt;&gt;1,"",IF(I5101="SBJ","CB","?"))</f>
        <v> </v>
      </c>
      <c r="I5101" s="25" t="str">
        <f>IF(OR(E5101="",E5101="!!!",F5101="NEW"),"",INDEX(B5100:B$2,-1+SUMPRODUCT(MAX(ROW(E5100:E$2)*(E5101=E5100:E$2)))))</f>
        <v> </v>
      </c>
      <c r="J5101" s="25" t="str">
        <f>IF(OR(E5101="",E5101="!!!",F5101="NEW"),"",COUNTBLANK(OFFSET(A$1,,,SUMPRODUCT(MAX(ROW(E$2:E5101)*(E5101=E$2:E5101)))))-COUNTBLANK(OFFSET(A$1,,,SUMPRODUCT(MAX(ROW(E$1:E5100)*(E2=E$1:E5100))))))</f>
        <v> </v>
      </c>
      <c r="K5101" s="25" t="str">
        <f>IF(OR(E5101="",E5101="!!!",F5101="NEW"),"",INDEX(J$1:J5100,SUMPRODUCT(MAX(ROW(E$1:E5100)*(E5101=E$1:E5100)))))</f>
        <v> </v>
      </c>
      <c r="L5101" s="26"/>
    </row>
    <row r="5102" spans="1:12">
      <c r="A5102" s="20" t="s">
        <v>2524</v>
      </c>
      <c r="E5102" s="21">
        <f>IF(D5102="?OLD","!!!","")</f>
        <v/>
      </c>
      <c r="F5102" s="22" t="str">
        <f>IF(OR(E5102="",E5102="!!!"),"",IF(NOT(ISNA(VLOOKUP(E5102,E$1:E5101,1,FALSE()))),"OLD",IF(AND(E5102&lt;&gt;"",E5102&lt;&gt;"!!!"),"NEW","")))</f>
        <v> </v>
      </c>
      <c r="G5102" s="23" t="str">
        <f>IF(OR(E5102="",E5102="!!!"),"",IF(OR(J5102=0,AND(J5102=1,K5102=1),AND(J5102=1,I5102="SBJ"),AND(J5102=1,I5102=0)),"?IN_FOCUS",IF(J5102&lt;=2,"?ACTIVATED",IF(J5102&lt;&gt;"","?FAMILIAR",IF(F5102="NEW",IF(ISNA(VLOOKUP(E5102,#REF!,1,FALSE())),"?TYPE_IDENTIFIABLE","?REFERENTIAL"),"_")))))</f>
        <v> </v>
      </c>
      <c r="H5102" s="24" t="str">
        <f>IF(J5102&lt;&gt;1,"",IF(I5102="SBJ","CB","?"))</f>
        <v> </v>
      </c>
      <c r="I5102" s="25" t="str">
        <f>IF(OR(E5102="",E5102="!!!",F5102="NEW"),"",INDEX(B5101:B$2,-1+SUMPRODUCT(MAX(ROW(E5101:E$2)*(E5102=E5101:E$2)))))</f>
        <v> </v>
      </c>
      <c r="J5102" s="25" t="str">
        <f>IF(OR(E5102="",E5102="!!!",F5102="NEW"),"",COUNTBLANK(OFFSET(A$1,,,SUMPRODUCT(MAX(ROW(E$2:E5102)*(E5102=E$2:E5102)))))-COUNTBLANK(OFFSET(A$1,,,SUMPRODUCT(MAX(ROW(E$1:E5101)*(E2=E$1:E5101))))))</f>
        <v> </v>
      </c>
      <c r="K5102" s="25" t="str">
        <f>IF(OR(E5102="",E5102="!!!",F5102="NEW"),"",INDEX(J$1:J5101,SUMPRODUCT(MAX(ROW(E$1:E5101)*(E5102=E$1:E5101)))))</f>
        <v> </v>
      </c>
      <c r="L5102" s="26"/>
    </row>
    <row r="5103" spans="1:12">
      <c r="A5103" s="20" t="s">
        <v>2525</v>
      </c>
      <c r="B5103" s="27" t="s">
        <v>1141</v>
      </c>
      <c r="C5103" s="27" t="s">
        <v>1120</v>
      </c>
      <c r="E5103" s="21">
        <f>IF(D5103="?OLD","!!!","")</f>
        <v/>
      </c>
      <c r="F5103" s="22" t="str">
        <f>IF(OR(E5103="",E5103="!!!"),"",IF(NOT(ISNA(VLOOKUP(E5103,E$1:E5102,1,FALSE()))),"OLD",IF(AND(E5103&lt;&gt;"",E5103&lt;&gt;"!!!"),"NEW","")))</f>
        <v> </v>
      </c>
      <c r="G5103" s="23" t="str">
        <f>IF(OR(E5103="",E5103="!!!"),"",IF(OR(J5103=0,AND(J5103=1,K5103=1),AND(J5103=1,I5103="SBJ"),AND(J5103=1,I5103=0)),"?IN_FOCUS",IF(J5103&lt;=2,"?ACTIVATED",IF(J5103&lt;&gt;"","?FAMILIAR",IF(F5103="NEW",IF(ISNA(VLOOKUP(E5103,#REF!,1,FALSE())),"?TYPE_IDENTIFIABLE","?REFERENTIAL"),"_")))))</f>
        <v> </v>
      </c>
      <c r="H5103" s="24" t="str">
        <f>IF(J5103&lt;&gt;1,"",IF(I5103="SBJ","CB","?"))</f>
        <v> </v>
      </c>
      <c r="I5103" s="25" t="str">
        <f>IF(OR(E5103="",E5103="!!!",F5103="NEW"),"",INDEX(B5102:B$2,-1+SUMPRODUCT(MAX(ROW(E5102:E$2)*(E5103=E5102:E$2)))))</f>
        <v> </v>
      </c>
      <c r="J5103" s="25" t="str">
        <f>IF(OR(E5103="",E5103="!!!",F5103="NEW"),"",COUNTBLANK(OFFSET(A$1,,,SUMPRODUCT(MAX(ROW(E$2:E5103)*(E5103=E$2:E5103)))))-COUNTBLANK(OFFSET(A$1,,,SUMPRODUCT(MAX(ROW(E$1:E5102)*(E2=E$1:E5102))))))</f>
        <v> </v>
      </c>
      <c r="K5103" s="25" t="str">
        <f>IF(OR(E5103="",E5103="!!!",F5103="NEW"),"",INDEX(J$1:J5102,SUMPRODUCT(MAX(ROW(E$1:E5102)*(E5103=E$1:E5102)))))</f>
        <v> </v>
      </c>
      <c r="L5103" s="26"/>
    </row>
    <row r="5104" spans="1:12">
      <c r="A5104" s="20" t="s">
        <v>1199</v>
      </c>
      <c r="E5104" s="21">
        <f>IF(D5104="?OLD","!!!","")</f>
        <v/>
      </c>
      <c r="F5104" s="22" t="str">
        <f>IF(OR(E5104="",E5104="!!!"),"",IF(NOT(ISNA(VLOOKUP(E5104,E$1:E5103,1,FALSE()))),"OLD",IF(AND(E5104&lt;&gt;"",E5104&lt;&gt;"!!!"),"NEW","")))</f>
        <v> </v>
      </c>
      <c r="G5104" s="23" t="str">
        <f>IF(OR(E5104="",E5104="!!!"),"",IF(OR(J5104=0,AND(J5104=1,K5104=1),AND(J5104=1,I5104="SBJ"),AND(J5104=1,I5104=0)),"?IN_FOCUS",IF(J5104&lt;=2,"?ACTIVATED",IF(J5104&lt;&gt;"","?FAMILIAR",IF(F5104="NEW",IF(ISNA(VLOOKUP(E5104,#REF!,1,FALSE())),"?TYPE_IDENTIFIABLE","?REFERENTIAL"),"_")))))</f>
        <v> </v>
      </c>
      <c r="H5104" s="24" t="str">
        <f>IF(J5104&lt;&gt;1,"",IF(I5104="SBJ","CB","?"))</f>
        <v> </v>
      </c>
      <c r="I5104" s="25" t="str">
        <f>IF(OR(E5104="",E5104="!!!",F5104="NEW"),"",INDEX(B5103:B$2,-1+SUMPRODUCT(MAX(ROW(E5103:E$2)*(E5104=E5103:E$2)))))</f>
        <v> </v>
      </c>
      <c r="J5104" s="25" t="str">
        <f>IF(OR(E5104="",E5104="!!!",F5104="NEW"),"",COUNTBLANK(OFFSET(A$1,,,SUMPRODUCT(MAX(ROW(E$2:E5104)*(E5104=E$2:E5104)))))-COUNTBLANK(OFFSET(A$1,,,SUMPRODUCT(MAX(ROW(E$1:E5103)*(E2=E$1:E5103))))))</f>
        <v> </v>
      </c>
      <c r="K5104" s="25" t="str">
        <f>IF(OR(E5104="",E5104="!!!",F5104="NEW"),"",INDEX(J$1:J5103,SUMPRODUCT(MAX(ROW(E$1:E5103)*(E5104=E$1:E5103)))))</f>
        <v> </v>
      </c>
      <c r="L5104" s="26"/>
    </row>
    <row r="5105" spans="1:12">
      <c r="A5105" s="20" t="s">
        <v>2526</v>
      </c>
      <c r="B5105" s="27" t="s">
        <v>1116</v>
      </c>
      <c r="C5105" s="27" t="s">
        <v>1077</v>
      </c>
      <c r="E5105" s="21">
        <f>IF(D5105="?OLD","!!!","")</f>
        <v/>
      </c>
      <c r="F5105" s="22" t="str">
        <f>IF(OR(E5105="",E5105="!!!"),"",IF(NOT(ISNA(VLOOKUP(E5105,E$1:E5104,1,FALSE()))),"OLD",IF(AND(E5105&lt;&gt;"",E5105&lt;&gt;"!!!"),"NEW","")))</f>
        <v> </v>
      </c>
      <c r="G5105" s="23" t="str">
        <f>IF(OR(E5105="",E5105="!!!"),"",IF(OR(J5105=0,AND(J5105=1,K5105=1),AND(J5105=1,I5105="SBJ"),AND(J5105=1,I5105=0)),"?IN_FOCUS",IF(J5105&lt;=2,"?ACTIVATED",IF(J5105&lt;&gt;"","?FAMILIAR",IF(F5105="NEW",IF(ISNA(VLOOKUP(E5105,#REF!,1,FALSE())),"?TYPE_IDENTIFIABLE","?REFERENTIAL"),"_")))))</f>
        <v> </v>
      </c>
      <c r="H5105" s="24" t="str">
        <f>IF(J5105&lt;&gt;1,"",IF(I5105="SBJ","CB","?"))</f>
        <v> </v>
      </c>
      <c r="I5105" s="25" t="str">
        <f>IF(OR(E5105="",E5105="!!!",F5105="NEW"),"",INDEX(B5104:B$2,-1+SUMPRODUCT(MAX(ROW(E5104:E$2)*(E5105=E5104:E$2)))))</f>
        <v> </v>
      </c>
      <c r="J5105" s="25" t="str">
        <f>IF(OR(E5105="",E5105="!!!",F5105="NEW"),"",COUNTBLANK(OFFSET(A$1,,,SUMPRODUCT(MAX(ROW(E$2:E5105)*(E5105=E$2:E5105)))))-COUNTBLANK(OFFSET(A$1,,,SUMPRODUCT(MAX(ROW(E$1:E5104)*(E2=E$1:E5104))))))</f>
        <v> </v>
      </c>
      <c r="K5105" s="25" t="str">
        <f>IF(OR(E5105="",E5105="!!!",F5105="NEW"),"",INDEX(J$1:J5104,SUMPRODUCT(MAX(ROW(E$1:E5104)*(E5105=E$1:E5104)))))</f>
        <v> </v>
      </c>
      <c r="L5105" s="26"/>
    </row>
    <row r="5106" spans="1:12">
      <c r="A5106" s="20" t="s">
        <v>1191</v>
      </c>
      <c r="E5106" s="21">
        <f>IF(D5106="?OLD","!!!","")</f>
        <v/>
      </c>
      <c r="F5106" s="22" t="str">
        <f>IF(OR(E5106="",E5106="!!!"),"",IF(NOT(ISNA(VLOOKUP(E5106,E$1:E5105,1,FALSE()))),"OLD",IF(AND(E5106&lt;&gt;"",E5106&lt;&gt;"!!!"),"NEW","")))</f>
        <v> </v>
      </c>
      <c r="G5106" s="23" t="str">
        <f>IF(OR(E5106="",E5106="!!!"),"",IF(OR(J5106=0,AND(J5106=1,K5106=1),AND(J5106=1,I5106="SBJ"),AND(J5106=1,I5106=0)),"?IN_FOCUS",IF(J5106&lt;=2,"?ACTIVATED",IF(J5106&lt;&gt;"","?FAMILIAR",IF(F5106="NEW",IF(ISNA(VLOOKUP(E5106,#REF!,1,FALSE())),"?TYPE_IDENTIFIABLE","?REFERENTIAL"),"_")))))</f>
        <v> </v>
      </c>
      <c r="H5106" s="24" t="str">
        <f>IF(J5106&lt;&gt;1,"",IF(I5106="SBJ","CB","?"))</f>
        <v> </v>
      </c>
      <c r="I5106" s="25" t="str">
        <f>IF(OR(E5106="",E5106="!!!",F5106="NEW"),"",INDEX(B5105:B$2,-1+SUMPRODUCT(MAX(ROW(E5105:E$2)*(E5106=E5105:E$2)))))</f>
        <v> </v>
      </c>
      <c r="J5106" s="25" t="str">
        <f>IF(OR(E5106="",E5106="!!!",F5106="NEW"),"",COUNTBLANK(OFFSET(A$1,,,SUMPRODUCT(MAX(ROW(E$2:E5106)*(E5106=E$2:E5106)))))-COUNTBLANK(OFFSET(A$1,,,SUMPRODUCT(MAX(ROW(E$1:E5105)*(E2=E$1:E5105))))))</f>
        <v> </v>
      </c>
      <c r="K5106" s="25" t="str">
        <f>IF(OR(E5106="",E5106="!!!",F5106="NEW"),"",INDEX(J$1:J5105,SUMPRODUCT(MAX(ROW(E$1:E5105)*(E5106=E$1:E5105)))))</f>
        <v> </v>
      </c>
      <c r="L5106" s="26"/>
    </row>
    <row r="5107" spans="1:12">
      <c r="A5107" s="20" t="s">
        <v>1087</v>
      </c>
      <c r="E5107" s="21">
        <f>IF(D5107="?OLD","!!!","")</f>
        <v/>
      </c>
      <c r="F5107" s="22" t="str">
        <f>IF(OR(E5107="",E5107="!!!"),"",IF(NOT(ISNA(VLOOKUP(E5107,E$1:E5106,1,FALSE()))),"OLD",IF(AND(E5107&lt;&gt;"",E5107&lt;&gt;"!!!"),"NEW","")))</f>
        <v> </v>
      </c>
      <c r="G5107" s="23" t="str">
        <f>IF(OR(E5107="",E5107="!!!"),"",IF(OR(J5107=0,AND(J5107=1,K5107=1),AND(J5107=1,I5107="SBJ"),AND(J5107=1,I5107=0)),"?IN_FOCUS",IF(J5107&lt;=2,"?ACTIVATED",IF(J5107&lt;&gt;"","?FAMILIAR",IF(F5107="NEW",IF(ISNA(VLOOKUP(E5107,#REF!,1,FALSE())),"?TYPE_IDENTIFIABLE","?REFERENTIAL"),"_")))))</f>
        <v> </v>
      </c>
      <c r="H5107" s="24" t="str">
        <f>IF(J5107&lt;&gt;1,"",IF(I5107="SBJ","CB","?"))</f>
        <v> </v>
      </c>
      <c r="I5107" s="25" t="str">
        <f>IF(OR(E5107="",E5107="!!!",F5107="NEW"),"",INDEX(B5106:B$2,-1+SUMPRODUCT(MAX(ROW(E5106:E$2)*(E5107=E5106:E$2)))))</f>
        <v> </v>
      </c>
      <c r="J5107" s="25" t="str">
        <f>IF(OR(E5107="",E5107="!!!",F5107="NEW"),"",COUNTBLANK(OFFSET(A$1,,,SUMPRODUCT(MAX(ROW(E$2:E5107)*(E5107=E$2:E5107)))))-COUNTBLANK(OFFSET(A$1,,,SUMPRODUCT(MAX(ROW(E$1:E5106)*(E2=E$1:E5106))))))</f>
        <v> </v>
      </c>
      <c r="K5107" s="25" t="str">
        <f>IF(OR(E5107="",E5107="!!!",F5107="NEW"),"",INDEX(J$1:J5106,SUMPRODUCT(MAX(ROW(E$1:E5106)*(E5107=E$1:E5106)))))</f>
        <v> </v>
      </c>
      <c r="L5107" s="26"/>
    </row>
    <row r="5108" spans="1:12">
      <c r="A5108" s="20" t="s">
        <v>2527</v>
      </c>
      <c r="B5108" s="27" t="s">
        <v>1507</v>
      </c>
      <c r="C5108" s="27" t="s">
        <v>1077</v>
      </c>
      <c r="E5108" s="21">
        <f>IF(D5108="?OLD","!!!","")</f>
        <v/>
      </c>
      <c r="F5108" s="22" t="str">
        <f>IF(OR(E5108="",E5108="!!!"),"",IF(NOT(ISNA(VLOOKUP(E5108,E$1:E5107,1,FALSE()))),"OLD",IF(AND(E5108&lt;&gt;"",E5108&lt;&gt;"!!!"),"NEW","")))</f>
        <v> </v>
      </c>
      <c r="G5108" s="23" t="str">
        <f>IF(OR(E5108="",E5108="!!!"),"",IF(OR(J5108=0,AND(J5108=1,K5108=1),AND(J5108=1,I5108="SBJ"),AND(J5108=1,I5108=0)),"?IN_FOCUS",IF(J5108&lt;=2,"?ACTIVATED",IF(J5108&lt;&gt;"","?FAMILIAR",IF(F5108="NEW",IF(ISNA(VLOOKUP(E5108,#REF!,1,FALSE())),"?TYPE_IDENTIFIABLE","?REFERENTIAL"),"_")))))</f>
        <v> </v>
      </c>
      <c r="H5108" s="24" t="str">
        <f>IF(J5108&lt;&gt;1,"",IF(I5108="SBJ","CB","?"))</f>
        <v> </v>
      </c>
      <c r="I5108" s="25" t="str">
        <f>IF(OR(E5108="",E5108="!!!",F5108="NEW"),"",INDEX(B5107:B$2,-1+SUMPRODUCT(MAX(ROW(E5107:E$2)*(E5108=E5107:E$2)))))</f>
        <v> </v>
      </c>
      <c r="J5108" s="25" t="str">
        <f>IF(OR(E5108="",E5108="!!!",F5108="NEW"),"",COUNTBLANK(OFFSET(A$1,,,SUMPRODUCT(MAX(ROW(E$2:E5108)*(E5108=E$2:E5108)))))-COUNTBLANK(OFFSET(A$1,,,SUMPRODUCT(MAX(ROW(E$1:E5107)*(E2=E$1:E5107))))))</f>
        <v> </v>
      </c>
      <c r="K5108" s="25" t="str">
        <f>IF(OR(E5108="",E5108="!!!",F5108="NEW"),"",INDEX(J$1:J5107,SUMPRODUCT(MAX(ROW(E$1:E5107)*(E5108=E$1:E5107)))))</f>
        <v> </v>
      </c>
      <c r="L5108" s="26"/>
    </row>
    <row r="5109" spans="1:12">
      <c r="A5109" s="20" t="s">
        <v>2138</v>
      </c>
      <c r="B5109" s="27" t="s">
        <v>1678</v>
      </c>
      <c r="C5109" s="27" t="s">
        <v>1896</v>
      </c>
      <c r="D5109" s="27" t="s">
        <v>1069</v>
      </c>
      <c r="E5109" s="21">
        <f>IF(D5109="?OLD","!!!","")</f>
        <v/>
      </c>
      <c r="F5109" s="22" t="str">
        <f>IF(OR(E5109="",E5109="!!!"),"",IF(NOT(ISNA(VLOOKUP(E5109,E$1:E5108,1,FALSE()))),"OLD",IF(AND(E5109&lt;&gt;"",E5109&lt;&gt;"!!!"),"NEW","")))</f>
        <v> </v>
      </c>
      <c r="G5109" s="23" t="str">
        <f>IF(OR(E5109="",E5109="!!!"),"",IF(OR(J5109=0,AND(J5109=1,K5109=1),AND(J5109=1,I5109="SBJ"),AND(J5109=1,I5109=0)),"?IN_FOCUS",IF(J5109&lt;=2,"?ACTIVATED",IF(J5109&lt;&gt;"","?FAMILIAR",IF(F5109="NEW",IF(ISNA(VLOOKUP(E5109,#REF!,1,FALSE())),"?TYPE_IDENTIFIABLE","?REFERENTIAL"),"_")))))</f>
        <v> </v>
      </c>
      <c r="H5109" s="24" t="str">
        <f>IF(J5109&lt;&gt;1,"",IF(I5109="SBJ","CB","?"))</f>
        <v> </v>
      </c>
      <c r="I5109" s="25" t="str">
        <f>IF(OR(E5109="",E5109="!!!",F5109="NEW"),"",INDEX(B5108:B$2,-1+SUMPRODUCT(MAX(ROW(E5108:E$2)*(E5109=E5108:E$2)))))</f>
        <v> </v>
      </c>
      <c r="J5109" s="25" t="str">
        <f>IF(OR(E5109="",E5109="!!!",F5109="NEW"),"",COUNTBLANK(OFFSET(A$1,,,SUMPRODUCT(MAX(ROW(E$2:E5109)*(E5109=E$2:E5109)))))-COUNTBLANK(OFFSET(A$1,,,SUMPRODUCT(MAX(ROW(E$1:E5108)*(E2=E$1:E5108))))))</f>
        <v> </v>
      </c>
      <c r="K5109" s="25" t="str">
        <f>IF(OR(E5109="",E5109="!!!",F5109="NEW"),"",INDEX(J$1:J5108,SUMPRODUCT(MAX(ROW(E$1:E5108)*(E5109=E$1:E5108)))))</f>
        <v> </v>
      </c>
      <c r="L5109" s="26"/>
    </row>
    <row r="5110" spans="1:12">
      <c r="A5110" s="20" t="s">
        <v>1070</v>
      </c>
      <c r="E5110" s="21">
        <f>IF(D5110="?OLD","!!!","")</f>
        <v/>
      </c>
      <c r="F5110" s="22" t="str">
        <f>IF(OR(E5110="",E5110="!!!"),"",IF(NOT(ISNA(VLOOKUP(E5110,E$1:E5109,1,FALSE()))),"OLD",IF(AND(E5110&lt;&gt;"",E5110&lt;&gt;"!!!"),"NEW","")))</f>
        <v> </v>
      </c>
      <c r="G5110" s="23" t="str">
        <f>IF(OR(E5110="",E5110="!!!"),"",IF(OR(J5110=0,AND(J5110=1,K5110=1),AND(J5110=1,I5110="SBJ"),AND(J5110=1,I5110=0)),"?IN_FOCUS",IF(J5110&lt;=2,"?ACTIVATED",IF(J5110&lt;&gt;"","?FAMILIAR",IF(F5110="NEW",IF(ISNA(VLOOKUP(E5110,#REF!,1,FALSE())),"?TYPE_IDENTIFIABLE","?REFERENTIAL"),"_")))))</f>
        <v> </v>
      </c>
      <c r="H5110" s="24" t="str">
        <f>IF(J5110&lt;&gt;1,"",IF(I5110="SBJ","CB","?"))</f>
        <v> </v>
      </c>
      <c r="I5110" s="25" t="str">
        <f>IF(OR(E5110="",E5110="!!!",F5110="NEW"),"",INDEX(B5109:B$2,-1+SUMPRODUCT(MAX(ROW(E5109:E$2)*(E5110=E5109:E$2)))))</f>
        <v> </v>
      </c>
      <c r="J5110" s="25" t="str">
        <f>IF(OR(E5110="",E5110="!!!",F5110="NEW"),"",COUNTBLANK(OFFSET(A$1,,,SUMPRODUCT(MAX(ROW(E$2:E5110)*(E5110=E$2:E5110)))))-COUNTBLANK(OFFSET(A$1,,,SUMPRODUCT(MAX(ROW(E$1:E5109)*(E2=E$1:E5109))))))</f>
        <v> </v>
      </c>
      <c r="K5110" s="25" t="str">
        <f>IF(OR(E5110="",E5110="!!!",F5110="NEW"),"",INDEX(J$1:J5109,SUMPRODUCT(MAX(ROW(E$1:E5109)*(E5110=E$1:E5109)))))</f>
        <v> </v>
      </c>
      <c r="L5110" s="26"/>
    </row>
    <row r="5111" spans="1:12">
      <c r="A5111" s="20" t="s">
        <v>531</v>
      </c>
      <c r="E5111" s="21">
        <f>IF(D5111="?OLD","!!!","")</f>
        <v/>
      </c>
      <c r="F5111" s="22" t="str">
        <f>IF(OR(E5111="",E5111="!!!"),"",IF(NOT(ISNA(VLOOKUP(E5111,E$1:E5110,1,FALSE()))),"OLD",IF(AND(E5111&lt;&gt;"",E5111&lt;&gt;"!!!"),"NEW","")))</f>
        <v> </v>
      </c>
      <c r="G5111" s="23" t="str">
        <f>IF(OR(E5111="",E5111="!!!"),"",IF(OR(J5111=0,AND(J5111=1,K5111=1),AND(J5111=1,I5111="SBJ"),AND(J5111=1,I5111=0)),"?IN_FOCUS",IF(J5111&lt;=2,"?ACTIVATED",IF(J5111&lt;&gt;"","?FAMILIAR",IF(F5111="NEW",IF(ISNA(VLOOKUP(E5111,#REF!,1,FALSE())),"?TYPE_IDENTIFIABLE","?REFERENTIAL"),"_")))))</f>
        <v> </v>
      </c>
      <c r="H5111" s="24" t="str">
        <f>IF(J5111&lt;&gt;1,"",IF(I5111="SBJ","CB","?"))</f>
        <v> </v>
      </c>
      <c r="I5111" s="25" t="str">
        <f>IF(OR(E5111="",E5111="!!!",F5111="NEW"),"",INDEX(B5110:B$2,-1+SUMPRODUCT(MAX(ROW(E5110:E$2)*(E5111=E5110:E$2)))))</f>
        <v> </v>
      </c>
      <c r="J5111" s="25" t="str">
        <f>IF(OR(E5111="",E5111="!!!",F5111="NEW"),"",COUNTBLANK(OFFSET(A$1,,,SUMPRODUCT(MAX(ROW(E$2:E5111)*(E5111=E$2:E5111)))))-COUNTBLANK(OFFSET(A$1,,,SUMPRODUCT(MAX(ROW(E$1:E5110)*(E2=E$1:E5110))))))</f>
        <v> </v>
      </c>
      <c r="K5111" s="25" t="str">
        <f>IF(OR(E5111="",E5111="!!!",F5111="NEW"),"",INDEX(J$1:J5110,SUMPRODUCT(MAX(ROW(E$1:E5110)*(E5111=E$1:E5110)))))</f>
        <v> </v>
      </c>
      <c r="L5111" s="26"/>
    </row>
    <row r="5112" spans="1:12">
      <c r="A5112" s="20" t="s">
        <v>1087</v>
      </c>
      <c r="E5112" s="21">
        <f>IF(D5112="?OLD","!!!","")</f>
        <v/>
      </c>
      <c r="F5112" s="22" t="str">
        <f>IF(OR(E5112="",E5112="!!!"),"",IF(NOT(ISNA(VLOOKUP(E5112,E$1:E5111,1,FALSE()))),"OLD",IF(AND(E5112&lt;&gt;"",E5112&lt;&gt;"!!!"),"NEW","")))</f>
        <v> </v>
      </c>
      <c r="G5112" s="23" t="str">
        <f>IF(OR(E5112="",E5112="!!!"),"",IF(OR(J5112=0,AND(J5112=1,K5112=1),AND(J5112=1,I5112="SBJ"),AND(J5112=1,I5112=0)),"?IN_FOCUS",IF(J5112&lt;=2,"?ACTIVATED",IF(J5112&lt;&gt;"","?FAMILIAR",IF(F5112="NEW",IF(ISNA(VLOOKUP(E5112,#REF!,1,FALSE())),"?TYPE_IDENTIFIABLE","?REFERENTIAL"),"_")))))</f>
        <v> </v>
      </c>
      <c r="H5112" s="24" t="str">
        <f>IF(J5112&lt;&gt;1,"",IF(I5112="SBJ","CB","?"))</f>
        <v> </v>
      </c>
      <c r="I5112" s="25" t="str">
        <f>IF(OR(E5112="",E5112="!!!",F5112="NEW"),"",INDEX(B5111:B$2,-1+SUMPRODUCT(MAX(ROW(E5111:E$2)*(E5112=E5111:E$2)))))</f>
        <v> </v>
      </c>
      <c r="J5112" s="25" t="str">
        <f>IF(OR(E5112="",E5112="!!!",F5112="NEW"),"",COUNTBLANK(OFFSET(A$1,,,SUMPRODUCT(MAX(ROW(E$2:E5112)*(E5112=E$2:E5112)))))-COUNTBLANK(OFFSET(A$1,,,SUMPRODUCT(MAX(ROW(E$1:E5111)*(E2=E$1:E5111))))))</f>
        <v> </v>
      </c>
      <c r="K5112" s="25" t="str">
        <f>IF(OR(E5112="",E5112="!!!",F5112="NEW"),"",INDEX(J$1:J5111,SUMPRODUCT(MAX(ROW(E$1:E5111)*(E5112=E$1:E5111)))))</f>
        <v> </v>
      </c>
      <c r="L5112" s="26"/>
    </row>
    <row r="5113" spans="1:12">
      <c r="A5113" s="20" t="s">
        <v>2308</v>
      </c>
      <c r="E5113" s="21">
        <f>IF(D5113="?OLD","!!!","")</f>
        <v/>
      </c>
      <c r="F5113" s="22" t="str">
        <f>IF(OR(E5113="",E5113="!!!"),"",IF(NOT(ISNA(VLOOKUP(E5113,E$1:E5112,1,FALSE()))),"OLD",IF(AND(E5113&lt;&gt;"",E5113&lt;&gt;"!!!"),"NEW","")))</f>
        <v> </v>
      </c>
      <c r="G5113" s="23" t="str">
        <f>IF(OR(E5113="",E5113="!!!"),"",IF(OR(J5113=0,AND(J5113=1,K5113=1),AND(J5113=1,I5113="SBJ"),AND(J5113=1,I5113=0)),"?IN_FOCUS",IF(J5113&lt;=2,"?ACTIVATED",IF(J5113&lt;&gt;"","?FAMILIAR",IF(F5113="NEW",IF(ISNA(VLOOKUP(E5113,#REF!,1,FALSE())),"?TYPE_IDENTIFIABLE","?REFERENTIAL"),"_")))))</f>
        <v> </v>
      </c>
      <c r="H5113" s="24" t="str">
        <f>IF(J5113&lt;&gt;1,"",IF(I5113="SBJ","CB","?"))</f>
        <v> </v>
      </c>
      <c r="I5113" s="25" t="str">
        <f>IF(OR(E5113="",E5113="!!!",F5113="NEW"),"",INDEX(B5112:B$2,-1+SUMPRODUCT(MAX(ROW(E5112:E$2)*(E5113=E5112:E$2)))))</f>
        <v> </v>
      </c>
      <c r="J5113" s="25" t="str">
        <f>IF(OR(E5113="",E5113="!!!",F5113="NEW"),"",COUNTBLANK(OFFSET(A$1,,,SUMPRODUCT(MAX(ROW(E$2:E5113)*(E5113=E$2:E5113)))))-COUNTBLANK(OFFSET(A$1,,,SUMPRODUCT(MAX(ROW(E$1:E5112)*(E2=E$1:E5112))))))</f>
        <v> </v>
      </c>
      <c r="K5113" s="25" t="str">
        <f>IF(OR(E5113="",E5113="!!!",F5113="NEW"),"",INDEX(J$1:J5112,SUMPRODUCT(MAX(ROW(E$1:E5112)*(E5113=E$1:E5112)))))</f>
        <v> </v>
      </c>
      <c r="L5113" s="26"/>
    </row>
    <row r="5114" spans="1:12">
      <c r="A5114" s="20" t="s">
        <v>1167</v>
      </c>
      <c r="E5114" s="21">
        <f>IF(D5114="?OLD","!!!","")</f>
        <v/>
      </c>
      <c r="F5114" s="22" t="str">
        <f>IF(OR(E5114="",E5114="!!!"),"",IF(NOT(ISNA(VLOOKUP(E5114,E$1:E5113,1,FALSE()))),"OLD",IF(AND(E5114&lt;&gt;"",E5114&lt;&gt;"!!!"),"NEW","")))</f>
        <v> </v>
      </c>
      <c r="G5114" s="23" t="str">
        <f>IF(OR(E5114="",E5114="!!!"),"",IF(OR(J5114=0,AND(J5114=1,K5114=1),AND(J5114=1,I5114="SBJ"),AND(J5114=1,I5114=0)),"?IN_FOCUS",IF(J5114&lt;=2,"?ACTIVATED",IF(J5114&lt;&gt;"","?FAMILIAR",IF(F5114="NEW",IF(ISNA(VLOOKUP(E5114,#REF!,1,FALSE())),"?TYPE_IDENTIFIABLE","?REFERENTIAL"),"_")))))</f>
        <v> </v>
      </c>
      <c r="H5114" s="24" t="str">
        <f>IF(J5114&lt;&gt;1,"",IF(I5114="SBJ","CB","?"))</f>
        <v> </v>
      </c>
      <c r="I5114" s="25" t="str">
        <f>IF(OR(E5114="",E5114="!!!",F5114="NEW"),"",INDEX(B5113:B$2,-1+SUMPRODUCT(MAX(ROW(E5113:E$2)*(E5114=E5113:E$2)))))</f>
        <v> </v>
      </c>
      <c r="J5114" s="25" t="str">
        <f>IF(OR(E5114="",E5114="!!!",F5114="NEW"),"",COUNTBLANK(OFFSET(A$1,,,SUMPRODUCT(MAX(ROW(E$2:E5114)*(E5114=E$2:E5114)))))-COUNTBLANK(OFFSET(A$1,,,SUMPRODUCT(MAX(ROW(E$1:E5113)*(E2=E$1:E5113))))))</f>
        <v> </v>
      </c>
      <c r="K5114" s="25" t="str">
        <f>IF(OR(E5114="",E5114="!!!",F5114="NEW"),"",INDEX(J$1:J5113,SUMPRODUCT(MAX(ROW(E$1:E5113)*(E5114=E$1:E5113)))))</f>
        <v> </v>
      </c>
      <c r="L5114" s="26"/>
    </row>
    <row r="5115" spans="1:12">
      <c r="A5115" s="20" t="s">
        <v>2528</v>
      </c>
      <c r="E5115" s="21">
        <f>IF(D5115="?OLD","!!!","")</f>
        <v/>
      </c>
      <c r="F5115" s="22" t="str">
        <f>IF(OR(E5115="",E5115="!!!"),"",IF(NOT(ISNA(VLOOKUP(E5115,E$1:E5114,1,FALSE()))),"OLD",IF(AND(E5115&lt;&gt;"",E5115&lt;&gt;"!!!"),"NEW","")))</f>
        <v> </v>
      </c>
      <c r="G5115" s="23" t="str">
        <f>IF(OR(E5115="",E5115="!!!"),"",IF(OR(J5115=0,AND(J5115=1,K5115=1),AND(J5115=1,I5115="SBJ"),AND(J5115=1,I5115=0)),"?IN_FOCUS",IF(J5115&lt;=2,"?ACTIVATED",IF(J5115&lt;&gt;"","?FAMILIAR",IF(F5115="NEW",IF(ISNA(VLOOKUP(E5115,#REF!,1,FALSE())),"?TYPE_IDENTIFIABLE","?REFERENTIAL"),"_")))))</f>
        <v> </v>
      </c>
      <c r="H5115" s="24" t="str">
        <f>IF(J5115&lt;&gt;1,"",IF(I5115="SBJ","CB","?"))</f>
        <v> </v>
      </c>
      <c r="I5115" s="25" t="str">
        <f>IF(OR(E5115="",E5115="!!!",F5115="NEW"),"",INDEX(B5114:B$2,-1+SUMPRODUCT(MAX(ROW(E5114:E$2)*(E5115=E5114:E$2)))))</f>
        <v> </v>
      </c>
      <c r="J5115" s="25" t="str">
        <f>IF(OR(E5115="",E5115="!!!",F5115="NEW"),"",COUNTBLANK(OFFSET(A$1,,,SUMPRODUCT(MAX(ROW(E$2:E5115)*(E5115=E$2:E5115)))))-COUNTBLANK(OFFSET(A$1,,,SUMPRODUCT(MAX(ROW(E$1:E5114)*(E2=E$1:E5114))))))</f>
        <v> </v>
      </c>
      <c r="K5115" s="25" t="str">
        <f>IF(OR(E5115="",E5115="!!!",F5115="NEW"),"",INDEX(J$1:J5114,SUMPRODUCT(MAX(ROW(E$1:E5114)*(E5115=E$1:E5114)))))</f>
        <v> </v>
      </c>
      <c r="L5115" s="26"/>
    </row>
    <row r="5116" spans="1:12">
      <c r="A5116" s="20" t="s">
        <v>1105</v>
      </c>
      <c r="B5116" s="27" t="s">
        <v>1683</v>
      </c>
      <c r="C5116" s="27" t="s">
        <v>1077</v>
      </c>
      <c r="E5116" s="21">
        <f>IF(D5116="?OLD","!!!","")</f>
        <v/>
      </c>
      <c r="F5116" s="22" t="str">
        <f>IF(OR(E5116="",E5116="!!!"),"",IF(NOT(ISNA(VLOOKUP(E5116,E$1:E5115,1,FALSE()))),"OLD",IF(AND(E5116&lt;&gt;"",E5116&lt;&gt;"!!!"),"NEW","")))</f>
        <v> </v>
      </c>
      <c r="G5116" s="23" t="str">
        <f>IF(OR(E5116="",E5116="!!!"),"",IF(OR(J5116=0,AND(J5116=1,K5116=1),AND(J5116=1,I5116="SBJ"),AND(J5116=1,I5116=0)),"?IN_FOCUS",IF(J5116&lt;=2,"?ACTIVATED",IF(J5116&lt;&gt;"","?FAMILIAR",IF(F5116="NEW",IF(ISNA(VLOOKUP(E5116,#REF!,1,FALSE())),"?TYPE_IDENTIFIABLE","?REFERENTIAL"),"_")))))</f>
        <v> </v>
      </c>
      <c r="H5116" s="24" t="str">
        <f>IF(J5116&lt;&gt;1,"",IF(I5116="SBJ","CB","?"))</f>
        <v> </v>
      </c>
      <c r="I5116" s="25" t="str">
        <f>IF(OR(E5116="",E5116="!!!",F5116="NEW"),"",INDEX(B5115:B$2,-1+SUMPRODUCT(MAX(ROW(E5115:E$2)*(E5116=E5115:E$2)))))</f>
        <v> </v>
      </c>
      <c r="J5116" s="25" t="str">
        <f>IF(OR(E5116="",E5116="!!!",F5116="NEW"),"",COUNTBLANK(OFFSET(A$1,,,SUMPRODUCT(MAX(ROW(E$2:E5116)*(E5116=E$2:E5116)))))-COUNTBLANK(OFFSET(A$1,,,SUMPRODUCT(MAX(ROW(E$1:E5115)*(E2=E$1:E5115))))))</f>
        <v> </v>
      </c>
      <c r="K5116" s="25" t="str">
        <f>IF(OR(E5116="",E5116="!!!",F5116="NEW"),"",INDEX(J$1:J5115,SUMPRODUCT(MAX(ROW(E$1:E5115)*(E5116=E$1:E5115)))))</f>
        <v> </v>
      </c>
      <c r="L5116" s="26"/>
    </row>
    <row r="5117" spans="1:12">
      <c r="A5117" s="20" t="s">
        <v>1299</v>
      </c>
      <c r="E5117" s="21">
        <f>IF(D5117="?OLD","!!!","")</f>
        <v/>
      </c>
      <c r="F5117" s="22" t="str">
        <f>IF(OR(E5117="",E5117="!!!"),"",IF(NOT(ISNA(VLOOKUP(E5117,E$1:E5116,1,FALSE()))),"OLD",IF(AND(E5117&lt;&gt;"",E5117&lt;&gt;"!!!"),"NEW","")))</f>
        <v> </v>
      </c>
      <c r="G5117" s="23" t="str">
        <f>IF(OR(E5117="",E5117="!!!"),"",IF(OR(J5117=0,AND(J5117=1,K5117=1),AND(J5117=1,I5117="SBJ"),AND(J5117=1,I5117=0)),"?IN_FOCUS",IF(J5117&lt;=2,"?ACTIVATED",IF(J5117&lt;&gt;"","?FAMILIAR",IF(F5117="NEW",IF(ISNA(VLOOKUP(E5117,#REF!,1,FALSE())),"?TYPE_IDENTIFIABLE","?REFERENTIAL"),"_")))))</f>
        <v> </v>
      </c>
      <c r="H5117" s="24" t="str">
        <f>IF(J5117&lt;&gt;1,"",IF(I5117="SBJ","CB","?"))</f>
        <v> </v>
      </c>
      <c r="I5117" s="25" t="str">
        <f>IF(OR(E5117="",E5117="!!!",F5117="NEW"),"",INDEX(B5116:B$2,-1+SUMPRODUCT(MAX(ROW(E5116:E$2)*(E5117=E5116:E$2)))))</f>
        <v> </v>
      </c>
      <c r="J5117" s="25" t="str">
        <f>IF(OR(E5117="",E5117="!!!",F5117="NEW"),"",COUNTBLANK(OFFSET(A$1,,,SUMPRODUCT(MAX(ROW(E$2:E5117)*(E5117=E$2:E5117)))))-COUNTBLANK(OFFSET(A$1,,,SUMPRODUCT(MAX(ROW(E$1:E5116)*(E2=E$1:E5116))))))</f>
        <v> </v>
      </c>
      <c r="K5117" s="25" t="str">
        <f>IF(OR(E5117="",E5117="!!!",F5117="NEW"),"",INDEX(J$1:J5116,SUMPRODUCT(MAX(ROW(E$1:E5116)*(E5117=E$1:E5116)))))</f>
        <v> </v>
      </c>
      <c r="L5117" s="26"/>
    </row>
    <row r="5118" spans="1:12">
      <c r="A5118" s="20" t="s">
        <v>1087</v>
      </c>
      <c r="E5118" s="21">
        <f>IF(D5118="?OLD","!!!","")</f>
        <v/>
      </c>
      <c r="F5118" s="22" t="str">
        <f>IF(OR(E5118="",E5118="!!!"),"",IF(NOT(ISNA(VLOOKUP(E5118,E$1:E5117,1,FALSE()))),"OLD",IF(AND(E5118&lt;&gt;"",E5118&lt;&gt;"!!!"),"NEW","")))</f>
        <v> </v>
      </c>
      <c r="G5118" s="23" t="str">
        <f>IF(OR(E5118="",E5118="!!!"),"",IF(OR(J5118=0,AND(J5118=1,K5118=1),AND(J5118=1,I5118="SBJ"),AND(J5118=1,I5118=0)),"?IN_FOCUS",IF(J5118&lt;=2,"?ACTIVATED",IF(J5118&lt;&gt;"","?FAMILIAR",IF(F5118="NEW",IF(ISNA(VLOOKUP(E5118,#REF!,1,FALSE())),"?TYPE_IDENTIFIABLE","?REFERENTIAL"),"_")))))</f>
        <v> </v>
      </c>
      <c r="H5118" s="24" t="str">
        <f>IF(J5118&lt;&gt;1,"",IF(I5118="SBJ","CB","?"))</f>
        <v> </v>
      </c>
      <c r="I5118" s="25" t="str">
        <f>IF(OR(E5118="",E5118="!!!",F5118="NEW"),"",INDEX(B5117:B$2,-1+SUMPRODUCT(MAX(ROW(E5117:E$2)*(E5118=E5117:E$2)))))</f>
        <v> </v>
      </c>
      <c r="J5118" s="25" t="str">
        <f>IF(OR(E5118="",E5118="!!!",F5118="NEW"),"",COUNTBLANK(OFFSET(A$1,,,SUMPRODUCT(MAX(ROW(E$2:E5118)*(E5118=E$2:E5118)))))-COUNTBLANK(OFFSET(A$1,,,SUMPRODUCT(MAX(ROW(E$1:E5117)*(E2=E$1:E5117))))))</f>
        <v> </v>
      </c>
      <c r="K5118" s="25" t="str">
        <f>IF(OR(E5118="",E5118="!!!",F5118="NEW"),"",INDEX(J$1:J5117,SUMPRODUCT(MAX(ROW(E$1:E5117)*(E5118=E$1:E5117)))))</f>
        <v> </v>
      </c>
      <c r="L5118" s="26"/>
    </row>
    <row r="5119" spans="1:12">
      <c r="A5119" s="20" t="s">
        <v>1104</v>
      </c>
      <c r="B5119" s="27" t="s">
        <v>1106</v>
      </c>
      <c r="E5119" s="21">
        <f>IF(D5119="?OLD","!!!","")</f>
        <v/>
      </c>
      <c r="F5119" s="22" t="str">
        <f>IF(OR(E5119="",E5119="!!!"),"",IF(NOT(ISNA(VLOOKUP(E5119,E$1:E5118,1,FALSE()))),"OLD",IF(AND(E5119&lt;&gt;"",E5119&lt;&gt;"!!!"),"NEW","")))</f>
        <v> </v>
      </c>
      <c r="G5119" s="23" t="str">
        <f>IF(OR(E5119="",E5119="!!!"),"",IF(OR(J5119=0,AND(J5119=1,K5119=1),AND(J5119=1,I5119="SBJ"),AND(J5119=1,I5119=0)),"?IN_FOCUS",IF(J5119&lt;=2,"?ACTIVATED",IF(J5119&lt;&gt;"","?FAMILIAR",IF(F5119="NEW",IF(ISNA(VLOOKUP(E5119,#REF!,1,FALSE())),"?TYPE_IDENTIFIABLE","?REFERENTIAL"),"_")))))</f>
        <v> </v>
      </c>
      <c r="H5119" s="24" t="str">
        <f>IF(J5119&lt;&gt;1,"",IF(I5119="SBJ","CB","?"))</f>
        <v> </v>
      </c>
      <c r="I5119" s="25" t="str">
        <f>IF(OR(E5119="",E5119="!!!",F5119="NEW"),"",INDEX(B5118:B$2,-1+SUMPRODUCT(MAX(ROW(E5118:E$2)*(E5119=E5118:E$2)))))</f>
        <v> </v>
      </c>
      <c r="J5119" s="25" t="str">
        <f>IF(OR(E5119="",E5119="!!!",F5119="NEW"),"",COUNTBLANK(OFFSET(A$1,,,SUMPRODUCT(MAX(ROW(E$2:E5119)*(E5119=E$2:E5119)))))-COUNTBLANK(OFFSET(A$1,,,SUMPRODUCT(MAX(ROW(E$1:E5118)*(E2=E$1:E5118))))))</f>
        <v> </v>
      </c>
      <c r="K5119" s="25" t="str">
        <f>IF(OR(E5119="",E5119="!!!",F5119="NEW"),"",INDEX(J$1:J5118,SUMPRODUCT(MAX(ROW(E$1:E5118)*(E5119=E$1:E5118)))))</f>
        <v> </v>
      </c>
      <c r="L5119" s="26"/>
    </row>
    <row r="5120" spans="1:12">
      <c r="A5120" s="20" t="s">
        <v>1108</v>
      </c>
      <c r="B5120" s="27" t="s">
        <v>1133</v>
      </c>
      <c r="C5120" s="27" t="s">
        <v>1110</v>
      </c>
      <c r="D5120" s="27" t="s">
        <v>1069</v>
      </c>
      <c r="E5120" s="21">
        <f>IF(D5120="?OLD","!!!","")</f>
        <v/>
      </c>
      <c r="F5120" s="22" t="str">
        <f>IF(OR(E5120="",E5120="!!!"),"",IF(NOT(ISNA(VLOOKUP(E5120,E$1:E5119,1,FALSE()))),"OLD",IF(AND(E5120&lt;&gt;"",E5120&lt;&gt;"!!!"),"NEW","")))</f>
        <v> </v>
      </c>
      <c r="G5120" s="23" t="str">
        <f>IF(OR(E5120="",E5120="!!!"),"",IF(OR(J5120=0,AND(J5120=1,K5120=1),AND(J5120=1,I5120="SBJ"),AND(J5120=1,I5120=0)),"?IN_FOCUS",IF(J5120&lt;=2,"?ACTIVATED",IF(J5120&lt;&gt;"","?FAMILIAR",IF(F5120="NEW",IF(ISNA(VLOOKUP(E5120,#REF!,1,FALSE())),"?TYPE_IDENTIFIABLE","?REFERENTIAL"),"_")))))</f>
        <v> </v>
      </c>
      <c r="H5120" s="24" t="str">
        <f>IF(J5120&lt;&gt;1,"",IF(I5120="SBJ","CB","?"))</f>
        <v> </v>
      </c>
      <c r="I5120" s="25" t="str">
        <f>IF(OR(E5120="",E5120="!!!",F5120="NEW"),"",INDEX(B5119:B$2,-1+SUMPRODUCT(MAX(ROW(E5119:E$2)*(E5120=E5119:E$2)))))</f>
        <v> </v>
      </c>
      <c r="J5120" s="25" t="str">
        <f>IF(OR(E5120="",E5120="!!!",F5120="NEW"),"",COUNTBLANK(OFFSET(A$1,,,SUMPRODUCT(MAX(ROW(E$2:E5120)*(E5120=E$2:E5120)))))-COUNTBLANK(OFFSET(A$1,,,SUMPRODUCT(MAX(ROW(E$1:E5119)*(E2=E$1:E5119))))))</f>
        <v> </v>
      </c>
      <c r="K5120" s="25" t="str">
        <f>IF(OR(E5120="",E5120="!!!",F5120="NEW"),"",INDEX(J$1:J5119,SUMPRODUCT(MAX(ROW(E$1:E5119)*(E5120=E$1:E5119)))))</f>
        <v> </v>
      </c>
      <c r="L5120" s="26"/>
    </row>
    <row r="5121" spans="1:12">
      <c r="A5121" s="20" t="s">
        <v>707</v>
      </c>
      <c r="E5121" s="21">
        <f>IF(D5121="?OLD","!!!","")</f>
        <v/>
      </c>
      <c r="F5121" s="22" t="str">
        <f>IF(OR(E5121="",E5121="!!!"),"",IF(NOT(ISNA(VLOOKUP(E5121,E$1:E5120,1,FALSE()))),"OLD",IF(AND(E5121&lt;&gt;"",E5121&lt;&gt;"!!!"),"NEW","")))</f>
        <v> </v>
      </c>
      <c r="G5121" s="23" t="str">
        <f>IF(OR(E5121="",E5121="!!!"),"",IF(OR(J5121=0,AND(J5121=1,K5121=1),AND(J5121=1,I5121="SBJ"),AND(J5121=1,I5121=0)),"?IN_FOCUS",IF(J5121&lt;=2,"?ACTIVATED",IF(J5121&lt;&gt;"","?FAMILIAR",IF(F5121="NEW",IF(ISNA(VLOOKUP(E5121,#REF!,1,FALSE())),"?TYPE_IDENTIFIABLE","?REFERENTIAL"),"_")))))</f>
        <v> </v>
      </c>
      <c r="H5121" s="24" t="str">
        <f>IF(J5121&lt;&gt;1,"",IF(I5121="SBJ","CB","?"))</f>
        <v> </v>
      </c>
      <c r="I5121" s="25" t="str">
        <f>IF(OR(E5121="",E5121="!!!",F5121="NEW"),"",INDEX(B5120:B$2,-1+SUMPRODUCT(MAX(ROW(E5120:E$2)*(E5121=E5120:E$2)))))</f>
        <v> </v>
      </c>
      <c r="J5121" s="25" t="str">
        <f>IF(OR(E5121="",E5121="!!!",F5121="NEW"),"",COUNTBLANK(OFFSET(A$1,,,SUMPRODUCT(MAX(ROW(E$2:E5121)*(E5121=E$2:E5121)))))-COUNTBLANK(OFFSET(A$1,,,SUMPRODUCT(MAX(ROW(E$1:E5120)*(E2=E$1:E5120))))))</f>
        <v> </v>
      </c>
      <c r="K5121" s="25" t="str">
        <f>IF(OR(E5121="",E5121="!!!",F5121="NEW"),"",INDEX(J$1:J5120,SUMPRODUCT(MAX(ROW(E$1:E5120)*(E5121=E$1:E5120)))))</f>
        <v> </v>
      </c>
      <c r="L5121" s="26"/>
    </row>
    <row r="5122" spans="1:12">
      <c r="A5122" s="20" t="s">
        <v>1236</v>
      </c>
      <c r="E5122" s="21">
        <f>IF(D5122="?OLD","!!!","")</f>
        <v/>
      </c>
      <c r="F5122" s="22" t="str">
        <f>IF(OR(E5122="",E5122="!!!"),"",IF(NOT(ISNA(VLOOKUP(E5122,E$1:E5121,1,FALSE()))),"OLD",IF(AND(E5122&lt;&gt;"",E5122&lt;&gt;"!!!"),"NEW","")))</f>
        <v> </v>
      </c>
      <c r="G5122" s="23" t="str">
        <f>IF(OR(E5122="",E5122="!!!"),"",IF(OR(J5122=0,AND(J5122=1,K5122=1),AND(J5122=1,I5122="SBJ"),AND(J5122=1,I5122=0)),"?IN_FOCUS",IF(J5122&lt;=2,"?ACTIVATED",IF(J5122&lt;&gt;"","?FAMILIAR",IF(F5122="NEW",IF(ISNA(VLOOKUP(E5122,#REF!,1,FALSE())),"?TYPE_IDENTIFIABLE","?REFERENTIAL"),"_")))))</f>
        <v> </v>
      </c>
      <c r="H5122" s="24" t="str">
        <f>IF(J5122&lt;&gt;1,"",IF(I5122="SBJ","CB","?"))</f>
        <v> </v>
      </c>
      <c r="I5122" s="25" t="str">
        <f>IF(OR(E5122="",E5122="!!!",F5122="NEW"),"",INDEX(B5121:B$2,-1+SUMPRODUCT(MAX(ROW(E5121:E$2)*(E5122=E5121:E$2)))))</f>
        <v> </v>
      </c>
      <c r="J5122" s="25" t="str">
        <f>IF(OR(E5122="",E5122="!!!",F5122="NEW"),"",COUNTBLANK(OFFSET(A$1,,,SUMPRODUCT(MAX(ROW(E$2:E5122)*(E5122=E$2:E5122)))))-COUNTBLANK(OFFSET(A$1,,,SUMPRODUCT(MAX(ROW(E$1:E5121)*(E2=E$1:E5121))))))</f>
        <v> </v>
      </c>
      <c r="K5122" s="25" t="str">
        <f>IF(OR(E5122="",E5122="!!!",F5122="NEW"),"",INDEX(J$1:J5121,SUMPRODUCT(MAX(ROW(E$1:E5121)*(E5122=E$1:E5121)))))</f>
        <v> </v>
      </c>
      <c r="L5122" s="26"/>
    </row>
    <row r="5123" spans="1:12">
      <c r="A5123" s="20" t="s">
        <v>1080</v>
      </c>
      <c r="E5123" s="21">
        <f>IF(D5123="?OLD","!!!","")</f>
        <v/>
      </c>
      <c r="F5123" s="22" t="str">
        <f>IF(OR(E5123="",E5123="!!!"),"",IF(NOT(ISNA(VLOOKUP(E5123,E$1:E5122,1,FALSE()))),"OLD",IF(AND(E5123&lt;&gt;"",E5123&lt;&gt;"!!!"),"NEW","")))</f>
        <v> </v>
      </c>
      <c r="G5123" s="23" t="str">
        <f>IF(OR(E5123="",E5123="!!!"),"",IF(OR(J5123=0,AND(J5123=1,K5123=1),AND(J5123=1,I5123="SBJ"),AND(J5123=1,I5123=0)),"?IN_FOCUS",IF(J5123&lt;=2,"?ACTIVATED",IF(J5123&lt;&gt;"","?FAMILIAR",IF(F5123="NEW",IF(ISNA(VLOOKUP(E5123,#REF!,1,FALSE())),"?TYPE_IDENTIFIABLE","?REFERENTIAL"),"_")))))</f>
        <v> </v>
      </c>
      <c r="H5123" s="24" t="str">
        <f>IF(J5123&lt;&gt;1,"",IF(I5123="SBJ","CB","?"))</f>
        <v> </v>
      </c>
      <c r="I5123" s="25" t="str">
        <f>IF(OR(E5123="",E5123="!!!",F5123="NEW"),"",INDEX(B5122:B$2,-1+SUMPRODUCT(MAX(ROW(E5122:E$2)*(E5123=E5122:E$2)))))</f>
        <v> </v>
      </c>
      <c r="J5123" s="25" t="str">
        <f>IF(OR(E5123="",E5123="!!!",F5123="NEW"),"",COUNTBLANK(OFFSET(A$1,,,SUMPRODUCT(MAX(ROW(E$2:E5123)*(E5123=E$2:E5123)))))-COUNTBLANK(OFFSET(A$1,,,SUMPRODUCT(MAX(ROW(E$1:E5122)*(E2=E$1:E5122))))))</f>
        <v> </v>
      </c>
      <c r="K5123" s="25" t="str">
        <f>IF(OR(E5123="",E5123="!!!",F5123="NEW"),"",INDEX(J$1:J5122,SUMPRODUCT(MAX(ROW(E$1:E5122)*(E5123=E$1:E5122)))))</f>
        <v> </v>
      </c>
      <c r="L5123" s="26"/>
    </row>
    <row r="5124" spans="1:12">
      <c r="A5124" s="20"/>
    </row>
    <row r="5125" spans="1:12">
      <c r="A5125" s="20" t="s">
        <v>2529</v>
      </c>
    </row>
    <row r="5126" spans="1:12">
      <c r="A5126" s="20" t="s">
        <v>785</v>
      </c>
      <c r="B5126" s="27" t="s">
        <v>1074</v>
      </c>
      <c r="C5126" s="27" t="s">
        <v>1134</v>
      </c>
      <c r="D5126" s="27" t="s">
        <v>1069</v>
      </c>
      <c r="E5126" s="21">
        <f>IF(D5126="?OLD","!!!","")</f>
        <v/>
      </c>
      <c r="F5126" s="22" t="str">
        <f>IF(OR(E5126="",E5126="!!!"),"",IF(NOT(ISNA(VLOOKUP(E5126,E$1:E5125,1,FALSE()))),"OLD",IF(AND(E5126&lt;&gt;"",E5126&lt;&gt;"!!!"),"NEW","")))</f>
        <v> </v>
      </c>
      <c r="G5126" s="23" t="str">
        <f>IF(OR(E5126="",E5126="!!!"),"",IF(OR(J5126=0,AND(J5126=1,K5126=1),AND(J5126=1,I5126="SBJ"),AND(J5126=1,I5126=0)),"?IN_FOCUS",IF(J5126&lt;=2,"?ACTIVATED",IF(J5126&lt;&gt;"","?FAMILIAR",IF(F5126="NEW",IF(ISNA(VLOOKUP(E5126,#REF!,1,FALSE())),"?TYPE_IDENTIFIABLE","?REFERENTIAL"),"_")))))</f>
        <v> </v>
      </c>
      <c r="H5126" s="24" t="str">
        <f>IF(J5126&lt;&gt;1,"",IF(I5126="SBJ","CB","?"))</f>
        <v> </v>
      </c>
      <c r="I5126" s="25" t="str">
        <f>IF(OR(E5126="",E5126="!!!",F5126="NEW"),"",INDEX(B5125:B$2,-1+SUMPRODUCT(MAX(ROW(E5125:E$2)*(E5126=E5125:E$2)))))</f>
        <v> </v>
      </c>
      <c r="J5126" s="25" t="str">
        <f>IF(OR(E5126="",E5126="!!!",F5126="NEW"),"",COUNTBLANK(OFFSET(A$1,,,SUMPRODUCT(MAX(ROW(E$2:E5126)*(E5126=E$2:E5126)))))-COUNTBLANK(OFFSET(A$1,,,SUMPRODUCT(MAX(ROW(E$1:E5125)*(E2=E$1:E5125))))))</f>
        <v> </v>
      </c>
      <c r="K5126" s="25" t="str">
        <f>IF(OR(E5126="",E5126="!!!",F5126="NEW"),"",INDEX(J$1:J5125,SUMPRODUCT(MAX(ROW(E$1:E5125)*(E5126=E$1:E5125)))))</f>
        <v> </v>
      </c>
      <c r="L5126" s="26"/>
    </row>
    <row r="5127" spans="1:12">
      <c r="A5127" s="20" t="s">
        <v>1317</v>
      </c>
      <c r="E5127" s="21">
        <f>IF(D5127="?OLD","!!!","")</f>
        <v/>
      </c>
      <c r="F5127" s="22" t="str">
        <f>IF(OR(E5127="",E5127="!!!"),"",IF(NOT(ISNA(VLOOKUP(E5127,E$1:E5126,1,FALSE()))),"OLD",IF(AND(E5127&lt;&gt;"",E5127&lt;&gt;"!!!"),"NEW","")))</f>
        <v> </v>
      </c>
      <c r="G5127" s="23" t="str">
        <f>IF(OR(E5127="",E5127="!!!"),"",IF(OR(J5127=0,AND(J5127=1,K5127=1),AND(J5127=1,I5127="SBJ"),AND(J5127=1,I5127=0)),"?IN_FOCUS",IF(J5127&lt;=2,"?ACTIVATED",IF(J5127&lt;&gt;"","?FAMILIAR",IF(F5127="NEW",IF(ISNA(VLOOKUP(E5127,#REF!,1,FALSE())),"?TYPE_IDENTIFIABLE","?REFERENTIAL"),"_")))))</f>
        <v> </v>
      </c>
      <c r="H5127" s="24" t="str">
        <f>IF(J5127&lt;&gt;1,"",IF(I5127="SBJ","CB","?"))</f>
        <v> </v>
      </c>
      <c r="I5127" s="25" t="str">
        <f>IF(OR(E5127="",E5127="!!!",F5127="NEW"),"",INDEX(B5126:B$2,-1+SUMPRODUCT(MAX(ROW(E5126:E$2)*(E5127=E5126:E$2)))))</f>
        <v> </v>
      </c>
      <c r="J5127" s="25" t="str">
        <f>IF(OR(E5127="",E5127="!!!",F5127="NEW"),"",COUNTBLANK(OFFSET(A$1,,,SUMPRODUCT(MAX(ROW(E$2:E5127)*(E5127=E$2:E5127)))))-COUNTBLANK(OFFSET(A$1,,,SUMPRODUCT(MAX(ROW(E$1:E5126)*(E2=E$1:E5126))))))</f>
        <v> </v>
      </c>
      <c r="K5127" s="25" t="str">
        <f>IF(OR(E5127="",E5127="!!!",F5127="NEW"),"",INDEX(J$1:J5126,SUMPRODUCT(MAX(ROW(E$1:E5126)*(E5127=E$1:E5126)))))</f>
        <v> </v>
      </c>
      <c r="L5127" s="26"/>
    </row>
    <row r="5128" spans="1:12">
      <c r="A5128" s="20" t="s">
        <v>1210</v>
      </c>
      <c r="B5128" s="27" t="s">
        <v>1074</v>
      </c>
      <c r="C5128" s="27" t="s">
        <v>1134</v>
      </c>
      <c r="D5128" s="27" t="s">
        <v>1069</v>
      </c>
      <c r="E5128" s="21">
        <f>IF(D5128="?OLD","!!!","")</f>
        <v/>
      </c>
      <c r="F5128" s="22" t="str">
        <f>IF(OR(E5128="",E5128="!!!"),"",IF(NOT(ISNA(VLOOKUP(E5128,E$1:E5127,1,FALSE()))),"OLD",IF(AND(E5128&lt;&gt;"",E5128&lt;&gt;"!!!"),"NEW","")))</f>
        <v> </v>
      </c>
      <c r="G5128" s="23" t="str">
        <f>IF(OR(E5128="",E5128="!!!"),"",IF(OR(J5128=0,AND(J5128=1,K5128=1),AND(J5128=1,I5128="SBJ"),AND(J5128=1,I5128=0)),"?IN_FOCUS",IF(J5128&lt;=2,"?ACTIVATED",IF(J5128&lt;&gt;"","?FAMILIAR",IF(F5128="NEW",IF(ISNA(VLOOKUP(E5128,#REF!,1,FALSE())),"?TYPE_IDENTIFIABLE","?REFERENTIAL"),"_")))))</f>
        <v> </v>
      </c>
      <c r="H5128" s="24" t="str">
        <f>IF(J5128&lt;&gt;1,"",IF(I5128="SBJ","CB","?"))</f>
        <v> </v>
      </c>
      <c r="I5128" s="25" t="str">
        <f>IF(OR(E5128="",E5128="!!!",F5128="NEW"),"",INDEX(B5127:B$2,-1+SUMPRODUCT(MAX(ROW(E5127:E$2)*(E5128=E5127:E$2)))))</f>
        <v> </v>
      </c>
      <c r="J5128" s="25" t="str">
        <f>IF(OR(E5128="",E5128="!!!",F5128="NEW"),"",COUNTBLANK(OFFSET(A$1,,,SUMPRODUCT(MAX(ROW(E$2:E5128)*(E5128=E$2:E5128)))))-COUNTBLANK(OFFSET(A$1,,,SUMPRODUCT(MAX(ROW(E$1:E5127)*(E2=E$1:E5127))))))</f>
        <v> </v>
      </c>
      <c r="K5128" s="25" t="str">
        <f>IF(OR(E5128="",E5128="!!!",F5128="NEW"),"",INDEX(J$1:J5127,SUMPRODUCT(MAX(ROW(E$1:E5127)*(E5128=E$1:E5127)))))</f>
        <v> </v>
      </c>
      <c r="L5128" s="26"/>
    </row>
    <row r="5129" spans="1:12">
      <c r="A5129" s="20" t="s">
        <v>1087</v>
      </c>
      <c r="E5129" s="21">
        <f>IF(D5129="?OLD","!!!","")</f>
        <v/>
      </c>
      <c r="F5129" s="22" t="str">
        <f>IF(OR(E5129="",E5129="!!!"),"",IF(NOT(ISNA(VLOOKUP(E5129,E$1:E5128,1,FALSE()))),"OLD",IF(AND(E5129&lt;&gt;"",E5129&lt;&gt;"!!!"),"NEW","")))</f>
        <v> </v>
      </c>
      <c r="G5129" s="23" t="str">
        <f>IF(OR(E5129="",E5129="!!!"),"",IF(OR(J5129=0,AND(J5129=1,K5129=1),AND(J5129=1,I5129="SBJ"),AND(J5129=1,I5129=0)),"?IN_FOCUS",IF(J5129&lt;=2,"?ACTIVATED",IF(J5129&lt;&gt;"","?FAMILIAR",IF(F5129="NEW",IF(ISNA(VLOOKUP(E5129,#REF!,1,FALSE())),"?TYPE_IDENTIFIABLE","?REFERENTIAL"),"_")))))</f>
        <v> </v>
      </c>
      <c r="H5129" s="24" t="str">
        <f>IF(J5129&lt;&gt;1,"",IF(I5129="SBJ","CB","?"))</f>
        <v> </v>
      </c>
      <c r="I5129" s="25" t="str">
        <f>IF(OR(E5129="",E5129="!!!",F5129="NEW"),"",INDEX(B5128:B$2,-1+SUMPRODUCT(MAX(ROW(E5128:E$2)*(E5129=E5128:E$2)))))</f>
        <v> </v>
      </c>
      <c r="J5129" s="25" t="str">
        <f>IF(OR(E5129="",E5129="!!!",F5129="NEW"),"",COUNTBLANK(OFFSET(A$1,,,SUMPRODUCT(MAX(ROW(E$2:E5129)*(E5129=E$2:E5129)))))-COUNTBLANK(OFFSET(A$1,,,SUMPRODUCT(MAX(ROW(E$1:E5128)*(E2=E$1:E5128))))))</f>
        <v> </v>
      </c>
      <c r="K5129" s="25" t="str">
        <f>IF(OR(E5129="",E5129="!!!",F5129="NEW"),"",INDEX(J$1:J5128,SUMPRODUCT(MAX(ROW(E$1:E5128)*(E5129=E$1:E5128)))))</f>
        <v> </v>
      </c>
      <c r="L5129" s="26"/>
    </row>
    <row r="5130" spans="1:12">
      <c r="A5130" s="20" t="s">
        <v>1104</v>
      </c>
      <c r="E5130" s="21">
        <f>IF(D5130="?OLD","!!!","")</f>
        <v/>
      </c>
      <c r="F5130" s="22" t="str">
        <f>IF(OR(E5130="",E5130="!!!"),"",IF(NOT(ISNA(VLOOKUP(E5130,E$1:E5129,1,FALSE()))),"OLD",IF(AND(E5130&lt;&gt;"",E5130&lt;&gt;"!!!"),"NEW","")))</f>
        <v> </v>
      </c>
      <c r="G5130" s="23" t="str">
        <f>IF(OR(E5130="",E5130="!!!"),"",IF(OR(J5130=0,AND(J5130=1,K5130=1),AND(J5130=1,I5130="SBJ"),AND(J5130=1,I5130=0)),"?IN_FOCUS",IF(J5130&lt;=2,"?ACTIVATED",IF(J5130&lt;&gt;"","?FAMILIAR",IF(F5130="NEW",IF(ISNA(VLOOKUP(E5130,#REF!,1,FALSE())),"?TYPE_IDENTIFIABLE","?REFERENTIAL"),"_")))))</f>
        <v> </v>
      </c>
      <c r="H5130" s="24" t="str">
        <f>IF(J5130&lt;&gt;1,"",IF(I5130="SBJ","CB","?"))</f>
        <v> </v>
      </c>
      <c r="I5130" s="25" t="str">
        <f>IF(OR(E5130="",E5130="!!!",F5130="NEW"),"",INDEX(B5129:B$2,-1+SUMPRODUCT(MAX(ROW(E5129:E$2)*(E5130=E5129:E$2)))))</f>
        <v> </v>
      </c>
      <c r="J5130" s="25" t="str">
        <f>IF(OR(E5130="",E5130="!!!",F5130="NEW"),"",COUNTBLANK(OFFSET(A$1,,,SUMPRODUCT(MAX(ROW(E$2:E5130)*(E5130=E$2:E5130)))))-COUNTBLANK(OFFSET(A$1,,,SUMPRODUCT(MAX(ROW(E$1:E5129)*(E2=E$1:E5129))))))</f>
        <v> </v>
      </c>
      <c r="K5130" s="25" t="str">
        <f>IF(OR(E5130="",E5130="!!!",F5130="NEW"),"",INDEX(J$1:J5129,SUMPRODUCT(MAX(ROW(E$1:E5129)*(E5130=E$1:E5129)))))</f>
        <v> </v>
      </c>
      <c r="L5130" s="26"/>
    </row>
    <row r="5131" spans="1:12">
      <c r="A5131" s="20" t="s">
        <v>2530</v>
      </c>
      <c r="E5131" s="21">
        <f>IF(D5131="?OLD","!!!","")</f>
        <v/>
      </c>
      <c r="F5131" s="22" t="str">
        <f>IF(OR(E5131="",E5131="!!!"),"",IF(NOT(ISNA(VLOOKUP(E5131,E$1:E5130,1,FALSE()))),"OLD",IF(AND(E5131&lt;&gt;"",E5131&lt;&gt;"!!!"),"NEW","")))</f>
        <v> </v>
      </c>
      <c r="G5131" s="23" t="str">
        <f>IF(OR(E5131="",E5131="!!!"),"",IF(OR(J5131=0,AND(J5131=1,K5131=1),AND(J5131=1,I5131="SBJ"),AND(J5131=1,I5131=0)),"?IN_FOCUS",IF(J5131&lt;=2,"?ACTIVATED",IF(J5131&lt;&gt;"","?FAMILIAR",IF(F5131="NEW",IF(ISNA(VLOOKUP(E5131,#REF!,1,FALSE())),"?TYPE_IDENTIFIABLE","?REFERENTIAL"),"_")))))</f>
        <v> </v>
      </c>
      <c r="H5131" s="24" t="str">
        <f>IF(J5131&lt;&gt;1,"",IF(I5131="SBJ","CB","?"))</f>
        <v> </v>
      </c>
      <c r="I5131" s="25" t="str">
        <f>IF(OR(E5131="",E5131="!!!",F5131="NEW"),"",INDEX(B5130:B$2,-1+SUMPRODUCT(MAX(ROW(E5130:E$2)*(E5131=E5130:E$2)))))</f>
        <v> </v>
      </c>
      <c r="J5131" s="25" t="str">
        <f>IF(OR(E5131="",E5131="!!!",F5131="NEW"),"",COUNTBLANK(OFFSET(A$1,,,SUMPRODUCT(MAX(ROW(E$2:E5131)*(E5131=E$2:E5131)))))-COUNTBLANK(OFFSET(A$1,,,SUMPRODUCT(MAX(ROW(E$1:E5130)*(E2=E$1:E5130))))))</f>
        <v> </v>
      </c>
      <c r="K5131" s="25" t="str">
        <f>IF(OR(E5131="",E5131="!!!",F5131="NEW"),"",INDEX(J$1:J5130,SUMPRODUCT(MAX(ROW(E$1:E5130)*(E5131=E$1:E5130)))))</f>
        <v> </v>
      </c>
      <c r="L5131" s="26"/>
    </row>
    <row r="5132" spans="1:12">
      <c r="A5132" s="20" t="s">
        <v>2531</v>
      </c>
      <c r="B5132" s="27" t="s">
        <v>1160</v>
      </c>
      <c r="C5132" s="27" t="s">
        <v>1086</v>
      </c>
      <c r="D5132" s="27" t="s">
        <v>1069</v>
      </c>
      <c r="E5132" s="21">
        <f>IF(D5132="?OLD","!!!","")</f>
        <v/>
      </c>
      <c r="F5132" s="22" t="str">
        <f>IF(OR(E5132="",E5132="!!!"),"",IF(NOT(ISNA(VLOOKUP(E5132,E$1:E5131,1,FALSE()))),"OLD",IF(AND(E5132&lt;&gt;"",E5132&lt;&gt;"!!!"),"NEW","")))</f>
        <v> </v>
      </c>
      <c r="G5132" s="23" t="str">
        <f>IF(OR(E5132="",E5132="!!!"),"",IF(OR(J5132=0,AND(J5132=1,K5132=1),AND(J5132=1,I5132="SBJ"),AND(J5132=1,I5132=0)),"?IN_FOCUS",IF(J5132&lt;=2,"?ACTIVATED",IF(J5132&lt;&gt;"","?FAMILIAR",IF(F5132="NEW",IF(ISNA(VLOOKUP(E5132,#REF!,1,FALSE())),"?TYPE_IDENTIFIABLE","?REFERENTIAL"),"_")))))</f>
        <v> </v>
      </c>
      <c r="H5132" s="24" t="str">
        <f>IF(J5132&lt;&gt;1,"",IF(I5132="SBJ","CB","?"))</f>
        <v> </v>
      </c>
      <c r="I5132" s="25" t="str">
        <f>IF(OR(E5132="",E5132="!!!",F5132="NEW"),"",INDEX(B5131:B$2,-1+SUMPRODUCT(MAX(ROW(E5131:E$2)*(E5132=E5131:E$2)))))</f>
        <v> </v>
      </c>
      <c r="J5132" s="25" t="str">
        <f>IF(OR(E5132="",E5132="!!!",F5132="NEW"),"",COUNTBLANK(OFFSET(A$1,,,SUMPRODUCT(MAX(ROW(E$2:E5132)*(E5132=E$2:E5132)))))-COUNTBLANK(OFFSET(A$1,,,SUMPRODUCT(MAX(ROW(E$1:E5131)*(E2=E$1:E5131))))))</f>
        <v> </v>
      </c>
      <c r="K5132" s="25" t="str">
        <f>IF(OR(E5132="",E5132="!!!",F5132="NEW"),"",INDEX(J$1:J5131,SUMPRODUCT(MAX(ROW(E$1:E5131)*(E5132=E$1:E5131)))))</f>
        <v> </v>
      </c>
      <c r="L5132" s="26"/>
    </row>
    <row r="5133" spans="1:12">
      <c r="A5133" s="20" t="s">
        <v>1127</v>
      </c>
      <c r="E5133" s="21">
        <f>IF(D5133="?OLD","!!!","")</f>
        <v/>
      </c>
      <c r="F5133" s="22" t="str">
        <f>IF(OR(E5133="",E5133="!!!"),"",IF(NOT(ISNA(VLOOKUP(E5133,E$1:E5132,1,FALSE()))),"OLD",IF(AND(E5133&lt;&gt;"",E5133&lt;&gt;"!!!"),"NEW","")))</f>
        <v> </v>
      </c>
      <c r="G5133" s="23" t="str">
        <f>IF(OR(E5133="",E5133="!!!"),"",IF(OR(J5133=0,AND(J5133=1,K5133=1),AND(J5133=1,I5133="SBJ"),AND(J5133=1,I5133=0)),"?IN_FOCUS",IF(J5133&lt;=2,"?ACTIVATED",IF(J5133&lt;&gt;"","?FAMILIAR",IF(F5133="NEW",IF(ISNA(VLOOKUP(E5133,#REF!,1,FALSE())),"?TYPE_IDENTIFIABLE","?REFERENTIAL"),"_")))))</f>
        <v> </v>
      </c>
      <c r="H5133" s="24" t="str">
        <f>IF(J5133&lt;&gt;1,"",IF(I5133="SBJ","CB","?"))</f>
        <v> </v>
      </c>
      <c r="I5133" s="25" t="str">
        <f>IF(OR(E5133="",E5133="!!!",F5133="NEW"),"",INDEX(B5132:B$2,-1+SUMPRODUCT(MAX(ROW(E5132:E$2)*(E5133=E5132:E$2)))))</f>
        <v> </v>
      </c>
      <c r="J5133" s="25" t="str">
        <f>IF(OR(E5133="",E5133="!!!",F5133="NEW"),"",COUNTBLANK(OFFSET(A$1,,,SUMPRODUCT(MAX(ROW(E$2:E5133)*(E5133=E$2:E5133)))))-COUNTBLANK(OFFSET(A$1,,,SUMPRODUCT(MAX(ROW(E$1:E5132)*(E2=E$1:E5132))))))</f>
        <v> </v>
      </c>
      <c r="K5133" s="25" t="str">
        <f>IF(OR(E5133="",E5133="!!!",F5133="NEW"),"",INDEX(J$1:J5132,SUMPRODUCT(MAX(ROW(E$1:E5132)*(E5133=E$1:E5132)))))</f>
        <v> </v>
      </c>
      <c r="L5133" s="26"/>
    </row>
    <row r="5134" spans="1:12">
      <c r="A5134" s="20" t="s">
        <v>1104</v>
      </c>
      <c r="E5134" s="21">
        <f>IF(D5134="?OLD","!!!","")</f>
        <v/>
      </c>
      <c r="F5134" s="22" t="str">
        <f>IF(OR(E5134="",E5134="!!!"),"",IF(NOT(ISNA(VLOOKUP(E5134,E$1:E5133,1,FALSE()))),"OLD",IF(AND(E5134&lt;&gt;"",E5134&lt;&gt;"!!!"),"NEW","")))</f>
        <v> </v>
      </c>
      <c r="G5134" s="23" t="str">
        <f>IF(OR(E5134="",E5134="!!!"),"",IF(OR(J5134=0,AND(J5134=1,K5134=1),AND(J5134=1,I5134="SBJ"),AND(J5134=1,I5134=0)),"?IN_FOCUS",IF(J5134&lt;=2,"?ACTIVATED",IF(J5134&lt;&gt;"","?FAMILIAR",IF(F5134="NEW",IF(ISNA(VLOOKUP(E5134,#REF!,1,FALSE())),"?TYPE_IDENTIFIABLE","?REFERENTIAL"),"_")))))</f>
        <v> </v>
      </c>
      <c r="H5134" s="24" t="str">
        <f>IF(J5134&lt;&gt;1,"",IF(I5134="SBJ","CB","?"))</f>
        <v> </v>
      </c>
      <c r="I5134" s="25" t="str">
        <f>IF(OR(E5134="",E5134="!!!",F5134="NEW"),"",INDEX(B5133:B$2,-1+SUMPRODUCT(MAX(ROW(E5133:E$2)*(E5134=E5133:E$2)))))</f>
        <v> </v>
      </c>
      <c r="J5134" s="25" t="str">
        <f>IF(OR(E5134="",E5134="!!!",F5134="NEW"),"",COUNTBLANK(OFFSET(A$1,,,SUMPRODUCT(MAX(ROW(E$2:E5134)*(E5134=E$2:E5134)))))-COUNTBLANK(OFFSET(A$1,,,SUMPRODUCT(MAX(ROW(E$1:E5133)*(E2=E$1:E5133))))))</f>
        <v> </v>
      </c>
      <c r="K5134" s="25" t="str">
        <f>IF(OR(E5134="",E5134="!!!",F5134="NEW"),"",INDEX(J$1:J5133,SUMPRODUCT(MAX(ROW(E$1:E5133)*(E5134=E$1:E5133)))))</f>
        <v> </v>
      </c>
      <c r="L5134" s="26"/>
    </row>
    <row r="5135" spans="1:12">
      <c r="A5135" s="20" t="s">
        <v>1039</v>
      </c>
      <c r="B5135" s="27" t="s">
        <v>1071</v>
      </c>
      <c r="C5135" s="27" t="s">
        <v>1086</v>
      </c>
      <c r="D5135" s="27" t="s">
        <v>1069</v>
      </c>
      <c r="E5135" s="21">
        <f>IF(D5135="?OLD","!!!","")</f>
        <v/>
      </c>
      <c r="F5135" s="22" t="str">
        <f>IF(OR(E5135="",E5135="!!!"),"",IF(NOT(ISNA(VLOOKUP(E5135,E$1:E5134,1,FALSE()))),"OLD",IF(AND(E5135&lt;&gt;"",E5135&lt;&gt;"!!!"),"NEW","")))</f>
        <v> </v>
      </c>
      <c r="G5135" s="23" t="str">
        <f>IF(OR(E5135="",E5135="!!!"),"",IF(OR(J5135=0,AND(J5135=1,K5135=1),AND(J5135=1,I5135="SBJ"),AND(J5135=1,I5135=0)),"?IN_FOCUS",IF(J5135&lt;=2,"?ACTIVATED",IF(J5135&lt;&gt;"","?FAMILIAR",IF(F5135="NEW",IF(ISNA(VLOOKUP(E5135,#REF!,1,FALSE())),"?TYPE_IDENTIFIABLE","?REFERENTIAL"),"_")))))</f>
        <v> </v>
      </c>
      <c r="H5135" s="24" t="str">
        <f>IF(J5135&lt;&gt;1,"",IF(I5135="SBJ","CB","?"))</f>
        <v> </v>
      </c>
      <c r="I5135" s="25" t="str">
        <f>IF(OR(E5135="",E5135="!!!",F5135="NEW"),"",INDEX(B5134:B$2,-1+SUMPRODUCT(MAX(ROW(E5134:E$2)*(E5135=E5134:E$2)))))</f>
        <v> </v>
      </c>
      <c r="J5135" s="25" t="str">
        <f>IF(OR(E5135="",E5135="!!!",F5135="NEW"),"",COUNTBLANK(OFFSET(A$1,,,SUMPRODUCT(MAX(ROW(E$2:E5135)*(E5135=E$2:E5135)))))-COUNTBLANK(OFFSET(A$1,,,SUMPRODUCT(MAX(ROW(E$1:E5134)*(E2=E$1:E5134))))))</f>
        <v> </v>
      </c>
      <c r="K5135" s="25" t="str">
        <f>IF(OR(E5135="",E5135="!!!",F5135="NEW"),"",INDEX(J$1:J5134,SUMPRODUCT(MAX(ROW(E$1:E5134)*(E5135=E$1:E5134)))))</f>
        <v> </v>
      </c>
      <c r="L5135" s="26"/>
    </row>
    <row r="5136" spans="1:12">
      <c r="A5136" s="20" t="s">
        <v>12</v>
      </c>
      <c r="E5136" s="21">
        <f>IF(D5136="?OLD","!!!","")</f>
        <v/>
      </c>
      <c r="F5136" s="22" t="str">
        <f>IF(OR(E5136="",E5136="!!!"),"",IF(NOT(ISNA(VLOOKUP(E5136,E$1:E5135,1,FALSE()))),"OLD",IF(AND(E5136&lt;&gt;"",E5136&lt;&gt;"!!!"),"NEW","")))</f>
        <v> </v>
      </c>
      <c r="G5136" s="23" t="str">
        <f>IF(OR(E5136="",E5136="!!!"),"",IF(OR(J5136=0,AND(J5136=1,K5136=1),AND(J5136=1,I5136="SBJ"),AND(J5136=1,I5136=0)),"?IN_FOCUS",IF(J5136&lt;=2,"?ACTIVATED",IF(J5136&lt;&gt;"","?FAMILIAR",IF(F5136="NEW",IF(ISNA(VLOOKUP(E5136,#REF!,1,FALSE())),"?TYPE_IDENTIFIABLE","?REFERENTIAL"),"_")))))</f>
        <v> </v>
      </c>
      <c r="H5136" s="24" t="str">
        <f>IF(J5136&lt;&gt;1,"",IF(I5136="SBJ","CB","?"))</f>
        <v> </v>
      </c>
      <c r="I5136" s="25" t="str">
        <f>IF(OR(E5136="",E5136="!!!",F5136="NEW"),"",INDEX(B5135:B$2,-1+SUMPRODUCT(MAX(ROW(E5135:E$2)*(E5136=E5135:E$2)))))</f>
        <v> </v>
      </c>
      <c r="J5136" s="25" t="str">
        <f>IF(OR(E5136="",E5136="!!!",F5136="NEW"),"",COUNTBLANK(OFFSET(A$1,,,SUMPRODUCT(MAX(ROW(E$2:E5136)*(E5136=E$2:E5136)))))-COUNTBLANK(OFFSET(A$1,,,SUMPRODUCT(MAX(ROW(E$1:E5135)*(E2=E$1:E5135))))))</f>
        <v> </v>
      </c>
      <c r="K5136" s="25" t="str">
        <f>IF(OR(E5136="",E5136="!!!",F5136="NEW"),"",INDEX(J$1:J5135,SUMPRODUCT(MAX(ROW(E$1:E5135)*(E5136=E$1:E5135)))))</f>
        <v> </v>
      </c>
      <c r="L5136" s="26"/>
    </row>
    <row r="5137" spans="1:12">
      <c r="A5137" s="20" t="s">
        <v>121</v>
      </c>
      <c r="E5137" s="21">
        <f>IF(D5137="?OLD","!!!","")</f>
        <v/>
      </c>
      <c r="F5137" s="22" t="str">
        <f>IF(OR(E5137="",E5137="!!!"),"",IF(NOT(ISNA(VLOOKUP(E5137,E$1:E5136,1,FALSE()))),"OLD",IF(AND(E5137&lt;&gt;"",E5137&lt;&gt;"!!!"),"NEW","")))</f>
        <v> </v>
      </c>
      <c r="G5137" s="23" t="str">
        <f>IF(OR(E5137="",E5137="!!!"),"",IF(OR(J5137=0,AND(J5137=1,K5137=1),AND(J5137=1,I5137="SBJ"),AND(J5137=1,I5137=0)),"?IN_FOCUS",IF(J5137&lt;=2,"?ACTIVATED",IF(J5137&lt;&gt;"","?FAMILIAR",IF(F5137="NEW",IF(ISNA(VLOOKUP(E5137,#REF!,1,FALSE())),"?TYPE_IDENTIFIABLE","?REFERENTIAL"),"_")))))</f>
        <v> </v>
      </c>
      <c r="H5137" s="24" t="str">
        <f>IF(J5137&lt;&gt;1,"",IF(I5137="SBJ","CB","?"))</f>
        <v> </v>
      </c>
      <c r="I5137" s="25" t="str">
        <f>IF(OR(E5137="",E5137="!!!",F5137="NEW"),"",INDEX(B5136:B$2,-1+SUMPRODUCT(MAX(ROW(E5136:E$2)*(E5137=E5136:E$2)))))</f>
        <v> </v>
      </c>
      <c r="J5137" s="25" t="str">
        <f>IF(OR(E5137="",E5137="!!!",F5137="NEW"),"",COUNTBLANK(OFFSET(A$1,,,SUMPRODUCT(MAX(ROW(E$2:E5137)*(E5137=E$2:E5137)))))-COUNTBLANK(OFFSET(A$1,,,SUMPRODUCT(MAX(ROW(E$1:E5136)*(E2=E$1:E5136))))))</f>
        <v> </v>
      </c>
      <c r="K5137" s="25" t="str">
        <f>IF(OR(E5137="",E5137="!!!",F5137="NEW"),"",INDEX(J$1:J5136,SUMPRODUCT(MAX(ROW(E$1:E5136)*(E5137=E$1:E5136)))))</f>
        <v> </v>
      </c>
      <c r="L5137" s="26"/>
    </row>
    <row r="5138" spans="1:12">
      <c r="A5138" s="20" t="s">
        <v>1108</v>
      </c>
      <c r="B5138" s="27" t="s">
        <v>1067</v>
      </c>
      <c r="C5138" s="27" t="s">
        <v>1110</v>
      </c>
      <c r="D5138" s="27" t="s">
        <v>1069</v>
      </c>
      <c r="E5138" s="21">
        <f>IF(D5138="?OLD","!!!","")</f>
        <v/>
      </c>
      <c r="F5138" s="22" t="str">
        <f>IF(OR(E5138="",E5138="!!!"),"",IF(NOT(ISNA(VLOOKUP(E5138,E$1:E5137,1,FALSE()))),"OLD",IF(AND(E5138&lt;&gt;"",E5138&lt;&gt;"!!!"),"NEW","")))</f>
        <v> </v>
      </c>
      <c r="G5138" s="23" t="str">
        <f>IF(OR(E5138="",E5138="!!!"),"",IF(OR(J5138=0,AND(J5138=1,K5138=1),AND(J5138=1,I5138="SBJ"),AND(J5138=1,I5138=0)),"?IN_FOCUS",IF(J5138&lt;=2,"?ACTIVATED",IF(J5138&lt;&gt;"","?FAMILIAR",IF(F5138="NEW",IF(ISNA(VLOOKUP(E5138,#REF!,1,FALSE())),"?TYPE_IDENTIFIABLE","?REFERENTIAL"),"_")))))</f>
        <v> </v>
      </c>
      <c r="H5138" s="24" t="str">
        <f>IF(J5138&lt;&gt;1,"",IF(I5138="SBJ","CB","?"))</f>
        <v> </v>
      </c>
      <c r="I5138" s="25" t="str">
        <f>IF(OR(E5138="",E5138="!!!",F5138="NEW"),"",INDEX(B5137:B$2,-1+SUMPRODUCT(MAX(ROW(E5137:E$2)*(E5138=E5137:E$2)))))</f>
        <v> </v>
      </c>
      <c r="J5138" s="25" t="str">
        <f>IF(OR(E5138="",E5138="!!!",F5138="NEW"),"",COUNTBLANK(OFFSET(A$1,,,SUMPRODUCT(MAX(ROW(E$2:E5138)*(E5138=E$2:E5138)))))-COUNTBLANK(OFFSET(A$1,,,SUMPRODUCT(MAX(ROW(E$1:E5137)*(E2=E$1:E5137))))))</f>
        <v> </v>
      </c>
      <c r="K5138" s="25" t="str">
        <f>IF(OR(E5138="",E5138="!!!",F5138="NEW"),"",INDEX(J$1:J5137,SUMPRODUCT(MAX(ROW(E$1:E5137)*(E5138=E$1:E5137)))))</f>
        <v> </v>
      </c>
      <c r="L5138" s="26"/>
    </row>
    <row r="5139" spans="1:12">
      <c r="A5139" s="20" t="s">
        <v>1104</v>
      </c>
      <c r="E5139" s="21">
        <f>IF(D5139="?OLD","!!!","")</f>
        <v/>
      </c>
      <c r="F5139" s="22" t="str">
        <f>IF(OR(E5139="",E5139="!!!"),"",IF(NOT(ISNA(VLOOKUP(E5139,E$1:E5138,1,FALSE()))),"OLD",IF(AND(E5139&lt;&gt;"",E5139&lt;&gt;"!!!"),"NEW","")))</f>
        <v> </v>
      </c>
      <c r="G5139" s="23" t="str">
        <f>IF(OR(E5139="",E5139="!!!"),"",IF(OR(J5139=0,AND(J5139=1,K5139=1),AND(J5139=1,I5139="SBJ"),AND(J5139=1,I5139=0)),"?IN_FOCUS",IF(J5139&lt;=2,"?ACTIVATED",IF(J5139&lt;&gt;"","?FAMILIAR",IF(F5139="NEW",IF(ISNA(VLOOKUP(E5139,#REF!,1,FALSE())),"?TYPE_IDENTIFIABLE","?REFERENTIAL"),"_")))))</f>
        <v> </v>
      </c>
      <c r="H5139" s="24" t="str">
        <f>IF(J5139&lt;&gt;1,"",IF(I5139="SBJ","CB","?"))</f>
        <v> </v>
      </c>
      <c r="I5139" s="25" t="str">
        <f>IF(OR(E5139="",E5139="!!!",F5139="NEW"),"",INDEX(B5138:B$2,-1+SUMPRODUCT(MAX(ROW(E5138:E$2)*(E5139=E5138:E$2)))))</f>
        <v> </v>
      </c>
      <c r="J5139" s="25" t="str">
        <f>IF(OR(E5139="",E5139="!!!",F5139="NEW"),"",COUNTBLANK(OFFSET(A$1,,,SUMPRODUCT(MAX(ROW(E$2:E5139)*(E5139=E$2:E5139)))))-COUNTBLANK(OFFSET(A$1,,,SUMPRODUCT(MAX(ROW(E$1:E5138)*(E2=E$1:E5138))))))</f>
        <v> </v>
      </c>
      <c r="K5139" s="25" t="str">
        <f>IF(OR(E5139="",E5139="!!!",F5139="NEW"),"",INDEX(J$1:J5138,SUMPRODUCT(MAX(ROW(E$1:E5138)*(E5139=E$1:E5138)))))</f>
        <v> </v>
      </c>
      <c r="L5139" s="26"/>
    </row>
    <row r="5140" spans="1:12">
      <c r="A5140" s="20" t="s">
        <v>2024</v>
      </c>
      <c r="B5140" s="27" t="s">
        <v>1095</v>
      </c>
      <c r="C5140" s="27" t="s">
        <v>1134</v>
      </c>
      <c r="D5140" s="27" t="s">
        <v>1069</v>
      </c>
      <c r="E5140" s="21">
        <f>IF(D5140="?OLD","!!!","")</f>
        <v/>
      </c>
      <c r="F5140" s="22" t="str">
        <f>IF(OR(E5140="",E5140="!!!"),"",IF(NOT(ISNA(VLOOKUP(E5140,E$1:E5139,1,FALSE()))),"OLD",IF(AND(E5140&lt;&gt;"",E5140&lt;&gt;"!!!"),"NEW","")))</f>
        <v> </v>
      </c>
      <c r="G5140" s="23" t="str">
        <f>IF(OR(E5140="",E5140="!!!"),"",IF(OR(J5140=0,AND(J5140=1,K5140=1),AND(J5140=1,I5140="SBJ"),AND(J5140=1,I5140=0)),"?IN_FOCUS",IF(J5140&lt;=2,"?ACTIVATED",IF(J5140&lt;&gt;"","?FAMILIAR",IF(F5140="NEW",IF(ISNA(VLOOKUP(E5140,#REF!,1,FALSE())),"?TYPE_IDENTIFIABLE","?REFERENTIAL"),"_")))))</f>
        <v> </v>
      </c>
      <c r="H5140" s="24" t="str">
        <f>IF(J5140&lt;&gt;1,"",IF(I5140="SBJ","CB","?"))</f>
        <v> </v>
      </c>
      <c r="I5140" s="25" t="str">
        <f>IF(OR(E5140="",E5140="!!!",F5140="NEW"),"",INDEX(B5139:B$2,-1+SUMPRODUCT(MAX(ROW(E5139:E$2)*(E5140=E5139:E$2)))))</f>
        <v> </v>
      </c>
      <c r="J5140" s="25" t="str">
        <f>IF(OR(E5140="",E5140="!!!",F5140="NEW"),"",COUNTBLANK(OFFSET(A$1,,,SUMPRODUCT(MAX(ROW(E$2:E5140)*(E5140=E$2:E5140)))))-COUNTBLANK(OFFSET(A$1,,,SUMPRODUCT(MAX(ROW(E$1:E5139)*(E2=E$1:E5139))))))</f>
        <v> </v>
      </c>
      <c r="K5140" s="25" t="str">
        <f>IF(OR(E5140="",E5140="!!!",F5140="NEW"),"",INDEX(J$1:J5139,SUMPRODUCT(MAX(ROW(E$1:E5139)*(E5140=E$1:E5139)))))</f>
        <v> </v>
      </c>
      <c r="L5140" s="26"/>
    </row>
    <row r="5141" spans="1:12">
      <c r="A5141" s="20" t="s">
        <v>2047</v>
      </c>
      <c r="E5141" s="21">
        <f>IF(D5141="?OLD","!!!","")</f>
        <v/>
      </c>
      <c r="F5141" s="22" t="str">
        <f>IF(OR(E5141="",E5141="!!!"),"",IF(NOT(ISNA(VLOOKUP(E5141,E$1:E5140,1,FALSE()))),"OLD",IF(AND(E5141&lt;&gt;"",E5141&lt;&gt;"!!!"),"NEW","")))</f>
        <v> </v>
      </c>
      <c r="G5141" s="23" t="str">
        <f>IF(OR(E5141="",E5141="!!!"),"",IF(OR(J5141=0,AND(J5141=1,K5141=1),AND(J5141=1,I5141="SBJ"),AND(J5141=1,I5141=0)),"?IN_FOCUS",IF(J5141&lt;=2,"?ACTIVATED",IF(J5141&lt;&gt;"","?FAMILIAR",IF(F5141="NEW",IF(ISNA(VLOOKUP(E5141,#REF!,1,FALSE())),"?TYPE_IDENTIFIABLE","?REFERENTIAL"),"_")))))</f>
        <v> </v>
      </c>
      <c r="H5141" s="24" t="str">
        <f>IF(J5141&lt;&gt;1,"",IF(I5141="SBJ","CB","?"))</f>
        <v> </v>
      </c>
      <c r="I5141" s="25" t="str">
        <f>IF(OR(E5141="",E5141="!!!",F5141="NEW"),"",INDEX(B5140:B$2,-1+SUMPRODUCT(MAX(ROW(E5140:E$2)*(E5141=E5140:E$2)))))</f>
        <v> </v>
      </c>
      <c r="J5141" s="25" t="str">
        <f>IF(OR(E5141="",E5141="!!!",F5141="NEW"),"",COUNTBLANK(OFFSET(A$1,,,SUMPRODUCT(MAX(ROW(E$2:E5141)*(E5141=E$2:E5141)))))-COUNTBLANK(OFFSET(A$1,,,SUMPRODUCT(MAX(ROW(E$1:E5140)*(E2=E$1:E5140))))))</f>
        <v> </v>
      </c>
      <c r="K5141" s="25" t="str">
        <f>IF(OR(E5141="",E5141="!!!",F5141="NEW"),"",INDEX(J$1:J5140,SUMPRODUCT(MAX(ROW(E$1:E5140)*(E5141=E$1:E5140)))))</f>
        <v> </v>
      </c>
      <c r="L5141" s="26"/>
    </row>
    <row r="5142" spans="1:12">
      <c r="A5142" s="20" t="s">
        <v>45</v>
      </c>
      <c r="E5142" s="21">
        <f>IF(D5142="?OLD","!!!","")</f>
        <v/>
      </c>
      <c r="F5142" s="22" t="str">
        <f>IF(OR(E5142="",E5142="!!!"),"",IF(NOT(ISNA(VLOOKUP(E5142,E$1:E5141,1,FALSE()))),"OLD",IF(AND(E5142&lt;&gt;"",E5142&lt;&gt;"!!!"),"NEW","")))</f>
        <v> </v>
      </c>
      <c r="G5142" s="23" t="str">
        <f>IF(OR(E5142="",E5142="!!!"),"",IF(OR(J5142=0,AND(J5142=1,K5142=1),AND(J5142=1,I5142="SBJ"),AND(J5142=1,I5142=0)),"?IN_FOCUS",IF(J5142&lt;=2,"?ACTIVATED",IF(J5142&lt;&gt;"","?FAMILIAR",IF(F5142="NEW",IF(ISNA(VLOOKUP(E5142,#REF!,1,FALSE())),"?TYPE_IDENTIFIABLE","?REFERENTIAL"),"_")))))</f>
        <v> </v>
      </c>
      <c r="H5142" s="24" t="str">
        <f>IF(J5142&lt;&gt;1,"",IF(I5142="SBJ","CB","?"))</f>
        <v> </v>
      </c>
      <c r="I5142" s="25" t="str">
        <f>IF(OR(E5142="",E5142="!!!",F5142="NEW"),"",INDEX(B5141:B$2,-1+SUMPRODUCT(MAX(ROW(E5141:E$2)*(E5142=E5141:E$2)))))</f>
        <v> </v>
      </c>
      <c r="J5142" s="25" t="str">
        <f>IF(OR(E5142="",E5142="!!!",F5142="NEW"),"",COUNTBLANK(OFFSET(A$1,,,SUMPRODUCT(MAX(ROW(E$2:E5142)*(E5142=E$2:E5142)))))-COUNTBLANK(OFFSET(A$1,,,SUMPRODUCT(MAX(ROW(E$1:E5141)*(E2=E$1:E5141))))))</f>
        <v> </v>
      </c>
      <c r="K5142" s="25" t="str">
        <f>IF(OR(E5142="",E5142="!!!",F5142="NEW"),"",INDEX(J$1:J5141,SUMPRODUCT(MAX(ROW(E$1:E5141)*(E5142=E$1:E5141)))))</f>
        <v> </v>
      </c>
      <c r="L5142" s="26"/>
    </row>
    <row r="5143" spans="1:12">
      <c r="A5143" s="20" t="s">
        <v>1115</v>
      </c>
      <c r="B5143" s="27" t="s">
        <v>1090</v>
      </c>
      <c r="C5143" s="27" t="s">
        <v>1117</v>
      </c>
      <c r="E5143" s="21">
        <f>IF(D5143="?OLD","!!!","")</f>
        <v/>
      </c>
      <c r="F5143" s="22" t="str">
        <f>IF(OR(E5143="",E5143="!!!"),"",IF(NOT(ISNA(VLOOKUP(E5143,E$1:E5142,1,FALSE()))),"OLD",IF(AND(E5143&lt;&gt;"",E5143&lt;&gt;"!!!"),"NEW","")))</f>
        <v> </v>
      </c>
      <c r="G5143" s="23" t="str">
        <f>IF(OR(E5143="",E5143="!!!"),"",IF(OR(J5143=0,AND(J5143=1,K5143=1),AND(J5143=1,I5143="SBJ"),AND(J5143=1,I5143=0)),"?IN_FOCUS",IF(J5143&lt;=2,"?ACTIVATED",IF(J5143&lt;&gt;"","?FAMILIAR",IF(F5143="NEW",IF(ISNA(VLOOKUP(E5143,#REF!,1,FALSE())),"?TYPE_IDENTIFIABLE","?REFERENTIAL"),"_")))))</f>
        <v> </v>
      </c>
      <c r="H5143" s="24" t="str">
        <f>IF(J5143&lt;&gt;1,"",IF(I5143="SBJ","CB","?"))</f>
        <v> </v>
      </c>
      <c r="I5143" s="25" t="str">
        <f>IF(OR(E5143="",E5143="!!!",F5143="NEW"),"",INDEX(B5142:B$2,-1+SUMPRODUCT(MAX(ROW(E5142:E$2)*(E5143=E5142:E$2)))))</f>
        <v> </v>
      </c>
      <c r="J5143" s="25" t="str">
        <f>IF(OR(E5143="",E5143="!!!",F5143="NEW"),"",COUNTBLANK(OFFSET(A$1,,,SUMPRODUCT(MAX(ROW(E$2:E5143)*(E5143=E$2:E5143)))))-COUNTBLANK(OFFSET(A$1,,,SUMPRODUCT(MAX(ROW(E$1:E5142)*(E2=E$1:E5142))))))</f>
        <v> </v>
      </c>
      <c r="K5143" s="25" t="str">
        <f>IF(OR(E5143="",E5143="!!!",F5143="NEW"),"",INDEX(J$1:J5142,SUMPRODUCT(MAX(ROW(E$1:E5142)*(E5143=E$1:E5142)))))</f>
        <v> </v>
      </c>
      <c r="L5143" s="26"/>
    </row>
    <row r="5144" spans="1:12">
      <c r="A5144" s="20" t="s">
        <v>1412</v>
      </c>
      <c r="E5144" s="21">
        <f>IF(D5144="?OLD","!!!","")</f>
        <v/>
      </c>
      <c r="F5144" s="22" t="str">
        <f>IF(OR(E5144="",E5144="!!!"),"",IF(NOT(ISNA(VLOOKUP(E5144,E$1:E5143,1,FALSE()))),"OLD",IF(AND(E5144&lt;&gt;"",E5144&lt;&gt;"!!!"),"NEW","")))</f>
        <v> </v>
      </c>
      <c r="G5144" s="23" t="str">
        <f>IF(OR(E5144="",E5144="!!!"),"",IF(OR(J5144=0,AND(J5144=1,K5144=1),AND(J5144=1,I5144="SBJ"),AND(J5144=1,I5144=0)),"?IN_FOCUS",IF(J5144&lt;=2,"?ACTIVATED",IF(J5144&lt;&gt;"","?FAMILIAR",IF(F5144="NEW",IF(ISNA(VLOOKUP(E5144,#REF!,1,FALSE())),"?TYPE_IDENTIFIABLE","?REFERENTIAL"),"_")))))</f>
        <v> </v>
      </c>
      <c r="H5144" s="24" t="str">
        <f>IF(J5144&lt;&gt;1,"",IF(I5144="SBJ","CB","?"))</f>
        <v> </v>
      </c>
      <c r="I5144" s="25" t="str">
        <f>IF(OR(E5144="",E5144="!!!",F5144="NEW"),"",INDEX(B5143:B$2,-1+SUMPRODUCT(MAX(ROW(E5143:E$2)*(E5144=E5143:E$2)))))</f>
        <v> </v>
      </c>
      <c r="J5144" s="25" t="str">
        <f>IF(OR(E5144="",E5144="!!!",F5144="NEW"),"",COUNTBLANK(OFFSET(A$1,,,SUMPRODUCT(MAX(ROW(E$2:E5144)*(E5144=E$2:E5144)))))-COUNTBLANK(OFFSET(A$1,,,SUMPRODUCT(MAX(ROW(E$1:E5143)*(E2=E$1:E5143))))))</f>
        <v> </v>
      </c>
      <c r="K5144" s="25" t="str">
        <f>IF(OR(E5144="",E5144="!!!",F5144="NEW"),"",INDEX(J$1:J5143,SUMPRODUCT(MAX(ROW(E$1:E5143)*(E5144=E$1:E5143)))))</f>
        <v> </v>
      </c>
      <c r="L5144" s="26"/>
    </row>
    <row r="5145" spans="1:12">
      <c r="A5145" s="20" t="s">
        <v>1361</v>
      </c>
      <c r="B5145" s="27" t="s">
        <v>1092</v>
      </c>
      <c r="C5145" s="27" t="s">
        <v>1077</v>
      </c>
      <c r="E5145" s="21">
        <f>IF(D5145="?OLD","!!!","")</f>
        <v/>
      </c>
      <c r="F5145" s="22" t="str">
        <f>IF(OR(E5145="",E5145="!!!"),"",IF(NOT(ISNA(VLOOKUP(E5145,E$1:E5144,1,FALSE()))),"OLD",IF(AND(E5145&lt;&gt;"",E5145&lt;&gt;"!!!"),"NEW","")))</f>
        <v> </v>
      </c>
      <c r="G5145" s="23" t="str">
        <f>IF(OR(E5145="",E5145="!!!"),"",IF(OR(J5145=0,AND(J5145=1,K5145=1),AND(J5145=1,I5145="SBJ"),AND(J5145=1,I5145=0)),"?IN_FOCUS",IF(J5145&lt;=2,"?ACTIVATED",IF(J5145&lt;&gt;"","?FAMILIAR",IF(F5145="NEW",IF(ISNA(VLOOKUP(E5145,#REF!,1,FALSE())),"?TYPE_IDENTIFIABLE","?REFERENTIAL"),"_")))))</f>
        <v> </v>
      </c>
      <c r="H5145" s="24" t="str">
        <f>IF(J5145&lt;&gt;1,"",IF(I5145="SBJ","CB","?"))</f>
        <v> </v>
      </c>
      <c r="I5145" s="25" t="str">
        <f>IF(OR(E5145="",E5145="!!!",F5145="NEW"),"",INDEX(B5144:B$2,-1+SUMPRODUCT(MAX(ROW(E5144:E$2)*(E5145=E5144:E$2)))))</f>
        <v> </v>
      </c>
      <c r="J5145" s="25" t="str">
        <f>IF(OR(E5145="",E5145="!!!",F5145="NEW"),"",COUNTBLANK(OFFSET(A$1,,,SUMPRODUCT(MAX(ROW(E$2:E5145)*(E5145=E$2:E5145)))))-COUNTBLANK(OFFSET(A$1,,,SUMPRODUCT(MAX(ROW(E$1:E5144)*(E2=E$1:E5144))))))</f>
        <v> </v>
      </c>
      <c r="K5145" s="25" t="str">
        <f>IF(OR(E5145="",E5145="!!!",F5145="NEW"),"",INDEX(J$1:J5144,SUMPRODUCT(MAX(ROW(E$1:E5144)*(E5145=E$1:E5144)))))</f>
        <v> </v>
      </c>
      <c r="L5145" s="26"/>
    </row>
    <row r="5146" spans="1:12">
      <c r="A5146" s="20" t="s">
        <v>1473</v>
      </c>
      <c r="E5146" s="21">
        <f>IF(D5146="?OLD","!!!","")</f>
        <v/>
      </c>
      <c r="F5146" s="22" t="str">
        <f>IF(OR(E5146="",E5146="!!!"),"",IF(NOT(ISNA(VLOOKUP(E5146,E$1:E5145,1,FALSE()))),"OLD",IF(AND(E5146&lt;&gt;"",E5146&lt;&gt;"!!!"),"NEW","")))</f>
        <v> </v>
      </c>
      <c r="G5146" s="23" t="str">
        <f>IF(OR(E5146="",E5146="!!!"),"",IF(OR(J5146=0,AND(J5146=1,K5146=1),AND(J5146=1,I5146="SBJ"),AND(J5146=1,I5146=0)),"?IN_FOCUS",IF(J5146&lt;=2,"?ACTIVATED",IF(J5146&lt;&gt;"","?FAMILIAR",IF(F5146="NEW",IF(ISNA(VLOOKUP(E5146,#REF!,1,FALSE())),"?TYPE_IDENTIFIABLE","?REFERENTIAL"),"_")))))</f>
        <v> </v>
      </c>
      <c r="H5146" s="24" t="str">
        <f>IF(J5146&lt;&gt;1,"",IF(I5146="SBJ","CB","?"))</f>
        <v> </v>
      </c>
      <c r="I5146" s="25" t="str">
        <f>IF(OR(E5146="",E5146="!!!",F5146="NEW"),"",INDEX(B5145:B$2,-1+SUMPRODUCT(MAX(ROW(E5145:E$2)*(E5146=E5145:E$2)))))</f>
        <v> </v>
      </c>
      <c r="J5146" s="25" t="str">
        <f>IF(OR(E5146="",E5146="!!!",F5146="NEW"),"",COUNTBLANK(OFFSET(A$1,,,SUMPRODUCT(MAX(ROW(E$2:E5146)*(E5146=E$2:E5146)))))-COUNTBLANK(OFFSET(A$1,,,SUMPRODUCT(MAX(ROW(E$1:E5145)*(E2=E$1:E5145))))))</f>
        <v> </v>
      </c>
      <c r="K5146" s="25" t="str">
        <f>IF(OR(E5146="",E5146="!!!",F5146="NEW"),"",INDEX(J$1:J5145,SUMPRODUCT(MAX(ROW(E$1:E5145)*(E5146=E$1:E5145)))))</f>
        <v> </v>
      </c>
      <c r="L5146" s="26"/>
    </row>
    <row r="5147" spans="1:12">
      <c r="A5147" s="20" t="s">
        <v>1015</v>
      </c>
      <c r="E5147" s="21">
        <f>IF(D5147="?OLD","!!!","")</f>
        <v/>
      </c>
      <c r="F5147" s="22" t="str">
        <f>IF(OR(E5147="",E5147="!!!"),"",IF(NOT(ISNA(VLOOKUP(E5147,E$1:E5146,1,FALSE()))),"OLD",IF(AND(E5147&lt;&gt;"",E5147&lt;&gt;"!!!"),"NEW","")))</f>
        <v> </v>
      </c>
      <c r="G5147" s="23" t="str">
        <f>IF(OR(E5147="",E5147="!!!"),"",IF(OR(J5147=0,AND(J5147=1,K5147=1),AND(J5147=1,I5147="SBJ"),AND(J5147=1,I5147=0)),"?IN_FOCUS",IF(J5147&lt;=2,"?ACTIVATED",IF(J5147&lt;&gt;"","?FAMILIAR",IF(F5147="NEW",IF(ISNA(VLOOKUP(E5147,#REF!,1,FALSE())),"?TYPE_IDENTIFIABLE","?REFERENTIAL"),"_")))))</f>
        <v> </v>
      </c>
      <c r="H5147" s="24" t="str">
        <f>IF(J5147&lt;&gt;1,"",IF(I5147="SBJ","CB","?"))</f>
        <v> </v>
      </c>
      <c r="I5147" s="25" t="str">
        <f>IF(OR(E5147="",E5147="!!!",F5147="NEW"),"",INDEX(B5146:B$2,-1+SUMPRODUCT(MAX(ROW(E5146:E$2)*(E5147=E5146:E$2)))))</f>
        <v> </v>
      </c>
      <c r="J5147" s="25" t="str">
        <f>IF(OR(E5147="",E5147="!!!",F5147="NEW"),"",COUNTBLANK(OFFSET(A$1,,,SUMPRODUCT(MAX(ROW(E$2:E5147)*(E5147=E$2:E5147)))))-COUNTBLANK(OFFSET(A$1,,,SUMPRODUCT(MAX(ROW(E$1:E5146)*(E2=E$1:E5146))))))</f>
        <v> </v>
      </c>
      <c r="K5147" s="25" t="str">
        <f>IF(OR(E5147="",E5147="!!!",F5147="NEW"),"",INDEX(J$1:J5146,SUMPRODUCT(MAX(ROW(E$1:E5146)*(E5147=E$1:E5146)))))</f>
        <v> </v>
      </c>
      <c r="L5147" s="26"/>
    </row>
    <row r="5148" spans="1:12">
      <c r="A5148" s="20" t="s">
        <v>1138</v>
      </c>
      <c r="E5148" s="21">
        <f>IF(D5148="?OLD","!!!","")</f>
        <v/>
      </c>
      <c r="F5148" s="22" t="str">
        <f>IF(OR(E5148="",E5148="!!!"),"",IF(NOT(ISNA(VLOOKUP(E5148,E$1:E5147,1,FALSE()))),"OLD",IF(AND(E5148&lt;&gt;"",E5148&lt;&gt;"!!!"),"NEW","")))</f>
        <v> </v>
      </c>
      <c r="G5148" s="23" t="str">
        <f>IF(OR(E5148="",E5148="!!!"),"",IF(OR(J5148=0,AND(J5148=1,K5148=1),AND(J5148=1,I5148="SBJ"),AND(J5148=1,I5148=0)),"?IN_FOCUS",IF(J5148&lt;=2,"?ACTIVATED",IF(J5148&lt;&gt;"","?FAMILIAR",IF(F5148="NEW",IF(ISNA(VLOOKUP(E5148,#REF!,1,FALSE())),"?TYPE_IDENTIFIABLE","?REFERENTIAL"),"_")))))</f>
        <v> </v>
      </c>
      <c r="H5148" s="24" t="str">
        <f>IF(J5148&lt;&gt;1,"",IF(I5148="SBJ","CB","?"))</f>
        <v> </v>
      </c>
      <c r="I5148" s="25" t="str">
        <f>IF(OR(E5148="",E5148="!!!",F5148="NEW"),"",INDEX(B5147:B$2,-1+SUMPRODUCT(MAX(ROW(E5147:E$2)*(E5148=E5147:E$2)))))</f>
        <v> </v>
      </c>
      <c r="J5148" s="25" t="str">
        <f>IF(OR(E5148="",E5148="!!!",F5148="NEW"),"",COUNTBLANK(OFFSET(A$1,,,SUMPRODUCT(MAX(ROW(E$2:E5148)*(E5148=E$2:E5148)))))-COUNTBLANK(OFFSET(A$1,,,SUMPRODUCT(MAX(ROW(E$1:E5147)*(E2=E$1:E5147))))))</f>
        <v> </v>
      </c>
      <c r="K5148" s="25" t="str">
        <f>IF(OR(E5148="",E5148="!!!",F5148="NEW"),"",INDEX(J$1:J5147,SUMPRODUCT(MAX(ROW(E$1:E5147)*(E5148=E$1:E5147)))))</f>
        <v> </v>
      </c>
      <c r="L5148" s="26"/>
    </row>
    <row r="5149" spans="1:12">
      <c r="A5149" s="20" t="s">
        <v>1188</v>
      </c>
      <c r="B5149" s="27" t="s">
        <v>1133</v>
      </c>
      <c r="C5149" s="27" t="s">
        <v>1110</v>
      </c>
      <c r="D5149" s="27" t="s">
        <v>1069</v>
      </c>
      <c r="E5149" s="21">
        <f>IF(D5149="?OLD","!!!","")</f>
        <v/>
      </c>
      <c r="F5149" s="22" t="str">
        <f>IF(OR(E5149="",E5149="!!!"),"",IF(NOT(ISNA(VLOOKUP(E5149,E$1:E5148,1,FALSE()))),"OLD",IF(AND(E5149&lt;&gt;"",E5149&lt;&gt;"!!!"),"NEW","")))</f>
        <v> </v>
      </c>
      <c r="G5149" s="23" t="str">
        <f>IF(OR(E5149="",E5149="!!!"),"",IF(OR(J5149=0,AND(J5149=1,K5149=1),AND(J5149=1,I5149="SBJ"),AND(J5149=1,I5149=0)),"?IN_FOCUS",IF(J5149&lt;=2,"?ACTIVATED",IF(J5149&lt;&gt;"","?FAMILIAR",IF(F5149="NEW",IF(ISNA(VLOOKUP(E5149,#REF!,1,FALSE())),"?TYPE_IDENTIFIABLE","?REFERENTIAL"),"_")))))</f>
        <v> </v>
      </c>
      <c r="H5149" s="24" t="str">
        <f>IF(J5149&lt;&gt;1,"",IF(I5149="SBJ","CB","?"))</f>
        <v> </v>
      </c>
      <c r="I5149" s="25" t="str">
        <f>IF(OR(E5149="",E5149="!!!",F5149="NEW"),"",INDEX(B5148:B$2,-1+SUMPRODUCT(MAX(ROW(E5148:E$2)*(E5149=E5148:E$2)))))</f>
        <v> </v>
      </c>
      <c r="J5149" s="25" t="str">
        <f>IF(OR(E5149="",E5149="!!!",F5149="NEW"),"",COUNTBLANK(OFFSET(A$1,,,SUMPRODUCT(MAX(ROW(E$2:E5149)*(E5149=E$2:E5149)))))-COUNTBLANK(OFFSET(A$1,,,SUMPRODUCT(MAX(ROW(E$1:E5148)*(E2=E$1:E5148))))))</f>
        <v> </v>
      </c>
      <c r="K5149" s="25" t="str">
        <f>IF(OR(E5149="",E5149="!!!",F5149="NEW"),"",INDEX(J$1:J5148,SUMPRODUCT(MAX(ROW(E$1:E5148)*(E5149=E$1:E5148)))))</f>
        <v> </v>
      </c>
      <c r="L5149" s="26"/>
    </row>
    <row r="5150" spans="1:12">
      <c r="A5150" s="20" t="s">
        <v>2018</v>
      </c>
      <c r="E5150" s="21">
        <f>IF(D5150="?OLD","!!!","")</f>
        <v/>
      </c>
      <c r="F5150" s="22" t="str">
        <f>IF(OR(E5150="",E5150="!!!"),"",IF(NOT(ISNA(VLOOKUP(E5150,E$1:E5149,1,FALSE()))),"OLD",IF(AND(E5150&lt;&gt;"",E5150&lt;&gt;"!!!"),"NEW","")))</f>
        <v> </v>
      </c>
      <c r="G5150" s="23" t="str">
        <f>IF(OR(E5150="",E5150="!!!"),"",IF(OR(J5150=0,AND(J5150=1,K5150=1),AND(J5150=1,I5150="SBJ"),AND(J5150=1,I5150=0)),"?IN_FOCUS",IF(J5150&lt;=2,"?ACTIVATED",IF(J5150&lt;&gt;"","?FAMILIAR",IF(F5150="NEW",IF(ISNA(VLOOKUP(E5150,#REF!,1,FALSE())),"?TYPE_IDENTIFIABLE","?REFERENTIAL"),"_")))))</f>
        <v> </v>
      </c>
      <c r="H5150" s="24" t="str">
        <f>IF(J5150&lt;&gt;1,"",IF(I5150="SBJ","CB","?"))</f>
        <v> </v>
      </c>
      <c r="I5150" s="25" t="str">
        <f>IF(OR(E5150="",E5150="!!!",F5150="NEW"),"",INDEX(B5149:B$2,-1+SUMPRODUCT(MAX(ROW(E5149:E$2)*(E5150=E5149:E$2)))))</f>
        <v> </v>
      </c>
      <c r="J5150" s="25" t="str">
        <f>IF(OR(E5150="",E5150="!!!",F5150="NEW"),"",COUNTBLANK(OFFSET(A$1,,,SUMPRODUCT(MAX(ROW(E$2:E5150)*(E5150=E$2:E5150)))))-COUNTBLANK(OFFSET(A$1,,,SUMPRODUCT(MAX(ROW(E$1:E5149)*(E2=E$1:E5149))))))</f>
        <v> </v>
      </c>
      <c r="K5150" s="25" t="str">
        <f>IF(OR(E5150="",E5150="!!!",F5150="NEW"),"",INDEX(J$1:J5149,SUMPRODUCT(MAX(ROW(E$1:E5149)*(E5150=E$1:E5149)))))</f>
        <v> </v>
      </c>
      <c r="L5150" s="26"/>
    </row>
    <row r="5151" spans="1:12">
      <c r="A5151" s="20" t="s">
        <v>707</v>
      </c>
      <c r="E5151" s="21">
        <f>IF(D5151="?OLD","!!!","")</f>
        <v/>
      </c>
      <c r="F5151" s="22" t="str">
        <f>IF(OR(E5151="",E5151="!!!"),"",IF(NOT(ISNA(VLOOKUP(E5151,E$1:E5150,1,FALSE()))),"OLD",IF(AND(E5151&lt;&gt;"",E5151&lt;&gt;"!!!"),"NEW","")))</f>
        <v> </v>
      </c>
      <c r="G5151" s="23" t="str">
        <f>IF(OR(E5151="",E5151="!!!"),"",IF(OR(J5151=0,AND(J5151=1,K5151=1),AND(J5151=1,I5151="SBJ"),AND(J5151=1,I5151=0)),"?IN_FOCUS",IF(J5151&lt;=2,"?ACTIVATED",IF(J5151&lt;&gt;"","?FAMILIAR",IF(F5151="NEW",IF(ISNA(VLOOKUP(E5151,#REF!,1,FALSE())),"?TYPE_IDENTIFIABLE","?REFERENTIAL"),"_")))))</f>
        <v> </v>
      </c>
      <c r="H5151" s="24" t="str">
        <f>IF(J5151&lt;&gt;1,"",IF(I5151="SBJ","CB","?"))</f>
        <v> </v>
      </c>
      <c r="I5151" s="25" t="str">
        <f>IF(OR(E5151="",E5151="!!!",F5151="NEW"),"",INDEX(B5150:B$2,-1+SUMPRODUCT(MAX(ROW(E5150:E$2)*(E5151=E5150:E$2)))))</f>
        <v> </v>
      </c>
      <c r="J5151" s="25" t="str">
        <f>IF(OR(E5151="",E5151="!!!",F5151="NEW"),"",COUNTBLANK(OFFSET(A$1,,,SUMPRODUCT(MAX(ROW(E$2:E5151)*(E5151=E$2:E5151)))))-COUNTBLANK(OFFSET(A$1,,,SUMPRODUCT(MAX(ROW(E$1:E5150)*(E2=E$1:E5150))))))</f>
        <v> </v>
      </c>
      <c r="K5151" s="25" t="str">
        <f>IF(OR(E5151="",E5151="!!!",F5151="NEW"),"",INDEX(J$1:J5150,SUMPRODUCT(MAX(ROW(E$1:E5150)*(E5151=E$1:E5150)))))</f>
        <v> </v>
      </c>
      <c r="L5151" s="26"/>
    </row>
    <row r="5152" spans="1:12">
      <c r="A5152" s="20" t="s">
        <v>12</v>
      </c>
      <c r="E5152" s="21">
        <f>IF(D5152="?OLD","!!!","")</f>
        <v/>
      </c>
      <c r="F5152" s="22" t="str">
        <f>IF(OR(E5152="",E5152="!!!"),"",IF(NOT(ISNA(VLOOKUP(E5152,E$1:E5151,1,FALSE()))),"OLD",IF(AND(E5152&lt;&gt;"",E5152&lt;&gt;"!!!"),"NEW","")))</f>
        <v> </v>
      </c>
      <c r="G5152" s="23" t="str">
        <f>IF(OR(E5152="",E5152="!!!"),"",IF(OR(J5152=0,AND(J5152=1,K5152=1),AND(J5152=1,I5152="SBJ"),AND(J5152=1,I5152=0)),"?IN_FOCUS",IF(J5152&lt;=2,"?ACTIVATED",IF(J5152&lt;&gt;"","?FAMILIAR",IF(F5152="NEW",IF(ISNA(VLOOKUP(E5152,#REF!,1,FALSE())),"?TYPE_IDENTIFIABLE","?REFERENTIAL"),"_")))))</f>
        <v> </v>
      </c>
      <c r="H5152" s="24" t="str">
        <f>IF(J5152&lt;&gt;1,"",IF(I5152="SBJ","CB","?"))</f>
        <v> </v>
      </c>
      <c r="I5152" s="25" t="str">
        <f>IF(OR(E5152="",E5152="!!!",F5152="NEW"),"",INDEX(B5151:B$2,-1+SUMPRODUCT(MAX(ROW(E5151:E$2)*(E5152=E5151:E$2)))))</f>
        <v> </v>
      </c>
      <c r="J5152" s="25" t="str">
        <f>IF(OR(E5152="",E5152="!!!",F5152="NEW"),"",COUNTBLANK(OFFSET(A$1,,,SUMPRODUCT(MAX(ROW(E$2:E5152)*(E5152=E$2:E5152)))))-COUNTBLANK(OFFSET(A$1,,,SUMPRODUCT(MAX(ROW(E$1:E5151)*(E2=E$1:E5151))))))</f>
        <v> </v>
      </c>
      <c r="K5152" s="25" t="str">
        <f>IF(OR(E5152="",E5152="!!!",F5152="NEW"),"",INDEX(J$1:J5151,SUMPRODUCT(MAX(ROW(E$1:E5151)*(E5152=E$1:E5151)))))</f>
        <v> </v>
      </c>
      <c r="L5152" s="26"/>
    </row>
    <row r="5153" spans="1:12">
      <c r="A5153" s="20" t="s">
        <v>1083</v>
      </c>
      <c r="B5153" s="27" t="s">
        <v>1235</v>
      </c>
      <c r="C5153" s="27" t="s">
        <v>1110</v>
      </c>
      <c r="D5153" s="27" t="s">
        <v>1069</v>
      </c>
      <c r="E5153" s="21">
        <f>IF(D5153="?OLD","!!!","")</f>
        <v/>
      </c>
      <c r="F5153" s="22" t="str">
        <f>IF(OR(E5153="",E5153="!!!"),"",IF(NOT(ISNA(VLOOKUP(E5153,E$1:E5152,1,FALSE()))),"OLD",IF(AND(E5153&lt;&gt;"",E5153&lt;&gt;"!!!"),"NEW","")))</f>
        <v> </v>
      </c>
      <c r="G5153" s="23" t="str">
        <f>IF(OR(E5153="",E5153="!!!"),"",IF(OR(J5153=0,AND(J5153=1,K5153=1),AND(J5153=1,I5153="SBJ"),AND(J5153=1,I5153=0)),"?IN_FOCUS",IF(J5153&lt;=2,"?ACTIVATED",IF(J5153&lt;&gt;"","?FAMILIAR",IF(F5153="NEW",IF(ISNA(VLOOKUP(E5153,#REF!,1,FALSE())),"?TYPE_IDENTIFIABLE","?REFERENTIAL"),"_")))))</f>
        <v> </v>
      </c>
      <c r="H5153" s="24" t="str">
        <f>IF(J5153&lt;&gt;1,"",IF(I5153="SBJ","CB","?"))</f>
        <v> </v>
      </c>
      <c r="I5153" s="25" t="str">
        <f>IF(OR(E5153="",E5153="!!!",F5153="NEW"),"",INDEX(B5152:B$2,-1+SUMPRODUCT(MAX(ROW(E5152:E$2)*(E5153=E5152:E$2)))))</f>
        <v> </v>
      </c>
      <c r="J5153" s="25" t="str">
        <f>IF(OR(E5153="",E5153="!!!",F5153="NEW"),"",COUNTBLANK(OFFSET(A$1,,,SUMPRODUCT(MAX(ROW(E$2:E5153)*(E5153=E$2:E5153)))))-COUNTBLANK(OFFSET(A$1,,,SUMPRODUCT(MAX(ROW(E$1:E5152)*(E2=E$1:E5152))))))</f>
        <v> </v>
      </c>
      <c r="K5153" s="25" t="str">
        <f>IF(OR(E5153="",E5153="!!!",F5153="NEW"),"",INDEX(J$1:J5152,SUMPRODUCT(MAX(ROW(E$1:E5152)*(E5153=E$1:E5152)))))</f>
        <v> </v>
      </c>
      <c r="L5153" s="26"/>
    </row>
    <row r="5154" spans="1:12">
      <c r="A5154" s="20" t="s">
        <v>1191</v>
      </c>
      <c r="E5154" s="21">
        <f>IF(D5154="?OLD","!!!","")</f>
        <v/>
      </c>
      <c r="F5154" s="22" t="str">
        <f>IF(OR(E5154="",E5154="!!!"),"",IF(NOT(ISNA(VLOOKUP(E5154,E$1:E5153,1,FALSE()))),"OLD",IF(AND(E5154&lt;&gt;"",E5154&lt;&gt;"!!!"),"NEW","")))</f>
        <v> </v>
      </c>
      <c r="G5154" s="23" t="str">
        <f>IF(OR(E5154="",E5154="!!!"),"",IF(OR(J5154=0,AND(J5154=1,K5154=1),AND(J5154=1,I5154="SBJ"),AND(J5154=1,I5154=0)),"?IN_FOCUS",IF(J5154&lt;=2,"?ACTIVATED",IF(J5154&lt;&gt;"","?FAMILIAR",IF(F5154="NEW",IF(ISNA(VLOOKUP(E5154,#REF!,1,FALSE())),"?TYPE_IDENTIFIABLE","?REFERENTIAL"),"_")))))</f>
        <v> </v>
      </c>
      <c r="H5154" s="24" t="str">
        <f>IF(J5154&lt;&gt;1,"",IF(I5154="SBJ","CB","?"))</f>
        <v> </v>
      </c>
      <c r="I5154" s="25" t="str">
        <f>IF(OR(E5154="",E5154="!!!",F5154="NEW"),"",INDEX(B5153:B$2,-1+SUMPRODUCT(MAX(ROW(E5153:E$2)*(E5154=E5153:E$2)))))</f>
        <v> </v>
      </c>
      <c r="J5154" s="25" t="str">
        <f>IF(OR(E5154="",E5154="!!!",F5154="NEW"),"",COUNTBLANK(OFFSET(A$1,,,SUMPRODUCT(MAX(ROW(E$2:E5154)*(E5154=E$2:E5154)))))-COUNTBLANK(OFFSET(A$1,,,SUMPRODUCT(MAX(ROW(E$1:E5153)*(E2=E$1:E5153))))))</f>
        <v> </v>
      </c>
      <c r="K5154" s="25" t="str">
        <f>IF(OR(E5154="",E5154="!!!",F5154="NEW"),"",INDEX(J$1:J5153,SUMPRODUCT(MAX(ROW(E$1:E5153)*(E5154=E$1:E5153)))))</f>
        <v> </v>
      </c>
      <c r="L5154" s="26"/>
    </row>
    <row r="5155" spans="1:12">
      <c r="A5155" s="20" t="s">
        <v>1155</v>
      </c>
      <c r="E5155" s="21">
        <f>IF(D5155="?OLD","!!!","")</f>
        <v/>
      </c>
      <c r="F5155" s="22" t="str">
        <f>IF(OR(E5155="",E5155="!!!"),"",IF(NOT(ISNA(VLOOKUP(E5155,E$1:E5154,1,FALSE()))),"OLD",IF(AND(E5155&lt;&gt;"",E5155&lt;&gt;"!!!"),"NEW","")))</f>
        <v> </v>
      </c>
      <c r="G5155" s="23" t="str">
        <f>IF(OR(E5155="",E5155="!!!"),"",IF(OR(J5155=0,AND(J5155=1,K5155=1),AND(J5155=1,I5155="SBJ"),AND(J5155=1,I5155=0)),"?IN_FOCUS",IF(J5155&lt;=2,"?ACTIVATED",IF(J5155&lt;&gt;"","?FAMILIAR",IF(F5155="NEW",IF(ISNA(VLOOKUP(E5155,#REF!,1,FALSE())),"?TYPE_IDENTIFIABLE","?REFERENTIAL"),"_")))))</f>
        <v> </v>
      </c>
      <c r="H5155" s="24" t="str">
        <f>IF(J5155&lt;&gt;1,"",IF(I5155="SBJ","CB","?"))</f>
        <v> </v>
      </c>
      <c r="I5155" s="25" t="str">
        <f>IF(OR(E5155="",E5155="!!!",F5155="NEW"),"",INDEX(B5154:B$2,-1+SUMPRODUCT(MAX(ROW(E5154:E$2)*(E5155=E5154:E$2)))))</f>
        <v> </v>
      </c>
      <c r="J5155" s="25" t="str">
        <f>IF(OR(E5155="",E5155="!!!",F5155="NEW"),"",COUNTBLANK(OFFSET(A$1,,,SUMPRODUCT(MAX(ROW(E$2:E5155)*(E5155=E$2:E5155)))))-COUNTBLANK(OFFSET(A$1,,,SUMPRODUCT(MAX(ROW(E$1:E5154)*(E2=E$1:E5154))))))</f>
        <v> </v>
      </c>
      <c r="K5155" s="25" t="str">
        <f>IF(OR(E5155="",E5155="!!!",F5155="NEW"),"",INDEX(J$1:J5154,SUMPRODUCT(MAX(ROW(E$1:E5154)*(E5155=E$1:E5154)))))</f>
        <v> </v>
      </c>
      <c r="L5155" s="26"/>
    </row>
    <row r="5156" spans="1:12">
      <c r="A5156" s="20" t="s">
        <v>1165</v>
      </c>
      <c r="E5156" s="21">
        <f>IF(D5156="?OLD","!!!","")</f>
        <v/>
      </c>
      <c r="F5156" s="22" t="str">
        <f>IF(OR(E5156="",E5156="!!!"),"",IF(NOT(ISNA(VLOOKUP(E5156,E$1:E5155,1,FALSE()))),"OLD",IF(AND(E5156&lt;&gt;"",E5156&lt;&gt;"!!!"),"NEW","")))</f>
        <v> </v>
      </c>
      <c r="G5156" s="23" t="str">
        <f>IF(OR(E5156="",E5156="!!!"),"",IF(OR(J5156=0,AND(J5156=1,K5156=1),AND(J5156=1,I5156="SBJ"),AND(J5156=1,I5156=0)),"?IN_FOCUS",IF(J5156&lt;=2,"?ACTIVATED",IF(J5156&lt;&gt;"","?FAMILIAR",IF(F5156="NEW",IF(ISNA(VLOOKUP(E5156,#REF!,1,FALSE())),"?TYPE_IDENTIFIABLE","?REFERENTIAL"),"_")))))</f>
        <v> </v>
      </c>
      <c r="H5156" s="24" t="str">
        <f>IF(J5156&lt;&gt;1,"",IF(I5156="SBJ","CB","?"))</f>
        <v> </v>
      </c>
      <c r="I5156" s="25" t="str">
        <f>IF(OR(E5156="",E5156="!!!",F5156="NEW"),"",INDEX(B5155:B$2,-1+SUMPRODUCT(MAX(ROW(E5155:E$2)*(E5156=E5155:E$2)))))</f>
        <v> </v>
      </c>
      <c r="J5156" s="25" t="str">
        <f>IF(OR(E5156="",E5156="!!!",F5156="NEW"),"",COUNTBLANK(OFFSET(A$1,,,SUMPRODUCT(MAX(ROW(E$2:E5156)*(E5156=E$2:E5156)))))-COUNTBLANK(OFFSET(A$1,,,SUMPRODUCT(MAX(ROW(E$1:E5155)*(E2=E$1:E5155))))))</f>
        <v> </v>
      </c>
      <c r="K5156" s="25" t="str">
        <f>IF(OR(E5156="",E5156="!!!",F5156="NEW"),"",INDEX(J$1:J5155,SUMPRODUCT(MAX(ROW(E$1:E5155)*(E5156=E$1:E5155)))))</f>
        <v> </v>
      </c>
      <c r="L5156" s="26"/>
    </row>
    <row r="5157" spans="1:12">
      <c r="A5157" s="20" t="s">
        <v>1800</v>
      </c>
      <c r="E5157" s="21">
        <f>IF(D5157="?OLD","!!!","")</f>
        <v/>
      </c>
      <c r="F5157" s="22" t="str">
        <f>IF(OR(E5157="",E5157="!!!"),"",IF(NOT(ISNA(VLOOKUP(E5157,E$1:E5156,1,FALSE()))),"OLD",IF(AND(E5157&lt;&gt;"",E5157&lt;&gt;"!!!"),"NEW","")))</f>
        <v> </v>
      </c>
      <c r="G5157" s="23" t="str">
        <f>IF(OR(E5157="",E5157="!!!"),"",IF(OR(J5157=0,AND(J5157=1,K5157=1),AND(J5157=1,I5157="SBJ"),AND(J5157=1,I5157=0)),"?IN_FOCUS",IF(J5157&lt;=2,"?ACTIVATED",IF(J5157&lt;&gt;"","?FAMILIAR",IF(F5157="NEW",IF(ISNA(VLOOKUP(E5157,#REF!,1,FALSE())),"?TYPE_IDENTIFIABLE","?REFERENTIAL"),"_")))))</f>
        <v> </v>
      </c>
      <c r="H5157" s="24" t="str">
        <f>IF(J5157&lt;&gt;1,"",IF(I5157="SBJ","CB","?"))</f>
        <v> </v>
      </c>
      <c r="I5157" s="25" t="str">
        <f>IF(OR(E5157="",E5157="!!!",F5157="NEW"),"",INDEX(B5156:B$2,-1+SUMPRODUCT(MAX(ROW(E5156:E$2)*(E5157=E5156:E$2)))))</f>
        <v> </v>
      </c>
      <c r="J5157" s="25" t="str">
        <f>IF(OR(E5157="",E5157="!!!",F5157="NEW"),"",COUNTBLANK(OFFSET(A$1,,,SUMPRODUCT(MAX(ROW(E$2:E5157)*(E5157=E$2:E5157)))))-COUNTBLANK(OFFSET(A$1,,,SUMPRODUCT(MAX(ROW(E$1:E5156)*(E2=E$1:E5156))))))</f>
        <v> </v>
      </c>
      <c r="K5157" s="25" t="str">
        <f>IF(OR(E5157="",E5157="!!!",F5157="NEW"),"",INDEX(J$1:J5156,SUMPRODUCT(MAX(ROW(E$1:E5156)*(E5157=E$1:E5156)))))</f>
        <v> </v>
      </c>
      <c r="L5157" s="26"/>
    </row>
    <row r="5158" spans="1:12">
      <c r="A5158" s="20" t="s">
        <v>1080</v>
      </c>
      <c r="E5158" s="21">
        <f>IF(D5158="?OLD","!!!","")</f>
        <v/>
      </c>
      <c r="F5158" s="22" t="str">
        <f>IF(OR(E5158="",E5158="!!!"),"",IF(NOT(ISNA(VLOOKUP(E5158,E$1:E5157,1,FALSE()))),"OLD",IF(AND(E5158&lt;&gt;"",E5158&lt;&gt;"!!!"),"NEW","")))</f>
        <v> </v>
      </c>
      <c r="G5158" s="23" t="str">
        <f>IF(OR(E5158="",E5158="!!!"),"",IF(OR(J5158=0,AND(J5158=1,K5158=1),AND(J5158=1,I5158="SBJ"),AND(J5158=1,I5158=0)),"?IN_FOCUS",IF(J5158&lt;=2,"?ACTIVATED",IF(J5158&lt;&gt;"","?FAMILIAR",IF(F5158="NEW",IF(ISNA(VLOOKUP(E5158,#REF!,1,FALSE())),"?TYPE_IDENTIFIABLE","?REFERENTIAL"),"_")))))</f>
        <v> </v>
      </c>
      <c r="H5158" s="24" t="str">
        <f>IF(J5158&lt;&gt;1,"",IF(I5158="SBJ","CB","?"))</f>
        <v> </v>
      </c>
      <c r="I5158" s="25" t="str">
        <f>IF(OR(E5158="",E5158="!!!",F5158="NEW"),"",INDEX(B5157:B$2,-1+SUMPRODUCT(MAX(ROW(E5157:E$2)*(E5158=E5157:E$2)))))</f>
        <v> </v>
      </c>
      <c r="J5158" s="25" t="str">
        <f>IF(OR(E5158="",E5158="!!!",F5158="NEW"),"",COUNTBLANK(OFFSET(A$1,,,SUMPRODUCT(MAX(ROW(E$2:E5158)*(E5158=E$2:E5158)))))-COUNTBLANK(OFFSET(A$1,,,SUMPRODUCT(MAX(ROW(E$1:E5157)*(E2=E$1:E5157))))))</f>
        <v> </v>
      </c>
      <c r="K5158" s="25" t="str">
        <f>IF(OR(E5158="",E5158="!!!",F5158="NEW"),"",INDEX(J$1:J5157,SUMPRODUCT(MAX(ROW(E$1:E5157)*(E5158=E$1:E5157)))))</f>
        <v> </v>
      </c>
      <c r="L5158" s="26"/>
    </row>
    <row r="5159" spans="1:12">
      <c r="A5159" s="20"/>
    </row>
    <row r="5160" spans="1:12">
      <c r="A5160" s="20" t="s">
        <v>2532</v>
      </c>
    </row>
    <row r="5161" spans="1:12">
      <c r="A5161" s="20" t="s">
        <v>2533</v>
      </c>
      <c r="E5161" s="21">
        <f>IF(D5161="?OLD","!!!","")</f>
        <v/>
      </c>
      <c r="F5161" s="22" t="str">
        <f>IF(OR(E5161="",E5161="!!!"),"",IF(NOT(ISNA(VLOOKUP(E5161,E$1:E5160,1,FALSE()))),"OLD",IF(AND(E5161&lt;&gt;"",E5161&lt;&gt;"!!!"),"NEW","")))</f>
        <v> </v>
      </c>
      <c r="G5161" s="23" t="str">
        <f>IF(OR(E5161="",E5161="!!!"),"",IF(OR(J5161=0,AND(J5161=1,K5161=1),AND(J5161=1,I5161="SBJ"),AND(J5161=1,I5161=0)),"?IN_FOCUS",IF(J5161&lt;=2,"?ACTIVATED",IF(J5161&lt;&gt;"","?FAMILIAR",IF(F5161="NEW",IF(ISNA(VLOOKUP(E5161,#REF!,1,FALSE())),"?TYPE_IDENTIFIABLE","?REFERENTIAL"),"_")))))</f>
        <v> </v>
      </c>
      <c r="H5161" s="24" t="str">
        <f>IF(J5161&lt;&gt;1,"",IF(I5161="SBJ","CB","?"))</f>
        <v> </v>
      </c>
      <c r="I5161" s="25" t="str">
        <f>IF(OR(E5161="",E5161="!!!",F5161="NEW"),"",INDEX(B5160:B$2,-1+SUMPRODUCT(MAX(ROW(E5160:E$2)*(E5161=E5160:E$2)))))</f>
        <v> </v>
      </c>
      <c r="J5161" s="25" t="str">
        <f>IF(OR(E5161="",E5161="!!!",F5161="NEW"),"",COUNTBLANK(OFFSET(A$1,,,SUMPRODUCT(MAX(ROW(E$2:E5161)*(E5161=E$2:E5161)))))-COUNTBLANK(OFFSET(A$1,,,SUMPRODUCT(MAX(ROW(E$1:E5160)*(E2=E$1:E5160))))))</f>
        <v> </v>
      </c>
      <c r="K5161" s="25" t="str">
        <f>IF(OR(E5161="",E5161="!!!",F5161="NEW"),"",INDEX(J$1:J5160,SUMPRODUCT(MAX(ROW(E$1:E5160)*(E5161=E$1:E5160)))))</f>
        <v> </v>
      </c>
      <c r="L5161" s="26"/>
    </row>
    <row r="5162" spans="1:12">
      <c r="A5162" s="20" t="s">
        <v>2047</v>
      </c>
      <c r="E5162" s="21">
        <f>IF(D5162="?OLD","!!!","")</f>
        <v/>
      </c>
      <c r="F5162" s="22" t="str">
        <f>IF(OR(E5162="",E5162="!!!"),"",IF(NOT(ISNA(VLOOKUP(E5162,E$1:E5161,1,FALSE()))),"OLD",IF(AND(E5162&lt;&gt;"",E5162&lt;&gt;"!!!"),"NEW","")))</f>
        <v> </v>
      </c>
      <c r="G5162" s="23" t="str">
        <f>IF(OR(E5162="",E5162="!!!"),"",IF(OR(J5162=0,AND(J5162=1,K5162=1),AND(J5162=1,I5162="SBJ"),AND(J5162=1,I5162=0)),"?IN_FOCUS",IF(J5162&lt;=2,"?ACTIVATED",IF(J5162&lt;&gt;"","?FAMILIAR",IF(F5162="NEW",IF(ISNA(VLOOKUP(E5162,#REF!,1,FALSE())),"?TYPE_IDENTIFIABLE","?REFERENTIAL"),"_")))))</f>
        <v> </v>
      </c>
      <c r="H5162" s="24" t="str">
        <f>IF(J5162&lt;&gt;1,"",IF(I5162="SBJ","CB","?"))</f>
        <v> </v>
      </c>
      <c r="I5162" s="25" t="str">
        <f>IF(OR(E5162="",E5162="!!!",F5162="NEW"),"",INDEX(B5161:B$2,-1+SUMPRODUCT(MAX(ROW(E5161:E$2)*(E5162=E5161:E$2)))))</f>
        <v> </v>
      </c>
      <c r="J5162" s="25" t="str">
        <f>IF(OR(E5162="",E5162="!!!",F5162="NEW"),"",COUNTBLANK(OFFSET(A$1,,,SUMPRODUCT(MAX(ROW(E$2:E5162)*(E5162=E$2:E5162)))))-COUNTBLANK(OFFSET(A$1,,,SUMPRODUCT(MAX(ROW(E$1:E5161)*(E2=E$1:E5161))))))</f>
        <v> </v>
      </c>
      <c r="K5162" s="25" t="str">
        <f>IF(OR(E5162="",E5162="!!!",F5162="NEW"),"",INDEX(J$1:J5161,SUMPRODUCT(MAX(ROW(E$1:E5161)*(E5162=E$1:E5161)))))</f>
        <v> </v>
      </c>
      <c r="L5162" s="26"/>
    </row>
    <row r="5163" spans="1:12">
      <c r="A5163" s="20" t="s">
        <v>1140</v>
      </c>
      <c r="E5163" s="21">
        <f>IF(D5163="?OLD","!!!","")</f>
        <v/>
      </c>
      <c r="F5163" s="22" t="str">
        <f>IF(OR(E5163="",E5163="!!!"),"",IF(NOT(ISNA(VLOOKUP(E5163,E$1:E5162,1,FALSE()))),"OLD",IF(AND(E5163&lt;&gt;"",E5163&lt;&gt;"!!!"),"NEW","")))</f>
        <v> </v>
      </c>
      <c r="G5163" s="23" t="str">
        <f>IF(OR(E5163="",E5163="!!!"),"",IF(OR(J5163=0,AND(J5163=1,K5163=1),AND(J5163=1,I5163="SBJ"),AND(J5163=1,I5163=0)),"?IN_FOCUS",IF(J5163&lt;=2,"?ACTIVATED",IF(J5163&lt;&gt;"","?FAMILIAR",IF(F5163="NEW",IF(ISNA(VLOOKUP(E5163,#REF!,1,FALSE())),"?TYPE_IDENTIFIABLE","?REFERENTIAL"),"_")))))</f>
        <v> </v>
      </c>
      <c r="H5163" s="24" t="str">
        <f>IF(J5163&lt;&gt;1,"",IF(I5163="SBJ","CB","?"))</f>
        <v> </v>
      </c>
      <c r="I5163" s="25" t="str">
        <f>IF(OR(E5163="",E5163="!!!",F5163="NEW"),"",INDEX(B5162:B$2,-1+SUMPRODUCT(MAX(ROW(E5162:E$2)*(E5163=E5162:E$2)))))</f>
        <v> </v>
      </c>
      <c r="J5163" s="25" t="str">
        <f>IF(OR(E5163="",E5163="!!!",F5163="NEW"),"",COUNTBLANK(OFFSET(A$1,,,SUMPRODUCT(MAX(ROW(E$2:E5163)*(E5163=E$2:E5163)))))-COUNTBLANK(OFFSET(A$1,,,SUMPRODUCT(MAX(ROW(E$1:E5162)*(E2=E$1:E5162))))))</f>
        <v> </v>
      </c>
      <c r="K5163" s="25" t="str">
        <f>IF(OR(E5163="",E5163="!!!",F5163="NEW"),"",INDEX(J$1:J5162,SUMPRODUCT(MAX(ROW(E$1:E5162)*(E5163=E$1:E5162)))))</f>
        <v> </v>
      </c>
      <c r="L5163" s="26"/>
    </row>
    <row r="5164" spans="1:12">
      <c r="A5164" s="20" t="s">
        <v>1105</v>
      </c>
      <c r="B5164" s="27" t="s">
        <v>1067</v>
      </c>
      <c r="C5164" s="27" t="s">
        <v>1171</v>
      </c>
      <c r="E5164" s="21">
        <f>IF(D5164="?OLD","!!!","")</f>
        <v/>
      </c>
      <c r="F5164" s="22" t="str">
        <f>IF(OR(E5164="",E5164="!!!"),"",IF(NOT(ISNA(VLOOKUP(E5164,E$1:E5163,1,FALSE()))),"OLD",IF(AND(E5164&lt;&gt;"",E5164&lt;&gt;"!!!"),"NEW","")))</f>
        <v> </v>
      </c>
      <c r="G5164" s="23" t="str">
        <f>IF(OR(E5164="",E5164="!!!"),"",IF(OR(J5164=0,AND(J5164=1,K5164=1),AND(J5164=1,I5164="SBJ"),AND(J5164=1,I5164=0)),"?IN_FOCUS",IF(J5164&lt;=2,"?ACTIVATED",IF(J5164&lt;&gt;"","?FAMILIAR",IF(F5164="NEW",IF(ISNA(VLOOKUP(E5164,#REF!,1,FALSE())),"?TYPE_IDENTIFIABLE","?REFERENTIAL"),"_")))))</f>
        <v> </v>
      </c>
      <c r="H5164" s="24" t="str">
        <f>IF(J5164&lt;&gt;1,"",IF(I5164="SBJ","CB","?"))</f>
        <v> </v>
      </c>
      <c r="I5164" s="25" t="str">
        <f>IF(OR(E5164="",E5164="!!!",F5164="NEW"),"",INDEX(B5163:B$2,-1+SUMPRODUCT(MAX(ROW(E5163:E$2)*(E5164=E5163:E$2)))))</f>
        <v> </v>
      </c>
      <c r="J5164" s="25" t="str">
        <f>IF(OR(E5164="",E5164="!!!",F5164="NEW"),"",COUNTBLANK(OFFSET(A$1,,,SUMPRODUCT(MAX(ROW(E$2:E5164)*(E5164=E$2:E5164)))))-COUNTBLANK(OFFSET(A$1,,,SUMPRODUCT(MAX(ROW(E$1:E5163)*(E2=E$1:E5163))))))</f>
        <v> </v>
      </c>
      <c r="K5164" s="25" t="str">
        <f>IF(OR(E5164="",E5164="!!!",F5164="NEW"),"",INDEX(J$1:J5163,SUMPRODUCT(MAX(ROW(E$1:E5163)*(E5164=E$1:E5163)))))</f>
        <v> </v>
      </c>
      <c r="L5164" s="26"/>
    </row>
    <row r="5165" spans="1:12">
      <c r="A5165" s="20" t="s">
        <v>1155</v>
      </c>
      <c r="E5165" s="21">
        <f>IF(D5165="?OLD","!!!","")</f>
        <v/>
      </c>
      <c r="F5165" s="22" t="str">
        <f>IF(OR(E5165="",E5165="!!!"),"",IF(NOT(ISNA(VLOOKUP(E5165,E$1:E5164,1,FALSE()))),"OLD",IF(AND(E5165&lt;&gt;"",E5165&lt;&gt;"!!!"),"NEW","")))</f>
        <v> </v>
      </c>
      <c r="G5165" s="23" t="str">
        <f>IF(OR(E5165="",E5165="!!!"),"",IF(OR(J5165=0,AND(J5165=1,K5165=1),AND(J5165=1,I5165="SBJ"),AND(J5165=1,I5165=0)),"?IN_FOCUS",IF(J5165&lt;=2,"?ACTIVATED",IF(J5165&lt;&gt;"","?FAMILIAR",IF(F5165="NEW",IF(ISNA(VLOOKUP(E5165,#REF!,1,FALSE())),"?TYPE_IDENTIFIABLE","?REFERENTIAL"),"_")))))</f>
        <v> </v>
      </c>
      <c r="H5165" s="24" t="str">
        <f>IF(J5165&lt;&gt;1,"",IF(I5165="SBJ","CB","?"))</f>
        <v> </v>
      </c>
      <c r="I5165" s="25" t="str">
        <f>IF(OR(E5165="",E5165="!!!",F5165="NEW"),"",INDEX(B5164:B$2,-1+SUMPRODUCT(MAX(ROW(E5164:E$2)*(E5165=E5164:E$2)))))</f>
        <v> </v>
      </c>
      <c r="J5165" s="25" t="str">
        <f>IF(OR(E5165="",E5165="!!!",F5165="NEW"),"",COUNTBLANK(OFFSET(A$1,,,SUMPRODUCT(MAX(ROW(E$2:E5165)*(E5165=E$2:E5165)))))-COUNTBLANK(OFFSET(A$1,,,SUMPRODUCT(MAX(ROW(E$1:E5164)*(E2=E$1:E5164))))))</f>
        <v> </v>
      </c>
      <c r="K5165" s="25" t="str">
        <f>IF(OR(E5165="",E5165="!!!",F5165="NEW"),"",INDEX(J$1:J5164,SUMPRODUCT(MAX(ROW(E$1:E5164)*(E5165=E$1:E5164)))))</f>
        <v> </v>
      </c>
      <c r="L5165" s="26"/>
    </row>
    <row r="5166" spans="1:12">
      <c r="A5166" s="20" t="s">
        <v>991</v>
      </c>
      <c r="E5166" s="21">
        <f>IF(D5166="?OLD","!!!","")</f>
        <v/>
      </c>
      <c r="F5166" s="22" t="str">
        <f>IF(OR(E5166="",E5166="!!!"),"",IF(NOT(ISNA(VLOOKUP(E5166,E$1:E5165,1,FALSE()))),"OLD",IF(AND(E5166&lt;&gt;"",E5166&lt;&gt;"!!!"),"NEW","")))</f>
        <v> </v>
      </c>
      <c r="G5166" s="23" t="str">
        <f>IF(OR(E5166="",E5166="!!!"),"",IF(OR(J5166=0,AND(J5166=1,K5166=1),AND(J5166=1,I5166="SBJ"),AND(J5166=1,I5166=0)),"?IN_FOCUS",IF(J5166&lt;=2,"?ACTIVATED",IF(J5166&lt;&gt;"","?FAMILIAR",IF(F5166="NEW",IF(ISNA(VLOOKUP(E5166,#REF!,1,FALSE())),"?TYPE_IDENTIFIABLE","?REFERENTIAL"),"_")))))</f>
        <v> </v>
      </c>
      <c r="H5166" s="24" t="str">
        <f>IF(J5166&lt;&gt;1,"",IF(I5166="SBJ","CB","?"))</f>
        <v> </v>
      </c>
      <c r="I5166" s="25" t="str">
        <f>IF(OR(E5166="",E5166="!!!",F5166="NEW"),"",INDEX(B5165:B$2,-1+SUMPRODUCT(MAX(ROW(E5165:E$2)*(E5166=E5165:E$2)))))</f>
        <v> </v>
      </c>
      <c r="J5166" s="25" t="str">
        <f>IF(OR(E5166="",E5166="!!!",F5166="NEW"),"",COUNTBLANK(OFFSET(A$1,,,SUMPRODUCT(MAX(ROW(E$2:E5166)*(E5166=E$2:E5166)))))-COUNTBLANK(OFFSET(A$1,,,SUMPRODUCT(MAX(ROW(E$1:E5165)*(E2=E$1:E5165))))))</f>
        <v> </v>
      </c>
      <c r="K5166" s="25" t="str">
        <f>IF(OR(E5166="",E5166="!!!",F5166="NEW"),"",INDEX(J$1:J5165,SUMPRODUCT(MAX(ROW(E$1:E5165)*(E5166=E$1:E5165)))))</f>
        <v> </v>
      </c>
      <c r="L5166" s="26"/>
    </row>
    <row r="5167" spans="1:12">
      <c r="A5167" s="20" t="s">
        <v>1080</v>
      </c>
      <c r="E5167" s="21">
        <f>IF(D5167="?OLD","!!!","")</f>
        <v/>
      </c>
      <c r="F5167" s="22" t="str">
        <f>IF(OR(E5167="",E5167="!!!"),"",IF(NOT(ISNA(VLOOKUP(E5167,E$1:E5166,1,FALSE()))),"OLD",IF(AND(E5167&lt;&gt;"",E5167&lt;&gt;"!!!"),"NEW","")))</f>
        <v> </v>
      </c>
      <c r="G5167" s="23" t="str">
        <f>IF(OR(E5167="",E5167="!!!"),"",IF(OR(J5167=0,AND(J5167=1,K5167=1),AND(J5167=1,I5167="SBJ"),AND(J5167=1,I5167=0)),"?IN_FOCUS",IF(J5167&lt;=2,"?ACTIVATED",IF(J5167&lt;&gt;"","?FAMILIAR",IF(F5167="NEW",IF(ISNA(VLOOKUP(E5167,#REF!,1,FALSE())),"?TYPE_IDENTIFIABLE","?REFERENTIAL"),"_")))))</f>
        <v> </v>
      </c>
      <c r="H5167" s="24" t="str">
        <f>IF(J5167&lt;&gt;1,"",IF(I5167="SBJ","CB","?"))</f>
        <v> </v>
      </c>
      <c r="I5167" s="25" t="str">
        <f>IF(OR(E5167="",E5167="!!!",F5167="NEW"),"",INDEX(B5166:B$2,-1+SUMPRODUCT(MAX(ROW(E5166:E$2)*(E5167=E5166:E$2)))))</f>
        <v> </v>
      </c>
      <c r="J5167" s="25" t="str">
        <f>IF(OR(E5167="",E5167="!!!",F5167="NEW"),"",COUNTBLANK(OFFSET(A$1,,,SUMPRODUCT(MAX(ROW(E$2:E5167)*(E5167=E$2:E5167)))))-COUNTBLANK(OFFSET(A$1,,,SUMPRODUCT(MAX(ROW(E$1:E5166)*(E2=E$1:E5166))))))</f>
        <v> </v>
      </c>
      <c r="K5167" s="25" t="str">
        <f>IF(OR(E5167="",E5167="!!!",F5167="NEW"),"",INDEX(J$1:J5166,SUMPRODUCT(MAX(ROW(E$1:E5166)*(E5167=E$1:E5166)))))</f>
        <v> </v>
      </c>
      <c r="L5167" s="26"/>
    </row>
    <row r="5168" spans="1:12">
      <c r="A5168" s="20"/>
    </row>
    <row r="5169" spans="1:12">
      <c r="A5169" s="20" t="s">
        <v>2534</v>
      </c>
    </row>
    <row r="5170" spans="1:12">
      <c r="A5170" s="20" t="s">
        <v>1644</v>
      </c>
      <c r="B5170" s="27" t="s">
        <v>1067</v>
      </c>
      <c r="C5170" s="27" t="s">
        <v>1072</v>
      </c>
      <c r="E5170" s="21">
        <f>IF(D5170="?OLD","!!!","")</f>
        <v/>
      </c>
      <c r="F5170" s="22" t="str">
        <f>IF(OR(E5170="",E5170="!!!"),"",IF(NOT(ISNA(VLOOKUP(E5170,E$1:E5169,1,FALSE()))),"OLD",IF(AND(E5170&lt;&gt;"",E5170&lt;&gt;"!!!"),"NEW","")))</f>
        <v> </v>
      </c>
      <c r="G5170" s="23" t="str">
        <f>IF(OR(E5170="",E5170="!!!"),"",IF(OR(J5170=0,AND(J5170=1,K5170=1),AND(J5170=1,I5170="SBJ"),AND(J5170=1,I5170=0)),"?IN_FOCUS",IF(J5170&lt;=2,"?ACTIVATED",IF(J5170&lt;&gt;"","?FAMILIAR",IF(F5170="NEW",IF(ISNA(VLOOKUP(E5170,#REF!,1,FALSE())),"?TYPE_IDENTIFIABLE","?REFERENTIAL"),"_")))))</f>
        <v> </v>
      </c>
      <c r="H5170" s="24" t="str">
        <f>IF(J5170&lt;&gt;1,"",IF(I5170="SBJ","CB","?"))</f>
        <v> </v>
      </c>
      <c r="I5170" s="25" t="str">
        <f>IF(OR(E5170="",E5170="!!!",F5170="NEW"),"",INDEX(B5169:B$2,-1+SUMPRODUCT(MAX(ROW(E5169:E$2)*(E5170=E5169:E$2)))))</f>
        <v> </v>
      </c>
      <c r="J5170" s="25" t="str">
        <f>IF(OR(E5170="",E5170="!!!",F5170="NEW"),"",COUNTBLANK(OFFSET(A$1,,,SUMPRODUCT(MAX(ROW(E$2:E5170)*(E5170=E$2:E5170)))))-COUNTBLANK(OFFSET(A$1,,,SUMPRODUCT(MAX(ROW(E$1:E5169)*(E2=E$1:E5169))))))</f>
        <v> </v>
      </c>
      <c r="K5170" s="25" t="str">
        <f>IF(OR(E5170="",E5170="!!!",F5170="NEW"),"",INDEX(J$1:J5169,SUMPRODUCT(MAX(ROW(E$1:E5169)*(E5170=E$1:E5169)))))</f>
        <v> </v>
      </c>
      <c r="L5170" s="26"/>
    </row>
    <row r="5171" spans="1:12">
      <c r="A5171" s="20" t="s">
        <v>1708</v>
      </c>
      <c r="E5171" s="21">
        <f>IF(D5171="?OLD","!!!","")</f>
        <v/>
      </c>
      <c r="F5171" s="22" t="str">
        <f>IF(OR(E5171="",E5171="!!!"),"",IF(NOT(ISNA(VLOOKUP(E5171,E$1:E5170,1,FALSE()))),"OLD",IF(AND(E5171&lt;&gt;"",E5171&lt;&gt;"!!!"),"NEW","")))</f>
        <v> </v>
      </c>
      <c r="G5171" s="23" t="str">
        <f>IF(OR(E5171="",E5171="!!!"),"",IF(OR(J5171=0,AND(J5171=1,K5171=1),AND(J5171=1,I5171="SBJ"),AND(J5171=1,I5171=0)),"?IN_FOCUS",IF(J5171&lt;=2,"?ACTIVATED",IF(J5171&lt;&gt;"","?FAMILIAR",IF(F5171="NEW",IF(ISNA(VLOOKUP(E5171,#REF!,1,FALSE())),"?TYPE_IDENTIFIABLE","?REFERENTIAL"),"_")))))</f>
        <v> </v>
      </c>
      <c r="H5171" s="24" t="str">
        <f>IF(J5171&lt;&gt;1,"",IF(I5171="SBJ","CB","?"))</f>
        <v> </v>
      </c>
      <c r="I5171" s="25" t="str">
        <f>IF(OR(E5171="",E5171="!!!",F5171="NEW"),"",INDEX(B5170:B$2,-1+SUMPRODUCT(MAX(ROW(E5170:E$2)*(E5171=E5170:E$2)))))</f>
        <v> </v>
      </c>
      <c r="J5171" s="25" t="str">
        <f>IF(OR(E5171="",E5171="!!!",F5171="NEW"),"",COUNTBLANK(OFFSET(A$1,,,SUMPRODUCT(MAX(ROW(E$2:E5171)*(E5171=E$2:E5171)))))-COUNTBLANK(OFFSET(A$1,,,SUMPRODUCT(MAX(ROW(E$1:E5170)*(E2=E$1:E5170))))))</f>
        <v> </v>
      </c>
      <c r="K5171" s="25" t="str">
        <f>IF(OR(E5171="",E5171="!!!",F5171="NEW"),"",INDEX(J$1:J5170,SUMPRODUCT(MAX(ROW(E$1:E5170)*(E5171=E$1:E5170)))))</f>
        <v> </v>
      </c>
      <c r="L5171" s="26"/>
    </row>
    <row r="5172" spans="1:12">
      <c r="A5172" s="20" t="s">
        <v>1352</v>
      </c>
      <c r="E5172" s="21">
        <f>IF(D5172="?OLD","!!!","")</f>
        <v/>
      </c>
      <c r="F5172" s="22" t="str">
        <f>IF(OR(E5172="",E5172="!!!"),"",IF(NOT(ISNA(VLOOKUP(E5172,E$1:E5171,1,FALSE()))),"OLD",IF(AND(E5172&lt;&gt;"",E5172&lt;&gt;"!!!"),"NEW","")))</f>
        <v> </v>
      </c>
      <c r="G5172" s="23" t="str">
        <f>IF(OR(E5172="",E5172="!!!"),"",IF(OR(J5172=0,AND(J5172=1,K5172=1),AND(J5172=1,I5172="SBJ"),AND(J5172=1,I5172=0)),"?IN_FOCUS",IF(J5172&lt;=2,"?ACTIVATED",IF(J5172&lt;&gt;"","?FAMILIAR",IF(F5172="NEW",IF(ISNA(VLOOKUP(E5172,#REF!,1,FALSE())),"?TYPE_IDENTIFIABLE","?REFERENTIAL"),"_")))))</f>
        <v> </v>
      </c>
      <c r="H5172" s="24" t="str">
        <f>IF(J5172&lt;&gt;1,"",IF(I5172="SBJ","CB","?"))</f>
        <v> </v>
      </c>
      <c r="I5172" s="25" t="str">
        <f>IF(OR(E5172="",E5172="!!!",F5172="NEW"),"",INDEX(B5171:B$2,-1+SUMPRODUCT(MAX(ROW(E5171:E$2)*(E5172=E5171:E$2)))))</f>
        <v> </v>
      </c>
      <c r="J5172" s="25" t="str">
        <f>IF(OR(E5172="",E5172="!!!",F5172="NEW"),"",COUNTBLANK(OFFSET(A$1,,,SUMPRODUCT(MAX(ROW(E$2:E5172)*(E5172=E$2:E5172)))))-COUNTBLANK(OFFSET(A$1,,,SUMPRODUCT(MAX(ROW(E$1:E5171)*(E2=E$1:E5171))))))</f>
        <v> </v>
      </c>
      <c r="K5172" s="25" t="str">
        <f>IF(OR(E5172="",E5172="!!!",F5172="NEW"),"",INDEX(J$1:J5171,SUMPRODUCT(MAX(ROW(E$1:E5171)*(E5172=E$1:E5171)))))</f>
        <v> </v>
      </c>
      <c r="L5172" s="26"/>
    </row>
    <row r="5173" spans="1:12">
      <c r="A5173" s="20" t="s">
        <v>1070</v>
      </c>
      <c r="B5173" s="27" t="s">
        <v>1071</v>
      </c>
      <c r="C5173" s="27" t="s">
        <v>1072</v>
      </c>
      <c r="E5173" s="21">
        <f>IF(D5173="?OLD","!!!","")</f>
        <v/>
      </c>
      <c r="F5173" s="22" t="str">
        <f>IF(OR(E5173="",E5173="!!!"),"",IF(NOT(ISNA(VLOOKUP(E5173,E$1:E5172,1,FALSE()))),"OLD",IF(AND(E5173&lt;&gt;"",E5173&lt;&gt;"!!!"),"NEW","")))</f>
        <v> </v>
      </c>
      <c r="G5173" s="23" t="str">
        <f>IF(OR(E5173="",E5173="!!!"),"",IF(OR(J5173=0,AND(J5173=1,K5173=1),AND(J5173=1,I5173="SBJ"),AND(J5173=1,I5173=0)),"?IN_FOCUS",IF(J5173&lt;=2,"?ACTIVATED",IF(J5173&lt;&gt;"","?FAMILIAR",IF(F5173="NEW",IF(ISNA(VLOOKUP(E5173,#REF!,1,FALSE())),"?TYPE_IDENTIFIABLE","?REFERENTIAL"),"_")))))</f>
        <v> </v>
      </c>
      <c r="H5173" s="24" t="str">
        <f>IF(J5173&lt;&gt;1,"",IF(I5173="SBJ","CB","?"))</f>
        <v> </v>
      </c>
      <c r="I5173" s="25" t="str">
        <f>IF(OR(E5173="",E5173="!!!",F5173="NEW"),"",INDEX(B5172:B$2,-1+SUMPRODUCT(MAX(ROW(E5172:E$2)*(E5173=E5172:E$2)))))</f>
        <v> </v>
      </c>
      <c r="J5173" s="25" t="str">
        <f>IF(OR(E5173="",E5173="!!!",F5173="NEW"),"",COUNTBLANK(OFFSET(A$1,,,SUMPRODUCT(MAX(ROW(E$2:E5173)*(E5173=E$2:E5173)))))-COUNTBLANK(OFFSET(A$1,,,SUMPRODUCT(MAX(ROW(E$1:E5172)*(E2=E$1:E5172))))))</f>
        <v> </v>
      </c>
      <c r="K5173" s="25" t="str">
        <f>IF(OR(E5173="",E5173="!!!",F5173="NEW"),"",INDEX(J$1:J5172,SUMPRODUCT(MAX(ROW(E$1:E5172)*(E5173=E$1:E5172)))))</f>
        <v> </v>
      </c>
      <c r="L5173" s="26"/>
    </row>
    <row r="5174" spans="1:12">
      <c r="A5174" s="20" t="s">
        <v>1668</v>
      </c>
      <c r="E5174" s="21">
        <f>IF(D5174="?OLD","!!!","")</f>
        <v/>
      </c>
      <c r="F5174" s="22" t="str">
        <f>IF(OR(E5174="",E5174="!!!"),"",IF(NOT(ISNA(VLOOKUP(E5174,E$1:E5173,1,FALSE()))),"OLD",IF(AND(E5174&lt;&gt;"",E5174&lt;&gt;"!!!"),"NEW","")))</f>
        <v> </v>
      </c>
      <c r="G5174" s="23" t="str">
        <f>IF(OR(E5174="",E5174="!!!"),"",IF(OR(J5174=0,AND(J5174=1,K5174=1),AND(J5174=1,I5174="SBJ"),AND(J5174=1,I5174=0)),"?IN_FOCUS",IF(J5174&lt;=2,"?ACTIVATED",IF(J5174&lt;&gt;"","?FAMILIAR",IF(F5174="NEW",IF(ISNA(VLOOKUP(E5174,#REF!,1,FALSE())),"?TYPE_IDENTIFIABLE","?REFERENTIAL"),"_")))))</f>
        <v> </v>
      </c>
      <c r="H5174" s="24" t="str">
        <f>IF(J5174&lt;&gt;1,"",IF(I5174="SBJ","CB","?"))</f>
        <v> </v>
      </c>
      <c r="I5174" s="25" t="str">
        <f>IF(OR(E5174="",E5174="!!!",F5174="NEW"),"",INDEX(B5173:B$2,-1+SUMPRODUCT(MAX(ROW(E5173:E$2)*(E5174=E5173:E$2)))))</f>
        <v> </v>
      </c>
      <c r="J5174" s="25" t="str">
        <f>IF(OR(E5174="",E5174="!!!",F5174="NEW"),"",COUNTBLANK(OFFSET(A$1,,,SUMPRODUCT(MAX(ROW(E$2:E5174)*(E5174=E$2:E5174)))))-COUNTBLANK(OFFSET(A$1,,,SUMPRODUCT(MAX(ROW(E$1:E5173)*(E2=E$1:E5173))))))</f>
        <v> </v>
      </c>
      <c r="K5174" s="25" t="str">
        <f>IF(OR(E5174="",E5174="!!!",F5174="NEW"),"",INDEX(J$1:J5173,SUMPRODUCT(MAX(ROW(E$1:E5173)*(E5174=E$1:E5173)))))</f>
        <v> </v>
      </c>
      <c r="L5174" s="26"/>
    </row>
    <row r="5175" spans="1:12">
      <c r="A5175" s="20" t="s">
        <v>2535</v>
      </c>
      <c r="B5175" s="27" t="s">
        <v>1074</v>
      </c>
      <c r="C5175" s="27" t="s">
        <v>1077</v>
      </c>
      <c r="E5175" s="21">
        <f>IF(D5175="?OLD","!!!","")</f>
        <v/>
      </c>
      <c r="F5175" s="22" t="str">
        <f>IF(OR(E5175="",E5175="!!!"),"",IF(NOT(ISNA(VLOOKUP(E5175,E$1:E5174,1,FALSE()))),"OLD",IF(AND(E5175&lt;&gt;"",E5175&lt;&gt;"!!!"),"NEW","")))</f>
        <v> </v>
      </c>
      <c r="G5175" s="23" t="str">
        <f>IF(OR(E5175="",E5175="!!!"),"",IF(OR(J5175=0,AND(J5175=1,K5175=1),AND(J5175=1,I5175="SBJ"),AND(J5175=1,I5175=0)),"?IN_FOCUS",IF(J5175&lt;=2,"?ACTIVATED",IF(J5175&lt;&gt;"","?FAMILIAR",IF(F5175="NEW",IF(ISNA(VLOOKUP(E5175,#REF!,1,FALSE())),"?TYPE_IDENTIFIABLE","?REFERENTIAL"),"_")))))</f>
        <v> </v>
      </c>
      <c r="H5175" s="24" t="str">
        <f>IF(J5175&lt;&gt;1,"",IF(I5175="SBJ","CB","?"))</f>
        <v> </v>
      </c>
      <c r="I5175" s="25" t="str">
        <f>IF(OR(E5175="",E5175="!!!",F5175="NEW"),"",INDEX(B5174:B$2,-1+SUMPRODUCT(MAX(ROW(E5174:E$2)*(E5175=E5174:E$2)))))</f>
        <v> </v>
      </c>
      <c r="J5175" s="25" t="str">
        <f>IF(OR(E5175="",E5175="!!!",F5175="NEW"),"",COUNTBLANK(OFFSET(A$1,,,SUMPRODUCT(MAX(ROW(E$2:E5175)*(E5175=E$2:E5175)))))-COUNTBLANK(OFFSET(A$1,,,SUMPRODUCT(MAX(ROW(E$1:E5174)*(E2=E$1:E5174))))))</f>
        <v> </v>
      </c>
      <c r="K5175" s="25" t="str">
        <f>IF(OR(E5175="",E5175="!!!",F5175="NEW"),"",INDEX(J$1:J5174,SUMPRODUCT(MAX(ROW(E$1:E5174)*(E5175=E$1:E5174)))))</f>
        <v> </v>
      </c>
      <c r="L5175" s="26"/>
    </row>
    <row r="5176" spans="1:12">
      <c r="A5176" s="20" t="s">
        <v>1087</v>
      </c>
      <c r="E5176" s="21">
        <f>IF(D5176="?OLD","!!!","")</f>
        <v/>
      </c>
      <c r="F5176" s="22" t="str">
        <f>IF(OR(E5176="",E5176="!!!"),"",IF(NOT(ISNA(VLOOKUP(E5176,E$1:E5175,1,FALSE()))),"OLD",IF(AND(E5176&lt;&gt;"",E5176&lt;&gt;"!!!"),"NEW","")))</f>
        <v> </v>
      </c>
      <c r="G5176" s="23" t="str">
        <f>IF(OR(E5176="",E5176="!!!"),"",IF(OR(J5176=0,AND(J5176=1,K5176=1),AND(J5176=1,I5176="SBJ"),AND(J5176=1,I5176=0)),"?IN_FOCUS",IF(J5176&lt;=2,"?ACTIVATED",IF(J5176&lt;&gt;"","?FAMILIAR",IF(F5176="NEW",IF(ISNA(VLOOKUP(E5176,#REF!,1,FALSE())),"?TYPE_IDENTIFIABLE","?REFERENTIAL"),"_")))))</f>
        <v> </v>
      </c>
      <c r="H5176" s="24" t="str">
        <f>IF(J5176&lt;&gt;1,"",IF(I5176="SBJ","CB","?"))</f>
        <v> </v>
      </c>
      <c r="I5176" s="25" t="str">
        <f>IF(OR(E5176="",E5176="!!!",F5176="NEW"),"",INDEX(B5175:B$2,-1+SUMPRODUCT(MAX(ROW(E5175:E$2)*(E5176=E5175:E$2)))))</f>
        <v> </v>
      </c>
      <c r="J5176" s="25" t="str">
        <f>IF(OR(E5176="",E5176="!!!",F5176="NEW"),"",COUNTBLANK(OFFSET(A$1,,,SUMPRODUCT(MAX(ROW(E$2:E5176)*(E5176=E$2:E5176)))))-COUNTBLANK(OFFSET(A$1,,,SUMPRODUCT(MAX(ROW(E$1:E5175)*(E2=E$1:E5175))))))</f>
        <v> </v>
      </c>
      <c r="K5176" s="25" t="str">
        <f>IF(OR(E5176="",E5176="!!!",F5176="NEW"),"",INDEX(J$1:J5175,SUMPRODUCT(MAX(ROW(E$1:E5175)*(E5176=E$1:E5175)))))</f>
        <v> </v>
      </c>
      <c r="L5176" s="26"/>
    </row>
    <row r="5177" spans="1:12">
      <c r="A5177" s="20" t="s">
        <v>1078</v>
      </c>
      <c r="E5177" s="21">
        <f>IF(D5177="?OLD","!!!","")</f>
        <v/>
      </c>
      <c r="F5177" s="22" t="str">
        <f>IF(OR(E5177="",E5177="!!!"),"",IF(NOT(ISNA(VLOOKUP(E5177,E$1:E5176,1,FALSE()))),"OLD",IF(AND(E5177&lt;&gt;"",E5177&lt;&gt;"!!!"),"NEW","")))</f>
        <v> </v>
      </c>
      <c r="G5177" s="23" t="str">
        <f>IF(OR(E5177="",E5177="!!!"),"",IF(OR(J5177=0,AND(J5177=1,K5177=1),AND(J5177=1,I5177="SBJ"),AND(J5177=1,I5177=0)),"?IN_FOCUS",IF(J5177&lt;=2,"?ACTIVATED",IF(J5177&lt;&gt;"","?FAMILIAR",IF(F5177="NEW",IF(ISNA(VLOOKUP(E5177,#REF!,1,FALSE())),"?TYPE_IDENTIFIABLE","?REFERENTIAL"),"_")))))</f>
        <v> </v>
      </c>
      <c r="H5177" s="24" t="str">
        <f>IF(J5177&lt;&gt;1,"",IF(I5177="SBJ","CB","?"))</f>
        <v> </v>
      </c>
      <c r="I5177" s="25" t="str">
        <f>IF(OR(E5177="",E5177="!!!",F5177="NEW"),"",INDEX(B5176:B$2,-1+SUMPRODUCT(MAX(ROW(E5176:E$2)*(E5177=E5176:E$2)))))</f>
        <v> </v>
      </c>
      <c r="J5177" s="25" t="str">
        <f>IF(OR(E5177="",E5177="!!!",F5177="NEW"),"",COUNTBLANK(OFFSET(A$1,,,SUMPRODUCT(MAX(ROW(E$2:E5177)*(E5177=E$2:E5177)))))-COUNTBLANK(OFFSET(A$1,,,SUMPRODUCT(MAX(ROW(E$1:E5176)*(E2=E$1:E5176))))))</f>
        <v> </v>
      </c>
      <c r="K5177" s="25" t="str">
        <f>IF(OR(E5177="",E5177="!!!",F5177="NEW"),"",INDEX(J$1:J5176,SUMPRODUCT(MAX(ROW(E$1:E5176)*(E5177=E$1:E5176)))))</f>
        <v> </v>
      </c>
      <c r="L5177" s="26"/>
    </row>
    <row r="5178" spans="1:12">
      <c r="A5178" s="20" t="s">
        <v>1356</v>
      </c>
      <c r="E5178" s="21">
        <f>IF(D5178="?OLD","!!!","")</f>
        <v/>
      </c>
      <c r="F5178" s="22" t="str">
        <f>IF(OR(E5178="",E5178="!!!"),"",IF(NOT(ISNA(VLOOKUP(E5178,E$1:E5177,1,FALSE()))),"OLD",IF(AND(E5178&lt;&gt;"",E5178&lt;&gt;"!!!"),"NEW","")))</f>
        <v> </v>
      </c>
      <c r="G5178" s="23" t="str">
        <f>IF(OR(E5178="",E5178="!!!"),"",IF(OR(J5178=0,AND(J5178=1,K5178=1),AND(J5178=1,I5178="SBJ"),AND(J5178=1,I5178=0)),"?IN_FOCUS",IF(J5178&lt;=2,"?ACTIVATED",IF(J5178&lt;&gt;"","?FAMILIAR",IF(F5178="NEW",IF(ISNA(VLOOKUP(E5178,#REF!,1,FALSE())),"?TYPE_IDENTIFIABLE","?REFERENTIAL"),"_")))))</f>
        <v> </v>
      </c>
      <c r="H5178" s="24" t="str">
        <f>IF(J5178&lt;&gt;1,"",IF(I5178="SBJ","CB","?"))</f>
        <v> </v>
      </c>
      <c r="I5178" s="25" t="str">
        <f>IF(OR(E5178="",E5178="!!!",F5178="NEW"),"",INDEX(B5177:B$2,-1+SUMPRODUCT(MAX(ROW(E5177:E$2)*(E5178=E5177:E$2)))))</f>
        <v> </v>
      </c>
      <c r="J5178" s="25" t="str">
        <f>IF(OR(E5178="",E5178="!!!",F5178="NEW"),"",COUNTBLANK(OFFSET(A$1,,,SUMPRODUCT(MAX(ROW(E$2:E5178)*(E5178=E$2:E5178)))))-COUNTBLANK(OFFSET(A$1,,,SUMPRODUCT(MAX(ROW(E$1:E5177)*(E2=E$1:E5177))))))</f>
        <v> </v>
      </c>
      <c r="K5178" s="25" t="str">
        <f>IF(OR(E5178="",E5178="!!!",F5178="NEW"),"",INDEX(J$1:J5177,SUMPRODUCT(MAX(ROW(E$1:E5177)*(E5178=E$1:E5177)))))</f>
        <v> </v>
      </c>
      <c r="L5178" s="26"/>
    </row>
    <row r="5179" spans="1:12">
      <c r="A5179" s="20" t="s">
        <v>1236</v>
      </c>
      <c r="E5179" s="21">
        <f>IF(D5179="?OLD","!!!","")</f>
        <v/>
      </c>
      <c r="F5179" s="22" t="str">
        <f>IF(OR(E5179="",E5179="!!!"),"",IF(NOT(ISNA(VLOOKUP(E5179,E$1:E5178,1,FALSE()))),"OLD",IF(AND(E5179&lt;&gt;"",E5179&lt;&gt;"!!!"),"NEW","")))</f>
        <v> </v>
      </c>
      <c r="G5179" s="23" t="str">
        <f>IF(OR(E5179="",E5179="!!!"),"",IF(OR(J5179=0,AND(J5179=1,K5179=1),AND(J5179=1,I5179="SBJ"),AND(J5179=1,I5179=0)),"?IN_FOCUS",IF(J5179&lt;=2,"?ACTIVATED",IF(J5179&lt;&gt;"","?FAMILIAR",IF(F5179="NEW",IF(ISNA(VLOOKUP(E5179,#REF!,1,FALSE())),"?TYPE_IDENTIFIABLE","?REFERENTIAL"),"_")))))</f>
        <v> </v>
      </c>
      <c r="H5179" s="24" t="str">
        <f>IF(J5179&lt;&gt;1,"",IF(I5179="SBJ","CB","?"))</f>
        <v> </v>
      </c>
      <c r="I5179" s="25" t="str">
        <f>IF(OR(E5179="",E5179="!!!",F5179="NEW"),"",INDEX(B5178:B$2,-1+SUMPRODUCT(MAX(ROW(E5178:E$2)*(E5179=E5178:E$2)))))</f>
        <v> </v>
      </c>
      <c r="J5179" s="25" t="str">
        <f>IF(OR(E5179="",E5179="!!!",F5179="NEW"),"",COUNTBLANK(OFFSET(A$1,,,SUMPRODUCT(MAX(ROW(E$2:E5179)*(E5179=E$2:E5179)))))-COUNTBLANK(OFFSET(A$1,,,SUMPRODUCT(MAX(ROW(E$1:E5178)*(E2=E$1:E5178))))))</f>
        <v> </v>
      </c>
      <c r="K5179" s="25" t="str">
        <f>IF(OR(E5179="",E5179="!!!",F5179="NEW"),"",INDEX(J$1:J5178,SUMPRODUCT(MAX(ROW(E$1:E5178)*(E5179=E$1:E5178)))))</f>
        <v> </v>
      </c>
      <c r="L5179" s="26"/>
    </row>
    <row r="5180" spans="1:12">
      <c r="A5180" s="20" t="s">
        <v>2536</v>
      </c>
      <c r="E5180" s="21">
        <f>IF(D5180="?OLD","!!!","")</f>
        <v/>
      </c>
      <c r="F5180" s="22" t="str">
        <f>IF(OR(E5180="",E5180="!!!"),"",IF(NOT(ISNA(VLOOKUP(E5180,E$1:E5179,1,FALSE()))),"OLD",IF(AND(E5180&lt;&gt;"",E5180&lt;&gt;"!!!"),"NEW","")))</f>
        <v> </v>
      </c>
      <c r="G5180" s="23" t="str">
        <f>IF(OR(E5180="",E5180="!!!"),"",IF(OR(J5180=0,AND(J5180=1,K5180=1),AND(J5180=1,I5180="SBJ"),AND(J5180=1,I5180=0)),"?IN_FOCUS",IF(J5180&lt;=2,"?ACTIVATED",IF(J5180&lt;&gt;"","?FAMILIAR",IF(F5180="NEW",IF(ISNA(VLOOKUP(E5180,#REF!,1,FALSE())),"?TYPE_IDENTIFIABLE","?REFERENTIAL"),"_")))))</f>
        <v> </v>
      </c>
      <c r="H5180" s="24" t="str">
        <f>IF(J5180&lt;&gt;1,"",IF(I5180="SBJ","CB","?"))</f>
        <v> </v>
      </c>
      <c r="I5180" s="25" t="str">
        <f>IF(OR(E5180="",E5180="!!!",F5180="NEW"),"",INDEX(B5179:B$2,-1+SUMPRODUCT(MAX(ROW(E5179:E$2)*(E5180=E5179:E$2)))))</f>
        <v> </v>
      </c>
      <c r="J5180" s="25" t="str">
        <f>IF(OR(E5180="",E5180="!!!",F5180="NEW"),"",COUNTBLANK(OFFSET(A$1,,,SUMPRODUCT(MAX(ROW(E$2:E5180)*(E5180=E$2:E5180)))))-COUNTBLANK(OFFSET(A$1,,,SUMPRODUCT(MAX(ROW(E$1:E5179)*(E2=E$1:E5179))))))</f>
        <v> </v>
      </c>
      <c r="K5180" s="25" t="str">
        <f>IF(OR(E5180="",E5180="!!!",F5180="NEW"),"",INDEX(J$1:J5179,SUMPRODUCT(MAX(ROW(E$1:E5179)*(E5180=E$1:E5179)))))</f>
        <v> </v>
      </c>
      <c r="L5180" s="26"/>
    </row>
    <row r="5181" spans="1:12">
      <c r="A5181" s="20" t="s">
        <v>1622</v>
      </c>
      <c r="B5181" s="27" t="s">
        <v>1095</v>
      </c>
      <c r="C5181" s="27" t="s">
        <v>1077</v>
      </c>
      <c r="E5181" s="21">
        <f>IF(D5181="?OLD","!!!","")</f>
        <v/>
      </c>
      <c r="F5181" s="22" t="str">
        <f>IF(OR(E5181="",E5181="!!!"),"",IF(NOT(ISNA(VLOOKUP(E5181,E$1:E5180,1,FALSE()))),"OLD",IF(AND(E5181&lt;&gt;"",E5181&lt;&gt;"!!!"),"NEW","")))</f>
        <v> </v>
      </c>
      <c r="G5181" s="23" t="str">
        <f>IF(OR(E5181="",E5181="!!!"),"",IF(OR(J5181=0,AND(J5181=1,K5181=1),AND(J5181=1,I5181="SBJ"),AND(J5181=1,I5181=0)),"?IN_FOCUS",IF(J5181&lt;=2,"?ACTIVATED",IF(J5181&lt;&gt;"","?FAMILIAR",IF(F5181="NEW",IF(ISNA(VLOOKUP(E5181,#REF!,1,FALSE())),"?TYPE_IDENTIFIABLE","?REFERENTIAL"),"_")))))</f>
        <v> </v>
      </c>
      <c r="H5181" s="24" t="str">
        <f>IF(J5181&lt;&gt;1,"",IF(I5181="SBJ","CB","?"))</f>
        <v> </v>
      </c>
      <c r="I5181" s="25" t="str">
        <f>IF(OR(E5181="",E5181="!!!",F5181="NEW"),"",INDEX(B5180:B$2,-1+SUMPRODUCT(MAX(ROW(E5180:E$2)*(E5181=E5180:E$2)))))</f>
        <v> </v>
      </c>
      <c r="J5181" s="25" t="str">
        <f>IF(OR(E5181="",E5181="!!!",F5181="NEW"),"",COUNTBLANK(OFFSET(A$1,,,SUMPRODUCT(MAX(ROW(E$2:E5181)*(E5181=E$2:E5181)))))-COUNTBLANK(OFFSET(A$1,,,SUMPRODUCT(MAX(ROW(E$1:E5180)*(E2=E$1:E5180))))))</f>
        <v> </v>
      </c>
      <c r="K5181" s="25" t="str">
        <f>IF(OR(E5181="",E5181="!!!",F5181="NEW"),"",INDEX(J$1:J5180,SUMPRODUCT(MAX(ROW(E$1:E5180)*(E5181=E$1:E5180)))))</f>
        <v> </v>
      </c>
      <c r="L5181" s="26"/>
    </row>
    <row r="5182" spans="1:12">
      <c r="A5182" s="20" t="s">
        <v>2537</v>
      </c>
      <c r="E5182" s="21">
        <f>IF(D5182="?OLD","!!!","")</f>
        <v/>
      </c>
      <c r="F5182" s="22" t="str">
        <f>IF(OR(E5182="",E5182="!!!"),"",IF(NOT(ISNA(VLOOKUP(E5182,E$1:E5181,1,FALSE()))),"OLD",IF(AND(E5182&lt;&gt;"",E5182&lt;&gt;"!!!"),"NEW","")))</f>
        <v> </v>
      </c>
      <c r="G5182" s="23" t="str">
        <f>IF(OR(E5182="",E5182="!!!"),"",IF(OR(J5182=0,AND(J5182=1,K5182=1),AND(J5182=1,I5182="SBJ"),AND(J5182=1,I5182=0)),"?IN_FOCUS",IF(J5182&lt;=2,"?ACTIVATED",IF(J5182&lt;&gt;"","?FAMILIAR",IF(F5182="NEW",IF(ISNA(VLOOKUP(E5182,#REF!,1,FALSE())),"?TYPE_IDENTIFIABLE","?REFERENTIAL"),"_")))))</f>
        <v> </v>
      </c>
      <c r="H5182" s="24" t="str">
        <f>IF(J5182&lt;&gt;1,"",IF(I5182="SBJ","CB","?"))</f>
        <v> </v>
      </c>
      <c r="I5182" s="25" t="str">
        <f>IF(OR(E5182="",E5182="!!!",F5182="NEW"),"",INDEX(B5181:B$2,-1+SUMPRODUCT(MAX(ROW(E5181:E$2)*(E5182=E5181:E$2)))))</f>
        <v> </v>
      </c>
      <c r="J5182" s="25" t="str">
        <f>IF(OR(E5182="",E5182="!!!",F5182="NEW"),"",COUNTBLANK(OFFSET(A$1,,,SUMPRODUCT(MAX(ROW(E$2:E5182)*(E5182=E$2:E5182)))))-COUNTBLANK(OFFSET(A$1,,,SUMPRODUCT(MAX(ROW(E$1:E5181)*(E2=E$1:E5181))))))</f>
        <v> </v>
      </c>
      <c r="K5182" s="25" t="str">
        <f>IF(OR(E5182="",E5182="!!!",F5182="NEW"),"",INDEX(J$1:J5181,SUMPRODUCT(MAX(ROW(E$1:E5181)*(E5182=E$1:E5181)))))</f>
        <v> </v>
      </c>
      <c r="L5182" s="26"/>
    </row>
    <row r="5183" spans="1:12">
      <c r="A5183" s="20" t="s">
        <v>1087</v>
      </c>
      <c r="E5183" s="21">
        <f>IF(D5183="?OLD","!!!","")</f>
        <v/>
      </c>
      <c r="F5183" s="22" t="str">
        <f>IF(OR(E5183="",E5183="!!!"),"",IF(NOT(ISNA(VLOOKUP(E5183,E$1:E5182,1,FALSE()))),"OLD",IF(AND(E5183&lt;&gt;"",E5183&lt;&gt;"!!!"),"NEW","")))</f>
        <v> </v>
      </c>
      <c r="G5183" s="23" t="str">
        <f>IF(OR(E5183="",E5183="!!!"),"",IF(OR(J5183=0,AND(J5183=1,K5183=1),AND(J5183=1,I5183="SBJ"),AND(J5183=1,I5183=0)),"?IN_FOCUS",IF(J5183&lt;=2,"?ACTIVATED",IF(J5183&lt;&gt;"","?FAMILIAR",IF(F5183="NEW",IF(ISNA(VLOOKUP(E5183,#REF!,1,FALSE())),"?TYPE_IDENTIFIABLE","?REFERENTIAL"),"_")))))</f>
        <v> </v>
      </c>
      <c r="H5183" s="24" t="str">
        <f>IF(J5183&lt;&gt;1,"",IF(I5183="SBJ","CB","?"))</f>
        <v> </v>
      </c>
      <c r="I5183" s="25" t="str">
        <f>IF(OR(E5183="",E5183="!!!",F5183="NEW"),"",INDEX(B5182:B$2,-1+SUMPRODUCT(MAX(ROW(E5182:E$2)*(E5183=E5182:E$2)))))</f>
        <v> </v>
      </c>
      <c r="J5183" s="25" t="str">
        <f>IF(OR(E5183="",E5183="!!!",F5183="NEW"),"",COUNTBLANK(OFFSET(A$1,,,SUMPRODUCT(MAX(ROW(E$2:E5183)*(E5183=E$2:E5183)))))-COUNTBLANK(OFFSET(A$1,,,SUMPRODUCT(MAX(ROW(E$1:E5182)*(E2=E$1:E5182))))))</f>
        <v> </v>
      </c>
      <c r="K5183" s="25" t="str">
        <f>IF(OR(E5183="",E5183="!!!",F5183="NEW"),"",INDEX(J$1:J5182,SUMPRODUCT(MAX(ROW(E$1:E5182)*(E5183=E$1:E5182)))))</f>
        <v> </v>
      </c>
      <c r="L5183" s="26"/>
    </row>
    <row r="5184" spans="1:12">
      <c r="A5184" s="20" t="s">
        <v>1196</v>
      </c>
      <c r="E5184" s="21">
        <f>IF(D5184="?OLD","!!!","")</f>
        <v/>
      </c>
      <c r="F5184" s="22" t="str">
        <f>IF(OR(E5184="",E5184="!!!"),"",IF(NOT(ISNA(VLOOKUP(E5184,E$1:E5183,1,FALSE()))),"OLD",IF(AND(E5184&lt;&gt;"",E5184&lt;&gt;"!!!"),"NEW","")))</f>
        <v> </v>
      </c>
      <c r="G5184" s="23" t="str">
        <f>IF(OR(E5184="",E5184="!!!"),"",IF(OR(J5184=0,AND(J5184=1,K5184=1),AND(J5184=1,I5184="SBJ"),AND(J5184=1,I5184=0)),"?IN_FOCUS",IF(J5184&lt;=2,"?ACTIVATED",IF(J5184&lt;&gt;"","?FAMILIAR",IF(F5184="NEW",IF(ISNA(VLOOKUP(E5184,#REF!,1,FALSE())),"?TYPE_IDENTIFIABLE","?REFERENTIAL"),"_")))))</f>
        <v> </v>
      </c>
      <c r="H5184" s="24" t="str">
        <f>IF(J5184&lt;&gt;1,"",IF(I5184="SBJ","CB","?"))</f>
        <v> </v>
      </c>
      <c r="I5184" s="25" t="str">
        <f>IF(OR(E5184="",E5184="!!!",F5184="NEW"),"",INDEX(B5183:B$2,-1+SUMPRODUCT(MAX(ROW(E5183:E$2)*(E5184=E5183:E$2)))))</f>
        <v> </v>
      </c>
      <c r="J5184" s="25" t="str">
        <f>IF(OR(E5184="",E5184="!!!",F5184="NEW"),"",COUNTBLANK(OFFSET(A$1,,,SUMPRODUCT(MAX(ROW(E$2:E5184)*(E5184=E$2:E5184)))))-COUNTBLANK(OFFSET(A$1,,,SUMPRODUCT(MAX(ROW(E$1:E5183)*(E2=E$1:E5183))))))</f>
        <v> </v>
      </c>
      <c r="K5184" s="25" t="str">
        <f>IF(OR(E5184="",E5184="!!!",F5184="NEW"),"",INDEX(J$1:J5183,SUMPRODUCT(MAX(ROW(E$1:E5183)*(E5184=E$1:E5183)))))</f>
        <v> </v>
      </c>
      <c r="L5184" s="26"/>
    </row>
    <row r="5185" spans="1:12">
      <c r="A5185" s="20" t="s">
        <v>1351</v>
      </c>
      <c r="B5185" s="27" t="s">
        <v>1133</v>
      </c>
      <c r="C5185" s="27" t="s">
        <v>1072</v>
      </c>
      <c r="E5185" s="21">
        <f>IF(D5185="?OLD","!!!","")</f>
        <v/>
      </c>
      <c r="F5185" s="22" t="str">
        <f>IF(OR(E5185="",E5185="!!!"),"",IF(NOT(ISNA(VLOOKUP(E5185,E$1:E5184,1,FALSE()))),"OLD",IF(AND(E5185&lt;&gt;"",E5185&lt;&gt;"!!!"),"NEW","")))</f>
        <v> </v>
      </c>
      <c r="G5185" s="23" t="str">
        <f>IF(OR(E5185="",E5185="!!!"),"",IF(OR(J5185=0,AND(J5185=1,K5185=1),AND(J5185=1,I5185="SBJ"),AND(J5185=1,I5185=0)),"?IN_FOCUS",IF(J5185&lt;=2,"?ACTIVATED",IF(J5185&lt;&gt;"","?FAMILIAR",IF(F5185="NEW",IF(ISNA(VLOOKUP(E5185,#REF!,1,FALSE())),"?TYPE_IDENTIFIABLE","?REFERENTIAL"),"_")))))</f>
        <v> </v>
      </c>
      <c r="H5185" s="24" t="str">
        <f>IF(J5185&lt;&gt;1,"",IF(I5185="SBJ","CB","?"))</f>
        <v> </v>
      </c>
      <c r="I5185" s="25" t="str">
        <f>IF(OR(E5185="",E5185="!!!",F5185="NEW"),"",INDEX(B5184:B$2,-1+SUMPRODUCT(MAX(ROW(E5184:E$2)*(E5185=E5184:E$2)))))</f>
        <v> </v>
      </c>
      <c r="J5185" s="25" t="str">
        <f>IF(OR(E5185="",E5185="!!!",F5185="NEW"),"",COUNTBLANK(OFFSET(A$1,,,SUMPRODUCT(MAX(ROW(E$2:E5185)*(E5185=E$2:E5185)))))-COUNTBLANK(OFFSET(A$1,,,SUMPRODUCT(MAX(ROW(E$1:E5184)*(E2=E$1:E5184))))))</f>
        <v> </v>
      </c>
      <c r="K5185" s="25" t="str">
        <f>IF(OR(E5185="",E5185="!!!",F5185="NEW"),"",INDEX(J$1:J5184,SUMPRODUCT(MAX(ROW(E$1:E5184)*(E5185=E$1:E5184)))))</f>
        <v> </v>
      </c>
      <c r="L5185" s="26"/>
    </row>
    <row r="5186" spans="1:12">
      <c r="A5186" s="20" t="s">
        <v>17</v>
      </c>
      <c r="B5186" s="27" t="s">
        <v>1106</v>
      </c>
      <c r="C5186" s="27" t="s">
        <v>1072</v>
      </c>
      <c r="E5186" s="21">
        <f>IF(D5186="?OLD","!!!","")</f>
        <v/>
      </c>
      <c r="F5186" s="22" t="str">
        <f>IF(OR(E5186="",E5186="!!!"),"",IF(NOT(ISNA(VLOOKUP(E5186,E$1:E5185,1,FALSE()))),"OLD",IF(AND(E5186&lt;&gt;"",E5186&lt;&gt;"!!!"),"NEW","")))</f>
        <v> </v>
      </c>
      <c r="G5186" s="23" t="str">
        <f>IF(OR(E5186="",E5186="!!!"),"",IF(OR(J5186=0,AND(J5186=1,K5186=1),AND(J5186=1,I5186="SBJ"),AND(J5186=1,I5186=0)),"?IN_FOCUS",IF(J5186&lt;=2,"?ACTIVATED",IF(J5186&lt;&gt;"","?FAMILIAR",IF(F5186="NEW",IF(ISNA(VLOOKUP(E5186,#REF!,1,FALSE())),"?TYPE_IDENTIFIABLE","?REFERENTIAL"),"_")))))</f>
        <v> </v>
      </c>
      <c r="H5186" s="24" t="str">
        <f>IF(J5186&lt;&gt;1,"",IF(I5186="SBJ","CB","?"))</f>
        <v> </v>
      </c>
      <c r="I5186" s="25" t="str">
        <f>IF(OR(E5186="",E5186="!!!",F5186="NEW"),"",INDEX(B5185:B$2,-1+SUMPRODUCT(MAX(ROW(E5185:E$2)*(E5186=E5185:E$2)))))</f>
        <v> </v>
      </c>
      <c r="J5186" s="25" t="str">
        <f>IF(OR(E5186="",E5186="!!!",F5186="NEW"),"",COUNTBLANK(OFFSET(A$1,,,SUMPRODUCT(MAX(ROW(E$2:E5186)*(E5186=E$2:E5186)))))-COUNTBLANK(OFFSET(A$1,,,SUMPRODUCT(MAX(ROW(E$1:E5185)*(E2=E$1:E5185))))))</f>
        <v> </v>
      </c>
      <c r="K5186" s="25" t="str">
        <f>IF(OR(E5186="",E5186="!!!",F5186="NEW"),"",INDEX(J$1:J5185,SUMPRODUCT(MAX(ROW(E$1:E5185)*(E5186=E$1:E5185)))))</f>
        <v> </v>
      </c>
      <c r="L5186" s="26"/>
    </row>
    <row r="5187" spans="1:12">
      <c r="A5187" s="20" t="s">
        <v>1268</v>
      </c>
      <c r="E5187" s="21">
        <f>IF(D5187="?OLD","!!!","")</f>
        <v/>
      </c>
      <c r="F5187" s="22" t="str">
        <f>IF(OR(E5187="",E5187="!!!"),"",IF(NOT(ISNA(VLOOKUP(E5187,E$1:E5186,1,FALSE()))),"OLD",IF(AND(E5187&lt;&gt;"",E5187&lt;&gt;"!!!"),"NEW","")))</f>
        <v> </v>
      </c>
      <c r="G5187" s="23" t="str">
        <f>IF(OR(E5187="",E5187="!!!"),"",IF(OR(J5187=0,AND(J5187=1,K5187=1),AND(J5187=1,I5187="SBJ"),AND(J5187=1,I5187=0)),"?IN_FOCUS",IF(J5187&lt;=2,"?ACTIVATED",IF(J5187&lt;&gt;"","?FAMILIAR",IF(F5187="NEW",IF(ISNA(VLOOKUP(E5187,#REF!,1,FALSE())),"?TYPE_IDENTIFIABLE","?REFERENTIAL"),"_")))))</f>
        <v> </v>
      </c>
      <c r="H5187" s="24" t="str">
        <f>IF(J5187&lt;&gt;1,"",IF(I5187="SBJ","CB","?"))</f>
        <v> </v>
      </c>
      <c r="I5187" s="25" t="str">
        <f>IF(OR(E5187="",E5187="!!!",F5187="NEW"),"",INDEX(B5186:B$2,-1+SUMPRODUCT(MAX(ROW(E5186:E$2)*(E5187=E5186:E$2)))))</f>
        <v> </v>
      </c>
      <c r="J5187" s="25" t="str">
        <f>IF(OR(E5187="",E5187="!!!",F5187="NEW"),"",COUNTBLANK(OFFSET(A$1,,,SUMPRODUCT(MAX(ROW(E$2:E5187)*(E5187=E$2:E5187)))))-COUNTBLANK(OFFSET(A$1,,,SUMPRODUCT(MAX(ROW(E$1:E5186)*(E2=E$1:E5186))))))</f>
        <v> </v>
      </c>
      <c r="K5187" s="25" t="str">
        <f>IF(OR(E5187="",E5187="!!!",F5187="NEW"),"",INDEX(J$1:J5186,SUMPRODUCT(MAX(ROW(E$1:E5186)*(E5187=E$1:E5186)))))</f>
        <v> </v>
      </c>
      <c r="L5187" s="26"/>
    </row>
    <row r="5188" spans="1:12">
      <c r="A5188" s="20" t="s">
        <v>1087</v>
      </c>
      <c r="E5188" s="21">
        <f>IF(D5188="?OLD","!!!","")</f>
        <v/>
      </c>
      <c r="F5188" s="22" t="str">
        <f>IF(OR(E5188="",E5188="!!!"),"",IF(NOT(ISNA(VLOOKUP(E5188,E$1:E5187,1,FALSE()))),"OLD",IF(AND(E5188&lt;&gt;"",E5188&lt;&gt;"!!!"),"NEW","")))</f>
        <v> </v>
      </c>
      <c r="G5188" s="23" t="str">
        <f>IF(OR(E5188="",E5188="!!!"),"",IF(OR(J5188=0,AND(J5188=1,K5188=1),AND(J5188=1,I5188="SBJ"),AND(J5188=1,I5188=0)),"?IN_FOCUS",IF(J5188&lt;=2,"?ACTIVATED",IF(J5188&lt;&gt;"","?FAMILIAR",IF(F5188="NEW",IF(ISNA(VLOOKUP(E5188,#REF!,1,FALSE())),"?TYPE_IDENTIFIABLE","?REFERENTIAL"),"_")))))</f>
        <v> </v>
      </c>
      <c r="H5188" s="24" t="str">
        <f>IF(J5188&lt;&gt;1,"",IF(I5188="SBJ","CB","?"))</f>
        <v> </v>
      </c>
      <c r="I5188" s="25" t="str">
        <f>IF(OR(E5188="",E5188="!!!",F5188="NEW"),"",INDEX(B5187:B$2,-1+SUMPRODUCT(MAX(ROW(E5187:E$2)*(E5188=E5187:E$2)))))</f>
        <v> </v>
      </c>
      <c r="J5188" s="25" t="str">
        <f>IF(OR(E5188="",E5188="!!!",F5188="NEW"),"",COUNTBLANK(OFFSET(A$1,,,SUMPRODUCT(MAX(ROW(E$2:E5188)*(E5188=E$2:E5188)))))-COUNTBLANK(OFFSET(A$1,,,SUMPRODUCT(MAX(ROW(E$1:E5187)*(E2=E$1:E5187))))))</f>
        <v> </v>
      </c>
      <c r="K5188" s="25" t="str">
        <f>IF(OR(E5188="",E5188="!!!",F5188="NEW"),"",INDEX(J$1:J5187,SUMPRODUCT(MAX(ROW(E$1:E5187)*(E5188=E$1:E5187)))))</f>
        <v> </v>
      </c>
      <c r="L5188" s="26"/>
    </row>
    <row r="5189" spans="1:12">
      <c r="A5189" s="20" t="s">
        <v>1083</v>
      </c>
      <c r="B5189" s="27" t="s">
        <v>1095</v>
      </c>
      <c r="E5189" s="21">
        <f>IF(D5189="?OLD","!!!","")</f>
        <v/>
      </c>
      <c r="F5189" s="22" t="str">
        <f>IF(OR(E5189="",E5189="!!!"),"",IF(NOT(ISNA(VLOOKUP(E5189,E$1:E5188,1,FALSE()))),"OLD",IF(AND(E5189&lt;&gt;"",E5189&lt;&gt;"!!!"),"NEW","")))</f>
        <v> </v>
      </c>
      <c r="G5189" s="23" t="str">
        <f>IF(OR(E5189="",E5189="!!!"),"",IF(OR(J5189=0,AND(J5189=1,K5189=1),AND(J5189=1,I5189="SBJ"),AND(J5189=1,I5189=0)),"?IN_FOCUS",IF(J5189&lt;=2,"?ACTIVATED",IF(J5189&lt;&gt;"","?FAMILIAR",IF(F5189="NEW",IF(ISNA(VLOOKUP(E5189,#REF!,1,FALSE())),"?TYPE_IDENTIFIABLE","?REFERENTIAL"),"_")))))</f>
        <v> </v>
      </c>
      <c r="H5189" s="24" t="str">
        <f>IF(J5189&lt;&gt;1,"",IF(I5189="SBJ","CB","?"))</f>
        <v> </v>
      </c>
      <c r="I5189" s="25" t="str">
        <f>IF(OR(E5189="",E5189="!!!",F5189="NEW"),"",INDEX(B5188:B$2,-1+SUMPRODUCT(MAX(ROW(E5188:E$2)*(E5189=E5188:E$2)))))</f>
        <v> </v>
      </c>
      <c r="J5189" s="25" t="str">
        <f>IF(OR(E5189="",E5189="!!!",F5189="NEW"),"",COUNTBLANK(OFFSET(A$1,,,SUMPRODUCT(MAX(ROW(E$2:E5189)*(E5189=E$2:E5189)))))-COUNTBLANK(OFFSET(A$1,,,SUMPRODUCT(MAX(ROW(E$1:E5188)*(E2=E$1:E5188))))))</f>
        <v> </v>
      </c>
      <c r="K5189" s="25" t="str">
        <f>IF(OR(E5189="",E5189="!!!",F5189="NEW"),"",INDEX(J$1:J5188,SUMPRODUCT(MAX(ROW(E$1:E5188)*(E5189=E$1:E5188)))))</f>
        <v> </v>
      </c>
      <c r="L5189" s="26"/>
    </row>
    <row r="5190" spans="1:12">
      <c r="A5190" s="20" t="s">
        <v>1155</v>
      </c>
      <c r="E5190" s="21">
        <f>IF(D5190="?OLD","!!!","")</f>
        <v/>
      </c>
      <c r="F5190" s="22" t="str">
        <f>IF(OR(E5190="",E5190="!!!"),"",IF(NOT(ISNA(VLOOKUP(E5190,E$1:E5189,1,FALSE()))),"OLD",IF(AND(E5190&lt;&gt;"",E5190&lt;&gt;"!!!"),"NEW","")))</f>
        <v> </v>
      </c>
      <c r="G5190" s="23" t="str">
        <f>IF(OR(E5190="",E5190="!!!"),"",IF(OR(J5190=0,AND(J5190=1,K5190=1),AND(J5190=1,I5190="SBJ"),AND(J5190=1,I5190=0)),"?IN_FOCUS",IF(J5190&lt;=2,"?ACTIVATED",IF(J5190&lt;&gt;"","?FAMILIAR",IF(F5190="NEW",IF(ISNA(VLOOKUP(E5190,#REF!,1,FALSE())),"?TYPE_IDENTIFIABLE","?REFERENTIAL"),"_")))))</f>
        <v> </v>
      </c>
      <c r="H5190" s="24" t="str">
        <f>IF(J5190&lt;&gt;1,"",IF(I5190="SBJ","CB","?"))</f>
        <v> </v>
      </c>
      <c r="I5190" s="25" t="str">
        <f>IF(OR(E5190="",E5190="!!!",F5190="NEW"),"",INDEX(B5189:B$2,-1+SUMPRODUCT(MAX(ROW(E5189:E$2)*(E5190=E5189:E$2)))))</f>
        <v> </v>
      </c>
      <c r="J5190" s="25" t="str">
        <f>IF(OR(E5190="",E5190="!!!",F5190="NEW"),"",COUNTBLANK(OFFSET(A$1,,,SUMPRODUCT(MAX(ROW(E$2:E5190)*(E5190=E$2:E5190)))))-COUNTBLANK(OFFSET(A$1,,,SUMPRODUCT(MAX(ROW(E$1:E5189)*(E2=E$1:E5189))))))</f>
        <v> </v>
      </c>
      <c r="K5190" s="25" t="str">
        <f>IF(OR(E5190="",E5190="!!!",F5190="NEW"),"",INDEX(J$1:J5189,SUMPRODUCT(MAX(ROW(E$1:E5189)*(E5190=E$1:E5189)))))</f>
        <v> </v>
      </c>
      <c r="L5190" s="26"/>
    </row>
    <row r="5191" spans="1:12">
      <c r="A5191" s="20" t="s">
        <v>2503</v>
      </c>
      <c r="E5191" s="21">
        <f>IF(D5191="?OLD","!!!","")</f>
        <v/>
      </c>
      <c r="F5191" s="22" t="str">
        <f>IF(OR(E5191="",E5191="!!!"),"",IF(NOT(ISNA(VLOOKUP(E5191,E$1:E5190,1,FALSE()))),"OLD",IF(AND(E5191&lt;&gt;"",E5191&lt;&gt;"!!!"),"NEW","")))</f>
        <v> </v>
      </c>
      <c r="G5191" s="23" t="str">
        <f>IF(OR(E5191="",E5191="!!!"),"",IF(OR(J5191=0,AND(J5191=1,K5191=1),AND(J5191=1,I5191="SBJ"),AND(J5191=1,I5191=0)),"?IN_FOCUS",IF(J5191&lt;=2,"?ACTIVATED",IF(J5191&lt;&gt;"","?FAMILIAR",IF(F5191="NEW",IF(ISNA(VLOOKUP(E5191,#REF!,1,FALSE())),"?TYPE_IDENTIFIABLE","?REFERENTIAL"),"_")))))</f>
        <v> </v>
      </c>
      <c r="H5191" s="24" t="str">
        <f>IF(J5191&lt;&gt;1,"",IF(I5191="SBJ","CB","?"))</f>
        <v> </v>
      </c>
      <c r="I5191" s="25" t="str">
        <f>IF(OR(E5191="",E5191="!!!",F5191="NEW"),"",INDEX(B5190:B$2,-1+SUMPRODUCT(MAX(ROW(E5190:E$2)*(E5191=E5190:E$2)))))</f>
        <v> </v>
      </c>
      <c r="J5191" s="25" t="str">
        <f>IF(OR(E5191="",E5191="!!!",F5191="NEW"),"",COUNTBLANK(OFFSET(A$1,,,SUMPRODUCT(MAX(ROW(E$2:E5191)*(E5191=E$2:E5191)))))-COUNTBLANK(OFFSET(A$1,,,SUMPRODUCT(MAX(ROW(E$1:E5190)*(E2=E$1:E5190))))))</f>
        <v> </v>
      </c>
      <c r="K5191" s="25" t="str">
        <f>IF(OR(E5191="",E5191="!!!",F5191="NEW"),"",INDEX(J$1:J5190,SUMPRODUCT(MAX(ROW(E$1:E5190)*(E5191=E$1:E5190)))))</f>
        <v> </v>
      </c>
      <c r="L5191" s="26"/>
    </row>
    <row r="5192" spans="1:12">
      <c r="A5192" s="20" t="s">
        <v>1191</v>
      </c>
      <c r="E5192" s="21">
        <f>IF(D5192="?OLD","!!!","")</f>
        <v/>
      </c>
      <c r="F5192" s="22" t="str">
        <f>IF(OR(E5192="",E5192="!!!"),"",IF(NOT(ISNA(VLOOKUP(E5192,E$1:E5191,1,FALSE()))),"OLD",IF(AND(E5192&lt;&gt;"",E5192&lt;&gt;"!!!"),"NEW","")))</f>
        <v> </v>
      </c>
      <c r="G5192" s="23" t="str">
        <f>IF(OR(E5192="",E5192="!!!"),"",IF(OR(J5192=0,AND(J5192=1,K5192=1),AND(J5192=1,I5192="SBJ"),AND(J5192=1,I5192=0)),"?IN_FOCUS",IF(J5192&lt;=2,"?ACTIVATED",IF(J5192&lt;&gt;"","?FAMILIAR",IF(F5192="NEW",IF(ISNA(VLOOKUP(E5192,#REF!,1,FALSE())),"?TYPE_IDENTIFIABLE","?REFERENTIAL"),"_")))))</f>
        <v> </v>
      </c>
      <c r="H5192" s="24" t="str">
        <f>IF(J5192&lt;&gt;1,"",IF(I5192="SBJ","CB","?"))</f>
        <v> </v>
      </c>
      <c r="I5192" s="25" t="str">
        <f>IF(OR(E5192="",E5192="!!!",F5192="NEW"),"",INDEX(B5191:B$2,-1+SUMPRODUCT(MAX(ROW(E5191:E$2)*(E5192=E5191:E$2)))))</f>
        <v> </v>
      </c>
      <c r="J5192" s="25" t="str">
        <f>IF(OR(E5192="",E5192="!!!",F5192="NEW"),"",COUNTBLANK(OFFSET(A$1,,,SUMPRODUCT(MAX(ROW(E$2:E5192)*(E5192=E$2:E5192)))))-COUNTBLANK(OFFSET(A$1,,,SUMPRODUCT(MAX(ROW(E$1:E5191)*(E2=E$1:E5191))))))</f>
        <v> </v>
      </c>
      <c r="K5192" s="25" t="str">
        <f>IF(OR(E5192="",E5192="!!!",F5192="NEW"),"",INDEX(J$1:J5191,SUMPRODUCT(MAX(ROW(E$1:E5191)*(E5192=E$1:E5191)))))</f>
        <v> </v>
      </c>
      <c r="L5192" s="26"/>
    </row>
    <row r="5193" spans="1:12">
      <c r="A5193" s="20" t="s">
        <v>1087</v>
      </c>
      <c r="E5193" s="21">
        <f>IF(D5193="?OLD","!!!","")</f>
        <v/>
      </c>
      <c r="F5193" s="22" t="str">
        <f>IF(OR(E5193="",E5193="!!!"),"",IF(NOT(ISNA(VLOOKUP(E5193,E$1:E5192,1,FALSE()))),"OLD",IF(AND(E5193&lt;&gt;"",E5193&lt;&gt;"!!!"),"NEW","")))</f>
        <v> </v>
      </c>
      <c r="G5193" s="23" t="str">
        <f>IF(OR(E5193="",E5193="!!!"),"",IF(OR(J5193=0,AND(J5193=1,K5193=1),AND(J5193=1,I5193="SBJ"),AND(J5193=1,I5193=0)),"?IN_FOCUS",IF(J5193&lt;=2,"?ACTIVATED",IF(J5193&lt;&gt;"","?FAMILIAR",IF(F5193="NEW",IF(ISNA(VLOOKUP(E5193,#REF!,1,FALSE())),"?TYPE_IDENTIFIABLE","?REFERENTIAL"),"_")))))</f>
        <v> </v>
      </c>
      <c r="H5193" s="24" t="str">
        <f>IF(J5193&lt;&gt;1,"",IF(I5193="SBJ","CB","?"))</f>
        <v> </v>
      </c>
      <c r="I5193" s="25" t="str">
        <f>IF(OR(E5193="",E5193="!!!",F5193="NEW"),"",INDEX(B5192:B$2,-1+SUMPRODUCT(MAX(ROW(E5192:E$2)*(E5193=E5192:E$2)))))</f>
        <v> </v>
      </c>
      <c r="J5193" s="25" t="str">
        <f>IF(OR(E5193="",E5193="!!!",F5193="NEW"),"",COUNTBLANK(OFFSET(A$1,,,SUMPRODUCT(MAX(ROW(E$2:E5193)*(E5193=E$2:E5193)))))-COUNTBLANK(OFFSET(A$1,,,SUMPRODUCT(MAX(ROW(E$1:E5192)*(E2=E$1:E5192))))))</f>
        <v> </v>
      </c>
      <c r="K5193" s="25" t="str">
        <f>IF(OR(E5193="",E5193="!!!",F5193="NEW"),"",INDEX(J$1:J5192,SUMPRODUCT(MAX(ROW(E$1:E5192)*(E5193=E$1:E5192)))))</f>
        <v> </v>
      </c>
      <c r="L5193" s="26"/>
    </row>
    <row r="5194" spans="1:12">
      <c r="A5194" s="20" t="s">
        <v>1078</v>
      </c>
      <c r="E5194" s="21">
        <f>IF(D5194="?OLD","!!!","")</f>
        <v/>
      </c>
      <c r="F5194" s="22" t="str">
        <f>IF(OR(E5194="",E5194="!!!"),"",IF(NOT(ISNA(VLOOKUP(E5194,E$1:E5193,1,FALSE()))),"OLD",IF(AND(E5194&lt;&gt;"",E5194&lt;&gt;"!!!"),"NEW","")))</f>
        <v> </v>
      </c>
      <c r="G5194" s="23" t="str">
        <f>IF(OR(E5194="",E5194="!!!"),"",IF(OR(J5194=0,AND(J5194=1,K5194=1),AND(J5194=1,I5194="SBJ"),AND(J5194=1,I5194=0)),"?IN_FOCUS",IF(J5194&lt;=2,"?ACTIVATED",IF(J5194&lt;&gt;"","?FAMILIAR",IF(F5194="NEW",IF(ISNA(VLOOKUP(E5194,#REF!,1,FALSE())),"?TYPE_IDENTIFIABLE","?REFERENTIAL"),"_")))))</f>
        <v> </v>
      </c>
      <c r="H5194" s="24" t="str">
        <f>IF(J5194&lt;&gt;1,"",IF(I5194="SBJ","CB","?"))</f>
        <v> </v>
      </c>
      <c r="I5194" s="25" t="str">
        <f>IF(OR(E5194="",E5194="!!!",F5194="NEW"),"",INDEX(B5193:B$2,-1+SUMPRODUCT(MAX(ROW(E5193:E$2)*(E5194=E5193:E$2)))))</f>
        <v> </v>
      </c>
      <c r="J5194" s="25" t="str">
        <f>IF(OR(E5194="",E5194="!!!",F5194="NEW"),"",COUNTBLANK(OFFSET(A$1,,,SUMPRODUCT(MAX(ROW(E$2:E5194)*(E5194=E$2:E5194)))))-COUNTBLANK(OFFSET(A$1,,,SUMPRODUCT(MAX(ROW(E$1:E5193)*(E2=E$1:E5193))))))</f>
        <v> </v>
      </c>
      <c r="K5194" s="25" t="str">
        <f>IF(OR(E5194="",E5194="!!!",F5194="NEW"),"",INDEX(J$1:J5193,SUMPRODUCT(MAX(ROW(E$1:E5193)*(E5194=E$1:E5193)))))</f>
        <v> </v>
      </c>
      <c r="L5194" s="26"/>
    </row>
    <row r="5195" spans="1:12">
      <c r="A5195" s="20" t="s">
        <v>1873</v>
      </c>
      <c r="E5195" s="21">
        <f>IF(D5195="?OLD","!!!","")</f>
        <v/>
      </c>
      <c r="F5195" s="22" t="str">
        <f>IF(OR(E5195="",E5195="!!!"),"",IF(NOT(ISNA(VLOOKUP(E5195,E$1:E5194,1,FALSE()))),"OLD",IF(AND(E5195&lt;&gt;"",E5195&lt;&gt;"!!!"),"NEW","")))</f>
        <v> </v>
      </c>
      <c r="G5195" s="23" t="str">
        <f>IF(OR(E5195="",E5195="!!!"),"",IF(OR(J5195=0,AND(J5195=1,K5195=1),AND(J5195=1,I5195="SBJ"),AND(J5195=1,I5195=0)),"?IN_FOCUS",IF(J5195&lt;=2,"?ACTIVATED",IF(J5195&lt;&gt;"","?FAMILIAR",IF(F5195="NEW",IF(ISNA(VLOOKUP(E5195,#REF!,1,FALSE())),"?TYPE_IDENTIFIABLE","?REFERENTIAL"),"_")))))</f>
        <v> </v>
      </c>
      <c r="H5195" s="24" t="str">
        <f>IF(J5195&lt;&gt;1,"",IF(I5195="SBJ","CB","?"))</f>
        <v> </v>
      </c>
      <c r="I5195" s="25" t="str">
        <f>IF(OR(E5195="",E5195="!!!",F5195="NEW"),"",INDEX(B5194:B$2,-1+SUMPRODUCT(MAX(ROW(E5194:E$2)*(E5195=E5194:E$2)))))</f>
        <v> </v>
      </c>
      <c r="J5195" s="25" t="str">
        <f>IF(OR(E5195="",E5195="!!!",F5195="NEW"),"",COUNTBLANK(OFFSET(A$1,,,SUMPRODUCT(MAX(ROW(E$2:E5195)*(E5195=E$2:E5195)))))-COUNTBLANK(OFFSET(A$1,,,SUMPRODUCT(MAX(ROW(E$1:E5194)*(E2=E$1:E5194))))))</f>
        <v> </v>
      </c>
      <c r="K5195" s="25" t="str">
        <f>IF(OR(E5195="",E5195="!!!",F5195="NEW"),"",INDEX(J$1:J5194,SUMPRODUCT(MAX(ROW(E$1:E5194)*(E5195=E$1:E5194)))))</f>
        <v> </v>
      </c>
      <c r="L5195" s="26"/>
    </row>
    <row r="5196" spans="1:12">
      <c r="A5196" s="20" t="s">
        <v>1087</v>
      </c>
      <c r="E5196" s="21">
        <f>IF(D5196="?OLD","!!!","")</f>
        <v/>
      </c>
      <c r="F5196" s="22" t="str">
        <f>IF(OR(E5196="",E5196="!!!"),"",IF(NOT(ISNA(VLOOKUP(E5196,E$1:E5195,1,FALSE()))),"OLD",IF(AND(E5196&lt;&gt;"",E5196&lt;&gt;"!!!"),"NEW","")))</f>
        <v> </v>
      </c>
      <c r="G5196" s="23" t="str">
        <f>IF(OR(E5196="",E5196="!!!"),"",IF(OR(J5196=0,AND(J5196=1,K5196=1),AND(J5196=1,I5196="SBJ"),AND(J5196=1,I5196=0)),"?IN_FOCUS",IF(J5196&lt;=2,"?ACTIVATED",IF(J5196&lt;&gt;"","?FAMILIAR",IF(F5196="NEW",IF(ISNA(VLOOKUP(E5196,#REF!,1,FALSE())),"?TYPE_IDENTIFIABLE","?REFERENTIAL"),"_")))))</f>
        <v> </v>
      </c>
      <c r="H5196" s="24" t="str">
        <f>IF(J5196&lt;&gt;1,"",IF(I5196="SBJ","CB","?"))</f>
        <v> </v>
      </c>
      <c r="I5196" s="25" t="str">
        <f>IF(OR(E5196="",E5196="!!!",F5196="NEW"),"",INDEX(B5195:B$2,-1+SUMPRODUCT(MAX(ROW(E5195:E$2)*(E5196=E5195:E$2)))))</f>
        <v> </v>
      </c>
      <c r="J5196" s="25" t="str">
        <f>IF(OR(E5196="",E5196="!!!",F5196="NEW"),"",COUNTBLANK(OFFSET(A$1,,,SUMPRODUCT(MAX(ROW(E$2:E5196)*(E5196=E$2:E5196)))))-COUNTBLANK(OFFSET(A$1,,,SUMPRODUCT(MAX(ROW(E$1:E5195)*(E2=E$1:E5195))))))</f>
        <v> </v>
      </c>
      <c r="K5196" s="25" t="str">
        <f>IF(OR(E5196="",E5196="!!!",F5196="NEW"),"",INDEX(J$1:J5195,SUMPRODUCT(MAX(ROW(E$1:E5195)*(E5196=E$1:E5195)))))</f>
        <v> </v>
      </c>
      <c r="L5196" s="26"/>
    </row>
    <row r="5197" spans="1:12">
      <c r="A5197" s="20" t="s">
        <v>1083</v>
      </c>
      <c r="B5197" s="27" t="s">
        <v>1250</v>
      </c>
      <c r="C5197" s="27" t="s">
        <v>1129</v>
      </c>
      <c r="D5197" s="27" t="s">
        <v>1069</v>
      </c>
      <c r="E5197" s="21">
        <f>IF(D5197="?OLD","!!!","")</f>
        <v/>
      </c>
      <c r="F5197" s="22" t="str">
        <f>IF(OR(E5197="",E5197="!!!"),"",IF(NOT(ISNA(VLOOKUP(E5197,E$1:E5196,1,FALSE()))),"OLD",IF(AND(E5197&lt;&gt;"",E5197&lt;&gt;"!!!"),"NEW","")))</f>
        <v> </v>
      </c>
      <c r="G5197" s="23" t="str">
        <f>IF(OR(E5197="",E5197="!!!"),"",IF(OR(J5197=0,AND(J5197=1,K5197=1),AND(J5197=1,I5197="SBJ"),AND(J5197=1,I5197=0)),"?IN_FOCUS",IF(J5197&lt;=2,"?ACTIVATED",IF(J5197&lt;&gt;"","?FAMILIAR",IF(F5197="NEW",IF(ISNA(VLOOKUP(E5197,#REF!,1,FALSE())),"?TYPE_IDENTIFIABLE","?REFERENTIAL"),"_")))))</f>
        <v> </v>
      </c>
      <c r="H5197" s="24" t="str">
        <f>IF(J5197&lt;&gt;1,"",IF(I5197="SBJ","CB","?"))</f>
        <v> </v>
      </c>
      <c r="I5197" s="25" t="str">
        <f>IF(OR(E5197="",E5197="!!!",F5197="NEW"),"",INDEX(B5196:B$2,-1+SUMPRODUCT(MAX(ROW(E5196:E$2)*(E5197=E5196:E$2)))))</f>
        <v> </v>
      </c>
      <c r="J5197" s="25" t="str">
        <f>IF(OR(E5197="",E5197="!!!",F5197="NEW"),"",COUNTBLANK(OFFSET(A$1,,,SUMPRODUCT(MAX(ROW(E$2:E5197)*(E5197=E$2:E5197)))))-COUNTBLANK(OFFSET(A$1,,,SUMPRODUCT(MAX(ROW(E$1:E5196)*(E2=E$1:E5196))))))</f>
        <v> </v>
      </c>
      <c r="K5197" s="25" t="str">
        <f>IF(OR(E5197="",E5197="!!!",F5197="NEW"),"",INDEX(J$1:J5196,SUMPRODUCT(MAX(ROW(E$1:E5196)*(E5197=E$1:E5196)))))</f>
        <v> </v>
      </c>
      <c r="L5197" s="26"/>
    </row>
    <row r="5198" spans="1:12">
      <c r="A5198" s="20" t="s">
        <v>1070</v>
      </c>
      <c r="E5198" s="21">
        <f>IF(D5198="?OLD","!!!","")</f>
        <v/>
      </c>
      <c r="F5198" s="22" t="str">
        <f>IF(OR(E5198="",E5198="!!!"),"",IF(NOT(ISNA(VLOOKUP(E5198,E$1:E5197,1,FALSE()))),"OLD",IF(AND(E5198&lt;&gt;"",E5198&lt;&gt;"!!!"),"NEW","")))</f>
        <v> </v>
      </c>
      <c r="G5198" s="23" t="str">
        <f>IF(OR(E5198="",E5198="!!!"),"",IF(OR(J5198=0,AND(J5198=1,K5198=1),AND(J5198=1,I5198="SBJ"),AND(J5198=1,I5198=0)),"?IN_FOCUS",IF(J5198&lt;=2,"?ACTIVATED",IF(J5198&lt;&gt;"","?FAMILIAR",IF(F5198="NEW",IF(ISNA(VLOOKUP(E5198,#REF!,1,FALSE())),"?TYPE_IDENTIFIABLE","?REFERENTIAL"),"_")))))</f>
        <v> </v>
      </c>
      <c r="H5198" s="24" t="str">
        <f>IF(J5198&lt;&gt;1,"",IF(I5198="SBJ","CB","?"))</f>
        <v> </v>
      </c>
      <c r="I5198" s="25" t="str">
        <f>IF(OR(E5198="",E5198="!!!",F5198="NEW"),"",INDEX(B5197:B$2,-1+SUMPRODUCT(MAX(ROW(E5197:E$2)*(E5198=E5197:E$2)))))</f>
        <v> </v>
      </c>
      <c r="J5198" s="25" t="str">
        <f>IF(OR(E5198="",E5198="!!!",F5198="NEW"),"",COUNTBLANK(OFFSET(A$1,,,SUMPRODUCT(MAX(ROW(E$2:E5198)*(E5198=E$2:E5198)))))-COUNTBLANK(OFFSET(A$1,,,SUMPRODUCT(MAX(ROW(E$1:E5197)*(E2=E$1:E5197))))))</f>
        <v> </v>
      </c>
      <c r="K5198" s="25" t="str">
        <f>IF(OR(E5198="",E5198="!!!",F5198="NEW"),"",INDEX(J$1:J5197,SUMPRODUCT(MAX(ROW(E$1:E5197)*(E5198=E$1:E5197)))))</f>
        <v> </v>
      </c>
      <c r="L5198" s="26"/>
    </row>
    <row r="5199" spans="1:12">
      <c r="A5199" s="20" t="s">
        <v>535</v>
      </c>
      <c r="E5199" s="21">
        <f>IF(D5199="?OLD","!!!","")</f>
        <v/>
      </c>
      <c r="F5199" s="22" t="str">
        <f>IF(OR(E5199="",E5199="!!!"),"",IF(NOT(ISNA(VLOOKUP(E5199,E$1:E5198,1,FALSE()))),"OLD",IF(AND(E5199&lt;&gt;"",E5199&lt;&gt;"!!!"),"NEW","")))</f>
        <v> </v>
      </c>
      <c r="G5199" s="23" t="str">
        <f>IF(OR(E5199="",E5199="!!!"),"",IF(OR(J5199=0,AND(J5199=1,K5199=1),AND(J5199=1,I5199="SBJ"),AND(J5199=1,I5199=0)),"?IN_FOCUS",IF(J5199&lt;=2,"?ACTIVATED",IF(J5199&lt;&gt;"","?FAMILIAR",IF(F5199="NEW",IF(ISNA(VLOOKUP(E5199,#REF!,1,FALSE())),"?TYPE_IDENTIFIABLE","?REFERENTIAL"),"_")))))</f>
        <v> </v>
      </c>
      <c r="H5199" s="24" t="str">
        <f>IF(J5199&lt;&gt;1,"",IF(I5199="SBJ","CB","?"))</f>
        <v> </v>
      </c>
      <c r="I5199" s="25" t="str">
        <f>IF(OR(E5199="",E5199="!!!",F5199="NEW"),"",INDEX(B5198:B$2,-1+SUMPRODUCT(MAX(ROW(E5198:E$2)*(E5199=E5198:E$2)))))</f>
        <v> </v>
      </c>
      <c r="J5199" s="25" t="str">
        <f>IF(OR(E5199="",E5199="!!!",F5199="NEW"),"",COUNTBLANK(OFFSET(A$1,,,SUMPRODUCT(MAX(ROW(E$2:E5199)*(E5199=E$2:E5199)))))-COUNTBLANK(OFFSET(A$1,,,SUMPRODUCT(MAX(ROW(E$1:E5198)*(E2=E$1:E5198))))))</f>
        <v> </v>
      </c>
      <c r="K5199" s="25" t="str">
        <f>IF(OR(E5199="",E5199="!!!",F5199="NEW"),"",INDEX(J$1:J5198,SUMPRODUCT(MAX(ROW(E$1:E5198)*(E5199=E$1:E5198)))))</f>
        <v> </v>
      </c>
      <c r="L5199" s="26"/>
    </row>
    <row r="5200" spans="1:12">
      <c r="A5200" s="20" t="s">
        <v>1080</v>
      </c>
      <c r="E5200" s="21">
        <f>IF(D5200="?OLD","!!!","")</f>
        <v/>
      </c>
      <c r="F5200" s="22" t="str">
        <f>IF(OR(E5200="",E5200="!!!"),"",IF(NOT(ISNA(VLOOKUP(E5200,E$1:E5199,1,FALSE()))),"OLD",IF(AND(E5200&lt;&gt;"",E5200&lt;&gt;"!!!"),"NEW","")))</f>
        <v> </v>
      </c>
      <c r="G5200" s="23" t="str">
        <f>IF(OR(E5200="",E5200="!!!"),"",IF(OR(J5200=0,AND(J5200=1,K5200=1),AND(J5200=1,I5200="SBJ"),AND(J5200=1,I5200=0)),"?IN_FOCUS",IF(J5200&lt;=2,"?ACTIVATED",IF(J5200&lt;&gt;"","?FAMILIAR",IF(F5200="NEW",IF(ISNA(VLOOKUP(E5200,#REF!,1,FALSE())),"?TYPE_IDENTIFIABLE","?REFERENTIAL"),"_")))))</f>
        <v> </v>
      </c>
      <c r="H5200" s="24" t="str">
        <f>IF(J5200&lt;&gt;1,"",IF(I5200="SBJ","CB","?"))</f>
        <v> </v>
      </c>
      <c r="I5200" s="25" t="str">
        <f>IF(OR(E5200="",E5200="!!!",F5200="NEW"),"",INDEX(B5199:B$2,-1+SUMPRODUCT(MAX(ROW(E5199:E$2)*(E5200=E5199:E$2)))))</f>
        <v> </v>
      </c>
      <c r="J5200" s="25" t="str">
        <f>IF(OR(E5200="",E5200="!!!",F5200="NEW"),"",COUNTBLANK(OFFSET(A$1,,,SUMPRODUCT(MAX(ROW(E$2:E5200)*(E5200=E$2:E5200)))))-COUNTBLANK(OFFSET(A$1,,,SUMPRODUCT(MAX(ROW(E$1:E5199)*(E2=E$1:E5199))))))</f>
        <v> </v>
      </c>
      <c r="K5200" s="25" t="str">
        <f>IF(OR(E5200="",E5200="!!!",F5200="NEW"),"",INDEX(J$1:J5199,SUMPRODUCT(MAX(ROW(E$1:E5199)*(E5200=E$1:E5199)))))</f>
        <v> </v>
      </c>
      <c r="L5200" s="26"/>
    </row>
    <row r="5201" spans="1:12">
      <c r="A5201" s="20"/>
    </row>
    <row r="5202" spans="1:12">
      <c r="A5202" s="20" t="s">
        <v>2538</v>
      </c>
    </row>
    <row r="5203" spans="1:12">
      <c r="A5203" s="20" t="s">
        <v>1631</v>
      </c>
      <c r="E5203" s="21">
        <f>IF(D5203="?OLD","!!!","")</f>
        <v/>
      </c>
      <c r="F5203" s="22" t="str">
        <f>IF(OR(E5203="",E5203="!!!"),"",IF(NOT(ISNA(VLOOKUP(E5203,E$1:E5202,1,FALSE()))),"OLD",IF(AND(E5203&lt;&gt;"",E5203&lt;&gt;"!!!"),"NEW","")))</f>
        <v> </v>
      </c>
      <c r="G5203" s="23" t="str">
        <f>IF(OR(E5203="",E5203="!!!"),"",IF(OR(J5203=0,AND(J5203=1,K5203=1),AND(J5203=1,I5203="SBJ"),AND(J5203=1,I5203=0)),"?IN_FOCUS",IF(J5203&lt;=2,"?ACTIVATED",IF(J5203&lt;&gt;"","?FAMILIAR",IF(F5203="NEW",IF(ISNA(VLOOKUP(E5203,#REF!,1,FALSE())),"?TYPE_IDENTIFIABLE","?REFERENTIAL"),"_")))))</f>
        <v> </v>
      </c>
      <c r="H5203" s="24" t="str">
        <f>IF(J5203&lt;&gt;1,"",IF(I5203="SBJ","CB","?"))</f>
        <v> </v>
      </c>
      <c r="I5203" s="25" t="str">
        <f>IF(OR(E5203="",E5203="!!!",F5203="NEW"),"",INDEX(B5202:B$2,-1+SUMPRODUCT(MAX(ROW(E5202:E$2)*(E5203=E5202:E$2)))))</f>
        <v> </v>
      </c>
      <c r="J5203" s="25" t="str">
        <f>IF(OR(E5203="",E5203="!!!",F5203="NEW"),"",COUNTBLANK(OFFSET(A$1,,,SUMPRODUCT(MAX(ROW(E$2:E5203)*(E5203=E$2:E5203)))))-COUNTBLANK(OFFSET(A$1,,,SUMPRODUCT(MAX(ROW(E$1:E5202)*(E2=E$1:E5202))))))</f>
        <v> </v>
      </c>
      <c r="K5203" s="25" t="str">
        <f>IF(OR(E5203="",E5203="!!!",F5203="NEW"),"",INDEX(J$1:J5202,SUMPRODUCT(MAX(ROW(E$1:E5202)*(E5203=E$1:E5202)))))</f>
        <v> </v>
      </c>
      <c r="L5203" s="26"/>
    </row>
    <row r="5204" spans="1:12">
      <c r="A5204" s="20" t="s">
        <v>1608</v>
      </c>
      <c r="B5204" s="27" t="s">
        <v>1074</v>
      </c>
      <c r="C5204" s="27" t="s">
        <v>1068</v>
      </c>
      <c r="D5204" s="27" t="s">
        <v>1069</v>
      </c>
      <c r="E5204" s="21">
        <f>IF(D5204="?OLD","!!!","")</f>
        <v/>
      </c>
      <c r="F5204" s="22" t="str">
        <f>IF(OR(E5204="",E5204="!!!"),"",IF(NOT(ISNA(VLOOKUP(E5204,E$1:E5203,1,FALSE()))),"OLD",IF(AND(E5204&lt;&gt;"",E5204&lt;&gt;"!!!"),"NEW","")))</f>
        <v> </v>
      </c>
      <c r="G5204" s="23" t="str">
        <f>IF(OR(E5204="",E5204="!!!"),"",IF(OR(J5204=0,AND(J5204=1,K5204=1),AND(J5204=1,I5204="SBJ"),AND(J5204=1,I5204=0)),"?IN_FOCUS",IF(J5204&lt;=2,"?ACTIVATED",IF(J5204&lt;&gt;"","?FAMILIAR",IF(F5204="NEW",IF(ISNA(VLOOKUP(E5204,#REF!,1,FALSE())),"?TYPE_IDENTIFIABLE","?REFERENTIAL"),"_")))))</f>
        <v> </v>
      </c>
      <c r="H5204" s="24" t="str">
        <f>IF(J5204&lt;&gt;1,"",IF(I5204="SBJ","CB","?"))</f>
        <v> </v>
      </c>
      <c r="I5204" s="25" t="str">
        <f>IF(OR(E5204="",E5204="!!!",F5204="NEW"),"",INDEX(B5203:B$2,-1+SUMPRODUCT(MAX(ROW(E5203:E$2)*(E5204=E5203:E$2)))))</f>
        <v> </v>
      </c>
      <c r="J5204" s="25" t="str">
        <f>IF(OR(E5204="",E5204="!!!",F5204="NEW"),"",COUNTBLANK(OFFSET(A$1,,,SUMPRODUCT(MAX(ROW(E$2:E5204)*(E5204=E$2:E5204)))))-COUNTBLANK(OFFSET(A$1,,,SUMPRODUCT(MAX(ROW(E$1:E5203)*(E2=E$1:E5203))))))</f>
        <v> </v>
      </c>
      <c r="K5204" s="25" t="str">
        <f>IF(OR(E5204="",E5204="!!!",F5204="NEW"),"",INDEX(J$1:J5203,SUMPRODUCT(MAX(ROW(E$1:E5203)*(E5204=E$1:E5203)))))</f>
        <v> </v>
      </c>
      <c r="L5204" s="26"/>
    </row>
    <row r="5205" spans="1:12">
      <c r="A5205" s="20" t="s">
        <v>2539</v>
      </c>
      <c r="E5205" s="21">
        <f>IF(D5205="?OLD","!!!","")</f>
        <v/>
      </c>
      <c r="F5205" s="22" t="str">
        <f>IF(OR(E5205="",E5205="!!!"),"",IF(NOT(ISNA(VLOOKUP(E5205,E$1:E5204,1,FALSE()))),"OLD",IF(AND(E5205&lt;&gt;"",E5205&lt;&gt;"!!!"),"NEW","")))</f>
        <v> </v>
      </c>
      <c r="G5205" s="23" t="str">
        <f>IF(OR(E5205="",E5205="!!!"),"",IF(OR(J5205=0,AND(J5205=1,K5205=1),AND(J5205=1,I5205="SBJ"),AND(J5205=1,I5205=0)),"?IN_FOCUS",IF(J5205&lt;=2,"?ACTIVATED",IF(J5205&lt;&gt;"","?FAMILIAR",IF(F5205="NEW",IF(ISNA(VLOOKUP(E5205,#REF!,1,FALSE())),"?TYPE_IDENTIFIABLE","?REFERENTIAL"),"_")))))</f>
        <v> </v>
      </c>
      <c r="H5205" s="24" t="str">
        <f>IF(J5205&lt;&gt;1,"",IF(I5205="SBJ","CB","?"))</f>
        <v> </v>
      </c>
      <c r="I5205" s="25" t="str">
        <f>IF(OR(E5205="",E5205="!!!",F5205="NEW"),"",INDEX(B5204:B$2,-1+SUMPRODUCT(MAX(ROW(E5204:E$2)*(E5205=E5204:E$2)))))</f>
        <v> </v>
      </c>
      <c r="J5205" s="25" t="str">
        <f>IF(OR(E5205="",E5205="!!!",F5205="NEW"),"",COUNTBLANK(OFFSET(A$1,,,SUMPRODUCT(MAX(ROW(E$2:E5205)*(E5205=E$2:E5205)))))-COUNTBLANK(OFFSET(A$1,,,SUMPRODUCT(MAX(ROW(E$1:E5204)*(E2=E$1:E5204))))))</f>
        <v> </v>
      </c>
      <c r="K5205" s="25" t="str">
        <f>IF(OR(E5205="",E5205="!!!",F5205="NEW"),"",INDEX(J$1:J5204,SUMPRODUCT(MAX(ROW(E$1:E5204)*(E5205=E$1:E5204)))))</f>
        <v> </v>
      </c>
      <c r="L5205" s="26"/>
    </row>
    <row r="5206" spans="1:12">
      <c r="A5206" s="20" t="s">
        <v>1356</v>
      </c>
      <c r="E5206" s="21">
        <f>IF(D5206="?OLD","!!!","")</f>
        <v/>
      </c>
      <c r="F5206" s="22" t="str">
        <f>IF(OR(E5206="",E5206="!!!"),"",IF(NOT(ISNA(VLOOKUP(E5206,E$1:E5205,1,FALSE()))),"OLD",IF(AND(E5206&lt;&gt;"",E5206&lt;&gt;"!!!"),"NEW","")))</f>
        <v> </v>
      </c>
      <c r="G5206" s="23" t="str">
        <f>IF(OR(E5206="",E5206="!!!"),"",IF(OR(J5206=0,AND(J5206=1,K5206=1),AND(J5206=1,I5206="SBJ"),AND(J5206=1,I5206=0)),"?IN_FOCUS",IF(J5206&lt;=2,"?ACTIVATED",IF(J5206&lt;&gt;"","?FAMILIAR",IF(F5206="NEW",IF(ISNA(VLOOKUP(E5206,#REF!,1,FALSE())),"?TYPE_IDENTIFIABLE","?REFERENTIAL"),"_")))))</f>
        <v> </v>
      </c>
      <c r="H5206" s="24" t="str">
        <f>IF(J5206&lt;&gt;1,"",IF(I5206="SBJ","CB","?"))</f>
        <v> </v>
      </c>
      <c r="I5206" s="25" t="str">
        <f>IF(OR(E5206="",E5206="!!!",F5206="NEW"),"",INDEX(B5205:B$2,-1+SUMPRODUCT(MAX(ROW(E5205:E$2)*(E5206=E5205:E$2)))))</f>
        <v> </v>
      </c>
      <c r="J5206" s="25" t="str">
        <f>IF(OR(E5206="",E5206="!!!",F5206="NEW"),"",COUNTBLANK(OFFSET(A$1,,,SUMPRODUCT(MAX(ROW(E$2:E5206)*(E5206=E$2:E5206)))))-COUNTBLANK(OFFSET(A$1,,,SUMPRODUCT(MAX(ROW(E$1:E5205)*(E2=E$1:E5205))))))</f>
        <v> </v>
      </c>
      <c r="K5206" s="25" t="str">
        <f>IF(OR(E5206="",E5206="!!!",F5206="NEW"),"",INDEX(J$1:J5205,SUMPRODUCT(MAX(ROW(E$1:E5205)*(E5206=E$1:E5205)))))</f>
        <v> </v>
      </c>
      <c r="L5206" s="26"/>
    </row>
    <row r="5207" spans="1:12">
      <c r="A5207" s="20" t="s">
        <v>1104</v>
      </c>
      <c r="E5207" s="21">
        <f>IF(D5207="?OLD","!!!","")</f>
        <v/>
      </c>
      <c r="F5207" s="22" t="str">
        <f>IF(OR(E5207="",E5207="!!!"),"",IF(NOT(ISNA(VLOOKUP(E5207,E$1:E5206,1,FALSE()))),"OLD",IF(AND(E5207&lt;&gt;"",E5207&lt;&gt;"!!!"),"NEW","")))</f>
        <v> </v>
      </c>
      <c r="G5207" s="23" t="str">
        <f>IF(OR(E5207="",E5207="!!!"),"",IF(OR(J5207=0,AND(J5207=1,K5207=1),AND(J5207=1,I5207="SBJ"),AND(J5207=1,I5207=0)),"?IN_FOCUS",IF(J5207&lt;=2,"?ACTIVATED",IF(J5207&lt;&gt;"","?FAMILIAR",IF(F5207="NEW",IF(ISNA(VLOOKUP(E5207,#REF!,1,FALSE())),"?TYPE_IDENTIFIABLE","?REFERENTIAL"),"_")))))</f>
        <v> </v>
      </c>
      <c r="H5207" s="24" t="str">
        <f>IF(J5207&lt;&gt;1,"",IF(I5207="SBJ","CB","?"))</f>
        <v> </v>
      </c>
      <c r="I5207" s="25" t="str">
        <f>IF(OR(E5207="",E5207="!!!",F5207="NEW"),"",INDEX(B5206:B$2,-1+SUMPRODUCT(MAX(ROW(E5206:E$2)*(E5207=E5206:E$2)))))</f>
        <v> </v>
      </c>
      <c r="J5207" s="25" t="str">
        <f>IF(OR(E5207="",E5207="!!!",F5207="NEW"),"",COUNTBLANK(OFFSET(A$1,,,SUMPRODUCT(MAX(ROW(E$2:E5207)*(E5207=E$2:E5207)))))-COUNTBLANK(OFFSET(A$1,,,SUMPRODUCT(MAX(ROW(E$1:E5206)*(E2=E$1:E5206))))))</f>
        <v> </v>
      </c>
      <c r="K5207" s="25" t="str">
        <f>IF(OR(E5207="",E5207="!!!",F5207="NEW"),"",INDEX(J$1:J5206,SUMPRODUCT(MAX(ROW(E$1:E5206)*(E5207=E$1:E5206)))))</f>
        <v> </v>
      </c>
      <c r="L5207" s="26"/>
    </row>
    <row r="5208" spans="1:12">
      <c r="A5208" s="20" t="s">
        <v>2540</v>
      </c>
      <c r="E5208" s="21">
        <f>IF(D5208="?OLD","!!!","")</f>
        <v/>
      </c>
      <c r="F5208" s="22" t="str">
        <f>IF(OR(E5208="",E5208="!!!"),"",IF(NOT(ISNA(VLOOKUP(E5208,E$1:E5207,1,FALSE()))),"OLD",IF(AND(E5208&lt;&gt;"",E5208&lt;&gt;"!!!"),"NEW","")))</f>
        <v> </v>
      </c>
      <c r="G5208" s="23" t="str">
        <f>IF(OR(E5208="",E5208="!!!"),"",IF(OR(J5208=0,AND(J5208=1,K5208=1),AND(J5208=1,I5208="SBJ"),AND(J5208=1,I5208=0)),"?IN_FOCUS",IF(J5208&lt;=2,"?ACTIVATED",IF(J5208&lt;&gt;"","?FAMILIAR",IF(F5208="NEW",IF(ISNA(VLOOKUP(E5208,#REF!,1,FALSE())),"?TYPE_IDENTIFIABLE","?REFERENTIAL"),"_")))))</f>
        <v> </v>
      </c>
      <c r="H5208" s="24" t="str">
        <f>IF(J5208&lt;&gt;1,"",IF(I5208="SBJ","CB","?"))</f>
        <v> </v>
      </c>
      <c r="I5208" s="25" t="str">
        <f>IF(OR(E5208="",E5208="!!!",F5208="NEW"),"",INDEX(B5207:B$2,-1+SUMPRODUCT(MAX(ROW(E5207:E$2)*(E5208=E5207:E$2)))))</f>
        <v> </v>
      </c>
      <c r="J5208" s="25" t="str">
        <f>IF(OR(E5208="",E5208="!!!",F5208="NEW"),"",COUNTBLANK(OFFSET(A$1,,,SUMPRODUCT(MAX(ROW(E$2:E5208)*(E5208=E$2:E5208)))))-COUNTBLANK(OFFSET(A$1,,,SUMPRODUCT(MAX(ROW(E$1:E5207)*(E2=E$1:E5207))))))</f>
        <v> </v>
      </c>
      <c r="K5208" s="25" t="str">
        <f>IF(OR(E5208="",E5208="!!!",F5208="NEW"),"",INDEX(J$1:J5207,SUMPRODUCT(MAX(ROW(E$1:E5207)*(E5208=E$1:E5207)))))</f>
        <v> </v>
      </c>
      <c r="L5208" s="26"/>
    </row>
    <row r="5209" spans="1:12">
      <c r="A5209" s="20" t="s">
        <v>2525</v>
      </c>
      <c r="B5209" s="27" t="s">
        <v>1067</v>
      </c>
      <c r="C5209" s="27" t="s">
        <v>1086</v>
      </c>
      <c r="D5209" s="27" t="s">
        <v>1069</v>
      </c>
      <c r="E5209" s="21">
        <f>IF(D5209="?OLD","!!!","")</f>
        <v/>
      </c>
      <c r="F5209" s="22" t="str">
        <f>IF(OR(E5209="",E5209="!!!"),"",IF(NOT(ISNA(VLOOKUP(E5209,E$1:E5208,1,FALSE()))),"OLD",IF(AND(E5209&lt;&gt;"",E5209&lt;&gt;"!!!"),"NEW","")))</f>
        <v> </v>
      </c>
      <c r="G5209" s="23" t="str">
        <f>IF(OR(E5209="",E5209="!!!"),"",IF(OR(J5209=0,AND(J5209=1,K5209=1),AND(J5209=1,I5209="SBJ"),AND(J5209=1,I5209=0)),"?IN_FOCUS",IF(J5209&lt;=2,"?ACTIVATED",IF(J5209&lt;&gt;"","?FAMILIAR",IF(F5209="NEW",IF(ISNA(VLOOKUP(E5209,#REF!,1,FALSE())),"?TYPE_IDENTIFIABLE","?REFERENTIAL"),"_")))))</f>
        <v> </v>
      </c>
      <c r="H5209" s="24" t="str">
        <f>IF(J5209&lt;&gt;1,"",IF(I5209="SBJ","CB","?"))</f>
        <v> </v>
      </c>
      <c r="I5209" s="25" t="str">
        <f>IF(OR(E5209="",E5209="!!!",F5209="NEW"),"",INDEX(B5208:B$2,-1+SUMPRODUCT(MAX(ROW(E5208:E$2)*(E5209=E5208:E$2)))))</f>
        <v> </v>
      </c>
      <c r="J5209" s="25" t="str">
        <f>IF(OR(E5209="",E5209="!!!",F5209="NEW"),"",COUNTBLANK(OFFSET(A$1,,,SUMPRODUCT(MAX(ROW(E$2:E5209)*(E5209=E$2:E5209)))))-COUNTBLANK(OFFSET(A$1,,,SUMPRODUCT(MAX(ROW(E$1:E5208)*(E2=E$1:E5208))))))</f>
        <v> </v>
      </c>
      <c r="K5209" s="25" t="str">
        <f>IF(OR(E5209="",E5209="!!!",F5209="NEW"),"",INDEX(J$1:J5208,SUMPRODUCT(MAX(ROW(E$1:E5208)*(E5209=E$1:E5208)))))</f>
        <v> </v>
      </c>
      <c r="L5209" s="26"/>
    </row>
    <row r="5210" spans="1:12">
      <c r="A5210" s="20" t="s">
        <v>1080</v>
      </c>
      <c r="E5210" s="21">
        <f>IF(D5210="?OLD","!!!","")</f>
        <v/>
      </c>
      <c r="F5210" s="22" t="str">
        <f>IF(OR(E5210="",E5210="!!!"),"",IF(NOT(ISNA(VLOOKUP(E5210,E$1:E5209,1,FALSE()))),"OLD",IF(AND(E5210&lt;&gt;"",E5210&lt;&gt;"!!!"),"NEW","")))</f>
        <v> </v>
      </c>
      <c r="G5210" s="23" t="str">
        <f>IF(OR(E5210="",E5210="!!!"),"",IF(OR(J5210=0,AND(J5210=1,K5210=1),AND(J5210=1,I5210="SBJ"),AND(J5210=1,I5210=0)),"?IN_FOCUS",IF(J5210&lt;=2,"?ACTIVATED",IF(J5210&lt;&gt;"","?FAMILIAR",IF(F5210="NEW",IF(ISNA(VLOOKUP(E5210,#REF!,1,FALSE())),"?TYPE_IDENTIFIABLE","?REFERENTIAL"),"_")))))</f>
        <v> </v>
      </c>
      <c r="H5210" s="24" t="str">
        <f>IF(J5210&lt;&gt;1,"",IF(I5210="SBJ","CB","?"))</f>
        <v> </v>
      </c>
      <c r="I5210" s="25" t="str">
        <f>IF(OR(E5210="",E5210="!!!",F5210="NEW"),"",INDEX(B5209:B$2,-1+SUMPRODUCT(MAX(ROW(E5209:E$2)*(E5210=E5209:E$2)))))</f>
        <v> </v>
      </c>
      <c r="J5210" s="25" t="str">
        <f>IF(OR(E5210="",E5210="!!!",F5210="NEW"),"",COUNTBLANK(OFFSET(A$1,,,SUMPRODUCT(MAX(ROW(E$2:E5210)*(E5210=E$2:E5210)))))-COUNTBLANK(OFFSET(A$1,,,SUMPRODUCT(MAX(ROW(E$1:E5209)*(E2=E$1:E5209))))))</f>
        <v> </v>
      </c>
      <c r="K5210" s="25" t="str">
        <f>IF(OR(E5210="",E5210="!!!",F5210="NEW"),"",INDEX(J$1:J5209,SUMPRODUCT(MAX(ROW(E$1:E5209)*(E5210=E$1:E5209)))))</f>
        <v> </v>
      </c>
      <c r="L5210" s="26"/>
    </row>
    <row r="5211" spans="1:12">
      <c r="A5211" s="20"/>
    </row>
    <row r="5212" spans="1:12">
      <c r="A5212" s="20" t="s">
        <v>2541</v>
      </c>
    </row>
    <row r="5213" spans="1:12">
      <c r="A5213" s="20" t="s">
        <v>1158</v>
      </c>
      <c r="B5213" s="27" t="s">
        <v>1067</v>
      </c>
      <c r="C5213" s="27" t="s">
        <v>1068</v>
      </c>
      <c r="D5213" s="27" t="s">
        <v>1069</v>
      </c>
      <c r="E5213" s="21">
        <f>IF(D5213="?OLD","!!!","")</f>
        <v/>
      </c>
      <c r="F5213" s="22" t="str">
        <f>IF(OR(E5213="",E5213="!!!"),"",IF(NOT(ISNA(VLOOKUP(E5213,E$1:E5212,1,FALSE()))),"OLD",IF(AND(E5213&lt;&gt;"",E5213&lt;&gt;"!!!"),"NEW","")))</f>
        <v> </v>
      </c>
      <c r="G5213" s="23" t="str">
        <f>IF(OR(E5213="",E5213="!!!"),"",IF(OR(J5213=0,AND(J5213=1,K5213=1),AND(J5213=1,I5213="SBJ"),AND(J5213=1,I5213=0)),"?IN_FOCUS",IF(J5213&lt;=2,"?ACTIVATED",IF(J5213&lt;&gt;"","?FAMILIAR",IF(F5213="NEW",IF(ISNA(VLOOKUP(E5213,#REF!,1,FALSE())),"?TYPE_IDENTIFIABLE","?REFERENTIAL"),"_")))))</f>
        <v> </v>
      </c>
      <c r="H5213" s="24" t="str">
        <f>IF(J5213&lt;&gt;1,"",IF(I5213="SBJ","CB","?"))</f>
        <v> </v>
      </c>
      <c r="I5213" s="25" t="str">
        <f>IF(OR(E5213="",E5213="!!!",F5213="NEW"),"",INDEX(B5212:B$2,-1+SUMPRODUCT(MAX(ROW(E5212:E$2)*(E5213=E5212:E$2)))))</f>
        <v> </v>
      </c>
      <c r="J5213" s="25" t="str">
        <f>IF(OR(E5213="",E5213="!!!",F5213="NEW"),"",COUNTBLANK(OFFSET(A$1,,,SUMPRODUCT(MAX(ROW(E$2:E5213)*(E5213=E$2:E5213)))))-COUNTBLANK(OFFSET(A$1,,,SUMPRODUCT(MAX(ROW(E$1:E5212)*(E2=E$1:E5212))))))</f>
        <v> </v>
      </c>
      <c r="K5213" s="25" t="str">
        <f>IF(OR(E5213="",E5213="!!!",F5213="NEW"),"",INDEX(J$1:J5212,SUMPRODUCT(MAX(ROW(E$1:E5212)*(E5213=E$1:E5212)))))</f>
        <v> </v>
      </c>
      <c r="L5213" s="26"/>
    </row>
    <row r="5214" spans="1:12">
      <c r="A5214" s="20" t="s">
        <v>2542</v>
      </c>
      <c r="E5214" s="21">
        <f>IF(D5214="?OLD","!!!","")</f>
        <v/>
      </c>
      <c r="F5214" s="22" t="str">
        <f>IF(OR(E5214="",E5214="!!!"),"",IF(NOT(ISNA(VLOOKUP(E5214,E$1:E5213,1,FALSE()))),"OLD",IF(AND(E5214&lt;&gt;"",E5214&lt;&gt;"!!!"),"NEW","")))</f>
        <v> </v>
      </c>
      <c r="G5214" s="23" t="str">
        <f>IF(OR(E5214="",E5214="!!!"),"",IF(OR(J5214=0,AND(J5214=1,K5214=1),AND(J5214=1,I5214="SBJ"),AND(J5214=1,I5214=0)),"?IN_FOCUS",IF(J5214&lt;=2,"?ACTIVATED",IF(J5214&lt;&gt;"","?FAMILIAR",IF(F5214="NEW",IF(ISNA(VLOOKUP(E5214,#REF!,1,FALSE())),"?TYPE_IDENTIFIABLE","?REFERENTIAL"),"_")))))</f>
        <v> </v>
      </c>
      <c r="H5214" s="24" t="str">
        <f>IF(J5214&lt;&gt;1,"",IF(I5214="SBJ","CB","?"))</f>
        <v> </v>
      </c>
      <c r="I5214" s="25" t="str">
        <f>IF(OR(E5214="",E5214="!!!",F5214="NEW"),"",INDEX(B5213:B$2,-1+SUMPRODUCT(MAX(ROW(E5213:E$2)*(E5214=E5213:E$2)))))</f>
        <v> </v>
      </c>
      <c r="J5214" s="25" t="str">
        <f>IF(OR(E5214="",E5214="!!!",F5214="NEW"),"",COUNTBLANK(OFFSET(A$1,,,SUMPRODUCT(MAX(ROW(E$2:E5214)*(E5214=E$2:E5214)))))-COUNTBLANK(OFFSET(A$1,,,SUMPRODUCT(MAX(ROW(E$1:E5213)*(E2=E$1:E5213))))))</f>
        <v> </v>
      </c>
      <c r="K5214" s="25" t="str">
        <f>IF(OR(E5214="",E5214="!!!",F5214="NEW"),"",INDEX(J$1:J5213,SUMPRODUCT(MAX(ROW(E$1:E5213)*(E5214=E$1:E5213)))))</f>
        <v> </v>
      </c>
      <c r="L5214" s="26"/>
    </row>
    <row r="5215" spans="1:12">
      <c r="A5215" s="20" t="s">
        <v>1689</v>
      </c>
      <c r="E5215" s="21">
        <f>IF(D5215="?OLD","!!!","")</f>
        <v/>
      </c>
      <c r="F5215" s="22" t="str">
        <f>IF(OR(E5215="",E5215="!!!"),"",IF(NOT(ISNA(VLOOKUP(E5215,E$1:E5214,1,FALSE()))),"OLD",IF(AND(E5215&lt;&gt;"",E5215&lt;&gt;"!!!"),"NEW","")))</f>
        <v> </v>
      </c>
      <c r="G5215" s="23" t="str">
        <f>IF(OR(E5215="",E5215="!!!"),"",IF(OR(J5215=0,AND(J5215=1,K5215=1),AND(J5215=1,I5215="SBJ"),AND(J5215=1,I5215=0)),"?IN_FOCUS",IF(J5215&lt;=2,"?ACTIVATED",IF(J5215&lt;&gt;"","?FAMILIAR",IF(F5215="NEW",IF(ISNA(VLOOKUP(E5215,#REF!,1,FALSE())),"?TYPE_IDENTIFIABLE","?REFERENTIAL"),"_")))))</f>
        <v> </v>
      </c>
      <c r="H5215" s="24" t="str">
        <f>IF(J5215&lt;&gt;1,"",IF(I5215="SBJ","CB","?"))</f>
        <v> </v>
      </c>
      <c r="I5215" s="25" t="str">
        <f>IF(OR(E5215="",E5215="!!!",F5215="NEW"),"",INDEX(B5214:B$2,-1+SUMPRODUCT(MAX(ROW(E5214:E$2)*(E5215=E5214:E$2)))))</f>
        <v> </v>
      </c>
      <c r="J5215" s="25" t="str">
        <f>IF(OR(E5215="",E5215="!!!",F5215="NEW"),"",COUNTBLANK(OFFSET(A$1,,,SUMPRODUCT(MAX(ROW(E$2:E5215)*(E5215=E$2:E5215)))))-COUNTBLANK(OFFSET(A$1,,,SUMPRODUCT(MAX(ROW(E$1:E5214)*(E2=E$1:E5214))))))</f>
        <v> </v>
      </c>
      <c r="K5215" s="25" t="str">
        <f>IF(OR(E5215="",E5215="!!!",F5215="NEW"),"",INDEX(J$1:J5214,SUMPRODUCT(MAX(ROW(E$1:E5214)*(E5215=E$1:E5214)))))</f>
        <v> </v>
      </c>
      <c r="L5215" s="26"/>
    </row>
    <row r="5216" spans="1:12">
      <c r="A5216" s="20" t="s">
        <v>1087</v>
      </c>
      <c r="E5216" s="21">
        <f>IF(D5216="?OLD","!!!","")</f>
        <v/>
      </c>
      <c r="F5216" s="22" t="str">
        <f>IF(OR(E5216="",E5216="!!!"),"",IF(NOT(ISNA(VLOOKUP(E5216,E$1:E5215,1,FALSE()))),"OLD",IF(AND(E5216&lt;&gt;"",E5216&lt;&gt;"!!!"),"NEW","")))</f>
        <v> </v>
      </c>
      <c r="G5216" s="23" t="str">
        <f>IF(OR(E5216="",E5216="!!!"),"",IF(OR(J5216=0,AND(J5216=1,K5216=1),AND(J5216=1,I5216="SBJ"),AND(J5216=1,I5216=0)),"?IN_FOCUS",IF(J5216&lt;=2,"?ACTIVATED",IF(J5216&lt;&gt;"","?FAMILIAR",IF(F5216="NEW",IF(ISNA(VLOOKUP(E5216,#REF!,1,FALSE())),"?TYPE_IDENTIFIABLE","?REFERENTIAL"),"_")))))</f>
        <v> </v>
      </c>
      <c r="H5216" s="24" t="str">
        <f>IF(J5216&lt;&gt;1,"",IF(I5216="SBJ","CB","?"))</f>
        <v> </v>
      </c>
      <c r="I5216" s="25" t="str">
        <f>IF(OR(E5216="",E5216="!!!",F5216="NEW"),"",INDEX(B5215:B$2,-1+SUMPRODUCT(MAX(ROW(E5215:E$2)*(E5216=E5215:E$2)))))</f>
        <v> </v>
      </c>
      <c r="J5216" s="25" t="str">
        <f>IF(OR(E5216="",E5216="!!!",F5216="NEW"),"",COUNTBLANK(OFFSET(A$1,,,SUMPRODUCT(MAX(ROW(E$2:E5216)*(E5216=E$2:E5216)))))-COUNTBLANK(OFFSET(A$1,,,SUMPRODUCT(MAX(ROW(E$1:E5215)*(E2=E$1:E5215))))))</f>
        <v> </v>
      </c>
      <c r="K5216" s="25" t="str">
        <f>IF(OR(E5216="",E5216="!!!",F5216="NEW"),"",INDEX(J$1:J5215,SUMPRODUCT(MAX(ROW(E$1:E5215)*(E5216=E$1:E5215)))))</f>
        <v> </v>
      </c>
      <c r="L5216" s="26"/>
    </row>
    <row r="5217" spans="1:12">
      <c r="A5217" s="20" t="s">
        <v>1351</v>
      </c>
      <c r="B5217" s="27" t="s">
        <v>1095</v>
      </c>
      <c r="C5217" s="27" t="s">
        <v>1072</v>
      </c>
      <c r="E5217" s="21">
        <f>IF(D5217="?OLD","!!!","")</f>
        <v/>
      </c>
      <c r="F5217" s="22" t="str">
        <f>IF(OR(E5217="",E5217="!!!"),"",IF(NOT(ISNA(VLOOKUP(E5217,E$1:E5216,1,FALSE()))),"OLD",IF(AND(E5217&lt;&gt;"",E5217&lt;&gt;"!!!"),"NEW","")))</f>
        <v> </v>
      </c>
      <c r="G5217" s="23" t="str">
        <f>IF(OR(E5217="",E5217="!!!"),"",IF(OR(J5217=0,AND(J5217=1,K5217=1),AND(J5217=1,I5217="SBJ"),AND(J5217=1,I5217=0)),"?IN_FOCUS",IF(J5217&lt;=2,"?ACTIVATED",IF(J5217&lt;&gt;"","?FAMILIAR",IF(F5217="NEW",IF(ISNA(VLOOKUP(E5217,#REF!,1,FALSE())),"?TYPE_IDENTIFIABLE","?REFERENTIAL"),"_")))))</f>
        <v> </v>
      </c>
      <c r="H5217" s="24" t="str">
        <f>IF(J5217&lt;&gt;1,"",IF(I5217="SBJ","CB","?"))</f>
        <v> </v>
      </c>
      <c r="I5217" s="25" t="str">
        <f>IF(OR(E5217="",E5217="!!!",F5217="NEW"),"",INDEX(B5216:B$2,-1+SUMPRODUCT(MAX(ROW(E5216:E$2)*(E5217=E5216:E$2)))))</f>
        <v> </v>
      </c>
      <c r="J5217" s="25" t="str">
        <f>IF(OR(E5217="",E5217="!!!",F5217="NEW"),"",COUNTBLANK(OFFSET(A$1,,,SUMPRODUCT(MAX(ROW(E$2:E5217)*(E5217=E$2:E5217)))))-COUNTBLANK(OFFSET(A$1,,,SUMPRODUCT(MAX(ROW(E$1:E5216)*(E2=E$1:E5216))))))</f>
        <v> </v>
      </c>
      <c r="K5217" s="25" t="str">
        <f>IF(OR(E5217="",E5217="!!!",F5217="NEW"),"",INDEX(J$1:J5216,SUMPRODUCT(MAX(ROW(E$1:E5216)*(E5217=E$1:E5216)))))</f>
        <v> </v>
      </c>
      <c r="L5217" s="26"/>
    </row>
    <row r="5218" spans="1:12">
      <c r="A5218" s="20" t="s">
        <v>1191</v>
      </c>
      <c r="E5218" s="21">
        <f>IF(D5218="?OLD","!!!","")</f>
        <v/>
      </c>
      <c r="F5218" s="22" t="str">
        <f>IF(OR(E5218="",E5218="!!!"),"",IF(NOT(ISNA(VLOOKUP(E5218,E$1:E5217,1,FALSE()))),"OLD",IF(AND(E5218&lt;&gt;"",E5218&lt;&gt;"!!!"),"NEW","")))</f>
        <v> </v>
      </c>
      <c r="G5218" s="23" t="str">
        <f>IF(OR(E5218="",E5218="!!!"),"",IF(OR(J5218=0,AND(J5218=1,K5218=1),AND(J5218=1,I5218="SBJ"),AND(J5218=1,I5218=0)),"?IN_FOCUS",IF(J5218&lt;=2,"?ACTIVATED",IF(J5218&lt;&gt;"","?FAMILIAR",IF(F5218="NEW",IF(ISNA(VLOOKUP(E5218,#REF!,1,FALSE())),"?TYPE_IDENTIFIABLE","?REFERENTIAL"),"_")))))</f>
        <v> </v>
      </c>
      <c r="H5218" s="24" t="str">
        <f>IF(J5218&lt;&gt;1,"",IF(I5218="SBJ","CB","?"))</f>
        <v> </v>
      </c>
      <c r="I5218" s="25" t="str">
        <f>IF(OR(E5218="",E5218="!!!",F5218="NEW"),"",INDEX(B5217:B$2,-1+SUMPRODUCT(MAX(ROW(E5217:E$2)*(E5218=E5217:E$2)))))</f>
        <v> </v>
      </c>
      <c r="J5218" s="25" t="str">
        <f>IF(OR(E5218="",E5218="!!!",F5218="NEW"),"",COUNTBLANK(OFFSET(A$1,,,SUMPRODUCT(MAX(ROW(E$2:E5218)*(E5218=E$2:E5218)))))-COUNTBLANK(OFFSET(A$1,,,SUMPRODUCT(MAX(ROW(E$1:E5217)*(E2=E$1:E5217))))))</f>
        <v> </v>
      </c>
      <c r="K5218" s="25" t="str">
        <f>IF(OR(E5218="",E5218="!!!",F5218="NEW"),"",INDEX(J$1:J5217,SUMPRODUCT(MAX(ROW(E$1:E5217)*(E5218=E$1:E5217)))))</f>
        <v> </v>
      </c>
      <c r="L5218" s="26"/>
    </row>
    <row r="5219" spans="1:12">
      <c r="A5219" s="20" t="s">
        <v>1193</v>
      </c>
      <c r="E5219" s="21">
        <f>IF(D5219="?OLD","!!!","")</f>
        <v/>
      </c>
      <c r="F5219" s="22" t="str">
        <f>IF(OR(E5219="",E5219="!!!"),"",IF(NOT(ISNA(VLOOKUP(E5219,E$1:E5218,1,FALSE()))),"OLD",IF(AND(E5219&lt;&gt;"",E5219&lt;&gt;"!!!"),"NEW","")))</f>
        <v> </v>
      </c>
      <c r="G5219" s="23" t="str">
        <f>IF(OR(E5219="",E5219="!!!"),"",IF(OR(J5219=0,AND(J5219=1,K5219=1),AND(J5219=1,I5219="SBJ"),AND(J5219=1,I5219=0)),"?IN_FOCUS",IF(J5219&lt;=2,"?ACTIVATED",IF(J5219&lt;&gt;"","?FAMILIAR",IF(F5219="NEW",IF(ISNA(VLOOKUP(E5219,#REF!,1,FALSE())),"?TYPE_IDENTIFIABLE","?REFERENTIAL"),"_")))))</f>
        <v> </v>
      </c>
      <c r="H5219" s="24" t="str">
        <f>IF(J5219&lt;&gt;1,"",IF(I5219="SBJ","CB","?"))</f>
        <v> </v>
      </c>
      <c r="I5219" s="25" t="str">
        <f>IF(OR(E5219="",E5219="!!!",F5219="NEW"),"",INDEX(B5218:B$2,-1+SUMPRODUCT(MAX(ROW(E5218:E$2)*(E5219=E5218:E$2)))))</f>
        <v> </v>
      </c>
      <c r="J5219" s="25" t="str">
        <f>IF(OR(E5219="",E5219="!!!",F5219="NEW"),"",COUNTBLANK(OFFSET(A$1,,,SUMPRODUCT(MAX(ROW(E$2:E5219)*(E5219=E$2:E5219)))))-COUNTBLANK(OFFSET(A$1,,,SUMPRODUCT(MAX(ROW(E$1:E5218)*(E2=E$1:E5218))))))</f>
        <v> </v>
      </c>
      <c r="K5219" s="25" t="str">
        <f>IF(OR(E5219="",E5219="!!!",F5219="NEW"),"",INDEX(J$1:J5218,SUMPRODUCT(MAX(ROW(E$1:E5218)*(E5219=E$1:E5218)))))</f>
        <v> </v>
      </c>
      <c r="L5219" s="26"/>
    </row>
    <row r="5220" spans="1:12">
      <c r="A5220" s="20" t="s">
        <v>2417</v>
      </c>
      <c r="E5220" s="21">
        <f>IF(D5220="?OLD","!!!","")</f>
        <v/>
      </c>
      <c r="F5220" s="22" t="str">
        <f>IF(OR(E5220="",E5220="!!!"),"",IF(NOT(ISNA(VLOOKUP(E5220,E$1:E5219,1,FALSE()))),"OLD",IF(AND(E5220&lt;&gt;"",E5220&lt;&gt;"!!!"),"NEW","")))</f>
        <v> </v>
      </c>
      <c r="G5220" s="23" t="str">
        <f>IF(OR(E5220="",E5220="!!!"),"",IF(OR(J5220=0,AND(J5220=1,K5220=1),AND(J5220=1,I5220="SBJ"),AND(J5220=1,I5220=0)),"?IN_FOCUS",IF(J5220&lt;=2,"?ACTIVATED",IF(J5220&lt;&gt;"","?FAMILIAR",IF(F5220="NEW",IF(ISNA(VLOOKUP(E5220,#REF!,1,FALSE())),"?TYPE_IDENTIFIABLE","?REFERENTIAL"),"_")))))</f>
        <v> </v>
      </c>
      <c r="H5220" s="24" t="str">
        <f>IF(J5220&lt;&gt;1,"",IF(I5220="SBJ","CB","?"))</f>
        <v> </v>
      </c>
      <c r="I5220" s="25" t="str">
        <f>IF(OR(E5220="",E5220="!!!",F5220="NEW"),"",INDEX(B5219:B$2,-1+SUMPRODUCT(MAX(ROW(E5219:E$2)*(E5220=E5219:E$2)))))</f>
        <v> </v>
      </c>
      <c r="J5220" s="25" t="str">
        <f>IF(OR(E5220="",E5220="!!!",F5220="NEW"),"",COUNTBLANK(OFFSET(A$1,,,SUMPRODUCT(MAX(ROW(E$2:E5220)*(E5220=E$2:E5220)))))-COUNTBLANK(OFFSET(A$1,,,SUMPRODUCT(MAX(ROW(E$1:E5219)*(E2=E$1:E5219))))))</f>
        <v> </v>
      </c>
      <c r="K5220" s="25" t="str">
        <f>IF(OR(E5220="",E5220="!!!",F5220="NEW"),"",INDEX(J$1:J5219,SUMPRODUCT(MAX(ROW(E$1:E5219)*(E5220=E$1:E5219)))))</f>
        <v> </v>
      </c>
      <c r="L5220" s="26"/>
    </row>
    <row r="5221" spans="1:12">
      <c r="A5221" s="20" t="s">
        <v>1753</v>
      </c>
      <c r="E5221" s="21">
        <f>IF(D5221="?OLD","!!!","")</f>
        <v/>
      </c>
      <c r="F5221" s="22" t="str">
        <f>IF(OR(E5221="",E5221="!!!"),"",IF(NOT(ISNA(VLOOKUP(E5221,E$1:E5220,1,FALSE()))),"OLD",IF(AND(E5221&lt;&gt;"",E5221&lt;&gt;"!!!"),"NEW","")))</f>
        <v> </v>
      </c>
      <c r="G5221" s="23" t="str">
        <f>IF(OR(E5221="",E5221="!!!"),"",IF(OR(J5221=0,AND(J5221=1,K5221=1),AND(J5221=1,I5221="SBJ"),AND(J5221=1,I5221=0)),"?IN_FOCUS",IF(J5221&lt;=2,"?ACTIVATED",IF(J5221&lt;&gt;"","?FAMILIAR",IF(F5221="NEW",IF(ISNA(VLOOKUP(E5221,#REF!,1,FALSE())),"?TYPE_IDENTIFIABLE","?REFERENTIAL"),"_")))))</f>
        <v> </v>
      </c>
      <c r="H5221" s="24" t="str">
        <f>IF(J5221&lt;&gt;1,"",IF(I5221="SBJ","CB","?"))</f>
        <v> </v>
      </c>
      <c r="I5221" s="25" t="str">
        <f>IF(OR(E5221="",E5221="!!!",F5221="NEW"),"",INDEX(B5220:B$2,-1+SUMPRODUCT(MAX(ROW(E5220:E$2)*(E5221=E5220:E$2)))))</f>
        <v> </v>
      </c>
      <c r="J5221" s="25" t="str">
        <f>IF(OR(E5221="",E5221="!!!",F5221="NEW"),"",COUNTBLANK(OFFSET(A$1,,,SUMPRODUCT(MAX(ROW(E$2:E5221)*(E5221=E$2:E5221)))))-COUNTBLANK(OFFSET(A$1,,,SUMPRODUCT(MAX(ROW(E$1:E5220)*(E2=E$1:E5220))))))</f>
        <v> </v>
      </c>
      <c r="K5221" s="25" t="str">
        <f>IF(OR(E5221="",E5221="!!!",F5221="NEW"),"",INDEX(J$1:J5220,SUMPRODUCT(MAX(ROW(E$1:E5220)*(E5221=E$1:E5220)))))</f>
        <v> </v>
      </c>
      <c r="L5221" s="26"/>
    </row>
    <row r="5222" spans="1:12">
      <c r="A5222" s="20" t="s">
        <v>1291</v>
      </c>
      <c r="E5222" s="21">
        <f>IF(D5222="?OLD","!!!","")</f>
        <v/>
      </c>
      <c r="F5222" s="22" t="str">
        <f>IF(OR(E5222="",E5222="!!!"),"",IF(NOT(ISNA(VLOOKUP(E5222,E$1:E5221,1,FALSE()))),"OLD",IF(AND(E5222&lt;&gt;"",E5222&lt;&gt;"!!!"),"NEW","")))</f>
        <v> </v>
      </c>
      <c r="G5222" s="23" t="str">
        <f>IF(OR(E5222="",E5222="!!!"),"",IF(OR(J5222=0,AND(J5222=1,K5222=1),AND(J5222=1,I5222="SBJ"),AND(J5222=1,I5222=0)),"?IN_FOCUS",IF(J5222&lt;=2,"?ACTIVATED",IF(J5222&lt;&gt;"","?FAMILIAR",IF(F5222="NEW",IF(ISNA(VLOOKUP(E5222,#REF!,1,FALSE())),"?TYPE_IDENTIFIABLE","?REFERENTIAL"),"_")))))</f>
        <v> </v>
      </c>
      <c r="H5222" s="24" t="str">
        <f>IF(J5222&lt;&gt;1,"",IF(I5222="SBJ","CB","?"))</f>
        <v> </v>
      </c>
      <c r="I5222" s="25" t="str">
        <f>IF(OR(E5222="",E5222="!!!",F5222="NEW"),"",INDEX(B5221:B$2,-1+SUMPRODUCT(MAX(ROW(E5221:E$2)*(E5222=E5221:E$2)))))</f>
        <v> </v>
      </c>
      <c r="J5222" s="25" t="str">
        <f>IF(OR(E5222="",E5222="!!!",F5222="NEW"),"",COUNTBLANK(OFFSET(A$1,,,SUMPRODUCT(MAX(ROW(E$2:E5222)*(E5222=E$2:E5222)))))-COUNTBLANK(OFFSET(A$1,,,SUMPRODUCT(MAX(ROW(E$1:E5221)*(E2=E$1:E5221))))))</f>
        <v> </v>
      </c>
      <c r="K5222" s="25" t="str">
        <f>IF(OR(E5222="",E5222="!!!",F5222="NEW"),"",INDEX(J$1:J5221,SUMPRODUCT(MAX(ROW(E$1:E5221)*(E5222=E$1:E5221)))))</f>
        <v> </v>
      </c>
      <c r="L5222" s="26"/>
    </row>
    <row r="5223" spans="1:12">
      <c r="A5223" s="20" t="s">
        <v>2543</v>
      </c>
      <c r="B5223" s="27" t="s">
        <v>1071</v>
      </c>
      <c r="C5223" s="27" t="s">
        <v>1120</v>
      </c>
      <c r="E5223" s="21">
        <f>IF(D5223="?OLD","!!!","")</f>
        <v/>
      </c>
      <c r="F5223" s="22" t="str">
        <f>IF(OR(E5223="",E5223="!!!"),"",IF(NOT(ISNA(VLOOKUP(E5223,E$1:E5222,1,FALSE()))),"OLD",IF(AND(E5223&lt;&gt;"",E5223&lt;&gt;"!!!"),"NEW","")))</f>
        <v> </v>
      </c>
      <c r="G5223" s="23" t="str">
        <f>IF(OR(E5223="",E5223="!!!"),"",IF(OR(J5223=0,AND(J5223=1,K5223=1),AND(J5223=1,I5223="SBJ"),AND(J5223=1,I5223=0)),"?IN_FOCUS",IF(J5223&lt;=2,"?ACTIVATED",IF(J5223&lt;&gt;"","?FAMILIAR",IF(F5223="NEW",IF(ISNA(VLOOKUP(E5223,#REF!,1,FALSE())),"?TYPE_IDENTIFIABLE","?REFERENTIAL"),"_")))))</f>
        <v> </v>
      </c>
      <c r="H5223" s="24" t="str">
        <f>IF(J5223&lt;&gt;1,"",IF(I5223="SBJ","CB","?"))</f>
        <v> </v>
      </c>
      <c r="I5223" s="25" t="str">
        <f>IF(OR(E5223="",E5223="!!!",F5223="NEW"),"",INDEX(B5222:B$2,-1+SUMPRODUCT(MAX(ROW(E5222:E$2)*(E5223=E5222:E$2)))))</f>
        <v> </v>
      </c>
      <c r="J5223" s="25" t="str">
        <f>IF(OR(E5223="",E5223="!!!",F5223="NEW"),"",COUNTBLANK(OFFSET(A$1,,,SUMPRODUCT(MAX(ROW(E$2:E5223)*(E5223=E$2:E5223)))))-COUNTBLANK(OFFSET(A$1,,,SUMPRODUCT(MAX(ROW(E$1:E5222)*(E2=E$1:E5222))))))</f>
        <v> </v>
      </c>
      <c r="K5223" s="25" t="str">
        <f>IF(OR(E5223="",E5223="!!!",F5223="NEW"),"",INDEX(J$1:J5222,SUMPRODUCT(MAX(ROW(E$1:E5222)*(E5223=E$1:E5222)))))</f>
        <v> </v>
      </c>
      <c r="L5223" s="26"/>
    </row>
    <row r="5224" spans="1:12">
      <c r="A5224" s="20" t="s">
        <v>1078</v>
      </c>
      <c r="E5224" s="21">
        <f>IF(D5224="?OLD","!!!","")</f>
        <v/>
      </c>
      <c r="F5224" s="22" t="str">
        <f>IF(OR(E5224="",E5224="!!!"),"",IF(NOT(ISNA(VLOOKUP(E5224,E$1:E5223,1,FALSE()))),"OLD",IF(AND(E5224&lt;&gt;"",E5224&lt;&gt;"!!!"),"NEW","")))</f>
        <v> </v>
      </c>
      <c r="G5224" s="23" t="str">
        <f>IF(OR(E5224="",E5224="!!!"),"",IF(OR(J5224=0,AND(J5224=1,K5224=1),AND(J5224=1,I5224="SBJ"),AND(J5224=1,I5224=0)),"?IN_FOCUS",IF(J5224&lt;=2,"?ACTIVATED",IF(J5224&lt;&gt;"","?FAMILIAR",IF(F5224="NEW",IF(ISNA(VLOOKUP(E5224,#REF!,1,FALSE())),"?TYPE_IDENTIFIABLE","?REFERENTIAL"),"_")))))</f>
        <v> </v>
      </c>
      <c r="H5224" s="24" t="str">
        <f>IF(J5224&lt;&gt;1,"",IF(I5224="SBJ","CB","?"))</f>
        <v> </v>
      </c>
      <c r="I5224" s="25" t="str">
        <f>IF(OR(E5224="",E5224="!!!",F5224="NEW"),"",INDEX(B5223:B$2,-1+SUMPRODUCT(MAX(ROW(E5223:E$2)*(E5224=E5223:E$2)))))</f>
        <v> </v>
      </c>
      <c r="J5224" s="25" t="str">
        <f>IF(OR(E5224="",E5224="!!!",F5224="NEW"),"",COUNTBLANK(OFFSET(A$1,,,SUMPRODUCT(MAX(ROW(E$2:E5224)*(E5224=E$2:E5224)))))-COUNTBLANK(OFFSET(A$1,,,SUMPRODUCT(MAX(ROW(E$1:E5223)*(E2=E$1:E5223))))))</f>
        <v> </v>
      </c>
      <c r="K5224" s="25" t="str">
        <f>IF(OR(E5224="",E5224="!!!",F5224="NEW"),"",INDEX(J$1:J5223,SUMPRODUCT(MAX(ROW(E$1:E5223)*(E5224=E$1:E5223)))))</f>
        <v> </v>
      </c>
      <c r="L5224" s="26"/>
    </row>
    <row r="5225" spans="1:12">
      <c r="A5225" s="20" t="s">
        <v>2544</v>
      </c>
      <c r="E5225" s="21">
        <f>IF(D5225="?OLD","!!!","")</f>
        <v/>
      </c>
      <c r="F5225" s="22" t="str">
        <f>IF(OR(E5225="",E5225="!!!"),"",IF(NOT(ISNA(VLOOKUP(E5225,E$1:E5224,1,FALSE()))),"OLD",IF(AND(E5225&lt;&gt;"",E5225&lt;&gt;"!!!"),"NEW","")))</f>
        <v> </v>
      </c>
      <c r="G5225" s="23" t="str">
        <f>IF(OR(E5225="",E5225="!!!"),"",IF(OR(J5225=0,AND(J5225=1,K5225=1),AND(J5225=1,I5225="SBJ"),AND(J5225=1,I5225=0)),"?IN_FOCUS",IF(J5225&lt;=2,"?ACTIVATED",IF(J5225&lt;&gt;"","?FAMILIAR",IF(F5225="NEW",IF(ISNA(VLOOKUP(E5225,#REF!,1,FALSE())),"?TYPE_IDENTIFIABLE","?REFERENTIAL"),"_")))))</f>
        <v> </v>
      </c>
      <c r="H5225" s="24" t="str">
        <f>IF(J5225&lt;&gt;1,"",IF(I5225="SBJ","CB","?"))</f>
        <v> </v>
      </c>
      <c r="I5225" s="25" t="str">
        <f>IF(OR(E5225="",E5225="!!!",F5225="NEW"),"",INDEX(B5224:B$2,-1+SUMPRODUCT(MAX(ROW(E5224:E$2)*(E5225=E5224:E$2)))))</f>
        <v> </v>
      </c>
      <c r="J5225" s="25" t="str">
        <f>IF(OR(E5225="",E5225="!!!",F5225="NEW"),"",COUNTBLANK(OFFSET(A$1,,,SUMPRODUCT(MAX(ROW(E$2:E5225)*(E5225=E$2:E5225)))))-COUNTBLANK(OFFSET(A$1,,,SUMPRODUCT(MAX(ROW(E$1:E5224)*(E2=E$1:E5224))))))</f>
        <v> </v>
      </c>
      <c r="K5225" s="25" t="str">
        <f>IF(OR(E5225="",E5225="!!!",F5225="NEW"),"",INDEX(J$1:J5224,SUMPRODUCT(MAX(ROW(E$1:E5224)*(E5225=E$1:E5224)))))</f>
        <v> </v>
      </c>
      <c r="L5225" s="26"/>
    </row>
    <row r="5226" spans="1:12">
      <c r="A5226" s="20" t="s">
        <v>1198</v>
      </c>
      <c r="E5226" s="21">
        <f>IF(D5226="?OLD","!!!","")</f>
        <v/>
      </c>
      <c r="F5226" s="22" t="str">
        <f>IF(OR(E5226="",E5226="!!!"),"",IF(NOT(ISNA(VLOOKUP(E5226,E$1:E5225,1,FALSE()))),"OLD",IF(AND(E5226&lt;&gt;"",E5226&lt;&gt;"!!!"),"NEW","")))</f>
        <v> </v>
      </c>
      <c r="G5226" s="23" t="str">
        <f>IF(OR(E5226="",E5226="!!!"),"",IF(OR(J5226=0,AND(J5226=1,K5226=1),AND(J5226=1,I5226="SBJ"),AND(J5226=1,I5226=0)),"?IN_FOCUS",IF(J5226&lt;=2,"?ACTIVATED",IF(J5226&lt;&gt;"","?FAMILIAR",IF(F5226="NEW",IF(ISNA(VLOOKUP(E5226,#REF!,1,FALSE())),"?TYPE_IDENTIFIABLE","?REFERENTIAL"),"_")))))</f>
        <v> </v>
      </c>
      <c r="H5226" s="24" t="str">
        <f>IF(J5226&lt;&gt;1,"",IF(I5226="SBJ","CB","?"))</f>
        <v> </v>
      </c>
      <c r="I5226" s="25" t="str">
        <f>IF(OR(E5226="",E5226="!!!",F5226="NEW"),"",INDEX(B5225:B$2,-1+SUMPRODUCT(MAX(ROW(E5225:E$2)*(E5226=E5225:E$2)))))</f>
        <v> </v>
      </c>
      <c r="J5226" s="25" t="str">
        <f>IF(OR(E5226="",E5226="!!!",F5226="NEW"),"",COUNTBLANK(OFFSET(A$1,,,SUMPRODUCT(MAX(ROW(E$2:E5226)*(E5226=E$2:E5226)))))-COUNTBLANK(OFFSET(A$1,,,SUMPRODUCT(MAX(ROW(E$1:E5225)*(E2=E$1:E5225))))))</f>
        <v> </v>
      </c>
      <c r="K5226" s="25" t="str">
        <f>IF(OR(E5226="",E5226="!!!",F5226="NEW"),"",INDEX(J$1:J5225,SUMPRODUCT(MAX(ROW(E$1:E5225)*(E5226=E$1:E5225)))))</f>
        <v> </v>
      </c>
      <c r="L5226" s="26"/>
    </row>
    <row r="5227" spans="1:12">
      <c r="A5227" s="20" t="s">
        <v>2037</v>
      </c>
      <c r="E5227" s="21">
        <f>IF(D5227="?OLD","!!!","")</f>
        <v/>
      </c>
      <c r="F5227" s="22" t="str">
        <f>IF(OR(E5227="",E5227="!!!"),"",IF(NOT(ISNA(VLOOKUP(E5227,E$1:E5226,1,FALSE()))),"OLD",IF(AND(E5227&lt;&gt;"",E5227&lt;&gt;"!!!"),"NEW","")))</f>
        <v> </v>
      </c>
      <c r="G5227" s="23" t="str">
        <f>IF(OR(E5227="",E5227="!!!"),"",IF(OR(J5227=0,AND(J5227=1,K5227=1),AND(J5227=1,I5227="SBJ"),AND(J5227=1,I5227=0)),"?IN_FOCUS",IF(J5227&lt;=2,"?ACTIVATED",IF(J5227&lt;&gt;"","?FAMILIAR",IF(F5227="NEW",IF(ISNA(VLOOKUP(E5227,#REF!,1,FALSE())),"?TYPE_IDENTIFIABLE","?REFERENTIAL"),"_")))))</f>
        <v> </v>
      </c>
      <c r="H5227" s="24" t="str">
        <f>IF(J5227&lt;&gt;1,"",IF(I5227="SBJ","CB","?"))</f>
        <v> </v>
      </c>
      <c r="I5227" s="25" t="str">
        <f>IF(OR(E5227="",E5227="!!!",F5227="NEW"),"",INDEX(B5226:B$2,-1+SUMPRODUCT(MAX(ROW(E5226:E$2)*(E5227=E5226:E$2)))))</f>
        <v> </v>
      </c>
      <c r="J5227" s="25" t="str">
        <f>IF(OR(E5227="",E5227="!!!",F5227="NEW"),"",COUNTBLANK(OFFSET(A$1,,,SUMPRODUCT(MAX(ROW(E$2:E5227)*(E5227=E$2:E5227)))))-COUNTBLANK(OFFSET(A$1,,,SUMPRODUCT(MAX(ROW(E$1:E5226)*(E2=E$1:E5226))))))</f>
        <v> </v>
      </c>
      <c r="K5227" s="25" t="str">
        <f>IF(OR(E5227="",E5227="!!!",F5227="NEW"),"",INDEX(J$1:J5226,SUMPRODUCT(MAX(ROW(E$1:E5226)*(E5227=E$1:E5226)))))</f>
        <v> </v>
      </c>
      <c r="L5227" s="26"/>
    </row>
    <row r="5228" spans="1:12">
      <c r="A5228" s="20" t="s">
        <v>1104</v>
      </c>
      <c r="E5228" s="21">
        <f>IF(D5228="?OLD","!!!","")</f>
        <v/>
      </c>
      <c r="F5228" s="22" t="str">
        <f>IF(OR(E5228="",E5228="!!!"),"",IF(NOT(ISNA(VLOOKUP(E5228,E$1:E5227,1,FALSE()))),"OLD",IF(AND(E5228&lt;&gt;"",E5228&lt;&gt;"!!!"),"NEW","")))</f>
        <v> </v>
      </c>
      <c r="G5228" s="23" t="str">
        <f>IF(OR(E5228="",E5228="!!!"),"",IF(OR(J5228=0,AND(J5228=1,K5228=1),AND(J5228=1,I5228="SBJ"),AND(J5228=1,I5228=0)),"?IN_FOCUS",IF(J5228&lt;=2,"?ACTIVATED",IF(J5228&lt;&gt;"","?FAMILIAR",IF(F5228="NEW",IF(ISNA(VLOOKUP(E5228,#REF!,1,FALSE())),"?TYPE_IDENTIFIABLE","?REFERENTIAL"),"_")))))</f>
        <v> </v>
      </c>
      <c r="H5228" s="24" t="str">
        <f>IF(J5228&lt;&gt;1,"",IF(I5228="SBJ","CB","?"))</f>
        <v> </v>
      </c>
      <c r="I5228" s="25" t="str">
        <f>IF(OR(E5228="",E5228="!!!",F5228="NEW"),"",INDEX(B5227:B$2,-1+SUMPRODUCT(MAX(ROW(E5227:E$2)*(E5228=E5227:E$2)))))</f>
        <v> </v>
      </c>
      <c r="J5228" s="25" t="str">
        <f>IF(OR(E5228="",E5228="!!!",F5228="NEW"),"",COUNTBLANK(OFFSET(A$1,,,SUMPRODUCT(MAX(ROW(E$2:E5228)*(E5228=E$2:E5228)))))-COUNTBLANK(OFFSET(A$1,,,SUMPRODUCT(MAX(ROW(E$1:E5227)*(E2=E$1:E5227))))))</f>
        <v> </v>
      </c>
      <c r="K5228" s="25" t="str">
        <f>IF(OR(E5228="",E5228="!!!",F5228="NEW"),"",INDEX(J$1:J5227,SUMPRODUCT(MAX(ROW(E$1:E5227)*(E5228=E$1:E5227)))))</f>
        <v> </v>
      </c>
      <c r="L5228" s="26"/>
    </row>
    <row r="5229" spans="1:12">
      <c r="A5229" s="20" t="s">
        <v>2545</v>
      </c>
      <c r="B5229" s="27" t="s">
        <v>1106</v>
      </c>
      <c r="C5229" s="27" t="s">
        <v>1086</v>
      </c>
      <c r="D5229" s="27" t="s">
        <v>1069</v>
      </c>
      <c r="E5229" s="21">
        <f>IF(D5229="?OLD","!!!","")</f>
        <v/>
      </c>
      <c r="F5229" s="22" t="str">
        <f>IF(OR(E5229="",E5229="!!!"),"",IF(NOT(ISNA(VLOOKUP(E5229,E$1:E5228,1,FALSE()))),"OLD",IF(AND(E5229&lt;&gt;"",E5229&lt;&gt;"!!!"),"NEW","")))</f>
        <v> </v>
      </c>
      <c r="G5229" s="23" t="str">
        <f>IF(OR(E5229="",E5229="!!!"),"",IF(OR(J5229=0,AND(J5229=1,K5229=1),AND(J5229=1,I5229="SBJ"),AND(J5229=1,I5229=0)),"?IN_FOCUS",IF(J5229&lt;=2,"?ACTIVATED",IF(J5229&lt;&gt;"","?FAMILIAR",IF(F5229="NEW",IF(ISNA(VLOOKUP(E5229,#REF!,1,FALSE())),"?TYPE_IDENTIFIABLE","?REFERENTIAL"),"_")))))</f>
        <v> </v>
      </c>
      <c r="H5229" s="24" t="str">
        <f>IF(J5229&lt;&gt;1,"",IF(I5229="SBJ","CB","?"))</f>
        <v> </v>
      </c>
      <c r="I5229" s="25" t="str">
        <f>IF(OR(E5229="",E5229="!!!",F5229="NEW"),"",INDEX(B5228:B$2,-1+SUMPRODUCT(MAX(ROW(E5228:E$2)*(E5229=E5228:E$2)))))</f>
        <v> </v>
      </c>
      <c r="J5229" s="25" t="str">
        <f>IF(OR(E5229="",E5229="!!!",F5229="NEW"),"",COUNTBLANK(OFFSET(A$1,,,SUMPRODUCT(MAX(ROW(E$2:E5229)*(E5229=E$2:E5229)))))-COUNTBLANK(OFFSET(A$1,,,SUMPRODUCT(MAX(ROW(E$1:E5228)*(E2=E$1:E5228))))))</f>
        <v> </v>
      </c>
      <c r="K5229" s="25" t="str">
        <f>IF(OR(E5229="",E5229="!!!",F5229="NEW"),"",INDEX(J$1:J5228,SUMPRODUCT(MAX(ROW(E$1:E5228)*(E5229=E$1:E5228)))))</f>
        <v> </v>
      </c>
      <c r="L5229" s="26"/>
    </row>
    <row r="5230" spans="1:12">
      <c r="A5230" s="20" t="s">
        <v>1080</v>
      </c>
      <c r="E5230" s="21">
        <f>IF(D5230="?OLD","!!!","")</f>
        <v/>
      </c>
      <c r="F5230" s="22" t="str">
        <f>IF(OR(E5230="",E5230="!!!"),"",IF(NOT(ISNA(VLOOKUP(E5230,E$1:E5229,1,FALSE()))),"OLD",IF(AND(E5230&lt;&gt;"",E5230&lt;&gt;"!!!"),"NEW","")))</f>
        <v> </v>
      </c>
      <c r="G5230" s="23" t="str">
        <f>IF(OR(E5230="",E5230="!!!"),"",IF(OR(J5230=0,AND(J5230=1,K5230=1),AND(J5230=1,I5230="SBJ"),AND(J5230=1,I5230=0)),"?IN_FOCUS",IF(J5230&lt;=2,"?ACTIVATED",IF(J5230&lt;&gt;"","?FAMILIAR",IF(F5230="NEW",IF(ISNA(VLOOKUP(E5230,#REF!,1,FALSE())),"?TYPE_IDENTIFIABLE","?REFERENTIAL"),"_")))))</f>
        <v> </v>
      </c>
      <c r="H5230" s="24" t="str">
        <f>IF(J5230&lt;&gt;1,"",IF(I5230="SBJ","CB","?"))</f>
        <v> </v>
      </c>
      <c r="I5230" s="25" t="str">
        <f>IF(OR(E5230="",E5230="!!!",F5230="NEW"),"",INDEX(B5229:B$2,-1+SUMPRODUCT(MAX(ROW(E5229:E$2)*(E5230=E5229:E$2)))))</f>
        <v> </v>
      </c>
      <c r="J5230" s="25" t="str">
        <f>IF(OR(E5230="",E5230="!!!",F5230="NEW"),"",COUNTBLANK(OFFSET(A$1,,,SUMPRODUCT(MAX(ROW(E$2:E5230)*(E5230=E$2:E5230)))))-COUNTBLANK(OFFSET(A$1,,,SUMPRODUCT(MAX(ROW(E$1:E5229)*(E2=E$1:E5229))))))</f>
        <v> </v>
      </c>
      <c r="K5230" s="25" t="str">
        <f>IF(OR(E5230="",E5230="!!!",F5230="NEW"),"",INDEX(J$1:J5229,SUMPRODUCT(MAX(ROW(E$1:E5229)*(E5230=E$1:E5229)))))</f>
        <v> </v>
      </c>
      <c r="L5230" s="26"/>
    </row>
    <row r="5231" spans="1:12">
      <c r="A5231" s="20"/>
    </row>
    <row r="5232" spans="1:12">
      <c r="A5232" s="20" t="s">
        <v>2546</v>
      </c>
    </row>
    <row r="5233" spans="1:12">
      <c r="A5233" s="20" t="s">
        <v>1311</v>
      </c>
      <c r="B5233" s="27" t="s">
        <v>1067</v>
      </c>
      <c r="C5233" s="27" t="s">
        <v>1068</v>
      </c>
      <c r="D5233" s="27" t="s">
        <v>1069</v>
      </c>
      <c r="E5233" s="21">
        <f>IF(D5233="?OLD","!!!","")</f>
        <v/>
      </c>
      <c r="F5233" s="22" t="str">
        <f>IF(OR(E5233="",E5233="!!!"),"",IF(NOT(ISNA(VLOOKUP(E5233,E$1:E5232,1,FALSE()))),"OLD",IF(AND(E5233&lt;&gt;"",E5233&lt;&gt;"!!!"),"NEW","")))</f>
        <v> </v>
      </c>
      <c r="G5233" s="23" t="str">
        <f>IF(OR(E5233="",E5233="!!!"),"",IF(OR(J5233=0,AND(J5233=1,K5233=1),AND(J5233=1,I5233="SBJ"),AND(J5233=1,I5233=0)),"?IN_FOCUS",IF(J5233&lt;=2,"?ACTIVATED",IF(J5233&lt;&gt;"","?FAMILIAR",IF(F5233="NEW",IF(ISNA(VLOOKUP(E5233,#REF!,1,FALSE())),"?TYPE_IDENTIFIABLE","?REFERENTIAL"),"_")))))</f>
        <v> </v>
      </c>
      <c r="H5233" s="24" t="str">
        <f>IF(J5233&lt;&gt;1,"",IF(I5233="SBJ","CB","?"))</f>
        <v> </v>
      </c>
      <c r="I5233" s="25" t="str">
        <f>IF(OR(E5233="",E5233="!!!",F5233="NEW"),"",INDEX(B5232:B$2,-1+SUMPRODUCT(MAX(ROW(E5232:E$2)*(E5233=E5232:E$2)))))</f>
        <v> </v>
      </c>
      <c r="J5233" s="25" t="str">
        <f>IF(OR(E5233="",E5233="!!!",F5233="NEW"),"",COUNTBLANK(OFFSET(A$1,,,SUMPRODUCT(MAX(ROW(E$2:E5233)*(E5233=E$2:E5233)))))-COUNTBLANK(OFFSET(A$1,,,SUMPRODUCT(MAX(ROW(E$1:E5232)*(E2=E$1:E5232))))))</f>
        <v> </v>
      </c>
      <c r="K5233" s="25" t="str">
        <f>IF(OR(E5233="",E5233="!!!",F5233="NEW"),"",INDEX(J$1:J5232,SUMPRODUCT(MAX(ROW(E$1:E5232)*(E5233=E$1:E5232)))))</f>
        <v> </v>
      </c>
      <c r="L5233" s="26"/>
    </row>
    <row r="5234" spans="1:12">
      <c r="A5234" s="20" t="s">
        <v>1907</v>
      </c>
      <c r="E5234" s="21">
        <f>IF(D5234="?OLD","!!!","")</f>
        <v/>
      </c>
      <c r="F5234" s="22" t="str">
        <f>IF(OR(E5234="",E5234="!!!"),"",IF(NOT(ISNA(VLOOKUP(E5234,E$1:E5233,1,FALSE()))),"OLD",IF(AND(E5234&lt;&gt;"",E5234&lt;&gt;"!!!"),"NEW","")))</f>
        <v> </v>
      </c>
      <c r="G5234" s="23" t="str">
        <f>IF(OR(E5234="",E5234="!!!"),"",IF(OR(J5234=0,AND(J5234=1,K5234=1),AND(J5234=1,I5234="SBJ"),AND(J5234=1,I5234=0)),"?IN_FOCUS",IF(J5234&lt;=2,"?ACTIVATED",IF(J5234&lt;&gt;"","?FAMILIAR",IF(F5234="NEW",IF(ISNA(VLOOKUP(E5234,#REF!,1,FALSE())),"?TYPE_IDENTIFIABLE","?REFERENTIAL"),"_")))))</f>
        <v> </v>
      </c>
      <c r="H5234" s="24" t="str">
        <f>IF(J5234&lt;&gt;1,"",IF(I5234="SBJ","CB","?"))</f>
        <v> </v>
      </c>
      <c r="I5234" s="25" t="str">
        <f>IF(OR(E5234="",E5234="!!!",F5234="NEW"),"",INDEX(B5233:B$2,-1+SUMPRODUCT(MAX(ROW(E5233:E$2)*(E5234=E5233:E$2)))))</f>
        <v> </v>
      </c>
      <c r="J5234" s="25" t="str">
        <f>IF(OR(E5234="",E5234="!!!",F5234="NEW"),"",COUNTBLANK(OFFSET(A$1,,,SUMPRODUCT(MAX(ROW(E$2:E5234)*(E5234=E$2:E5234)))))-COUNTBLANK(OFFSET(A$1,,,SUMPRODUCT(MAX(ROW(E$1:E5233)*(E2=E$1:E5233))))))</f>
        <v> </v>
      </c>
      <c r="K5234" s="25" t="str">
        <f>IF(OR(E5234="",E5234="!!!",F5234="NEW"),"",INDEX(J$1:J5233,SUMPRODUCT(MAX(ROW(E$1:E5233)*(E5234=E$1:E5233)))))</f>
        <v> </v>
      </c>
      <c r="L5234" s="26"/>
    </row>
    <row r="5235" spans="1:12">
      <c r="A5235" s="20" t="s">
        <v>1108</v>
      </c>
      <c r="B5235" s="27" t="s">
        <v>1067</v>
      </c>
      <c r="C5235" s="27" t="s">
        <v>1110</v>
      </c>
      <c r="D5235" s="27" t="s">
        <v>1069</v>
      </c>
      <c r="E5235" s="21">
        <f>IF(D5235="?OLD","!!!","")</f>
        <v/>
      </c>
      <c r="F5235" s="22" t="str">
        <f>IF(OR(E5235="",E5235="!!!"),"",IF(NOT(ISNA(VLOOKUP(E5235,E$1:E5234,1,FALSE()))),"OLD",IF(AND(E5235&lt;&gt;"",E5235&lt;&gt;"!!!"),"NEW","")))</f>
        <v> </v>
      </c>
      <c r="G5235" s="23" t="str">
        <f>IF(OR(E5235="",E5235="!!!"),"",IF(OR(J5235=0,AND(J5235=1,K5235=1),AND(J5235=1,I5235="SBJ"),AND(J5235=1,I5235=0)),"?IN_FOCUS",IF(J5235&lt;=2,"?ACTIVATED",IF(J5235&lt;&gt;"","?FAMILIAR",IF(F5235="NEW",IF(ISNA(VLOOKUP(E5235,#REF!,1,FALSE())),"?TYPE_IDENTIFIABLE","?REFERENTIAL"),"_")))))</f>
        <v> </v>
      </c>
      <c r="H5235" s="24" t="str">
        <f>IF(J5235&lt;&gt;1,"",IF(I5235="SBJ","CB","?"))</f>
        <v> </v>
      </c>
      <c r="I5235" s="25" t="str">
        <f>IF(OR(E5235="",E5235="!!!",F5235="NEW"),"",INDEX(B5234:B$2,-1+SUMPRODUCT(MAX(ROW(E5234:E$2)*(E5235=E5234:E$2)))))</f>
        <v> </v>
      </c>
      <c r="J5235" s="25" t="str">
        <f>IF(OR(E5235="",E5235="!!!",F5235="NEW"),"",COUNTBLANK(OFFSET(A$1,,,SUMPRODUCT(MAX(ROW(E$2:E5235)*(E5235=E$2:E5235)))))-COUNTBLANK(OFFSET(A$1,,,SUMPRODUCT(MAX(ROW(E$1:E5234)*(E2=E$1:E5234))))))</f>
        <v> </v>
      </c>
      <c r="K5235" s="25" t="str">
        <f>IF(OR(E5235="",E5235="!!!",F5235="NEW"),"",INDEX(J$1:J5234,SUMPRODUCT(MAX(ROW(E$1:E5234)*(E5235=E$1:E5234)))))</f>
        <v> </v>
      </c>
      <c r="L5235" s="26"/>
    </row>
    <row r="5236" spans="1:12">
      <c r="A5236" s="20" t="s">
        <v>2047</v>
      </c>
      <c r="E5236" s="21">
        <f>IF(D5236="?OLD","!!!","")</f>
        <v/>
      </c>
      <c r="F5236" s="22" t="str">
        <f>IF(OR(E5236="",E5236="!!!"),"",IF(NOT(ISNA(VLOOKUP(E5236,E$1:E5235,1,FALSE()))),"OLD",IF(AND(E5236&lt;&gt;"",E5236&lt;&gt;"!!!"),"NEW","")))</f>
        <v> </v>
      </c>
      <c r="G5236" s="23" t="str">
        <f>IF(OR(E5236="",E5236="!!!"),"",IF(OR(J5236=0,AND(J5236=1,K5236=1),AND(J5236=1,I5236="SBJ"),AND(J5236=1,I5236=0)),"?IN_FOCUS",IF(J5236&lt;=2,"?ACTIVATED",IF(J5236&lt;&gt;"","?FAMILIAR",IF(F5236="NEW",IF(ISNA(VLOOKUP(E5236,#REF!,1,FALSE())),"?TYPE_IDENTIFIABLE","?REFERENTIAL"),"_")))))</f>
        <v> </v>
      </c>
      <c r="H5236" s="24" t="str">
        <f>IF(J5236&lt;&gt;1,"",IF(I5236="SBJ","CB","?"))</f>
        <v> </v>
      </c>
      <c r="I5236" s="25" t="str">
        <f>IF(OR(E5236="",E5236="!!!",F5236="NEW"),"",INDEX(B5235:B$2,-1+SUMPRODUCT(MAX(ROW(E5235:E$2)*(E5236=E5235:E$2)))))</f>
        <v> </v>
      </c>
      <c r="J5236" s="25" t="str">
        <f>IF(OR(E5236="",E5236="!!!",F5236="NEW"),"",COUNTBLANK(OFFSET(A$1,,,SUMPRODUCT(MAX(ROW(E$2:E5236)*(E5236=E$2:E5236)))))-COUNTBLANK(OFFSET(A$1,,,SUMPRODUCT(MAX(ROW(E$1:E5235)*(E2=E$1:E5235))))))</f>
        <v> </v>
      </c>
      <c r="K5236" s="25" t="str">
        <f>IF(OR(E5236="",E5236="!!!",F5236="NEW"),"",INDEX(J$1:J5235,SUMPRODUCT(MAX(ROW(E$1:E5235)*(E5236=E$1:E5235)))))</f>
        <v> </v>
      </c>
      <c r="L5236" s="26"/>
    </row>
    <row r="5237" spans="1:12">
      <c r="A5237" s="20" t="s">
        <v>1473</v>
      </c>
      <c r="E5237" s="21">
        <f>IF(D5237="?OLD","!!!","")</f>
        <v/>
      </c>
      <c r="F5237" s="22" t="str">
        <f>IF(OR(E5237="",E5237="!!!"),"",IF(NOT(ISNA(VLOOKUP(E5237,E$1:E5236,1,FALSE()))),"OLD",IF(AND(E5237&lt;&gt;"",E5237&lt;&gt;"!!!"),"NEW","")))</f>
        <v> </v>
      </c>
      <c r="G5237" s="23" t="str">
        <f>IF(OR(E5237="",E5237="!!!"),"",IF(OR(J5237=0,AND(J5237=1,K5237=1),AND(J5237=1,I5237="SBJ"),AND(J5237=1,I5237=0)),"?IN_FOCUS",IF(J5237&lt;=2,"?ACTIVATED",IF(J5237&lt;&gt;"","?FAMILIAR",IF(F5237="NEW",IF(ISNA(VLOOKUP(E5237,#REF!,1,FALSE())),"?TYPE_IDENTIFIABLE","?REFERENTIAL"),"_")))))</f>
        <v> </v>
      </c>
      <c r="H5237" s="24" t="str">
        <f>IF(J5237&lt;&gt;1,"",IF(I5237="SBJ","CB","?"))</f>
        <v> </v>
      </c>
      <c r="I5237" s="25" t="str">
        <f>IF(OR(E5237="",E5237="!!!",F5237="NEW"),"",INDEX(B5236:B$2,-1+SUMPRODUCT(MAX(ROW(E5236:E$2)*(E5237=E5236:E$2)))))</f>
        <v> </v>
      </c>
      <c r="J5237" s="25" t="str">
        <f>IF(OR(E5237="",E5237="!!!",F5237="NEW"),"",COUNTBLANK(OFFSET(A$1,,,SUMPRODUCT(MAX(ROW(E$2:E5237)*(E5237=E$2:E5237)))))-COUNTBLANK(OFFSET(A$1,,,SUMPRODUCT(MAX(ROW(E$1:E5236)*(E2=E$1:E5236))))))</f>
        <v> </v>
      </c>
      <c r="K5237" s="25" t="str">
        <f>IF(OR(E5237="",E5237="!!!",F5237="NEW"),"",INDEX(J$1:J5236,SUMPRODUCT(MAX(ROW(E$1:E5236)*(E5237=E$1:E5236)))))</f>
        <v> </v>
      </c>
      <c r="L5237" s="26"/>
    </row>
    <row r="5238" spans="1:12">
      <c r="A5238" s="20" t="s">
        <v>1105</v>
      </c>
      <c r="B5238" s="27" t="s">
        <v>1090</v>
      </c>
      <c r="C5238" s="27" t="s">
        <v>1077</v>
      </c>
      <c r="E5238" s="21">
        <f>IF(D5238="?OLD","!!!","")</f>
        <v/>
      </c>
      <c r="F5238" s="22" t="str">
        <f>IF(OR(E5238="",E5238="!!!"),"",IF(NOT(ISNA(VLOOKUP(E5238,E$1:E5237,1,FALSE()))),"OLD",IF(AND(E5238&lt;&gt;"",E5238&lt;&gt;"!!!"),"NEW","")))</f>
        <v> </v>
      </c>
      <c r="G5238" s="23" t="str">
        <f>IF(OR(E5238="",E5238="!!!"),"",IF(OR(J5238=0,AND(J5238=1,K5238=1),AND(J5238=1,I5238="SBJ"),AND(J5238=1,I5238=0)),"?IN_FOCUS",IF(J5238&lt;=2,"?ACTIVATED",IF(J5238&lt;&gt;"","?FAMILIAR",IF(F5238="NEW",IF(ISNA(VLOOKUP(E5238,#REF!,1,FALSE())),"?TYPE_IDENTIFIABLE","?REFERENTIAL"),"_")))))</f>
        <v> </v>
      </c>
      <c r="H5238" s="24" t="str">
        <f>IF(J5238&lt;&gt;1,"",IF(I5238="SBJ","CB","?"))</f>
        <v> </v>
      </c>
      <c r="I5238" s="25" t="str">
        <f>IF(OR(E5238="",E5238="!!!",F5238="NEW"),"",INDEX(B5237:B$2,-1+SUMPRODUCT(MAX(ROW(E5237:E$2)*(E5238=E5237:E$2)))))</f>
        <v> </v>
      </c>
      <c r="J5238" s="25" t="str">
        <f>IF(OR(E5238="",E5238="!!!",F5238="NEW"),"",COUNTBLANK(OFFSET(A$1,,,SUMPRODUCT(MAX(ROW(E$2:E5238)*(E5238=E$2:E5238)))))-COUNTBLANK(OFFSET(A$1,,,SUMPRODUCT(MAX(ROW(E$1:E5237)*(E2=E$1:E5237))))))</f>
        <v> </v>
      </c>
      <c r="K5238" s="25" t="str">
        <f>IF(OR(E5238="",E5238="!!!",F5238="NEW"),"",INDEX(J$1:J5237,SUMPRODUCT(MAX(ROW(E$1:E5237)*(E5238=E$1:E5237)))))</f>
        <v> </v>
      </c>
      <c r="L5238" s="26"/>
    </row>
    <row r="5239" spans="1:12">
      <c r="A5239" s="20" t="s">
        <v>2412</v>
      </c>
      <c r="E5239" s="21">
        <f>IF(D5239="?OLD","!!!","")</f>
        <v/>
      </c>
      <c r="F5239" s="22" t="str">
        <f>IF(OR(E5239="",E5239="!!!"),"",IF(NOT(ISNA(VLOOKUP(E5239,E$1:E5238,1,FALSE()))),"OLD",IF(AND(E5239&lt;&gt;"",E5239&lt;&gt;"!!!"),"NEW","")))</f>
        <v> </v>
      </c>
      <c r="G5239" s="23" t="str">
        <f>IF(OR(E5239="",E5239="!!!"),"",IF(OR(J5239=0,AND(J5239=1,K5239=1),AND(J5239=1,I5239="SBJ"),AND(J5239=1,I5239=0)),"?IN_FOCUS",IF(J5239&lt;=2,"?ACTIVATED",IF(J5239&lt;&gt;"","?FAMILIAR",IF(F5239="NEW",IF(ISNA(VLOOKUP(E5239,#REF!,1,FALSE())),"?TYPE_IDENTIFIABLE","?REFERENTIAL"),"_")))))</f>
        <v> </v>
      </c>
      <c r="H5239" s="24" t="str">
        <f>IF(J5239&lt;&gt;1,"",IF(I5239="SBJ","CB","?"))</f>
        <v> </v>
      </c>
      <c r="I5239" s="25" t="str">
        <f>IF(OR(E5239="",E5239="!!!",F5239="NEW"),"",INDEX(B5238:B$2,-1+SUMPRODUCT(MAX(ROW(E5238:E$2)*(E5239=E5238:E$2)))))</f>
        <v> </v>
      </c>
      <c r="J5239" s="25" t="str">
        <f>IF(OR(E5239="",E5239="!!!",F5239="NEW"),"",COUNTBLANK(OFFSET(A$1,,,SUMPRODUCT(MAX(ROW(E$2:E5239)*(E5239=E$2:E5239)))))-COUNTBLANK(OFFSET(A$1,,,SUMPRODUCT(MAX(ROW(E$1:E5238)*(E2=E$1:E5238))))))</f>
        <v> </v>
      </c>
      <c r="K5239" s="25" t="str">
        <f>IF(OR(E5239="",E5239="!!!",F5239="NEW"),"",INDEX(J$1:J5238,SUMPRODUCT(MAX(ROW(E$1:E5238)*(E5239=E$1:E5238)))))</f>
        <v> </v>
      </c>
      <c r="L5239" s="26"/>
    </row>
    <row r="5240" spans="1:12">
      <c r="A5240" s="20" t="s">
        <v>1087</v>
      </c>
      <c r="E5240" s="21">
        <f>IF(D5240="?OLD","!!!","")</f>
        <v/>
      </c>
      <c r="F5240" s="22" t="str">
        <f>IF(OR(E5240="",E5240="!!!"),"",IF(NOT(ISNA(VLOOKUP(E5240,E$1:E5239,1,FALSE()))),"OLD",IF(AND(E5240&lt;&gt;"",E5240&lt;&gt;"!!!"),"NEW","")))</f>
        <v> </v>
      </c>
      <c r="G5240" s="23" t="str">
        <f>IF(OR(E5240="",E5240="!!!"),"",IF(OR(J5240=0,AND(J5240=1,K5240=1),AND(J5240=1,I5240="SBJ"),AND(J5240=1,I5240=0)),"?IN_FOCUS",IF(J5240&lt;=2,"?ACTIVATED",IF(J5240&lt;&gt;"","?FAMILIAR",IF(F5240="NEW",IF(ISNA(VLOOKUP(E5240,#REF!,1,FALSE())),"?TYPE_IDENTIFIABLE","?REFERENTIAL"),"_")))))</f>
        <v> </v>
      </c>
      <c r="H5240" s="24" t="str">
        <f>IF(J5240&lt;&gt;1,"",IF(I5240="SBJ","CB","?"))</f>
        <v> </v>
      </c>
      <c r="I5240" s="25" t="str">
        <f>IF(OR(E5240="",E5240="!!!",F5240="NEW"),"",INDEX(B5239:B$2,-1+SUMPRODUCT(MAX(ROW(E5239:E$2)*(E5240=E5239:E$2)))))</f>
        <v> </v>
      </c>
      <c r="J5240" s="25" t="str">
        <f>IF(OR(E5240="",E5240="!!!",F5240="NEW"),"",COUNTBLANK(OFFSET(A$1,,,SUMPRODUCT(MAX(ROW(E$2:E5240)*(E5240=E$2:E5240)))))-COUNTBLANK(OFFSET(A$1,,,SUMPRODUCT(MAX(ROW(E$1:E5239)*(E2=E$1:E5239))))))</f>
        <v> </v>
      </c>
      <c r="K5240" s="25" t="str">
        <f>IF(OR(E5240="",E5240="!!!",F5240="NEW"),"",INDEX(J$1:J5239,SUMPRODUCT(MAX(ROW(E$1:E5239)*(E5240=E$1:E5239)))))</f>
        <v> </v>
      </c>
      <c r="L5240" s="26"/>
    </row>
    <row r="5241" spans="1:12">
      <c r="A5241" s="20" t="s">
        <v>1104</v>
      </c>
      <c r="B5241" s="27" t="s">
        <v>1095</v>
      </c>
      <c r="E5241" s="21">
        <f>IF(D5241="?OLD","!!!","")</f>
        <v/>
      </c>
      <c r="F5241" s="22" t="str">
        <f>IF(OR(E5241="",E5241="!!!"),"",IF(NOT(ISNA(VLOOKUP(E5241,E$1:E5240,1,FALSE()))),"OLD",IF(AND(E5241&lt;&gt;"",E5241&lt;&gt;"!!!"),"NEW","")))</f>
        <v> </v>
      </c>
      <c r="G5241" s="23" t="str">
        <f>IF(OR(E5241="",E5241="!!!"),"",IF(OR(J5241=0,AND(J5241=1,K5241=1),AND(J5241=1,I5241="SBJ"),AND(J5241=1,I5241=0)),"?IN_FOCUS",IF(J5241&lt;=2,"?ACTIVATED",IF(J5241&lt;&gt;"","?FAMILIAR",IF(F5241="NEW",IF(ISNA(VLOOKUP(E5241,#REF!,1,FALSE())),"?TYPE_IDENTIFIABLE","?REFERENTIAL"),"_")))))</f>
        <v> </v>
      </c>
      <c r="H5241" s="24" t="str">
        <f>IF(J5241&lt;&gt;1,"",IF(I5241="SBJ","CB","?"))</f>
        <v> </v>
      </c>
      <c r="I5241" s="25" t="str">
        <f>IF(OR(E5241="",E5241="!!!",F5241="NEW"),"",INDEX(B5240:B$2,-1+SUMPRODUCT(MAX(ROW(E5240:E$2)*(E5241=E5240:E$2)))))</f>
        <v> </v>
      </c>
      <c r="J5241" s="25" t="str">
        <f>IF(OR(E5241="",E5241="!!!",F5241="NEW"),"",COUNTBLANK(OFFSET(A$1,,,SUMPRODUCT(MAX(ROW(E$2:E5241)*(E5241=E$2:E5241)))))-COUNTBLANK(OFFSET(A$1,,,SUMPRODUCT(MAX(ROW(E$1:E5240)*(E2=E$1:E5240))))))</f>
        <v> </v>
      </c>
      <c r="K5241" s="25" t="str">
        <f>IF(OR(E5241="",E5241="!!!",F5241="NEW"),"",INDEX(J$1:J5240,SUMPRODUCT(MAX(ROW(E$1:E5240)*(E5241=E$1:E5240)))))</f>
        <v> </v>
      </c>
      <c r="L5241" s="26"/>
    </row>
    <row r="5242" spans="1:12">
      <c r="A5242" s="20" t="s">
        <v>1083</v>
      </c>
      <c r="E5242" s="21">
        <f>IF(D5242="?OLD","!!!","")</f>
        <v/>
      </c>
      <c r="F5242" s="22" t="str">
        <f>IF(OR(E5242="",E5242="!!!"),"",IF(NOT(ISNA(VLOOKUP(E5242,E$1:E5241,1,FALSE()))),"OLD",IF(AND(E5242&lt;&gt;"",E5242&lt;&gt;"!!!"),"NEW","")))</f>
        <v> </v>
      </c>
      <c r="G5242" s="23" t="str">
        <f>IF(OR(E5242="",E5242="!!!"),"",IF(OR(J5242=0,AND(J5242=1,K5242=1),AND(J5242=1,I5242="SBJ"),AND(J5242=1,I5242=0)),"?IN_FOCUS",IF(J5242&lt;=2,"?ACTIVATED",IF(J5242&lt;&gt;"","?FAMILIAR",IF(F5242="NEW",IF(ISNA(VLOOKUP(E5242,#REF!,1,FALSE())),"?TYPE_IDENTIFIABLE","?REFERENTIAL"),"_")))))</f>
        <v> </v>
      </c>
      <c r="H5242" s="24" t="str">
        <f>IF(J5242&lt;&gt;1,"",IF(I5242="SBJ","CB","?"))</f>
        <v> </v>
      </c>
      <c r="I5242" s="25" t="str">
        <f>IF(OR(E5242="",E5242="!!!",F5242="NEW"),"",INDEX(B5241:B$2,-1+SUMPRODUCT(MAX(ROW(E5241:E$2)*(E5242=E5241:E$2)))))</f>
        <v> </v>
      </c>
      <c r="J5242" s="25" t="str">
        <f>IF(OR(E5242="",E5242="!!!",F5242="NEW"),"",COUNTBLANK(OFFSET(A$1,,,SUMPRODUCT(MAX(ROW(E$2:E5242)*(E5242=E$2:E5242)))))-COUNTBLANK(OFFSET(A$1,,,SUMPRODUCT(MAX(ROW(E$1:E5241)*(E2=E$1:E5241))))))</f>
        <v> </v>
      </c>
      <c r="K5242" s="25" t="str">
        <f>IF(OR(E5242="",E5242="!!!",F5242="NEW"),"",INDEX(J$1:J5241,SUMPRODUCT(MAX(ROW(E$1:E5241)*(E5242=E$1:E5241)))))</f>
        <v> </v>
      </c>
      <c r="L5242" s="26"/>
    </row>
    <row r="5243" spans="1:12">
      <c r="A5243" s="20" t="s">
        <v>2403</v>
      </c>
      <c r="B5243" s="27" t="s">
        <v>1090</v>
      </c>
      <c r="C5243" s="27" t="s">
        <v>1086</v>
      </c>
      <c r="D5243" s="27" t="s">
        <v>1069</v>
      </c>
      <c r="E5243" s="21">
        <f>IF(D5243="?OLD","!!!","")</f>
        <v/>
      </c>
      <c r="F5243" s="22" t="str">
        <f>IF(OR(E5243="",E5243="!!!"),"",IF(NOT(ISNA(VLOOKUP(E5243,E$1:E5242,1,FALSE()))),"OLD",IF(AND(E5243&lt;&gt;"",E5243&lt;&gt;"!!!"),"NEW","")))</f>
        <v> </v>
      </c>
      <c r="G5243" s="23" t="str">
        <f>IF(OR(E5243="",E5243="!!!"),"",IF(OR(J5243=0,AND(J5243=1,K5243=1),AND(J5243=1,I5243="SBJ"),AND(J5243=1,I5243=0)),"?IN_FOCUS",IF(J5243&lt;=2,"?ACTIVATED",IF(J5243&lt;&gt;"","?FAMILIAR",IF(F5243="NEW",IF(ISNA(VLOOKUP(E5243,#REF!,1,FALSE())),"?TYPE_IDENTIFIABLE","?REFERENTIAL"),"_")))))</f>
        <v> </v>
      </c>
      <c r="H5243" s="24" t="str">
        <f>IF(J5243&lt;&gt;1,"",IF(I5243="SBJ","CB","?"))</f>
        <v> </v>
      </c>
      <c r="I5243" s="25" t="str">
        <f>IF(OR(E5243="",E5243="!!!",F5243="NEW"),"",INDEX(B5242:B$2,-1+SUMPRODUCT(MAX(ROW(E5242:E$2)*(E5243=E5242:E$2)))))</f>
        <v> </v>
      </c>
      <c r="J5243" s="25" t="str">
        <f>IF(OR(E5243="",E5243="!!!",F5243="NEW"),"",COUNTBLANK(OFFSET(A$1,,,SUMPRODUCT(MAX(ROW(E$2:E5243)*(E5243=E$2:E5243)))))-COUNTBLANK(OFFSET(A$1,,,SUMPRODUCT(MAX(ROW(E$1:E5242)*(E2=E$1:E5242))))))</f>
        <v> </v>
      </c>
      <c r="K5243" s="25" t="str">
        <f>IF(OR(E5243="",E5243="!!!",F5243="NEW"),"",INDEX(J$1:J5242,SUMPRODUCT(MAX(ROW(E$1:E5242)*(E5243=E$1:E5242)))))</f>
        <v> </v>
      </c>
      <c r="L5243" s="26"/>
    </row>
    <row r="5244" spans="1:12">
      <c r="A5244" s="20" t="s">
        <v>157</v>
      </c>
      <c r="E5244" s="21">
        <f>IF(D5244="?OLD","!!!","")</f>
        <v/>
      </c>
      <c r="F5244" s="22" t="str">
        <f>IF(OR(E5244="",E5244="!!!"),"",IF(NOT(ISNA(VLOOKUP(E5244,E$1:E5243,1,FALSE()))),"OLD",IF(AND(E5244&lt;&gt;"",E5244&lt;&gt;"!!!"),"NEW","")))</f>
        <v> </v>
      </c>
      <c r="G5244" s="23" t="str">
        <f>IF(OR(E5244="",E5244="!!!"),"",IF(OR(J5244=0,AND(J5244=1,K5244=1),AND(J5244=1,I5244="SBJ"),AND(J5244=1,I5244=0)),"?IN_FOCUS",IF(J5244&lt;=2,"?ACTIVATED",IF(J5244&lt;&gt;"","?FAMILIAR",IF(F5244="NEW",IF(ISNA(VLOOKUP(E5244,#REF!,1,FALSE())),"?TYPE_IDENTIFIABLE","?REFERENTIAL"),"_")))))</f>
        <v> </v>
      </c>
      <c r="H5244" s="24" t="str">
        <f>IF(J5244&lt;&gt;1,"",IF(I5244="SBJ","CB","?"))</f>
        <v> </v>
      </c>
      <c r="I5244" s="25" t="str">
        <f>IF(OR(E5244="",E5244="!!!",F5244="NEW"),"",INDEX(B5243:B$2,-1+SUMPRODUCT(MAX(ROW(E5243:E$2)*(E5244=E5243:E$2)))))</f>
        <v> </v>
      </c>
      <c r="J5244" s="25" t="str">
        <f>IF(OR(E5244="",E5244="!!!",F5244="NEW"),"",COUNTBLANK(OFFSET(A$1,,,SUMPRODUCT(MAX(ROW(E$2:E5244)*(E5244=E$2:E5244)))))-COUNTBLANK(OFFSET(A$1,,,SUMPRODUCT(MAX(ROW(E$1:E5243)*(E2=E$1:E5243))))))</f>
        <v> </v>
      </c>
      <c r="K5244" s="25" t="str">
        <f>IF(OR(E5244="",E5244="!!!",F5244="NEW"),"",INDEX(J$1:J5243,SUMPRODUCT(MAX(ROW(E$1:E5243)*(E5244=E$1:E5243)))))</f>
        <v> </v>
      </c>
      <c r="L5244" s="26"/>
    </row>
    <row r="5245" spans="1:12">
      <c r="A5245" s="20" t="s">
        <v>1087</v>
      </c>
      <c r="E5245" s="21">
        <f>IF(D5245="?OLD","!!!","")</f>
        <v/>
      </c>
      <c r="F5245" s="22" t="str">
        <f>IF(OR(E5245="",E5245="!!!"),"",IF(NOT(ISNA(VLOOKUP(E5245,E$1:E5244,1,FALSE()))),"OLD",IF(AND(E5245&lt;&gt;"",E5245&lt;&gt;"!!!"),"NEW","")))</f>
        <v> </v>
      </c>
      <c r="G5245" s="23" t="str">
        <f>IF(OR(E5245="",E5245="!!!"),"",IF(OR(J5245=0,AND(J5245=1,K5245=1),AND(J5245=1,I5245="SBJ"),AND(J5245=1,I5245=0)),"?IN_FOCUS",IF(J5245&lt;=2,"?ACTIVATED",IF(J5245&lt;&gt;"","?FAMILIAR",IF(F5245="NEW",IF(ISNA(VLOOKUP(E5245,#REF!,1,FALSE())),"?TYPE_IDENTIFIABLE","?REFERENTIAL"),"_")))))</f>
        <v> </v>
      </c>
      <c r="H5245" s="24" t="str">
        <f>IF(J5245&lt;&gt;1,"",IF(I5245="SBJ","CB","?"))</f>
        <v> </v>
      </c>
      <c r="I5245" s="25" t="str">
        <f>IF(OR(E5245="",E5245="!!!",F5245="NEW"),"",INDEX(B5244:B$2,-1+SUMPRODUCT(MAX(ROW(E5244:E$2)*(E5245=E5244:E$2)))))</f>
        <v> </v>
      </c>
      <c r="J5245" s="25" t="str">
        <f>IF(OR(E5245="",E5245="!!!",F5245="NEW"),"",COUNTBLANK(OFFSET(A$1,,,SUMPRODUCT(MAX(ROW(E$2:E5245)*(E5245=E$2:E5245)))))-COUNTBLANK(OFFSET(A$1,,,SUMPRODUCT(MAX(ROW(E$1:E5244)*(E2=E$1:E5244))))))</f>
        <v> </v>
      </c>
      <c r="K5245" s="25" t="str">
        <f>IF(OR(E5245="",E5245="!!!",F5245="NEW"),"",INDEX(J$1:J5244,SUMPRODUCT(MAX(ROW(E$1:E5244)*(E5245=E$1:E5244)))))</f>
        <v> </v>
      </c>
      <c r="L5245" s="26"/>
    </row>
    <row r="5246" spans="1:12">
      <c r="A5246" s="20" t="s">
        <v>1193</v>
      </c>
      <c r="E5246" s="21">
        <f>IF(D5246="?OLD","!!!","")</f>
        <v/>
      </c>
      <c r="F5246" s="22" t="str">
        <f>IF(OR(E5246="",E5246="!!!"),"",IF(NOT(ISNA(VLOOKUP(E5246,E$1:E5245,1,FALSE()))),"OLD",IF(AND(E5246&lt;&gt;"",E5246&lt;&gt;"!!!"),"NEW","")))</f>
        <v> </v>
      </c>
      <c r="G5246" s="23" t="str">
        <f>IF(OR(E5246="",E5246="!!!"),"",IF(OR(J5246=0,AND(J5246=1,K5246=1),AND(J5246=1,I5246="SBJ"),AND(J5246=1,I5246=0)),"?IN_FOCUS",IF(J5246&lt;=2,"?ACTIVATED",IF(J5246&lt;&gt;"","?FAMILIAR",IF(F5246="NEW",IF(ISNA(VLOOKUP(E5246,#REF!,1,FALSE())),"?TYPE_IDENTIFIABLE","?REFERENTIAL"),"_")))))</f>
        <v> </v>
      </c>
      <c r="H5246" s="24" t="str">
        <f>IF(J5246&lt;&gt;1,"",IF(I5246="SBJ","CB","?"))</f>
        <v> </v>
      </c>
      <c r="I5246" s="25" t="str">
        <f>IF(OR(E5246="",E5246="!!!",F5246="NEW"),"",INDEX(B5245:B$2,-1+SUMPRODUCT(MAX(ROW(E5245:E$2)*(E5246=E5245:E$2)))))</f>
        <v> </v>
      </c>
      <c r="J5246" s="25" t="str">
        <f>IF(OR(E5246="",E5246="!!!",F5246="NEW"),"",COUNTBLANK(OFFSET(A$1,,,SUMPRODUCT(MAX(ROW(E$2:E5246)*(E5246=E$2:E5246)))))-COUNTBLANK(OFFSET(A$1,,,SUMPRODUCT(MAX(ROW(E$1:E5245)*(E2=E$1:E5245))))))</f>
        <v> </v>
      </c>
      <c r="K5246" s="25" t="str">
        <f>IF(OR(E5246="",E5246="!!!",F5246="NEW"),"",INDEX(J$1:J5245,SUMPRODUCT(MAX(ROW(E$1:E5245)*(E5246=E$1:E5245)))))</f>
        <v> </v>
      </c>
      <c r="L5246" s="26"/>
    </row>
    <row r="5247" spans="1:12">
      <c r="A5247" s="20" t="s">
        <v>1159</v>
      </c>
      <c r="B5247" s="27" t="s">
        <v>1071</v>
      </c>
      <c r="C5247" s="27" t="s">
        <v>1072</v>
      </c>
      <c r="E5247" s="21">
        <f>IF(D5247="?OLD","!!!","")</f>
        <v/>
      </c>
      <c r="F5247" s="22" t="str">
        <f>IF(OR(E5247="",E5247="!!!"),"",IF(NOT(ISNA(VLOOKUP(E5247,E$1:E5246,1,FALSE()))),"OLD",IF(AND(E5247&lt;&gt;"",E5247&lt;&gt;"!!!"),"NEW","")))</f>
        <v> </v>
      </c>
      <c r="G5247" s="23" t="str">
        <f>IF(OR(E5247="",E5247="!!!"),"",IF(OR(J5247=0,AND(J5247=1,K5247=1),AND(J5247=1,I5247="SBJ"),AND(J5247=1,I5247=0)),"?IN_FOCUS",IF(J5247&lt;=2,"?ACTIVATED",IF(J5247&lt;&gt;"","?FAMILIAR",IF(F5247="NEW",IF(ISNA(VLOOKUP(E5247,#REF!,1,FALSE())),"?TYPE_IDENTIFIABLE","?REFERENTIAL"),"_")))))</f>
        <v> </v>
      </c>
      <c r="H5247" s="24" t="str">
        <f>IF(J5247&lt;&gt;1,"",IF(I5247="SBJ","CB","?"))</f>
        <v> </v>
      </c>
      <c r="I5247" s="25" t="str">
        <f>IF(OR(E5247="",E5247="!!!",F5247="NEW"),"",INDEX(B5246:B$2,-1+SUMPRODUCT(MAX(ROW(E5246:E$2)*(E5247=E5246:E$2)))))</f>
        <v> </v>
      </c>
      <c r="J5247" s="25" t="str">
        <f>IF(OR(E5247="",E5247="!!!",F5247="NEW"),"",COUNTBLANK(OFFSET(A$1,,,SUMPRODUCT(MAX(ROW(E$2:E5247)*(E5247=E$2:E5247)))))-COUNTBLANK(OFFSET(A$1,,,SUMPRODUCT(MAX(ROW(E$1:E5246)*(E2=E$1:E5246))))))</f>
        <v> </v>
      </c>
      <c r="K5247" s="25" t="str">
        <f>IF(OR(E5247="",E5247="!!!",F5247="NEW"),"",INDEX(J$1:J5246,SUMPRODUCT(MAX(ROW(E$1:E5246)*(E5247=E$1:E5246)))))</f>
        <v> </v>
      </c>
      <c r="L5247" s="26"/>
    </row>
    <row r="5248" spans="1:12">
      <c r="A5248" s="20" t="s">
        <v>2547</v>
      </c>
      <c r="E5248" s="21">
        <f>IF(D5248="?OLD","!!!","")</f>
        <v/>
      </c>
      <c r="F5248" s="22" t="str">
        <f>IF(OR(E5248="",E5248="!!!"),"",IF(NOT(ISNA(VLOOKUP(E5248,E$1:E5247,1,FALSE()))),"OLD",IF(AND(E5248&lt;&gt;"",E5248&lt;&gt;"!!!"),"NEW","")))</f>
        <v> </v>
      </c>
      <c r="G5248" s="23" t="str">
        <f>IF(OR(E5248="",E5248="!!!"),"",IF(OR(J5248=0,AND(J5248=1,K5248=1),AND(J5248=1,I5248="SBJ"),AND(J5248=1,I5248=0)),"?IN_FOCUS",IF(J5248&lt;=2,"?ACTIVATED",IF(J5248&lt;&gt;"","?FAMILIAR",IF(F5248="NEW",IF(ISNA(VLOOKUP(E5248,#REF!,1,FALSE())),"?TYPE_IDENTIFIABLE","?REFERENTIAL"),"_")))))</f>
        <v> </v>
      </c>
      <c r="H5248" s="24" t="str">
        <f>IF(J5248&lt;&gt;1,"",IF(I5248="SBJ","CB","?"))</f>
        <v> </v>
      </c>
      <c r="I5248" s="25" t="str">
        <f>IF(OR(E5248="",E5248="!!!",F5248="NEW"),"",INDEX(B5247:B$2,-1+SUMPRODUCT(MAX(ROW(E5247:E$2)*(E5248=E5247:E$2)))))</f>
        <v> </v>
      </c>
      <c r="J5248" s="25" t="str">
        <f>IF(OR(E5248="",E5248="!!!",F5248="NEW"),"",COUNTBLANK(OFFSET(A$1,,,SUMPRODUCT(MAX(ROW(E$2:E5248)*(E5248=E$2:E5248)))))-COUNTBLANK(OFFSET(A$1,,,SUMPRODUCT(MAX(ROW(E$1:E5247)*(E2=E$1:E5247))))))</f>
        <v> </v>
      </c>
      <c r="K5248" s="25" t="str">
        <f>IF(OR(E5248="",E5248="!!!",F5248="NEW"),"",INDEX(J$1:J5247,SUMPRODUCT(MAX(ROW(E$1:E5247)*(E5248=E$1:E5247)))))</f>
        <v> </v>
      </c>
      <c r="L5248" s="26"/>
    </row>
    <row r="5249" spans="1:12">
      <c r="A5249" s="20" t="s">
        <v>1070</v>
      </c>
      <c r="E5249" s="21">
        <f>IF(D5249="?OLD","!!!","")</f>
        <v/>
      </c>
      <c r="F5249" s="22" t="str">
        <f>IF(OR(E5249="",E5249="!!!"),"",IF(NOT(ISNA(VLOOKUP(E5249,E$1:E5248,1,FALSE()))),"OLD",IF(AND(E5249&lt;&gt;"",E5249&lt;&gt;"!!!"),"NEW","")))</f>
        <v> </v>
      </c>
      <c r="G5249" s="23" t="str">
        <f>IF(OR(E5249="",E5249="!!!"),"",IF(OR(J5249=0,AND(J5249=1,K5249=1),AND(J5249=1,I5249="SBJ"),AND(J5249=1,I5249=0)),"?IN_FOCUS",IF(J5249&lt;=2,"?ACTIVATED",IF(J5249&lt;&gt;"","?FAMILIAR",IF(F5249="NEW",IF(ISNA(VLOOKUP(E5249,#REF!,1,FALSE())),"?TYPE_IDENTIFIABLE","?REFERENTIAL"),"_")))))</f>
        <v> </v>
      </c>
      <c r="H5249" s="24" t="str">
        <f>IF(J5249&lt;&gt;1,"",IF(I5249="SBJ","CB","?"))</f>
        <v> </v>
      </c>
      <c r="I5249" s="25" t="str">
        <f>IF(OR(E5249="",E5249="!!!",F5249="NEW"),"",INDEX(B5248:B$2,-1+SUMPRODUCT(MAX(ROW(E5248:E$2)*(E5249=E5248:E$2)))))</f>
        <v> </v>
      </c>
      <c r="J5249" s="25" t="str">
        <f>IF(OR(E5249="",E5249="!!!",F5249="NEW"),"",COUNTBLANK(OFFSET(A$1,,,SUMPRODUCT(MAX(ROW(E$2:E5249)*(E5249=E$2:E5249)))))-COUNTBLANK(OFFSET(A$1,,,SUMPRODUCT(MAX(ROW(E$1:E5248)*(E2=E$1:E5248))))))</f>
        <v> </v>
      </c>
      <c r="K5249" s="25" t="str">
        <f>IF(OR(E5249="",E5249="!!!",F5249="NEW"),"",INDEX(J$1:J5248,SUMPRODUCT(MAX(ROW(E$1:E5248)*(E5249=E$1:E5248)))))</f>
        <v> </v>
      </c>
      <c r="L5249" s="26"/>
    </row>
    <row r="5250" spans="1:12">
      <c r="A5250" s="20" t="s">
        <v>841</v>
      </c>
      <c r="E5250" s="21">
        <f>IF(D5250="?OLD","!!!","")</f>
        <v/>
      </c>
      <c r="F5250" s="22" t="str">
        <f>IF(OR(E5250="",E5250="!!!"),"",IF(NOT(ISNA(VLOOKUP(E5250,E$1:E5249,1,FALSE()))),"OLD",IF(AND(E5250&lt;&gt;"",E5250&lt;&gt;"!!!"),"NEW","")))</f>
        <v> </v>
      </c>
      <c r="G5250" s="23" t="str">
        <f>IF(OR(E5250="",E5250="!!!"),"",IF(OR(J5250=0,AND(J5250=1,K5250=1),AND(J5250=1,I5250="SBJ"),AND(J5250=1,I5250=0)),"?IN_FOCUS",IF(J5250&lt;=2,"?ACTIVATED",IF(J5250&lt;&gt;"","?FAMILIAR",IF(F5250="NEW",IF(ISNA(VLOOKUP(E5250,#REF!,1,FALSE())),"?TYPE_IDENTIFIABLE","?REFERENTIAL"),"_")))))</f>
        <v> </v>
      </c>
      <c r="H5250" s="24" t="str">
        <f>IF(J5250&lt;&gt;1,"",IF(I5250="SBJ","CB","?"))</f>
        <v> </v>
      </c>
      <c r="I5250" s="25" t="str">
        <f>IF(OR(E5250="",E5250="!!!",F5250="NEW"),"",INDEX(B5249:B$2,-1+SUMPRODUCT(MAX(ROW(E5249:E$2)*(E5250=E5249:E$2)))))</f>
        <v> </v>
      </c>
      <c r="J5250" s="25" t="str">
        <f>IF(OR(E5250="",E5250="!!!",F5250="NEW"),"",COUNTBLANK(OFFSET(A$1,,,SUMPRODUCT(MAX(ROW(E$2:E5250)*(E5250=E$2:E5250)))))-COUNTBLANK(OFFSET(A$1,,,SUMPRODUCT(MAX(ROW(E$1:E5249)*(E2=E$1:E5249))))))</f>
        <v> </v>
      </c>
      <c r="K5250" s="25" t="str">
        <f>IF(OR(E5250="",E5250="!!!",F5250="NEW"),"",INDEX(J$1:J5249,SUMPRODUCT(MAX(ROW(E$1:E5249)*(E5250=E$1:E5249)))))</f>
        <v> </v>
      </c>
      <c r="L5250" s="26"/>
    </row>
    <row r="5251" spans="1:12">
      <c r="A5251" s="20" t="s">
        <v>1080</v>
      </c>
      <c r="E5251" s="21">
        <f>IF(D5251="?OLD","!!!","")</f>
        <v/>
      </c>
      <c r="F5251" s="22" t="str">
        <f>IF(OR(E5251="",E5251="!!!"),"",IF(NOT(ISNA(VLOOKUP(E5251,E$1:E5250,1,FALSE()))),"OLD",IF(AND(E5251&lt;&gt;"",E5251&lt;&gt;"!!!"),"NEW","")))</f>
        <v> </v>
      </c>
      <c r="G5251" s="23" t="str">
        <f>IF(OR(E5251="",E5251="!!!"),"",IF(OR(J5251=0,AND(J5251=1,K5251=1),AND(J5251=1,I5251="SBJ"),AND(J5251=1,I5251=0)),"?IN_FOCUS",IF(J5251&lt;=2,"?ACTIVATED",IF(J5251&lt;&gt;"","?FAMILIAR",IF(F5251="NEW",IF(ISNA(VLOOKUP(E5251,#REF!,1,FALSE())),"?TYPE_IDENTIFIABLE","?REFERENTIAL"),"_")))))</f>
        <v> </v>
      </c>
      <c r="H5251" s="24" t="str">
        <f>IF(J5251&lt;&gt;1,"",IF(I5251="SBJ","CB","?"))</f>
        <v> </v>
      </c>
      <c r="I5251" s="25" t="str">
        <f>IF(OR(E5251="",E5251="!!!",F5251="NEW"),"",INDEX(B5250:B$2,-1+SUMPRODUCT(MAX(ROW(E5250:E$2)*(E5251=E5250:E$2)))))</f>
        <v> </v>
      </c>
      <c r="J5251" s="25" t="str">
        <f>IF(OR(E5251="",E5251="!!!",F5251="NEW"),"",COUNTBLANK(OFFSET(A$1,,,SUMPRODUCT(MAX(ROW(E$2:E5251)*(E5251=E$2:E5251)))))-COUNTBLANK(OFFSET(A$1,,,SUMPRODUCT(MAX(ROW(E$1:E5250)*(E2=E$1:E5250))))))</f>
        <v> </v>
      </c>
      <c r="K5251" s="25" t="str">
        <f>IF(OR(E5251="",E5251="!!!",F5251="NEW"),"",INDEX(J$1:J5250,SUMPRODUCT(MAX(ROW(E$1:E5250)*(E5251=E$1:E5250)))))</f>
        <v> </v>
      </c>
      <c r="L5251" s="26"/>
    </row>
    <row r="5252" spans="1:12">
      <c r="A5252" s="20"/>
    </row>
    <row r="5253" spans="1:12">
      <c r="A5253" s="20" t="s">
        <v>2548</v>
      </c>
    </row>
    <row r="5254" spans="1:12">
      <c r="A5254" s="20" t="s">
        <v>2549</v>
      </c>
      <c r="B5254" s="27" t="s">
        <v>1067</v>
      </c>
      <c r="C5254" s="27" t="s">
        <v>1077</v>
      </c>
      <c r="E5254" s="21">
        <f>IF(D5254="?OLD","!!!","")</f>
        <v/>
      </c>
      <c r="F5254" s="22" t="str">
        <f>IF(OR(E5254="",E5254="!!!"),"",IF(NOT(ISNA(VLOOKUP(E5254,E$1:E5253,1,FALSE()))),"OLD",IF(AND(E5254&lt;&gt;"",E5254&lt;&gt;"!!!"),"NEW","")))</f>
        <v> </v>
      </c>
      <c r="G5254" s="23" t="str">
        <f>IF(OR(E5254="",E5254="!!!"),"",IF(OR(J5254=0,AND(J5254=1,K5254=1),AND(J5254=1,I5254="SBJ"),AND(J5254=1,I5254=0)),"?IN_FOCUS",IF(J5254&lt;=2,"?ACTIVATED",IF(J5254&lt;&gt;"","?FAMILIAR",IF(F5254="NEW",IF(ISNA(VLOOKUP(E5254,#REF!,1,FALSE())),"?TYPE_IDENTIFIABLE","?REFERENTIAL"),"_")))))</f>
        <v> </v>
      </c>
      <c r="H5254" s="24" t="str">
        <f>IF(J5254&lt;&gt;1,"",IF(I5254="SBJ","CB","?"))</f>
        <v> </v>
      </c>
      <c r="I5254" s="25" t="str">
        <f>IF(OR(E5254="",E5254="!!!",F5254="NEW"),"",INDEX(B5253:B$2,-1+SUMPRODUCT(MAX(ROW(E5253:E$2)*(E5254=E5253:E$2)))))</f>
        <v> </v>
      </c>
      <c r="J5254" s="25" t="str">
        <f>IF(OR(E5254="",E5254="!!!",F5254="NEW"),"",COUNTBLANK(OFFSET(A$1,,,SUMPRODUCT(MAX(ROW(E$2:E5254)*(E5254=E$2:E5254)))))-COUNTBLANK(OFFSET(A$1,,,SUMPRODUCT(MAX(ROW(E$1:E5253)*(E2=E$1:E5253))))))</f>
        <v> </v>
      </c>
      <c r="K5254" s="25" t="str">
        <f>IF(OR(E5254="",E5254="!!!",F5254="NEW"),"",INDEX(J$1:J5253,SUMPRODUCT(MAX(ROW(E$1:E5253)*(E5254=E$1:E5253)))))</f>
        <v> </v>
      </c>
      <c r="L5254" s="26"/>
    </row>
    <row r="5255" spans="1:12">
      <c r="A5255" s="20" t="s">
        <v>1097</v>
      </c>
      <c r="E5255" s="21">
        <f>IF(D5255="?OLD","!!!","")</f>
        <v/>
      </c>
      <c r="F5255" s="22" t="str">
        <f>IF(OR(E5255="",E5255="!!!"),"",IF(NOT(ISNA(VLOOKUP(E5255,E$1:E5254,1,FALSE()))),"OLD",IF(AND(E5255&lt;&gt;"",E5255&lt;&gt;"!!!"),"NEW","")))</f>
        <v> </v>
      </c>
      <c r="G5255" s="23" t="str">
        <f>IF(OR(E5255="",E5255="!!!"),"",IF(OR(J5255=0,AND(J5255=1,K5255=1),AND(J5255=1,I5255="SBJ"),AND(J5255=1,I5255=0)),"?IN_FOCUS",IF(J5255&lt;=2,"?ACTIVATED",IF(J5255&lt;&gt;"","?FAMILIAR",IF(F5255="NEW",IF(ISNA(VLOOKUP(E5255,#REF!,1,FALSE())),"?TYPE_IDENTIFIABLE","?REFERENTIAL"),"_")))))</f>
        <v> </v>
      </c>
      <c r="H5255" s="24" t="str">
        <f>IF(J5255&lt;&gt;1,"",IF(I5255="SBJ","CB","?"))</f>
        <v> </v>
      </c>
      <c r="I5255" s="25" t="str">
        <f>IF(OR(E5255="",E5255="!!!",F5255="NEW"),"",INDEX(B5254:B$2,-1+SUMPRODUCT(MAX(ROW(E5254:E$2)*(E5255=E5254:E$2)))))</f>
        <v> </v>
      </c>
      <c r="J5255" s="25" t="str">
        <f>IF(OR(E5255="",E5255="!!!",F5255="NEW"),"",COUNTBLANK(OFFSET(A$1,,,SUMPRODUCT(MAX(ROW(E$2:E5255)*(E5255=E$2:E5255)))))-COUNTBLANK(OFFSET(A$1,,,SUMPRODUCT(MAX(ROW(E$1:E5254)*(E2=E$1:E5254))))))</f>
        <v> </v>
      </c>
      <c r="K5255" s="25" t="str">
        <f>IF(OR(E5255="",E5255="!!!",F5255="NEW"),"",INDEX(J$1:J5254,SUMPRODUCT(MAX(ROW(E$1:E5254)*(E5255=E$1:E5254)))))</f>
        <v> </v>
      </c>
      <c r="L5255" s="26"/>
    </row>
    <row r="5256" spans="1:12">
      <c r="A5256" s="20" t="s">
        <v>2550</v>
      </c>
      <c r="B5256" s="27" t="s">
        <v>1071</v>
      </c>
      <c r="C5256" s="27" t="s">
        <v>1086</v>
      </c>
      <c r="D5256" s="27" t="s">
        <v>1069</v>
      </c>
      <c r="E5256" s="21">
        <f>IF(D5256="?OLD","!!!","")</f>
        <v/>
      </c>
      <c r="F5256" s="22" t="str">
        <f>IF(OR(E5256="",E5256="!!!"),"",IF(NOT(ISNA(VLOOKUP(E5256,E$1:E5255,1,FALSE()))),"OLD",IF(AND(E5256&lt;&gt;"",E5256&lt;&gt;"!!!"),"NEW","")))</f>
        <v> </v>
      </c>
      <c r="G5256" s="23" t="str">
        <f>IF(OR(E5256="",E5256="!!!"),"",IF(OR(J5256=0,AND(J5256=1,K5256=1),AND(J5256=1,I5256="SBJ"),AND(J5256=1,I5256=0)),"?IN_FOCUS",IF(J5256&lt;=2,"?ACTIVATED",IF(J5256&lt;&gt;"","?FAMILIAR",IF(F5256="NEW",IF(ISNA(VLOOKUP(E5256,#REF!,1,FALSE())),"?TYPE_IDENTIFIABLE","?REFERENTIAL"),"_")))))</f>
        <v> </v>
      </c>
      <c r="H5256" s="24" t="str">
        <f>IF(J5256&lt;&gt;1,"",IF(I5256="SBJ","CB","?"))</f>
        <v> </v>
      </c>
      <c r="I5256" s="25" t="str">
        <f>IF(OR(E5256="",E5256="!!!",F5256="NEW"),"",INDEX(B5255:B$2,-1+SUMPRODUCT(MAX(ROW(E5255:E$2)*(E5256=E5255:E$2)))))</f>
        <v> </v>
      </c>
      <c r="J5256" s="25" t="str">
        <f>IF(OR(E5256="",E5256="!!!",F5256="NEW"),"",COUNTBLANK(OFFSET(A$1,,,SUMPRODUCT(MAX(ROW(E$2:E5256)*(E5256=E$2:E5256)))))-COUNTBLANK(OFFSET(A$1,,,SUMPRODUCT(MAX(ROW(E$1:E5255)*(E2=E$1:E5255))))))</f>
        <v> </v>
      </c>
      <c r="K5256" s="25" t="str">
        <f>IF(OR(E5256="",E5256="!!!",F5256="NEW"),"",INDEX(J$1:J5255,SUMPRODUCT(MAX(ROW(E$1:E5255)*(E5256=E$1:E5255)))))</f>
        <v> </v>
      </c>
      <c r="L5256" s="26"/>
    </row>
    <row r="5257" spans="1:12">
      <c r="A5257" s="20" t="s">
        <v>1087</v>
      </c>
      <c r="E5257" s="21">
        <f>IF(D5257="?OLD","!!!","")</f>
        <v/>
      </c>
      <c r="F5257" s="22" t="str">
        <f>IF(OR(E5257="",E5257="!!!"),"",IF(NOT(ISNA(VLOOKUP(E5257,E$1:E5256,1,FALSE()))),"OLD",IF(AND(E5257&lt;&gt;"",E5257&lt;&gt;"!!!"),"NEW","")))</f>
        <v> </v>
      </c>
      <c r="G5257" s="23" t="str">
        <f>IF(OR(E5257="",E5257="!!!"),"",IF(OR(J5257=0,AND(J5257=1,K5257=1),AND(J5257=1,I5257="SBJ"),AND(J5257=1,I5257=0)),"?IN_FOCUS",IF(J5257&lt;=2,"?ACTIVATED",IF(J5257&lt;&gt;"","?FAMILIAR",IF(F5257="NEW",IF(ISNA(VLOOKUP(E5257,#REF!,1,FALSE())),"?TYPE_IDENTIFIABLE","?REFERENTIAL"),"_")))))</f>
        <v> </v>
      </c>
      <c r="H5257" s="24" t="str">
        <f>IF(J5257&lt;&gt;1,"",IF(I5257="SBJ","CB","?"))</f>
        <v> </v>
      </c>
      <c r="I5257" s="25" t="str">
        <f>IF(OR(E5257="",E5257="!!!",F5257="NEW"),"",INDEX(B5256:B$2,-1+SUMPRODUCT(MAX(ROW(E5256:E$2)*(E5257=E5256:E$2)))))</f>
        <v> </v>
      </c>
      <c r="J5257" s="25" t="str">
        <f>IF(OR(E5257="",E5257="!!!",F5257="NEW"),"",COUNTBLANK(OFFSET(A$1,,,SUMPRODUCT(MAX(ROW(E$2:E5257)*(E5257=E$2:E5257)))))-COUNTBLANK(OFFSET(A$1,,,SUMPRODUCT(MAX(ROW(E$1:E5256)*(E2=E$1:E5256))))))</f>
        <v> </v>
      </c>
      <c r="K5257" s="25" t="str">
        <f>IF(OR(E5257="",E5257="!!!",F5257="NEW"),"",INDEX(J$1:J5256,SUMPRODUCT(MAX(ROW(E$1:E5256)*(E5257=E$1:E5256)))))</f>
        <v> </v>
      </c>
      <c r="L5257" s="26"/>
    </row>
    <row r="5258" spans="1:12">
      <c r="A5258" s="20" t="s">
        <v>1113</v>
      </c>
      <c r="B5258" s="27" t="s">
        <v>1250</v>
      </c>
      <c r="E5258" s="21">
        <f>IF(D5258="?OLD","!!!","")</f>
        <v/>
      </c>
      <c r="F5258" s="22" t="str">
        <f>IF(OR(E5258="",E5258="!!!"),"",IF(NOT(ISNA(VLOOKUP(E5258,E$1:E5257,1,FALSE()))),"OLD",IF(AND(E5258&lt;&gt;"",E5258&lt;&gt;"!!!"),"NEW","")))</f>
        <v> </v>
      </c>
      <c r="G5258" s="23" t="str">
        <f>IF(OR(E5258="",E5258="!!!"),"",IF(OR(J5258=0,AND(J5258=1,K5258=1),AND(J5258=1,I5258="SBJ"),AND(J5258=1,I5258=0)),"?IN_FOCUS",IF(J5258&lt;=2,"?ACTIVATED",IF(J5258&lt;&gt;"","?FAMILIAR",IF(F5258="NEW",IF(ISNA(VLOOKUP(E5258,#REF!,1,FALSE())),"?TYPE_IDENTIFIABLE","?REFERENTIAL"),"_")))))</f>
        <v> </v>
      </c>
      <c r="H5258" s="24" t="str">
        <f>IF(J5258&lt;&gt;1,"",IF(I5258="SBJ","CB","?"))</f>
        <v> </v>
      </c>
      <c r="I5258" s="25" t="str">
        <f>IF(OR(E5258="",E5258="!!!",F5258="NEW"),"",INDEX(B5257:B$2,-1+SUMPRODUCT(MAX(ROW(E5257:E$2)*(E5258=E5257:E$2)))))</f>
        <v> </v>
      </c>
      <c r="J5258" s="25" t="str">
        <f>IF(OR(E5258="",E5258="!!!",F5258="NEW"),"",COUNTBLANK(OFFSET(A$1,,,SUMPRODUCT(MAX(ROW(E$2:E5258)*(E5258=E$2:E5258)))))-COUNTBLANK(OFFSET(A$1,,,SUMPRODUCT(MAX(ROW(E$1:E5257)*(E2=E$1:E5257))))))</f>
        <v> </v>
      </c>
      <c r="K5258" s="25" t="str">
        <f>IF(OR(E5258="",E5258="!!!",F5258="NEW"),"",INDEX(J$1:J5257,SUMPRODUCT(MAX(ROW(E$1:E5257)*(E5258=E$1:E5257)))))</f>
        <v> </v>
      </c>
      <c r="L5258" s="26"/>
    </row>
    <row r="5259" spans="1:12">
      <c r="A5259" s="20" t="s">
        <v>1351</v>
      </c>
      <c r="B5259" s="27" t="s">
        <v>1235</v>
      </c>
      <c r="C5259" s="27" t="s">
        <v>1072</v>
      </c>
      <c r="E5259" s="21">
        <f>IF(D5259="?OLD","!!!","")</f>
        <v/>
      </c>
      <c r="F5259" s="22" t="str">
        <f>IF(OR(E5259="",E5259="!!!"),"",IF(NOT(ISNA(VLOOKUP(E5259,E$1:E5258,1,FALSE()))),"OLD",IF(AND(E5259&lt;&gt;"",E5259&lt;&gt;"!!!"),"NEW","")))</f>
        <v> </v>
      </c>
      <c r="G5259" s="23" t="str">
        <f>IF(OR(E5259="",E5259="!!!"),"",IF(OR(J5259=0,AND(J5259=1,K5259=1),AND(J5259=1,I5259="SBJ"),AND(J5259=1,I5259=0)),"?IN_FOCUS",IF(J5259&lt;=2,"?ACTIVATED",IF(J5259&lt;&gt;"","?FAMILIAR",IF(F5259="NEW",IF(ISNA(VLOOKUP(E5259,#REF!,1,FALSE())),"?TYPE_IDENTIFIABLE","?REFERENTIAL"),"_")))))</f>
        <v> </v>
      </c>
      <c r="H5259" s="24" t="str">
        <f>IF(J5259&lt;&gt;1,"",IF(I5259="SBJ","CB","?"))</f>
        <v> </v>
      </c>
      <c r="I5259" s="25" t="str">
        <f>IF(OR(E5259="",E5259="!!!",F5259="NEW"),"",INDEX(B5258:B$2,-1+SUMPRODUCT(MAX(ROW(E5258:E$2)*(E5259=E5258:E$2)))))</f>
        <v> </v>
      </c>
      <c r="J5259" s="25" t="str">
        <f>IF(OR(E5259="",E5259="!!!",F5259="NEW"),"",COUNTBLANK(OFFSET(A$1,,,SUMPRODUCT(MAX(ROW(E$2:E5259)*(E5259=E$2:E5259)))))-COUNTBLANK(OFFSET(A$1,,,SUMPRODUCT(MAX(ROW(E$1:E5258)*(E2=E$1:E5258))))))</f>
        <v> </v>
      </c>
      <c r="K5259" s="25" t="str">
        <f>IF(OR(E5259="",E5259="!!!",F5259="NEW"),"",INDEX(J$1:J5258,SUMPRODUCT(MAX(ROW(E$1:E5258)*(E5259=E$1:E5258)))))</f>
        <v> </v>
      </c>
      <c r="L5259" s="26"/>
    </row>
    <row r="5260" spans="1:12">
      <c r="A5260" s="20" t="s">
        <v>2031</v>
      </c>
      <c r="E5260" s="21">
        <f>IF(D5260="?OLD","!!!","")</f>
        <v/>
      </c>
      <c r="F5260" s="22" t="str">
        <f>IF(OR(E5260="",E5260="!!!"),"",IF(NOT(ISNA(VLOOKUP(E5260,E$1:E5259,1,FALSE()))),"OLD",IF(AND(E5260&lt;&gt;"",E5260&lt;&gt;"!!!"),"NEW","")))</f>
        <v> </v>
      </c>
      <c r="G5260" s="23" t="str">
        <f>IF(OR(E5260="",E5260="!!!"),"",IF(OR(J5260=0,AND(J5260=1,K5260=1),AND(J5260=1,I5260="SBJ"),AND(J5260=1,I5260=0)),"?IN_FOCUS",IF(J5260&lt;=2,"?ACTIVATED",IF(J5260&lt;&gt;"","?FAMILIAR",IF(F5260="NEW",IF(ISNA(VLOOKUP(E5260,#REF!,1,FALSE())),"?TYPE_IDENTIFIABLE","?REFERENTIAL"),"_")))))</f>
        <v> </v>
      </c>
      <c r="H5260" s="24" t="str">
        <f>IF(J5260&lt;&gt;1,"",IF(I5260="SBJ","CB","?"))</f>
        <v> </v>
      </c>
      <c r="I5260" s="25" t="str">
        <f>IF(OR(E5260="",E5260="!!!",F5260="NEW"),"",INDEX(B5259:B$2,-1+SUMPRODUCT(MAX(ROW(E5259:E$2)*(E5260=E5259:E$2)))))</f>
        <v> </v>
      </c>
      <c r="J5260" s="25" t="str">
        <f>IF(OR(E5260="",E5260="!!!",F5260="NEW"),"",COUNTBLANK(OFFSET(A$1,,,SUMPRODUCT(MAX(ROW(E$2:E5260)*(E5260=E$2:E5260)))))-COUNTBLANK(OFFSET(A$1,,,SUMPRODUCT(MAX(ROW(E$1:E5259)*(E2=E$1:E5259))))))</f>
        <v> </v>
      </c>
      <c r="K5260" s="25" t="str">
        <f>IF(OR(E5260="",E5260="!!!",F5260="NEW"),"",INDEX(J$1:J5259,SUMPRODUCT(MAX(ROW(E$1:E5259)*(E5260=E$1:E5259)))))</f>
        <v> </v>
      </c>
      <c r="L5260" s="26"/>
    </row>
    <row r="5261" spans="1:12">
      <c r="A5261" s="20" t="s">
        <v>1087</v>
      </c>
      <c r="E5261" s="21">
        <f>IF(D5261="?OLD","!!!","")</f>
        <v/>
      </c>
      <c r="F5261" s="22" t="str">
        <f>IF(OR(E5261="",E5261="!!!"),"",IF(NOT(ISNA(VLOOKUP(E5261,E$1:E5260,1,FALSE()))),"OLD",IF(AND(E5261&lt;&gt;"",E5261&lt;&gt;"!!!"),"NEW","")))</f>
        <v> </v>
      </c>
      <c r="G5261" s="23" t="str">
        <f>IF(OR(E5261="",E5261="!!!"),"",IF(OR(J5261=0,AND(J5261=1,K5261=1),AND(J5261=1,I5261="SBJ"),AND(J5261=1,I5261=0)),"?IN_FOCUS",IF(J5261&lt;=2,"?ACTIVATED",IF(J5261&lt;&gt;"","?FAMILIAR",IF(F5261="NEW",IF(ISNA(VLOOKUP(E5261,#REF!,1,FALSE())),"?TYPE_IDENTIFIABLE","?REFERENTIAL"),"_")))))</f>
        <v> </v>
      </c>
      <c r="H5261" s="24" t="str">
        <f>IF(J5261&lt;&gt;1,"",IF(I5261="SBJ","CB","?"))</f>
        <v> </v>
      </c>
      <c r="I5261" s="25" t="str">
        <f>IF(OR(E5261="",E5261="!!!",F5261="NEW"),"",INDEX(B5260:B$2,-1+SUMPRODUCT(MAX(ROW(E5260:E$2)*(E5261=E5260:E$2)))))</f>
        <v> </v>
      </c>
      <c r="J5261" s="25" t="str">
        <f>IF(OR(E5261="",E5261="!!!",F5261="NEW"),"",COUNTBLANK(OFFSET(A$1,,,SUMPRODUCT(MAX(ROW(E$2:E5261)*(E5261=E$2:E5261)))))-COUNTBLANK(OFFSET(A$1,,,SUMPRODUCT(MAX(ROW(E$1:E5260)*(E2=E$1:E5260))))))</f>
        <v> </v>
      </c>
      <c r="K5261" s="25" t="str">
        <f>IF(OR(E5261="",E5261="!!!",F5261="NEW"),"",INDEX(J$1:J5260,SUMPRODUCT(MAX(ROW(E$1:E5260)*(E5261=E$1:E5260)))))</f>
        <v> </v>
      </c>
      <c r="L5261" s="26"/>
    </row>
    <row r="5262" spans="1:12">
      <c r="A5262" s="20" t="s">
        <v>141</v>
      </c>
      <c r="E5262" s="21">
        <f>IF(D5262="?OLD","!!!","")</f>
        <v/>
      </c>
      <c r="F5262" s="22" t="str">
        <f>IF(OR(E5262="",E5262="!!!"),"",IF(NOT(ISNA(VLOOKUP(E5262,E$1:E5261,1,FALSE()))),"OLD",IF(AND(E5262&lt;&gt;"",E5262&lt;&gt;"!!!"),"NEW","")))</f>
        <v> </v>
      </c>
      <c r="G5262" s="23" t="str">
        <f>IF(OR(E5262="",E5262="!!!"),"",IF(OR(J5262=0,AND(J5262=1,K5262=1),AND(J5262=1,I5262="SBJ"),AND(J5262=1,I5262=0)),"?IN_FOCUS",IF(J5262&lt;=2,"?ACTIVATED",IF(J5262&lt;&gt;"","?FAMILIAR",IF(F5262="NEW",IF(ISNA(VLOOKUP(E5262,#REF!,1,FALSE())),"?TYPE_IDENTIFIABLE","?REFERENTIAL"),"_")))))</f>
        <v> </v>
      </c>
      <c r="H5262" s="24" t="str">
        <f>IF(J5262&lt;&gt;1,"",IF(I5262="SBJ","CB","?"))</f>
        <v> </v>
      </c>
      <c r="I5262" s="25" t="str">
        <f>IF(OR(E5262="",E5262="!!!",F5262="NEW"),"",INDEX(B5261:B$2,-1+SUMPRODUCT(MAX(ROW(E5261:E$2)*(E5262=E5261:E$2)))))</f>
        <v> </v>
      </c>
      <c r="J5262" s="25" t="str">
        <f>IF(OR(E5262="",E5262="!!!",F5262="NEW"),"",COUNTBLANK(OFFSET(A$1,,,SUMPRODUCT(MAX(ROW(E$2:E5262)*(E5262=E$2:E5262)))))-COUNTBLANK(OFFSET(A$1,,,SUMPRODUCT(MAX(ROW(E$1:E5261)*(E2=E$1:E5261))))))</f>
        <v> </v>
      </c>
      <c r="K5262" s="25" t="str">
        <f>IF(OR(E5262="",E5262="!!!",F5262="NEW"),"",INDEX(J$1:J5261,SUMPRODUCT(MAX(ROW(E$1:E5261)*(E5262=E$1:E5261)))))</f>
        <v> </v>
      </c>
      <c r="L5262" s="26"/>
    </row>
    <row r="5263" spans="1:12">
      <c r="A5263" s="20" t="s">
        <v>1193</v>
      </c>
      <c r="E5263" s="21">
        <f>IF(D5263="?OLD","!!!","")</f>
        <v/>
      </c>
      <c r="F5263" s="22" t="str">
        <f>IF(OR(E5263="",E5263="!!!"),"",IF(NOT(ISNA(VLOOKUP(E5263,E$1:E5262,1,FALSE()))),"OLD",IF(AND(E5263&lt;&gt;"",E5263&lt;&gt;"!!!"),"NEW","")))</f>
        <v> </v>
      </c>
      <c r="G5263" s="23" t="str">
        <f>IF(OR(E5263="",E5263="!!!"),"",IF(OR(J5263=0,AND(J5263=1,K5263=1),AND(J5263=1,I5263="SBJ"),AND(J5263=1,I5263=0)),"?IN_FOCUS",IF(J5263&lt;=2,"?ACTIVATED",IF(J5263&lt;&gt;"","?FAMILIAR",IF(F5263="NEW",IF(ISNA(VLOOKUP(E5263,#REF!,1,FALSE())),"?TYPE_IDENTIFIABLE","?REFERENTIAL"),"_")))))</f>
        <v> </v>
      </c>
      <c r="H5263" s="24" t="str">
        <f>IF(J5263&lt;&gt;1,"",IF(I5263="SBJ","CB","?"))</f>
        <v> </v>
      </c>
      <c r="I5263" s="25" t="str">
        <f>IF(OR(E5263="",E5263="!!!",F5263="NEW"),"",INDEX(B5262:B$2,-1+SUMPRODUCT(MAX(ROW(E5262:E$2)*(E5263=E5262:E$2)))))</f>
        <v> </v>
      </c>
      <c r="J5263" s="25" t="str">
        <f>IF(OR(E5263="",E5263="!!!",F5263="NEW"),"",COUNTBLANK(OFFSET(A$1,,,SUMPRODUCT(MAX(ROW(E$2:E5263)*(E5263=E$2:E5263)))))-COUNTBLANK(OFFSET(A$1,,,SUMPRODUCT(MAX(ROW(E$1:E5262)*(E2=E$1:E5262))))))</f>
        <v> </v>
      </c>
      <c r="K5263" s="25" t="str">
        <f>IF(OR(E5263="",E5263="!!!",F5263="NEW"),"",INDEX(J$1:J5262,SUMPRODUCT(MAX(ROW(E$1:E5262)*(E5263=E$1:E5262)))))</f>
        <v> </v>
      </c>
      <c r="L5263" s="26"/>
    </row>
    <row r="5264" spans="1:12">
      <c r="A5264" s="20" t="s">
        <v>2551</v>
      </c>
      <c r="E5264" s="21">
        <f>IF(D5264="?OLD","!!!","")</f>
        <v/>
      </c>
      <c r="F5264" s="22" t="str">
        <f>IF(OR(E5264="",E5264="!!!"),"",IF(NOT(ISNA(VLOOKUP(E5264,E$1:E5263,1,FALSE()))),"OLD",IF(AND(E5264&lt;&gt;"",E5264&lt;&gt;"!!!"),"NEW","")))</f>
        <v> </v>
      </c>
      <c r="G5264" s="23" t="str">
        <f>IF(OR(E5264="",E5264="!!!"),"",IF(OR(J5264=0,AND(J5264=1,K5264=1),AND(J5264=1,I5264="SBJ"),AND(J5264=1,I5264=0)),"?IN_FOCUS",IF(J5264&lt;=2,"?ACTIVATED",IF(J5264&lt;&gt;"","?FAMILIAR",IF(F5264="NEW",IF(ISNA(VLOOKUP(E5264,#REF!,1,FALSE())),"?TYPE_IDENTIFIABLE","?REFERENTIAL"),"_")))))</f>
        <v> </v>
      </c>
      <c r="H5264" s="24" t="str">
        <f>IF(J5264&lt;&gt;1,"",IF(I5264="SBJ","CB","?"))</f>
        <v> </v>
      </c>
      <c r="I5264" s="25" t="str">
        <f>IF(OR(E5264="",E5264="!!!",F5264="NEW"),"",INDEX(B5263:B$2,-1+SUMPRODUCT(MAX(ROW(E5263:E$2)*(E5264=E5263:E$2)))))</f>
        <v> </v>
      </c>
      <c r="J5264" s="25" t="str">
        <f>IF(OR(E5264="",E5264="!!!",F5264="NEW"),"",COUNTBLANK(OFFSET(A$1,,,SUMPRODUCT(MAX(ROW(E$2:E5264)*(E5264=E$2:E5264)))))-COUNTBLANK(OFFSET(A$1,,,SUMPRODUCT(MAX(ROW(E$1:E5263)*(E2=E$1:E5263))))))</f>
        <v> </v>
      </c>
      <c r="K5264" s="25" t="str">
        <f>IF(OR(E5264="",E5264="!!!",F5264="NEW"),"",INDEX(J$1:J5263,SUMPRODUCT(MAX(ROW(E$1:E5263)*(E5264=E$1:E5263)))))</f>
        <v> </v>
      </c>
      <c r="L5264" s="26"/>
    </row>
    <row r="5265" spans="1:12">
      <c r="A5265" s="20" t="s">
        <v>1192</v>
      </c>
      <c r="B5265" s="27" t="s">
        <v>1074</v>
      </c>
      <c r="C5265" s="27" t="s">
        <v>1120</v>
      </c>
      <c r="E5265" s="21">
        <f>IF(D5265="?OLD","!!!","")</f>
        <v/>
      </c>
      <c r="F5265" s="22" t="str">
        <f>IF(OR(E5265="",E5265="!!!"),"",IF(NOT(ISNA(VLOOKUP(E5265,E$1:E5264,1,FALSE()))),"OLD",IF(AND(E5265&lt;&gt;"",E5265&lt;&gt;"!!!"),"NEW","")))</f>
        <v> </v>
      </c>
      <c r="G5265" s="23" t="str">
        <f>IF(OR(E5265="",E5265="!!!"),"",IF(OR(J5265=0,AND(J5265=1,K5265=1),AND(J5265=1,I5265="SBJ"),AND(J5265=1,I5265=0)),"?IN_FOCUS",IF(J5265&lt;=2,"?ACTIVATED",IF(J5265&lt;&gt;"","?FAMILIAR",IF(F5265="NEW",IF(ISNA(VLOOKUP(E5265,#REF!,1,FALSE())),"?TYPE_IDENTIFIABLE","?REFERENTIAL"),"_")))))</f>
        <v> </v>
      </c>
      <c r="H5265" s="24" t="str">
        <f>IF(J5265&lt;&gt;1,"",IF(I5265="SBJ","CB","?"))</f>
        <v> </v>
      </c>
      <c r="I5265" s="25" t="str">
        <f>IF(OR(E5265="",E5265="!!!",F5265="NEW"),"",INDEX(B5264:B$2,-1+SUMPRODUCT(MAX(ROW(E5264:E$2)*(E5265=E5264:E$2)))))</f>
        <v> </v>
      </c>
      <c r="J5265" s="25" t="str">
        <f>IF(OR(E5265="",E5265="!!!",F5265="NEW"),"",COUNTBLANK(OFFSET(A$1,,,SUMPRODUCT(MAX(ROW(E$2:E5265)*(E5265=E$2:E5265)))))-COUNTBLANK(OFFSET(A$1,,,SUMPRODUCT(MAX(ROW(E$1:E5264)*(E2=E$1:E5264))))))</f>
        <v> </v>
      </c>
      <c r="K5265" s="25" t="str">
        <f>IF(OR(E5265="",E5265="!!!",F5265="NEW"),"",INDEX(J$1:J5264,SUMPRODUCT(MAX(ROW(E$1:E5264)*(E5265=E$1:E5264)))))</f>
        <v> </v>
      </c>
      <c r="L5265" s="26"/>
    </row>
    <row r="5266" spans="1:12">
      <c r="A5266" s="20" t="s">
        <v>1191</v>
      </c>
      <c r="E5266" s="21">
        <f>IF(D5266="?OLD","!!!","")</f>
        <v/>
      </c>
      <c r="F5266" s="22" t="str">
        <f>IF(OR(E5266="",E5266="!!!"),"",IF(NOT(ISNA(VLOOKUP(E5266,E$1:E5265,1,FALSE()))),"OLD",IF(AND(E5266&lt;&gt;"",E5266&lt;&gt;"!!!"),"NEW","")))</f>
        <v> </v>
      </c>
      <c r="G5266" s="23" t="str">
        <f>IF(OR(E5266="",E5266="!!!"),"",IF(OR(J5266=0,AND(J5266=1,K5266=1),AND(J5266=1,I5266="SBJ"),AND(J5266=1,I5266=0)),"?IN_FOCUS",IF(J5266&lt;=2,"?ACTIVATED",IF(J5266&lt;&gt;"","?FAMILIAR",IF(F5266="NEW",IF(ISNA(VLOOKUP(E5266,#REF!,1,FALSE())),"?TYPE_IDENTIFIABLE","?REFERENTIAL"),"_")))))</f>
        <v> </v>
      </c>
      <c r="H5266" s="24" t="str">
        <f>IF(J5266&lt;&gt;1,"",IF(I5266="SBJ","CB","?"))</f>
        <v> </v>
      </c>
      <c r="I5266" s="25" t="str">
        <f>IF(OR(E5266="",E5266="!!!",F5266="NEW"),"",INDEX(B5265:B$2,-1+SUMPRODUCT(MAX(ROW(E5265:E$2)*(E5266=E5265:E$2)))))</f>
        <v> </v>
      </c>
      <c r="J5266" s="25" t="str">
        <f>IF(OR(E5266="",E5266="!!!",F5266="NEW"),"",COUNTBLANK(OFFSET(A$1,,,SUMPRODUCT(MAX(ROW(E$2:E5266)*(E5266=E$2:E5266)))))-COUNTBLANK(OFFSET(A$1,,,SUMPRODUCT(MAX(ROW(E$1:E5265)*(E2=E$1:E5265))))))</f>
        <v> </v>
      </c>
      <c r="K5266" s="25" t="str">
        <f>IF(OR(E5266="",E5266="!!!",F5266="NEW"),"",INDEX(J$1:J5265,SUMPRODUCT(MAX(ROW(E$1:E5265)*(E5266=E$1:E5265)))))</f>
        <v> </v>
      </c>
      <c r="L5266" s="26"/>
    </row>
    <row r="5267" spans="1:12">
      <c r="A5267" s="20" t="s">
        <v>1087</v>
      </c>
      <c r="E5267" s="21">
        <f>IF(D5267="?OLD","!!!","")</f>
        <v/>
      </c>
      <c r="F5267" s="22" t="str">
        <f>IF(OR(E5267="",E5267="!!!"),"",IF(NOT(ISNA(VLOOKUP(E5267,E$1:E5266,1,FALSE()))),"OLD",IF(AND(E5267&lt;&gt;"",E5267&lt;&gt;"!!!"),"NEW","")))</f>
        <v> </v>
      </c>
      <c r="G5267" s="23" t="str">
        <f>IF(OR(E5267="",E5267="!!!"),"",IF(OR(J5267=0,AND(J5267=1,K5267=1),AND(J5267=1,I5267="SBJ"),AND(J5267=1,I5267=0)),"?IN_FOCUS",IF(J5267&lt;=2,"?ACTIVATED",IF(J5267&lt;&gt;"","?FAMILIAR",IF(F5267="NEW",IF(ISNA(VLOOKUP(E5267,#REF!,1,FALSE())),"?TYPE_IDENTIFIABLE","?REFERENTIAL"),"_")))))</f>
        <v> </v>
      </c>
      <c r="H5267" s="24" t="str">
        <f>IF(J5267&lt;&gt;1,"",IF(I5267="SBJ","CB","?"))</f>
        <v> </v>
      </c>
      <c r="I5267" s="25" t="str">
        <f>IF(OR(E5267="",E5267="!!!",F5267="NEW"),"",INDEX(B5266:B$2,-1+SUMPRODUCT(MAX(ROW(E5266:E$2)*(E5267=E5266:E$2)))))</f>
        <v> </v>
      </c>
      <c r="J5267" s="25" t="str">
        <f>IF(OR(E5267="",E5267="!!!",F5267="NEW"),"",COUNTBLANK(OFFSET(A$1,,,SUMPRODUCT(MAX(ROW(E$2:E5267)*(E5267=E$2:E5267)))))-COUNTBLANK(OFFSET(A$1,,,SUMPRODUCT(MAX(ROW(E$1:E5266)*(E2=E$1:E5266))))))</f>
        <v> </v>
      </c>
      <c r="K5267" s="25" t="str">
        <f>IF(OR(E5267="",E5267="!!!",F5267="NEW"),"",INDEX(J$1:J5266,SUMPRODUCT(MAX(ROW(E$1:E5266)*(E5267=E$1:E5266)))))</f>
        <v> </v>
      </c>
      <c r="L5267" s="26"/>
    </row>
    <row r="5268" spans="1:12">
      <c r="A5268" s="20" t="s">
        <v>1352</v>
      </c>
      <c r="E5268" s="21">
        <f>IF(D5268="?OLD","!!!","")</f>
        <v/>
      </c>
      <c r="F5268" s="22" t="str">
        <f>IF(OR(E5268="",E5268="!!!"),"",IF(NOT(ISNA(VLOOKUP(E5268,E$1:E5267,1,FALSE()))),"OLD",IF(AND(E5268&lt;&gt;"",E5268&lt;&gt;"!!!"),"NEW","")))</f>
        <v> </v>
      </c>
      <c r="G5268" s="23" t="str">
        <f>IF(OR(E5268="",E5268="!!!"),"",IF(OR(J5268=0,AND(J5268=1,K5268=1),AND(J5268=1,I5268="SBJ"),AND(J5268=1,I5268=0)),"?IN_FOCUS",IF(J5268&lt;=2,"?ACTIVATED",IF(J5268&lt;&gt;"","?FAMILIAR",IF(F5268="NEW",IF(ISNA(VLOOKUP(E5268,#REF!,1,FALSE())),"?TYPE_IDENTIFIABLE","?REFERENTIAL"),"_")))))</f>
        <v> </v>
      </c>
      <c r="H5268" s="24" t="str">
        <f>IF(J5268&lt;&gt;1,"",IF(I5268="SBJ","CB","?"))</f>
        <v> </v>
      </c>
      <c r="I5268" s="25" t="str">
        <f>IF(OR(E5268="",E5268="!!!",F5268="NEW"),"",INDEX(B5267:B$2,-1+SUMPRODUCT(MAX(ROW(E5267:E$2)*(E5268=E5267:E$2)))))</f>
        <v> </v>
      </c>
      <c r="J5268" s="25" t="str">
        <f>IF(OR(E5268="",E5268="!!!",F5268="NEW"),"",COUNTBLANK(OFFSET(A$1,,,SUMPRODUCT(MAX(ROW(E$2:E5268)*(E5268=E$2:E5268)))))-COUNTBLANK(OFFSET(A$1,,,SUMPRODUCT(MAX(ROW(E$1:E5267)*(E2=E$1:E5267))))))</f>
        <v> </v>
      </c>
      <c r="K5268" s="25" t="str">
        <f>IF(OR(E5268="",E5268="!!!",F5268="NEW"),"",INDEX(J$1:J5267,SUMPRODUCT(MAX(ROW(E$1:E5267)*(E5268=E$1:E5267)))))</f>
        <v> </v>
      </c>
      <c r="L5268" s="26"/>
    </row>
    <row r="5269" spans="1:12">
      <c r="A5269" s="20" t="s">
        <v>1236</v>
      </c>
      <c r="E5269" s="21">
        <f>IF(D5269="?OLD","!!!","")</f>
        <v/>
      </c>
      <c r="F5269" s="22" t="str">
        <f>IF(OR(E5269="",E5269="!!!"),"",IF(NOT(ISNA(VLOOKUP(E5269,E$1:E5268,1,FALSE()))),"OLD",IF(AND(E5269&lt;&gt;"",E5269&lt;&gt;"!!!"),"NEW","")))</f>
        <v> </v>
      </c>
      <c r="G5269" s="23" t="str">
        <f>IF(OR(E5269="",E5269="!!!"),"",IF(OR(J5269=0,AND(J5269=1,K5269=1),AND(J5269=1,I5269="SBJ"),AND(J5269=1,I5269=0)),"?IN_FOCUS",IF(J5269&lt;=2,"?ACTIVATED",IF(J5269&lt;&gt;"","?FAMILIAR",IF(F5269="NEW",IF(ISNA(VLOOKUP(E5269,#REF!,1,FALSE())),"?TYPE_IDENTIFIABLE","?REFERENTIAL"),"_")))))</f>
        <v> </v>
      </c>
      <c r="H5269" s="24" t="str">
        <f>IF(J5269&lt;&gt;1,"",IF(I5269="SBJ","CB","?"))</f>
        <v> </v>
      </c>
      <c r="I5269" s="25" t="str">
        <f>IF(OR(E5269="",E5269="!!!",F5269="NEW"),"",INDEX(B5268:B$2,-1+SUMPRODUCT(MAX(ROW(E5268:E$2)*(E5269=E5268:E$2)))))</f>
        <v> </v>
      </c>
      <c r="J5269" s="25" t="str">
        <f>IF(OR(E5269="",E5269="!!!",F5269="NEW"),"",COUNTBLANK(OFFSET(A$1,,,SUMPRODUCT(MAX(ROW(E$2:E5269)*(E5269=E$2:E5269)))))-COUNTBLANK(OFFSET(A$1,,,SUMPRODUCT(MAX(ROW(E$1:E5268)*(E2=E$1:E5268))))))</f>
        <v> </v>
      </c>
      <c r="K5269" s="25" t="str">
        <f>IF(OR(E5269="",E5269="!!!",F5269="NEW"),"",INDEX(J$1:J5268,SUMPRODUCT(MAX(ROW(E$1:E5268)*(E5269=E$1:E5268)))))</f>
        <v> </v>
      </c>
      <c r="L5269" s="26"/>
    </row>
    <row r="5270" spans="1:12">
      <c r="A5270" s="20" t="s">
        <v>1198</v>
      </c>
      <c r="E5270" s="21">
        <f>IF(D5270="?OLD","!!!","")</f>
        <v/>
      </c>
      <c r="F5270" s="22" t="str">
        <f>IF(OR(E5270="",E5270="!!!"),"",IF(NOT(ISNA(VLOOKUP(E5270,E$1:E5269,1,FALSE()))),"OLD",IF(AND(E5270&lt;&gt;"",E5270&lt;&gt;"!!!"),"NEW","")))</f>
        <v> </v>
      </c>
      <c r="G5270" s="23" t="str">
        <f>IF(OR(E5270="",E5270="!!!"),"",IF(OR(J5270=0,AND(J5270=1,K5270=1),AND(J5270=1,I5270="SBJ"),AND(J5270=1,I5270=0)),"?IN_FOCUS",IF(J5270&lt;=2,"?ACTIVATED",IF(J5270&lt;&gt;"","?FAMILIAR",IF(F5270="NEW",IF(ISNA(VLOOKUP(E5270,#REF!,1,FALSE())),"?TYPE_IDENTIFIABLE","?REFERENTIAL"),"_")))))</f>
        <v> </v>
      </c>
      <c r="H5270" s="24" t="str">
        <f>IF(J5270&lt;&gt;1,"",IF(I5270="SBJ","CB","?"))</f>
        <v> </v>
      </c>
      <c r="I5270" s="25" t="str">
        <f>IF(OR(E5270="",E5270="!!!",F5270="NEW"),"",INDEX(B5269:B$2,-1+SUMPRODUCT(MAX(ROW(E5269:E$2)*(E5270=E5269:E$2)))))</f>
        <v> </v>
      </c>
      <c r="J5270" s="25" t="str">
        <f>IF(OR(E5270="",E5270="!!!",F5270="NEW"),"",COUNTBLANK(OFFSET(A$1,,,SUMPRODUCT(MAX(ROW(E$2:E5270)*(E5270=E$2:E5270)))))-COUNTBLANK(OFFSET(A$1,,,SUMPRODUCT(MAX(ROW(E$1:E5269)*(E2=E$1:E5269))))))</f>
        <v> </v>
      </c>
      <c r="K5270" s="25" t="str">
        <f>IF(OR(E5270="",E5270="!!!",F5270="NEW"),"",INDEX(J$1:J5269,SUMPRODUCT(MAX(ROW(E$1:E5269)*(E5270=E$1:E5269)))))</f>
        <v> </v>
      </c>
      <c r="L5270" s="26"/>
    </row>
    <row r="5271" spans="1:12">
      <c r="A5271" s="20" t="s">
        <v>1104</v>
      </c>
      <c r="E5271" s="21">
        <f>IF(D5271="?OLD","!!!","")</f>
        <v/>
      </c>
      <c r="F5271" s="22" t="str">
        <f>IF(OR(E5271="",E5271="!!!"),"",IF(NOT(ISNA(VLOOKUP(E5271,E$1:E5270,1,FALSE()))),"OLD",IF(AND(E5271&lt;&gt;"",E5271&lt;&gt;"!!!"),"NEW","")))</f>
        <v> </v>
      </c>
      <c r="G5271" s="23" t="str">
        <f>IF(OR(E5271="",E5271="!!!"),"",IF(OR(J5271=0,AND(J5271=1,K5271=1),AND(J5271=1,I5271="SBJ"),AND(J5271=1,I5271=0)),"?IN_FOCUS",IF(J5271&lt;=2,"?ACTIVATED",IF(J5271&lt;&gt;"","?FAMILIAR",IF(F5271="NEW",IF(ISNA(VLOOKUP(E5271,#REF!,1,FALSE())),"?TYPE_IDENTIFIABLE","?REFERENTIAL"),"_")))))</f>
        <v> </v>
      </c>
      <c r="H5271" s="24" t="str">
        <f>IF(J5271&lt;&gt;1,"",IF(I5271="SBJ","CB","?"))</f>
        <v> </v>
      </c>
      <c r="I5271" s="25" t="str">
        <f>IF(OR(E5271="",E5271="!!!",F5271="NEW"),"",INDEX(B5270:B$2,-1+SUMPRODUCT(MAX(ROW(E5270:E$2)*(E5271=E5270:E$2)))))</f>
        <v> </v>
      </c>
      <c r="J5271" s="25" t="str">
        <f>IF(OR(E5271="",E5271="!!!",F5271="NEW"),"",COUNTBLANK(OFFSET(A$1,,,SUMPRODUCT(MAX(ROW(E$2:E5271)*(E5271=E$2:E5271)))))-COUNTBLANK(OFFSET(A$1,,,SUMPRODUCT(MAX(ROW(E$1:E5270)*(E2=E$1:E5270))))))</f>
        <v> </v>
      </c>
      <c r="K5271" s="25" t="str">
        <f>IF(OR(E5271="",E5271="!!!",F5271="NEW"),"",INDEX(J$1:J5270,SUMPRODUCT(MAX(ROW(E$1:E5270)*(E5271=E$1:E5270)))))</f>
        <v> </v>
      </c>
      <c r="L5271" s="26"/>
    </row>
    <row r="5272" spans="1:12">
      <c r="A5272" s="20" t="s">
        <v>2552</v>
      </c>
      <c r="B5272" s="27" t="s">
        <v>1095</v>
      </c>
      <c r="C5272" s="27" t="s">
        <v>1086</v>
      </c>
      <c r="D5272" s="27" t="s">
        <v>1069</v>
      </c>
      <c r="E5272" s="21">
        <f>IF(D5272="?OLD","!!!","")</f>
        <v/>
      </c>
      <c r="F5272" s="22" t="str">
        <f>IF(OR(E5272="",E5272="!!!"),"",IF(NOT(ISNA(VLOOKUP(E5272,E$1:E5271,1,FALSE()))),"OLD",IF(AND(E5272&lt;&gt;"",E5272&lt;&gt;"!!!"),"NEW","")))</f>
        <v> </v>
      </c>
      <c r="G5272" s="23" t="str">
        <f>IF(OR(E5272="",E5272="!!!"),"",IF(OR(J5272=0,AND(J5272=1,K5272=1),AND(J5272=1,I5272="SBJ"),AND(J5272=1,I5272=0)),"?IN_FOCUS",IF(J5272&lt;=2,"?ACTIVATED",IF(J5272&lt;&gt;"","?FAMILIAR",IF(F5272="NEW",IF(ISNA(VLOOKUP(E5272,#REF!,1,FALSE())),"?TYPE_IDENTIFIABLE","?REFERENTIAL"),"_")))))</f>
        <v> </v>
      </c>
      <c r="H5272" s="24" t="str">
        <f>IF(J5272&lt;&gt;1,"",IF(I5272="SBJ","CB","?"))</f>
        <v> </v>
      </c>
      <c r="I5272" s="25" t="str">
        <f>IF(OR(E5272="",E5272="!!!",F5272="NEW"),"",INDEX(B5271:B$2,-1+SUMPRODUCT(MAX(ROW(E5271:E$2)*(E5272=E5271:E$2)))))</f>
        <v> </v>
      </c>
      <c r="J5272" s="25" t="str">
        <f>IF(OR(E5272="",E5272="!!!",F5272="NEW"),"",COUNTBLANK(OFFSET(A$1,,,SUMPRODUCT(MAX(ROW(E$2:E5272)*(E5272=E$2:E5272)))))-COUNTBLANK(OFFSET(A$1,,,SUMPRODUCT(MAX(ROW(E$1:E5271)*(E2=E$1:E5271))))))</f>
        <v> </v>
      </c>
      <c r="K5272" s="25" t="str">
        <f>IF(OR(E5272="",E5272="!!!",F5272="NEW"),"",INDEX(J$1:J5271,SUMPRODUCT(MAX(ROW(E$1:E5271)*(E5272=E$1:E5271)))))</f>
        <v> </v>
      </c>
      <c r="L5272" s="26"/>
    </row>
    <row r="5273" spans="1:12">
      <c r="A5273" s="20" t="s">
        <v>2553</v>
      </c>
      <c r="E5273" s="21">
        <f>IF(D5273="?OLD","!!!","")</f>
        <v/>
      </c>
      <c r="F5273" s="22" t="str">
        <f>IF(OR(E5273="",E5273="!!!"),"",IF(NOT(ISNA(VLOOKUP(E5273,E$1:E5272,1,FALSE()))),"OLD",IF(AND(E5273&lt;&gt;"",E5273&lt;&gt;"!!!"),"NEW","")))</f>
        <v> </v>
      </c>
      <c r="G5273" s="23" t="str">
        <f>IF(OR(E5273="",E5273="!!!"),"",IF(OR(J5273=0,AND(J5273=1,K5273=1),AND(J5273=1,I5273="SBJ"),AND(J5273=1,I5273=0)),"?IN_FOCUS",IF(J5273&lt;=2,"?ACTIVATED",IF(J5273&lt;&gt;"","?FAMILIAR",IF(F5273="NEW",IF(ISNA(VLOOKUP(E5273,#REF!,1,FALSE())),"?TYPE_IDENTIFIABLE","?REFERENTIAL"),"_")))))</f>
        <v> </v>
      </c>
      <c r="H5273" s="24" t="str">
        <f>IF(J5273&lt;&gt;1,"",IF(I5273="SBJ","CB","?"))</f>
        <v> </v>
      </c>
      <c r="I5273" s="25" t="str">
        <f>IF(OR(E5273="",E5273="!!!",F5273="NEW"),"",INDEX(B5272:B$2,-1+SUMPRODUCT(MAX(ROW(E5272:E$2)*(E5273=E5272:E$2)))))</f>
        <v> </v>
      </c>
      <c r="J5273" s="25" t="str">
        <f>IF(OR(E5273="",E5273="!!!",F5273="NEW"),"",COUNTBLANK(OFFSET(A$1,,,SUMPRODUCT(MAX(ROW(E$2:E5273)*(E5273=E$2:E5273)))))-COUNTBLANK(OFFSET(A$1,,,SUMPRODUCT(MAX(ROW(E$1:E5272)*(E2=E$1:E5272))))))</f>
        <v> </v>
      </c>
      <c r="K5273" s="25" t="str">
        <f>IF(OR(E5273="",E5273="!!!",F5273="NEW"),"",INDEX(J$1:J5272,SUMPRODUCT(MAX(ROW(E$1:E5272)*(E5273=E$1:E5272)))))</f>
        <v> </v>
      </c>
      <c r="L5273" s="26"/>
    </row>
    <row r="5274" spans="1:12">
      <c r="A5274" s="20" t="s">
        <v>1080</v>
      </c>
      <c r="E5274" s="21">
        <f>IF(D5274="?OLD","!!!","")</f>
        <v/>
      </c>
      <c r="F5274" s="22" t="str">
        <f>IF(OR(E5274="",E5274="!!!"),"",IF(NOT(ISNA(VLOOKUP(E5274,E$1:E5273,1,FALSE()))),"OLD",IF(AND(E5274&lt;&gt;"",E5274&lt;&gt;"!!!"),"NEW","")))</f>
        <v> </v>
      </c>
      <c r="G5274" s="23" t="str">
        <f>IF(OR(E5274="",E5274="!!!"),"",IF(OR(J5274=0,AND(J5274=1,K5274=1),AND(J5274=1,I5274="SBJ"),AND(J5274=1,I5274=0)),"?IN_FOCUS",IF(J5274&lt;=2,"?ACTIVATED",IF(J5274&lt;&gt;"","?FAMILIAR",IF(F5274="NEW",IF(ISNA(VLOOKUP(E5274,#REF!,1,FALSE())),"?TYPE_IDENTIFIABLE","?REFERENTIAL"),"_")))))</f>
        <v> </v>
      </c>
      <c r="H5274" s="24" t="str">
        <f>IF(J5274&lt;&gt;1,"",IF(I5274="SBJ","CB","?"))</f>
        <v> </v>
      </c>
      <c r="I5274" s="25" t="str">
        <f>IF(OR(E5274="",E5274="!!!",F5274="NEW"),"",INDEX(B5273:B$2,-1+SUMPRODUCT(MAX(ROW(E5273:E$2)*(E5274=E5273:E$2)))))</f>
        <v> </v>
      </c>
      <c r="J5274" s="25" t="str">
        <f>IF(OR(E5274="",E5274="!!!",F5274="NEW"),"",COUNTBLANK(OFFSET(A$1,,,SUMPRODUCT(MAX(ROW(E$2:E5274)*(E5274=E$2:E5274)))))-COUNTBLANK(OFFSET(A$1,,,SUMPRODUCT(MAX(ROW(E$1:E5273)*(E2=E$1:E5273))))))</f>
        <v> </v>
      </c>
      <c r="K5274" s="25" t="str">
        <f>IF(OR(E5274="",E5274="!!!",F5274="NEW"),"",INDEX(J$1:J5273,SUMPRODUCT(MAX(ROW(E$1:E5273)*(E5274=E$1:E5273)))))</f>
        <v> </v>
      </c>
      <c r="L5274" s="26"/>
    </row>
    <row r="5275" spans="1:12">
      <c r="A5275" s="20"/>
    </row>
    <row r="5276" spans="1:12">
      <c r="A5276" s="20" t="s">
        <v>2554</v>
      </c>
    </row>
    <row r="5277" spans="1:12">
      <c r="A5277" s="20" t="s">
        <v>1311</v>
      </c>
      <c r="B5277" s="27" t="s">
        <v>1095</v>
      </c>
      <c r="C5277" s="27" t="s">
        <v>1068</v>
      </c>
      <c r="D5277" s="27" t="s">
        <v>1069</v>
      </c>
      <c r="E5277" s="21">
        <f>IF(D5277="?OLD","!!!","")</f>
        <v/>
      </c>
      <c r="F5277" s="22" t="str">
        <f>IF(OR(E5277="",E5277="!!!"),"",IF(NOT(ISNA(VLOOKUP(E5277,E$1:E5276,1,FALSE()))),"OLD",IF(AND(E5277&lt;&gt;"",E5277&lt;&gt;"!!!"),"NEW","")))</f>
        <v> </v>
      </c>
      <c r="G5277" s="23" t="str">
        <f>IF(OR(E5277="",E5277="!!!"),"",IF(OR(J5277=0,AND(J5277=1,K5277=1),AND(J5277=1,I5277="SBJ"),AND(J5277=1,I5277=0)),"?IN_FOCUS",IF(J5277&lt;=2,"?ACTIVATED",IF(J5277&lt;&gt;"","?FAMILIAR",IF(F5277="NEW",IF(ISNA(VLOOKUP(E5277,#REF!,1,FALSE())),"?TYPE_IDENTIFIABLE","?REFERENTIAL"),"_")))))</f>
        <v> </v>
      </c>
      <c r="H5277" s="24" t="str">
        <f>IF(J5277&lt;&gt;1,"",IF(I5277="SBJ","CB","?"))</f>
        <v> </v>
      </c>
      <c r="I5277" s="25" t="str">
        <f>IF(OR(E5277="",E5277="!!!",F5277="NEW"),"",INDEX(B5276:B$2,-1+SUMPRODUCT(MAX(ROW(E5276:E$2)*(E5277=E5276:E$2)))))</f>
        <v> </v>
      </c>
      <c r="J5277" s="25" t="str">
        <f>IF(OR(E5277="",E5277="!!!",F5277="NEW"),"",COUNTBLANK(OFFSET(A$1,,,SUMPRODUCT(MAX(ROW(E$2:E5277)*(E5277=E$2:E5277)))))-COUNTBLANK(OFFSET(A$1,,,SUMPRODUCT(MAX(ROW(E$1:E5276)*(E2=E$1:E5276))))))</f>
        <v> </v>
      </c>
      <c r="K5277" s="25" t="str">
        <f>IF(OR(E5277="",E5277="!!!",F5277="NEW"),"",INDEX(J$1:J5276,SUMPRODUCT(MAX(ROW(E$1:E5276)*(E5277=E$1:E5276)))))</f>
        <v> </v>
      </c>
      <c r="L5277" s="26"/>
    </row>
    <row r="5278" spans="1:12">
      <c r="A5278" s="20" t="s">
        <v>1091</v>
      </c>
      <c r="B5278" s="27" t="s">
        <v>1071</v>
      </c>
      <c r="C5278" s="27" t="s">
        <v>1093</v>
      </c>
      <c r="D5278" s="27" t="s">
        <v>1069</v>
      </c>
      <c r="E5278" s="21">
        <f>IF(D5278="?OLD","!!!","")</f>
        <v/>
      </c>
      <c r="F5278" s="22" t="str">
        <f>IF(OR(E5278="",E5278="!!!"),"",IF(NOT(ISNA(VLOOKUP(E5278,E$1:E5277,1,FALSE()))),"OLD",IF(AND(E5278&lt;&gt;"",E5278&lt;&gt;"!!!"),"NEW","")))</f>
        <v> </v>
      </c>
      <c r="G5278" s="23" t="str">
        <f>IF(OR(E5278="",E5278="!!!"),"",IF(OR(J5278=0,AND(J5278=1,K5278=1),AND(J5278=1,I5278="SBJ"),AND(J5278=1,I5278=0)),"?IN_FOCUS",IF(J5278&lt;=2,"?ACTIVATED",IF(J5278&lt;&gt;"","?FAMILIAR",IF(F5278="NEW",IF(ISNA(VLOOKUP(E5278,#REF!,1,FALSE())),"?TYPE_IDENTIFIABLE","?REFERENTIAL"),"_")))))</f>
        <v> </v>
      </c>
      <c r="H5278" s="24" t="str">
        <f>IF(J5278&lt;&gt;1,"",IF(I5278="SBJ","CB","?"))</f>
        <v> </v>
      </c>
      <c r="I5278" s="25" t="str">
        <f>IF(OR(E5278="",E5278="!!!",F5278="NEW"),"",INDEX(B5277:B$2,-1+SUMPRODUCT(MAX(ROW(E5277:E$2)*(E5278=E5277:E$2)))))</f>
        <v> </v>
      </c>
      <c r="J5278" s="25" t="str">
        <f>IF(OR(E5278="",E5278="!!!",F5278="NEW"),"",COUNTBLANK(OFFSET(A$1,,,SUMPRODUCT(MAX(ROW(E$2:E5278)*(E5278=E$2:E5278)))))-COUNTBLANK(OFFSET(A$1,,,SUMPRODUCT(MAX(ROW(E$1:E5277)*(E2=E$1:E5277))))))</f>
        <v> </v>
      </c>
      <c r="K5278" s="25" t="str">
        <f>IF(OR(E5278="",E5278="!!!",F5278="NEW"),"",INDEX(J$1:J5277,SUMPRODUCT(MAX(ROW(E$1:E5277)*(E5278=E$1:E5277)))))</f>
        <v> </v>
      </c>
      <c r="L5278" s="26"/>
    </row>
    <row r="5279" spans="1:12">
      <c r="A5279" s="20" t="s">
        <v>1087</v>
      </c>
      <c r="E5279" s="21">
        <f>IF(D5279="?OLD","!!!","")</f>
        <v/>
      </c>
      <c r="F5279" s="22" t="str">
        <f>IF(OR(E5279="",E5279="!!!"),"",IF(NOT(ISNA(VLOOKUP(E5279,E$1:E5278,1,FALSE()))),"OLD",IF(AND(E5279&lt;&gt;"",E5279&lt;&gt;"!!!"),"NEW","")))</f>
        <v> </v>
      </c>
      <c r="G5279" s="23" t="str">
        <f>IF(OR(E5279="",E5279="!!!"),"",IF(OR(J5279=0,AND(J5279=1,K5279=1),AND(J5279=1,I5279="SBJ"),AND(J5279=1,I5279=0)),"?IN_FOCUS",IF(J5279&lt;=2,"?ACTIVATED",IF(J5279&lt;&gt;"","?FAMILIAR",IF(F5279="NEW",IF(ISNA(VLOOKUP(E5279,#REF!,1,FALSE())),"?TYPE_IDENTIFIABLE","?REFERENTIAL"),"_")))))</f>
        <v> </v>
      </c>
      <c r="H5279" s="24" t="str">
        <f>IF(J5279&lt;&gt;1,"",IF(I5279="SBJ","CB","?"))</f>
        <v> </v>
      </c>
      <c r="I5279" s="25" t="str">
        <f>IF(OR(E5279="",E5279="!!!",F5279="NEW"),"",INDEX(B5278:B$2,-1+SUMPRODUCT(MAX(ROW(E5278:E$2)*(E5279=E5278:E$2)))))</f>
        <v> </v>
      </c>
      <c r="J5279" s="25" t="str">
        <f>IF(OR(E5279="",E5279="!!!",F5279="NEW"),"",COUNTBLANK(OFFSET(A$1,,,SUMPRODUCT(MAX(ROW(E$2:E5279)*(E5279=E$2:E5279)))))-COUNTBLANK(OFFSET(A$1,,,SUMPRODUCT(MAX(ROW(E$1:E5278)*(E2=E$1:E5278))))))</f>
        <v> </v>
      </c>
      <c r="K5279" s="25" t="str">
        <f>IF(OR(E5279="",E5279="!!!",F5279="NEW"),"",INDEX(J$1:J5278,SUMPRODUCT(MAX(ROW(E$1:E5278)*(E5279=E$1:E5278)))))</f>
        <v> </v>
      </c>
      <c r="L5279" s="26"/>
    </row>
    <row r="5280" spans="1:12">
      <c r="A5280" s="20" t="s">
        <v>1407</v>
      </c>
      <c r="B5280" s="27" t="s">
        <v>1067</v>
      </c>
      <c r="C5280" s="27" t="s">
        <v>1072</v>
      </c>
      <c r="E5280" s="21">
        <f>IF(D5280="?OLD","!!!","")</f>
        <v/>
      </c>
      <c r="F5280" s="22" t="str">
        <f>IF(OR(E5280="",E5280="!!!"),"",IF(NOT(ISNA(VLOOKUP(E5280,E$1:E5279,1,FALSE()))),"OLD",IF(AND(E5280&lt;&gt;"",E5280&lt;&gt;"!!!"),"NEW","")))</f>
        <v> </v>
      </c>
      <c r="G5280" s="23" t="str">
        <f>IF(OR(E5280="",E5280="!!!"),"",IF(OR(J5280=0,AND(J5280=1,K5280=1),AND(J5280=1,I5280="SBJ"),AND(J5280=1,I5280=0)),"?IN_FOCUS",IF(J5280&lt;=2,"?ACTIVATED",IF(J5280&lt;&gt;"","?FAMILIAR",IF(F5280="NEW",IF(ISNA(VLOOKUP(E5280,#REF!,1,FALSE())),"?TYPE_IDENTIFIABLE","?REFERENTIAL"),"_")))))</f>
        <v> </v>
      </c>
      <c r="H5280" s="24" t="str">
        <f>IF(J5280&lt;&gt;1,"",IF(I5280="SBJ","CB","?"))</f>
        <v> </v>
      </c>
      <c r="I5280" s="25" t="str">
        <f>IF(OR(E5280="",E5280="!!!",F5280="NEW"),"",INDEX(B5279:B$2,-1+SUMPRODUCT(MAX(ROW(E5279:E$2)*(E5280=E5279:E$2)))))</f>
        <v> </v>
      </c>
      <c r="J5280" s="25" t="str">
        <f>IF(OR(E5280="",E5280="!!!",F5280="NEW"),"",COUNTBLANK(OFFSET(A$1,,,SUMPRODUCT(MAX(ROW(E$2:E5280)*(E5280=E$2:E5280)))))-COUNTBLANK(OFFSET(A$1,,,SUMPRODUCT(MAX(ROW(E$1:E5279)*(E2=E$1:E5279))))))</f>
        <v> </v>
      </c>
      <c r="K5280" s="25" t="str">
        <f>IF(OR(E5280="",E5280="!!!",F5280="NEW"),"",INDEX(J$1:J5279,SUMPRODUCT(MAX(ROW(E$1:E5279)*(E5280=E$1:E5279)))))</f>
        <v> </v>
      </c>
      <c r="L5280" s="26"/>
    </row>
    <row r="5281" spans="1:12">
      <c r="A5281" s="20" t="s">
        <v>1199</v>
      </c>
      <c r="E5281" s="21">
        <f>IF(D5281="?OLD","!!!","")</f>
        <v/>
      </c>
      <c r="F5281" s="22" t="str">
        <f>IF(OR(E5281="",E5281="!!!"),"",IF(NOT(ISNA(VLOOKUP(E5281,E$1:E5280,1,FALSE()))),"OLD",IF(AND(E5281&lt;&gt;"",E5281&lt;&gt;"!!!"),"NEW","")))</f>
        <v> </v>
      </c>
      <c r="G5281" s="23" t="str">
        <f>IF(OR(E5281="",E5281="!!!"),"",IF(OR(J5281=0,AND(J5281=1,K5281=1),AND(J5281=1,I5281="SBJ"),AND(J5281=1,I5281=0)),"?IN_FOCUS",IF(J5281&lt;=2,"?ACTIVATED",IF(J5281&lt;&gt;"","?FAMILIAR",IF(F5281="NEW",IF(ISNA(VLOOKUP(E5281,#REF!,1,FALSE())),"?TYPE_IDENTIFIABLE","?REFERENTIAL"),"_")))))</f>
        <v> </v>
      </c>
      <c r="H5281" s="24" t="str">
        <f>IF(J5281&lt;&gt;1,"",IF(I5281="SBJ","CB","?"))</f>
        <v> </v>
      </c>
      <c r="I5281" s="25" t="str">
        <f>IF(OR(E5281="",E5281="!!!",F5281="NEW"),"",INDEX(B5280:B$2,-1+SUMPRODUCT(MAX(ROW(E5280:E$2)*(E5281=E5280:E$2)))))</f>
        <v> </v>
      </c>
      <c r="J5281" s="25" t="str">
        <f>IF(OR(E5281="",E5281="!!!",F5281="NEW"),"",COUNTBLANK(OFFSET(A$1,,,SUMPRODUCT(MAX(ROW(E$2:E5281)*(E5281=E$2:E5281)))))-COUNTBLANK(OFFSET(A$1,,,SUMPRODUCT(MAX(ROW(E$1:E5280)*(E2=E$1:E5280))))))</f>
        <v> </v>
      </c>
      <c r="K5281" s="25" t="str">
        <f>IF(OR(E5281="",E5281="!!!",F5281="NEW"),"",INDEX(J$1:J5280,SUMPRODUCT(MAX(ROW(E$1:E5280)*(E5281=E$1:E5280)))))</f>
        <v> </v>
      </c>
      <c r="L5281" s="26"/>
    </row>
    <row r="5282" spans="1:12">
      <c r="A5282" s="20" t="s">
        <v>1242</v>
      </c>
      <c r="B5282" s="27" t="s">
        <v>1071</v>
      </c>
      <c r="C5282" s="27" t="s">
        <v>1110</v>
      </c>
      <c r="D5282" s="27" t="s">
        <v>1069</v>
      </c>
      <c r="E5282" s="21">
        <f>IF(D5282="?OLD","!!!","")</f>
        <v/>
      </c>
      <c r="F5282" s="22" t="str">
        <f>IF(OR(E5282="",E5282="!!!"),"",IF(NOT(ISNA(VLOOKUP(E5282,E$1:E5281,1,FALSE()))),"OLD",IF(AND(E5282&lt;&gt;"",E5282&lt;&gt;"!!!"),"NEW","")))</f>
        <v> </v>
      </c>
      <c r="G5282" s="23" t="str">
        <f>IF(OR(E5282="",E5282="!!!"),"",IF(OR(J5282=0,AND(J5282=1,K5282=1),AND(J5282=1,I5282="SBJ"),AND(J5282=1,I5282=0)),"?IN_FOCUS",IF(J5282&lt;=2,"?ACTIVATED",IF(J5282&lt;&gt;"","?FAMILIAR",IF(F5282="NEW",IF(ISNA(VLOOKUP(E5282,#REF!,1,FALSE())),"?TYPE_IDENTIFIABLE","?REFERENTIAL"),"_")))))</f>
        <v> </v>
      </c>
      <c r="H5282" s="24" t="str">
        <f>IF(J5282&lt;&gt;1,"",IF(I5282="SBJ","CB","?"))</f>
        <v> </v>
      </c>
      <c r="I5282" s="25" t="str">
        <f>IF(OR(E5282="",E5282="!!!",F5282="NEW"),"",INDEX(B5281:B$2,-1+SUMPRODUCT(MAX(ROW(E5281:E$2)*(E5282=E5281:E$2)))))</f>
        <v> </v>
      </c>
      <c r="J5282" s="25" t="str">
        <f>IF(OR(E5282="",E5282="!!!",F5282="NEW"),"",COUNTBLANK(OFFSET(A$1,,,SUMPRODUCT(MAX(ROW(E$2:E5282)*(E5282=E$2:E5282)))))-COUNTBLANK(OFFSET(A$1,,,SUMPRODUCT(MAX(ROW(E$1:E5281)*(E2=E$1:E5281))))))</f>
        <v> </v>
      </c>
      <c r="K5282" s="25" t="str">
        <f>IF(OR(E5282="",E5282="!!!",F5282="NEW"),"",INDEX(J$1:J5281,SUMPRODUCT(MAX(ROW(E$1:E5281)*(E5282=E$1:E5281)))))</f>
        <v> </v>
      </c>
      <c r="L5282" s="26"/>
    </row>
    <row r="5283" spans="1:12">
      <c r="A5283" s="20" t="s">
        <v>1356</v>
      </c>
      <c r="E5283" s="21">
        <f>IF(D5283="?OLD","!!!","")</f>
        <v/>
      </c>
      <c r="F5283" s="22" t="str">
        <f>IF(OR(E5283="",E5283="!!!"),"",IF(NOT(ISNA(VLOOKUP(E5283,E$1:E5282,1,FALSE()))),"OLD",IF(AND(E5283&lt;&gt;"",E5283&lt;&gt;"!!!"),"NEW","")))</f>
        <v> </v>
      </c>
      <c r="G5283" s="23" t="str">
        <f>IF(OR(E5283="",E5283="!!!"),"",IF(OR(J5283=0,AND(J5283=1,K5283=1),AND(J5283=1,I5283="SBJ"),AND(J5283=1,I5283=0)),"?IN_FOCUS",IF(J5283&lt;=2,"?ACTIVATED",IF(J5283&lt;&gt;"","?FAMILIAR",IF(F5283="NEW",IF(ISNA(VLOOKUP(E5283,#REF!,1,FALSE())),"?TYPE_IDENTIFIABLE","?REFERENTIAL"),"_")))))</f>
        <v> </v>
      </c>
      <c r="H5283" s="24" t="str">
        <f>IF(J5283&lt;&gt;1,"",IF(I5283="SBJ","CB","?"))</f>
        <v> </v>
      </c>
      <c r="I5283" s="25" t="str">
        <f>IF(OR(E5283="",E5283="!!!",F5283="NEW"),"",INDEX(B5282:B$2,-1+SUMPRODUCT(MAX(ROW(E5282:E$2)*(E5283=E5282:E$2)))))</f>
        <v> </v>
      </c>
      <c r="J5283" s="25" t="str">
        <f>IF(OR(E5283="",E5283="!!!",F5283="NEW"),"",COUNTBLANK(OFFSET(A$1,,,SUMPRODUCT(MAX(ROW(E$2:E5283)*(E5283=E$2:E5283)))))-COUNTBLANK(OFFSET(A$1,,,SUMPRODUCT(MAX(ROW(E$1:E5282)*(E2=E$1:E5282))))))</f>
        <v> </v>
      </c>
      <c r="K5283" s="25" t="str">
        <f>IF(OR(E5283="",E5283="!!!",F5283="NEW"),"",INDEX(J$1:J5282,SUMPRODUCT(MAX(ROW(E$1:E5282)*(E5283=E$1:E5282)))))</f>
        <v> </v>
      </c>
      <c r="L5283" s="26"/>
    </row>
    <row r="5284" spans="1:12">
      <c r="A5284" s="20" t="s">
        <v>2150</v>
      </c>
      <c r="E5284" s="21">
        <f>IF(D5284="?OLD","!!!","")</f>
        <v/>
      </c>
      <c r="F5284" s="22" t="str">
        <f>IF(OR(E5284="",E5284="!!!"),"",IF(NOT(ISNA(VLOOKUP(E5284,E$1:E5283,1,FALSE()))),"OLD",IF(AND(E5284&lt;&gt;"",E5284&lt;&gt;"!!!"),"NEW","")))</f>
        <v> </v>
      </c>
      <c r="G5284" s="23" t="str">
        <f>IF(OR(E5284="",E5284="!!!"),"",IF(OR(J5284=0,AND(J5284=1,K5284=1),AND(J5284=1,I5284="SBJ"),AND(J5284=1,I5284=0)),"?IN_FOCUS",IF(J5284&lt;=2,"?ACTIVATED",IF(J5284&lt;&gt;"","?FAMILIAR",IF(F5284="NEW",IF(ISNA(VLOOKUP(E5284,#REF!,1,FALSE())),"?TYPE_IDENTIFIABLE","?REFERENTIAL"),"_")))))</f>
        <v> </v>
      </c>
      <c r="H5284" s="24" t="str">
        <f>IF(J5284&lt;&gt;1,"",IF(I5284="SBJ","CB","?"))</f>
        <v> </v>
      </c>
      <c r="I5284" s="25" t="str">
        <f>IF(OR(E5284="",E5284="!!!",F5284="NEW"),"",INDEX(B5283:B$2,-1+SUMPRODUCT(MAX(ROW(E5283:E$2)*(E5284=E5283:E$2)))))</f>
        <v> </v>
      </c>
      <c r="J5284" s="25" t="str">
        <f>IF(OR(E5284="",E5284="!!!",F5284="NEW"),"",COUNTBLANK(OFFSET(A$1,,,SUMPRODUCT(MAX(ROW(E$2:E5284)*(E5284=E$2:E5284)))))-COUNTBLANK(OFFSET(A$1,,,SUMPRODUCT(MAX(ROW(E$1:E5283)*(E2=E$1:E5283))))))</f>
        <v> </v>
      </c>
      <c r="K5284" s="25" t="str">
        <f>IF(OR(E5284="",E5284="!!!",F5284="NEW"),"",INDEX(J$1:J5283,SUMPRODUCT(MAX(ROW(E$1:E5283)*(E5284=E$1:E5283)))))</f>
        <v> </v>
      </c>
      <c r="L5284" s="26"/>
    </row>
    <row r="5285" spans="1:12">
      <c r="A5285" s="20" t="s">
        <v>1667</v>
      </c>
      <c r="E5285" s="21">
        <f>IF(D5285="?OLD","!!!","")</f>
        <v/>
      </c>
      <c r="F5285" s="22" t="str">
        <f>IF(OR(E5285="",E5285="!!!"),"",IF(NOT(ISNA(VLOOKUP(E5285,E$1:E5284,1,FALSE()))),"OLD",IF(AND(E5285&lt;&gt;"",E5285&lt;&gt;"!!!"),"NEW","")))</f>
        <v> </v>
      </c>
      <c r="G5285" s="23" t="str">
        <f>IF(OR(E5285="",E5285="!!!"),"",IF(OR(J5285=0,AND(J5285=1,K5285=1),AND(J5285=1,I5285="SBJ"),AND(J5285=1,I5285=0)),"?IN_FOCUS",IF(J5285&lt;=2,"?ACTIVATED",IF(J5285&lt;&gt;"","?FAMILIAR",IF(F5285="NEW",IF(ISNA(VLOOKUP(E5285,#REF!,1,FALSE())),"?TYPE_IDENTIFIABLE","?REFERENTIAL"),"_")))))</f>
        <v> </v>
      </c>
      <c r="H5285" s="24" t="str">
        <f>IF(J5285&lt;&gt;1,"",IF(I5285="SBJ","CB","?"))</f>
        <v> </v>
      </c>
      <c r="I5285" s="25" t="str">
        <f>IF(OR(E5285="",E5285="!!!",F5285="NEW"),"",INDEX(B5284:B$2,-1+SUMPRODUCT(MAX(ROW(E5284:E$2)*(E5285=E5284:E$2)))))</f>
        <v> </v>
      </c>
      <c r="J5285" s="25" t="str">
        <f>IF(OR(E5285="",E5285="!!!",F5285="NEW"),"",COUNTBLANK(OFFSET(A$1,,,SUMPRODUCT(MAX(ROW(E$2:E5285)*(E5285=E$2:E5285)))))-COUNTBLANK(OFFSET(A$1,,,SUMPRODUCT(MAX(ROW(E$1:E5284)*(E2=E$1:E5284))))))</f>
        <v> </v>
      </c>
      <c r="K5285" s="25" t="str">
        <f>IF(OR(E5285="",E5285="!!!",F5285="NEW"),"",INDEX(J$1:J5284,SUMPRODUCT(MAX(ROW(E$1:E5284)*(E5285=E$1:E5284)))))</f>
        <v> </v>
      </c>
      <c r="L5285" s="26"/>
    </row>
    <row r="5286" spans="1:12">
      <c r="A5286" s="20" t="s">
        <v>1426</v>
      </c>
      <c r="E5286" s="21">
        <f>IF(D5286="?OLD","!!!","")</f>
        <v/>
      </c>
      <c r="F5286" s="22" t="str">
        <f>IF(OR(E5286="",E5286="!!!"),"",IF(NOT(ISNA(VLOOKUP(E5286,E$1:E5285,1,FALSE()))),"OLD",IF(AND(E5286&lt;&gt;"",E5286&lt;&gt;"!!!"),"NEW","")))</f>
        <v> </v>
      </c>
      <c r="G5286" s="23" t="str">
        <f>IF(OR(E5286="",E5286="!!!"),"",IF(OR(J5286=0,AND(J5286=1,K5286=1),AND(J5286=1,I5286="SBJ"),AND(J5286=1,I5286=0)),"?IN_FOCUS",IF(J5286&lt;=2,"?ACTIVATED",IF(J5286&lt;&gt;"","?FAMILIAR",IF(F5286="NEW",IF(ISNA(VLOOKUP(E5286,#REF!,1,FALSE())),"?TYPE_IDENTIFIABLE","?REFERENTIAL"),"_")))))</f>
        <v> </v>
      </c>
      <c r="H5286" s="24" t="str">
        <f>IF(J5286&lt;&gt;1,"",IF(I5286="SBJ","CB","?"))</f>
        <v> </v>
      </c>
      <c r="I5286" s="25" t="str">
        <f>IF(OR(E5286="",E5286="!!!",F5286="NEW"),"",INDEX(B5285:B$2,-1+SUMPRODUCT(MAX(ROW(E5285:E$2)*(E5286=E5285:E$2)))))</f>
        <v> </v>
      </c>
      <c r="J5286" s="25" t="str">
        <f>IF(OR(E5286="",E5286="!!!",F5286="NEW"),"",COUNTBLANK(OFFSET(A$1,,,SUMPRODUCT(MAX(ROW(E$2:E5286)*(E5286=E$2:E5286)))))-COUNTBLANK(OFFSET(A$1,,,SUMPRODUCT(MAX(ROW(E$1:E5285)*(E2=E$1:E5285))))))</f>
        <v> </v>
      </c>
      <c r="K5286" s="25" t="str">
        <f>IF(OR(E5286="",E5286="!!!",F5286="NEW"),"",INDEX(J$1:J5285,SUMPRODUCT(MAX(ROW(E$1:E5285)*(E5286=E$1:E5285)))))</f>
        <v> </v>
      </c>
      <c r="L5286" s="26"/>
    </row>
    <row r="5287" spans="1:12">
      <c r="A5287" s="20" t="s">
        <v>1165</v>
      </c>
      <c r="E5287" s="21">
        <f>IF(D5287="?OLD","!!!","")</f>
        <v/>
      </c>
      <c r="F5287" s="22" t="str">
        <f>IF(OR(E5287="",E5287="!!!"),"",IF(NOT(ISNA(VLOOKUP(E5287,E$1:E5286,1,FALSE()))),"OLD",IF(AND(E5287&lt;&gt;"",E5287&lt;&gt;"!!!"),"NEW","")))</f>
        <v> </v>
      </c>
      <c r="G5287" s="23" t="str">
        <f>IF(OR(E5287="",E5287="!!!"),"",IF(OR(J5287=0,AND(J5287=1,K5287=1),AND(J5287=1,I5287="SBJ"),AND(J5287=1,I5287=0)),"?IN_FOCUS",IF(J5287&lt;=2,"?ACTIVATED",IF(J5287&lt;&gt;"","?FAMILIAR",IF(F5287="NEW",IF(ISNA(VLOOKUP(E5287,#REF!,1,FALSE())),"?TYPE_IDENTIFIABLE","?REFERENTIAL"),"_")))))</f>
        <v> </v>
      </c>
      <c r="H5287" s="24" t="str">
        <f>IF(J5287&lt;&gt;1,"",IF(I5287="SBJ","CB","?"))</f>
        <v> </v>
      </c>
      <c r="I5287" s="25" t="str">
        <f>IF(OR(E5287="",E5287="!!!",F5287="NEW"),"",INDEX(B5286:B$2,-1+SUMPRODUCT(MAX(ROW(E5286:E$2)*(E5287=E5286:E$2)))))</f>
        <v> </v>
      </c>
      <c r="J5287" s="25" t="str">
        <f>IF(OR(E5287="",E5287="!!!",F5287="NEW"),"",COUNTBLANK(OFFSET(A$1,,,SUMPRODUCT(MAX(ROW(E$2:E5287)*(E5287=E$2:E5287)))))-COUNTBLANK(OFFSET(A$1,,,SUMPRODUCT(MAX(ROW(E$1:E5286)*(E2=E$1:E5286))))))</f>
        <v> </v>
      </c>
      <c r="K5287" s="25" t="str">
        <f>IF(OR(E5287="",E5287="!!!",F5287="NEW"),"",INDEX(J$1:J5286,SUMPRODUCT(MAX(ROW(E$1:E5286)*(E5287=E$1:E5286)))))</f>
        <v> </v>
      </c>
      <c r="L5287" s="26"/>
    </row>
    <row r="5288" spans="1:12">
      <c r="A5288" s="20" t="s">
        <v>1159</v>
      </c>
      <c r="B5288" s="27" t="s">
        <v>1160</v>
      </c>
      <c r="C5288" s="27" t="s">
        <v>1110</v>
      </c>
      <c r="D5288" s="27" t="s">
        <v>1069</v>
      </c>
      <c r="E5288" s="21">
        <f>IF(D5288="?OLD","!!!","")</f>
        <v/>
      </c>
      <c r="F5288" s="22" t="str">
        <f>IF(OR(E5288="",E5288="!!!"),"",IF(NOT(ISNA(VLOOKUP(E5288,E$1:E5287,1,FALSE()))),"OLD",IF(AND(E5288&lt;&gt;"",E5288&lt;&gt;"!!!"),"NEW","")))</f>
        <v> </v>
      </c>
      <c r="G5288" s="23" t="str">
        <f>IF(OR(E5288="",E5288="!!!"),"",IF(OR(J5288=0,AND(J5288=1,K5288=1),AND(J5288=1,I5288="SBJ"),AND(J5288=1,I5288=0)),"?IN_FOCUS",IF(J5288&lt;=2,"?ACTIVATED",IF(J5288&lt;&gt;"","?FAMILIAR",IF(F5288="NEW",IF(ISNA(VLOOKUP(E5288,#REF!,1,FALSE())),"?TYPE_IDENTIFIABLE","?REFERENTIAL"),"_")))))</f>
        <v> </v>
      </c>
      <c r="H5288" s="24" t="str">
        <f>IF(J5288&lt;&gt;1,"",IF(I5288="SBJ","CB","?"))</f>
        <v> </v>
      </c>
      <c r="I5288" s="25" t="str">
        <f>IF(OR(E5288="",E5288="!!!",F5288="NEW"),"",INDEX(B5287:B$2,-1+SUMPRODUCT(MAX(ROW(E5287:E$2)*(E5288=E5287:E$2)))))</f>
        <v> </v>
      </c>
      <c r="J5288" s="25" t="str">
        <f>IF(OR(E5288="",E5288="!!!",F5288="NEW"),"",COUNTBLANK(OFFSET(A$1,,,SUMPRODUCT(MAX(ROW(E$2:E5288)*(E5288=E$2:E5288)))))-COUNTBLANK(OFFSET(A$1,,,SUMPRODUCT(MAX(ROW(E$1:E5287)*(E2=E$1:E5287))))))</f>
        <v> </v>
      </c>
      <c r="K5288" s="25" t="str">
        <f>IF(OR(E5288="",E5288="!!!",F5288="NEW"),"",INDEX(J$1:J5287,SUMPRODUCT(MAX(ROW(E$1:E5287)*(E5288=E$1:E5287)))))</f>
        <v> </v>
      </c>
      <c r="L5288" s="26"/>
    </row>
    <row r="5289" spans="1:12">
      <c r="A5289" s="20" t="s">
        <v>1127</v>
      </c>
      <c r="E5289" s="21">
        <f>IF(D5289="?OLD","!!!","")</f>
        <v/>
      </c>
      <c r="F5289" s="22" t="str">
        <f>IF(OR(E5289="",E5289="!!!"),"",IF(NOT(ISNA(VLOOKUP(E5289,E$1:E5288,1,FALSE()))),"OLD",IF(AND(E5289&lt;&gt;"",E5289&lt;&gt;"!!!"),"NEW","")))</f>
        <v> </v>
      </c>
      <c r="G5289" s="23" t="str">
        <f>IF(OR(E5289="",E5289="!!!"),"",IF(OR(J5289=0,AND(J5289=1,K5289=1),AND(J5289=1,I5289="SBJ"),AND(J5289=1,I5289=0)),"?IN_FOCUS",IF(J5289&lt;=2,"?ACTIVATED",IF(J5289&lt;&gt;"","?FAMILIAR",IF(F5289="NEW",IF(ISNA(VLOOKUP(E5289,#REF!,1,FALSE())),"?TYPE_IDENTIFIABLE","?REFERENTIAL"),"_")))))</f>
        <v> </v>
      </c>
      <c r="H5289" s="24" t="str">
        <f>IF(J5289&lt;&gt;1,"",IF(I5289="SBJ","CB","?"))</f>
        <v> </v>
      </c>
      <c r="I5289" s="25" t="str">
        <f>IF(OR(E5289="",E5289="!!!",F5289="NEW"),"",INDEX(B5288:B$2,-1+SUMPRODUCT(MAX(ROW(E5288:E$2)*(E5289=E5288:E$2)))))</f>
        <v> </v>
      </c>
      <c r="J5289" s="25" t="str">
        <f>IF(OR(E5289="",E5289="!!!",F5289="NEW"),"",COUNTBLANK(OFFSET(A$1,,,SUMPRODUCT(MAX(ROW(E$2:E5289)*(E5289=E$2:E5289)))))-COUNTBLANK(OFFSET(A$1,,,SUMPRODUCT(MAX(ROW(E$1:E5288)*(E2=E$1:E5288))))))</f>
        <v> </v>
      </c>
      <c r="K5289" s="25" t="str">
        <f>IF(OR(E5289="",E5289="!!!",F5289="NEW"),"",INDEX(J$1:J5288,SUMPRODUCT(MAX(ROW(E$1:E5288)*(E5289=E$1:E5288)))))</f>
        <v> </v>
      </c>
      <c r="L5289" s="26"/>
    </row>
    <row r="5290" spans="1:12">
      <c r="A5290" s="20" t="s">
        <v>2235</v>
      </c>
      <c r="B5290" s="27" t="s">
        <v>1092</v>
      </c>
      <c r="C5290" s="27" t="s">
        <v>1093</v>
      </c>
      <c r="D5290" s="27" t="s">
        <v>1069</v>
      </c>
      <c r="E5290" s="21">
        <f>IF(D5290="?OLD","!!!","")</f>
        <v/>
      </c>
      <c r="F5290" s="22" t="str">
        <f>IF(OR(E5290="",E5290="!!!"),"",IF(NOT(ISNA(VLOOKUP(E5290,E$1:E5289,1,FALSE()))),"OLD",IF(AND(E5290&lt;&gt;"",E5290&lt;&gt;"!!!"),"NEW","")))</f>
        <v> </v>
      </c>
      <c r="G5290" s="23" t="str">
        <f>IF(OR(E5290="",E5290="!!!"),"",IF(OR(J5290=0,AND(J5290=1,K5290=1),AND(J5290=1,I5290="SBJ"),AND(J5290=1,I5290=0)),"?IN_FOCUS",IF(J5290&lt;=2,"?ACTIVATED",IF(J5290&lt;&gt;"","?FAMILIAR",IF(F5290="NEW",IF(ISNA(VLOOKUP(E5290,#REF!,1,FALSE())),"?TYPE_IDENTIFIABLE","?REFERENTIAL"),"_")))))</f>
        <v> </v>
      </c>
      <c r="H5290" s="24" t="str">
        <f>IF(J5290&lt;&gt;1,"",IF(I5290="SBJ","CB","?"))</f>
        <v> </v>
      </c>
      <c r="I5290" s="25" t="str">
        <f>IF(OR(E5290="",E5290="!!!",F5290="NEW"),"",INDEX(B5289:B$2,-1+SUMPRODUCT(MAX(ROW(E5289:E$2)*(E5290=E5289:E$2)))))</f>
        <v> </v>
      </c>
      <c r="J5290" s="25" t="str">
        <f>IF(OR(E5290="",E5290="!!!",F5290="NEW"),"",COUNTBLANK(OFFSET(A$1,,,SUMPRODUCT(MAX(ROW(E$2:E5290)*(E5290=E$2:E5290)))))-COUNTBLANK(OFFSET(A$1,,,SUMPRODUCT(MAX(ROW(E$1:E5289)*(E2=E$1:E5289))))))</f>
        <v> </v>
      </c>
      <c r="K5290" s="25" t="str">
        <f>IF(OR(E5290="",E5290="!!!",F5290="NEW"),"",INDEX(J$1:J5289,SUMPRODUCT(MAX(ROW(E$1:E5289)*(E5290=E$1:E5289)))))</f>
        <v> </v>
      </c>
      <c r="L5290" s="26"/>
    </row>
    <row r="5291" spans="1:12">
      <c r="A5291" s="20" t="s">
        <v>1076</v>
      </c>
      <c r="B5291" s="27" t="s">
        <v>1071</v>
      </c>
      <c r="C5291" s="27" t="s">
        <v>1077</v>
      </c>
      <c r="E5291" s="21">
        <f>IF(D5291="?OLD","!!!","")</f>
        <v/>
      </c>
      <c r="F5291" s="22" t="str">
        <f>IF(OR(E5291="",E5291="!!!"),"",IF(NOT(ISNA(VLOOKUP(E5291,E$1:E5290,1,FALSE()))),"OLD",IF(AND(E5291&lt;&gt;"",E5291&lt;&gt;"!!!"),"NEW","")))</f>
        <v> </v>
      </c>
      <c r="G5291" s="23" t="str">
        <f>IF(OR(E5291="",E5291="!!!"),"",IF(OR(J5291=0,AND(J5291=1,K5291=1),AND(J5291=1,I5291="SBJ"),AND(J5291=1,I5291=0)),"?IN_FOCUS",IF(J5291&lt;=2,"?ACTIVATED",IF(J5291&lt;&gt;"","?FAMILIAR",IF(F5291="NEW",IF(ISNA(VLOOKUP(E5291,#REF!,1,FALSE())),"?TYPE_IDENTIFIABLE","?REFERENTIAL"),"_")))))</f>
        <v> </v>
      </c>
      <c r="H5291" s="24" t="str">
        <f>IF(J5291&lt;&gt;1,"",IF(I5291="SBJ","CB","?"))</f>
        <v> </v>
      </c>
      <c r="I5291" s="25" t="str">
        <f>IF(OR(E5291="",E5291="!!!",F5291="NEW"),"",INDEX(B5290:B$2,-1+SUMPRODUCT(MAX(ROW(E5290:E$2)*(E5291=E5290:E$2)))))</f>
        <v> </v>
      </c>
      <c r="J5291" s="25" t="str">
        <f>IF(OR(E5291="",E5291="!!!",F5291="NEW"),"",COUNTBLANK(OFFSET(A$1,,,SUMPRODUCT(MAX(ROW(E$2:E5291)*(E5291=E$2:E5291)))))-COUNTBLANK(OFFSET(A$1,,,SUMPRODUCT(MAX(ROW(E$1:E5290)*(E2=E$1:E5290))))))</f>
        <v> </v>
      </c>
      <c r="K5291" s="25" t="str">
        <f>IF(OR(E5291="",E5291="!!!",F5291="NEW"),"",INDEX(J$1:J5290,SUMPRODUCT(MAX(ROW(E$1:E5290)*(E5291=E$1:E5290)))))</f>
        <v> </v>
      </c>
      <c r="L5291" s="26"/>
    </row>
    <row r="5292" spans="1:12">
      <c r="A5292" s="20" t="s">
        <v>1015</v>
      </c>
      <c r="E5292" s="21">
        <f>IF(D5292="?OLD","!!!","")</f>
        <v/>
      </c>
      <c r="F5292" s="22" t="str">
        <f>IF(OR(E5292="",E5292="!!!"),"",IF(NOT(ISNA(VLOOKUP(E5292,E$1:E5291,1,FALSE()))),"OLD",IF(AND(E5292&lt;&gt;"",E5292&lt;&gt;"!!!"),"NEW","")))</f>
        <v> </v>
      </c>
      <c r="G5292" s="23" t="str">
        <f>IF(OR(E5292="",E5292="!!!"),"",IF(OR(J5292=0,AND(J5292=1,K5292=1),AND(J5292=1,I5292="SBJ"),AND(J5292=1,I5292=0)),"?IN_FOCUS",IF(J5292&lt;=2,"?ACTIVATED",IF(J5292&lt;&gt;"","?FAMILIAR",IF(F5292="NEW",IF(ISNA(VLOOKUP(E5292,#REF!,1,FALSE())),"?TYPE_IDENTIFIABLE","?REFERENTIAL"),"_")))))</f>
        <v> </v>
      </c>
      <c r="H5292" s="24" t="str">
        <f>IF(J5292&lt;&gt;1,"",IF(I5292="SBJ","CB","?"))</f>
        <v> </v>
      </c>
      <c r="I5292" s="25" t="str">
        <f>IF(OR(E5292="",E5292="!!!",F5292="NEW"),"",INDEX(B5291:B$2,-1+SUMPRODUCT(MAX(ROW(E5291:E$2)*(E5292=E5291:E$2)))))</f>
        <v> </v>
      </c>
      <c r="J5292" s="25" t="str">
        <f>IF(OR(E5292="",E5292="!!!",F5292="NEW"),"",COUNTBLANK(OFFSET(A$1,,,SUMPRODUCT(MAX(ROW(E$2:E5292)*(E5292=E$2:E5292)))))-COUNTBLANK(OFFSET(A$1,,,SUMPRODUCT(MAX(ROW(E$1:E5291)*(E2=E$1:E5291))))))</f>
        <v> </v>
      </c>
      <c r="K5292" s="25" t="str">
        <f>IF(OR(E5292="",E5292="!!!",F5292="NEW"),"",INDEX(J$1:J5291,SUMPRODUCT(MAX(ROW(E$1:E5291)*(E5292=E$1:E5291)))))</f>
        <v> </v>
      </c>
      <c r="L5292" s="26"/>
    </row>
    <row r="5293" spans="1:12">
      <c r="A5293" s="20" t="s">
        <v>2157</v>
      </c>
      <c r="E5293" s="21">
        <f>IF(D5293="?OLD","!!!","")</f>
        <v/>
      </c>
      <c r="F5293" s="22" t="str">
        <f>IF(OR(E5293="",E5293="!!!"),"",IF(NOT(ISNA(VLOOKUP(E5293,E$1:E5292,1,FALSE()))),"OLD",IF(AND(E5293&lt;&gt;"",E5293&lt;&gt;"!!!"),"NEW","")))</f>
        <v> </v>
      </c>
      <c r="G5293" s="23" t="str">
        <f>IF(OR(E5293="",E5293="!!!"),"",IF(OR(J5293=0,AND(J5293=1,K5293=1),AND(J5293=1,I5293="SBJ"),AND(J5293=1,I5293=0)),"?IN_FOCUS",IF(J5293&lt;=2,"?ACTIVATED",IF(J5293&lt;&gt;"","?FAMILIAR",IF(F5293="NEW",IF(ISNA(VLOOKUP(E5293,#REF!,1,FALSE())),"?TYPE_IDENTIFIABLE","?REFERENTIAL"),"_")))))</f>
        <v> </v>
      </c>
      <c r="H5293" s="24" t="str">
        <f>IF(J5293&lt;&gt;1,"",IF(I5293="SBJ","CB","?"))</f>
        <v> </v>
      </c>
      <c r="I5293" s="25" t="str">
        <f>IF(OR(E5293="",E5293="!!!",F5293="NEW"),"",INDEX(B5292:B$2,-1+SUMPRODUCT(MAX(ROW(E5292:E$2)*(E5293=E5292:E$2)))))</f>
        <v> </v>
      </c>
      <c r="J5293" s="25" t="str">
        <f>IF(OR(E5293="",E5293="!!!",F5293="NEW"),"",COUNTBLANK(OFFSET(A$1,,,SUMPRODUCT(MAX(ROW(E$2:E5293)*(E5293=E$2:E5293)))))-COUNTBLANK(OFFSET(A$1,,,SUMPRODUCT(MAX(ROW(E$1:E5292)*(E2=E$1:E5292))))))</f>
        <v> </v>
      </c>
      <c r="K5293" s="25" t="str">
        <f>IF(OR(E5293="",E5293="!!!",F5293="NEW"),"",INDEX(J$1:J5292,SUMPRODUCT(MAX(ROW(E$1:E5292)*(E5293=E$1:E5292)))))</f>
        <v> </v>
      </c>
      <c r="L5293" s="26"/>
    </row>
    <row r="5294" spans="1:12">
      <c r="A5294" s="20" t="s">
        <v>2555</v>
      </c>
      <c r="E5294" s="21">
        <f>IF(D5294="?OLD","!!!","")</f>
        <v/>
      </c>
      <c r="F5294" s="22" t="str">
        <f>IF(OR(E5294="",E5294="!!!"),"",IF(NOT(ISNA(VLOOKUP(E5294,E$1:E5293,1,FALSE()))),"OLD",IF(AND(E5294&lt;&gt;"",E5294&lt;&gt;"!!!"),"NEW","")))</f>
        <v> </v>
      </c>
      <c r="G5294" s="23" t="str">
        <f>IF(OR(E5294="",E5294="!!!"),"",IF(OR(J5294=0,AND(J5294=1,K5294=1),AND(J5294=1,I5294="SBJ"),AND(J5294=1,I5294=0)),"?IN_FOCUS",IF(J5294&lt;=2,"?ACTIVATED",IF(J5294&lt;&gt;"","?FAMILIAR",IF(F5294="NEW",IF(ISNA(VLOOKUP(E5294,#REF!,1,FALSE())),"?TYPE_IDENTIFIABLE","?REFERENTIAL"),"_")))))</f>
        <v> </v>
      </c>
      <c r="H5294" s="24" t="str">
        <f>IF(J5294&lt;&gt;1,"",IF(I5294="SBJ","CB","?"))</f>
        <v> </v>
      </c>
      <c r="I5294" s="25" t="str">
        <f>IF(OR(E5294="",E5294="!!!",F5294="NEW"),"",INDEX(B5293:B$2,-1+SUMPRODUCT(MAX(ROW(E5293:E$2)*(E5294=E5293:E$2)))))</f>
        <v> </v>
      </c>
      <c r="J5294" s="25" t="str">
        <f>IF(OR(E5294="",E5294="!!!",F5294="NEW"),"",COUNTBLANK(OFFSET(A$1,,,SUMPRODUCT(MAX(ROW(E$2:E5294)*(E5294=E$2:E5294)))))-COUNTBLANK(OFFSET(A$1,,,SUMPRODUCT(MAX(ROW(E$1:E5293)*(E2=E$1:E5293))))))</f>
        <v> </v>
      </c>
      <c r="K5294" s="25" t="str">
        <f>IF(OR(E5294="",E5294="!!!",F5294="NEW"),"",INDEX(J$1:J5293,SUMPRODUCT(MAX(ROW(E$1:E5293)*(E5294=E$1:E5293)))))</f>
        <v> </v>
      </c>
      <c r="L5294" s="26"/>
    </row>
    <row r="5295" spans="1:12">
      <c r="A5295" s="20" t="s">
        <v>2556</v>
      </c>
      <c r="B5295" s="27" t="s">
        <v>1074</v>
      </c>
      <c r="C5295" s="27" t="s">
        <v>1171</v>
      </c>
      <c r="E5295" s="21">
        <f>IF(D5295="?OLD","!!!","")</f>
        <v/>
      </c>
      <c r="F5295" s="22" t="str">
        <f>IF(OR(E5295="",E5295="!!!"),"",IF(NOT(ISNA(VLOOKUP(E5295,E$1:E5294,1,FALSE()))),"OLD",IF(AND(E5295&lt;&gt;"",E5295&lt;&gt;"!!!"),"NEW","")))</f>
        <v> </v>
      </c>
      <c r="G5295" s="23" t="str">
        <f>IF(OR(E5295="",E5295="!!!"),"",IF(OR(J5295=0,AND(J5295=1,K5295=1),AND(J5295=1,I5295="SBJ"),AND(J5295=1,I5295=0)),"?IN_FOCUS",IF(J5295&lt;=2,"?ACTIVATED",IF(J5295&lt;&gt;"","?FAMILIAR",IF(F5295="NEW",IF(ISNA(VLOOKUP(E5295,#REF!,1,FALSE())),"?TYPE_IDENTIFIABLE","?REFERENTIAL"),"_")))))</f>
        <v> </v>
      </c>
      <c r="H5295" s="24" t="str">
        <f>IF(J5295&lt;&gt;1,"",IF(I5295="SBJ","CB","?"))</f>
        <v> </v>
      </c>
      <c r="I5295" s="25" t="str">
        <f>IF(OR(E5295="",E5295="!!!",F5295="NEW"),"",INDEX(B5294:B$2,-1+SUMPRODUCT(MAX(ROW(E5294:E$2)*(E5295=E5294:E$2)))))</f>
        <v> </v>
      </c>
      <c r="J5295" s="25" t="str">
        <f>IF(OR(E5295="",E5295="!!!",F5295="NEW"),"",COUNTBLANK(OFFSET(A$1,,,SUMPRODUCT(MAX(ROW(E$2:E5295)*(E5295=E$2:E5295)))))-COUNTBLANK(OFFSET(A$1,,,SUMPRODUCT(MAX(ROW(E$1:E5294)*(E2=E$1:E5294))))))</f>
        <v> </v>
      </c>
      <c r="K5295" s="25" t="str">
        <f>IF(OR(E5295="",E5295="!!!",F5295="NEW"),"",INDEX(J$1:J5294,SUMPRODUCT(MAX(ROW(E$1:E5294)*(E5295=E$1:E5294)))))</f>
        <v> </v>
      </c>
      <c r="L5295" s="26"/>
    </row>
    <row r="5296" spans="1:12">
      <c r="A5296" s="20" t="s">
        <v>1070</v>
      </c>
      <c r="E5296" s="21">
        <f>IF(D5296="?OLD","!!!","")</f>
        <v/>
      </c>
      <c r="F5296" s="22" t="str">
        <f>IF(OR(E5296="",E5296="!!!"),"",IF(NOT(ISNA(VLOOKUP(E5296,E$1:E5295,1,FALSE()))),"OLD",IF(AND(E5296&lt;&gt;"",E5296&lt;&gt;"!!!"),"NEW","")))</f>
        <v> </v>
      </c>
      <c r="G5296" s="23" t="str">
        <f>IF(OR(E5296="",E5296="!!!"),"",IF(OR(J5296=0,AND(J5296=1,K5296=1),AND(J5296=1,I5296="SBJ"),AND(J5296=1,I5296=0)),"?IN_FOCUS",IF(J5296&lt;=2,"?ACTIVATED",IF(J5296&lt;&gt;"","?FAMILIAR",IF(F5296="NEW",IF(ISNA(VLOOKUP(E5296,#REF!,1,FALSE())),"?TYPE_IDENTIFIABLE","?REFERENTIAL"),"_")))))</f>
        <v> </v>
      </c>
      <c r="H5296" s="24" t="str">
        <f>IF(J5296&lt;&gt;1,"",IF(I5296="SBJ","CB","?"))</f>
        <v> </v>
      </c>
      <c r="I5296" s="25" t="str">
        <f>IF(OR(E5296="",E5296="!!!",F5296="NEW"),"",INDEX(B5295:B$2,-1+SUMPRODUCT(MAX(ROW(E5295:E$2)*(E5296=E5295:E$2)))))</f>
        <v> </v>
      </c>
      <c r="J5296" s="25" t="str">
        <f>IF(OR(E5296="",E5296="!!!",F5296="NEW"),"",COUNTBLANK(OFFSET(A$1,,,SUMPRODUCT(MAX(ROW(E$2:E5296)*(E5296=E$2:E5296)))))-COUNTBLANK(OFFSET(A$1,,,SUMPRODUCT(MAX(ROW(E$1:E5295)*(E2=E$1:E5295))))))</f>
        <v> </v>
      </c>
      <c r="K5296" s="25" t="str">
        <f>IF(OR(E5296="",E5296="!!!",F5296="NEW"),"",INDEX(J$1:J5295,SUMPRODUCT(MAX(ROW(E$1:E5295)*(E5296=E$1:E5295)))))</f>
        <v> </v>
      </c>
      <c r="L5296" s="26"/>
    </row>
    <row r="5297" spans="1:12">
      <c r="A5297" s="20" t="s">
        <v>33</v>
      </c>
      <c r="E5297" s="21">
        <f>IF(D5297="?OLD","!!!","")</f>
        <v/>
      </c>
      <c r="F5297" s="22" t="str">
        <f>IF(OR(E5297="",E5297="!!!"),"",IF(NOT(ISNA(VLOOKUP(E5297,E$1:E5296,1,FALSE()))),"OLD",IF(AND(E5297&lt;&gt;"",E5297&lt;&gt;"!!!"),"NEW","")))</f>
        <v> </v>
      </c>
      <c r="G5297" s="23" t="str">
        <f>IF(OR(E5297="",E5297="!!!"),"",IF(OR(J5297=0,AND(J5297=1,K5297=1),AND(J5297=1,I5297="SBJ"),AND(J5297=1,I5297=0)),"?IN_FOCUS",IF(J5297&lt;=2,"?ACTIVATED",IF(J5297&lt;&gt;"","?FAMILIAR",IF(F5297="NEW",IF(ISNA(VLOOKUP(E5297,#REF!,1,FALSE())),"?TYPE_IDENTIFIABLE","?REFERENTIAL"),"_")))))</f>
        <v> </v>
      </c>
      <c r="H5297" s="24" t="str">
        <f>IF(J5297&lt;&gt;1,"",IF(I5297="SBJ","CB","?"))</f>
        <v> </v>
      </c>
      <c r="I5297" s="25" t="str">
        <f>IF(OR(E5297="",E5297="!!!",F5297="NEW"),"",INDEX(B5296:B$2,-1+SUMPRODUCT(MAX(ROW(E5296:E$2)*(E5297=E5296:E$2)))))</f>
        <v> </v>
      </c>
      <c r="J5297" s="25" t="str">
        <f>IF(OR(E5297="",E5297="!!!",F5297="NEW"),"",COUNTBLANK(OFFSET(A$1,,,SUMPRODUCT(MAX(ROW(E$2:E5297)*(E5297=E$2:E5297)))))-COUNTBLANK(OFFSET(A$1,,,SUMPRODUCT(MAX(ROW(E$1:E5296)*(E2=E$1:E5296))))))</f>
        <v> </v>
      </c>
      <c r="K5297" s="25" t="str">
        <f>IF(OR(E5297="",E5297="!!!",F5297="NEW"),"",INDEX(J$1:J5296,SUMPRODUCT(MAX(ROW(E$1:E5296)*(E5297=E$1:E5296)))))</f>
        <v> </v>
      </c>
      <c r="L5297" s="26"/>
    </row>
    <row r="5298" spans="1:12">
      <c r="A5298" s="20" t="s">
        <v>1080</v>
      </c>
      <c r="E5298" s="21">
        <f>IF(D5298="?OLD","!!!","")</f>
        <v/>
      </c>
      <c r="F5298" s="22" t="str">
        <f>IF(OR(E5298="",E5298="!!!"),"",IF(NOT(ISNA(VLOOKUP(E5298,E$1:E5297,1,FALSE()))),"OLD",IF(AND(E5298&lt;&gt;"",E5298&lt;&gt;"!!!"),"NEW","")))</f>
        <v> </v>
      </c>
      <c r="G5298" s="23" t="str">
        <f>IF(OR(E5298="",E5298="!!!"),"",IF(OR(J5298=0,AND(J5298=1,K5298=1),AND(J5298=1,I5298="SBJ"),AND(J5298=1,I5298=0)),"?IN_FOCUS",IF(J5298&lt;=2,"?ACTIVATED",IF(J5298&lt;&gt;"","?FAMILIAR",IF(F5298="NEW",IF(ISNA(VLOOKUP(E5298,#REF!,1,FALSE())),"?TYPE_IDENTIFIABLE","?REFERENTIAL"),"_")))))</f>
        <v> </v>
      </c>
      <c r="H5298" s="24" t="str">
        <f>IF(J5298&lt;&gt;1,"",IF(I5298="SBJ","CB","?"))</f>
        <v> </v>
      </c>
      <c r="I5298" s="25" t="str">
        <f>IF(OR(E5298="",E5298="!!!",F5298="NEW"),"",INDEX(B5297:B$2,-1+SUMPRODUCT(MAX(ROW(E5297:E$2)*(E5298=E5297:E$2)))))</f>
        <v> </v>
      </c>
      <c r="J5298" s="25" t="str">
        <f>IF(OR(E5298="",E5298="!!!",F5298="NEW"),"",COUNTBLANK(OFFSET(A$1,,,SUMPRODUCT(MAX(ROW(E$2:E5298)*(E5298=E$2:E5298)))))-COUNTBLANK(OFFSET(A$1,,,SUMPRODUCT(MAX(ROW(E$1:E5297)*(E2=E$1:E5297))))))</f>
        <v> </v>
      </c>
      <c r="K5298" s="25" t="str">
        <f>IF(OR(E5298="",E5298="!!!",F5298="NEW"),"",INDEX(J$1:J5297,SUMPRODUCT(MAX(ROW(E$1:E5297)*(E5298=E$1:E5297)))))</f>
        <v> </v>
      </c>
      <c r="L5298" s="26"/>
    </row>
    <row r="5299" spans="1:12">
      <c r="A5299" s="20"/>
    </row>
    <row r="5300" spans="1:12">
      <c r="A5300" s="20" t="s">
        <v>2557</v>
      </c>
    </row>
    <row r="5301" spans="1:12">
      <c r="A5301" s="20" t="s">
        <v>1631</v>
      </c>
      <c r="E5301" s="21">
        <f>IF(D5301="?OLD","!!!","")</f>
        <v/>
      </c>
      <c r="F5301" s="22" t="str">
        <f>IF(OR(E5301="",E5301="!!!"),"",IF(NOT(ISNA(VLOOKUP(E5301,E$1:E5300,1,FALSE()))),"OLD",IF(AND(E5301&lt;&gt;"",E5301&lt;&gt;"!!!"),"NEW","")))</f>
        <v> </v>
      </c>
      <c r="G5301" s="23" t="str">
        <f>IF(OR(E5301="",E5301="!!!"),"",IF(OR(J5301=0,AND(J5301=1,K5301=1),AND(J5301=1,I5301="SBJ"),AND(J5301=1,I5301=0)),"?IN_FOCUS",IF(J5301&lt;=2,"?ACTIVATED",IF(J5301&lt;&gt;"","?FAMILIAR",IF(F5301="NEW",IF(ISNA(VLOOKUP(E5301,#REF!,1,FALSE())),"?TYPE_IDENTIFIABLE","?REFERENTIAL"),"_")))))</f>
        <v> </v>
      </c>
      <c r="H5301" s="24" t="str">
        <f>IF(J5301&lt;&gt;1,"",IF(I5301="SBJ","CB","?"))</f>
        <v> </v>
      </c>
      <c r="I5301" s="25" t="str">
        <f>IF(OR(E5301="",E5301="!!!",F5301="NEW"),"",INDEX(B5300:B$2,-1+SUMPRODUCT(MAX(ROW(E5300:E$2)*(E5301=E5300:E$2)))))</f>
        <v> </v>
      </c>
      <c r="J5301" s="25" t="str">
        <f>IF(OR(E5301="",E5301="!!!",F5301="NEW"),"",COUNTBLANK(OFFSET(A$1,,,SUMPRODUCT(MAX(ROW(E$2:E5301)*(E5301=E$2:E5301)))))-COUNTBLANK(OFFSET(A$1,,,SUMPRODUCT(MAX(ROW(E$1:E5300)*(E2=E$1:E5300))))))</f>
        <v> </v>
      </c>
      <c r="K5301" s="25" t="str">
        <f>IF(OR(E5301="",E5301="!!!",F5301="NEW"),"",INDEX(J$1:J5300,SUMPRODUCT(MAX(ROW(E$1:E5300)*(E5301=E$1:E5300)))))</f>
        <v> </v>
      </c>
      <c r="L5301" s="26"/>
    </row>
    <row r="5302" spans="1:12">
      <c r="A5302" s="20" t="s">
        <v>1104</v>
      </c>
      <c r="E5302" s="21">
        <f>IF(D5302="?OLD","!!!","")</f>
        <v/>
      </c>
      <c r="F5302" s="22" t="str">
        <f>IF(OR(E5302="",E5302="!!!"),"",IF(NOT(ISNA(VLOOKUP(E5302,E$1:E5301,1,FALSE()))),"OLD",IF(AND(E5302&lt;&gt;"",E5302&lt;&gt;"!!!"),"NEW","")))</f>
        <v> </v>
      </c>
      <c r="G5302" s="23" t="str">
        <f>IF(OR(E5302="",E5302="!!!"),"",IF(OR(J5302=0,AND(J5302=1,K5302=1),AND(J5302=1,I5302="SBJ"),AND(J5302=1,I5302=0)),"?IN_FOCUS",IF(J5302&lt;=2,"?ACTIVATED",IF(J5302&lt;&gt;"","?FAMILIAR",IF(F5302="NEW",IF(ISNA(VLOOKUP(E5302,#REF!,1,FALSE())),"?TYPE_IDENTIFIABLE","?REFERENTIAL"),"_")))))</f>
        <v> </v>
      </c>
      <c r="H5302" s="24" t="str">
        <f>IF(J5302&lt;&gt;1,"",IF(I5302="SBJ","CB","?"))</f>
        <v> </v>
      </c>
      <c r="I5302" s="25" t="str">
        <f>IF(OR(E5302="",E5302="!!!",F5302="NEW"),"",INDEX(B5301:B$2,-1+SUMPRODUCT(MAX(ROW(E5301:E$2)*(E5302=E5301:E$2)))))</f>
        <v> </v>
      </c>
      <c r="J5302" s="25" t="str">
        <f>IF(OR(E5302="",E5302="!!!",F5302="NEW"),"",COUNTBLANK(OFFSET(A$1,,,SUMPRODUCT(MAX(ROW(E$2:E5302)*(E5302=E$2:E5302)))))-COUNTBLANK(OFFSET(A$1,,,SUMPRODUCT(MAX(ROW(E$1:E5301)*(E2=E$1:E5301))))))</f>
        <v> </v>
      </c>
      <c r="K5302" s="25" t="str">
        <f>IF(OR(E5302="",E5302="!!!",F5302="NEW"),"",INDEX(J$1:J5301,SUMPRODUCT(MAX(ROW(E$1:E5301)*(E5302=E$1:E5301)))))</f>
        <v> </v>
      </c>
      <c r="L5302" s="26"/>
    </row>
    <row r="5303" spans="1:12">
      <c r="A5303" s="20" t="s">
        <v>2558</v>
      </c>
      <c r="E5303" s="21">
        <f>IF(D5303="?OLD","!!!","")</f>
        <v/>
      </c>
      <c r="F5303" s="22" t="str">
        <f>IF(OR(E5303="",E5303="!!!"),"",IF(NOT(ISNA(VLOOKUP(E5303,E$1:E5302,1,FALSE()))),"OLD",IF(AND(E5303&lt;&gt;"",E5303&lt;&gt;"!!!"),"NEW","")))</f>
        <v> </v>
      </c>
      <c r="G5303" s="23" t="str">
        <f>IF(OR(E5303="",E5303="!!!"),"",IF(OR(J5303=0,AND(J5303=1,K5303=1),AND(J5303=1,I5303="SBJ"),AND(J5303=1,I5303=0)),"?IN_FOCUS",IF(J5303&lt;=2,"?ACTIVATED",IF(J5303&lt;&gt;"","?FAMILIAR",IF(F5303="NEW",IF(ISNA(VLOOKUP(E5303,#REF!,1,FALSE())),"?TYPE_IDENTIFIABLE","?REFERENTIAL"),"_")))))</f>
        <v> </v>
      </c>
      <c r="H5303" s="24" t="str">
        <f>IF(J5303&lt;&gt;1,"",IF(I5303="SBJ","CB","?"))</f>
        <v> </v>
      </c>
      <c r="I5303" s="25" t="str">
        <f>IF(OR(E5303="",E5303="!!!",F5303="NEW"),"",INDEX(B5302:B$2,-1+SUMPRODUCT(MAX(ROW(E5302:E$2)*(E5303=E5302:E$2)))))</f>
        <v> </v>
      </c>
      <c r="J5303" s="25" t="str">
        <f>IF(OR(E5303="",E5303="!!!",F5303="NEW"),"",COUNTBLANK(OFFSET(A$1,,,SUMPRODUCT(MAX(ROW(E$2:E5303)*(E5303=E$2:E5303)))))-COUNTBLANK(OFFSET(A$1,,,SUMPRODUCT(MAX(ROW(E$1:E5302)*(E2=E$1:E5302))))))</f>
        <v> </v>
      </c>
      <c r="K5303" s="25" t="str">
        <f>IF(OR(E5303="",E5303="!!!",F5303="NEW"),"",INDEX(J$1:J5302,SUMPRODUCT(MAX(ROW(E$1:E5302)*(E5303=E$1:E5302)))))</f>
        <v> </v>
      </c>
      <c r="L5303" s="26"/>
    </row>
    <row r="5304" spans="1:12">
      <c r="A5304" s="20" t="s">
        <v>2461</v>
      </c>
      <c r="E5304" s="21">
        <f>IF(D5304="?OLD","!!!","")</f>
        <v/>
      </c>
      <c r="F5304" s="22" t="str">
        <f>IF(OR(E5304="",E5304="!!!"),"",IF(NOT(ISNA(VLOOKUP(E5304,E$1:E5303,1,FALSE()))),"OLD",IF(AND(E5304&lt;&gt;"",E5304&lt;&gt;"!!!"),"NEW","")))</f>
        <v> </v>
      </c>
      <c r="G5304" s="23" t="str">
        <f>IF(OR(E5304="",E5304="!!!"),"",IF(OR(J5304=0,AND(J5304=1,K5304=1),AND(J5304=1,I5304="SBJ"),AND(J5304=1,I5304=0)),"?IN_FOCUS",IF(J5304&lt;=2,"?ACTIVATED",IF(J5304&lt;&gt;"","?FAMILIAR",IF(F5304="NEW",IF(ISNA(VLOOKUP(E5304,#REF!,1,FALSE())),"?TYPE_IDENTIFIABLE","?REFERENTIAL"),"_")))))</f>
        <v> </v>
      </c>
      <c r="H5304" s="24" t="str">
        <f>IF(J5304&lt;&gt;1,"",IF(I5304="SBJ","CB","?"))</f>
        <v> </v>
      </c>
      <c r="I5304" s="25" t="str">
        <f>IF(OR(E5304="",E5304="!!!",F5304="NEW"),"",INDEX(B5303:B$2,-1+SUMPRODUCT(MAX(ROW(E5303:E$2)*(E5304=E5303:E$2)))))</f>
        <v> </v>
      </c>
      <c r="J5304" s="25" t="str">
        <f>IF(OR(E5304="",E5304="!!!",F5304="NEW"),"",COUNTBLANK(OFFSET(A$1,,,SUMPRODUCT(MAX(ROW(E$2:E5304)*(E5304=E$2:E5304)))))-COUNTBLANK(OFFSET(A$1,,,SUMPRODUCT(MAX(ROW(E$1:E5303)*(E2=E$1:E5303))))))</f>
        <v> </v>
      </c>
      <c r="K5304" s="25" t="str">
        <f>IF(OR(E5304="",E5304="!!!",F5304="NEW"),"",INDEX(J$1:J5303,SUMPRODUCT(MAX(ROW(E$1:E5303)*(E5304=E$1:E5303)))))</f>
        <v> </v>
      </c>
      <c r="L5304" s="26"/>
    </row>
    <row r="5305" spans="1:12">
      <c r="A5305" s="20" t="s">
        <v>1115</v>
      </c>
      <c r="B5305" s="27" t="s">
        <v>1074</v>
      </c>
      <c r="C5305" s="27" t="s">
        <v>1538</v>
      </c>
      <c r="D5305" s="27" t="s">
        <v>1069</v>
      </c>
      <c r="E5305" s="21">
        <f>IF(D5305="?OLD","!!!","")</f>
        <v/>
      </c>
      <c r="F5305" s="22" t="str">
        <f>IF(OR(E5305="",E5305="!!!"),"",IF(NOT(ISNA(VLOOKUP(E5305,E$1:E5304,1,FALSE()))),"OLD",IF(AND(E5305&lt;&gt;"",E5305&lt;&gt;"!!!"),"NEW","")))</f>
        <v> </v>
      </c>
      <c r="G5305" s="23" t="str">
        <f>IF(OR(E5305="",E5305="!!!"),"",IF(OR(J5305=0,AND(J5305=1,K5305=1),AND(J5305=1,I5305="SBJ"),AND(J5305=1,I5305=0)),"?IN_FOCUS",IF(J5305&lt;=2,"?ACTIVATED",IF(J5305&lt;&gt;"","?FAMILIAR",IF(F5305="NEW",IF(ISNA(VLOOKUP(E5305,#REF!,1,FALSE())),"?TYPE_IDENTIFIABLE","?REFERENTIAL"),"_")))))</f>
        <v> </v>
      </c>
      <c r="H5305" s="24" t="str">
        <f>IF(J5305&lt;&gt;1,"",IF(I5305="SBJ","CB","?"))</f>
        <v> </v>
      </c>
      <c r="I5305" s="25" t="str">
        <f>IF(OR(E5305="",E5305="!!!",F5305="NEW"),"",INDEX(B5304:B$2,-1+SUMPRODUCT(MAX(ROW(E5304:E$2)*(E5305=E5304:E$2)))))</f>
        <v> </v>
      </c>
      <c r="J5305" s="25" t="str">
        <f>IF(OR(E5305="",E5305="!!!",F5305="NEW"),"",COUNTBLANK(OFFSET(A$1,,,SUMPRODUCT(MAX(ROW(E$2:E5305)*(E5305=E$2:E5305)))))-COUNTBLANK(OFFSET(A$1,,,SUMPRODUCT(MAX(ROW(E$1:E5304)*(E2=E$1:E5304))))))</f>
        <v> </v>
      </c>
      <c r="K5305" s="25" t="str">
        <f>IF(OR(E5305="",E5305="!!!",F5305="NEW"),"",INDEX(J$1:J5304,SUMPRODUCT(MAX(ROW(E$1:E5304)*(E5305=E$1:E5304)))))</f>
        <v> </v>
      </c>
      <c r="L5305" s="26"/>
    </row>
    <row r="5306" spans="1:12">
      <c r="A5306" s="20" t="s">
        <v>1301</v>
      </c>
      <c r="E5306" s="21">
        <f>IF(D5306="?OLD","!!!","")</f>
        <v/>
      </c>
      <c r="F5306" s="22" t="str">
        <f>IF(OR(E5306="",E5306="!!!"),"",IF(NOT(ISNA(VLOOKUP(E5306,E$1:E5305,1,FALSE()))),"OLD",IF(AND(E5306&lt;&gt;"",E5306&lt;&gt;"!!!"),"NEW","")))</f>
        <v> </v>
      </c>
      <c r="G5306" s="23" t="str">
        <f>IF(OR(E5306="",E5306="!!!"),"",IF(OR(J5306=0,AND(J5306=1,K5306=1),AND(J5306=1,I5306="SBJ"),AND(J5306=1,I5306=0)),"?IN_FOCUS",IF(J5306&lt;=2,"?ACTIVATED",IF(J5306&lt;&gt;"","?FAMILIAR",IF(F5306="NEW",IF(ISNA(VLOOKUP(E5306,#REF!,1,FALSE())),"?TYPE_IDENTIFIABLE","?REFERENTIAL"),"_")))))</f>
        <v> </v>
      </c>
      <c r="H5306" s="24" t="str">
        <f>IF(J5306&lt;&gt;1,"",IF(I5306="SBJ","CB","?"))</f>
        <v> </v>
      </c>
      <c r="I5306" s="25" t="str">
        <f>IF(OR(E5306="",E5306="!!!",F5306="NEW"),"",INDEX(B5305:B$2,-1+SUMPRODUCT(MAX(ROW(E5305:E$2)*(E5306=E5305:E$2)))))</f>
        <v> </v>
      </c>
      <c r="J5306" s="25" t="str">
        <f>IF(OR(E5306="",E5306="!!!",F5306="NEW"),"",COUNTBLANK(OFFSET(A$1,,,SUMPRODUCT(MAX(ROW(E$2:E5306)*(E5306=E$2:E5306)))))-COUNTBLANK(OFFSET(A$1,,,SUMPRODUCT(MAX(ROW(E$1:E5305)*(E2=E$1:E5305))))))</f>
        <v> </v>
      </c>
      <c r="K5306" s="25" t="str">
        <f>IF(OR(E5306="",E5306="!!!",F5306="NEW"),"",INDEX(J$1:J5305,SUMPRODUCT(MAX(ROW(E$1:E5305)*(E5306=E$1:E5305)))))</f>
        <v> </v>
      </c>
      <c r="L5306" s="26"/>
    </row>
    <row r="5307" spans="1:12">
      <c r="A5307" s="20" t="s">
        <v>1191</v>
      </c>
      <c r="E5307" s="21">
        <f>IF(D5307="?OLD","!!!","")</f>
        <v/>
      </c>
      <c r="F5307" s="22" t="str">
        <f>IF(OR(E5307="",E5307="!!!"),"",IF(NOT(ISNA(VLOOKUP(E5307,E$1:E5306,1,FALSE()))),"OLD",IF(AND(E5307&lt;&gt;"",E5307&lt;&gt;"!!!"),"NEW","")))</f>
        <v> </v>
      </c>
      <c r="G5307" s="23" t="str">
        <f>IF(OR(E5307="",E5307="!!!"),"",IF(OR(J5307=0,AND(J5307=1,K5307=1),AND(J5307=1,I5307="SBJ"),AND(J5307=1,I5307=0)),"?IN_FOCUS",IF(J5307&lt;=2,"?ACTIVATED",IF(J5307&lt;&gt;"","?FAMILIAR",IF(F5307="NEW",IF(ISNA(VLOOKUP(E5307,#REF!,1,FALSE())),"?TYPE_IDENTIFIABLE","?REFERENTIAL"),"_")))))</f>
        <v> </v>
      </c>
      <c r="H5307" s="24" t="str">
        <f>IF(J5307&lt;&gt;1,"",IF(I5307="SBJ","CB","?"))</f>
        <v> </v>
      </c>
      <c r="I5307" s="25" t="str">
        <f>IF(OR(E5307="",E5307="!!!",F5307="NEW"),"",INDEX(B5306:B$2,-1+SUMPRODUCT(MAX(ROW(E5306:E$2)*(E5307=E5306:E$2)))))</f>
        <v> </v>
      </c>
      <c r="J5307" s="25" t="str">
        <f>IF(OR(E5307="",E5307="!!!",F5307="NEW"),"",COUNTBLANK(OFFSET(A$1,,,SUMPRODUCT(MAX(ROW(E$2:E5307)*(E5307=E$2:E5307)))))-COUNTBLANK(OFFSET(A$1,,,SUMPRODUCT(MAX(ROW(E$1:E5306)*(E2=E$1:E5306))))))</f>
        <v> </v>
      </c>
      <c r="K5307" s="25" t="str">
        <f>IF(OR(E5307="",E5307="!!!",F5307="NEW"),"",INDEX(J$1:J5306,SUMPRODUCT(MAX(ROW(E$1:E5306)*(E5307=E$1:E5306)))))</f>
        <v> </v>
      </c>
      <c r="L5307" s="26"/>
    </row>
    <row r="5308" spans="1:12">
      <c r="A5308" s="20" t="s">
        <v>1167</v>
      </c>
      <c r="B5308" s="27" t="s">
        <v>1067</v>
      </c>
      <c r="C5308" s="27" t="s">
        <v>1068</v>
      </c>
      <c r="D5308" s="27" t="s">
        <v>1069</v>
      </c>
      <c r="E5308" s="21">
        <f>IF(D5308="?OLD","!!!","")</f>
        <v/>
      </c>
      <c r="F5308" s="22" t="str">
        <f>IF(OR(E5308="",E5308="!!!"),"",IF(NOT(ISNA(VLOOKUP(E5308,E$1:E5307,1,FALSE()))),"OLD",IF(AND(E5308&lt;&gt;"",E5308&lt;&gt;"!!!"),"NEW","")))</f>
        <v> </v>
      </c>
      <c r="G5308" s="23" t="str">
        <f>IF(OR(E5308="",E5308="!!!"),"",IF(OR(J5308=0,AND(J5308=1,K5308=1),AND(J5308=1,I5308="SBJ"),AND(J5308=1,I5308=0)),"?IN_FOCUS",IF(J5308&lt;=2,"?ACTIVATED",IF(J5308&lt;&gt;"","?FAMILIAR",IF(F5308="NEW",IF(ISNA(VLOOKUP(E5308,#REF!,1,FALSE())),"?TYPE_IDENTIFIABLE","?REFERENTIAL"),"_")))))</f>
        <v> </v>
      </c>
      <c r="H5308" s="24" t="str">
        <f>IF(J5308&lt;&gt;1,"",IF(I5308="SBJ","CB","?"))</f>
        <v> </v>
      </c>
      <c r="I5308" s="25" t="str">
        <f>IF(OR(E5308="",E5308="!!!",F5308="NEW"),"",INDEX(B5307:B$2,-1+SUMPRODUCT(MAX(ROW(E5307:E$2)*(E5308=E5307:E$2)))))</f>
        <v> </v>
      </c>
      <c r="J5308" s="25" t="str">
        <f>IF(OR(E5308="",E5308="!!!",F5308="NEW"),"",COUNTBLANK(OFFSET(A$1,,,SUMPRODUCT(MAX(ROW(E$2:E5308)*(E5308=E$2:E5308)))))-COUNTBLANK(OFFSET(A$1,,,SUMPRODUCT(MAX(ROW(E$1:E5307)*(E2=E$1:E5307))))))</f>
        <v> </v>
      </c>
      <c r="K5308" s="25" t="str">
        <f>IF(OR(E5308="",E5308="!!!",F5308="NEW"),"",INDEX(J$1:J5307,SUMPRODUCT(MAX(ROW(E$1:E5307)*(E5308=E$1:E5307)))))</f>
        <v> </v>
      </c>
      <c r="L5308" s="26"/>
    </row>
    <row r="5309" spans="1:12">
      <c r="A5309" s="20" t="s">
        <v>141</v>
      </c>
      <c r="E5309" s="21">
        <f>IF(D5309="?OLD","!!!","")</f>
        <v/>
      </c>
      <c r="F5309" s="22" t="str">
        <f>IF(OR(E5309="",E5309="!!!"),"",IF(NOT(ISNA(VLOOKUP(E5309,E$1:E5308,1,FALSE()))),"OLD",IF(AND(E5309&lt;&gt;"",E5309&lt;&gt;"!!!"),"NEW","")))</f>
        <v> </v>
      </c>
      <c r="G5309" s="23" t="str">
        <f>IF(OR(E5309="",E5309="!!!"),"",IF(OR(J5309=0,AND(J5309=1,K5309=1),AND(J5309=1,I5309="SBJ"),AND(J5309=1,I5309=0)),"?IN_FOCUS",IF(J5309&lt;=2,"?ACTIVATED",IF(J5309&lt;&gt;"","?FAMILIAR",IF(F5309="NEW",IF(ISNA(VLOOKUP(E5309,#REF!,1,FALSE())),"?TYPE_IDENTIFIABLE","?REFERENTIAL"),"_")))))</f>
        <v> </v>
      </c>
      <c r="H5309" s="24" t="str">
        <f>IF(J5309&lt;&gt;1,"",IF(I5309="SBJ","CB","?"))</f>
        <v> </v>
      </c>
      <c r="I5309" s="25" t="str">
        <f>IF(OR(E5309="",E5309="!!!",F5309="NEW"),"",INDEX(B5308:B$2,-1+SUMPRODUCT(MAX(ROW(E5308:E$2)*(E5309=E5308:E$2)))))</f>
        <v> </v>
      </c>
      <c r="J5309" s="25" t="str">
        <f>IF(OR(E5309="",E5309="!!!",F5309="NEW"),"",COUNTBLANK(OFFSET(A$1,,,SUMPRODUCT(MAX(ROW(E$2:E5309)*(E5309=E$2:E5309)))))-COUNTBLANK(OFFSET(A$1,,,SUMPRODUCT(MAX(ROW(E$1:E5308)*(E2=E$1:E5308))))))</f>
        <v> </v>
      </c>
      <c r="K5309" s="25" t="str">
        <f>IF(OR(E5309="",E5309="!!!",F5309="NEW"),"",INDEX(J$1:J5308,SUMPRODUCT(MAX(ROW(E$1:E5308)*(E5309=E$1:E5308)))))</f>
        <v> </v>
      </c>
      <c r="L5309" s="26"/>
    </row>
    <row r="5310" spans="1:12">
      <c r="A5310" s="20" t="s">
        <v>2559</v>
      </c>
      <c r="B5310" s="27" t="s">
        <v>1074</v>
      </c>
      <c r="C5310" s="27" t="s">
        <v>1120</v>
      </c>
      <c r="E5310" s="21">
        <f>IF(D5310="?OLD","!!!","")</f>
        <v/>
      </c>
      <c r="F5310" s="22" t="str">
        <f>IF(OR(E5310="",E5310="!!!"),"",IF(NOT(ISNA(VLOOKUP(E5310,E$1:E5309,1,FALSE()))),"OLD",IF(AND(E5310&lt;&gt;"",E5310&lt;&gt;"!!!"),"NEW","")))</f>
        <v> </v>
      </c>
      <c r="G5310" s="23" t="str">
        <f>IF(OR(E5310="",E5310="!!!"),"",IF(OR(J5310=0,AND(J5310=1,K5310=1),AND(J5310=1,I5310="SBJ"),AND(J5310=1,I5310=0)),"?IN_FOCUS",IF(J5310&lt;=2,"?ACTIVATED",IF(J5310&lt;&gt;"","?FAMILIAR",IF(F5310="NEW",IF(ISNA(VLOOKUP(E5310,#REF!,1,FALSE())),"?TYPE_IDENTIFIABLE","?REFERENTIAL"),"_")))))</f>
        <v> </v>
      </c>
      <c r="H5310" s="24" t="str">
        <f>IF(J5310&lt;&gt;1,"",IF(I5310="SBJ","CB","?"))</f>
        <v> </v>
      </c>
      <c r="I5310" s="25" t="str">
        <f>IF(OR(E5310="",E5310="!!!",F5310="NEW"),"",INDEX(B5309:B$2,-1+SUMPRODUCT(MAX(ROW(E5309:E$2)*(E5310=E5309:E$2)))))</f>
        <v> </v>
      </c>
      <c r="J5310" s="25" t="str">
        <f>IF(OR(E5310="",E5310="!!!",F5310="NEW"),"",COUNTBLANK(OFFSET(A$1,,,SUMPRODUCT(MAX(ROW(E$2:E5310)*(E5310=E$2:E5310)))))-COUNTBLANK(OFFSET(A$1,,,SUMPRODUCT(MAX(ROW(E$1:E5309)*(E2=E$1:E5309))))))</f>
        <v> </v>
      </c>
      <c r="K5310" s="25" t="str">
        <f>IF(OR(E5310="",E5310="!!!",F5310="NEW"),"",INDEX(J$1:J5309,SUMPRODUCT(MAX(ROW(E$1:E5309)*(E5310=E$1:E5309)))))</f>
        <v> </v>
      </c>
      <c r="L5310" s="26"/>
    </row>
    <row r="5311" spans="1:12">
      <c r="A5311" s="20" t="s">
        <v>1080</v>
      </c>
      <c r="E5311" s="21">
        <f>IF(D5311="?OLD","!!!","")</f>
        <v/>
      </c>
      <c r="F5311" s="22" t="str">
        <f>IF(OR(E5311="",E5311="!!!"),"",IF(NOT(ISNA(VLOOKUP(E5311,E$1:E5310,1,FALSE()))),"OLD",IF(AND(E5311&lt;&gt;"",E5311&lt;&gt;"!!!"),"NEW","")))</f>
        <v> </v>
      </c>
      <c r="G5311" s="23" t="str">
        <f>IF(OR(E5311="",E5311="!!!"),"",IF(OR(J5311=0,AND(J5311=1,K5311=1),AND(J5311=1,I5311="SBJ"),AND(J5311=1,I5311=0)),"?IN_FOCUS",IF(J5311&lt;=2,"?ACTIVATED",IF(J5311&lt;&gt;"","?FAMILIAR",IF(F5311="NEW",IF(ISNA(VLOOKUP(E5311,#REF!,1,FALSE())),"?TYPE_IDENTIFIABLE","?REFERENTIAL"),"_")))))</f>
        <v> </v>
      </c>
      <c r="H5311" s="24" t="str">
        <f>IF(J5311&lt;&gt;1,"",IF(I5311="SBJ","CB","?"))</f>
        <v> </v>
      </c>
      <c r="I5311" s="25" t="str">
        <f>IF(OR(E5311="",E5311="!!!",F5311="NEW"),"",INDEX(B5310:B$2,-1+SUMPRODUCT(MAX(ROW(E5310:E$2)*(E5311=E5310:E$2)))))</f>
        <v> </v>
      </c>
      <c r="J5311" s="25" t="str">
        <f>IF(OR(E5311="",E5311="!!!",F5311="NEW"),"",COUNTBLANK(OFFSET(A$1,,,SUMPRODUCT(MAX(ROW(E$2:E5311)*(E5311=E$2:E5311)))))-COUNTBLANK(OFFSET(A$1,,,SUMPRODUCT(MAX(ROW(E$1:E5310)*(E2=E$1:E5310))))))</f>
        <v> </v>
      </c>
      <c r="K5311" s="25" t="str">
        <f>IF(OR(E5311="",E5311="!!!",F5311="NEW"),"",INDEX(J$1:J5310,SUMPRODUCT(MAX(ROW(E$1:E5310)*(E5311=E$1:E5310)))))</f>
        <v> </v>
      </c>
      <c r="L5311" s="26"/>
    </row>
    <row r="5312" spans="1:12">
      <c r="A5312" s="20"/>
    </row>
    <row r="5313" spans="1:12">
      <c r="A5313" s="20" t="s">
        <v>2560</v>
      </c>
    </row>
    <row r="5314" spans="1:12">
      <c r="A5314" s="20" t="s">
        <v>1082</v>
      </c>
      <c r="E5314" s="21">
        <f>IF(D5314="?OLD","!!!","")</f>
        <v/>
      </c>
      <c r="F5314" s="22" t="str">
        <f>IF(OR(E5314="",E5314="!!!"),"",IF(NOT(ISNA(VLOOKUP(E5314,E$1:E5313,1,FALSE()))),"OLD",IF(AND(E5314&lt;&gt;"",E5314&lt;&gt;"!!!"),"NEW","")))</f>
        <v> </v>
      </c>
      <c r="G5314" s="23" t="str">
        <f>IF(OR(E5314="",E5314="!!!"),"",IF(OR(J5314=0,AND(J5314=1,K5314=1),AND(J5314=1,I5314="SBJ"),AND(J5314=1,I5314=0)),"?IN_FOCUS",IF(J5314&lt;=2,"?ACTIVATED",IF(J5314&lt;&gt;"","?FAMILIAR",IF(F5314="NEW",IF(ISNA(VLOOKUP(E5314,#REF!,1,FALSE())),"?TYPE_IDENTIFIABLE","?REFERENTIAL"),"_")))))</f>
        <v> </v>
      </c>
      <c r="H5314" s="24" t="str">
        <f>IF(J5314&lt;&gt;1,"",IF(I5314="SBJ","CB","?"))</f>
        <v> </v>
      </c>
      <c r="I5314" s="25" t="str">
        <f>IF(OR(E5314="",E5314="!!!",F5314="NEW"),"",INDEX(B5313:B$2,-1+SUMPRODUCT(MAX(ROW(E5313:E$2)*(E5314=E5313:E$2)))))</f>
        <v> </v>
      </c>
      <c r="J5314" s="25" t="str">
        <f>IF(OR(E5314="",E5314="!!!",F5314="NEW"),"",COUNTBLANK(OFFSET(A$1,,,SUMPRODUCT(MAX(ROW(E$2:E5314)*(E5314=E$2:E5314)))))-COUNTBLANK(OFFSET(A$1,,,SUMPRODUCT(MAX(ROW(E$1:E5313)*(E2=E$1:E5313))))))</f>
        <v> </v>
      </c>
      <c r="K5314" s="25" t="str">
        <f>IF(OR(E5314="",E5314="!!!",F5314="NEW"),"",INDEX(J$1:J5313,SUMPRODUCT(MAX(ROW(E$1:E5313)*(E5314=E$1:E5313)))))</f>
        <v> </v>
      </c>
      <c r="L5314" s="26"/>
    </row>
    <row r="5315" spans="1:12">
      <c r="A5315" s="20" t="s">
        <v>1223</v>
      </c>
      <c r="E5315" s="21">
        <f>IF(D5315="?OLD","!!!","")</f>
        <v/>
      </c>
      <c r="F5315" s="22" t="str">
        <f>IF(OR(E5315="",E5315="!!!"),"",IF(NOT(ISNA(VLOOKUP(E5315,E$1:E5314,1,FALSE()))),"OLD",IF(AND(E5315&lt;&gt;"",E5315&lt;&gt;"!!!"),"NEW","")))</f>
        <v> </v>
      </c>
      <c r="G5315" s="23" t="str">
        <f>IF(OR(E5315="",E5315="!!!"),"",IF(OR(J5315=0,AND(J5315=1,K5315=1),AND(J5315=1,I5315="SBJ"),AND(J5315=1,I5315=0)),"?IN_FOCUS",IF(J5315&lt;=2,"?ACTIVATED",IF(J5315&lt;&gt;"","?FAMILIAR",IF(F5315="NEW",IF(ISNA(VLOOKUP(E5315,#REF!,1,FALSE())),"?TYPE_IDENTIFIABLE","?REFERENTIAL"),"_")))))</f>
        <v> </v>
      </c>
      <c r="H5315" s="24" t="str">
        <f>IF(J5315&lt;&gt;1,"",IF(I5315="SBJ","CB","?"))</f>
        <v> </v>
      </c>
      <c r="I5315" s="25" t="str">
        <f>IF(OR(E5315="",E5315="!!!",F5315="NEW"),"",INDEX(B5314:B$2,-1+SUMPRODUCT(MAX(ROW(E5314:E$2)*(E5315=E5314:E$2)))))</f>
        <v> </v>
      </c>
      <c r="J5315" s="25" t="str">
        <f>IF(OR(E5315="",E5315="!!!",F5315="NEW"),"",COUNTBLANK(OFFSET(A$1,,,SUMPRODUCT(MAX(ROW(E$2:E5315)*(E5315=E$2:E5315)))))-COUNTBLANK(OFFSET(A$1,,,SUMPRODUCT(MAX(ROW(E$1:E5314)*(E2=E$1:E5314))))))</f>
        <v> </v>
      </c>
      <c r="K5315" s="25" t="str">
        <f>IF(OR(E5315="",E5315="!!!",F5315="NEW"),"",INDEX(J$1:J5314,SUMPRODUCT(MAX(ROW(E$1:E5314)*(E5315=E$1:E5314)))))</f>
        <v> </v>
      </c>
      <c r="L5315" s="26"/>
    </row>
    <row r="5316" spans="1:12">
      <c r="A5316" s="20" t="s">
        <v>2519</v>
      </c>
      <c r="B5316" s="27" t="s">
        <v>1067</v>
      </c>
      <c r="C5316" s="27" t="s">
        <v>1134</v>
      </c>
      <c r="D5316" s="27" t="s">
        <v>1069</v>
      </c>
      <c r="E5316" s="21">
        <f>IF(D5316="?OLD","!!!","")</f>
        <v/>
      </c>
      <c r="F5316" s="22" t="str">
        <f>IF(OR(E5316="",E5316="!!!"),"",IF(NOT(ISNA(VLOOKUP(E5316,E$1:E5315,1,FALSE()))),"OLD",IF(AND(E5316&lt;&gt;"",E5316&lt;&gt;"!!!"),"NEW","")))</f>
        <v> </v>
      </c>
      <c r="G5316" s="23" t="str">
        <f>IF(OR(E5316="",E5316="!!!"),"",IF(OR(J5316=0,AND(J5316=1,K5316=1),AND(J5316=1,I5316="SBJ"),AND(J5316=1,I5316=0)),"?IN_FOCUS",IF(J5316&lt;=2,"?ACTIVATED",IF(J5316&lt;&gt;"","?FAMILIAR",IF(F5316="NEW",IF(ISNA(VLOOKUP(E5316,#REF!,1,FALSE())),"?TYPE_IDENTIFIABLE","?REFERENTIAL"),"_")))))</f>
        <v> </v>
      </c>
      <c r="H5316" s="24" t="str">
        <f>IF(J5316&lt;&gt;1,"",IF(I5316="SBJ","CB","?"))</f>
        <v> </v>
      </c>
      <c r="I5316" s="25" t="str">
        <f>IF(OR(E5316="",E5316="!!!",F5316="NEW"),"",INDEX(B5315:B$2,-1+SUMPRODUCT(MAX(ROW(E5315:E$2)*(E5316=E5315:E$2)))))</f>
        <v> </v>
      </c>
      <c r="J5316" s="25" t="str">
        <f>IF(OR(E5316="",E5316="!!!",F5316="NEW"),"",COUNTBLANK(OFFSET(A$1,,,SUMPRODUCT(MAX(ROW(E$2:E5316)*(E5316=E$2:E5316)))))-COUNTBLANK(OFFSET(A$1,,,SUMPRODUCT(MAX(ROW(E$1:E5315)*(E2=E$1:E5315))))))</f>
        <v> </v>
      </c>
      <c r="K5316" s="25" t="str">
        <f>IF(OR(E5316="",E5316="!!!",F5316="NEW"),"",INDEX(J$1:J5315,SUMPRODUCT(MAX(ROW(E$1:E5315)*(E5316=E$1:E5315)))))</f>
        <v> </v>
      </c>
      <c r="L5316" s="26"/>
    </row>
    <row r="5317" spans="1:12">
      <c r="A5317" s="20" t="s">
        <v>2561</v>
      </c>
      <c r="E5317" s="21">
        <f>IF(D5317="?OLD","!!!","")</f>
        <v/>
      </c>
      <c r="F5317" s="22" t="str">
        <f>IF(OR(E5317="",E5317="!!!"),"",IF(NOT(ISNA(VLOOKUP(E5317,E$1:E5316,1,FALSE()))),"OLD",IF(AND(E5317&lt;&gt;"",E5317&lt;&gt;"!!!"),"NEW","")))</f>
        <v> </v>
      </c>
      <c r="G5317" s="23" t="str">
        <f>IF(OR(E5317="",E5317="!!!"),"",IF(OR(J5317=0,AND(J5317=1,K5317=1),AND(J5317=1,I5317="SBJ"),AND(J5317=1,I5317=0)),"?IN_FOCUS",IF(J5317&lt;=2,"?ACTIVATED",IF(J5317&lt;&gt;"","?FAMILIAR",IF(F5317="NEW",IF(ISNA(VLOOKUP(E5317,#REF!,1,FALSE())),"?TYPE_IDENTIFIABLE","?REFERENTIAL"),"_")))))</f>
        <v> </v>
      </c>
      <c r="H5317" s="24" t="str">
        <f>IF(J5317&lt;&gt;1,"",IF(I5317="SBJ","CB","?"))</f>
        <v> </v>
      </c>
      <c r="I5317" s="25" t="str">
        <f>IF(OR(E5317="",E5317="!!!",F5317="NEW"),"",INDEX(B5316:B$2,-1+SUMPRODUCT(MAX(ROW(E5316:E$2)*(E5317=E5316:E$2)))))</f>
        <v> </v>
      </c>
      <c r="J5317" s="25" t="str">
        <f>IF(OR(E5317="",E5317="!!!",F5317="NEW"),"",COUNTBLANK(OFFSET(A$1,,,SUMPRODUCT(MAX(ROW(E$2:E5317)*(E5317=E$2:E5317)))))-COUNTBLANK(OFFSET(A$1,,,SUMPRODUCT(MAX(ROW(E$1:E5316)*(E2=E$1:E5316))))))</f>
        <v> </v>
      </c>
      <c r="K5317" s="25" t="str">
        <f>IF(OR(E5317="",E5317="!!!",F5317="NEW"),"",INDEX(J$1:J5316,SUMPRODUCT(MAX(ROW(E$1:E5316)*(E5317=E$1:E5316)))))</f>
        <v> </v>
      </c>
      <c r="L5317" s="26"/>
    </row>
    <row r="5318" spans="1:12">
      <c r="A5318" s="20" t="s">
        <v>1100</v>
      </c>
      <c r="E5318" s="21">
        <f>IF(D5318="?OLD","!!!","")</f>
        <v/>
      </c>
      <c r="F5318" s="22" t="str">
        <f>IF(OR(E5318="",E5318="!!!"),"",IF(NOT(ISNA(VLOOKUP(E5318,E$1:E5317,1,FALSE()))),"OLD",IF(AND(E5318&lt;&gt;"",E5318&lt;&gt;"!!!"),"NEW","")))</f>
        <v> </v>
      </c>
      <c r="G5318" s="23" t="str">
        <f>IF(OR(E5318="",E5318="!!!"),"",IF(OR(J5318=0,AND(J5318=1,K5318=1),AND(J5318=1,I5318="SBJ"),AND(J5318=1,I5318=0)),"?IN_FOCUS",IF(J5318&lt;=2,"?ACTIVATED",IF(J5318&lt;&gt;"","?FAMILIAR",IF(F5318="NEW",IF(ISNA(VLOOKUP(E5318,#REF!,1,FALSE())),"?TYPE_IDENTIFIABLE","?REFERENTIAL"),"_")))))</f>
        <v> </v>
      </c>
      <c r="H5318" s="24" t="str">
        <f>IF(J5318&lt;&gt;1,"",IF(I5318="SBJ","CB","?"))</f>
        <v> </v>
      </c>
      <c r="I5318" s="25" t="str">
        <f>IF(OR(E5318="",E5318="!!!",F5318="NEW"),"",INDEX(B5317:B$2,-1+SUMPRODUCT(MAX(ROW(E5317:E$2)*(E5318=E5317:E$2)))))</f>
        <v> </v>
      </c>
      <c r="J5318" s="25" t="str">
        <f>IF(OR(E5318="",E5318="!!!",F5318="NEW"),"",COUNTBLANK(OFFSET(A$1,,,SUMPRODUCT(MAX(ROW(E$2:E5318)*(E5318=E$2:E5318)))))-COUNTBLANK(OFFSET(A$1,,,SUMPRODUCT(MAX(ROW(E$1:E5317)*(E2=E$1:E5317))))))</f>
        <v> </v>
      </c>
      <c r="K5318" s="25" t="str">
        <f>IF(OR(E5318="",E5318="!!!",F5318="NEW"),"",INDEX(J$1:J5317,SUMPRODUCT(MAX(ROW(E$1:E5317)*(E5318=E$1:E5317)))))</f>
        <v> </v>
      </c>
      <c r="L5318" s="26"/>
    </row>
    <row r="5319" spans="1:12">
      <c r="A5319" s="20" t="s">
        <v>1080</v>
      </c>
      <c r="E5319" s="21">
        <f>IF(D5319="?OLD","!!!","")</f>
        <v/>
      </c>
      <c r="F5319" s="22" t="str">
        <f>IF(OR(E5319="",E5319="!!!"),"",IF(NOT(ISNA(VLOOKUP(E5319,E$1:E5318,1,FALSE()))),"OLD",IF(AND(E5319&lt;&gt;"",E5319&lt;&gt;"!!!"),"NEW","")))</f>
        <v> </v>
      </c>
      <c r="G5319" s="23" t="str">
        <f>IF(OR(E5319="",E5319="!!!"),"",IF(OR(J5319=0,AND(J5319=1,K5319=1),AND(J5319=1,I5319="SBJ"),AND(J5319=1,I5319=0)),"?IN_FOCUS",IF(J5319&lt;=2,"?ACTIVATED",IF(J5319&lt;&gt;"","?FAMILIAR",IF(F5319="NEW",IF(ISNA(VLOOKUP(E5319,#REF!,1,FALSE())),"?TYPE_IDENTIFIABLE","?REFERENTIAL"),"_")))))</f>
        <v> </v>
      </c>
      <c r="H5319" s="24" t="str">
        <f>IF(J5319&lt;&gt;1,"",IF(I5319="SBJ","CB","?"))</f>
        <v> </v>
      </c>
      <c r="I5319" s="25" t="str">
        <f>IF(OR(E5319="",E5319="!!!",F5319="NEW"),"",INDEX(B5318:B$2,-1+SUMPRODUCT(MAX(ROW(E5318:E$2)*(E5319=E5318:E$2)))))</f>
        <v> </v>
      </c>
      <c r="J5319" s="25" t="str">
        <f>IF(OR(E5319="",E5319="!!!",F5319="NEW"),"",COUNTBLANK(OFFSET(A$1,,,SUMPRODUCT(MAX(ROW(E$2:E5319)*(E5319=E$2:E5319)))))-COUNTBLANK(OFFSET(A$1,,,SUMPRODUCT(MAX(ROW(E$1:E5318)*(E2=E$1:E5318))))))</f>
        <v> </v>
      </c>
      <c r="K5319" s="25" t="str">
        <f>IF(OR(E5319="",E5319="!!!",F5319="NEW"),"",INDEX(J$1:J5318,SUMPRODUCT(MAX(ROW(E$1:E5318)*(E5319=E$1:E5318)))))</f>
        <v> </v>
      </c>
      <c r="L5319" s="26"/>
    </row>
    <row r="5320" spans="1:12">
      <c r="A5320" s="20"/>
    </row>
    <row r="5321" spans="1:12">
      <c r="A5321" s="20" t="s">
        <v>1309</v>
      </c>
      <c r="E5321" s="21">
        <f>IF(D5321="?OLD","!!!","")</f>
        <v/>
      </c>
      <c r="F5321" s="22" t="str">
        <f>IF(OR(E5321="",E5321="!!!"),"",IF(NOT(ISNA(VLOOKUP(E5321,E$1:E5320,1,FALSE()))),"OLD",IF(AND(E5321&lt;&gt;"",E5321&lt;&gt;"!!!"),"NEW","")))</f>
        <v> </v>
      </c>
      <c r="G5321" s="23" t="str">
        <f>IF(OR(E5321="",E5321="!!!"),"",IF(OR(J5321=0,AND(J5321=1,K5321=1),AND(J5321=1,I5321="SBJ"),AND(J5321=1,I5321=0)),"?IN_FOCUS",IF(J5321&lt;=2,"?ACTIVATED",IF(J5321&lt;&gt;"","?FAMILIAR",IF(F5321="NEW",IF(ISNA(VLOOKUP(E5321,#REF!,1,FALSE())),"?TYPE_IDENTIFIABLE","?REFERENTIAL"),"_")))))</f>
        <v> </v>
      </c>
      <c r="H5321" s="24" t="str">
        <f>IF(J5321&lt;&gt;1,"",IF(I5321="SBJ","CB","?"))</f>
        <v> </v>
      </c>
      <c r="I5321" s="25" t="str">
        <f>IF(OR(E5321="",E5321="!!!",F5321="NEW"),"",INDEX(B5320:B$2,-1+SUMPRODUCT(MAX(ROW(E5320:E$2)*(E5321=E5320:E$2)))))</f>
        <v> </v>
      </c>
      <c r="J5321" s="25" t="str">
        <f>IF(OR(E5321="",E5321="!!!",F5321="NEW"),"",COUNTBLANK(OFFSET(A$1,,,SUMPRODUCT(MAX(ROW(E$2:E5321)*(E5321=E$2:E5321)))))-COUNTBLANK(OFFSET(A$1,,,SUMPRODUCT(MAX(ROW(E$1:E5320)*(E2=E$1:E5320))))))</f>
        <v> </v>
      </c>
      <c r="K5321" s="25" t="str">
        <f>IF(OR(E5321="",E5321="!!!",F5321="NEW"),"",INDEX(J$1:J5320,SUMPRODUCT(MAX(ROW(E$1:E5320)*(E5321=E$1:E5320)))))</f>
        <v> </v>
      </c>
      <c r="L5321" s="26"/>
    </row>
    <row r="5322" spans="1:12">
      <c r="A5322" s="20" t="s">
        <v>2562</v>
      </c>
    </row>
    <row r="5323" spans="1:12">
      <c r="A5323" s="20" t="s">
        <v>2563</v>
      </c>
      <c r="E5323" s="21">
        <f>IF(D5323="?OLD","!!!","")</f>
        <v/>
      </c>
      <c r="F5323" s="22" t="str">
        <f>IF(OR(E5323="",E5323="!!!"),"",IF(NOT(ISNA(VLOOKUP(E5323,E$1:E5322,1,FALSE()))),"OLD",IF(AND(E5323&lt;&gt;"",E5323&lt;&gt;"!!!"),"NEW","")))</f>
        <v> </v>
      </c>
      <c r="G5323" s="23" t="str">
        <f>IF(OR(E5323="",E5323="!!!"),"",IF(OR(J5323=0,AND(J5323=1,K5323=1),AND(J5323=1,I5323="SBJ"),AND(J5323=1,I5323=0)),"?IN_FOCUS",IF(J5323&lt;=2,"?ACTIVATED",IF(J5323&lt;&gt;"","?FAMILIAR",IF(F5323="NEW",IF(ISNA(VLOOKUP(E5323,#REF!,1,FALSE())),"?TYPE_IDENTIFIABLE","?REFERENTIAL"),"_")))))</f>
        <v> </v>
      </c>
      <c r="H5323" s="24" t="str">
        <f>IF(J5323&lt;&gt;1,"",IF(I5323="SBJ","CB","?"))</f>
        <v> </v>
      </c>
      <c r="I5323" s="25" t="str">
        <f>IF(OR(E5323="",E5323="!!!",F5323="NEW"),"",INDEX(B5322:B$2,-1+SUMPRODUCT(MAX(ROW(E5322:E$2)*(E5323=E5322:E$2)))))</f>
        <v> </v>
      </c>
      <c r="J5323" s="25" t="str">
        <f>IF(OR(E5323="",E5323="!!!",F5323="NEW"),"",COUNTBLANK(OFFSET(A$1,,,SUMPRODUCT(MAX(ROW(E$2:E5323)*(E5323=E$2:E5323)))))-COUNTBLANK(OFFSET(A$1,,,SUMPRODUCT(MAX(ROW(E$1:E5322)*(E2=E$1:E5322))))))</f>
        <v> </v>
      </c>
      <c r="K5323" s="25" t="str">
        <f>IF(OR(E5323="",E5323="!!!",F5323="NEW"),"",INDEX(J$1:J5322,SUMPRODUCT(MAX(ROW(E$1:E5322)*(E5323=E$1:E5322)))))</f>
        <v> </v>
      </c>
      <c r="L5323" s="26"/>
    </row>
    <row r="5324" spans="1:12">
      <c r="A5324" s="20" t="s">
        <v>1253</v>
      </c>
      <c r="E5324" s="21">
        <f>IF(D5324="?OLD","!!!","")</f>
        <v/>
      </c>
      <c r="F5324" s="22" t="str">
        <f>IF(OR(E5324="",E5324="!!!"),"",IF(NOT(ISNA(VLOOKUP(E5324,E$1:E5323,1,FALSE()))),"OLD",IF(AND(E5324&lt;&gt;"",E5324&lt;&gt;"!!!"),"NEW","")))</f>
        <v> </v>
      </c>
      <c r="G5324" s="23" t="str">
        <f>IF(OR(E5324="",E5324="!!!"),"",IF(OR(J5324=0,AND(J5324=1,K5324=1),AND(J5324=1,I5324="SBJ"),AND(J5324=1,I5324=0)),"?IN_FOCUS",IF(J5324&lt;=2,"?ACTIVATED",IF(J5324&lt;&gt;"","?FAMILIAR",IF(F5324="NEW",IF(ISNA(VLOOKUP(E5324,#REF!,1,FALSE())),"?TYPE_IDENTIFIABLE","?REFERENTIAL"),"_")))))</f>
        <v> </v>
      </c>
      <c r="H5324" s="24" t="str">
        <f>IF(J5324&lt;&gt;1,"",IF(I5324="SBJ","CB","?"))</f>
        <v> </v>
      </c>
      <c r="I5324" s="25" t="str">
        <f>IF(OR(E5324="",E5324="!!!",F5324="NEW"),"",INDEX(B5323:B$2,-1+SUMPRODUCT(MAX(ROW(E5323:E$2)*(E5324=E5323:E$2)))))</f>
        <v> </v>
      </c>
      <c r="J5324" s="25" t="str">
        <f>IF(OR(E5324="",E5324="!!!",F5324="NEW"),"",COUNTBLANK(OFFSET(A$1,,,SUMPRODUCT(MAX(ROW(E$2:E5324)*(E5324=E$2:E5324)))))-COUNTBLANK(OFFSET(A$1,,,SUMPRODUCT(MAX(ROW(E$1:E5323)*(E2=E$1:E5323))))))</f>
        <v> </v>
      </c>
      <c r="K5324" s="25" t="str">
        <f>IF(OR(E5324="",E5324="!!!",F5324="NEW"),"",INDEX(J$1:J5323,SUMPRODUCT(MAX(ROW(E$1:E5323)*(E5324=E$1:E5323)))))</f>
        <v> </v>
      </c>
      <c r="L5324" s="26"/>
    </row>
    <row r="5325" spans="1:12">
      <c r="A5325" s="20" t="s">
        <v>2564</v>
      </c>
      <c r="B5325" s="27" t="s">
        <v>1067</v>
      </c>
      <c r="C5325" s="27" t="s">
        <v>1171</v>
      </c>
      <c r="E5325" s="21">
        <f>IF(D5325="?OLD","!!!","")</f>
        <v/>
      </c>
      <c r="F5325" s="22" t="str">
        <f>IF(OR(E5325="",E5325="!!!"),"",IF(NOT(ISNA(VLOOKUP(E5325,E$1:E5324,1,FALSE()))),"OLD",IF(AND(E5325&lt;&gt;"",E5325&lt;&gt;"!!!"),"NEW","")))</f>
        <v> </v>
      </c>
      <c r="G5325" s="23" t="str">
        <f>IF(OR(E5325="",E5325="!!!"),"",IF(OR(J5325=0,AND(J5325=1,K5325=1),AND(J5325=1,I5325="SBJ"),AND(J5325=1,I5325=0)),"?IN_FOCUS",IF(J5325&lt;=2,"?ACTIVATED",IF(J5325&lt;&gt;"","?FAMILIAR",IF(F5325="NEW",IF(ISNA(VLOOKUP(E5325,#REF!,1,FALSE())),"?TYPE_IDENTIFIABLE","?REFERENTIAL"),"_")))))</f>
        <v> </v>
      </c>
      <c r="H5325" s="24" t="str">
        <f>IF(J5325&lt;&gt;1,"",IF(I5325="SBJ","CB","?"))</f>
        <v> </v>
      </c>
      <c r="I5325" s="25" t="str">
        <f>IF(OR(E5325="",E5325="!!!",F5325="NEW"),"",INDEX(B5324:B$2,-1+SUMPRODUCT(MAX(ROW(E5324:E$2)*(E5325=E5324:E$2)))))</f>
        <v> </v>
      </c>
      <c r="J5325" s="25" t="str">
        <f>IF(OR(E5325="",E5325="!!!",F5325="NEW"),"",COUNTBLANK(OFFSET(A$1,,,SUMPRODUCT(MAX(ROW(E$2:E5325)*(E5325=E$2:E5325)))))-COUNTBLANK(OFFSET(A$1,,,SUMPRODUCT(MAX(ROW(E$1:E5324)*(E2=E$1:E5324))))))</f>
        <v> </v>
      </c>
      <c r="K5325" s="25" t="str">
        <f>IF(OR(E5325="",E5325="!!!",F5325="NEW"),"",INDEX(J$1:J5324,SUMPRODUCT(MAX(ROW(E$1:E5324)*(E5325=E$1:E5324)))))</f>
        <v> </v>
      </c>
      <c r="L5325" s="26"/>
    </row>
    <row r="5326" spans="1:12">
      <c r="A5326" s="20" t="s">
        <v>1191</v>
      </c>
      <c r="E5326" s="21">
        <f>IF(D5326="?OLD","!!!","")</f>
        <v/>
      </c>
      <c r="F5326" s="22" t="str">
        <f>IF(OR(E5326="",E5326="!!!"),"",IF(NOT(ISNA(VLOOKUP(E5326,E$1:E5325,1,FALSE()))),"OLD",IF(AND(E5326&lt;&gt;"",E5326&lt;&gt;"!!!"),"NEW","")))</f>
        <v> </v>
      </c>
      <c r="G5326" s="23" t="str">
        <f>IF(OR(E5326="",E5326="!!!"),"",IF(OR(J5326=0,AND(J5326=1,K5326=1),AND(J5326=1,I5326="SBJ"),AND(J5326=1,I5326=0)),"?IN_FOCUS",IF(J5326&lt;=2,"?ACTIVATED",IF(J5326&lt;&gt;"","?FAMILIAR",IF(F5326="NEW",IF(ISNA(VLOOKUP(E5326,#REF!,1,FALSE())),"?TYPE_IDENTIFIABLE","?REFERENTIAL"),"_")))))</f>
        <v> </v>
      </c>
      <c r="H5326" s="24" t="str">
        <f>IF(J5326&lt;&gt;1,"",IF(I5326="SBJ","CB","?"))</f>
        <v> </v>
      </c>
      <c r="I5326" s="25" t="str">
        <f>IF(OR(E5326="",E5326="!!!",F5326="NEW"),"",INDEX(B5325:B$2,-1+SUMPRODUCT(MAX(ROW(E5325:E$2)*(E5326=E5325:E$2)))))</f>
        <v> </v>
      </c>
      <c r="J5326" s="25" t="str">
        <f>IF(OR(E5326="",E5326="!!!",F5326="NEW"),"",COUNTBLANK(OFFSET(A$1,,,SUMPRODUCT(MAX(ROW(E$2:E5326)*(E5326=E$2:E5326)))))-COUNTBLANK(OFFSET(A$1,,,SUMPRODUCT(MAX(ROW(E$1:E5325)*(E2=E$1:E5325))))))</f>
        <v> </v>
      </c>
      <c r="K5326" s="25" t="str">
        <f>IF(OR(E5326="",E5326="!!!",F5326="NEW"),"",INDEX(J$1:J5325,SUMPRODUCT(MAX(ROW(E$1:E5325)*(E5326=E$1:E5325)))))</f>
        <v> </v>
      </c>
      <c r="L5326" s="26"/>
    </row>
    <row r="5327" spans="1:12">
      <c r="A5327" s="20" t="s">
        <v>1539</v>
      </c>
      <c r="E5327" s="21">
        <f>IF(D5327="?OLD","!!!","")</f>
        <v/>
      </c>
      <c r="F5327" s="22" t="str">
        <f>IF(OR(E5327="",E5327="!!!"),"",IF(NOT(ISNA(VLOOKUP(E5327,E$1:E5326,1,FALSE()))),"OLD",IF(AND(E5327&lt;&gt;"",E5327&lt;&gt;"!!!"),"NEW","")))</f>
        <v> </v>
      </c>
      <c r="G5327" s="23" t="str">
        <f>IF(OR(E5327="",E5327="!!!"),"",IF(OR(J5327=0,AND(J5327=1,K5327=1),AND(J5327=1,I5327="SBJ"),AND(J5327=1,I5327=0)),"?IN_FOCUS",IF(J5327&lt;=2,"?ACTIVATED",IF(J5327&lt;&gt;"","?FAMILIAR",IF(F5327="NEW",IF(ISNA(VLOOKUP(E5327,#REF!,1,FALSE())),"?TYPE_IDENTIFIABLE","?REFERENTIAL"),"_")))))</f>
        <v> </v>
      </c>
      <c r="H5327" s="24" t="str">
        <f>IF(J5327&lt;&gt;1,"",IF(I5327="SBJ","CB","?"))</f>
        <v> </v>
      </c>
      <c r="I5327" s="25" t="str">
        <f>IF(OR(E5327="",E5327="!!!",F5327="NEW"),"",INDEX(B5326:B$2,-1+SUMPRODUCT(MAX(ROW(E5326:E$2)*(E5327=E5326:E$2)))))</f>
        <v> </v>
      </c>
      <c r="J5327" s="25" t="str">
        <f>IF(OR(E5327="",E5327="!!!",F5327="NEW"),"",COUNTBLANK(OFFSET(A$1,,,SUMPRODUCT(MAX(ROW(E$2:E5327)*(E5327=E$2:E5327)))))-COUNTBLANK(OFFSET(A$1,,,SUMPRODUCT(MAX(ROW(E$1:E5326)*(E2=E$1:E5326))))))</f>
        <v> </v>
      </c>
      <c r="K5327" s="25" t="str">
        <f>IF(OR(E5327="",E5327="!!!",F5327="NEW"),"",INDEX(J$1:J5326,SUMPRODUCT(MAX(ROW(E$1:E5326)*(E5327=E$1:E5326)))))</f>
        <v> </v>
      </c>
      <c r="L5327" s="26"/>
    </row>
    <row r="5328" spans="1:12">
      <c r="A5328" s="20" t="s">
        <v>1317</v>
      </c>
      <c r="E5328" s="21">
        <f>IF(D5328="?OLD","!!!","")</f>
        <v/>
      </c>
      <c r="F5328" s="22" t="str">
        <f>IF(OR(E5328="",E5328="!!!"),"",IF(NOT(ISNA(VLOOKUP(E5328,E$1:E5327,1,FALSE()))),"OLD",IF(AND(E5328&lt;&gt;"",E5328&lt;&gt;"!!!"),"NEW","")))</f>
        <v> </v>
      </c>
      <c r="G5328" s="23" t="str">
        <f>IF(OR(E5328="",E5328="!!!"),"",IF(OR(J5328=0,AND(J5328=1,K5328=1),AND(J5328=1,I5328="SBJ"),AND(J5328=1,I5328=0)),"?IN_FOCUS",IF(J5328&lt;=2,"?ACTIVATED",IF(J5328&lt;&gt;"","?FAMILIAR",IF(F5328="NEW",IF(ISNA(VLOOKUP(E5328,#REF!,1,FALSE())),"?TYPE_IDENTIFIABLE","?REFERENTIAL"),"_")))))</f>
        <v> </v>
      </c>
      <c r="H5328" s="24" t="str">
        <f>IF(J5328&lt;&gt;1,"",IF(I5328="SBJ","CB","?"))</f>
        <v> </v>
      </c>
      <c r="I5328" s="25" t="str">
        <f>IF(OR(E5328="",E5328="!!!",F5328="NEW"),"",INDEX(B5327:B$2,-1+SUMPRODUCT(MAX(ROW(E5327:E$2)*(E5328=E5327:E$2)))))</f>
        <v> </v>
      </c>
      <c r="J5328" s="25" t="str">
        <f>IF(OR(E5328="",E5328="!!!",F5328="NEW"),"",COUNTBLANK(OFFSET(A$1,,,SUMPRODUCT(MAX(ROW(E$2:E5328)*(E5328=E$2:E5328)))))-COUNTBLANK(OFFSET(A$1,,,SUMPRODUCT(MAX(ROW(E$1:E5327)*(E2=E$1:E5327))))))</f>
        <v> </v>
      </c>
      <c r="K5328" s="25" t="str">
        <f>IF(OR(E5328="",E5328="!!!",F5328="NEW"),"",INDEX(J$1:J5327,SUMPRODUCT(MAX(ROW(E$1:E5327)*(E5328=E$1:E5327)))))</f>
        <v> </v>
      </c>
      <c r="L5328" s="26"/>
    </row>
    <row r="5329" spans="1:12">
      <c r="A5329" s="20" t="s">
        <v>1318</v>
      </c>
      <c r="E5329" s="21">
        <f>IF(D5329="?OLD","!!!","")</f>
        <v/>
      </c>
      <c r="F5329" s="22" t="str">
        <f>IF(OR(E5329="",E5329="!!!"),"",IF(NOT(ISNA(VLOOKUP(E5329,E$1:E5328,1,FALSE()))),"OLD",IF(AND(E5329&lt;&gt;"",E5329&lt;&gt;"!!!"),"NEW","")))</f>
        <v> </v>
      </c>
      <c r="G5329" s="23" t="str">
        <f>IF(OR(E5329="",E5329="!!!"),"",IF(OR(J5329=0,AND(J5329=1,K5329=1),AND(J5329=1,I5329="SBJ"),AND(J5329=1,I5329=0)),"?IN_FOCUS",IF(J5329&lt;=2,"?ACTIVATED",IF(J5329&lt;&gt;"","?FAMILIAR",IF(F5329="NEW",IF(ISNA(VLOOKUP(E5329,#REF!,1,FALSE())),"?TYPE_IDENTIFIABLE","?REFERENTIAL"),"_")))))</f>
        <v> </v>
      </c>
      <c r="H5329" s="24" t="str">
        <f>IF(J5329&lt;&gt;1,"",IF(I5329="SBJ","CB","?"))</f>
        <v> </v>
      </c>
      <c r="I5329" s="25" t="str">
        <f>IF(OR(E5329="",E5329="!!!",F5329="NEW"),"",INDEX(B5328:B$2,-1+SUMPRODUCT(MAX(ROW(E5328:E$2)*(E5329=E5328:E$2)))))</f>
        <v> </v>
      </c>
      <c r="J5329" s="25" t="str">
        <f>IF(OR(E5329="",E5329="!!!",F5329="NEW"),"",COUNTBLANK(OFFSET(A$1,,,SUMPRODUCT(MAX(ROW(E$2:E5329)*(E5329=E$2:E5329)))))-COUNTBLANK(OFFSET(A$1,,,SUMPRODUCT(MAX(ROW(E$1:E5328)*(E2=E$1:E5328))))))</f>
        <v> </v>
      </c>
      <c r="K5329" s="25" t="str">
        <f>IF(OR(E5329="",E5329="!!!",F5329="NEW"),"",INDEX(J$1:J5328,SUMPRODUCT(MAX(ROW(E$1:E5328)*(E5329=E$1:E5328)))))</f>
        <v> </v>
      </c>
      <c r="L5329" s="26"/>
    </row>
    <row r="5330" spans="1:12">
      <c r="A5330" s="20" t="s">
        <v>2565</v>
      </c>
      <c r="B5330" s="27" t="s">
        <v>1090</v>
      </c>
      <c r="C5330" s="27" t="s">
        <v>1733</v>
      </c>
      <c r="E5330" s="21">
        <f>IF(D5330="?OLD","!!!","")</f>
        <v/>
      </c>
      <c r="F5330" s="22" t="str">
        <f>IF(OR(E5330="",E5330="!!!"),"",IF(NOT(ISNA(VLOOKUP(E5330,E$1:E5329,1,FALSE()))),"OLD",IF(AND(E5330&lt;&gt;"",E5330&lt;&gt;"!!!"),"NEW","")))</f>
        <v> </v>
      </c>
      <c r="G5330" s="23" t="str">
        <f>IF(OR(E5330="",E5330="!!!"),"",IF(OR(J5330=0,AND(J5330=1,K5330=1),AND(J5330=1,I5330="SBJ"),AND(J5330=1,I5330=0)),"?IN_FOCUS",IF(J5330&lt;=2,"?ACTIVATED",IF(J5330&lt;&gt;"","?FAMILIAR",IF(F5330="NEW",IF(ISNA(VLOOKUP(E5330,#REF!,1,FALSE())),"?TYPE_IDENTIFIABLE","?REFERENTIAL"),"_")))))</f>
        <v> </v>
      </c>
      <c r="H5330" s="24" t="str">
        <f>IF(J5330&lt;&gt;1,"",IF(I5330="SBJ","CB","?"))</f>
        <v> </v>
      </c>
      <c r="I5330" s="25" t="str">
        <f>IF(OR(E5330="",E5330="!!!",F5330="NEW"),"",INDEX(B5329:B$2,-1+SUMPRODUCT(MAX(ROW(E5329:E$2)*(E5330=E5329:E$2)))))</f>
        <v> </v>
      </c>
      <c r="J5330" s="25" t="str">
        <f>IF(OR(E5330="",E5330="!!!",F5330="NEW"),"",COUNTBLANK(OFFSET(A$1,,,SUMPRODUCT(MAX(ROW(E$2:E5330)*(E5330=E$2:E5330)))))-COUNTBLANK(OFFSET(A$1,,,SUMPRODUCT(MAX(ROW(E$1:E5329)*(E2=E$1:E5329))))))</f>
        <v> </v>
      </c>
      <c r="K5330" s="25" t="str">
        <f>IF(OR(E5330="",E5330="!!!",F5330="NEW"),"",INDEX(J$1:J5329,SUMPRODUCT(MAX(ROW(E$1:E5329)*(E5330=E$1:E5329)))))</f>
        <v> </v>
      </c>
      <c r="L5330" s="26"/>
    </row>
    <row r="5331" spans="1:12">
      <c r="A5331" s="20" t="s">
        <v>1184</v>
      </c>
      <c r="E5331" s="21">
        <f>IF(D5331="?OLD","!!!","")</f>
        <v/>
      </c>
      <c r="F5331" s="22" t="str">
        <f>IF(OR(E5331="",E5331="!!!"),"",IF(NOT(ISNA(VLOOKUP(E5331,E$1:E5330,1,FALSE()))),"OLD",IF(AND(E5331&lt;&gt;"",E5331&lt;&gt;"!!!"),"NEW","")))</f>
        <v> </v>
      </c>
      <c r="G5331" s="23" t="str">
        <f>IF(OR(E5331="",E5331="!!!"),"",IF(OR(J5331=0,AND(J5331=1,K5331=1),AND(J5331=1,I5331="SBJ"),AND(J5331=1,I5331=0)),"?IN_FOCUS",IF(J5331&lt;=2,"?ACTIVATED",IF(J5331&lt;&gt;"","?FAMILIAR",IF(F5331="NEW",IF(ISNA(VLOOKUP(E5331,#REF!,1,FALSE())),"?TYPE_IDENTIFIABLE","?REFERENTIAL"),"_")))))</f>
        <v> </v>
      </c>
      <c r="H5331" s="24" t="str">
        <f>IF(J5331&lt;&gt;1,"",IF(I5331="SBJ","CB","?"))</f>
        <v> </v>
      </c>
      <c r="I5331" s="25" t="str">
        <f>IF(OR(E5331="",E5331="!!!",F5331="NEW"),"",INDEX(B5330:B$2,-1+SUMPRODUCT(MAX(ROW(E5330:E$2)*(E5331=E5330:E$2)))))</f>
        <v> </v>
      </c>
      <c r="J5331" s="25" t="str">
        <f>IF(OR(E5331="",E5331="!!!",F5331="NEW"),"",COUNTBLANK(OFFSET(A$1,,,SUMPRODUCT(MAX(ROW(E$2:E5331)*(E5331=E$2:E5331)))))-COUNTBLANK(OFFSET(A$1,,,SUMPRODUCT(MAX(ROW(E$1:E5330)*(E2=E$1:E5330))))))</f>
        <v> </v>
      </c>
      <c r="K5331" s="25" t="str">
        <f>IF(OR(E5331="",E5331="!!!",F5331="NEW"),"",INDEX(J$1:J5330,SUMPRODUCT(MAX(ROW(E$1:E5330)*(E5331=E$1:E5330)))))</f>
        <v> </v>
      </c>
      <c r="L5331" s="26"/>
    </row>
    <row r="5332" spans="1:12">
      <c r="A5332" s="20" t="s">
        <v>1104</v>
      </c>
      <c r="E5332" s="21">
        <f>IF(D5332="?OLD","!!!","")</f>
        <v/>
      </c>
      <c r="F5332" s="22" t="str">
        <f>IF(OR(E5332="",E5332="!!!"),"",IF(NOT(ISNA(VLOOKUP(E5332,E$1:E5331,1,FALSE()))),"OLD",IF(AND(E5332&lt;&gt;"",E5332&lt;&gt;"!!!"),"NEW","")))</f>
        <v> </v>
      </c>
      <c r="G5332" s="23" t="str">
        <f>IF(OR(E5332="",E5332="!!!"),"",IF(OR(J5332=0,AND(J5332=1,K5332=1),AND(J5332=1,I5332="SBJ"),AND(J5332=1,I5332=0)),"?IN_FOCUS",IF(J5332&lt;=2,"?ACTIVATED",IF(J5332&lt;&gt;"","?FAMILIAR",IF(F5332="NEW",IF(ISNA(VLOOKUP(E5332,#REF!,1,FALSE())),"?TYPE_IDENTIFIABLE","?REFERENTIAL"),"_")))))</f>
        <v> </v>
      </c>
      <c r="H5332" s="24" t="str">
        <f>IF(J5332&lt;&gt;1,"",IF(I5332="SBJ","CB","?"))</f>
        <v> </v>
      </c>
      <c r="I5332" s="25" t="str">
        <f>IF(OR(E5332="",E5332="!!!",F5332="NEW"),"",INDEX(B5331:B$2,-1+SUMPRODUCT(MAX(ROW(E5331:E$2)*(E5332=E5331:E$2)))))</f>
        <v> </v>
      </c>
      <c r="J5332" s="25" t="str">
        <f>IF(OR(E5332="",E5332="!!!",F5332="NEW"),"",COUNTBLANK(OFFSET(A$1,,,SUMPRODUCT(MAX(ROW(E$2:E5332)*(E5332=E$2:E5332)))))-COUNTBLANK(OFFSET(A$1,,,SUMPRODUCT(MAX(ROW(E$1:E5331)*(E2=E$1:E5331))))))</f>
        <v> </v>
      </c>
      <c r="K5332" s="25" t="str">
        <f>IF(OR(E5332="",E5332="!!!",F5332="NEW"),"",INDEX(J$1:J5331,SUMPRODUCT(MAX(ROW(E$1:E5331)*(E5332=E$1:E5331)))))</f>
        <v> </v>
      </c>
      <c r="L5332" s="26"/>
    </row>
    <row r="5333" spans="1:12">
      <c r="A5333" s="20" t="s">
        <v>1039</v>
      </c>
      <c r="B5333" s="27" t="s">
        <v>1095</v>
      </c>
      <c r="C5333" s="27" t="s">
        <v>1086</v>
      </c>
      <c r="D5333" s="27" t="s">
        <v>1069</v>
      </c>
      <c r="E5333" s="21">
        <f>IF(D5333="?OLD","!!!","")</f>
        <v/>
      </c>
      <c r="F5333" s="22" t="str">
        <f>IF(OR(E5333="",E5333="!!!"),"",IF(NOT(ISNA(VLOOKUP(E5333,E$1:E5332,1,FALSE()))),"OLD",IF(AND(E5333&lt;&gt;"",E5333&lt;&gt;"!!!"),"NEW","")))</f>
        <v> </v>
      </c>
      <c r="G5333" s="23" t="str">
        <f>IF(OR(E5333="",E5333="!!!"),"",IF(OR(J5333=0,AND(J5333=1,K5333=1),AND(J5333=1,I5333="SBJ"),AND(J5333=1,I5333=0)),"?IN_FOCUS",IF(J5333&lt;=2,"?ACTIVATED",IF(J5333&lt;&gt;"","?FAMILIAR",IF(F5333="NEW",IF(ISNA(VLOOKUP(E5333,#REF!,1,FALSE())),"?TYPE_IDENTIFIABLE","?REFERENTIAL"),"_")))))</f>
        <v> </v>
      </c>
      <c r="H5333" s="24" t="str">
        <f>IF(J5333&lt;&gt;1,"",IF(I5333="SBJ","CB","?"))</f>
        <v> </v>
      </c>
      <c r="I5333" s="25" t="str">
        <f>IF(OR(E5333="",E5333="!!!",F5333="NEW"),"",INDEX(B5332:B$2,-1+SUMPRODUCT(MAX(ROW(E5332:E$2)*(E5333=E5332:E$2)))))</f>
        <v> </v>
      </c>
      <c r="J5333" s="25" t="str">
        <f>IF(OR(E5333="",E5333="!!!",F5333="NEW"),"",COUNTBLANK(OFFSET(A$1,,,SUMPRODUCT(MAX(ROW(E$2:E5333)*(E5333=E$2:E5333)))))-COUNTBLANK(OFFSET(A$1,,,SUMPRODUCT(MAX(ROW(E$1:E5332)*(E2=E$1:E5332))))))</f>
        <v> </v>
      </c>
      <c r="K5333" s="25" t="str">
        <f>IF(OR(E5333="",E5333="!!!",F5333="NEW"),"",INDEX(J$1:J5332,SUMPRODUCT(MAX(ROW(E$1:E5332)*(E5333=E$1:E5332)))))</f>
        <v> </v>
      </c>
      <c r="L5333" s="26"/>
    </row>
    <row r="5334" spans="1:12">
      <c r="A5334" s="20" t="s">
        <v>1155</v>
      </c>
      <c r="E5334" s="21">
        <f>IF(D5334="?OLD","!!!","")</f>
        <v/>
      </c>
      <c r="F5334" s="22" t="str">
        <f>IF(OR(E5334="",E5334="!!!"),"",IF(NOT(ISNA(VLOOKUP(E5334,E$1:E5333,1,FALSE()))),"OLD",IF(AND(E5334&lt;&gt;"",E5334&lt;&gt;"!!!"),"NEW","")))</f>
        <v> </v>
      </c>
      <c r="G5334" s="23" t="str">
        <f>IF(OR(E5334="",E5334="!!!"),"",IF(OR(J5334=0,AND(J5334=1,K5334=1),AND(J5334=1,I5334="SBJ"),AND(J5334=1,I5334=0)),"?IN_FOCUS",IF(J5334&lt;=2,"?ACTIVATED",IF(J5334&lt;&gt;"","?FAMILIAR",IF(F5334="NEW",IF(ISNA(VLOOKUP(E5334,#REF!,1,FALSE())),"?TYPE_IDENTIFIABLE","?REFERENTIAL"),"_")))))</f>
        <v> </v>
      </c>
      <c r="H5334" s="24" t="str">
        <f>IF(J5334&lt;&gt;1,"",IF(I5334="SBJ","CB","?"))</f>
        <v> </v>
      </c>
      <c r="I5334" s="25" t="str">
        <f>IF(OR(E5334="",E5334="!!!",F5334="NEW"),"",INDEX(B5333:B$2,-1+SUMPRODUCT(MAX(ROW(E5333:E$2)*(E5334=E5333:E$2)))))</f>
        <v> </v>
      </c>
      <c r="J5334" s="25" t="str">
        <f>IF(OR(E5334="",E5334="!!!",F5334="NEW"),"",COUNTBLANK(OFFSET(A$1,,,SUMPRODUCT(MAX(ROW(E$2:E5334)*(E5334=E$2:E5334)))))-COUNTBLANK(OFFSET(A$1,,,SUMPRODUCT(MAX(ROW(E$1:E5333)*(E2=E$1:E5333))))))</f>
        <v> </v>
      </c>
      <c r="K5334" s="25" t="str">
        <f>IF(OR(E5334="",E5334="!!!",F5334="NEW"),"",INDEX(J$1:J5333,SUMPRODUCT(MAX(ROW(E$1:E5333)*(E5334=E$1:E5333)))))</f>
        <v> </v>
      </c>
      <c r="L5334" s="26"/>
    </row>
    <row r="5335" spans="1:12">
      <c r="A5335" s="20" t="s">
        <v>1473</v>
      </c>
      <c r="E5335" s="21">
        <f>IF(D5335="?OLD","!!!","")</f>
        <v/>
      </c>
      <c r="F5335" s="22" t="str">
        <f>IF(OR(E5335="",E5335="!!!"),"",IF(NOT(ISNA(VLOOKUP(E5335,E$1:E5334,1,FALSE()))),"OLD",IF(AND(E5335&lt;&gt;"",E5335&lt;&gt;"!!!"),"NEW","")))</f>
        <v> </v>
      </c>
      <c r="G5335" s="23" t="str">
        <f>IF(OR(E5335="",E5335="!!!"),"",IF(OR(J5335=0,AND(J5335=1,K5335=1),AND(J5335=1,I5335="SBJ"),AND(J5335=1,I5335=0)),"?IN_FOCUS",IF(J5335&lt;=2,"?ACTIVATED",IF(J5335&lt;&gt;"","?FAMILIAR",IF(F5335="NEW",IF(ISNA(VLOOKUP(E5335,#REF!,1,FALSE())),"?TYPE_IDENTIFIABLE","?REFERENTIAL"),"_")))))</f>
        <v> </v>
      </c>
      <c r="H5335" s="24" t="str">
        <f>IF(J5335&lt;&gt;1,"",IF(I5335="SBJ","CB","?"))</f>
        <v> </v>
      </c>
      <c r="I5335" s="25" t="str">
        <f>IF(OR(E5335="",E5335="!!!",F5335="NEW"),"",INDEX(B5334:B$2,-1+SUMPRODUCT(MAX(ROW(E5334:E$2)*(E5335=E5334:E$2)))))</f>
        <v> </v>
      </c>
      <c r="J5335" s="25" t="str">
        <f>IF(OR(E5335="",E5335="!!!",F5335="NEW"),"",COUNTBLANK(OFFSET(A$1,,,SUMPRODUCT(MAX(ROW(E$2:E5335)*(E5335=E$2:E5335)))))-COUNTBLANK(OFFSET(A$1,,,SUMPRODUCT(MAX(ROW(E$1:E5334)*(E2=E$1:E5334))))))</f>
        <v> </v>
      </c>
      <c r="K5335" s="25" t="str">
        <f>IF(OR(E5335="",E5335="!!!",F5335="NEW"),"",INDEX(J$1:J5334,SUMPRODUCT(MAX(ROW(E$1:E5334)*(E5335=E$1:E5334)))))</f>
        <v> </v>
      </c>
      <c r="L5335" s="26"/>
    </row>
    <row r="5336" spans="1:12">
      <c r="A5336" s="20" t="s">
        <v>2566</v>
      </c>
      <c r="E5336" s="21">
        <f>IF(D5336="?OLD","!!!","")</f>
        <v/>
      </c>
      <c r="F5336" s="22" t="str">
        <f>IF(OR(E5336="",E5336="!!!"),"",IF(NOT(ISNA(VLOOKUP(E5336,E$1:E5335,1,FALSE()))),"OLD",IF(AND(E5336&lt;&gt;"",E5336&lt;&gt;"!!!"),"NEW","")))</f>
        <v> </v>
      </c>
      <c r="G5336" s="23" t="str">
        <f>IF(OR(E5336="",E5336="!!!"),"",IF(OR(J5336=0,AND(J5336=1,K5336=1),AND(J5336=1,I5336="SBJ"),AND(J5336=1,I5336=0)),"?IN_FOCUS",IF(J5336&lt;=2,"?ACTIVATED",IF(J5336&lt;&gt;"","?FAMILIAR",IF(F5336="NEW",IF(ISNA(VLOOKUP(E5336,#REF!,1,FALSE())),"?TYPE_IDENTIFIABLE","?REFERENTIAL"),"_")))))</f>
        <v> </v>
      </c>
      <c r="H5336" s="24" t="str">
        <f>IF(J5336&lt;&gt;1,"",IF(I5336="SBJ","CB","?"))</f>
        <v> </v>
      </c>
      <c r="I5336" s="25" t="str">
        <f>IF(OR(E5336="",E5336="!!!",F5336="NEW"),"",INDEX(B5335:B$2,-1+SUMPRODUCT(MAX(ROW(E5335:E$2)*(E5336=E5335:E$2)))))</f>
        <v> </v>
      </c>
      <c r="J5336" s="25" t="str">
        <f>IF(OR(E5336="",E5336="!!!",F5336="NEW"),"",COUNTBLANK(OFFSET(A$1,,,SUMPRODUCT(MAX(ROW(E$2:E5336)*(E5336=E$2:E5336)))))-COUNTBLANK(OFFSET(A$1,,,SUMPRODUCT(MAX(ROW(E$1:E5335)*(E2=E$1:E5335))))))</f>
        <v> </v>
      </c>
      <c r="K5336" s="25" t="str">
        <f>IF(OR(E5336="",E5336="!!!",F5336="NEW"),"",INDEX(J$1:J5335,SUMPRODUCT(MAX(ROW(E$1:E5335)*(E5336=E$1:E5335)))))</f>
        <v> </v>
      </c>
      <c r="L5336" s="26"/>
    </row>
    <row r="5337" spans="1:12">
      <c r="A5337" s="20" t="s">
        <v>1324</v>
      </c>
      <c r="E5337" s="21">
        <f>IF(D5337="?OLD","!!!","")</f>
        <v/>
      </c>
      <c r="F5337" s="22" t="str">
        <f>IF(OR(E5337="",E5337="!!!"),"",IF(NOT(ISNA(VLOOKUP(E5337,E$1:E5336,1,FALSE()))),"OLD",IF(AND(E5337&lt;&gt;"",E5337&lt;&gt;"!!!"),"NEW","")))</f>
        <v> </v>
      </c>
      <c r="G5337" s="23" t="str">
        <f>IF(OR(E5337="",E5337="!!!"),"",IF(OR(J5337=0,AND(J5337=1,K5337=1),AND(J5337=1,I5337="SBJ"),AND(J5337=1,I5337=0)),"?IN_FOCUS",IF(J5337&lt;=2,"?ACTIVATED",IF(J5337&lt;&gt;"","?FAMILIAR",IF(F5337="NEW",IF(ISNA(VLOOKUP(E5337,#REF!,1,FALSE())),"?TYPE_IDENTIFIABLE","?REFERENTIAL"),"_")))))</f>
        <v> </v>
      </c>
      <c r="H5337" s="24" t="str">
        <f>IF(J5337&lt;&gt;1,"",IF(I5337="SBJ","CB","?"))</f>
        <v> </v>
      </c>
      <c r="I5337" s="25" t="str">
        <f>IF(OR(E5337="",E5337="!!!",F5337="NEW"),"",INDEX(B5336:B$2,-1+SUMPRODUCT(MAX(ROW(E5336:E$2)*(E5337=E5336:E$2)))))</f>
        <v> </v>
      </c>
      <c r="J5337" s="25" t="str">
        <f>IF(OR(E5337="",E5337="!!!",F5337="NEW"),"",COUNTBLANK(OFFSET(A$1,,,SUMPRODUCT(MAX(ROW(E$2:E5337)*(E5337=E$2:E5337)))))-COUNTBLANK(OFFSET(A$1,,,SUMPRODUCT(MAX(ROW(E$1:E5336)*(E2=E$1:E5336))))))</f>
        <v> </v>
      </c>
      <c r="K5337" s="25" t="str">
        <f>IF(OR(E5337="",E5337="!!!",F5337="NEW"),"",INDEX(J$1:J5336,SUMPRODUCT(MAX(ROW(E$1:E5336)*(E5337=E$1:E5336)))))</f>
        <v> </v>
      </c>
      <c r="L5337" s="26"/>
    </row>
    <row r="5338" spans="1:12">
      <c r="A5338" s="20" t="s">
        <v>1318</v>
      </c>
      <c r="E5338" s="21">
        <f>IF(D5338="?OLD","!!!","")</f>
        <v/>
      </c>
      <c r="F5338" s="22" t="str">
        <f>IF(OR(E5338="",E5338="!!!"),"",IF(NOT(ISNA(VLOOKUP(E5338,E$1:E5337,1,FALSE()))),"OLD",IF(AND(E5338&lt;&gt;"",E5338&lt;&gt;"!!!"),"NEW","")))</f>
        <v> </v>
      </c>
      <c r="G5338" s="23" t="str">
        <f>IF(OR(E5338="",E5338="!!!"),"",IF(OR(J5338=0,AND(J5338=1,K5338=1),AND(J5338=1,I5338="SBJ"),AND(J5338=1,I5338=0)),"?IN_FOCUS",IF(J5338&lt;=2,"?ACTIVATED",IF(J5338&lt;&gt;"","?FAMILIAR",IF(F5338="NEW",IF(ISNA(VLOOKUP(E5338,#REF!,1,FALSE())),"?TYPE_IDENTIFIABLE","?REFERENTIAL"),"_")))))</f>
        <v> </v>
      </c>
      <c r="H5338" s="24" t="str">
        <f>IF(J5338&lt;&gt;1,"",IF(I5338="SBJ","CB","?"))</f>
        <v> </v>
      </c>
      <c r="I5338" s="25" t="str">
        <f>IF(OR(E5338="",E5338="!!!",F5338="NEW"),"",INDEX(B5337:B$2,-1+SUMPRODUCT(MAX(ROW(E5337:E$2)*(E5338=E5337:E$2)))))</f>
        <v> </v>
      </c>
      <c r="J5338" s="25" t="str">
        <f>IF(OR(E5338="",E5338="!!!",F5338="NEW"),"",COUNTBLANK(OFFSET(A$1,,,SUMPRODUCT(MAX(ROW(E$2:E5338)*(E5338=E$2:E5338)))))-COUNTBLANK(OFFSET(A$1,,,SUMPRODUCT(MAX(ROW(E$1:E5337)*(E2=E$1:E5337))))))</f>
        <v> </v>
      </c>
      <c r="K5338" s="25" t="str">
        <f>IF(OR(E5338="",E5338="!!!",F5338="NEW"),"",INDEX(J$1:J5337,SUMPRODUCT(MAX(ROW(E$1:E5337)*(E5338=E$1:E5337)))))</f>
        <v> </v>
      </c>
      <c r="L5338" s="26"/>
    </row>
    <row r="5339" spans="1:12">
      <c r="A5339" s="20"/>
    </row>
    <row r="5340" spans="1:12">
      <c r="A5340" s="20" t="s">
        <v>2567</v>
      </c>
    </row>
    <row r="5341" spans="1:12">
      <c r="A5341" s="20" t="s">
        <v>2568</v>
      </c>
      <c r="B5341" s="27" t="s">
        <v>1067</v>
      </c>
      <c r="C5341" s="27" t="s">
        <v>1068</v>
      </c>
      <c r="D5341" s="27" t="s">
        <v>1069</v>
      </c>
      <c r="E5341" s="21">
        <f>IF(D5341="?OLD","!!!","")</f>
        <v/>
      </c>
      <c r="F5341" s="22" t="str">
        <f>IF(OR(E5341="",E5341="!!!"),"",IF(NOT(ISNA(VLOOKUP(E5341,E$1:E5340,1,FALSE()))),"OLD",IF(AND(E5341&lt;&gt;"",E5341&lt;&gt;"!!!"),"NEW","")))</f>
        <v> </v>
      </c>
      <c r="G5341" s="23" t="str">
        <f>IF(OR(E5341="",E5341="!!!"),"",IF(OR(J5341=0,AND(J5341=1,K5341=1),AND(J5341=1,I5341="SBJ"),AND(J5341=1,I5341=0)),"?IN_FOCUS",IF(J5341&lt;=2,"?ACTIVATED",IF(J5341&lt;&gt;"","?FAMILIAR",IF(F5341="NEW",IF(ISNA(VLOOKUP(E5341,#REF!,1,FALSE())),"?TYPE_IDENTIFIABLE","?REFERENTIAL"),"_")))))</f>
        <v> </v>
      </c>
      <c r="H5341" s="24" t="str">
        <f>IF(J5341&lt;&gt;1,"",IF(I5341="SBJ","CB","?"))</f>
        <v> </v>
      </c>
      <c r="I5341" s="25" t="str">
        <f>IF(OR(E5341="",E5341="!!!",F5341="NEW"),"",INDEX(B5340:B$2,-1+SUMPRODUCT(MAX(ROW(E5340:E$2)*(E5341=E5340:E$2)))))</f>
        <v> </v>
      </c>
      <c r="J5341" s="25" t="str">
        <f>IF(OR(E5341="",E5341="!!!",F5341="NEW"),"",COUNTBLANK(OFFSET(A$1,,,SUMPRODUCT(MAX(ROW(E$2:E5341)*(E5341=E$2:E5341)))))-COUNTBLANK(OFFSET(A$1,,,SUMPRODUCT(MAX(ROW(E$1:E5340)*(E2=E$1:E5340))))))</f>
        <v> </v>
      </c>
      <c r="K5341" s="25" t="str">
        <f>IF(OR(E5341="",E5341="!!!",F5341="NEW"),"",INDEX(J$1:J5340,SUMPRODUCT(MAX(ROW(E$1:E5340)*(E5341=E$1:E5340)))))</f>
        <v> </v>
      </c>
      <c r="L5341" s="26"/>
    </row>
    <row r="5342" spans="1:12">
      <c r="A5342" s="20" t="s">
        <v>1184</v>
      </c>
      <c r="E5342" s="21">
        <f>IF(D5342="?OLD","!!!","")</f>
        <v/>
      </c>
      <c r="F5342" s="22" t="str">
        <f>IF(OR(E5342="",E5342="!!!"),"",IF(NOT(ISNA(VLOOKUP(E5342,E$1:E5341,1,FALSE()))),"OLD",IF(AND(E5342&lt;&gt;"",E5342&lt;&gt;"!!!"),"NEW","")))</f>
        <v> </v>
      </c>
      <c r="G5342" s="23" t="str">
        <f>IF(OR(E5342="",E5342="!!!"),"",IF(OR(J5342=0,AND(J5342=1,K5342=1),AND(J5342=1,I5342="SBJ"),AND(J5342=1,I5342=0)),"?IN_FOCUS",IF(J5342&lt;=2,"?ACTIVATED",IF(J5342&lt;&gt;"","?FAMILIAR",IF(F5342="NEW",IF(ISNA(VLOOKUP(E5342,#REF!,1,FALSE())),"?TYPE_IDENTIFIABLE","?REFERENTIAL"),"_")))))</f>
        <v> </v>
      </c>
      <c r="H5342" s="24" t="str">
        <f>IF(J5342&lt;&gt;1,"",IF(I5342="SBJ","CB","?"))</f>
        <v> </v>
      </c>
      <c r="I5342" s="25" t="str">
        <f>IF(OR(E5342="",E5342="!!!",F5342="NEW"),"",INDEX(B5341:B$2,-1+SUMPRODUCT(MAX(ROW(E5341:E$2)*(E5342=E5341:E$2)))))</f>
        <v> </v>
      </c>
      <c r="J5342" s="25" t="str">
        <f>IF(OR(E5342="",E5342="!!!",F5342="NEW"),"",COUNTBLANK(OFFSET(A$1,,,SUMPRODUCT(MAX(ROW(E$2:E5342)*(E5342=E$2:E5342)))))-COUNTBLANK(OFFSET(A$1,,,SUMPRODUCT(MAX(ROW(E$1:E5341)*(E2=E$1:E5341))))))</f>
        <v> </v>
      </c>
      <c r="K5342" s="25" t="str">
        <f>IF(OR(E5342="",E5342="!!!",F5342="NEW"),"",INDEX(J$1:J5341,SUMPRODUCT(MAX(ROW(E$1:E5341)*(E5342=E$1:E5341)))))</f>
        <v> </v>
      </c>
      <c r="L5342" s="26"/>
    </row>
    <row r="5343" spans="1:12">
      <c r="A5343" s="20" t="s">
        <v>2066</v>
      </c>
      <c r="E5343" s="21">
        <f>IF(D5343="?OLD","!!!","")</f>
        <v/>
      </c>
      <c r="F5343" s="22" t="str">
        <f>IF(OR(E5343="",E5343="!!!"),"",IF(NOT(ISNA(VLOOKUP(E5343,E$1:E5342,1,FALSE()))),"OLD",IF(AND(E5343&lt;&gt;"",E5343&lt;&gt;"!!!"),"NEW","")))</f>
        <v> </v>
      </c>
      <c r="G5343" s="23" t="str">
        <f>IF(OR(E5343="",E5343="!!!"),"",IF(OR(J5343=0,AND(J5343=1,K5343=1),AND(J5343=1,I5343="SBJ"),AND(J5343=1,I5343=0)),"?IN_FOCUS",IF(J5343&lt;=2,"?ACTIVATED",IF(J5343&lt;&gt;"","?FAMILIAR",IF(F5343="NEW",IF(ISNA(VLOOKUP(E5343,#REF!,1,FALSE())),"?TYPE_IDENTIFIABLE","?REFERENTIAL"),"_")))))</f>
        <v> </v>
      </c>
      <c r="H5343" s="24" t="str">
        <f>IF(J5343&lt;&gt;1,"",IF(I5343="SBJ","CB","?"))</f>
        <v> </v>
      </c>
      <c r="I5343" s="25" t="str">
        <f>IF(OR(E5343="",E5343="!!!",F5343="NEW"),"",INDEX(B5342:B$2,-1+SUMPRODUCT(MAX(ROW(E5342:E$2)*(E5343=E5342:E$2)))))</f>
        <v> </v>
      </c>
      <c r="J5343" s="25" t="str">
        <f>IF(OR(E5343="",E5343="!!!",F5343="NEW"),"",COUNTBLANK(OFFSET(A$1,,,SUMPRODUCT(MAX(ROW(E$2:E5343)*(E5343=E$2:E5343)))))-COUNTBLANK(OFFSET(A$1,,,SUMPRODUCT(MAX(ROW(E$1:E5342)*(E2=E$1:E5342))))))</f>
        <v> </v>
      </c>
      <c r="K5343" s="25" t="str">
        <f>IF(OR(E5343="",E5343="!!!",F5343="NEW"),"",INDEX(J$1:J5342,SUMPRODUCT(MAX(ROW(E$1:E5342)*(E5343=E$1:E5342)))))</f>
        <v> </v>
      </c>
      <c r="L5343" s="26"/>
    </row>
    <row r="5344" spans="1:12">
      <c r="A5344" s="20" t="s">
        <v>2037</v>
      </c>
      <c r="E5344" s="21">
        <f>IF(D5344="?OLD","!!!","")</f>
        <v/>
      </c>
      <c r="F5344" s="22" t="str">
        <f>IF(OR(E5344="",E5344="!!!"),"",IF(NOT(ISNA(VLOOKUP(E5344,E$1:E5343,1,FALSE()))),"OLD",IF(AND(E5344&lt;&gt;"",E5344&lt;&gt;"!!!"),"NEW","")))</f>
        <v> </v>
      </c>
      <c r="G5344" s="23" t="str">
        <f>IF(OR(E5344="",E5344="!!!"),"",IF(OR(J5344=0,AND(J5344=1,K5344=1),AND(J5344=1,I5344="SBJ"),AND(J5344=1,I5344=0)),"?IN_FOCUS",IF(J5344&lt;=2,"?ACTIVATED",IF(J5344&lt;&gt;"","?FAMILIAR",IF(F5344="NEW",IF(ISNA(VLOOKUP(E5344,#REF!,1,FALSE())),"?TYPE_IDENTIFIABLE","?REFERENTIAL"),"_")))))</f>
        <v> </v>
      </c>
      <c r="H5344" s="24" t="str">
        <f>IF(J5344&lt;&gt;1,"",IF(I5344="SBJ","CB","?"))</f>
        <v> </v>
      </c>
      <c r="I5344" s="25" t="str">
        <f>IF(OR(E5344="",E5344="!!!",F5344="NEW"),"",INDEX(B5343:B$2,-1+SUMPRODUCT(MAX(ROW(E5343:E$2)*(E5344=E5343:E$2)))))</f>
        <v> </v>
      </c>
      <c r="J5344" s="25" t="str">
        <f>IF(OR(E5344="",E5344="!!!",F5344="NEW"),"",COUNTBLANK(OFFSET(A$1,,,SUMPRODUCT(MAX(ROW(E$2:E5344)*(E5344=E$2:E5344)))))-COUNTBLANK(OFFSET(A$1,,,SUMPRODUCT(MAX(ROW(E$1:E5343)*(E2=E$1:E5343))))))</f>
        <v> </v>
      </c>
      <c r="K5344" s="25" t="str">
        <f>IF(OR(E5344="",E5344="!!!",F5344="NEW"),"",INDEX(J$1:J5343,SUMPRODUCT(MAX(ROW(E$1:E5343)*(E5344=E$1:E5343)))))</f>
        <v> </v>
      </c>
      <c r="L5344" s="26"/>
    </row>
    <row r="5345" spans="1:12">
      <c r="A5345" s="20" t="s">
        <v>1087</v>
      </c>
      <c r="E5345" s="21">
        <f>IF(D5345="?OLD","!!!","")</f>
        <v/>
      </c>
      <c r="F5345" s="22" t="str">
        <f>IF(OR(E5345="",E5345="!!!"),"",IF(NOT(ISNA(VLOOKUP(E5345,E$1:E5344,1,FALSE()))),"OLD",IF(AND(E5345&lt;&gt;"",E5345&lt;&gt;"!!!"),"NEW","")))</f>
        <v> </v>
      </c>
      <c r="G5345" s="23" t="str">
        <f>IF(OR(E5345="",E5345="!!!"),"",IF(OR(J5345=0,AND(J5345=1,K5345=1),AND(J5345=1,I5345="SBJ"),AND(J5345=1,I5345=0)),"?IN_FOCUS",IF(J5345&lt;=2,"?ACTIVATED",IF(J5345&lt;&gt;"","?FAMILIAR",IF(F5345="NEW",IF(ISNA(VLOOKUP(E5345,#REF!,1,FALSE())),"?TYPE_IDENTIFIABLE","?REFERENTIAL"),"_")))))</f>
        <v> </v>
      </c>
      <c r="H5345" s="24" t="str">
        <f>IF(J5345&lt;&gt;1,"",IF(I5345="SBJ","CB","?"))</f>
        <v> </v>
      </c>
      <c r="I5345" s="25" t="str">
        <f>IF(OR(E5345="",E5345="!!!",F5345="NEW"),"",INDEX(B5344:B$2,-1+SUMPRODUCT(MAX(ROW(E5344:E$2)*(E5345=E5344:E$2)))))</f>
        <v> </v>
      </c>
      <c r="J5345" s="25" t="str">
        <f>IF(OR(E5345="",E5345="!!!",F5345="NEW"),"",COUNTBLANK(OFFSET(A$1,,,SUMPRODUCT(MAX(ROW(E$2:E5345)*(E5345=E$2:E5345)))))-COUNTBLANK(OFFSET(A$1,,,SUMPRODUCT(MAX(ROW(E$1:E5344)*(E2=E$1:E5344))))))</f>
        <v> </v>
      </c>
      <c r="K5345" s="25" t="str">
        <f>IF(OR(E5345="",E5345="!!!",F5345="NEW"),"",INDEX(J$1:J5344,SUMPRODUCT(MAX(ROW(E$1:E5344)*(E5345=E$1:E5344)))))</f>
        <v> </v>
      </c>
      <c r="L5345" s="26"/>
    </row>
    <row r="5346" spans="1:12">
      <c r="A5346" s="20" t="s">
        <v>2569</v>
      </c>
      <c r="E5346" s="21">
        <f>IF(D5346="?OLD","!!!","")</f>
        <v/>
      </c>
      <c r="F5346" s="22" t="str">
        <f>IF(OR(E5346="",E5346="!!!"),"",IF(NOT(ISNA(VLOOKUP(E5346,E$1:E5345,1,FALSE()))),"OLD",IF(AND(E5346&lt;&gt;"",E5346&lt;&gt;"!!!"),"NEW","")))</f>
        <v> </v>
      </c>
      <c r="G5346" s="23" t="str">
        <f>IF(OR(E5346="",E5346="!!!"),"",IF(OR(J5346=0,AND(J5346=1,K5346=1),AND(J5346=1,I5346="SBJ"),AND(J5346=1,I5346=0)),"?IN_FOCUS",IF(J5346&lt;=2,"?ACTIVATED",IF(J5346&lt;&gt;"","?FAMILIAR",IF(F5346="NEW",IF(ISNA(VLOOKUP(E5346,#REF!,1,FALSE())),"?TYPE_IDENTIFIABLE","?REFERENTIAL"),"_")))))</f>
        <v> </v>
      </c>
      <c r="H5346" s="24" t="str">
        <f>IF(J5346&lt;&gt;1,"",IF(I5346="SBJ","CB","?"))</f>
        <v> </v>
      </c>
      <c r="I5346" s="25" t="str">
        <f>IF(OR(E5346="",E5346="!!!",F5346="NEW"),"",INDEX(B5345:B$2,-1+SUMPRODUCT(MAX(ROW(E5345:E$2)*(E5346=E5345:E$2)))))</f>
        <v> </v>
      </c>
      <c r="J5346" s="25" t="str">
        <f>IF(OR(E5346="",E5346="!!!",F5346="NEW"),"",COUNTBLANK(OFFSET(A$1,,,SUMPRODUCT(MAX(ROW(E$2:E5346)*(E5346=E$2:E5346)))))-COUNTBLANK(OFFSET(A$1,,,SUMPRODUCT(MAX(ROW(E$1:E5345)*(E2=E$1:E5345))))))</f>
        <v> </v>
      </c>
      <c r="K5346" s="25" t="str">
        <f>IF(OR(E5346="",E5346="!!!",F5346="NEW"),"",INDEX(J$1:J5345,SUMPRODUCT(MAX(ROW(E$1:E5345)*(E5346=E$1:E5345)))))</f>
        <v> </v>
      </c>
      <c r="L5346" s="26"/>
    </row>
    <row r="5347" spans="1:12">
      <c r="A5347" s="20" t="s">
        <v>2570</v>
      </c>
      <c r="E5347" s="21">
        <f>IF(D5347="?OLD","!!!","")</f>
        <v/>
      </c>
      <c r="F5347" s="22" t="str">
        <f>IF(OR(E5347="",E5347="!!!"),"",IF(NOT(ISNA(VLOOKUP(E5347,E$1:E5346,1,FALSE()))),"OLD",IF(AND(E5347&lt;&gt;"",E5347&lt;&gt;"!!!"),"NEW","")))</f>
        <v> </v>
      </c>
      <c r="G5347" s="23" t="str">
        <f>IF(OR(E5347="",E5347="!!!"),"",IF(OR(J5347=0,AND(J5347=1,K5347=1),AND(J5347=1,I5347="SBJ"),AND(J5347=1,I5347=0)),"?IN_FOCUS",IF(J5347&lt;=2,"?ACTIVATED",IF(J5347&lt;&gt;"","?FAMILIAR",IF(F5347="NEW",IF(ISNA(VLOOKUP(E5347,#REF!,1,FALSE())),"?TYPE_IDENTIFIABLE","?REFERENTIAL"),"_")))))</f>
        <v> </v>
      </c>
      <c r="H5347" s="24" t="str">
        <f>IF(J5347&lt;&gt;1,"",IF(I5347="SBJ","CB","?"))</f>
        <v> </v>
      </c>
      <c r="I5347" s="25" t="str">
        <f>IF(OR(E5347="",E5347="!!!",F5347="NEW"),"",INDEX(B5346:B$2,-1+SUMPRODUCT(MAX(ROW(E5346:E$2)*(E5347=E5346:E$2)))))</f>
        <v> </v>
      </c>
      <c r="J5347" s="25" t="str">
        <f>IF(OR(E5347="",E5347="!!!",F5347="NEW"),"",COUNTBLANK(OFFSET(A$1,,,SUMPRODUCT(MAX(ROW(E$2:E5347)*(E5347=E$2:E5347)))))-COUNTBLANK(OFFSET(A$1,,,SUMPRODUCT(MAX(ROW(E$1:E5346)*(E2=E$1:E5346))))))</f>
        <v> </v>
      </c>
      <c r="K5347" s="25" t="str">
        <f>IF(OR(E5347="",E5347="!!!",F5347="NEW"),"",INDEX(J$1:J5346,SUMPRODUCT(MAX(ROW(E$1:E5346)*(E5347=E$1:E5346)))))</f>
        <v> </v>
      </c>
      <c r="L5347" s="26"/>
    </row>
    <row r="5348" spans="1:12">
      <c r="A5348" s="20" t="s">
        <v>2571</v>
      </c>
      <c r="E5348" s="21">
        <f>IF(D5348="?OLD","!!!","")</f>
        <v/>
      </c>
      <c r="F5348" s="22" t="str">
        <f>IF(OR(E5348="",E5348="!!!"),"",IF(NOT(ISNA(VLOOKUP(E5348,E$1:E5347,1,FALSE()))),"OLD",IF(AND(E5348&lt;&gt;"",E5348&lt;&gt;"!!!"),"NEW","")))</f>
        <v> </v>
      </c>
      <c r="G5348" s="23" t="str">
        <f>IF(OR(E5348="",E5348="!!!"),"",IF(OR(J5348=0,AND(J5348=1,K5348=1),AND(J5348=1,I5348="SBJ"),AND(J5348=1,I5348=0)),"?IN_FOCUS",IF(J5348&lt;=2,"?ACTIVATED",IF(J5348&lt;&gt;"","?FAMILIAR",IF(F5348="NEW",IF(ISNA(VLOOKUP(E5348,#REF!,1,FALSE())),"?TYPE_IDENTIFIABLE","?REFERENTIAL"),"_")))))</f>
        <v> </v>
      </c>
      <c r="H5348" s="24" t="str">
        <f>IF(J5348&lt;&gt;1,"",IF(I5348="SBJ","CB","?"))</f>
        <v> </v>
      </c>
      <c r="I5348" s="25" t="str">
        <f>IF(OR(E5348="",E5348="!!!",F5348="NEW"),"",INDEX(B5347:B$2,-1+SUMPRODUCT(MAX(ROW(E5347:E$2)*(E5348=E5347:E$2)))))</f>
        <v> </v>
      </c>
      <c r="J5348" s="25" t="str">
        <f>IF(OR(E5348="",E5348="!!!",F5348="NEW"),"",COUNTBLANK(OFFSET(A$1,,,SUMPRODUCT(MAX(ROW(E$2:E5348)*(E5348=E$2:E5348)))))-COUNTBLANK(OFFSET(A$1,,,SUMPRODUCT(MAX(ROW(E$1:E5347)*(E2=E$1:E5347))))))</f>
        <v> </v>
      </c>
      <c r="K5348" s="25" t="str">
        <f>IF(OR(E5348="",E5348="!!!",F5348="NEW"),"",INDEX(J$1:J5347,SUMPRODUCT(MAX(ROW(E$1:E5347)*(E5348=E$1:E5347)))))</f>
        <v> </v>
      </c>
      <c r="L5348" s="26"/>
    </row>
    <row r="5349" spans="1:12">
      <c r="A5349" s="20" t="s">
        <v>2572</v>
      </c>
      <c r="B5349" s="27" t="s">
        <v>1074</v>
      </c>
      <c r="C5349" s="27" t="s">
        <v>1171</v>
      </c>
      <c r="E5349" s="21">
        <f>IF(D5349="?OLD","!!!","")</f>
        <v/>
      </c>
      <c r="F5349" s="22" t="str">
        <f>IF(OR(E5349="",E5349="!!!"),"",IF(NOT(ISNA(VLOOKUP(E5349,E$1:E5348,1,FALSE()))),"OLD",IF(AND(E5349&lt;&gt;"",E5349&lt;&gt;"!!!"),"NEW","")))</f>
        <v> </v>
      </c>
      <c r="G5349" s="23" t="str">
        <f>IF(OR(E5349="",E5349="!!!"),"",IF(OR(J5349=0,AND(J5349=1,K5349=1),AND(J5349=1,I5349="SBJ"),AND(J5349=1,I5349=0)),"?IN_FOCUS",IF(J5349&lt;=2,"?ACTIVATED",IF(J5349&lt;&gt;"","?FAMILIAR",IF(F5349="NEW",IF(ISNA(VLOOKUP(E5349,#REF!,1,FALSE())),"?TYPE_IDENTIFIABLE","?REFERENTIAL"),"_")))))</f>
        <v> </v>
      </c>
      <c r="H5349" s="24" t="str">
        <f>IF(J5349&lt;&gt;1,"",IF(I5349="SBJ","CB","?"))</f>
        <v> </v>
      </c>
      <c r="I5349" s="25" t="str">
        <f>IF(OR(E5349="",E5349="!!!",F5349="NEW"),"",INDEX(B5348:B$2,-1+SUMPRODUCT(MAX(ROW(E5348:E$2)*(E5349=E5348:E$2)))))</f>
        <v> </v>
      </c>
      <c r="J5349" s="25" t="str">
        <f>IF(OR(E5349="",E5349="!!!",F5349="NEW"),"",COUNTBLANK(OFFSET(A$1,,,SUMPRODUCT(MAX(ROW(E$2:E5349)*(E5349=E$2:E5349)))))-COUNTBLANK(OFFSET(A$1,,,SUMPRODUCT(MAX(ROW(E$1:E5348)*(E2=E$1:E5348))))))</f>
        <v> </v>
      </c>
      <c r="K5349" s="25" t="str">
        <f>IF(OR(E5349="",E5349="!!!",F5349="NEW"),"",INDEX(J$1:J5348,SUMPRODUCT(MAX(ROW(E$1:E5348)*(E5349=E$1:E5348)))))</f>
        <v> </v>
      </c>
      <c r="L5349" s="26"/>
    </row>
    <row r="5350" spans="1:12">
      <c r="A5350" s="20" t="s">
        <v>1087</v>
      </c>
      <c r="E5350" s="21">
        <f>IF(D5350="?OLD","!!!","")</f>
        <v/>
      </c>
      <c r="F5350" s="22" t="str">
        <f>IF(OR(E5350="",E5350="!!!"),"",IF(NOT(ISNA(VLOOKUP(E5350,E$1:E5349,1,FALSE()))),"OLD",IF(AND(E5350&lt;&gt;"",E5350&lt;&gt;"!!!"),"NEW","")))</f>
        <v> </v>
      </c>
      <c r="G5350" s="23" t="str">
        <f>IF(OR(E5350="",E5350="!!!"),"",IF(OR(J5350=0,AND(J5350=1,K5350=1),AND(J5350=1,I5350="SBJ"),AND(J5350=1,I5350=0)),"?IN_FOCUS",IF(J5350&lt;=2,"?ACTIVATED",IF(J5350&lt;&gt;"","?FAMILIAR",IF(F5350="NEW",IF(ISNA(VLOOKUP(E5350,#REF!,1,FALSE())),"?TYPE_IDENTIFIABLE","?REFERENTIAL"),"_")))))</f>
        <v> </v>
      </c>
      <c r="H5350" s="24" t="str">
        <f>IF(J5350&lt;&gt;1,"",IF(I5350="SBJ","CB","?"))</f>
        <v> </v>
      </c>
      <c r="I5350" s="25" t="str">
        <f>IF(OR(E5350="",E5350="!!!",F5350="NEW"),"",INDEX(B5349:B$2,-1+SUMPRODUCT(MAX(ROW(E5349:E$2)*(E5350=E5349:E$2)))))</f>
        <v> </v>
      </c>
      <c r="J5350" s="25" t="str">
        <f>IF(OR(E5350="",E5350="!!!",F5350="NEW"),"",COUNTBLANK(OFFSET(A$1,,,SUMPRODUCT(MAX(ROW(E$2:E5350)*(E5350=E$2:E5350)))))-COUNTBLANK(OFFSET(A$1,,,SUMPRODUCT(MAX(ROW(E$1:E5349)*(E2=E$1:E5349))))))</f>
        <v> </v>
      </c>
      <c r="K5350" s="25" t="str">
        <f>IF(OR(E5350="",E5350="!!!",F5350="NEW"),"",INDEX(J$1:J5349,SUMPRODUCT(MAX(ROW(E$1:E5349)*(E5350=E$1:E5349)))))</f>
        <v> </v>
      </c>
      <c r="L5350" s="26"/>
    </row>
    <row r="5351" spans="1:12">
      <c r="A5351" s="20" t="s">
        <v>1246</v>
      </c>
      <c r="E5351" s="21">
        <f>IF(D5351="?OLD","!!!","")</f>
        <v/>
      </c>
      <c r="F5351" s="22" t="str">
        <f>IF(OR(E5351="",E5351="!!!"),"",IF(NOT(ISNA(VLOOKUP(E5351,E$1:E5350,1,FALSE()))),"OLD",IF(AND(E5351&lt;&gt;"",E5351&lt;&gt;"!!!"),"NEW","")))</f>
        <v> </v>
      </c>
      <c r="G5351" s="23" t="str">
        <f>IF(OR(E5351="",E5351="!!!"),"",IF(OR(J5351=0,AND(J5351=1,K5351=1),AND(J5351=1,I5351="SBJ"),AND(J5351=1,I5351=0)),"?IN_FOCUS",IF(J5351&lt;=2,"?ACTIVATED",IF(J5351&lt;&gt;"","?FAMILIAR",IF(F5351="NEW",IF(ISNA(VLOOKUP(E5351,#REF!,1,FALSE())),"?TYPE_IDENTIFIABLE","?REFERENTIAL"),"_")))))</f>
        <v> </v>
      </c>
      <c r="H5351" s="24" t="str">
        <f>IF(J5351&lt;&gt;1,"",IF(I5351="SBJ","CB","?"))</f>
        <v> </v>
      </c>
      <c r="I5351" s="25" t="str">
        <f>IF(OR(E5351="",E5351="!!!",F5351="NEW"),"",INDEX(B5350:B$2,-1+SUMPRODUCT(MAX(ROW(E5350:E$2)*(E5351=E5350:E$2)))))</f>
        <v> </v>
      </c>
      <c r="J5351" s="25" t="str">
        <f>IF(OR(E5351="",E5351="!!!",F5351="NEW"),"",COUNTBLANK(OFFSET(A$1,,,SUMPRODUCT(MAX(ROW(E$2:E5351)*(E5351=E$2:E5351)))))-COUNTBLANK(OFFSET(A$1,,,SUMPRODUCT(MAX(ROW(E$1:E5350)*(E2=E$1:E5350))))))</f>
        <v> </v>
      </c>
      <c r="K5351" s="25" t="str">
        <f>IF(OR(E5351="",E5351="!!!",F5351="NEW"),"",INDEX(J$1:J5350,SUMPRODUCT(MAX(ROW(E$1:E5350)*(E5351=E$1:E5350)))))</f>
        <v> </v>
      </c>
      <c r="L5351" s="26"/>
    </row>
    <row r="5352" spans="1:12">
      <c r="A5352" s="20" t="s">
        <v>1143</v>
      </c>
      <c r="E5352" s="21">
        <f>IF(D5352="?OLD","!!!","")</f>
        <v/>
      </c>
      <c r="F5352" s="22" t="str">
        <f>IF(OR(E5352="",E5352="!!!"),"",IF(NOT(ISNA(VLOOKUP(E5352,E$1:E5351,1,FALSE()))),"OLD",IF(AND(E5352&lt;&gt;"",E5352&lt;&gt;"!!!"),"NEW","")))</f>
        <v> </v>
      </c>
      <c r="G5352" s="23" t="str">
        <f>IF(OR(E5352="",E5352="!!!"),"",IF(OR(J5352=0,AND(J5352=1,K5352=1),AND(J5352=1,I5352="SBJ"),AND(J5352=1,I5352=0)),"?IN_FOCUS",IF(J5352&lt;=2,"?ACTIVATED",IF(J5352&lt;&gt;"","?FAMILIAR",IF(F5352="NEW",IF(ISNA(VLOOKUP(E5352,#REF!,1,FALSE())),"?TYPE_IDENTIFIABLE","?REFERENTIAL"),"_")))))</f>
        <v> </v>
      </c>
      <c r="H5352" s="24" t="str">
        <f>IF(J5352&lt;&gt;1,"",IF(I5352="SBJ","CB","?"))</f>
        <v> </v>
      </c>
      <c r="I5352" s="25" t="str">
        <f>IF(OR(E5352="",E5352="!!!",F5352="NEW"),"",INDEX(B5351:B$2,-1+SUMPRODUCT(MAX(ROW(E5351:E$2)*(E5352=E5351:E$2)))))</f>
        <v> </v>
      </c>
      <c r="J5352" s="25" t="str">
        <f>IF(OR(E5352="",E5352="!!!",F5352="NEW"),"",COUNTBLANK(OFFSET(A$1,,,SUMPRODUCT(MAX(ROW(E$2:E5352)*(E5352=E$2:E5352)))))-COUNTBLANK(OFFSET(A$1,,,SUMPRODUCT(MAX(ROW(E$1:E5351)*(E2=E$1:E5351))))))</f>
        <v> </v>
      </c>
      <c r="K5352" s="25" t="str">
        <f>IF(OR(E5352="",E5352="!!!",F5352="NEW"),"",INDEX(J$1:J5351,SUMPRODUCT(MAX(ROW(E$1:E5351)*(E5352=E$1:E5351)))))</f>
        <v> </v>
      </c>
      <c r="L5352" s="26"/>
    </row>
    <row r="5353" spans="1:12">
      <c r="A5353" s="20" t="s">
        <v>2466</v>
      </c>
      <c r="E5353" s="21">
        <f>IF(D5353="?OLD","!!!","")</f>
        <v/>
      </c>
      <c r="F5353" s="22" t="str">
        <f>IF(OR(E5353="",E5353="!!!"),"",IF(NOT(ISNA(VLOOKUP(E5353,E$1:E5352,1,FALSE()))),"OLD",IF(AND(E5353&lt;&gt;"",E5353&lt;&gt;"!!!"),"NEW","")))</f>
        <v> </v>
      </c>
      <c r="G5353" s="23" t="str">
        <f>IF(OR(E5353="",E5353="!!!"),"",IF(OR(J5353=0,AND(J5353=1,K5353=1),AND(J5353=1,I5353="SBJ"),AND(J5353=1,I5353=0)),"?IN_FOCUS",IF(J5353&lt;=2,"?ACTIVATED",IF(J5353&lt;&gt;"","?FAMILIAR",IF(F5353="NEW",IF(ISNA(VLOOKUP(E5353,#REF!,1,FALSE())),"?TYPE_IDENTIFIABLE","?REFERENTIAL"),"_")))))</f>
        <v> </v>
      </c>
      <c r="H5353" s="24" t="str">
        <f>IF(J5353&lt;&gt;1,"",IF(I5353="SBJ","CB","?"))</f>
        <v> </v>
      </c>
      <c r="I5353" s="25" t="str">
        <f>IF(OR(E5353="",E5353="!!!",F5353="NEW"),"",INDEX(B5352:B$2,-1+SUMPRODUCT(MAX(ROW(E5352:E$2)*(E5353=E5352:E$2)))))</f>
        <v> </v>
      </c>
      <c r="J5353" s="25" t="str">
        <f>IF(OR(E5353="",E5353="!!!",F5353="NEW"),"",COUNTBLANK(OFFSET(A$1,,,SUMPRODUCT(MAX(ROW(E$2:E5353)*(E5353=E$2:E5353)))))-COUNTBLANK(OFFSET(A$1,,,SUMPRODUCT(MAX(ROW(E$1:E5352)*(E2=E$1:E5352))))))</f>
        <v> </v>
      </c>
      <c r="K5353" s="25" t="str">
        <f>IF(OR(E5353="",E5353="!!!",F5353="NEW"),"",INDEX(J$1:J5352,SUMPRODUCT(MAX(ROW(E$1:E5352)*(E5353=E$1:E5352)))))</f>
        <v> </v>
      </c>
      <c r="L5353" s="26"/>
    </row>
    <row r="5354" spans="1:12">
      <c r="A5354" s="20" t="s">
        <v>12</v>
      </c>
      <c r="E5354" s="21">
        <f>IF(D5354="?OLD","!!!","")</f>
        <v/>
      </c>
      <c r="F5354" s="22" t="str">
        <f>IF(OR(E5354="",E5354="!!!"),"",IF(NOT(ISNA(VLOOKUP(E5354,E$1:E5353,1,FALSE()))),"OLD",IF(AND(E5354&lt;&gt;"",E5354&lt;&gt;"!!!"),"NEW","")))</f>
        <v> </v>
      </c>
      <c r="G5354" s="23" t="str">
        <f>IF(OR(E5354="",E5354="!!!"),"",IF(OR(J5354=0,AND(J5354=1,K5354=1),AND(J5354=1,I5354="SBJ"),AND(J5354=1,I5354=0)),"?IN_FOCUS",IF(J5354&lt;=2,"?ACTIVATED",IF(J5354&lt;&gt;"","?FAMILIAR",IF(F5354="NEW",IF(ISNA(VLOOKUP(E5354,#REF!,1,FALSE())),"?TYPE_IDENTIFIABLE","?REFERENTIAL"),"_")))))</f>
        <v> </v>
      </c>
      <c r="H5354" s="24" t="str">
        <f>IF(J5354&lt;&gt;1,"",IF(I5354="SBJ","CB","?"))</f>
        <v> </v>
      </c>
      <c r="I5354" s="25" t="str">
        <f>IF(OR(E5354="",E5354="!!!",F5354="NEW"),"",INDEX(B5353:B$2,-1+SUMPRODUCT(MAX(ROW(E5353:E$2)*(E5354=E5353:E$2)))))</f>
        <v> </v>
      </c>
      <c r="J5354" s="25" t="str">
        <f>IF(OR(E5354="",E5354="!!!",F5354="NEW"),"",COUNTBLANK(OFFSET(A$1,,,SUMPRODUCT(MAX(ROW(E$2:E5354)*(E5354=E$2:E5354)))))-COUNTBLANK(OFFSET(A$1,,,SUMPRODUCT(MAX(ROW(E$1:E5353)*(E2=E$1:E5353))))))</f>
        <v> </v>
      </c>
      <c r="K5354" s="25" t="str">
        <f>IF(OR(E5354="",E5354="!!!",F5354="NEW"),"",INDEX(J$1:J5353,SUMPRODUCT(MAX(ROW(E$1:E5353)*(E5354=E$1:E5353)))))</f>
        <v> </v>
      </c>
      <c r="L5354" s="26"/>
    </row>
    <row r="5355" spans="1:12">
      <c r="A5355" s="20" t="s">
        <v>2573</v>
      </c>
      <c r="B5355" s="27" t="s">
        <v>1074</v>
      </c>
      <c r="C5355" s="27" t="s">
        <v>1086</v>
      </c>
      <c r="D5355" s="27" t="s">
        <v>1069</v>
      </c>
      <c r="E5355" s="21">
        <f>IF(D5355="?OLD","!!!","")</f>
        <v/>
      </c>
      <c r="F5355" s="22" t="str">
        <f>IF(OR(E5355="",E5355="!!!"),"",IF(NOT(ISNA(VLOOKUP(E5355,E$1:E5354,1,FALSE()))),"OLD",IF(AND(E5355&lt;&gt;"",E5355&lt;&gt;"!!!"),"NEW","")))</f>
        <v> </v>
      </c>
      <c r="G5355" s="23" t="str">
        <f>IF(OR(E5355="",E5355="!!!"),"",IF(OR(J5355=0,AND(J5355=1,K5355=1),AND(J5355=1,I5355="SBJ"),AND(J5355=1,I5355=0)),"?IN_FOCUS",IF(J5355&lt;=2,"?ACTIVATED",IF(J5355&lt;&gt;"","?FAMILIAR",IF(F5355="NEW",IF(ISNA(VLOOKUP(E5355,#REF!,1,FALSE())),"?TYPE_IDENTIFIABLE","?REFERENTIAL"),"_")))))</f>
        <v> </v>
      </c>
      <c r="H5355" s="24" t="str">
        <f>IF(J5355&lt;&gt;1,"",IF(I5355="SBJ","CB","?"))</f>
        <v> </v>
      </c>
      <c r="I5355" s="25" t="str">
        <f>IF(OR(E5355="",E5355="!!!",F5355="NEW"),"",INDEX(B5354:B$2,-1+SUMPRODUCT(MAX(ROW(E5354:E$2)*(E5355=E5354:E$2)))))</f>
        <v> </v>
      </c>
      <c r="J5355" s="25" t="str">
        <f>IF(OR(E5355="",E5355="!!!",F5355="NEW"),"",COUNTBLANK(OFFSET(A$1,,,SUMPRODUCT(MAX(ROW(E$2:E5355)*(E5355=E$2:E5355)))))-COUNTBLANK(OFFSET(A$1,,,SUMPRODUCT(MAX(ROW(E$1:E5354)*(E2=E$1:E5354))))))</f>
        <v> </v>
      </c>
      <c r="K5355" s="25" t="str">
        <f>IF(OR(E5355="",E5355="!!!",F5355="NEW"),"",INDEX(J$1:J5354,SUMPRODUCT(MAX(ROW(E$1:E5354)*(E5355=E$1:E5354)))))</f>
        <v> </v>
      </c>
      <c r="L5355" s="26"/>
    </row>
    <row r="5356" spans="1:12">
      <c r="A5356" s="20" t="s">
        <v>2574</v>
      </c>
      <c r="E5356" s="21">
        <f>IF(D5356="?OLD","!!!","")</f>
        <v/>
      </c>
      <c r="F5356" s="22" t="str">
        <f>IF(OR(E5356="",E5356="!!!"),"",IF(NOT(ISNA(VLOOKUP(E5356,E$1:E5355,1,FALSE()))),"OLD",IF(AND(E5356&lt;&gt;"",E5356&lt;&gt;"!!!"),"NEW","")))</f>
        <v> </v>
      </c>
      <c r="G5356" s="23" t="str">
        <f>IF(OR(E5356="",E5356="!!!"),"",IF(OR(J5356=0,AND(J5356=1,K5356=1),AND(J5356=1,I5356="SBJ"),AND(J5356=1,I5356=0)),"?IN_FOCUS",IF(J5356&lt;=2,"?ACTIVATED",IF(J5356&lt;&gt;"","?FAMILIAR",IF(F5356="NEW",IF(ISNA(VLOOKUP(E5356,#REF!,1,FALSE())),"?TYPE_IDENTIFIABLE","?REFERENTIAL"),"_")))))</f>
        <v> </v>
      </c>
      <c r="H5356" s="24" t="str">
        <f>IF(J5356&lt;&gt;1,"",IF(I5356="SBJ","CB","?"))</f>
        <v> </v>
      </c>
      <c r="I5356" s="25" t="str">
        <f>IF(OR(E5356="",E5356="!!!",F5356="NEW"),"",INDEX(B5355:B$2,-1+SUMPRODUCT(MAX(ROW(E5355:E$2)*(E5356=E5355:E$2)))))</f>
        <v> </v>
      </c>
      <c r="J5356" s="25" t="str">
        <f>IF(OR(E5356="",E5356="!!!",F5356="NEW"),"",COUNTBLANK(OFFSET(A$1,,,SUMPRODUCT(MAX(ROW(E$2:E5356)*(E5356=E$2:E5356)))))-COUNTBLANK(OFFSET(A$1,,,SUMPRODUCT(MAX(ROW(E$1:E5355)*(E2=E$1:E5355))))))</f>
        <v> </v>
      </c>
      <c r="K5356" s="25" t="str">
        <f>IF(OR(E5356="",E5356="!!!",F5356="NEW"),"",INDEX(J$1:J5355,SUMPRODUCT(MAX(ROW(E$1:E5355)*(E5356=E$1:E5355)))))</f>
        <v> </v>
      </c>
      <c r="L5356" s="26"/>
    </row>
    <row r="5357" spans="1:12">
      <c r="A5357" s="20" t="s">
        <v>1087</v>
      </c>
      <c r="E5357" s="21">
        <f>IF(D5357="?OLD","!!!","")</f>
        <v/>
      </c>
      <c r="F5357" s="22" t="str">
        <f>IF(OR(E5357="",E5357="!!!"),"",IF(NOT(ISNA(VLOOKUP(E5357,E$1:E5356,1,FALSE()))),"OLD",IF(AND(E5357&lt;&gt;"",E5357&lt;&gt;"!!!"),"NEW","")))</f>
        <v> </v>
      </c>
      <c r="G5357" s="23" t="str">
        <f>IF(OR(E5357="",E5357="!!!"),"",IF(OR(J5357=0,AND(J5357=1,K5357=1),AND(J5357=1,I5357="SBJ"),AND(J5357=1,I5357=0)),"?IN_FOCUS",IF(J5357&lt;=2,"?ACTIVATED",IF(J5357&lt;&gt;"","?FAMILIAR",IF(F5357="NEW",IF(ISNA(VLOOKUP(E5357,#REF!,1,FALSE())),"?TYPE_IDENTIFIABLE","?REFERENTIAL"),"_")))))</f>
        <v> </v>
      </c>
      <c r="H5357" s="24" t="str">
        <f>IF(J5357&lt;&gt;1,"",IF(I5357="SBJ","CB","?"))</f>
        <v> </v>
      </c>
      <c r="I5357" s="25" t="str">
        <f>IF(OR(E5357="",E5357="!!!",F5357="NEW"),"",INDEX(B5356:B$2,-1+SUMPRODUCT(MAX(ROW(E5356:E$2)*(E5357=E5356:E$2)))))</f>
        <v> </v>
      </c>
      <c r="J5357" s="25" t="str">
        <f>IF(OR(E5357="",E5357="!!!",F5357="NEW"),"",COUNTBLANK(OFFSET(A$1,,,SUMPRODUCT(MAX(ROW(E$2:E5357)*(E5357=E$2:E5357)))))-COUNTBLANK(OFFSET(A$1,,,SUMPRODUCT(MAX(ROW(E$1:E5356)*(E2=E$1:E5356))))))</f>
        <v> </v>
      </c>
      <c r="K5357" s="25" t="str">
        <f>IF(OR(E5357="",E5357="!!!",F5357="NEW"),"",INDEX(J$1:J5356,SUMPRODUCT(MAX(ROW(E$1:E5356)*(E5357=E$1:E5356)))))</f>
        <v> </v>
      </c>
      <c r="L5357" s="26"/>
    </row>
    <row r="5358" spans="1:12">
      <c r="A5358" s="20" t="s">
        <v>1301</v>
      </c>
      <c r="E5358" s="21">
        <f>IF(D5358="?OLD","!!!","")</f>
        <v/>
      </c>
      <c r="F5358" s="22" t="str">
        <f>IF(OR(E5358="",E5358="!!!"),"",IF(NOT(ISNA(VLOOKUP(E5358,E$1:E5357,1,FALSE()))),"OLD",IF(AND(E5358&lt;&gt;"",E5358&lt;&gt;"!!!"),"NEW","")))</f>
        <v> </v>
      </c>
      <c r="G5358" s="23" t="str">
        <f>IF(OR(E5358="",E5358="!!!"),"",IF(OR(J5358=0,AND(J5358=1,K5358=1),AND(J5358=1,I5358="SBJ"),AND(J5358=1,I5358=0)),"?IN_FOCUS",IF(J5358&lt;=2,"?ACTIVATED",IF(J5358&lt;&gt;"","?FAMILIAR",IF(F5358="NEW",IF(ISNA(VLOOKUP(E5358,#REF!,1,FALSE())),"?TYPE_IDENTIFIABLE","?REFERENTIAL"),"_")))))</f>
        <v> </v>
      </c>
      <c r="H5358" s="24" t="str">
        <f>IF(J5358&lt;&gt;1,"",IF(I5358="SBJ","CB","?"))</f>
        <v> </v>
      </c>
      <c r="I5358" s="25" t="str">
        <f>IF(OR(E5358="",E5358="!!!",F5358="NEW"),"",INDEX(B5357:B$2,-1+SUMPRODUCT(MAX(ROW(E5357:E$2)*(E5358=E5357:E$2)))))</f>
        <v> </v>
      </c>
      <c r="J5358" s="25" t="str">
        <f>IF(OR(E5358="",E5358="!!!",F5358="NEW"),"",COUNTBLANK(OFFSET(A$1,,,SUMPRODUCT(MAX(ROW(E$2:E5358)*(E5358=E$2:E5358)))))-COUNTBLANK(OFFSET(A$1,,,SUMPRODUCT(MAX(ROW(E$1:E5357)*(E2=E$1:E5357))))))</f>
        <v> </v>
      </c>
      <c r="K5358" s="25" t="str">
        <f>IF(OR(E5358="",E5358="!!!",F5358="NEW"),"",INDEX(J$1:J5357,SUMPRODUCT(MAX(ROW(E$1:E5357)*(E5358=E$1:E5357)))))</f>
        <v> </v>
      </c>
      <c r="L5358" s="26"/>
    </row>
    <row r="5359" spans="1:12">
      <c r="A5359" s="20" t="s">
        <v>1772</v>
      </c>
      <c r="B5359" s="27" t="s">
        <v>1095</v>
      </c>
      <c r="C5359" s="27" t="s">
        <v>1068</v>
      </c>
      <c r="D5359" s="27" t="s">
        <v>1069</v>
      </c>
      <c r="E5359" s="21">
        <f>IF(D5359="?OLD","!!!","")</f>
        <v/>
      </c>
      <c r="F5359" s="22" t="str">
        <f>IF(OR(E5359="",E5359="!!!"),"",IF(NOT(ISNA(VLOOKUP(E5359,E$1:E5358,1,FALSE()))),"OLD",IF(AND(E5359&lt;&gt;"",E5359&lt;&gt;"!!!"),"NEW","")))</f>
        <v> </v>
      </c>
      <c r="G5359" s="23" t="str">
        <f>IF(OR(E5359="",E5359="!!!"),"",IF(OR(J5359=0,AND(J5359=1,K5359=1),AND(J5359=1,I5359="SBJ"),AND(J5359=1,I5359=0)),"?IN_FOCUS",IF(J5359&lt;=2,"?ACTIVATED",IF(J5359&lt;&gt;"","?FAMILIAR",IF(F5359="NEW",IF(ISNA(VLOOKUP(E5359,#REF!,1,FALSE())),"?TYPE_IDENTIFIABLE","?REFERENTIAL"),"_")))))</f>
        <v> </v>
      </c>
      <c r="H5359" s="24" t="str">
        <f>IF(J5359&lt;&gt;1,"",IF(I5359="SBJ","CB","?"))</f>
        <v> </v>
      </c>
      <c r="I5359" s="25" t="str">
        <f>IF(OR(E5359="",E5359="!!!",F5359="NEW"),"",INDEX(B5358:B$2,-1+SUMPRODUCT(MAX(ROW(E5358:E$2)*(E5359=E5358:E$2)))))</f>
        <v> </v>
      </c>
      <c r="J5359" s="25" t="str">
        <f>IF(OR(E5359="",E5359="!!!",F5359="NEW"),"",COUNTBLANK(OFFSET(A$1,,,SUMPRODUCT(MAX(ROW(E$2:E5359)*(E5359=E$2:E5359)))))-COUNTBLANK(OFFSET(A$1,,,SUMPRODUCT(MAX(ROW(E$1:E5358)*(E2=E$1:E5358))))))</f>
        <v> </v>
      </c>
      <c r="K5359" s="25" t="str">
        <f>IF(OR(E5359="",E5359="!!!",F5359="NEW"),"",INDEX(J$1:J5358,SUMPRODUCT(MAX(ROW(E$1:E5358)*(E5359=E$1:E5358)))))</f>
        <v> </v>
      </c>
      <c r="L5359" s="26"/>
    </row>
    <row r="5360" spans="1:12">
      <c r="A5360" s="20" t="s">
        <v>1268</v>
      </c>
      <c r="E5360" s="21">
        <f>IF(D5360="?OLD","!!!","")</f>
        <v/>
      </c>
      <c r="F5360" s="22" t="str">
        <f>IF(OR(E5360="",E5360="!!!"),"",IF(NOT(ISNA(VLOOKUP(E5360,E$1:E5359,1,FALSE()))),"OLD",IF(AND(E5360&lt;&gt;"",E5360&lt;&gt;"!!!"),"NEW","")))</f>
        <v> </v>
      </c>
      <c r="G5360" s="23" t="str">
        <f>IF(OR(E5360="",E5360="!!!"),"",IF(OR(J5360=0,AND(J5360=1,K5360=1),AND(J5360=1,I5360="SBJ"),AND(J5360=1,I5360=0)),"?IN_FOCUS",IF(J5360&lt;=2,"?ACTIVATED",IF(J5360&lt;&gt;"","?FAMILIAR",IF(F5360="NEW",IF(ISNA(VLOOKUP(E5360,#REF!,1,FALSE())),"?TYPE_IDENTIFIABLE","?REFERENTIAL"),"_")))))</f>
        <v> </v>
      </c>
      <c r="H5360" s="24" t="str">
        <f>IF(J5360&lt;&gt;1,"",IF(I5360="SBJ","CB","?"))</f>
        <v> </v>
      </c>
      <c r="I5360" s="25" t="str">
        <f>IF(OR(E5360="",E5360="!!!",F5360="NEW"),"",INDEX(B5359:B$2,-1+SUMPRODUCT(MAX(ROW(E5359:E$2)*(E5360=E5359:E$2)))))</f>
        <v> </v>
      </c>
      <c r="J5360" s="25" t="str">
        <f>IF(OR(E5360="",E5360="!!!",F5360="NEW"),"",COUNTBLANK(OFFSET(A$1,,,SUMPRODUCT(MAX(ROW(E$2:E5360)*(E5360=E$2:E5360)))))-COUNTBLANK(OFFSET(A$1,,,SUMPRODUCT(MAX(ROW(E$1:E5359)*(E2=E$1:E5359))))))</f>
        <v> </v>
      </c>
      <c r="K5360" s="25" t="str">
        <f>IF(OR(E5360="",E5360="!!!",F5360="NEW"),"",INDEX(J$1:J5359,SUMPRODUCT(MAX(ROW(E$1:E5359)*(E5360=E$1:E5359)))))</f>
        <v> </v>
      </c>
      <c r="L5360" s="26"/>
    </row>
    <row r="5361" spans="1:12">
      <c r="A5361" s="20" t="s">
        <v>2575</v>
      </c>
      <c r="E5361" s="21">
        <f>IF(D5361="?OLD","!!!","")</f>
        <v/>
      </c>
      <c r="F5361" s="22" t="str">
        <f>IF(OR(E5361="",E5361="!!!"),"",IF(NOT(ISNA(VLOOKUP(E5361,E$1:E5360,1,FALSE()))),"OLD",IF(AND(E5361&lt;&gt;"",E5361&lt;&gt;"!!!"),"NEW","")))</f>
        <v> </v>
      </c>
      <c r="G5361" s="23" t="str">
        <f>IF(OR(E5361="",E5361="!!!"),"",IF(OR(J5361=0,AND(J5361=1,K5361=1),AND(J5361=1,I5361="SBJ"),AND(J5361=1,I5361=0)),"?IN_FOCUS",IF(J5361&lt;=2,"?ACTIVATED",IF(J5361&lt;&gt;"","?FAMILIAR",IF(F5361="NEW",IF(ISNA(VLOOKUP(E5361,#REF!,1,FALSE())),"?TYPE_IDENTIFIABLE","?REFERENTIAL"),"_")))))</f>
        <v> </v>
      </c>
      <c r="H5361" s="24" t="str">
        <f>IF(J5361&lt;&gt;1,"",IF(I5361="SBJ","CB","?"))</f>
        <v> </v>
      </c>
      <c r="I5361" s="25" t="str">
        <f>IF(OR(E5361="",E5361="!!!",F5361="NEW"),"",INDEX(B5360:B$2,-1+SUMPRODUCT(MAX(ROW(E5360:E$2)*(E5361=E5360:E$2)))))</f>
        <v> </v>
      </c>
      <c r="J5361" s="25" t="str">
        <f>IF(OR(E5361="",E5361="!!!",F5361="NEW"),"",COUNTBLANK(OFFSET(A$1,,,SUMPRODUCT(MAX(ROW(E$2:E5361)*(E5361=E$2:E5361)))))-COUNTBLANK(OFFSET(A$1,,,SUMPRODUCT(MAX(ROW(E$1:E5360)*(E2=E$1:E5360))))))</f>
        <v> </v>
      </c>
      <c r="K5361" s="25" t="str">
        <f>IF(OR(E5361="",E5361="!!!",F5361="NEW"),"",INDEX(J$1:J5360,SUMPRODUCT(MAX(ROW(E$1:E5360)*(E5361=E$1:E5360)))))</f>
        <v> </v>
      </c>
      <c r="L5361" s="26"/>
    </row>
    <row r="5362" spans="1:12">
      <c r="A5362" s="20" t="s">
        <v>1087</v>
      </c>
      <c r="E5362" s="21">
        <f>IF(D5362="?OLD","!!!","")</f>
        <v/>
      </c>
      <c r="F5362" s="22" t="str">
        <f>IF(OR(E5362="",E5362="!!!"),"",IF(NOT(ISNA(VLOOKUP(E5362,E$1:E5361,1,FALSE()))),"OLD",IF(AND(E5362&lt;&gt;"",E5362&lt;&gt;"!!!"),"NEW","")))</f>
        <v> </v>
      </c>
      <c r="G5362" s="23" t="str">
        <f>IF(OR(E5362="",E5362="!!!"),"",IF(OR(J5362=0,AND(J5362=1,K5362=1),AND(J5362=1,I5362="SBJ"),AND(J5362=1,I5362=0)),"?IN_FOCUS",IF(J5362&lt;=2,"?ACTIVATED",IF(J5362&lt;&gt;"","?FAMILIAR",IF(F5362="NEW",IF(ISNA(VLOOKUP(E5362,#REF!,1,FALSE())),"?TYPE_IDENTIFIABLE","?REFERENTIAL"),"_")))))</f>
        <v> </v>
      </c>
      <c r="H5362" s="24" t="str">
        <f>IF(J5362&lt;&gt;1,"",IF(I5362="SBJ","CB","?"))</f>
        <v> </v>
      </c>
      <c r="I5362" s="25" t="str">
        <f>IF(OR(E5362="",E5362="!!!",F5362="NEW"),"",INDEX(B5361:B$2,-1+SUMPRODUCT(MAX(ROW(E5361:E$2)*(E5362=E5361:E$2)))))</f>
        <v> </v>
      </c>
      <c r="J5362" s="25" t="str">
        <f>IF(OR(E5362="",E5362="!!!",F5362="NEW"),"",COUNTBLANK(OFFSET(A$1,,,SUMPRODUCT(MAX(ROW(E$2:E5362)*(E5362=E$2:E5362)))))-COUNTBLANK(OFFSET(A$1,,,SUMPRODUCT(MAX(ROW(E$1:E5361)*(E2=E$1:E5361))))))</f>
        <v> </v>
      </c>
      <c r="K5362" s="25" t="str">
        <f>IF(OR(E5362="",E5362="!!!",F5362="NEW"),"",INDEX(J$1:J5361,SUMPRODUCT(MAX(ROW(E$1:E5361)*(E5362=E$1:E5361)))))</f>
        <v> </v>
      </c>
      <c r="L5362" s="26"/>
    </row>
    <row r="5363" spans="1:12">
      <c r="A5363" s="20" t="s">
        <v>1149</v>
      </c>
      <c r="E5363" s="21">
        <f>IF(D5363="?OLD","!!!","")</f>
        <v/>
      </c>
      <c r="F5363" s="22" t="str">
        <f>IF(OR(E5363="",E5363="!!!"),"",IF(NOT(ISNA(VLOOKUP(E5363,E$1:E5362,1,FALSE()))),"OLD",IF(AND(E5363&lt;&gt;"",E5363&lt;&gt;"!!!"),"NEW","")))</f>
        <v> </v>
      </c>
      <c r="G5363" s="23" t="str">
        <f>IF(OR(E5363="",E5363="!!!"),"",IF(OR(J5363=0,AND(J5363=1,K5363=1),AND(J5363=1,I5363="SBJ"),AND(J5363=1,I5363=0)),"?IN_FOCUS",IF(J5363&lt;=2,"?ACTIVATED",IF(J5363&lt;&gt;"","?FAMILIAR",IF(F5363="NEW",IF(ISNA(VLOOKUP(E5363,#REF!,1,FALSE())),"?TYPE_IDENTIFIABLE","?REFERENTIAL"),"_")))))</f>
        <v> </v>
      </c>
      <c r="H5363" s="24" t="str">
        <f>IF(J5363&lt;&gt;1,"",IF(I5363="SBJ","CB","?"))</f>
        <v> </v>
      </c>
      <c r="I5363" s="25" t="str">
        <f>IF(OR(E5363="",E5363="!!!",F5363="NEW"),"",INDEX(B5362:B$2,-1+SUMPRODUCT(MAX(ROW(E5362:E$2)*(E5363=E5362:E$2)))))</f>
        <v> </v>
      </c>
      <c r="J5363" s="25" t="str">
        <f>IF(OR(E5363="",E5363="!!!",F5363="NEW"),"",COUNTBLANK(OFFSET(A$1,,,SUMPRODUCT(MAX(ROW(E$2:E5363)*(E5363=E$2:E5363)))))-COUNTBLANK(OFFSET(A$1,,,SUMPRODUCT(MAX(ROW(E$1:E5362)*(E2=E$1:E5362))))))</f>
        <v> </v>
      </c>
      <c r="K5363" s="25" t="str">
        <f>IF(OR(E5363="",E5363="!!!",F5363="NEW"),"",INDEX(J$1:J5362,SUMPRODUCT(MAX(ROW(E$1:E5362)*(E5363=E$1:E5362)))))</f>
        <v> </v>
      </c>
      <c r="L5363" s="26"/>
    </row>
    <row r="5364" spans="1:12">
      <c r="A5364" s="20" t="s">
        <v>1083</v>
      </c>
      <c r="E5364" s="21">
        <f>IF(D5364="?OLD","!!!","")</f>
        <v/>
      </c>
      <c r="F5364" s="22" t="str">
        <f>IF(OR(E5364="",E5364="!!!"),"",IF(NOT(ISNA(VLOOKUP(E5364,E$1:E5363,1,FALSE()))),"OLD",IF(AND(E5364&lt;&gt;"",E5364&lt;&gt;"!!!"),"NEW","")))</f>
        <v> </v>
      </c>
      <c r="G5364" s="23" t="str">
        <f>IF(OR(E5364="",E5364="!!!"),"",IF(OR(J5364=0,AND(J5364=1,K5364=1),AND(J5364=1,I5364="SBJ"),AND(J5364=1,I5364=0)),"?IN_FOCUS",IF(J5364&lt;=2,"?ACTIVATED",IF(J5364&lt;&gt;"","?FAMILIAR",IF(F5364="NEW",IF(ISNA(VLOOKUP(E5364,#REF!,1,FALSE())),"?TYPE_IDENTIFIABLE","?REFERENTIAL"),"_")))))</f>
        <v> </v>
      </c>
      <c r="H5364" s="24" t="str">
        <f>IF(J5364&lt;&gt;1,"",IF(I5364="SBJ","CB","?"))</f>
        <v> </v>
      </c>
      <c r="I5364" s="25" t="str">
        <f>IF(OR(E5364="",E5364="!!!",F5364="NEW"),"",INDEX(B5363:B$2,-1+SUMPRODUCT(MAX(ROW(E5363:E$2)*(E5364=E5363:E$2)))))</f>
        <v> </v>
      </c>
      <c r="J5364" s="25" t="str">
        <f>IF(OR(E5364="",E5364="!!!",F5364="NEW"),"",COUNTBLANK(OFFSET(A$1,,,SUMPRODUCT(MAX(ROW(E$2:E5364)*(E5364=E$2:E5364)))))-COUNTBLANK(OFFSET(A$1,,,SUMPRODUCT(MAX(ROW(E$1:E5363)*(E2=E$1:E5363))))))</f>
        <v> </v>
      </c>
      <c r="K5364" s="25" t="str">
        <f>IF(OR(E5364="",E5364="!!!",F5364="NEW"),"",INDEX(J$1:J5363,SUMPRODUCT(MAX(ROW(E$1:E5363)*(E5364=E$1:E5363)))))</f>
        <v> </v>
      </c>
      <c r="L5364" s="26"/>
    </row>
    <row r="5365" spans="1:12">
      <c r="A5365" s="20" t="s">
        <v>1185</v>
      </c>
      <c r="E5365" s="21">
        <f>IF(D5365="?OLD","!!!","")</f>
        <v/>
      </c>
      <c r="F5365" s="22" t="str">
        <f>IF(OR(E5365="",E5365="!!!"),"",IF(NOT(ISNA(VLOOKUP(E5365,E$1:E5364,1,FALSE()))),"OLD",IF(AND(E5365&lt;&gt;"",E5365&lt;&gt;"!!!"),"NEW","")))</f>
        <v> </v>
      </c>
      <c r="G5365" s="23" t="str">
        <f>IF(OR(E5365="",E5365="!!!"),"",IF(OR(J5365=0,AND(J5365=1,K5365=1),AND(J5365=1,I5365="SBJ"),AND(J5365=1,I5365=0)),"?IN_FOCUS",IF(J5365&lt;=2,"?ACTIVATED",IF(J5365&lt;&gt;"","?FAMILIAR",IF(F5365="NEW",IF(ISNA(VLOOKUP(E5365,#REF!,1,FALSE())),"?TYPE_IDENTIFIABLE","?REFERENTIAL"),"_")))))</f>
        <v> </v>
      </c>
      <c r="H5365" s="24" t="str">
        <f>IF(J5365&lt;&gt;1,"",IF(I5365="SBJ","CB","?"))</f>
        <v> </v>
      </c>
      <c r="I5365" s="25" t="str">
        <f>IF(OR(E5365="",E5365="!!!",F5365="NEW"),"",INDEX(B5364:B$2,-1+SUMPRODUCT(MAX(ROW(E5364:E$2)*(E5365=E5364:E$2)))))</f>
        <v> </v>
      </c>
      <c r="J5365" s="25" t="str">
        <f>IF(OR(E5365="",E5365="!!!",F5365="NEW"),"",COUNTBLANK(OFFSET(A$1,,,SUMPRODUCT(MAX(ROW(E$2:E5365)*(E5365=E$2:E5365)))))-COUNTBLANK(OFFSET(A$1,,,SUMPRODUCT(MAX(ROW(E$1:E5364)*(E2=E$1:E5364))))))</f>
        <v> </v>
      </c>
      <c r="K5365" s="25" t="str">
        <f>IF(OR(E5365="",E5365="!!!",F5365="NEW"),"",INDEX(J$1:J5364,SUMPRODUCT(MAX(ROW(E$1:E5364)*(E5365=E$1:E5364)))))</f>
        <v> </v>
      </c>
      <c r="L5365" s="26"/>
    </row>
    <row r="5366" spans="1:12">
      <c r="A5366" s="20" t="s">
        <v>1193</v>
      </c>
      <c r="E5366" s="21">
        <f>IF(D5366="?OLD","!!!","")</f>
        <v/>
      </c>
      <c r="F5366" s="22" t="str">
        <f>IF(OR(E5366="",E5366="!!!"),"",IF(NOT(ISNA(VLOOKUP(E5366,E$1:E5365,1,FALSE()))),"OLD",IF(AND(E5366&lt;&gt;"",E5366&lt;&gt;"!!!"),"NEW","")))</f>
        <v> </v>
      </c>
      <c r="G5366" s="23" t="str">
        <f>IF(OR(E5366="",E5366="!!!"),"",IF(OR(J5366=0,AND(J5366=1,K5366=1),AND(J5366=1,I5366="SBJ"),AND(J5366=1,I5366=0)),"?IN_FOCUS",IF(J5366&lt;=2,"?ACTIVATED",IF(J5366&lt;&gt;"","?FAMILIAR",IF(F5366="NEW",IF(ISNA(VLOOKUP(E5366,#REF!,1,FALSE())),"?TYPE_IDENTIFIABLE","?REFERENTIAL"),"_")))))</f>
        <v> </v>
      </c>
      <c r="H5366" s="24" t="str">
        <f>IF(J5366&lt;&gt;1,"",IF(I5366="SBJ","CB","?"))</f>
        <v> </v>
      </c>
      <c r="I5366" s="25" t="str">
        <f>IF(OR(E5366="",E5366="!!!",F5366="NEW"),"",INDEX(B5365:B$2,-1+SUMPRODUCT(MAX(ROW(E5365:E$2)*(E5366=E5365:E$2)))))</f>
        <v> </v>
      </c>
      <c r="J5366" s="25" t="str">
        <f>IF(OR(E5366="",E5366="!!!",F5366="NEW"),"",COUNTBLANK(OFFSET(A$1,,,SUMPRODUCT(MAX(ROW(E$2:E5366)*(E5366=E$2:E5366)))))-COUNTBLANK(OFFSET(A$1,,,SUMPRODUCT(MAX(ROW(E$1:E5365)*(E2=E$1:E5365))))))</f>
        <v> </v>
      </c>
      <c r="K5366" s="25" t="str">
        <f>IF(OR(E5366="",E5366="!!!",F5366="NEW"),"",INDEX(J$1:J5365,SUMPRODUCT(MAX(ROW(E$1:E5365)*(E5366=E$1:E5365)))))</f>
        <v> </v>
      </c>
      <c r="L5366" s="26"/>
    </row>
    <row r="5367" spans="1:12">
      <c r="A5367" s="20" t="s">
        <v>2576</v>
      </c>
      <c r="E5367" s="21">
        <f>IF(D5367="?OLD","!!!","")</f>
        <v/>
      </c>
      <c r="F5367" s="22" t="str">
        <f>IF(OR(E5367="",E5367="!!!"),"",IF(NOT(ISNA(VLOOKUP(E5367,E$1:E5366,1,FALSE()))),"OLD",IF(AND(E5367&lt;&gt;"",E5367&lt;&gt;"!!!"),"NEW","")))</f>
        <v> </v>
      </c>
      <c r="G5367" s="23" t="str">
        <f>IF(OR(E5367="",E5367="!!!"),"",IF(OR(J5367=0,AND(J5367=1,K5367=1),AND(J5367=1,I5367="SBJ"),AND(J5367=1,I5367=0)),"?IN_FOCUS",IF(J5367&lt;=2,"?ACTIVATED",IF(J5367&lt;&gt;"","?FAMILIAR",IF(F5367="NEW",IF(ISNA(VLOOKUP(E5367,#REF!,1,FALSE())),"?TYPE_IDENTIFIABLE","?REFERENTIAL"),"_")))))</f>
        <v> </v>
      </c>
      <c r="H5367" s="24" t="str">
        <f>IF(J5367&lt;&gt;1,"",IF(I5367="SBJ","CB","?"))</f>
        <v> </v>
      </c>
      <c r="I5367" s="25" t="str">
        <f>IF(OR(E5367="",E5367="!!!",F5367="NEW"),"",INDEX(B5366:B$2,-1+SUMPRODUCT(MAX(ROW(E5366:E$2)*(E5367=E5366:E$2)))))</f>
        <v> </v>
      </c>
      <c r="J5367" s="25" t="str">
        <f>IF(OR(E5367="",E5367="!!!",F5367="NEW"),"",COUNTBLANK(OFFSET(A$1,,,SUMPRODUCT(MAX(ROW(E$2:E5367)*(E5367=E$2:E5367)))))-COUNTBLANK(OFFSET(A$1,,,SUMPRODUCT(MAX(ROW(E$1:E5366)*(E2=E$1:E5366))))))</f>
        <v> </v>
      </c>
      <c r="K5367" s="25" t="str">
        <f>IF(OR(E5367="",E5367="!!!",F5367="NEW"),"",INDEX(J$1:J5366,SUMPRODUCT(MAX(ROW(E$1:E5366)*(E5367=E$1:E5366)))))</f>
        <v> </v>
      </c>
      <c r="L5367" s="26"/>
    </row>
    <row r="5368" spans="1:12">
      <c r="A5368" s="20" t="s">
        <v>1909</v>
      </c>
      <c r="B5368" s="27" t="s">
        <v>1092</v>
      </c>
      <c r="C5368" s="27" t="s">
        <v>1131</v>
      </c>
      <c r="D5368" s="27" t="s">
        <v>1069</v>
      </c>
      <c r="E5368" s="21">
        <f>IF(D5368="?OLD","!!!","")</f>
        <v/>
      </c>
      <c r="F5368" s="22" t="str">
        <f>IF(OR(E5368="",E5368="!!!"),"",IF(NOT(ISNA(VLOOKUP(E5368,E$1:E5367,1,FALSE()))),"OLD",IF(AND(E5368&lt;&gt;"",E5368&lt;&gt;"!!!"),"NEW","")))</f>
        <v> </v>
      </c>
      <c r="G5368" s="23" t="str">
        <f>IF(OR(E5368="",E5368="!!!"),"",IF(OR(J5368=0,AND(J5368=1,K5368=1),AND(J5368=1,I5368="SBJ"),AND(J5368=1,I5368=0)),"?IN_FOCUS",IF(J5368&lt;=2,"?ACTIVATED",IF(J5368&lt;&gt;"","?FAMILIAR",IF(F5368="NEW",IF(ISNA(VLOOKUP(E5368,#REF!,1,FALSE())),"?TYPE_IDENTIFIABLE","?REFERENTIAL"),"_")))))</f>
        <v> </v>
      </c>
      <c r="H5368" s="24" t="str">
        <f>IF(J5368&lt;&gt;1,"",IF(I5368="SBJ","CB","?"))</f>
        <v> </v>
      </c>
      <c r="I5368" s="25" t="str">
        <f>IF(OR(E5368="",E5368="!!!",F5368="NEW"),"",INDEX(B5367:B$2,-1+SUMPRODUCT(MAX(ROW(E5367:E$2)*(E5368=E5367:E$2)))))</f>
        <v> </v>
      </c>
      <c r="J5368" s="25" t="str">
        <f>IF(OR(E5368="",E5368="!!!",F5368="NEW"),"",COUNTBLANK(OFFSET(A$1,,,SUMPRODUCT(MAX(ROW(E$2:E5368)*(E5368=E$2:E5368)))))-COUNTBLANK(OFFSET(A$1,,,SUMPRODUCT(MAX(ROW(E$1:E5367)*(E2=E$1:E5367))))))</f>
        <v> </v>
      </c>
      <c r="K5368" s="25" t="str">
        <f>IF(OR(E5368="",E5368="!!!",F5368="NEW"),"",INDEX(J$1:J5367,SUMPRODUCT(MAX(ROW(E$1:E5367)*(E5368=E$1:E5367)))))</f>
        <v> </v>
      </c>
      <c r="L5368" s="26"/>
    </row>
    <row r="5369" spans="1:12">
      <c r="A5369" s="20" t="s">
        <v>1191</v>
      </c>
      <c r="E5369" s="21">
        <f>IF(D5369="?OLD","!!!","")</f>
        <v/>
      </c>
      <c r="F5369" s="22" t="str">
        <f>IF(OR(E5369="",E5369="!!!"),"",IF(NOT(ISNA(VLOOKUP(E5369,E$1:E5368,1,FALSE()))),"OLD",IF(AND(E5369&lt;&gt;"",E5369&lt;&gt;"!!!"),"NEW","")))</f>
        <v> </v>
      </c>
      <c r="G5369" s="23" t="str">
        <f>IF(OR(E5369="",E5369="!!!"),"",IF(OR(J5369=0,AND(J5369=1,K5369=1),AND(J5369=1,I5369="SBJ"),AND(J5369=1,I5369=0)),"?IN_FOCUS",IF(J5369&lt;=2,"?ACTIVATED",IF(J5369&lt;&gt;"","?FAMILIAR",IF(F5369="NEW",IF(ISNA(VLOOKUP(E5369,#REF!,1,FALSE())),"?TYPE_IDENTIFIABLE","?REFERENTIAL"),"_")))))</f>
        <v> </v>
      </c>
      <c r="H5369" s="24" t="str">
        <f>IF(J5369&lt;&gt;1,"",IF(I5369="SBJ","CB","?"))</f>
        <v> </v>
      </c>
      <c r="I5369" s="25" t="str">
        <f>IF(OR(E5369="",E5369="!!!",F5369="NEW"),"",INDEX(B5368:B$2,-1+SUMPRODUCT(MAX(ROW(E5368:E$2)*(E5369=E5368:E$2)))))</f>
        <v> </v>
      </c>
      <c r="J5369" s="25" t="str">
        <f>IF(OR(E5369="",E5369="!!!",F5369="NEW"),"",COUNTBLANK(OFFSET(A$1,,,SUMPRODUCT(MAX(ROW(E$2:E5369)*(E5369=E$2:E5369)))))-COUNTBLANK(OFFSET(A$1,,,SUMPRODUCT(MAX(ROW(E$1:E5368)*(E2=E$1:E5368))))))</f>
        <v> </v>
      </c>
      <c r="K5369" s="25" t="str">
        <f>IF(OR(E5369="",E5369="!!!",F5369="NEW"),"",INDEX(J$1:J5368,SUMPRODUCT(MAX(ROW(E$1:E5368)*(E5369=E$1:E5368)))))</f>
        <v> </v>
      </c>
      <c r="L5369" s="26"/>
    </row>
    <row r="5370" spans="1:12">
      <c r="A5370" s="20" t="s">
        <v>1078</v>
      </c>
      <c r="E5370" s="21">
        <f>IF(D5370="?OLD","!!!","")</f>
        <v/>
      </c>
      <c r="F5370" s="22" t="str">
        <f>IF(OR(E5370="",E5370="!!!"),"",IF(NOT(ISNA(VLOOKUP(E5370,E$1:E5369,1,FALSE()))),"OLD",IF(AND(E5370&lt;&gt;"",E5370&lt;&gt;"!!!"),"NEW","")))</f>
        <v> </v>
      </c>
      <c r="G5370" s="23" t="str">
        <f>IF(OR(E5370="",E5370="!!!"),"",IF(OR(J5370=0,AND(J5370=1,K5370=1),AND(J5370=1,I5370="SBJ"),AND(J5370=1,I5370=0)),"?IN_FOCUS",IF(J5370&lt;=2,"?ACTIVATED",IF(J5370&lt;&gt;"","?FAMILIAR",IF(F5370="NEW",IF(ISNA(VLOOKUP(E5370,#REF!,1,FALSE())),"?TYPE_IDENTIFIABLE","?REFERENTIAL"),"_")))))</f>
        <v> </v>
      </c>
      <c r="H5370" s="24" t="str">
        <f>IF(J5370&lt;&gt;1,"",IF(I5370="SBJ","CB","?"))</f>
        <v> </v>
      </c>
      <c r="I5370" s="25" t="str">
        <f>IF(OR(E5370="",E5370="!!!",F5370="NEW"),"",INDEX(B5369:B$2,-1+SUMPRODUCT(MAX(ROW(E5369:E$2)*(E5370=E5369:E$2)))))</f>
        <v> </v>
      </c>
      <c r="J5370" s="25" t="str">
        <f>IF(OR(E5370="",E5370="!!!",F5370="NEW"),"",COUNTBLANK(OFFSET(A$1,,,SUMPRODUCT(MAX(ROW(E$2:E5370)*(E5370=E$2:E5370)))))-COUNTBLANK(OFFSET(A$1,,,SUMPRODUCT(MAX(ROW(E$1:E5369)*(E2=E$1:E5369))))))</f>
        <v> </v>
      </c>
      <c r="K5370" s="25" t="str">
        <f>IF(OR(E5370="",E5370="!!!",F5370="NEW"),"",INDEX(J$1:J5369,SUMPRODUCT(MAX(ROW(E$1:E5369)*(E5370=E$1:E5369)))))</f>
        <v> </v>
      </c>
      <c r="L5370" s="26"/>
    </row>
    <row r="5371" spans="1:12">
      <c r="A5371" s="20" t="s">
        <v>1232</v>
      </c>
      <c r="E5371" s="21">
        <f>IF(D5371="?OLD","!!!","")</f>
        <v/>
      </c>
      <c r="F5371" s="22" t="str">
        <f>IF(OR(E5371="",E5371="!!!"),"",IF(NOT(ISNA(VLOOKUP(E5371,E$1:E5370,1,FALSE()))),"OLD",IF(AND(E5371&lt;&gt;"",E5371&lt;&gt;"!!!"),"NEW","")))</f>
        <v> </v>
      </c>
      <c r="G5371" s="23" t="str">
        <f>IF(OR(E5371="",E5371="!!!"),"",IF(OR(J5371=0,AND(J5371=1,K5371=1),AND(J5371=1,I5371="SBJ"),AND(J5371=1,I5371=0)),"?IN_FOCUS",IF(J5371&lt;=2,"?ACTIVATED",IF(J5371&lt;&gt;"","?FAMILIAR",IF(F5371="NEW",IF(ISNA(VLOOKUP(E5371,#REF!,1,FALSE())),"?TYPE_IDENTIFIABLE","?REFERENTIAL"),"_")))))</f>
        <v> </v>
      </c>
      <c r="H5371" s="24" t="str">
        <f>IF(J5371&lt;&gt;1,"",IF(I5371="SBJ","CB","?"))</f>
        <v> </v>
      </c>
      <c r="I5371" s="25" t="str">
        <f>IF(OR(E5371="",E5371="!!!",F5371="NEW"),"",INDEX(B5370:B$2,-1+SUMPRODUCT(MAX(ROW(E5370:E$2)*(E5371=E5370:E$2)))))</f>
        <v> </v>
      </c>
      <c r="J5371" s="25" t="str">
        <f>IF(OR(E5371="",E5371="!!!",F5371="NEW"),"",COUNTBLANK(OFFSET(A$1,,,SUMPRODUCT(MAX(ROW(E$2:E5371)*(E5371=E$2:E5371)))))-COUNTBLANK(OFFSET(A$1,,,SUMPRODUCT(MAX(ROW(E$1:E5370)*(E2=E$1:E5370))))))</f>
        <v> </v>
      </c>
      <c r="K5371" s="25" t="str">
        <f>IF(OR(E5371="",E5371="!!!",F5371="NEW"),"",INDEX(J$1:J5370,SUMPRODUCT(MAX(ROW(E$1:E5370)*(E5371=E$1:E5370)))))</f>
        <v> </v>
      </c>
      <c r="L5371" s="26"/>
    </row>
    <row r="5372" spans="1:12">
      <c r="A5372" s="20" t="s">
        <v>2577</v>
      </c>
      <c r="E5372" s="21">
        <f>IF(D5372="?OLD","!!!","")</f>
        <v/>
      </c>
      <c r="F5372" s="22" t="str">
        <f>IF(OR(E5372="",E5372="!!!"),"",IF(NOT(ISNA(VLOOKUP(E5372,E$1:E5371,1,FALSE()))),"OLD",IF(AND(E5372&lt;&gt;"",E5372&lt;&gt;"!!!"),"NEW","")))</f>
        <v> </v>
      </c>
      <c r="G5372" s="23" t="str">
        <f>IF(OR(E5372="",E5372="!!!"),"",IF(OR(J5372=0,AND(J5372=1,K5372=1),AND(J5372=1,I5372="SBJ"),AND(J5372=1,I5372=0)),"?IN_FOCUS",IF(J5372&lt;=2,"?ACTIVATED",IF(J5372&lt;&gt;"","?FAMILIAR",IF(F5372="NEW",IF(ISNA(VLOOKUP(E5372,#REF!,1,FALSE())),"?TYPE_IDENTIFIABLE","?REFERENTIAL"),"_")))))</f>
        <v> </v>
      </c>
      <c r="H5372" s="24" t="str">
        <f>IF(J5372&lt;&gt;1,"",IF(I5372="SBJ","CB","?"))</f>
        <v> </v>
      </c>
      <c r="I5372" s="25" t="str">
        <f>IF(OR(E5372="",E5372="!!!",F5372="NEW"),"",INDEX(B5371:B$2,-1+SUMPRODUCT(MAX(ROW(E5371:E$2)*(E5372=E5371:E$2)))))</f>
        <v> </v>
      </c>
      <c r="J5372" s="25" t="str">
        <f>IF(OR(E5372="",E5372="!!!",F5372="NEW"),"",COUNTBLANK(OFFSET(A$1,,,SUMPRODUCT(MAX(ROW(E$2:E5372)*(E5372=E$2:E5372)))))-COUNTBLANK(OFFSET(A$1,,,SUMPRODUCT(MAX(ROW(E$1:E5371)*(E2=E$1:E5371))))))</f>
        <v> </v>
      </c>
      <c r="K5372" s="25" t="str">
        <f>IF(OR(E5372="",E5372="!!!",F5372="NEW"),"",INDEX(J$1:J5371,SUMPRODUCT(MAX(ROW(E$1:E5371)*(E5372=E$1:E5371)))))</f>
        <v> </v>
      </c>
      <c r="L5372" s="26"/>
    </row>
    <row r="5373" spans="1:12">
      <c r="A5373" s="20" t="s">
        <v>1772</v>
      </c>
      <c r="B5373" s="27" t="s">
        <v>1109</v>
      </c>
      <c r="C5373" s="27" t="s">
        <v>1068</v>
      </c>
      <c r="D5373" s="27" t="s">
        <v>1069</v>
      </c>
      <c r="E5373" s="21">
        <f>IF(D5373="?OLD","!!!","")</f>
        <v/>
      </c>
      <c r="F5373" s="22" t="str">
        <f>IF(OR(E5373="",E5373="!!!"),"",IF(NOT(ISNA(VLOOKUP(E5373,E$1:E5372,1,FALSE()))),"OLD",IF(AND(E5373&lt;&gt;"",E5373&lt;&gt;"!!!"),"NEW","")))</f>
        <v> </v>
      </c>
      <c r="G5373" s="23" t="str">
        <f>IF(OR(E5373="",E5373="!!!"),"",IF(OR(J5373=0,AND(J5373=1,K5373=1),AND(J5373=1,I5373="SBJ"),AND(J5373=1,I5373=0)),"?IN_FOCUS",IF(J5373&lt;=2,"?ACTIVATED",IF(J5373&lt;&gt;"","?FAMILIAR",IF(F5373="NEW",IF(ISNA(VLOOKUP(E5373,#REF!,1,FALSE())),"?TYPE_IDENTIFIABLE","?REFERENTIAL"),"_")))))</f>
        <v> </v>
      </c>
      <c r="H5373" s="24" t="str">
        <f>IF(J5373&lt;&gt;1,"",IF(I5373="SBJ","CB","?"))</f>
        <v> </v>
      </c>
      <c r="I5373" s="25" t="str">
        <f>IF(OR(E5373="",E5373="!!!",F5373="NEW"),"",INDEX(B5372:B$2,-1+SUMPRODUCT(MAX(ROW(E5372:E$2)*(E5373=E5372:E$2)))))</f>
        <v> </v>
      </c>
      <c r="J5373" s="25" t="str">
        <f>IF(OR(E5373="",E5373="!!!",F5373="NEW"),"",COUNTBLANK(OFFSET(A$1,,,SUMPRODUCT(MAX(ROW(E$2:E5373)*(E5373=E$2:E5373)))))-COUNTBLANK(OFFSET(A$1,,,SUMPRODUCT(MAX(ROW(E$1:E5372)*(E2=E$1:E5372))))))</f>
        <v> </v>
      </c>
      <c r="K5373" s="25" t="str">
        <f>IF(OR(E5373="",E5373="!!!",F5373="NEW"),"",INDEX(J$1:J5372,SUMPRODUCT(MAX(ROW(E$1:E5372)*(E5373=E$1:E5372)))))</f>
        <v> </v>
      </c>
      <c r="L5373" s="26"/>
    </row>
    <row r="5374" spans="1:12">
      <c r="A5374" s="20" t="s">
        <v>1539</v>
      </c>
      <c r="E5374" s="21">
        <f>IF(D5374="?OLD","!!!","")</f>
        <v/>
      </c>
      <c r="F5374" s="22" t="str">
        <f>IF(OR(E5374="",E5374="!!!"),"",IF(NOT(ISNA(VLOOKUP(E5374,E$1:E5373,1,FALSE()))),"OLD",IF(AND(E5374&lt;&gt;"",E5374&lt;&gt;"!!!"),"NEW","")))</f>
        <v> </v>
      </c>
      <c r="G5374" s="23" t="str">
        <f>IF(OR(E5374="",E5374="!!!"),"",IF(OR(J5374=0,AND(J5374=1,K5374=1),AND(J5374=1,I5374="SBJ"),AND(J5374=1,I5374=0)),"?IN_FOCUS",IF(J5374&lt;=2,"?ACTIVATED",IF(J5374&lt;&gt;"","?FAMILIAR",IF(F5374="NEW",IF(ISNA(VLOOKUP(E5374,#REF!,1,FALSE())),"?TYPE_IDENTIFIABLE","?REFERENTIAL"),"_")))))</f>
        <v> </v>
      </c>
      <c r="H5374" s="24" t="str">
        <f>IF(J5374&lt;&gt;1,"",IF(I5374="SBJ","CB","?"))</f>
        <v> </v>
      </c>
      <c r="I5374" s="25" t="str">
        <f>IF(OR(E5374="",E5374="!!!",F5374="NEW"),"",INDEX(B5373:B$2,-1+SUMPRODUCT(MAX(ROW(E5373:E$2)*(E5374=E5373:E$2)))))</f>
        <v> </v>
      </c>
      <c r="J5374" s="25" t="str">
        <f>IF(OR(E5374="",E5374="!!!",F5374="NEW"),"",COUNTBLANK(OFFSET(A$1,,,SUMPRODUCT(MAX(ROW(E$2:E5374)*(E5374=E$2:E5374)))))-COUNTBLANK(OFFSET(A$1,,,SUMPRODUCT(MAX(ROW(E$1:E5373)*(E2=E$1:E5373))))))</f>
        <v> </v>
      </c>
      <c r="K5374" s="25" t="str">
        <f>IF(OR(E5374="",E5374="!!!",F5374="NEW"),"",INDEX(J$1:J5373,SUMPRODUCT(MAX(ROW(E$1:E5373)*(E5374=E$1:E5373)))))</f>
        <v> </v>
      </c>
      <c r="L5374" s="26"/>
    </row>
    <row r="5375" spans="1:12">
      <c r="A5375" s="20" t="s">
        <v>1083</v>
      </c>
      <c r="E5375" s="21">
        <f>IF(D5375="?OLD","!!!","")</f>
        <v/>
      </c>
      <c r="F5375" s="22" t="str">
        <f>IF(OR(E5375="",E5375="!!!"),"",IF(NOT(ISNA(VLOOKUP(E5375,E$1:E5374,1,FALSE()))),"OLD",IF(AND(E5375&lt;&gt;"",E5375&lt;&gt;"!!!"),"NEW","")))</f>
        <v> </v>
      </c>
      <c r="G5375" s="23" t="str">
        <f>IF(OR(E5375="",E5375="!!!"),"",IF(OR(J5375=0,AND(J5375=1,K5375=1),AND(J5375=1,I5375="SBJ"),AND(J5375=1,I5375=0)),"?IN_FOCUS",IF(J5375&lt;=2,"?ACTIVATED",IF(J5375&lt;&gt;"","?FAMILIAR",IF(F5375="NEW",IF(ISNA(VLOOKUP(E5375,#REF!,1,FALSE())),"?TYPE_IDENTIFIABLE","?REFERENTIAL"),"_")))))</f>
        <v> </v>
      </c>
      <c r="H5375" s="24" t="str">
        <f>IF(J5375&lt;&gt;1,"",IF(I5375="SBJ","CB","?"))</f>
        <v> </v>
      </c>
      <c r="I5375" s="25" t="str">
        <f>IF(OR(E5375="",E5375="!!!",F5375="NEW"),"",INDEX(B5374:B$2,-1+SUMPRODUCT(MAX(ROW(E5374:E$2)*(E5375=E5374:E$2)))))</f>
        <v> </v>
      </c>
      <c r="J5375" s="25" t="str">
        <f>IF(OR(E5375="",E5375="!!!",F5375="NEW"),"",COUNTBLANK(OFFSET(A$1,,,SUMPRODUCT(MAX(ROW(E$2:E5375)*(E5375=E$2:E5375)))))-COUNTBLANK(OFFSET(A$1,,,SUMPRODUCT(MAX(ROW(E$1:E5374)*(E2=E$1:E5374))))))</f>
        <v> </v>
      </c>
      <c r="K5375" s="25" t="str">
        <f>IF(OR(E5375="",E5375="!!!",F5375="NEW"),"",INDEX(J$1:J5374,SUMPRODUCT(MAX(ROW(E$1:E5374)*(E5375=E$1:E5374)))))</f>
        <v> </v>
      </c>
      <c r="L5375" s="26"/>
    </row>
    <row r="5376" spans="1:12">
      <c r="A5376" s="20" t="s">
        <v>2578</v>
      </c>
      <c r="B5376" s="27" t="s">
        <v>1107</v>
      </c>
      <c r="C5376" s="27" t="s">
        <v>1086</v>
      </c>
      <c r="D5376" s="27" t="s">
        <v>1069</v>
      </c>
      <c r="E5376" s="21">
        <f>IF(D5376="?OLD","!!!","")</f>
        <v/>
      </c>
      <c r="F5376" s="22" t="str">
        <f>IF(OR(E5376="",E5376="!!!"),"",IF(NOT(ISNA(VLOOKUP(E5376,E$1:E5375,1,FALSE()))),"OLD",IF(AND(E5376&lt;&gt;"",E5376&lt;&gt;"!!!"),"NEW","")))</f>
        <v> </v>
      </c>
      <c r="G5376" s="23" t="str">
        <f>IF(OR(E5376="",E5376="!!!"),"",IF(OR(J5376=0,AND(J5376=1,K5376=1),AND(J5376=1,I5376="SBJ"),AND(J5376=1,I5376=0)),"?IN_FOCUS",IF(J5376&lt;=2,"?ACTIVATED",IF(J5376&lt;&gt;"","?FAMILIAR",IF(F5376="NEW",IF(ISNA(VLOOKUP(E5376,#REF!,1,FALSE())),"?TYPE_IDENTIFIABLE","?REFERENTIAL"),"_")))))</f>
        <v> </v>
      </c>
      <c r="H5376" s="24" t="str">
        <f>IF(J5376&lt;&gt;1,"",IF(I5376="SBJ","CB","?"))</f>
        <v> </v>
      </c>
      <c r="I5376" s="25" t="str">
        <f>IF(OR(E5376="",E5376="!!!",F5376="NEW"),"",INDEX(B5375:B$2,-1+SUMPRODUCT(MAX(ROW(E5375:E$2)*(E5376=E5375:E$2)))))</f>
        <v> </v>
      </c>
      <c r="J5376" s="25" t="str">
        <f>IF(OR(E5376="",E5376="!!!",F5376="NEW"),"",COUNTBLANK(OFFSET(A$1,,,SUMPRODUCT(MAX(ROW(E$2:E5376)*(E5376=E$2:E5376)))))-COUNTBLANK(OFFSET(A$1,,,SUMPRODUCT(MAX(ROW(E$1:E5375)*(E2=E$1:E5375))))))</f>
        <v> </v>
      </c>
      <c r="K5376" s="25" t="str">
        <f>IF(OR(E5376="",E5376="!!!",F5376="NEW"),"",INDEX(J$1:J5375,SUMPRODUCT(MAX(ROW(E$1:E5375)*(E5376=E$1:E5375)))))</f>
        <v> </v>
      </c>
      <c r="L5376" s="26"/>
    </row>
    <row r="5377" spans="1:12">
      <c r="A5377" s="20" t="s">
        <v>1080</v>
      </c>
      <c r="E5377" s="21">
        <f>IF(D5377="?OLD","!!!","")</f>
        <v/>
      </c>
      <c r="F5377" s="22" t="str">
        <f>IF(OR(E5377="",E5377="!!!"),"",IF(NOT(ISNA(VLOOKUP(E5377,E$1:E5376,1,FALSE()))),"OLD",IF(AND(E5377&lt;&gt;"",E5377&lt;&gt;"!!!"),"NEW","")))</f>
        <v> </v>
      </c>
      <c r="G5377" s="23" t="str">
        <f>IF(OR(E5377="",E5377="!!!"),"",IF(OR(J5377=0,AND(J5377=1,K5377=1),AND(J5377=1,I5377="SBJ"),AND(J5377=1,I5377=0)),"?IN_FOCUS",IF(J5377&lt;=2,"?ACTIVATED",IF(J5377&lt;&gt;"","?FAMILIAR",IF(F5377="NEW",IF(ISNA(VLOOKUP(E5377,#REF!,1,FALSE())),"?TYPE_IDENTIFIABLE","?REFERENTIAL"),"_")))))</f>
        <v> </v>
      </c>
      <c r="H5377" s="24" t="str">
        <f>IF(J5377&lt;&gt;1,"",IF(I5377="SBJ","CB","?"))</f>
        <v> </v>
      </c>
      <c r="I5377" s="25" t="str">
        <f>IF(OR(E5377="",E5377="!!!",F5377="NEW"),"",INDEX(B5376:B$2,-1+SUMPRODUCT(MAX(ROW(E5376:E$2)*(E5377=E5376:E$2)))))</f>
        <v> </v>
      </c>
      <c r="J5377" s="25" t="str">
        <f>IF(OR(E5377="",E5377="!!!",F5377="NEW"),"",COUNTBLANK(OFFSET(A$1,,,SUMPRODUCT(MAX(ROW(E$2:E5377)*(E5377=E$2:E5377)))))-COUNTBLANK(OFFSET(A$1,,,SUMPRODUCT(MAX(ROW(E$1:E5376)*(E2=E$1:E5376))))))</f>
        <v> </v>
      </c>
      <c r="K5377" s="25" t="str">
        <f>IF(OR(E5377="",E5377="!!!",F5377="NEW"),"",INDEX(J$1:J5376,SUMPRODUCT(MAX(ROW(E$1:E5376)*(E5377=E$1:E5376)))))</f>
        <v> </v>
      </c>
      <c r="L5377" s="26"/>
    </row>
    <row r="5378" spans="1:12">
      <c r="A5378" s="20"/>
    </row>
    <row r="5379" spans="1:12">
      <c r="A5379" s="20" t="s">
        <v>2579</v>
      </c>
    </row>
    <row r="5380" spans="1:12">
      <c r="A5380" s="20" t="s">
        <v>1082</v>
      </c>
      <c r="E5380" s="21">
        <f>IF(D5380="?OLD","!!!","")</f>
        <v/>
      </c>
      <c r="F5380" s="22" t="str">
        <f>IF(OR(E5380="",E5380="!!!"),"",IF(NOT(ISNA(VLOOKUP(E5380,E$1:E5379,1,FALSE()))),"OLD",IF(AND(E5380&lt;&gt;"",E5380&lt;&gt;"!!!"),"NEW","")))</f>
        <v> </v>
      </c>
      <c r="G5380" s="23" t="str">
        <f>IF(OR(E5380="",E5380="!!!"),"",IF(OR(J5380=0,AND(J5380=1,K5380=1),AND(J5380=1,I5380="SBJ"),AND(J5380=1,I5380=0)),"?IN_FOCUS",IF(J5380&lt;=2,"?ACTIVATED",IF(J5380&lt;&gt;"","?FAMILIAR",IF(F5380="NEW",IF(ISNA(VLOOKUP(E5380,#REF!,1,FALSE())),"?TYPE_IDENTIFIABLE","?REFERENTIAL"),"_")))))</f>
        <v> </v>
      </c>
      <c r="H5380" s="24" t="str">
        <f>IF(J5380&lt;&gt;1,"",IF(I5380="SBJ","CB","?"))</f>
        <v> </v>
      </c>
      <c r="I5380" s="25" t="str">
        <f>IF(OR(E5380="",E5380="!!!",F5380="NEW"),"",INDEX(B5379:B$2,-1+SUMPRODUCT(MAX(ROW(E5379:E$2)*(E5380=E5379:E$2)))))</f>
        <v> </v>
      </c>
      <c r="J5380" s="25" t="str">
        <f>IF(OR(E5380="",E5380="!!!",F5380="NEW"),"",COUNTBLANK(OFFSET(A$1,,,SUMPRODUCT(MAX(ROW(E$2:E5380)*(E5380=E$2:E5380)))))-COUNTBLANK(OFFSET(A$1,,,SUMPRODUCT(MAX(ROW(E$1:E5379)*(E2=E$1:E5379))))))</f>
        <v> </v>
      </c>
      <c r="K5380" s="25" t="str">
        <f>IF(OR(E5380="",E5380="!!!",F5380="NEW"),"",INDEX(J$1:J5379,SUMPRODUCT(MAX(ROW(E$1:E5379)*(E5380=E$1:E5379)))))</f>
        <v> </v>
      </c>
      <c r="L5380" s="26"/>
    </row>
    <row r="5381" spans="1:12">
      <c r="A5381" s="20" t="s">
        <v>1083</v>
      </c>
      <c r="B5381" s="27" t="s">
        <v>1067</v>
      </c>
      <c r="C5381" s="27" t="s">
        <v>1129</v>
      </c>
      <c r="D5381" s="27" t="s">
        <v>1069</v>
      </c>
      <c r="E5381" s="21">
        <f>IF(D5381="?OLD","!!!","")</f>
        <v/>
      </c>
      <c r="F5381" s="22" t="str">
        <f>IF(OR(E5381="",E5381="!!!"),"",IF(NOT(ISNA(VLOOKUP(E5381,E$1:E5380,1,FALSE()))),"OLD",IF(AND(E5381&lt;&gt;"",E5381&lt;&gt;"!!!"),"NEW","")))</f>
        <v> </v>
      </c>
      <c r="G5381" s="23" t="str">
        <f>IF(OR(E5381="",E5381="!!!"),"",IF(OR(J5381=0,AND(J5381=1,K5381=1),AND(J5381=1,I5381="SBJ"),AND(J5381=1,I5381=0)),"?IN_FOCUS",IF(J5381&lt;=2,"?ACTIVATED",IF(J5381&lt;&gt;"","?FAMILIAR",IF(F5381="NEW",IF(ISNA(VLOOKUP(E5381,#REF!,1,FALSE())),"?TYPE_IDENTIFIABLE","?REFERENTIAL"),"_")))))</f>
        <v> </v>
      </c>
      <c r="H5381" s="24" t="str">
        <f>IF(J5381&lt;&gt;1,"",IF(I5381="SBJ","CB","?"))</f>
        <v> </v>
      </c>
      <c r="I5381" s="25" t="str">
        <f>IF(OR(E5381="",E5381="!!!",F5381="NEW"),"",INDEX(B5380:B$2,-1+SUMPRODUCT(MAX(ROW(E5380:E$2)*(E5381=E5380:E$2)))))</f>
        <v> </v>
      </c>
      <c r="J5381" s="25" t="str">
        <f>IF(OR(E5381="",E5381="!!!",F5381="NEW"),"",COUNTBLANK(OFFSET(A$1,,,SUMPRODUCT(MAX(ROW(E$2:E5381)*(E5381=E$2:E5381)))))-COUNTBLANK(OFFSET(A$1,,,SUMPRODUCT(MAX(ROW(E$1:E5380)*(E2=E$1:E5380))))))</f>
        <v> </v>
      </c>
      <c r="K5381" s="25" t="str">
        <f>IF(OR(E5381="",E5381="!!!",F5381="NEW"),"",INDEX(J$1:J5380,SUMPRODUCT(MAX(ROW(E$1:E5380)*(E5381=E$1:E5380)))))</f>
        <v> </v>
      </c>
      <c r="L5381" s="26"/>
    </row>
    <row r="5382" spans="1:12">
      <c r="A5382" s="20" t="s">
        <v>1191</v>
      </c>
      <c r="E5382" s="21">
        <f>IF(D5382="?OLD","!!!","")</f>
        <v/>
      </c>
      <c r="F5382" s="22" t="str">
        <f>IF(OR(E5382="",E5382="!!!"),"",IF(NOT(ISNA(VLOOKUP(E5382,E$1:E5381,1,FALSE()))),"OLD",IF(AND(E5382&lt;&gt;"",E5382&lt;&gt;"!!!"),"NEW","")))</f>
        <v> </v>
      </c>
      <c r="G5382" s="23" t="str">
        <f>IF(OR(E5382="",E5382="!!!"),"",IF(OR(J5382=0,AND(J5382=1,K5382=1),AND(J5382=1,I5382="SBJ"),AND(J5382=1,I5382=0)),"?IN_FOCUS",IF(J5382&lt;=2,"?ACTIVATED",IF(J5382&lt;&gt;"","?FAMILIAR",IF(F5382="NEW",IF(ISNA(VLOOKUP(E5382,#REF!,1,FALSE())),"?TYPE_IDENTIFIABLE","?REFERENTIAL"),"_")))))</f>
        <v> </v>
      </c>
      <c r="H5382" s="24" t="str">
        <f>IF(J5382&lt;&gt;1,"",IF(I5382="SBJ","CB","?"))</f>
        <v> </v>
      </c>
      <c r="I5382" s="25" t="str">
        <f>IF(OR(E5382="",E5382="!!!",F5382="NEW"),"",INDEX(B5381:B$2,-1+SUMPRODUCT(MAX(ROW(E5381:E$2)*(E5382=E5381:E$2)))))</f>
        <v> </v>
      </c>
      <c r="J5382" s="25" t="str">
        <f>IF(OR(E5382="",E5382="!!!",F5382="NEW"),"",COUNTBLANK(OFFSET(A$1,,,SUMPRODUCT(MAX(ROW(E$2:E5382)*(E5382=E$2:E5382)))))-COUNTBLANK(OFFSET(A$1,,,SUMPRODUCT(MAX(ROW(E$1:E5381)*(E2=E$1:E5381))))))</f>
        <v> </v>
      </c>
      <c r="K5382" s="25" t="str">
        <f>IF(OR(E5382="",E5382="!!!",F5382="NEW"),"",INDEX(J$1:J5381,SUMPRODUCT(MAX(ROW(E$1:E5381)*(E5382=E$1:E5381)))))</f>
        <v> </v>
      </c>
      <c r="L5382" s="26"/>
    </row>
    <row r="5383" spans="1:12">
      <c r="A5383" s="20" t="s">
        <v>141</v>
      </c>
      <c r="E5383" s="21">
        <f>IF(D5383="?OLD","!!!","")</f>
        <v/>
      </c>
      <c r="F5383" s="22" t="str">
        <f>IF(OR(E5383="",E5383="!!!"),"",IF(NOT(ISNA(VLOOKUP(E5383,E$1:E5382,1,FALSE()))),"OLD",IF(AND(E5383&lt;&gt;"",E5383&lt;&gt;"!!!"),"NEW","")))</f>
        <v> </v>
      </c>
      <c r="G5383" s="23" t="str">
        <f>IF(OR(E5383="",E5383="!!!"),"",IF(OR(J5383=0,AND(J5383=1,K5383=1),AND(J5383=1,I5383="SBJ"),AND(J5383=1,I5383=0)),"?IN_FOCUS",IF(J5383&lt;=2,"?ACTIVATED",IF(J5383&lt;&gt;"","?FAMILIAR",IF(F5383="NEW",IF(ISNA(VLOOKUP(E5383,#REF!,1,FALSE())),"?TYPE_IDENTIFIABLE","?REFERENTIAL"),"_")))))</f>
        <v> </v>
      </c>
      <c r="H5383" s="24" t="str">
        <f>IF(J5383&lt;&gt;1,"",IF(I5383="SBJ","CB","?"))</f>
        <v> </v>
      </c>
      <c r="I5383" s="25" t="str">
        <f>IF(OR(E5383="",E5383="!!!",F5383="NEW"),"",INDEX(B5382:B$2,-1+SUMPRODUCT(MAX(ROW(E5382:E$2)*(E5383=E5382:E$2)))))</f>
        <v> </v>
      </c>
      <c r="J5383" s="25" t="str">
        <f>IF(OR(E5383="",E5383="!!!",F5383="NEW"),"",COUNTBLANK(OFFSET(A$1,,,SUMPRODUCT(MAX(ROW(E$2:E5383)*(E5383=E$2:E5383)))))-COUNTBLANK(OFFSET(A$1,,,SUMPRODUCT(MAX(ROW(E$1:E5382)*(E2=E$1:E5382))))))</f>
        <v> </v>
      </c>
      <c r="K5383" s="25" t="str">
        <f>IF(OR(E5383="",E5383="!!!",F5383="NEW"),"",INDEX(J$1:J5382,SUMPRODUCT(MAX(ROW(E$1:E5382)*(E5383=E$1:E5382)))))</f>
        <v> </v>
      </c>
      <c r="L5383" s="26"/>
    </row>
    <row r="5384" spans="1:12">
      <c r="A5384" s="20" t="s">
        <v>2580</v>
      </c>
      <c r="B5384" s="27" t="s">
        <v>1074</v>
      </c>
      <c r="C5384" s="27" t="s">
        <v>1120</v>
      </c>
      <c r="E5384" s="21">
        <f>IF(D5384="?OLD","!!!","")</f>
        <v/>
      </c>
      <c r="F5384" s="22" t="str">
        <f>IF(OR(E5384="",E5384="!!!"),"",IF(NOT(ISNA(VLOOKUP(E5384,E$1:E5383,1,FALSE()))),"OLD",IF(AND(E5384&lt;&gt;"",E5384&lt;&gt;"!!!"),"NEW","")))</f>
        <v> </v>
      </c>
      <c r="G5384" s="23" t="str">
        <f>IF(OR(E5384="",E5384="!!!"),"",IF(OR(J5384=0,AND(J5384=1,K5384=1),AND(J5384=1,I5384="SBJ"),AND(J5384=1,I5384=0)),"?IN_FOCUS",IF(J5384&lt;=2,"?ACTIVATED",IF(J5384&lt;&gt;"","?FAMILIAR",IF(F5384="NEW",IF(ISNA(VLOOKUP(E5384,#REF!,1,FALSE())),"?TYPE_IDENTIFIABLE","?REFERENTIAL"),"_")))))</f>
        <v> </v>
      </c>
      <c r="H5384" s="24" t="str">
        <f>IF(J5384&lt;&gt;1,"",IF(I5384="SBJ","CB","?"))</f>
        <v> </v>
      </c>
      <c r="I5384" s="25" t="str">
        <f>IF(OR(E5384="",E5384="!!!",F5384="NEW"),"",INDEX(B5383:B$2,-1+SUMPRODUCT(MAX(ROW(E5383:E$2)*(E5384=E5383:E$2)))))</f>
        <v> </v>
      </c>
      <c r="J5384" s="25" t="str">
        <f>IF(OR(E5384="",E5384="!!!",F5384="NEW"),"",COUNTBLANK(OFFSET(A$1,,,SUMPRODUCT(MAX(ROW(E$2:E5384)*(E5384=E$2:E5384)))))-COUNTBLANK(OFFSET(A$1,,,SUMPRODUCT(MAX(ROW(E$1:E5383)*(E2=E$1:E5383))))))</f>
        <v> </v>
      </c>
      <c r="K5384" s="25" t="str">
        <f>IF(OR(E5384="",E5384="!!!",F5384="NEW"),"",INDEX(J$1:J5383,SUMPRODUCT(MAX(ROW(E$1:E5383)*(E5384=E$1:E5383)))))</f>
        <v> </v>
      </c>
      <c r="L5384" s="26"/>
    </row>
    <row r="5385" spans="1:12">
      <c r="A5385" s="20" t="s">
        <v>1087</v>
      </c>
      <c r="E5385" s="21">
        <f>IF(D5385="?OLD","!!!","")</f>
        <v/>
      </c>
      <c r="F5385" s="22" t="str">
        <f>IF(OR(E5385="",E5385="!!!"),"",IF(NOT(ISNA(VLOOKUP(E5385,E$1:E5384,1,FALSE()))),"OLD",IF(AND(E5385&lt;&gt;"",E5385&lt;&gt;"!!!"),"NEW","")))</f>
        <v> </v>
      </c>
      <c r="G5385" s="23" t="str">
        <f>IF(OR(E5385="",E5385="!!!"),"",IF(OR(J5385=0,AND(J5385=1,K5385=1),AND(J5385=1,I5385="SBJ"),AND(J5385=1,I5385=0)),"?IN_FOCUS",IF(J5385&lt;=2,"?ACTIVATED",IF(J5385&lt;&gt;"","?FAMILIAR",IF(F5385="NEW",IF(ISNA(VLOOKUP(E5385,#REF!,1,FALSE())),"?TYPE_IDENTIFIABLE","?REFERENTIAL"),"_")))))</f>
        <v> </v>
      </c>
      <c r="H5385" s="24" t="str">
        <f>IF(J5385&lt;&gt;1,"",IF(I5385="SBJ","CB","?"))</f>
        <v> </v>
      </c>
      <c r="I5385" s="25" t="str">
        <f>IF(OR(E5385="",E5385="!!!",F5385="NEW"),"",INDEX(B5384:B$2,-1+SUMPRODUCT(MAX(ROW(E5384:E$2)*(E5385=E5384:E$2)))))</f>
        <v> </v>
      </c>
      <c r="J5385" s="25" t="str">
        <f>IF(OR(E5385="",E5385="!!!",F5385="NEW"),"",COUNTBLANK(OFFSET(A$1,,,SUMPRODUCT(MAX(ROW(E$2:E5385)*(E5385=E$2:E5385)))))-COUNTBLANK(OFFSET(A$1,,,SUMPRODUCT(MAX(ROW(E$1:E5384)*(E2=E$1:E5384))))))</f>
        <v> </v>
      </c>
      <c r="K5385" s="25" t="str">
        <f>IF(OR(E5385="",E5385="!!!",F5385="NEW"),"",INDEX(J$1:J5384,SUMPRODUCT(MAX(ROW(E$1:E5384)*(E5385=E$1:E5384)))))</f>
        <v> </v>
      </c>
      <c r="L5385" s="26"/>
    </row>
    <row r="5386" spans="1:12">
      <c r="A5386" s="20" t="s">
        <v>1113</v>
      </c>
      <c r="B5386" s="27" t="s">
        <v>1090</v>
      </c>
      <c r="E5386" s="21">
        <f>IF(D5386="?OLD","!!!","")</f>
        <v/>
      </c>
      <c r="F5386" s="22" t="str">
        <f>IF(OR(E5386="",E5386="!!!"),"",IF(NOT(ISNA(VLOOKUP(E5386,E$1:E5385,1,FALSE()))),"OLD",IF(AND(E5386&lt;&gt;"",E5386&lt;&gt;"!!!"),"NEW","")))</f>
        <v> </v>
      </c>
      <c r="G5386" s="23" t="str">
        <f>IF(OR(E5386="",E5386="!!!"),"",IF(OR(J5386=0,AND(J5386=1,K5386=1),AND(J5386=1,I5386="SBJ"),AND(J5386=1,I5386=0)),"?IN_FOCUS",IF(J5386&lt;=2,"?ACTIVATED",IF(J5386&lt;&gt;"","?FAMILIAR",IF(F5386="NEW",IF(ISNA(VLOOKUP(E5386,#REF!,1,FALSE())),"?TYPE_IDENTIFIABLE","?REFERENTIAL"),"_")))))</f>
        <v> </v>
      </c>
      <c r="H5386" s="24" t="str">
        <f>IF(J5386&lt;&gt;1,"",IF(I5386="SBJ","CB","?"))</f>
        <v> </v>
      </c>
      <c r="I5386" s="25" t="str">
        <f>IF(OR(E5386="",E5386="!!!",F5386="NEW"),"",INDEX(B5385:B$2,-1+SUMPRODUCT(MAX(ROW(E5385:E$2)*(E5386=E5385:E$2)))))</f>
        <v> </v>
      </c>
      <c r="J5386" s="25" t="str">
        <f>IF(OR(E5386="",E5386="!!!",F5386="NEW"),"",COUNTBLANK(OFFSET(A$1,,,SUMPRODUCT(MAX(ROW(E$2:E5386)*(E5386=E$2:E5386)))))-COUNTBLANK(OFFSET(A$1,,,SUMPRODUCT(MAX(ROW(E$1:E5385)*(E2=E$1:E5385))))))</f>
        <v> </v>
      </c>
      <c r="K5386" s="25" t="str">
        <f>IF(OR(E5386="",E5386="!!!",F5386="NEW"),"",INDEX(J$1:J5385,SUMPRODUCT(MAX(ROW(E$1:E5385)*(E5386=E$1:E5385)))))</f>
        <v> </v>
      </c>
      <c r="L5386" s="26"/>
    </row>
    <row r="5387" spans="1:12">
      <c r="A5387" s="20" t="s">
        <v>1066</v>
      </c>
      <c r="B5387" s="27" t="s">
        <v>1095</v>
      </c>
      <c r="C5387" s="27" t="s">
        <v>1068</v>
      </c>
      <c r="D5387" s="27" t="s">
        <v>1069</v>
      </c>
      <c r="E5387" s="21">
        <f>IF(D5387="?OLD","!!!","")</f>
        <v/>
      </c>
      <c r="F5387" s="22" t="str">
        <f>IF(OR(E5387="",E5387="!!!"),"",IF(NOT(ISNA(VLOOKUP(E5387,E$1:E5386,1,FALSE()))),"OLD",IF(AND(E5387&lt;&gt;"",E5387&lt;&gt;"!!!"),"NEW","")))</f>
        <v> </v>
      </c>
      <c r="G5387" s="23" t="str">
        <f>IF(OR(E5387="",E5387="!!!"),"",IF(OR(J5387=0,AND(J5387=1,K5387=1),AND(J5387=1,I5387="SBJ"),AND(J5387=1,I5387=0)),"?IN_FOCUS",IF(J5387&lt;=2,"?ACTIVATED",IF(J5387&lt;&gt;"","?FAMILIAR",IF(F5387="NEW",IF(ISNA(VLOOKUP(E5387,#REF!,1,FALSE())),"?TYPE_IDENTIFIABLE","?REFERENTIAL"),"_")))))</f>
        <v> </v>
      </c>
      <c r="H5387" s="24" t="str">
        <f>IF(J5387&lt;&gt;1,"",IF(I5387="SBJ","CB","?"))</f>
        <v> </v>
      </c>
      <c r="I5387" s="25" t="str">
        <f>IF(OR(E5387="",E5387="!!!",F5387="NEW"),"",INDEX(B5386:B$2,-1+SUMPRODUCT(MAX(ROW(E5386:E$2)*(E5387=E5386:E$2)))))</f>
        <v> </v>
      </c>
      <c r="J5387" s="25" t="str">
        <f>IF(OR(E5387="",E5387="!!!",F5387="NEW"),"",COUNTBLANK(OFFSET(A$1,,,SUMPRODUCT(MAX(ROW(E$2:E5387)*(E5387=E$2:E5387)))))-COUNTBLANK(OFFSET(A$1,,,SUMPRODUCT(MAX(ROW(E$1:E5386)*(E2=E$1:E5386))))))</f>
        <v> </v>
      </c>
      <c r="K5387" s="25" t="str">
        <f>IF(OR(E5387="",E5387="!!!",F5387="NEW"),"",INDEX(J$1:J5386,SUMPRODUCT(MAX(ROW(E$1:E5386)*(E5387=E$1:E5386)))))</f>
        <v> </v>
      </c>
      <c r="L5387" s="26"/>
    </row>
    <row r="5388" spans="1:12">
      <c r="A5388" s="20" t="s">
        <v>1127</v>
      </c>
      <c r="E5388" s="21">
        <f>IF(D5388="?OLD","!!!","")</f>
        <v/>
      </c>
      <c r="F5388" s="22" t="str">
        <f>IF(OR(E5388="",E5388="!!!"),"",IF(NOT(ISNA(VLOOKUP(E5388,E$1:E5387,1,FALSE()))),"OLD",IF(AND(E5388&lt;&gt;"",E5388&lt;&gt;"!!!"),"NEW","")))</f>
        <v> </v>
      </c>
      <c r="G5388" s="23" t="str">
        <f>IF(OR(E5388="",E5388="!!!"),"",IF(OR(J5388=0,AND(J5388=1,K5388=1),AND(J5388=1,I5388="SBJ"),AND(J5388=1,I5388=0)),"?IN_FOCUS",IF(J5388&lt;=2,"?ACTIVATED",IF(J5388&lt;&gt;"","?FAMILIAR",IF(F5388="NEW",IF(ISNA(VLOOKUP(E5388,#REF!,1,FALSE())),"?TYPE_IDENTIFIABLE","?REFERENTIAL"),"_")))))</f>
        <v> </v>
      </c>
      <c r="H5388" s="24" t="str">
        <f>IF(J5388&lt;&gt;1,"",IF(I5388="SBJ","CB","?"))</f>
        <v> </v>
      </c>
      <c r="I5388" s="25" t="str">
        <f>IF(OR(E5388="",E5388="!!!",F5388="NEW"),"",INDEX(B5387:B$2,-1+SUMPRODUCT(MAX(ROW(E5387:E$2)*(E5388=E5387:E$2)))))</f>
        <v> </v>
      </c>
      <c r="J5388" s="25" t="str">
        <f>IF(OR(E5388="",E5388="!!!",F5388="NEW"),"",COUNTBLANK(OFFSET(A$1,,,SUMPRODUCT(MAX(ROW(E$2:E5388)*(E5388=E$2:E5388)))))-COUNTBLANK(OFFSET(A$1,,,SUMPRODUCT(MAX(ROW(E$1:E5387)*(E2=E$1:E5387))))))</f>
        <v> </v>
      </c>
      <c r="K5388" s="25" t="str">
        <f>IF(OR(E5388="",E5388="!!!",F5388="NEW"),"",INDEX(J$1:J5387,SUMPRODUCT(MAX(ROW(E$1:E5387)*(E5388=E$1:E5387)))))</f>
        <v> </v>
      </c>
      <c r="L5388" s="26"/>
    </row>
    <row r="5389" spans="1:12">
      <c r="A5389" s="20" t="s">
        <v>2581</v>
      </c>
      <c r="E5389" s="21">
        <f>IF(D5389="?OLD","!!!","")</f>
        <v/>
      </c>
      <c r="F5389" s="22" t="str">
        <f>IF(OR(E5389="",E5389="!!!"),"",IF(NOT(ISNA(VLOOKUP(E5389,E$1:E5388,1,FALSE()))),"OLD",IF(AND(E5389&lt;&gt;"",E5389&lt;&gt;"!!!"),"NEW","")))</f>
        <v> </v>
      </c>
      <c r="G5389" s="23" t="str">
        <f>IF(OR(E5389="",E5389="!!!"),"",IF(OR(J5389=0,AND(J5389=1,K5389=1),AND(J5389=1,I5389="SBJ"),AND(J5389=1,I5389=0)),"?IN_FOCUS",IF(J5389&lt;=2,"?ACTIVATED",IF(J5389&lt;&gt;"","?FAMILIAR",IF(F5389="NEW",IF(ISNA(VLOOKUP(E5389,#REF!,1,FALSE())),"?TYPE_IDENTIFIABLE","?REFERENTIAL"),"_")))))</f>
        <v> </v>
      </c>
      <c r="H5389" s="24" t="str">
        <f>IF(J5389&lt;&gt;1,"",IF(I5389="SBJ","CB","?"))</f>
        <v> </v>
      </c>
      <c r="I5389" s="25" t="str">
        <f>IF(OR(E5389="",E5389="!!!",F5389="NEW"),"",INDEX(B5388:B$2,-1+SUMPRODUCT(MAX(ROW(E5388:E$2)*(E5389=E5388:E$2)))))</f>
        <v> </v>
      </c>
      <c r="J5389" s="25" t="str">
        <f>IF(OR(E5389="",E5389="!!!",F5389="NEW"),"",COUNTBLANK(OFFSET(A$1,,,SUMPRODUCT(MAX(ROW(E$2:E5389)*(E5389=E$2:E5389)))))-COUNTBLANK(OFFSET(A$1,,,SUMPRODUCT(MAX(ROW(E$1:E5388)*(E2=E$1:E5388))))))</f>
        <v> </v>
      </c>
      <c r="K5389" s="25" t="str">
        <f>IF(OR(E5389="",E5389="!!!",F5389="NEW"),"",INDEX(J$1:J5388,SUMPRODUCT(MAX(ROW(E$1:E5388)*(E5389=E$1:E5388)))))</f>
        <v> </v>
      </c>
      <c r="L5389" s="26"/>
    </row>
    <row r="5390" spans="1:12">
      <c r="A5390" s="20" t="s">
        <v>2582</v>
      </c>
      <c r="E5390" s="21">
        <f>IF(D5390="?OLD","!!!","")</f>
        <v/>
      </c>
      <c r="F5390" s="22" t="str">
        <f>IF(OR(E5390="",E5390="!!!"),"",IF(NOT(ISNA(VLOOKUP(E5390,E$1:E5389,1,FALSE()))),"OLD",IF(AND(E5390&lt;&gt;"",E5390&lt;&gt;"!!!"),"NEW","")))</f>
        <v> </v>
      </c>
      <c r="G5390" s="23" t="str">
        <f>IF(OR(E5390="",E5390="!!!"),"",IF(OR(J5390=0,AND(J5390=1,K5390=1),AND(J5390=1,I5390="SBJ"),AND(J5390=1,I5390=0)),"?IN_FOCUS",IF(J5390&lt;=2,"?ACTIVATED",IF(J5390&lt;&gt;"","?FAMILIAR",IF(F5390="NEW",IF(ISNA(VLOOKUP(E5390,#REF!,1,FALSE())),"?TYPE_IDENTIFIABLE","?REFERENTIAL"),"_")))))</f>
        <v> </v>
      </c>
      <c r="H5390" s="24" t="str">
        <f>IF(J5390&lt;&gt;1,"",IF(I5390="SBJ","CB","?"))</f>
        <v> </v>
      </c>
      <c r="I5390" s="25" t="str">
        <f>IF(OR(E5390="",E5390="!!!",F5390="NEW"),"",INDEX(B5389:B$2,-1+SUMPRODUCT(MAX(ROW(E5389:E$2)*(E5390=E5389:E$2)))))</f>
        <v> </v>
      </c>
      <c r="J5390" s="25" t="str">
        <f>IF(OR(E5390="",E5390="!!!",F5390="NEW"),"",COUNTBLANK(OFFSET(A$1,,,SUMPRODUCT(MAX(ROW(E$2:E5390)*(E5390=E$2:E5390)))))-COUNTBLANK(OFFSET(A$1,,,SUMPRODUCT(MAX(ROW(E$1:E5389)*(E2=E$1:E5389))))))</f>
        <v> </v>
      </c>
      <c r="K5390" s="25" t="str">
        <f>IF(OR(E5390="",E5390="!!!",F5390="NEW"),"",INDEX(J$1:J5389,SUMPRODUCT(MAX(ROW(E$1:E5389)*(E5390=E$1:E5389)))))</f>
        <v> </v>
      </c>
      <c r="L5390" s="26"/>
    </row>
    <row r="5391" spans="1:12">
      <c r="A5391" s="20" t="s">
        <v>1080</v>
      </c>
      <c r="E5391" s="21">
        <f>IF(D5391="?OLD","!!!","")</f>
        <v/>
      </c>
      <c r="F5391" s="22" t="str">
        <f>IF(OR(E5391="",E5391="!!!"),"",IF(NOT(ISNA(VLOOKUP(E5391,E$1:E5390,1,FALSE()))),"OLD",IF(AND(E5391&lt;&gt;"",E5391&lt;&gt;"!!!"),"NEW","")))</f>
        <v> </v>
      </c>
      <c r="G5391" s="23" t="str">
        <f>IF(OR(E5391="",E5391="!!!"),"",IF(OR(J5391=0,AND(J5391=1,K5391=1),AND(J5391=1,I5391="SBJ"),AND(J5391=1,I5391=0)),"?IN_FOCUS",IF(J5391&lt;=2,"?ACTIVATED",IF(J5391&lt;&gt;"","?FAMILIAR",IF(F5391="NEW",IF(ISNA(VLOOKUP(E5391,#REF!,1,FALSE())),"?TYPE_IDENTIFIABLE","?REFERENTIAL"),"_")))))</f>
        <v> </v>
      </c>
      <c r="H5391" s="24" t="str">
        <f>IF(J5391&lt;&gt;1,"",IF(I5391="SBJ","CB","?"))</f>
        <v> </v>
      </c>
      <c r="I5391" s="25" t="str">
        <f>IF(OR(E5391="",E5391="!!!",F5391="NEW"),"",INDEX(B5390:B$2,-1+SUMPRODUCT(MAX(ROW(E5390:E$2)*(E5391=E5390:E$2)))))</f>
        <v> </v>
      </c>
      <c r="J5391" s="25" t="str">
        <f>IF(OR(E5391="",E5391="!!!",F5391="NEW"),"",COUNTBLANK(OFFSET(A$1,,,SUMPRODUCT(MAX(ROW(E$2:E5391)*(E5391=E$2:E5391)))))-COUNTBLANK(OFFSET(A$1,,,SUMPRODUCT(MAX(ROW(E$1:E5390)*(E2=E$1:E5390))))))</f>
        <v> </v>
      </c>
      <c r="K5391" s="25" t="str">
        <f>IF(OR(E5391="",E5391="!!!",F5391="NEW"),"",INDEX(J$1:J5390,SUMPRODUCT(MAX(ROW(E$1:E5390)*(E5391=E$1:E5390)))))</f>
        <v> </v>
      </c>
      <c r="L5391" s="26"/>
    </row>
    <row r="5392" spans="1:12">
      <c r="A5392" s="20"/>
    </row>
    <row r="5393" spans="1:12">
      <c r="A5393" s="20" t="s">
        <v>2583</v>
      </c>
    </row>
    <row r="5394" spans="1:12">
      <c r="A5394" s="20" t="s">
        <v>1164</v>
      </c>
      <c r="E5394" s="21">
        <f>IF(D5394="?OLD","!!!","")</f>
        <v/>
      </c>
      <c r="F5394" s="22" t="str">
        <f>IF(OR(E5394="",E5394="!!!"),"",IF(NOT(ISNA(VLOOKUP(E5394,E$1:E5393,1,FALSE()))),"OLD",IF(AND(E5394&lt;&gt;"",E5394&lt;&gt;"!!!"),"NEW","")))</f>
        <v> </v>
      </c>
      <c r="G5394" s="23" t="str">
        <f>IF(OR(E5394="",E5394="!!!"),"",IF(OR(J5394=0,AND(J5394=1,K5394=1),AND(J5394=1,I5394="SBJ"),AND(J5394=1,I5394=0)),"?IN_FOCUS",IF(J5394&lt;=2,"?ACTIVATED",IF(J5394&lt;&gt;"","?FAMILIAR",IF(F5394="NEW",IF(ISNA(VLOOKUP(E5394,#REF!,1,FALSE())),"?TYPE_IDENTIFIABLE","?REFERENTIAL"),"_")))))</f>
        <v> </v>
      </c>
      <c r="H5394" s="24" t="str">
        <f>IF(J5394&lt;&gt;1,"",IF(I5394="SBJ","CB","?"))</f>
        <v> </v>
      </c>
      <c r="I5394" s="25" t="str">
        <f>IF(OR(E5394="",E5394="!!!",F5394="NEW"),"",INDEX(B5393:B$2,-1+SUMPRODUCT(MAX(ROW(E5393:E$2)*(E5394=E5393:E$2)))))</f>
        <v> </v>
      </c>
      <c r="J5394" s="25" t="str">
        <f>IF(OR(E5394="",E5394="!!!",F5394="NEW"),"",COUNTBLANK(OFFSET(A$1,,,SUMPRODUCT(MAX(ROW(E$2:E5394)*(E5394=E$2:E5394)))))-COUNTBLANK(OFFSET(A$1,,,SUMPRODUCT(MAX(ROW(E$1:E5393)*(E2=E$1:E5393))))))</f>
        <v> </v>
      </c>
      <c r="K5394" s="25" t="str">
        <f>IF(OR(E5394="",E5394="!!!",F5394="NEW"),"",INDEX(J$1:J5393,SUMPRODUCT(MAX(ROW(E$1:E5393)*(E5394=E$1:E5393)))))</f>
        <v> </v>
      </c>
      <c r="L5394" s="26"/>
    </row>
    <row r="5395" spans="1:12">
      <c r="A5395" s="20" t="s">
        <v>1039</v>
      </c>
      <c r="B5395" s="27" t="s">
        <v>1074</v>
      </c>
      <c r="C5395" s="27" t="s">
        <v>1086</v>
      </c>
      <c r="D5395" s="27" t="s">
        <v>1069</v>
      </c>
      <c r="E5395" s="21">
        <f>IF(D5395="?OLD","!!!","")</f>
        <v/>
      </c>
      <c r="F5395" s="22" t="str">
        <f>IF(OR(E5395="",E5395="!!!"),"",IF(NOT(ISNA(VLOOKUP(E5395,E$1:E5394,1,FALSE()))),"OLD",IF(AND(E5395&lt;&gt;"",E5395&lt;&gt;"!!!"),"NEW","")))</f>
        <v> </v>
      </c>
      <c r="G5395" s="23" t="str">
        <f>IF(OR(E5395="",E5395="!!!"),"",IF(OR(J5395=0,AND(J5395=1,K5395=1),AND(J5395=1,I5395="SBJ"),AND(J5395=1,I5395=0)),"?IN_FOCUS",IF(J5395&lt;=2,"?ACTIVATED",IF(J5395&lt;&gt;"","?FAMILIAR",IF(F5395="NEW",IF(ISNA(VLOOKUP(E5395,#REF!,1,FALSE())),"?TYPE_IDENTIFIABLE","?REFERENTIAL"),"_")))))</f>
        <v> </v>
      </c>
      <c r="H5395" s="24" t="str">
        <f>IF(J5395&lt;&gt;1,"",IF(I5395="SBJ","CB","?"))</f>
        <v> </v>
      </c>
      <c r="I5395" s="25" t="str">
        <f>IF(OR(E5395="",E5395="!!!",F5395="NEW"),"",INDEX(B5394:B$2,-1+SUMPRODUCT(MAX(ROW(E5394:E$2)*(E5395=E5394:E$2)))))</f>
        <v> </v>
      </c>
      <c r="J5395" s="25" t="str">
        <f>IF(OR(E5395="",E5395="!!!",F5395="NEW"),"",COUNTBLANK(OFFSET(A$1,,,SUMPRODUCT(MAX(ROW(E$2:E5395)*(E5395=E$2:E5395)))))-COUNTBLANK(OFFSET(A$1,,,SUMPRODUCT(MAX(ROW(E$1:E5394)*(E2=E$1:E5394))))))</f>
        <v> </v>
      </c>
      <c r="K5395" s="25" t="str">
        <f>IF(OR(E5395="",E5395="!!!",F5395="NEW"),"",INDEX(J$1:J5394,SUMPRODUCT(MAX(ROW(E$1:E5394)*(E5395=E$1:E5394)))))</f>
        <v> </v>
      </c>
      <c r="L5395" s="26"/>
    </row>
    <row r="5396" spans="1:12">
      <c r="A5396" s="20" t="s">
        <v>1087</v>
      </c>
      <c r="E5396" s="21">
        <f>IF(D5396="?OLD","!!!","")</f>
        <v/>
      </c>
      <c r="F5396" s="22" t="str">
        <f>IF(OR(E5396="",E5396="!!!"),"",IF(NOT(ISNA(VLOOKUP(E5396,E$1:E5395,1,FALSE()))),"OLD",IF(AND(E5396&lt;&gt;"",E5396&lt;&gt;"!!!"),"NEW","")))</f>
        <v> </v>
      </c>
      <c r="G5396" s="23" t="str">
        <f>IF(OR(E5396="",E5396="!!!"),"",IF(OR(J5396=0,AND(J5396=1,K5396=1),AND(J5396=1,I5396="SBJ"),AND(J5396=1,I5396=0)),"?IN_FOCUS",IF(J5396&lt;=2,"?ACTIVATED",IF(J5396&lt;&gt;"","?FAMILIAR",IF(F5396="NEW",IF(ISNA(VLOOKUP(E5396,#REF!,1,FALSE())),"?TYPE_IDENTIFIABLE","?REFERENTIAL"),"_")))))</f>
        <v> </v>
      </c>
      <c r="H5396" s="24" t="str">
        <f>IF(J5396&lt;&gt;1,"",IF(I5396="SBJ","CB","?"))</f>
        <v> </v>
      </c>
      <c r="I5396" s="25" t="str">
        <f>IF(OR(E5396="",E5396="!!!",F5396="NEW"),"",INDEX(B5395:B$2,-1+SUMPRODUCT(MAX(ROW(E5395:E$2)*(E5396=E5395:E$2)))))</f>
        <v> </v>
      </c>
      <c r="J5396" s="25" t="str">
        <f>IF(OR(E5396="",E5396="!!!",F5396="NEW"),"",COUNTBLANK(OFFSET(A$1,,,SUMPRODUCT(MAX(ROW(E$2:E5396)*(E5396=E$2:E5396)))))-COUNTBLANK(OFFSET(A$1,,,SUMPRODUCT(MAX(ROW(E$1:E5395)*(E2=E$1:E5395))))))</f>
        <v> </v>
      </c>
      <c r="K5396" s="25" t="str">
        <f>IF(OR(E5396="",E5396="!!!",F5396="NEW"),"",INDEX(J$1:J5395,SUMPRODUCT(MAX(ROW(E$1:E5395)*(E5396=E$1:E5395)))))</f>
        <v> </v>
      </c>
      <c r="L5396" s="26"/>
    </row>
    <row r="5397" spans="1:12">
      <c r="A5397" s="20" t="s">
        <v>1167</v>
      </c>
      <c r="B5397" s="27" t="s">
        <v>1095</v>
      </c>
      <c r="C5397" s="27" t="s">
        <v>1068</v>
      </c>
      <c r="D5397" s="27" t="s">
        <v>1069</v>
      </c>
      <c r="E5397" s="21">
        <f>IF(D5397="?OLD","!!!","")</f>
        <v/>
      </c>
      <c r="F5397" s="22" t="str">
        <f>IF(OR(E5397="",E5397="!!!"),"",IF(NOT(ISNA(VLOOKUP(E5397,E$1:E5396,1,FALSE()))),"OLD",IF(AND(E5397&lt;&gt;"",E5397&lt;&gt;"!!!"),"NEW","")))</f>
        <v> </v>
      </c>
      <c r="G5397" s="23" t="str">
        <f>IF(OR(E5397="",E5397="!!!"),"",IF(OR(J5397=0,AND(J5397=1,K5397=1),AND(J5397=1,I5397="SBJ"),AND(J5397=1,I5397=0)),"?IN_FOCUS",IF(J5397&lt;=2,"?ACTIVATED",IF(J5397&lt;&gt;"","?FAMILIAR",IF(F5397="NEW",IF(ISNA(VLOOKUP(E5397,#REF!,1,FALSE())),"?TYPE_IDENTIFIABLE","?REFERENTIAL"),"_")))))</f>
        <v> </v>
      </c>
      <c r="H5397" s="24" t="str">
        <f>IF(J5397&lt;&gt;1,"",IF(I5397="SBJ","CB","?"))</f>
        <v> </v>
      </c>
      <c r="I5397" s="25" t="str">
        <f>IF(OR(E5397="",E5397="!!!",F5397="NEW"),"",INDEX(B5396:B$2,-1+SUMPRODUCT(MAX(ROW(E5396:E$2)*(E5397=E5396:E$2)))))</f>
        <v> </v>
      </c>
      <c r="J5397" s="25" t="str">
        <f>IF(OR(E5397="",E5397="!!!",F5397="NEW"),"",COUNTBLANK(OFFSET(A$1,,,SUMPRODUCT(MAX(ROW(E$2:E5397)*(E5397=E$2:E5397)))))-COUNTBLANK(OFFSET(A$1,,,SUMPRODUCT(MAX(ROW(E$1:E5396)*(E2=E$1:E5396))))))</f>
        <v> </v>
      </c>
      <c r="K5397" s="25" t="str">
        <f>IF(OR(E5397="",E5397="!!!",F5397="NEW"),"",INDEX(J$1:J5396,SUMPRODUCT(MAX(ROW(E$1:E5396)*(E5397=E$1:E5396)))))</f>
        <v> </v>
      </c>
      <c r="L5397" s="26"/>
    </row>
    <row r="5398" spans="1:12">
      <c r="A5398" s="20" t="s">
        <v>1191</v>
      </c>
      <c r="E5398" s="21">
        <f>IF(D5398="?OLD","!!!","")</f>
        <v/>
      </c>
      <c r="F5398" s="22" t="str">
        <f>IF(OR(E5398="",E5398="!!!"),"",IF(NOT(ISNA(VLOOKUP(E5398,E$1:E5397,1,FALSE()))),"OLD",IF(AND(E5398&lt;&gt;"",E5398&lt;&gt;"!!!"),"NEW","")))</f>
        <v> </v>
      </c>
      <c r="G5398" s="23" t="str">
        <f>IF(OR(E5398="",E5398="!!!"),"",IF(OR(J5398=0,AND(J5398=1,K5398=1),AND(J5398=1,I5398="SBJ"),AND(J5398=1,I5398=0)),"?IN_FOCUS",IF(J5398&lt;=2,"?ACTIVATED",IF(J5398&lt;&gt;"","?FAMILIAR",IF(F5398="NEW",IF(ISNA(VLOOKUP(E5398,#REF!,1,FALSE())),"?TYPE_IDENTIFIABLE","?REFERENTIAL"),"_")))))</f>
        <v> </v>
      </c>
      <c r="H5398" s="24" t="str">
        <f>IF(J5398&lt;&gt;1,"",IF(I5398="SBJ","CB","?"))</f>
        <v> </v>
      </c>
      <c r="I5398" s="25" t="str">
        <f>IF(OR(E5398="",E5398="!!!",F5398="NEW"),"",INDEX(B5397:B$2,-1+SUMPRODUCT(MAX(ROW(E5397:E$2)*(E5398=E5397:E$2)))))</f>
        <v> </v>
      </c>
      <c r="J5398" s="25" t="str">
        <f>IF(OR(E5398="",E5398="!!!",F5398="NEW"),"",COUNTBLANK(OFFSET(A$1,,,SUMPRODUCT(MAX(ROW(E$2:E5398)*(E5398=E$2:E5398)))))-COUNTBLANK(OFFSET(A$1,,,SUMPRODUCT(MAX(ROW(E$1:E5397)*(E2=E$1:E5397))))))</f>
        <v> </v>
      </c>
      <c r="K5398" s="25" t="str">
        <f>IF(OR(E5398="",E5398="!!!",F5398="NEW"),"",INDEX(J$1:J5397,SUMPRODUCT(MAX(ROW(E$1:E5397)*(E5398=E$1:E5397)))))</f>
        <v> </v>
      </c>
      <c r="L5398" s="26"/>
    </row>
    <row r="5399" spans="1:12">
      <c r="A5399" s="20" t="s">
        <v>1544</v>
      </c>
      <c r="E5399" s="21">
        <f>IF(D5399="?OLD","!!!","")</f>
        <v/>
      </c>
      <c r="F5399" s="22" t="str">
        <f>IF(OR(E5399="",E5399="!!!"),"",IF(NOT(ISNA(VLOOKUP(E5399,E$1:E5398,1,FALSE()))),"OLD",IF(AND(E5399&lt;&gt;"",E5399&lt;&gt;"!!!"),"NEW","")))</f>
        <v> </v>
      </c>
      <c r="G5399" s="23" t="str">
        <f>IF(OR(E5399="",E5399="!!!"),"",IF(OR(J5399=0,AND(J5399=1,K5399=1),AND(J5399=1,I5399="SBJ"),AND(J5399=1,I5399=0)),"?IN_FOCUS",IF(J5399&lt;=2,"?ACTIVATED",IF(J5399&lt;&gt;"","?FAMILIAR",IF(F5399="NEW",IF(ISNA(VLOOKUP(E5399,#REF!,1,FALSE())),"?TYPE_IDENTIFIABLE","?REFERENTIAL"),"_")))))</f>
        <v> </v>
      </c>
      <c r="H5399" s="24" t="str">
        <f>IF(J5399&lt;&gt;1,"",IF(I5399="SBJ","CB","?"))</f>
        <v> </v>
      </c>
      <c r="I5399" s="25" t="str">
        <f>IF(OR(E5399="",E5399="!!!",F5399="NEW"),"",INDEX(B5398:B$2,-1+SUMPRODUCT(MAX(ROW(E5398:E$2)*(E5399=E5398:E$2)))))</f>
        <v> </v>
      </c>
      <c r="J5399" s="25" t="str">
        <f>IF(OR(E5399="",E5399="!!!",F5399="NEW"),"",COUNTBLANK(OFFSET(A$1,,,SUMPRODUCT(MAX(ROW(E$2:E5399)*(E5399=E$2:E5399)))))-COUNTBLANK(OFFSET(A$1,,,SUMPRODUCT(MAX(ROW(E$1:E5398)*(E2=E$1:E5398))))))</f>
        <v> </v>
      </c>
      <c r="K5399" s="25" t="str">
        <f>IF(OR(E5399="",E5399="!!!",F5399="NEW"),"",INDEX(J$1:J5398,SUMPRODUCT(MAX(ROW(E$1:E5398)*(E5399=E$1:E5398)))))</f>
        <v> </v>
      </c>
      <c r="L5399" s="26"/>
    </row>
    <row r="5400" spans="1:12">
      <c r="A5400" s="20" t="s">
        <v>1904</v>
      </c>
      <c r="E5400" s="21">
        <f>IF(D5400="?OLD","!!!","")</f>
        <v/>
      </c>
      <c r="F5400" s="22" t="str">
        <f>IF(OR(E5400="",E5400="!!!"),"",IF(NOT(ISNA(VLOOKUP(E5400,E$1:E5399,1,FALSE()))),"OLD",IF(AND(E5400&lt;&gt;"",E5400&lt;&gt;"!!!"),"NEW","")))</f>
        <v> </v>
      </c>
      <c r="G5400" s="23" t="str">
        <f>IF(OR(E5400="",E5400="!!!"),"",IF(OR(J5400=0,AND(J5400=1,K5400=1),AND(J5400=1,I5400="SBJ"),AND(J5400=1,I5400=0)),"?IN_FOCUS",IF(J5400&lt;=2,"?ACTIVATED",IF(J5400&lt;&gt;"","?FAMILIAR",IF(F5400="NEW",IF(ISNA(VLOOKUP(E5400,#REF!,1,FALSE())),"?TYPE_IDENTIFIABLE","?REFERENTIAL"),"_")))))</f>
        <v> </v>
      </c>
      <c r="H5400" s="24" t="str">
        <f>IF(J5400&lt;&gt;1,"",IF(I5400="SBJ","CB","?"))</f>
        <v> </v>
      </c>
      <c r="I5400" s="25" t="str">
        <f>IF(OR(E5400="",E5400="!!!",F5400="NEW"),"",INDEX(B5399:B$2,-1+SUMPRODUCT(MAX(ROW(E5399:E$2)*(E5400=E5399:E$2)))))</f>
        <v> </v>
      </c>
      <c r="J5400" s="25" t="str">
        <f>IF(OR(E5400="",E5400="!!!",F5400="NEW"),"",COUNTBLANK(OFFSET(A$1,,,SUMPRODUCT(MAX(ROW(E$2:E5400)*(E5400=E$2:E5400)))))-COUNTBLANK(OFFSET(A$1,,,SUMPRODUCT(MAX(ROW(E$1:E5399)*(E2=E$1:E5399))))))</f>
        <v> </v>
      </c>
      <c r="K5400" s="25" t="str">
        <f>IF(OR(E5400="",E5400="!!!",F5400="NEW"),"",INDEX(J$1:J5399,SUMPRODUCT(MAX(ROW(E$1:E5399)*(E5400=E$1:E5399)))))</f>
        <v> </v>
      </c>
      <c r="L5400" s="26"/>
    </row>
    <row r="5401" spans="1:12">
      <c r="A5401" s="20" t="s">
        <v>1087</v>
      </c>
      <c r="E5401" s="21">
        <f>IF(D5401="?OLD","!!!","")</f>
        <v/>
      </c>
      <c r="F5401" s="22" t="str">
        <f>IF(OR(E5401="",E5401="!!!"),"",IF(NOT(ISNA(VLOOKUP(E5401,E$1:E5400,1,FALSE()))),"OLD",IF(AND(E5401&lt;&gt;"",E5401&lt;&gt;"!!!"),"NEW","")))</f>
        <v> </v>
      </c>
      <c r="G5401" s="23" t="str">
        <f>IF(OR(E5401="",E5401="!!!"),"",IF(OR(J5401=0,AND(J5401=1,K5401=1),AND(J5401=1,I5401="SBJ"),AND(J5401=1,I5401=0)),"?IN_FOCUS",IF(J5401&lt;=2,"?ACTIVATED",IF(J5401&lt;&gt;"","?FAMILIAR",IF(F5401="NEW",IF(ISNA(VLOOKUP(E5401,#REF!,1,FALSE())),"?TYPE_IDENTIFIABLE","?REFERENTIAL"),"_")))))</f>
        <v> </v>
      </c>
      <c r="H5401" s="24" t="str">
        <f>IF(J5401&lt;&gt;1,"",IF(I5401="SBJ","CB","?"))</f>
        <v> </v>
      </c>
      <c r="I5401" s="25" t="str">
        <f>IF(OR(E5401="",E5401="!!!",F5401="NEW"),"",INDEX(B5400:B$2,-1+SUMPRODUCT(MAX(ROW(E5400:E$2)*(E5401=E5400:E$2)))))</f>
        <v> </v>
      </c>
      <c r="J5401" s="25" t="str">
        <f>IF(OR(E5401="",E5401="!!!",F5401="NEW"),"",COUNTBLANK(OFFSET(A$1,,,SUMPRODUCT(MAX(ROW(E$2:E5401)*(E5401=E$2:E5401)))))-COUNTBLANK(OFFSET(A$1,,,SUMPRODUCT(MAX(ROW(E$1:E5400)*(E2=E$1:E5400))))))</f>
        <v> </v>
      </c>
      <c r="K5401" s="25" t="str">
        <f>IF(OR(E5401="",E5401="!!!",F5401="NEW"),"",INDEX(J$1:J5400,SUMPRODUCT(MAX(ROW(E$1:E5400)*(E5401=E$1:E5400)))))</f>
        <v> </v>
      </c>
      <c r="L5401" s="26"/>
    </row>
    <row r="5402" spans="1:12">
      <c r="A5402" s="20" t="s">
        <v>1166</v>
      </c>
      <c r="E5402" s="21">
        <f>IF(D5402="?OLD","!!!","")</f>
        <v/>
      </c>
      <c r="F5402" s="22" t="str">
        <f>IF(OR(E5402="",E5402="!!!"),"",IF(NOT(ISNA(VLOOKUP(E5402,E$1:E5401,1,FALSE()))),"OLD",IF(AND(E5402&lt;&gt;"",E5402&lt;&gt;"!!!"),"NEW","")))</f>
        <v> </v>
      </c>
      <c r="G5402" s="23" t="str">
        <f>IF(OR(E5402="",E5402="!!!"),"",IF(OR(J5402=0,AND(J5402=1,K5402=1),AND(J5402=1,I5402="SBJ"),AND(J5402=1,I5402=0)),"?IN_FOCUS",IF(J5402&lt;=2,"?ACTIVATED",IF(J5402&lt;&gt;"","?FAMILIAR",IF(F5402="NEW",IF(ISNA(VLOOKUP(E5402,#REF!,1,FALSE())),"?TYPE_IDENTIFIABLE","?REFERENTIAL"),"_")))))</f>
        <v> </v>
      </c>
      <c r="H5402" s="24" t="str">
        <f>IF(J5402&lt;&gt;1,"",IF(I5402="SBJ","CB","?"))</f>
        <v> </v>
      </c>
      <c r="I5402" s="25" t="str">
        <f>IF(OR(E5402="",E5402="!!!",F5402="NEW"),"",INDEX(B5401:B$2,-1+SUMPRODUCT(MAX(ROW(E5401:E$2)*(E5402=E5401:E$2)))))</f>
        <v> </v>
      </c>
      <c r="J5402" s="25" t="str">
        <f>IF(OR(E5402="",E5402="!!!",F5402="NEW"),"",COUNTBLANK(OFFSET(A$1,,,SUMPRODUCT(MAX(ROW(E$2:E5402)*(E5402=E$2:E5402)))))-COUNTBLANK(OFFSET(A$1,,,SUMPRODUCT(MAX(ROW(E$1:E5401)*(E2=E$1:E5401))))))</f>
        <v> </v>
      </c>
      <c r="K5402" s="25" t="str">
        <f>IF(OR(E5402="",E5402="!!!",F5402="NEW"),"",INDEX(J$1:J5401,SUMPRODUCT(MAX(ROW(E$1:E5401)*(E5402=E$1:E5401)))))</f>
        <v> </v>
      </c>
      <c r="L5402" s="26"/>
    </row>
    <row r="5403" spans="1:12">
      <c r="A5403" s="20" t="s">
        <v>1162</v>
      </c>
      <c r="B5403" s="27" t="s">
        <v>1092</v>
      </c>
      <c r="C5403" s="27" t="s">
        <v>1110</v>
      </c>
      <c r="D5403" s="27" t="s">
        <v>1069</v>
      </c>
      <c r="E5403" s="21">
        <f>IF(D5403="?OLD","!!!","")</f>
        <v/>
      </c>
      <c r="F5403" s="22" t="str">
        <f>IF(OR(E5403="",E5403="!!!"),"",IF(NOT(ISNA(VLOOKUP(E5403,E$1:E5402,1,FALSE()))),"OLD",IF(AND(E5403&lt;&gt;"",E5403&lt;&gt;"!!!"),"NEW","")))</f>
        <v> </v>
      </c>
      <c r="G5403" s="23" t="str">
        <f>IF(OR(E5403="",E5403="!!!"),"",IF(OR(J5403=0,AND(J5403=1,K5403=1),AND(J5403=1,I5403="SBJ"),AND(J5403=1,I5403=0)),"?IN_FOCUS",IF(J5403&lt;=2,"?ACTIVATED",IF(J5403&lt;&gt;"","?FAMILIAR",IF(F5403="NEW",IF(ISNA(VLOOKUP(E5403,#REF!,1,FALSE())),"?TYPE_IDENTIFIABLE","?REFERENTIAL"),"_")))))</f>
        <v> </v>
      </c>
      <c r="H5403" s="24" t="str">
        <f>IF(J5403&lt;&gt;1,"",IF(I5403="SBJ","CB","?"))</f>
        <v> </v>
      </c>
      <c r="I5403" s="25" t="str">
        <f>IF(OR(E5403="",E5403="!!!",F5403="NEW"),"",INDEX(B5402:B$2,-1+SUMPRODUCT(MAX(ROW(E5402:E$2)*(E5403=E5402:E$2)))))</f>
        <v> </v>
      </c>
      <c r="J5403" s="25" t="str">
        <f>IF(OR(E5403="",E5403="!!!",F5403="NEW"),"",COUNTBLANK(OFFSET(A$1,,,SUMPRODUCT(MAX(ROW(E$2:E5403)*(E5403=E$2:E5403)))))-COUNTBLANK(OFFSET(A$1,,,SUMPRODUCT(MAX(ROW(E$1:E5402)*(E2=E$1:E5402))))))</f>
        <v> </v>
      </c>
      <c r="K5403" s="25" t="str">
        <f>IF(OR(E5403="",E5403="!!!",F5403="NEW"),"",INDEX(J$1:J5402,SUMPRODUCT(MAX(ROW(E$1:E5402)*(E5403=E$1:E5402)))))</f>
        <v> </v>
      </c>
      <c r="L5403" s="26"/>
    </row>
    <row r="5404" spans="1:12">
      <c r="A5404" s="20" t="s">
        <v>1104</v>
      </c>
      <c r="B5404" s="27" t="s">
        <v>1133</v>
      </c>
      <c r="C5404" s="27" t="s">
        <v>1110</v>
      </c>
      <c r="D5404" s="27" t="s">
        <v>1069</v>
      </c>
      <c r="E5404" s="21">
        <f>IF(D5404="?OLD","!!!","")</f>
        <v/>
      </c>
      <c r="F5404" s="22" t="str">
        <f>IF(OR(E5404="",E5404="!!!"),"",IF(NOT(ISNA(VLOOKUP(E5404,E$1:E5403,1,FALSE()))),"OLD",IF(AND(E5404&lt;&gt;"",E5404&lt;&gt;"!!!"),"NEW","")))</f>
        <v> </v>
      </c>
      <c r="G5404" s="23" t="str">
        <f>IF(OR(E5404="",E5404="!!!"),"",IF(OR(J5404=0,AND(J5404=1,K5404=1),AND(J5404=1,I5404="SBJ"),AND(J5404=1,I5404=0)),"?IN_FOCUS",IF(J5404&lt;=2,"?ACTIVATED",IF(J5404&lt;&gt;"","?FAMILIAR",IF(F5404="NEW",IF(ISNA(VLOOKUP(E5404,#REF!,1,FALSE())),"?TYPE_IDENTIFIABLE","?REFERENTIAL"),"_")))))</f>
        <v> </v>
      </c>
      <c r="H5404" s="24" t="str">
        <f>IF(J5404&lt;&gt;1,"",IF(I5404="SBJ","CB","?"))</f>
        <v> </v>
      </c>
      <c r="I5404" s="25" t="str">
        <f>IF(OR(E5404="",E5404="!!!",F5404="NEW"),"",INDEX(B5403:B$2,-1+SUMPRODUCT(MAX(ROW(E5403:E$2)*(E5404=E5403:E$2)))))</f>
        <v> </v>
      </c>
      <c r="J5404" s="25" t="str">
        <f>IF(OR(E5404="",E5404="!!!",F5404="NEW"),"",COUNTBLANK(OFFSET(A$1,,,SUMPRODUCT(MAX(ROW(E$2:E5404)*(E5404=E$2:E5404)))))-COUNTBLANK(OFFSET(A$1,,,SUMPRODUCT(MAX(ROW(E$1:E5403)*(E2=E$1:E5403))))))</f>
        <v> </v>
      </c>
      <c r="K5404" s="25" t="str">
        <f>IF(OR(E5404="",E5404="!!!",F5404="NEW"),"",INDEX(J$1:J5403,SUMPRODUCT(MAX(ROW(E$1:E5403)*(E5404=E$1:E5403)))))</f>
        <v> </v>
      </c>
      <c r="L5404" s="26"/>
    </row>
    <row r="5405" spans="1:12">
      <c r="A5405" s="20" t="s">
        <v>2584</v>
      </c>
      <c r="E5405" s="21">
        <f>IF(D5405="?OLD","!!!","")</f>
        <v/>
      </c>
      <c r="F5405" s="22" t="str">
        <f>IF(OR(E5405="",E5405="!!!"),"",IF(NOT(ISNA(VLOOKUP(E5405,E$1:E5404,1,FALSE()))),"OLD",IF(AND(E5405&lt;&gt;"",E5405&lt;&gt;"!!!"),"NEW","")))</f>
        <v> </v>
      </c>
      <c r="G5405" s="23" t="str">
        <f>IF(OR(E5405="",E5405="!!!"),"",IF(OR(J5405=0,AND(J5405=1,K5405=1),AND(J5405=1,I5405="SBJ"),AND(J5405=1,I5405=0)),"?IN_FOCUS",IF(J5405&lt;=2,"?ACTIVATED",IF(J5405&lt;&gt;"","?FAMILIAR",IF(F5405="NEW",IF(ISNA(VLOOKUP(E5405,#REF!,1,FALSE())),"?TYPE_IDENTIFIABLE","?REFERENTIAL"),"_")))))</f>
        <v> </v>
      </c>
      <c r="H5405" s="24" t="str">
        <f>IF(J5405&lt;&gt;1,"",IF(I5405="SBJ","CB","?"))</f>
        <v> </v>
      </c>
      <c r="I5405" s="25" t="str">
        <f>IF(OR(E5405="",E5405="!!!",F5405="NEW"),"",INDEX(B5404:B$2,-1+SUMPRODUCT(MAX(ROW(E5404:E$2)*(E5405=E5404:E$2)))))</f>
        <v> </v>
      </c>
      <c r="J5405" s="25" t="str">
        <f>IF(OR(E5405="",E5405="!!!",F5405="NEW"),"",COUNTBLANK(OFFSET(A$1,,,SUMPRODUCT(MAX(ROW(E$2:E5405)*(E5405=E$2:E5405)))))-COUNTBLANK(OFFSET(A$1,,,SUMPRODUCT(MAX(ROW(E$1:E5404)*(E2=E$1:E5404))))))</f>
        <v> </v>
      </c>
      <c r="K5405" s="25" t="str">
        <f>IF(OR(E5405="",E5405="!!!",F5405="NEW"),"",INDEX(J$1:J5404,SUMPRODUCT(MAX(ROW(E$1:E5404)*(E5405=E$1:E5404)))))</f>
        <v> </v>
      </c>
      <c r="L5405" s="26"/>
    </row>
    <row r="5406" spans="1:12">
      <c r="A5406" s="20" t="s">
        <v>1184</v>
      </c>
      <c r="E5406" s="21">
        <f>IF(D5406="?OLD","!!!","")</f>
        <v/>
      </c>
      <c r="F5406" s="22" t="str">
        <f>IF(OR(E5406="",E5406="!!!"),"",IF(NOT(ISNA(VLOOKUP(E5406,E$1:E5405,1,FALSE()))),"OLD",IF(AND(E5406&lt;&gt;"",E5406&lt;&gt;"!!!"),"NEW","")))</f>
        <v> </v>
      </c>
      <c r="G5406" s="23" t="str">
        <f>IF(OR(E5406="",E5406="!!!"),"",IF(OR(J5406=0,AND(J5406=1,K5406=1),AND(J5406=1,I5406="SBJ"),AND(J5406=1,I5406=0)),"?IN_FOCUS",IF(J5406&lt;=2,"?ACTIVATED",IF(J5406&lt;&gt;"","?FAMILIAR",IF(F5406="NEW",IF(ISNA(VLOOKUP(E5406,#REF!,1,FALSE())),"?TYPE_IDENTIFIABLE","?REFERENTIAL"),"_")))))</f>
        <v> </v>
      </c>
      <c r="H5406" s="24" t="str">
        <f>IF(J5406&lt;&gt;1,"",IF(I5406="SBJ","CB","?"))</f>
        <v> </v>
      </c>
      <c r="I5406" s="25" t="str">
        <f>IF(OR(E5406="",E5406="!!!",F5406="NEW"),"",INDEX(B5405:B$2,-1+SUMPRODUCT(MAX(ROW(E5405:E$2)*(E5406=E5405:E$2)))))</f>
        <v> </v>
      </c>
      <c r="J5406" s="25" t="str">
        <f>IF(OR(E5406="",E5406="!!!",F5406="NEW"),"",COUNTBLANK(OFFSET(A$1,,,SUMPRODUCT(MAX(ROW(E$2:E5406)*(E5406=E$2:E5406)))))-COUNTBLANK(OFFSET(A$1,,,SUMPRODUCT(MAX(ROW(E$1:E5405)*(E2=E$1:E5405))))))</f>
        <v> </v>
      </c>
      <c r="K5406" s="25" t="str">
        <f>IF(OR(E5406="",E5406="!!!",F5406="NEW"),"",INDEX(J$1:J5405,SUMPRODUCT(MAX(ROW(E$1:E5405)*(E5406=E$1:E5405)))))</f>
        <v> </v>
      </c>
      <c r="L5406" s="26"/>
    </row>
    <row r="5407" spans="1:12">
      <c r="A5407" s="20" t="s">
        <v>1080</v>
      </c>
      <c r="E5407" s="21">
        <f>IF(D5407="?OLD","!!!","")</f>
        <v/>
      </c>
      <c r="F5407" s="22" t="str">
        <f>IF(OR(E5407="",E5407="!!!"),"",IF(NOT(ISNA(VLOOKUP(E5407,E$1:E5406,1,FALSE()))),"OLD",IF(AND(E5407&lt;&gt;"",E5407&lt;&gt;"!!!"),"NEW","")))</f>
        <v> </v>
      </c>
      <c r="G5407" s="23" t="str">
        <f>IF(OR(E5407="",E5407="!!!"),"",IF(OR(J5407=0,AND(J5407=1,K5407=1),AND(J5407=1,I5407="SBJ"),AND(J5407=1,I5407=0)),"?IN_FOCUS",IF(J5407&lt;=2,"?ACTIVATED",IF(J5407&lt;&gt;"","?FAMILIAR",IF(F5407="NEW",IF(ISNA(VLOOKUP(E5407,#REF!,1,FALSE())),"?TYPE_IDENTIFIABLE","?REFERENTIAL"),"_")))))</f>
        <v> </v>
      </c>
      <c r="H5407" s="24" t="str">
        <f>IF(J5407&lt;&gt;1,"",IF(I5407="SBJ","CB","?"))</f>
        <v> </v>
      </c>
      <c r="I5407" s="25" t="str">
        <f>IF(OR(E5407="",E5407="!!!",F5407="NEW"),"",INDEX(B5406:B$2,-1+SUMPRODUCT(MAX(ROW(E5406:E$2)*(E5407=E5406:E$2)))))</f>
        <v> </v>
      </c>
      <c r="J5407" s="25" t="str">
        <f>IF(OR(E5407="",E5407="!!!",F5407="NEW"),"",COUNTBLANK(OFFSET(A$1,,,SUMPRODUCT(MAX(ROW(E$2:E5407)*(E5407=E$2:E5407)))))-COUNTBLANK(OFFSET(A$1,,,SUMPRODUCT(MAX(ROW(E$1:E5406)*(E2=E$1:E5406))))))</f>
        <v> </v>
      </c>
      <c r="K5407" s="25" t="str">
        <f>IF(OR(E5407="",E5407="!!!",F5407="NEW"),"",INDEX(J$1:J5406,SUMPRODUCT(MAX(ROW(E$1:E5406)*(E5407=E$1:E5406)))))</f>
        <v> </v>
      </c>
      <c r="L5407" s="26"/>
    </row>
    <row r="5408" spans="1:12">
      <c r="A5408" s="20"/>
    </row>
    <row r="5409" spans="1:12">
      <c r="A5409" s="20" t="s">
        <v>2585</v>
      </c>
    </row>
    <row r="5410" spans="1:12">
      <c r="A5410" s="20" t="s">
        <v>2258</v>
      </c>
      <c r="E5410" s="21">
        <f>IF(D5410="?OLD","!!!","")</f>
        <v/>
      </c>
      <c r="F5410" s="22" t="str">
        <f>IF(OR(E5410="",E5410="!!!"),"",IF(NOT(ISNA(VLOOKUP(E5410,E$1:E5409,1,FALSE()))),"OLD",IF(AND(E5410&lt;&gt;"",E5410&lt;&gt;"!!!"),"NEW","")))</f>
        <v> </v>
      </c>
      <c r="G5410" s="23" t="str">
        <f>IF(OR(E5410="",E5410="!!!"),"",IF(OR(J5410=0,AND(J5410=1,K5410=1),AND(J5410=1,I5410="SBJ"),AND(J5410=1,I5410=0)),"?IN_FOCUS",IF(J5410&lt;=2,"?ACTIVATED",IF(J5410&lt;&gt;"","?FAMILIAR",IF(F5410="NEW",IF(ISNA(VLOOKUP(E5410,#REF!,1,FALSE())),"?TYPE_IDENTIFIABLE","?REFERENTIAL"),"_")))))</f>
        <v> </v>
      </c>
      <c r="H5410" s="24" t="str">
        <f>IF(J5410&lt;&gt;1,"",IF(I5410="SBJ","CB","?"))</f>
        <v> </v>
      </c>
      <c r="I5410" s="25" t="str">
        <f>IF(OR(E5410="",E5410="!!!",F5410="NEW"),"",INDEX(B5409:B$2,-1+SUMPRODUCT(MAX(ROW(E5409:E$2)*(E5410=E5409:E$2)))))</f>
        <v> </v>
      </c>
      <c r="J5410" s="25" t="str">
        <f>IF(OR(E5410="",E5410="!!!",F5410="NEW"),"",COUNTBLANK(OFFSET(A$1,,,SUMPRODUCT(MAX(ROW(E$2:E5410)*(E5410=E$2:E5410)))))-COUNTBLANK(OFFSET(A$1,,,SUMPRODUCT(MAX(ROW(E$1:E5409)*(E2=E$1:E5409))))))</f>
        <v> </v>
      </c>
      <c r="K5410" s="25" t="str">
        <f>IF(OR(E5410="",E5410="!!!",F5410="NEW"),"",INDEX(J$1:J5409,SUMPRODUCT(MAX(ROW(E$1:E5409)*(E5410=E$1:E5409)))))</f>
        <v> </v>
      </c>
      <c r="L5410" s="26"/>
    </row>
    <row r="5411" spans="1:12">
      <c r="A5411" s="20" t="s">
        <v>1317</v>
      </c>
      <c r="E5411" s="21">
        <f>IF(D5411="?OLD","!!!","")</f>
        <v/>
      </c>
      <c r="F5411" s="22" t="str">
        <f>IF(OR(E5411="",E5411="!!!"),"",IF(NOT(ISNA(VLOOKUP(E5411,E$1:E5410,1,FALSE()))),"OLD",IF(AND(E5411&lt;&gt;"",E5411&lt;&gt;"!!!"),"NEW","")))</f>
        <v> </v>
      </c>
      <c r="G5411" s="23" t="str">
        <f>IF(OR(E5411="",E5411="!!!"),"",IF(OR(J5411=0,AND(J5411=1,K5411=1),AND(J5411=1,I5411="SBJ"),AND(J5411=1,I5411=0)),"?IN_FOCUS",IF(J5411&lt;=2,"?ACTIVATED",IF(J5411&lt;&gt;"","?FAMILIAR",IF(F5411="NEW",IF(ISNA(VLOOKUP(E5411,#REF!,1,FALSE())),"?TYPE_IDENTIFIABLE","?REFERENTIAL"),"_")))))</f>
        <v> </v>
      </c>
      <c r="H5411" s="24" t="str">
        <f>IF(J5411&lt;&gt;1,"",IF(I5411="SBJ","CB","?"))</f>
        <v> </v>
      </c>
      <c r="I5411" s="25" t="str">
        <f>IF(OR(E5411="",E5411="!!!",F5411="NEW"),"",INDEX(B5410:B$2,-1+SUMPRODUCT(MAX(ROW(E5410:E$2)*(E5411=E5410:E$2)))))</f>
        <v> </v>
      </c>
      <c r="J5411" s="25" t="str">
        <f>IF(OR(E5411="",E5411="!!!",F5411="NEW"),"",COUNTBLANK(OFFSET(A$1,,,SUMPRODUCT(MAX(ROW(E$2:E5411)*(E5411=E$2:E5411)))))-COUNTBLANK(OFFSET(A$1,,,SUMPRODUCT(MAX(ROW(E$1:E5410)*(E2=E$1:E5410))))))</f>
        <v> </v>
      </c>
      <c r="K5411" s="25" t="str">
        <f>IF(OR(E5411="",E5411="!!!",F5411="NEW"),"",INDEX(J$1:J5410,SUMPRODUCT(MAX(ROW(E$1:E5410)*(E5411=E$1:E5410)))))</f>
        <v> </v>
      </c>
      <c r="L5411" s="26"/>
    </row>
    <row r="5412" spans="1:12">
      <c r="A5412" s="20" t="s">
        <v>760</v>
      </c>
      <c r="E5412" s="21">
        <f>IF(D5412="?OLD","!!!","")</f>
        <v/>
      </c>
      <c r="F5412" s="22" t="str">
        <f>IF(OR(E5412="",E5412="!!!"),"",IF(NOT(ISNA(VLOOKUP(E5412,E$1:E5411,1,FALSE()))),"OLD",IF(AND(E5412&lt;&gt;"",E5412&lt;&gt;"!!!"),"NEW","")))</f>
        <v> </v>
      </c>
      <c r="G5412" s="23" t="str">
        <f>IF(OR(E5412="",E5412="!!!"),"",IF(OR(J5412=0,AND(J5412=1,K5412=1),AND(J5412=1,I5412="SBJ"),AND(J5412=1,I5412=0)),"?IN_FOCUS",IF(J5412&lt;=2,"?ACTIVATED",IF(J5412&lt;&gt;"","?FAMILIAR",IF(F5412="NEW",IF(ISNA(VLOOKUP(E5412,#REF!,1,FALSE())),"?TYPE_IDENTIFIABLE","?REFERENTIAL"),"_")))))</f>
        <v> </v>
      </c>
      <c r="H5412" s="24" t="str">
        <f>IF(J5412&lt;&gt;1,"",IF(I5412="SBJ","CB","?"))</f>
        <v> </v>
      </c>
      <c r="I5412" s="25" t="str">
        <f>IF(OR(E5412="",E5412="!!!",F5412="NEW"),"",INDEX(B5411:B$2,-1+SUMPRODUCT(MAX(ROW(E5411:E$2)*(E5412=E5411:E$2)))))</f>
        <v> </v>
      </c>
      <c r="J5412" s="25" t="str">
        <f>IF(OR(E5412="",E5412="!!!",F5412="NEW"),"",COUNTBLANK(OFFSET(A$1,,,SUMPRODUCT(MAX(ROW(E$2:E5412)*(E5412=E$2:E5412)))))-COUNTBLANK(OFFSET(A$1,,,SUMPRODUCT(MAX(ROW(E$1:E5411)*(E2=E$1:E5411))))))</f>
        <v> </v>
      </c>
      <c r="K5412" s="25" t="str">
        <f>IF(OR(E5412="",E5412="!!!",F5412="NEW"),"",INDEX(J$1:J5411,SUMPRODUCT(MAX(ROW(E$1:E5411)*(E5412=E$1:E5411)))))</f>
        <v> </v>
      </c>
      <c r="L5412" s="26"/>
    </row>
    <row r="5413" spans="1:12">
      <c r="A5413" s="20" t="s">
        <v>1087</v>
      </c>
      <c r="E5413" s="21">
        <f>IF(D5413="?OLD","!!!","")</f>
        <v/>
      </c>
      <c r="F5413" s="22" t="str">
        <f>IF(OR(E5413="",E5413="!!!"),"",IF(NOT(ISNA(VLOOKUP(E5413,E$1:E5412,1,FALSE()))),"OLD",IF(AND(E5413&lt;&gt;"",E5413&lt;&gt;"!!!"),"NEW","")))</f>
        <v> </v>
      </c>
      <c r="G5413" s="23" t="str">
        <f>IF(OR(E5413="",E5413="!!!"),"",IF(OR(J5413=0,AND(J5413=1,K5413=1),AND(J5413=1,I5413="SBJ"),AND(J5413=1,I5413=0)),"?IN_FOCUS",IF(J5413&lt;=2,"?ACTIVATED",IF(J5413&lt;&gt;"","?FAMILIAR",IF(F5413="NEW",IF(ISNA(VLOOKUP(E5413,#REF!,1,FALSE())),"?TYPE_IDENTIFIABLE","?REFERENTIAL"),"_")))))</f>
        <v> </v>
      </c>
      <c r="H5413" s="24" t="str">
        <f>IF(J5413&lt;&gt;1,"",IF(I5413="SBJ","CB","?"))</f>
        <v> </v>
      </c>
      <c r="I5413" s="25" t="str">
        <f>IF(OR(E5413="",E5413="!!!",F5413="NEW"),"",INDEX(B5412:B$2,-1+SUMPRODUCT(MAX(ROW(E5412:E$2)*(E5413=E5412:E$2)))))</f>
        <v> </v>
      </c>
      <c r="J5413" s="25" t="str">
        <f>IF(OR(E5413="",E5413="!!!",F5413="NEW"),"",COUNTBLANK(OFFSET(A$1,,,SUMPRODUCT(MAX(ROW(E$2:E5413)*(E5413=E$2:E5413)))))-COUNTBLANK(OFFSET(A$1,,,SUMPRODUCT(MAX(ROW(E$1:E5412)*(E2=E$1:E5412))))))</f>
        <v> </v>
      </c>
      <c r="K5413" s="25" t="str">
        <f>IF(OR(E5413="",E5413="!!!",F5413="NEW"),"",INDEX(J$1:J5412,SUMPRODUCT(MAX(ROW(E$1:E5412)*(E5413=E$1:E5412)))))</f>
        <v> </v>
      </c>
      <c r="L5413" s="26"/>
    </row>
    <row r="5414" spans="1:12">
      <c r="A5414" s="20" t="s">
        <v>1066</v>
      </c>
      <c r="B5414" s="27" t="s">
        <v>1067</v>
      </c>
      <c r="C5414" s="27" t="s">
        <v>1068</v>
      </c>
      <c r="D5414" s="27" t="s">
        <v>1069</v>
      </c>
      <c r="E5414" s="21">
        <f>IF(D5414="?OLD","!!!","")</f>
        <v/>
      </c>
      <c r="F5414" s="22" t="str">
        <f>IF(OR(E5414="",E5414="!!!"),"",IF(NOT(ISNA(VLOOKUP(E5414,E$1:E5413,1,FALSE()))),"OLD",IF(AND(E5414&lt;&gt;"",E5414&lt;&gt;"!!!"),"NEW","")))</f>
        <v> </v>
      </c>
      <c r="G5414" s="23" t="str">
        <f>IF(OR(E5414="",E5414="!!!"),"",IF(OR(J5414=0,AND(J5414=1,K5414=1),AND(J5414=1,I5414="SBJ"),AND(J5414=1,I5414=0)),"?IN_FOCUS",IF(J5414&lt;=2,"?ACTIVATED",IF(J5414&lt;&gt;"","?FAMILIAR",IF(F5414="NEW",IF(ISNA(VLOOKUP(E5414,#REF!,1,FALSE())),"?TYPE_IDENTIFIABLE","?REFERENTIAL"),"_")))))</f>
        <v> </v>
      </c>
      <c r="H5414" s="24" t="str">
        <f>IF(J5414&lt;&gt;1,"",IF(I5414="SBJ","CB","?"))</f>
        <v> </v>
      </c>
      <c r="I5414" s="25" t="str">
        <f>IF(OR(E5414="",E5414="!!!",F5414="NEW"),"",INDEX(B5413:B$2,-1+SUMPRODUCT(MAX(ROW(E5413:E$2)*(E5414=E5413:E$2)))))</f>
        <v> </v>
      </c>
      <c r="J5414" s="25" t="str">
        <f>IF(OR(E5414="",E5414="!!!",F5414="NEW"),"",COUNTBLANK(OFFSET(A$1,,,SUMPRODUCT(MAX(ROW(E$2:E5414)*(E5414=E$2:E5414)))))-COUNTBLANK(OFFSET(A$1,,,SUMPRODUCT(MAX(ROW(E$1:E5413)*(E2=E$1:E5413))))))</f>
        <v> </v>
      </c>
      <c r="K5414" s="25" t="str">
        <f>IF(OR(E5414="",E5414="!!!",F5414="NEW"),"",INDEX(J$1:J5413,SUMPRODUCT(MAX(ROW(E$1:E5413)*(E5414=E$1:E5413)))))</f>
        <v> </v>
      </c>
      <c r="L5414" s="26"/>
    </row>
    <row r="5415" spans="1:12">
      <c r="A5415" s="20" t="s">
        <v>1907</v>
      </c>
      <c r="E5415" s="21">
        <f>IF(D5415="?OLD","!!!","")</f>
        <v/>
      </c>
      <c r="F5415" s="22" t="str">
        <f>IF(OR(E5415="",E5415="!!!"),"",IF(NOT(ISNA(VLOOKUP(E5415,E$1:E5414,1,FALSE()))),"OLD",IF(AND(E5415&lt;&gt;"",E5415&lt;&gt;"!!!"),"NEW","")))</f>
        <v> </v>
      </c>
      <c r="G5415" s="23" t="str">
        <f>IF(OR(E5415="",E5415="!!!"),"",IF(OR(J5415=0,AND(J5415=1,K5415=1),AND(J5415=1,I5415="SBJ"),AND(J5415=1,I5415=0)),"?IN_FOCUS",IF(J5415&lt;=2,"?ACTIVATED",IF(J5415&lt;&gt;"","?FAMILIAR",IF(F5415="NEW",IF(ISNA(VLOOKUP(E5415,#REF!,1,FALSE())),"?TYPE_IDENTIFIABLE","?REFERENTIAL"),"_")))))</f>
        <v> </v>
      </c>
      <c r="H5415" s="24" t="str">
        <f>IF(J5415&lt;&gt;1,"",IF(I5415="SBJ","CB","?"))</f>
        <v> </v>
      </c>
      <c r="I5415" s="25" t="str">
        <f>IF(OR(E5415="",E5415="!!!",F5415="NEW"),"",INDEX(B5414:B$2,-1+SUMPRODUCT(MAX(ROW(E5414:E$2)*(E5415=E5414:E$2)))))</f>
        <v> </v>
      </c>
      <c r="J5415" s="25" t="str">
        <f>IF(OR(E5415="",E5415="!!!",F5415="NEW"),"",COUNTBLANK(OFFSET(A$1,,,SUMPRODUCT(MAX(ROW(E$2:E5415)*(E5415=E$2:E5415)))))-COUNTBLANK(OFFSET(A$1,,,SUMPRODUCT(MAX(ROW(E$1:E5414)*(E2=E$1:E5414))))))</f>
        <v> </v>
      </c>
      <c r="K5415" s="25" t="str">
        <f>IF(OR(E5415="",E5415="!!!",F5415="NEW"),"",INDEX(J$1:J5414,SUMPRODUCT(MAX(ROW(E$1:E5414)*(E5415=E$1:E5414)))))</f>
        <v> </v>
      </c>
      <c r="L5415" s="26"/>
    </row>
    <row r="5416" spans="1:12">
      <c r="A5416" s="20" t="s">
        <v>1066</v>
      </c>
      <c r="B5416" s="27" t="s">
        <v>1067</v>
      </c>
      <c r="C5416" s="27" t="s">
        <v>1068</v>
      </c>
      <c r="D5416" s="27" t="s">
        <v>1069</v>
      </c>
      <c r="E5416" s="21">
        <f>IF(D5416="?OLD","!!!","")</f>
        <v/>
      </c>
      <c r="F5416" s="22" t="str">
        <f>IF(OR(E5416="",E5416="!!!"),"",IF(NOT(ISNA(VLOOKUP(E5416,E$1:E5415,1,FALSE()))),"OLD",IF(AND(E5416&lt;&gt;"",E5416&lt;&gt;"!!!"),"NEW","")))</f>
        <v> </v>
      </c>
      <c r="G5416" s="23" t="str">
        <f>IF(OR(E5416="",E5416="!!!"),"",IF(OR(J5416=0,AND(J5416=1,K5416=1),AND(J5416=1,I5416="SBJ"),AND(J5416=1,I5416=0)),"?IN_FOCUS",IF(J5416&lt;=2,"?ACTIVATED",IF(J5416&lt;&gt;"","?FAMILIAR",IF(F5416="NEW",IF(ISNA(VLOOKUP(E5416,#REF!,1,FALSE())),"?TYPE_IDENTIFIABLE","?REFERENTIAL"),"_")))))</f>
        <v> </v>
      </c>
      <c r="H5416" s="24" t="str">
        <f>IF(J5416&lt;&gt;1,"",IF(I5416="SBJ","CB","?"))</f>
        <v> </v>
      </c>
      <c r="I5416" s="25" t="str">
        <f>IF(OR(E5416="",E5416="!!!",F5416="NEW"),"",INDEX(B5415:B$2,-1+SUMPRODUCT(MAX(ROW(E5415:E$2)*(E5416=E5415:E$2)))))</f>
        <v> </v>
      </c>
      <c r="J5416" s="25" t="str">
        <f>IF(OR(E5416="",E5416="!!!",F5416="NEW"),"",COUNTBLANK(OFFSET(A$1,,,SUMPRODUCT(MAX(ROW(E$2:E5416)*(E5416=E$2:E5416)))))-COUNTBLANK(OFFSET(A$1,,,SUMPRODUCT(MAX(ROW(E$1:E5415)*(E2=E$1:E5415))))))</f>
        <v> </v>
      </c>
      <c r="K5416" s="25" t="str">
        <f>IF(OR(E5416="",E5416="!!!",F5416="NEW"),"",INDEX(J$1:J5415,SUMPRODUCT(MAX(ROW(E$1:E5415)*(E5416=E$1:E5415)))))</f>
        <v> </v>
      </c>
      <c r="L5416" s="26"/>
    </row>
    <row r="5417" spans="1:12">
      <c r="A5417" s="20" t="s">
        <v>1065</v>
      </c>
      <c r="E5417" s="21">
        <f>IF(D5417="?OLD","!!!","")</f>
        <v/>
      </c>
      <c r="F5417" s="22" t="str">
        <f>IF(OR(E5417="",E5417="!!!"),"",IF(NOT(ISNA(VLOOKUP(E5417,E$1:E5416,1,FALSE()))),"OLD",IF(AND(E5417&lt;&gt;"",E5417&lt;&gt;"!!!"),"NEW","")))</f>
        <v> </v>
      </c>
      <c r="G5417" s="23" t="str">
        <f>IF(OR(E5417="",E5417="!!!"),"",IF(OR(J5417=0,AND(J5417=1,K5417=1),AND(J5417=1,I5417="SBJ"),AND(J5417=1,I5417=0)),"?IN_FOCUS",IF(J5417&lt;=2,"?ACTIVATED",IF(J5417&lt;&gt;"","?FAMILIAR",IF(F5417="NEW",IF(ISNA(VLOOKUP(E5417,#REF!,1,FALSE())),"?TYPE_IDENTIFIABLE","?REFERENTIAL"),"_")))))</f>
        <v> </v>
      </c>
      <c r="H5417" s="24" t="str">
        <f>IF(J5417&lt;&gt;1,"",IF(I5417="SBJ","CB","?"))</f>
        <v> </v>
      </c>
      <c r="I5417" s="25" t="str">
        <f>IF(OR(E5417="",E5417="!!!",F5417="NEW"),"",INDEX(B5416:B$2,-1+SUMPRODUCT(MAX(ROW(E5416:E$2)*(E5417=E5416:E$2)))))</f>
        <v> </v>
      </c>
      <c r="J5417" s="25" t="str">
        <f>IF(OR(E5417="",E5417="!!!",F5417="NEW"),"",COUNTBLANK(OFFSET(A$1,,,SUMPRODUCT(MAX(ROW(E$2:E5417)*(E5417=E$2:E5417)))))-COUNTBLANK(OFFSET(A$1,,,SUMPRODUCT(MAX(ROW(E$1:E5416)*(E2=E$1:E5416))))))</f>
        <v> </v>
      </c>
      <c r="K5417" s="25" t="str">
        <f>IF(OR(E5417="",E5417="!!!",F5417="NEW"),"",INDEX(J$1:J5416,SUMPRODUCT(MAX(ROW(E$1:E5416)*(E5417=E$1:E5416)))))</f>
        <v> </v>
      </c>
      <c r="L5417" s="26"/>
    </row>
    <row r="5418" spans="1:12">
      <c r="A5418" s="20" t="s">
        <v>1127</v>
      </c>
      <c r="E5418" s="21">
        <f>IF(D5418="?OLD","!!!","")</f>
        <v/>
      </c>
      <c r="F5418" s="22" t="str">
        <f>IF(OR(E5418="",E5418="!!!"),"",IF(NOT(ISNA(VLOOKUP(E5418,E$1:E5417,1,FALSE()))),"OLD",IF(AND(E5418&lt;&gt;"",E5418&lt;&gt;"!!!"),"NEW","")))</f>
        <v> </v>
      </c>
      <c r="G5418" s="23" t="str">
        <f>IF(OR(E5418="",E5418="!!!"),"",IF(OR(J5418=0,AND(J5418=1,K5418=1),AND(J5418=1,I5418="SBJ"),AND(J5418=1,I5418=0)),"?IN_FOCUS",IF(J5418&lt;=2,"?ACTIVATED",IF(J5418&lt;&gt;"","?FAMILIAR",IF(F5418="NEW",IF(ISNA(VLOOKUP(E5418,#REF!,1,FALSE())),"?TYPE_IDENTIFIABLE","?REFERENTIAL"),"_")))))</f>
        <v> </v>
      </c>
      <c r="H5418" s="24" t="str">
        <f>IF(J5418&lt;&gt;1,"",IF(I5418="SBJ","CB","?"))</f>
        <v> </v>
      </c>
      <c r="I5418" s="25" t="str">
        <f>IF(OR(E5418="",E5418="!!!",F5418="NEW"),"",INDEX(B5417:B$2,-1+SUMPRODUCT(MAX(ROW(E5417:E$2)*(E5418=E5417:E$2)))))</f>
        <v> </v>
      </c>
      <c r="J5418" s="25" t="str">
        <f>IF(OR(E5418="",E5418="!!!",F5418="NEW"),"",COUNTBLANK(OFFSET(A$1,,,SUMPRODUCT(MAX(ROW(E$2:E5418)*(E5418=E$2:E5418)))))-COUNTBLANK(OFFSET(A$1,,,SUMPRODUCT(MAX(ROW(E$1:E5417)*(E2=E$1:E5417))))))</f>
        <v> </v>
      </c>
      <c r="K5418" s="25" t="str">
        <f>IF(OR(E5418="",E5418="!!!",F5418="NEW"),"",INDEX(J$1:J5417,SUMPRODUCT(MAX(ROW(E$1:E5417)*(E5418=E$1:E5417)))))</f>
        <v> </v>
      </c>
      <c r="L5418" s="26"/>
    </row>
    <row r="5419" spans="1:12">
      <c r="A5419" s="20" t="s">
        <v>1460</v>
      </c>
      <c r="E5419" s="21">
        <f>IF(D5419="?OLD","!!!","")</f>
        <v/>
      </c>
      <c r="F5419" s="22" t="str">
        <f>IF(OR(E5419="",E5419="!!!"),"",IF(NOT(ISNA(VLOOKUP(E5419,E$1:E5418,1,FALSE()))),"OLD",IF(AND(E5419&lt;&gt;"",E5419&lt;&gt;"!!!"),"NEW","")))</f>
        <v> </v>
      </c>
      <c r="G5419" s="23" t="str">
        <f>IF(OR(E5419="",E5419="!!!"),"",IF(OR(J5419=0,AND(J5419=1,K5419=1),AND(J5419=1,I5419="SBJ"),AND(J5419=1,I5419=0)),"?IN_FOCUS",IF(J5419&lt;=2,"?ACTIVATED",IF(J5419&lt;&gt;"","?FAMILIAR",IF(F5419="NEW",IF(ISNA(VLOOKUP(E5419,#REF!,1,FALSE())),"?TYPE_IDENTIFIABLE","?REFERENTIAL"),"_")))))</f>
        <v> </v>
      </c>
      <c r="H5419" s="24" t="str">
        <f>IF(J5419&lt;&gt;1,"",IF(I5419="SBJ","CB","?"))</f>
        <v> </v>
      </c>
      <c r="I5419" s="25" t="str">
        <f>IF(OR(E5419="",E5419="!!!",F5419="NEW"),"",INDEX(B5418:B$2,-1+SUMPRODUCT(MAX(ROW(E5418:E$2)*(E5419=E5418:E$2)))))</f>
        <v> </v>
      </c>
      <c r="J5419" s="25" t="str">
        <f>IF(OR(E5419="",E5419="!!!",F5419="NEW"),"",COUNTBLANK(OFFSET(A$1,,,SUMPRODUCT(MAX(ROW(E$2:E5419)*(E5419=E$2:E5419)))))-COUNTBLANK(OFFSET(A$1,,,SUMPRODUCT(MAX(ROW(E$1:E5418)*(E2=E$1:E5418))))))</f>
        <v> </v>
      </c>
      <c r="K5419" s="25" t="str">
        <f>IF(OR(E5419="",E5419="!!!",F5419="NEW"),"",INDEX(J$1:J5418,SUMPRODUCT(MAX(ROW(E$1:E5418)*(E5419=E$1:E5418)))))</f>
        <v> </v>
      </c>
      <c r="L5419" s="26"/>
    </row>
    <row r="5420" spans="1:12">
      <c r="A5420" s="20" t="s">
        <v>1650</v>
      </c>
      <c r="B5420" s="27" t="s">
        <v>1071</v>
      </c>
      <c r="C5420" s="27" t="s">
        <v>1072</v>
      </c>
      <c r="E5420" s="21">
        <f>IF(D5420="?OLD","!!!","")</f>
        <v/>
      </c>
      <c r="F5420" s="22" t="str">
        <f>IF(OR(E5420="",E5420="!!!"),"",IF(NOT(ISNA(VLOOKUP(E5420,E$1:E5419,1,FALSE()))),"OLD",IF(AND(E5420&lt;&gt;"",E5420&lt;&gt;"!!!"),"NEW","")))</f>
        <v> </v>
      </c>
      <c r="G5420" s="23" t="str">
        <f>IF(OR(E5420="",E5420="!!!"),"",IF(OR(J5420=0,AND(J5420=1,K5420=1),AND(J5420=1,I5420="SBJ"),AND(J5420=1,I5420=0)),"?IN_FOCUS",IF(J5420&lt;=2,"?ACTIVATED",IF(J5420&lt;&gt;"","?FAMILIAR",IF(F5420="NEW",IF(ISNA(VLOOKUP(E5420,#REF!,1,FALSE())),"?TYPE_IDENTIFIABLE","?REFERENTIAL"),"_")))))</f>
        <v> </v>
      </c>
      <c r="H5420" s="24" t="str">
        <f>IF(J5420&lt;&gt;1,"",IF(I5420="SBJ","CB","?"))</f>
        <v> </v>
      </c>
      <c r="I5420" s="25" t="str">
        <f>IF(OR(E5420="",E5420="!!!",F5420="NEW"),"",INDEX(B5419:B$2,-1+SUMPRODUCT(MAX(ROW(E5419:E$2)*(E5420=E5419:E$2)))))</f>
        <v> </v>
      </c>
      <c r="J5420" s="25" t="str">
        <f>IF(OR(E5420="",E5420="!!!",F5420="NEW"),"",COUNTBLANK(OFFSET(A$1,,,SUMPRODUCT(MAX(ROW(E$2:E5420)*(E5420=E$2:E5420)))))-COUNTBLANK(OFFSET(A$1,,,SUMPRODUCT(MAX(ROW(E$1:E5419)*(E2=E$1:E5419))))))</f>
        <v> </v>
      </c>
      <c r="K5420" s="25" t="str">
        <f>IF(OR(E5420="",E5420="!!!",F5420="NEW"),"",INDEX(J$1:J5419,SUMPRODUCT(MAX(ROW(E$1:E5419)*(E5420=E$1:E5419)))))</f>
        <v> </v>
      </c>
      <c r="L5420" s="26"/>
    </row>
    <row r="5421" spans="1:12">
      <c r="A5421" s="20" t="s">
        <v>1130</v>
      </c>
      <c r="B5421" s="27" t="s">
        <v>1067</v>
      </c>
      <c r="C5421" s="27" t="s">
        <v>1117</v>
      </c>
      <c r="E5421" s="21">
        <f>IF(D5421="?OLD","!!!","")</f>
        <v/>
      </c>
      <c r="F5421" s="22" t="str">
        <f>IF(OR(E5421="",E5421="!!!"),"",IF(NOT(ISNA(VLOOKUP(E5421,E$1:E5420,1,FALSE()))),"OLD",IF(AND(E5421&lt;&gt;"",E5421&lt;&gt;"!!!"),"NEW","")))</f>
        <v> </v>
      </c>
      <c r="G5421" s="23" t="str">
        <f>IF(OR(E5421="",E5421="!!!"),"",IF(OR(J5421=0,AND(J5421=1,K5421=1),AND(J5421=1,I5421="SBJ"),AND(J5421=1,I5421=0)),"?IN_FOCUS",IF(J5421&lt;=2,"?ACTIVATED",IF(J5421&lt;&gt;"","?FAMILIAR",IF(F5421="NEW",IF(ISNA(VLOOKUP(E5421,#REF!,1,FALSE())),"?TYPE_IDENTIFIABLE","?REFERENTIAL"),"_")))))</f>
        <v> </v>
      </c>
      <c r="H5421" s="24" t="str">
        <f>IF(J5421&lt;&gt;1,"",IF(I5421="SBJ","CB","?"))</f>
        <v> </v>
      </c>
      <c r="I5421" s="25" t="str">
        <f>IF(OR(E5421="",E5421="!!!",F5421="NEW"),"",INDEX(B5420:B$2,-1+SUMPRODUCT(MAX(ROW(E5420:E$2)*(E5421=E5420:E$2)))))</f>
        <v> </v>
      </c>
      <c r="J5421" s="25" t="str">
        <f>IF(OR(E5421="",E5421="!!!",F5421="NEW"),"",COUNTBLANK(OFFSET(A$1,,,SUMPRODUCT(MAX(ROW(E$2:E5421)*(E5421=E$2:E5421)))))-COUNTBLANK(OFFSET(A$1,,,SUMPRODUCT(MAX(ROW(E$1:E5420)*(E2=E$1:E5420))))))</f>
        <v> </v>
      </c>
      <c r="K5421" s="25" t="str">
        <f>IF(OR(E5421="",E5421="!!!",F5421="NEW"),"",INDEX(J$1:J5420,SUMPRODUCT(MAX(ROW(E$1:E5420)*(E5421=E$1:E5420)))))</f>
        <v> </v>
      </c>
      <c r="L5421" s="26"/>
    </row>
    <row r="5422" spans="1:12">
      <c r="A5422" s="20" t="s">
        <v>1356</v>
      </c>
      <c r="E5422" s="21">
        <f>IF(D5422="?OLD","!!!","")</f>
        <v/>
      </c>
      <c r="F5422" s="22" t="str">
        <f>IF(OR(E5422="",E5422="!!!"),"",IF(NOT(ISNA(VLOOKUP(E5422,E$1:E5421,1,FALSE()))),"OLD",IF(AND(E5422&lt;&gt;"",E5422&lt;&gt;"!!!"),"NEW","")))</f>
        <v> </v>
      </c>
      <c r="G5422" s="23" t="str">
        <f>IF(OR(E5422="",E5422="!!!"),"",IF(OR(J5422=0,AND(J5422=1,K5422=1),AND(J5422=1,I5422="SBJ"),AND(J5422=1,I5422=0)),"?IN_FOCUS",IF(J5422&lt;=2,"?ACTIVATED",IF(J5422&lt;&gt;"","?FAMILIAR",IF(F5422="NEW",IF(ISNA(VLOOKUP(E5422,#REF!,1,FALSE())),"?TYPE_IDENTIFIABLE","?REFERENTIAL"),"_")))))</f>
        <v> </v>
      </c>
      <c r="H5422" s="24" t="str">
        <f>IF(J5422&lt;&gt;1,"",IF(I5422="SBJ","CB","?"))</f>
        <v> </v>
      </c>
      <c r="I5422" s="25" t="str">
        <f>IF(OR(E5422="",E5422="!!!",F5422="NEW"),"",INDEX(B5421:B$2,-1+SUMPRODUCT(MAX(ROW(E5421:E$2)*(E5422=E5421:E$2)))))</f>
        <v> </v>
      </c>
      <c r="J5422" s="25" t="str">
        <f>IF(OR(E5422="",E5422="!!!",F5422="NEW"),"",COUNTBLANK(OFFSET(A$1,,,SUMPRODUCT(MAX(ROW(E$2:E5422)*(E5422=E$2:E5422)))))-COUNTBLANK(OFFSET(A$1,,,SUMPRODUCT(MAX(ROW(E$1:E5421)*(E2=E$1:E5421))))))</f>
        <v> </v>
      </c>
      <c r="K5422" s="25" t="str">
        <f>IF(OR(E5422="",E5422="!!!",F5422="NEW"),"",INDEX(J$1:J5421,SUMPRODUCT(MAX(ROW(E$1:E5421)*(E5422=E$1:E5421)))))</f>
        <v> </v>
      </c>
      <c r="L5422" s="26"/>
    </row>
    <row r="5423" spans="1:12">
      <c r="A5423" s="20" t="s">
        <v>1087</v>
      </c>
      <c r="E5423" s="21">
        <f>IF(D5423="?OLD","!!!","")</f>
        <v/>
      </c>
      <c r="F5423" s="22" t="str">
        <f>IF(OR(E5423="",E5423="!!!"),"",IF(NOT(ISNA(VLOOKUP(E5423,E$1:E5422,1,FALSE()))),"OLD",IF(AND(E5423&lt;&gt;"",E5423&lt;&gt;"!!!"),"NEW","")))</f>
        <v> </v>
      </c>
      <c r="G5423" s="23" t="str">
        <f>IF(OR(E5423="",E5423="!!!"),"",IF(OR(J5423=0,AND(J5423=1,K5423=1),AND(J5423=1,I5423="SBJ"),AND(J5423=1,I5423=0)),"?IN_FOCUS",IF(J5423&lt;=2,"?ACTIVATED",IF(J5423&lt;&gt;"","?FAMILIAR",IF(F5423="NEW",IF(ISNA(VLOOKUP(E5423,#REF!,1,FALSE())),"?TYPE_IDENTIFIABLE","?REFERENTIAL"),"_")))))</f>
        <v> </v>
      </c>
      <c r="H5423" s="24" t="str">
        <f>IF(J5423&lt;&gt;1,"",IF(I5423="SBJ","CB","?"))</f>
        <v> </v>
      </c>
      <c r="I5423" s="25" t="str">
        <f>IF(OR(E5423="",E5423="!!!",F5423="NEW"),"",INDEX(B5422:B$2,-1+SUMPRODUCT(MAX(ROW(E5422:E$2)*(E5423=E5422:E$2)))))</f>
        <v> </v>
      </c>
      <c r="J5423" s="25" t="str">
        <f>IF(OR(E5423="",E5423="!!!",F5423="NEW"),"",COUNTBLANK(OFFSET(A$1,,,SUMPRODUCT(MAX(ROW(E$2:E5423)*(E5423=E$2:E5423)))))-COUNTBLANK(OFFSET(A$1,,,SUMPRODUCT(MAX(ROW(E$1:E5422)*(E2=E$1:E5422))))))</f>
        <v> </v>
      </c>
      <c r="K5423" s="25" t="str">
        <f>IF(OR(E5423="",E5423="!!!",F5423="NEW"),"",INDEX(J$1:J5422,SUMPRODUCT(MAX(ROW(E$1:E5422)*(E5423=E$1:E5422)))))</f>
        <v> </v>
      </c>
      <c r="L5423" s="26"/>
    </row>
    <row r="5424" spans="1:12">
      <c r="A5424" s="20" t="s">
        <v>1196</v>
      </c>
      <c r="E5424" s="21">
        <f>IF(D5424="?OLD","!!!","")</f>
        <v/>
      </c>
      <c r="F5424" s="22" t="str">
        <f>IF(OR(E5424="",E5424="!!!"),"",IF(NOT(ISNA(VLOOKUP(E5424,E$1:E5423,1,FALSE()))),"OLD",IF(AND(E5424&lt;&gt;"",E5424&lt;&gt;"!!!"),"NEW","")))</f>
        <v> </v>
      </c>
      <c r="G5424" s="23" t="str">
        <f>IF(OR(E5424="",E5424="!!!"),"",IF(OR(J5424=0,AND(J5424=1,K5424=1),AND(J5424=1,I5424="SBJ"),AND(J5424=1,I5424=0)),"?IN_FOCUS",IF(J5424&lt;=2,"?ACTIVATED",IF(J5424&lt;&gt;"","?FAMILIAR",IF(F5424="NEW",IF(ISNA(VLOOKUP(E5424,#REF!,1,FALSE())),"?TYPE_IDENTIFIABLE","?REFERENTIAL"),"_")))))</f>
        <v> </v>
      </c>
      <c r="H5424" s="24" t="str">
        <f>IF(J5424&lt;&gt;1,"",IF(I5424="SBJ","CB","?"))</f>
        <v> </v>
      </c>
      <c r="I5424" s="25" t="str">
        <f>IF(OR(E5424="",E5424="!!!",F5424="NEW"),"",INDEX(B5423:B$2,-1+SUMPRODUCT(MAX(ROW(E5423:E$2)*(E5424=E5423:E$2)))))</f>
        <v> </v>
      </c>
      <c r="J5424" s="25" t="str">
        <f>IF(OR(E5424="",E5424="!!!",F5424="NEW"),"",COUNTBLANK(OFFSET(A$1,,,SUMPRODUCT(MAX(ROW(E$2:E5424)*(E5424=E$2:E5424)))))-COUNTBLANK(OFFSET(A$1,,,SUMPRODUCT(MAX(ROW(E$1:E5423)*(E2=E$1:E5423))))))</f>
        <v> </v>
      </c>
      <c r="K5424" s="25" t="str">
        <f>IF(OR(E5424="",E5424="!!!",F5424="NEW"),"",INDEX(J$1:J5423,SUMPRODUCT(MAX(ROW(E$1:E5423)*(E5424=E$1:E5423)))))</f>
        <v> </v>
      </c>
      <c r="L5424" s="26"/>
    </row>
    <row r="5425" spans="1:12">
      <c r="A5425" s="20" t="s">
        <v>1066</v>
      </c>
      <c r="B5425" s="27" t="s">
        <v>1095</v>
      </c>
      <c r="C5425" s="27" t="s">
        <v>1068</v>
      </c>
      <c r="D5425" s="27" t="s">
        <v>1069</v>
      </c>
      <c r="E5425" s="21">
        <f>IF(D5425="?OLD","!!!","")</f>
        <v/>
      </c>
      <c r="F5425" s="22" t="str">
        <f>IF(OR(E5425="",E5425="!!!"),"",IF(NOT(ISNA(VLOOKUP(E5425,E$1:E5424,1,FALSE()))),"OLD",IF(AND(E5425&lt;&gt;"",E5425&lt;&gt;"!!!"),"NEW","")))</f>
        <v> </v>
      </c>
      <c r="G5425" s="23" t="str">
        <f>IF(OR(E5425="",E5425="!!!"),"",IF(OR(J5425=0,AND(J5425=1,K5425=1),AND(J5425=1,I5425="SBJ"),AND(J5425=1,I5425=0)),"?IN_FOCUS",IF(J5425&lt;=2,"?ACTIVATED",IF(J5425&lt;&gt;"","?FAMILIAR",IF(F5425="NEW",IF(ISNA(VLOOKUP(E5425,#REF!,1,FALSE())),"?TYPE_IDENTIFIABLE","?REFERENTIAL"),"_")))))</f>
        <v> </v>
      </c>
      <c r="H5425" s="24" t="str">
        <f>IF(J5425&lt;&gt;1,"",IF(I5425="SBJ","CB","?"))</f>
        <v> </v>
      </c>
      <c r="I5425" s="25" t="str">
        <f>IF(OR(E5425="",E5425="!!!",F5425="NEW"),"",INDEX(B5424:B$2,-1+SUMPRODUCT(MAX(ROW(E5424:E$2)*(E5425=E5424:E$2)))))</f>
        <v> </v>
      </c>
      <c r="J5425" s="25" t="str">
        <f>IF(OR(E5425="",E5425="!!!",F5425="NEW"),"",COUNTBLANK(OFFSET(A$1,,,SUMPRODUCT(MAX(ROW(E$2:E5425)*(E5425=E$2:E5425)))))-COUNTBLANK(OFFSET(A$1,,,SUMPRODUCT(MAX(ROW(E$1:E5424)*(E2=E$1:E5424))))))</f>
        <v> </v>
      </c>
      <c r="K5425" s="25" t="str">
        <f>IF(OR(E5425="",E5425="!!!",F5425="NEW"),"",INDEX(J$1:J5424,SUMPRODUCT(MAX(ROW(E$1:E5424)*(E5425=E$1:E5424)))))</f>
        <v> </v>
      </c>
      <c r="L5425" s="26"/>
    </row>
    <row r="5426" spans="1:12">
      <c r="A5426" s="20" t="s">
        <v>2586</v>
      </c>
      <c r="E5426" s="21">
        <f>IF(D5426="?OLD","!!!","")</f>
        <v/>
      </c>
      <c r="F5426" s="22" t="str">
        <f>IF(OR(E5426="",E5426="!!!"),"",IF(NOT(ISNA(VLOOKUP(E5426,E$1:E5425,1,FALSE()))),"OLD",IF(AND(E5426&lt;&gt;"",E5426&lt;&gt;"!!!"),"NEW","")))</f>
        <v> </v>
      </c>
      <c r="G5426" s="23" t="str">
        <f>IF(OR(E5426="",E5426="!!!"),"",IF(OR(J5426=0,AND(J5426=1,K5426=1),AND(J5426=1,I5426="SBJ"),AND(J5426=1,I5426=0)),"?IN_FOCUS",IF(J5426&lt;=2,"?ACTIVATED",IF(J5426&lt;&gt;"","?FAMILIAR",IF(F5426="NEW",IF(ISNA(VLOOKUP(E5426,#REF!,1,FALSE())),"?TYPE_IDENTIFIABLE","?REFERENTIAL"),"_")))))</f>
        <v> </v>
      </c>
      <c r="H5426" s="24" t="str">
        <f>IF(J5426&lt;&gt;1,"",IF(I5426="SBJ","CB","?"))</f>
        <v> </v>
      </c>
      <c r="I5426" s="25" t="str">
        <f>IF(OR(E5426="",E5426="!!!",F5426="NEW"),"",INDEX(B5425:B$2,-1+SUMPRODUCT(MAX(ROW(E5425:E$2)*(E5426=E5425:E$2)))))</f>
        <v> </v>
      </c>
      <c r="J5426" s="25" t="str">
        <f>IF(OR(E5426="",E5426="!!!",F5426="NEW"),"",COUNTBLANK(OFFSET(A$1,,,SUMPRODUCT(MAX(ROW(E$2:E5426)*(E5426=E$2:E5426)))))-COUNTBLANK(OFFSET(A$1,,,SUMPRODUCT(MAX(ROW(E$1:E5425)*(E2=E$1:E5425))))))</f>
        <v> </v>
      </c>
      <c r="K5426" s="25" t="str">
        <f>IF(OR(E5426="",E5426="!!!",F5426="NEW"),"",INDEX(J$1:J5425,SUMPRODUCT(MAX(ROW(E$1:E5425)*(E5426=E$1:E5425)))))</f>
        <v> </v>
      </c>
      <c r="L5426" s="26"/>
    </row>
    <row r="5427" spans="1:12">
      <c r="A5427" s="20" t="s">
        <v>1087</v>
      </c>
      <c r="E5427" s="21">
        <f>IF(D5427="?OLD","!!!","")</f>
        <v/>
      </c>
      <c r="F5427" s="22" t="str">
        <f>IF(OR(E5427="",E5427="!!!"),"",IF(NOT(ISNA(VLOOKUP(E5427,E$1:E5426,1,FALSE()))),"OLD",IF(AND(E5427&lt;&gt;"",E5427&lt;&gt;"!!!"),"NEW","")))</f>
        <v> </v>
      </c>
      <c r="G5427" s="23" t="str">
        <f>IF(OR(E5427="",E5427="!!!"),"",IF(OR(J5427=0,AND(J5427=1,K5427=1),AND(J5427=1,I5427="SBJ"),AND(J5427=1,I5427=0)),"?IN_FOCUS",IF(J5427&lt;=2,"?ACTIVATED",IF(J5427&lt;&gt;"","?FAMILIAR",IF(F5427="NEW",IF(ISNA(VLOOKUP(E5427,#REF!,1,FALSE())),"?TYPE_IDENTIFIABLE","?REFERENTIAL"),"_")))))</f>
        <v> </v>
      </c>
      <c r="H5427" s="24" t="str">
        <f>IF(J5427&lt;&gt;1,"",IF(I5427="SBJ","CB","?"))</f>
        <v> </v>
      </c>
      <c r="I5427" s="25" t="str">
        <f>IF(OR(E5427="",E5427="!!!",F5427="NEW"),"",INDEX(B5426:B$2,-1+SUMPRODUCT(MAX(ROW(E5426:E$2)*(E5427=E5426:E$2)))))</f>
        <v> </v>
      </c>
      <c r="J5427" s="25" t="str">
        <f>IF(OR(E5427="",E5427="!!!",F5427="NEW"),"",COUNTBLANK(OFFSET(A$1,,,SUMPRODUCT(MAX(ROW(E$2:E5427)*(E5427=E$2:E5427)))))-COUNTBLANK(OFFSET(A$1,,,SUMPRODUCT(MAX(ROW(E$1:E5426)*(E2=E$1:E5426))))))</f>
        <v> </v>
      </c>
      <c r="K5427" s="25" t="str">
        <f>IF(OR(E5427="",E5427="!!!",F5427="NEW"),"",INDEX(J$1:J5426,SUMPRODUCT(MAX(ROW(E$1:E5426)*(E5427=E$1:E5426)))))</f>
        <v> </v>
      </c>
      <c r="L5427" s="26"/>
    </row>
    <row r="5428" spans="1:12">
      <c r="A5428" s="20" t="s">
        <v>1066</v>
      </c>
      <c r="B5428" s="27" t="s">
        <v>1133</v>
      </c>
      <c r="C5428" s="27" t="s">
        <v>1068</v>
      </c>
      <c r="D5428" s="27" t="s">
        <v>1069</v>
      </c>
      <c r="E5428" s="21">
        <f>IF(D5428="?OLD","!!!","")</f>
        <v/>
      </c>
      <c r="F5428" s="22" t="str">
        <f>IF(OR(E5428="",E5428="!!!"),"",IF(NOT(ISNA(VLOOKUP(E5428,E$1:E5427,1,FALSE()))),"OLD",IF(AND(E5428&lt;&gt;"",E5428&lt;&gt;"!!!"),"NEW","")))</f>
        <v> </v>
      </c>
      <c r="G5428" s="23" t="str">
        <f>IF(OR(E5428="",E5428="!!!"),"",IF(OR(J5428=0,AND(J5428=1,K5428=1),AND(J5428=1,I5428="SBJ"),AND(J5428=1,I5428=0)),"?IN_FOCUS",IF(J5428&lt;=2,"?ACTIVATED",IF(J5428&lt;&gt;"","?FAMILIAR",IF(F5428="NEW",IF(ISNA(VLOOKUP(E5428,#REF!,1,FALSE())),"?TYPE_IDENTIFIABLE","?REFERENTIAL"),"_")))))</f>
        <v> </v>
      </c>
      <c r="H5428" s="24" t="str">
        <f>IF(J5428&lt;&gt;1,"",IF(I5428="SBJ","CB","?"))</f>
        <v> </v>
      </c>
      <c r="I5428" s="25" t="str">
        <f>IF(OR(E5428="",E5428="!!!",F5428="NEW"),"",INDEX(B5427:B$2,-1+SUMPRODUCT(MAX(ROW(E5427:E$2)*(E5428=E5427:E$2)))))</f>
        <v> </v>
      </c>
      <c r="J5428" s="25" t="str">
        <f>IF(OR(E5428="",E5428="!!!",F5428="NEW"),"",COUNTBLANK(OFFSET(A$1,,,SUMPRODUCT(MAX(ROW(E$2:E5428)*(E5428=E$2:E5428)))))-COUNTBLANK(OFFSET(A$1,,,SUMPRODUCT(MAX(ROW(E$1:E5427)*(E2=E$1:E5427))))))</f>
        <v> </v>
      </c>
      <c r="K5428" s="25" t="str">
        <f>IF(OR(E5428="",E5428="!!!",F5428="NEW"),"",INDEX(J$1:J5427,SUMPRODUCT(MAX(ROW(E$1:E5427)*(E5428=E$1:E5427)))))</f>
        <v> </v>
      </c>
      <c r="L5428" s="26"/>
    </row>
    <row r="5429" spans="1:12">
      <c r="A5429" s="20" t="s">
        <v>2587</v>
      </c>
      <c r="E5429" s="21">
        <f>IF(D5429="?OLD","!!!","")</f>
        <v/>
      </c>
      <c r="F5429" s="22" t="str">
        <f>IF(OR(E5429="",E5429="!!!"),"",IF(NOT(ISNA(VLOOKUP(E5429,E$1:E5428,1,FALSE()))),"OLD",IF(AND(E5429&lt;&gt;"",E5429&lt;&gt;"!!!"),"NEW","")))</f>
        <v> </v>
      </c>
      <c r="G5429" s="23" t="str">
        <f>IF(OR(E5429="",E5429="!!!"),"",IF(OR(J5429=0,AND(J5429=1,K5429=1),AND(J5429=1,I5429="SBJ"),AND(J5429=1,I5429=0)),"?IN_FOCUS",IF(J5429&lt;=2,"?ACTIVATED",IF(J5429&lt;&gt;"","?FAMILIAR",IF(F5429="NEW",IF(ISNA(VLOOKUP(E5429,#REF!,1,FALSE())),"?TYPE_IDENTIFIABLE","?REFERENTIAL"),"_")))))</f>
        <v> </v>
      </c>
      <c r="H5429" s="24" t="str">
        <f>IF(J5429&lt;&gt;1,"",IF(I5429="SBJ","CB","?"))</f>
        <v> </v>
      </c>
      <c r="I5429" s="25" t="str">
        <f>IF(OR(E5429="",E5429="!!!",F5429="NEW"),"",INDEX(B5428:B$2,-1+SUMPRODUCT(MAX(ROW(E5428:E$2)*(E5429=E5428:E$2)))))</f>
        <v> </v>
      </c>
      <c r="J5429" s="25" t="str">
        <f>IF(OR(E5429="",E5429="!!!",F5429="NEW"),"",COUNTBLANK(OFFSET(A$1,,,SUMPRODUCT(MAX(ROW(E$2:E5429)*(E5429=E$2:E5429)))))-COUNTBLANK(OFFSET(A$1,,,SUMPRODUCT(MAX(ROW(E$1:E5428)*(E2=E$1:E5428))))))</f>
        <v> </v>
      </c>
      <c r="K5429" s="25" t="str">
        <f>IF(OR(E5429="",E5429="!!!",F5429="NEW"),"",INDEX(J$1:J5428,SUMPRODUCT(MAX(ROW(E$1:E5428)*(E5429=E$1:E5428)))))</f>
        <v> </v>
      </c>
      <c r="L5429" s="26"/>
    </row>
    <row r="5430" spans="1:12">
      <c r="A5430" s="20" t="s">
        <v>1320</v>
      </c>
      <c r="E5430" s="21">
        <f>IF(D5430="?OLD","!!!","")</f>
        <v/>
      </c>
      <c r="F5430" s="22" t="str">
        <f>IF(OR(E5430="",E5430="!!!"),"",IF(NOT(ISNA(VLOOKUP(E5430,E$1:E5429,1,FALSE()))),"OLD",IF(AND(E5430&lt;&gt;"",E5430&lt;&gt;"!!!"),"NEW","")))</f>
        <v> </v>
      </c>
      <c r="G5430" s="23" t="str">
        <f>IF(OR(E5430="",E5430="!!!"),"",IF(OR(J5430=0,AND(J5430=1,K5430=1),AND(J5430=1,I5430="SBJ"),AND(J5430=1,I5430=0)),"?IN_FOCUS",IF(J5430&lt;=2,"?ACTIVATED",IF(J5430&lt;&gt;"","?FAMILIAR",IF(F5430="NEW",IF(ISNA(VLOOKUP(E5430,#REF!,1,FALSE())),"?TYPE_IDENTIFIABLE","?REFERENTIAL"),"_")))))</f>
        <v> </v>
      </c>
      <c r="H5430" s="24" t="str">
        <f>IF(J5430&lt;&gt;1,"",IF(I5430="SBJ","CB","?"))</f>
        <v> </v>
      </c>
      <c r="I5430" s="25" t="str">
        <f>IF(OR(E5430="",E5430="!!!",F5430="NEW"),"",INDEX(B5429:B$2,-1+SUMPRODUCT(MAX(ROW(E5429:E$2)*(E5430=E5429:E$2)))))</f>
        <v> </v>
      </c>
      <c r="J5430" s="25" t="str">
        <f>IF(OR(E5430="",E5430="!!!",F5430="NEW"),"",COUNTBLANK(OFFSET(A$1,,,SUMPRODUCT(MAX(ROW(E$2:E5430)*(E5430=E$2:E5430)))))-COUNTBLANK(OFFSET(A$1,,,SUMPRODUCT(MAX(ROW(E$1:E5429)*(E2=E$1:E5429))))))</f>
        <v> </v>
      </c>
      <c r="K5430" s="25" t="str">
        <f>IF(OR(E5430="",E5430="!!!",F5430="NEW"),"",INDEX(J$1:J5429,SUMPRODUCT(MAX(ROW(E$1:E5429)*(E5430=E$1:E5429)))))</f>
        <v> </v>
      </c>
      <c r="L5430" s="26"/>
    </row>
    <row r="5431" spans="1:12">
      <c r="A5431" s="20" t="s">
        <v>1087</v>
      </c>
      <c r="E5431" s="21">
        <f>IF(D5431="?OLD","!!!","")</f>
        <v/>
      </c>
      <c r="F5431" s="22" t="str">
        <f>IF(OR(E5431="",E5431="!!!"),"",IF(NOT(ISNA(VLOOKUP(E5431,E$1:E5430,1,FALSE()))),"OLD",IF(AND(E5431&lt;&gt;"",E5431&lt;&gt;"!!!"),"NEW","")))</f>
        <v> </v>
      </c>
      <c r="G5431" s="23" t="str">
        <f>IF(OR(E5431="",E5431="!!!"),"",IF(OR(J5431=0,AND(J5431=1,K5431=1),AND(J5431=1,I5431="SBJ"),AND(J5431=1,I5431=0)),"?IN_FOCUS",IF(J5431&lt;=2,"?ACTIVATED",IF(J5431&lt;&gt;"","?FAMILIAR",IF(F5431="NEW",IF(ISNA(VLOOKUP(E5431,#REF!,1,FALSE())),"?TYPE_IDENTIFIABLE","?REFERENTIAL"),"_")))))</f>
        <v> </v>
      </c>
      <c r="H5431" s="24" t="str">
        <f>IF(J5431&lt;&gt;1,"",IF(I5431="SBJ","CB","?"))</f>
        <v> </v>
      </c>
      <c r="I5431" s="25" t="str">
        <f>IF(OR(E5431="",E5431="!!!",F5431="NEW"),"",INDEX(B5430:B$2,-1+SUMPRODUCT(MAX(ROW(E5430:E$2)*(E5431=E5430:E$2)))))</f>
        <v> </v>
      </c>
      <c r="J5431" s="25" t="str">
        <f>IF(OR(E5431="",E5431="!!!",F5431="NEW"),"",COUNTBLANK(OFFSET(A$1,,,SUMPRODUCT(MAX(ROW(E$2:E5431)*(E5431=E$2:E5431)))))-COUNTBLANK(OFFSET(A$1,,,SUMPRODUCT(MAX(ROW(E$1:E5430)*(E2=E$1:E5430))))))</f>
        <v> </v>
      </c>
      <c r="K5431" s="25" t="str">
        <f>IF(OR(E5431="",E5431="!!!",F5431="NEW"),"",INDEX(J$1:J5430,SUMPRODUCT(MAX(ROW(E$1:E5430)*(E5431=E$1:E5430)))))</f>
        <v> </v>
      </c>
      <c r="L5431" s="26"/>
    </row>
    <row r="5432" spans="1:12">
      <c r="A5432" s="20" t="s">
        <v>1149</v>
      </c>
      <c r="E5432" s="21">
        <f>IF(D5432="?OLD","!!!","")</f>
        <v/>
      </c>
      <c r="F5432" s="22" t="str">
        <f>IF(OR(E5432="",E5432="!!!"),"",IF(NOT(ISNA(VLOOKUP(E5432,E$1:E5431,1,FALSE()))),"OLD",IF(AND(E5432&lt;&gt;"",E5432&lt;&gt;"!!!"),"NEW","")))</f>
        <v> </v>
      </c>
      <c r="G5432" s="23" t="str">
        <f>IF(OR(E5432="",E5432="!!!"),"",IF(OR(J5432=0,AND(J5432=1,K5432=1),AND(J5432=1,I5432="SBJ"),AND(J5432=1,I5432=0)),"?IN_FOCUS",IF(J5432&lt;=2,"?ACTIVATED",IF(J5432&lt;&gt;"","?FAMILIAR",IF(F5432="NEW",IF(ISNA(VLOOKUP(E5432,#REF!,1,FALSE())),"?TYPE_IDENTIFIABLE","?REFERENTIAL"),"_")))))</f>
        <v> </v>
      </c>
      <c r="H5432" s="24" t="str">
        <f>IF(J5432&lt;&gt;1,"",IF(I5432="SBJ","CB","?"))</f>
        <v> </v>
      </c>
      <c r="I5432" s="25" t="str">
        <f>IF(OR(E5432="",E5432="!!!",F5432="NEW"),"",INDEX(B5431:B$2,-1+SUMPRODUCT(MAX(ROW(E5431:E$2)*(E5432=E5431:E$2)))))</f>
        <v> </v>
      </c>
      <c r="J5432" s="25" t="str">
        <f>IF(OR(E5432="",E5432="!!!",F5432="NEW"),"",COUNTBLANK(OFFSET(A$1,,,SUMPRODUCT(MAX(ROW(E$2:E5432)*(E5432=E$2:E5432)))))-COUNTBLANK(OFFSET(A$1,,,SUMPRODUCT(MAX(ROW(E$1:E5431)*(E2=E$1:E5431))))))</f>
        <v> </v>
      </c>
      <c r="K5432" s="25" t="str">
        <f>IF(OR(E5432="",E5432="!!!",F5432="NEW"),"",INDEX(J$1:J5431,SUMPRODUCT(MAX(ROW(E$1:E5431)*(E5432=E$1:E5431)))))</f>
        <v> </v>
      </c>
      <c r="L5432" s="26"/>
    </row>
    <row r="5433" spans="1:12">
      <c r="A5433" s="20" t="s">
        <v>2588</v>
      </c>
      <c r="B5433" s="27" t="s">
        <v>1116</v>
      </c>
      <c r="C5433" s="27" t="s">
        <v>1093</v>
      </c>
      <c r="D5433" s="27" t="s">
        <v>1069</v>
      </c>
      <c r="E5433" s="21">
        <f>IF(D5433="?OLD","!!!","")</f>
        <v/>
      </c>
      <c r="F5433" s="22" t="str">
        <f>IF(OR(E5433="",E5433="!!!"),"",IF(NOT(ISNA(VLOOKUP(E5433,E$1:E5432,1,FALSE()))),"OLD",IF(AND(E5433&lt;&gt;"",E5433&lt;&gt;"!!!"),"NEW","")))</f>
        <v> </v>
      </c>
      <c r="G5433" s="23" t="str">
        <f>IF(OR(E5433="",E5433="!!!"),"",IF(OR(J5433=0,AND(J5433=1,K5433=1),AND(J5433=1,I5433="SBJ"),AND(J5433=1,I5433=0)),"?IN_FOCUS",IF(J5433&lt;=2,"?ACTIVATED",IF(J5433&lt;&gt;"","?FAMILIAR",IF(F5433="NEW",IF(ISNA(VLOOKUP(E5433,#REF!,1,FALSE())),"?TYPE_IDENTIFIABLE","?REFERENTIAL"),"_")))))</f>
        <v> </v>
      </c>
      <c r="H5433" s="24" t="str">
        <f>IF(J5433&lt;&gt;1,"",IF(I5433="SBJ","CB","?"))</f>
        <v> </v>
      </c>
      <c r="I5433" s="25" t="str">
        <f>IF(OR(E5433="",E5433="!!!",F5433="NEW"),"",INDEX(B5432:B$2,-1+SUMPRODUCT(MAX(ROW(E5432:E$2)*(E5433=E5432:E$2)))))</f>
        <v> </v>
      </c>
      <c r="J5433" s="25" t="str">
        <f>IF(OR(E5433="",E5433="!!!",F5433="NEW"),"",COUNTBLANK(OFFSET(A$1,,,SUMPRODUCT(MAX(ROW(E$2:E5433)*(E5433=E$2:E5433)))))-COUNTBLANK(OFFSET(A$1,,,SUMPRODUCT(MAX(ROW(E$1:E5432)*(E2=E$1:E5432))))))</f>
        <v> </v>
      </c>
      <c r="K5433" s="25" t="str">
        <f>IF(OR(E5433="",E5433="!!!",F5433="NEW"),"",INDEX(J$1:J5432,SUMPRODUCT(MAX(ROW(E$1:E5432)*(E5433=E$1:E5432)))))</f>
        <v> </v>
      </c>
      <c r="L5433" s="26"/>
    </row>
    <row r="5434" spans="1:12">
      <c r="A5434" s="20" t="s">
        <v>686</v>
      </c>
      <c r="B5434" s="27" t="s">
        <v>1235</v>
      </c>
      <c r="C5434" s="27" t="s">
        <v>1077</v>
      </c>
      <c r="E5434" s="21">
        <f>IF(D5434="?OLD","!!!","")</f>
        <v/>
      </c>
      <c r="F5434" s="22" t="str">
        <f>IF(OR(E5434="",E5434="!!!"),"",IF(NOT(ISNA(VLOOKUP(E5434,E$1:E5433,1,FALSE()))),"OLD",IF(AND(E5434&lt;&gt;"",E5434&lt;&gt;"!!!"),"NEW","")))</f>
        <v> </v>
      </c>
      <c r="G5434" s="23" t="str">
        <f>IF(OR(E5434="",E5434="!!!"),"",IF(OR(J5434=0,AND(J5434=1,K5434=1),AND(J5434=1,I5434="SBJ"),AND(J5434=1,I5434=0)),"?IN_FOCUS",IF(J5434&lt;=2,"?ACTIVATED",IF(J5434&lt;&gt;"","?FAMILIAR",IF(F5434="NEW",IF(ISNA(VLOOKUP(E5434,#REF!,1,FALSE())),"?TYPE_IDENTIFIABLE","?REFERENTIAL"),"_")))))</f>
        <v> </v>
      </c>
      <c r="H5434" s="24" t="str">
        <f>IF(J5434&lt;&gt;1,"",IF(I5434="SBJ","CB","?"))</f>
        <v> </v>
      </c>
      <c r="I5434" s="25" t="str">
        <f>IF(OR(E5434="",E5434="!!!",F5434="NEW"),"",INDEX(B5433:B$2,-1+SUMPRODUCT(MAX(ROW(E5433:E$2)*(E5434=E5433:E$2)))))</f>
        <v> </v>
      </c>
      <c r="J5434" s="25" t="str">
        <f>IF(OR(E5434="",E5434="!!!",F5434="NEW"),"",COUNTBLANK(OFFSET(A$1,,,SUMPRODUCT(MAX(ROW(E$2:E5434)*(E5434=E$2:E5434)))))-COUNTBLANK(OFFSET(A$1,,,SUMPRODUCT(MAX(ROW(E$1:E5433)*(E2=E$1:E5433))))))</f>
        <v> </v>
      </c>
      <c r="K5434" s="25" t="str">
        <f>IF(OR(E5434="",E5434="!!!",F5434="NEW"),"",INDEX(J$1:J5433,SUMPRODUCT(MAX(ROW(E$1:E5433)*(E5434=E$1:E5433)))))</f>
        <v> </v>
      </c>
      <c r="L5434" s="26"/>
    </row>
    <row r="5435" spans="1:12">
      <c r="A5435" s="20" t="s">
        <v>2589</v>
      </c>
      <c r="E5435" s="21">
        <f>IF(D5435="?OLD","!!!","")</f>
        <v/>
      </c>
      <c r="F5435" s="22" t="str">
        <f>IF(OR(E5435="",E5435="!!!"),"",IF(NOT(ISNA(VLOOKUP(E5435,E$1:E5434,1,FALSE()))),"OLD",IF(AND(E5435&lt;&gt;"",E5435&lt;&gt;"!!!"),"NEW","")))</f>
        <v> </v>
      </c>
      <c r="G5435" s="23" t="str">
        <f>IF(OR(E5435="",E5435="!!!"),"",IF(OR(J5435=0,AND(J5435=1,K5435=1),AND(J5435=1,I5435="SBJ"),AND(J5435=1,I5435=0)),"?IN_FOCUS",IF(J5435&lt;=2,"?ACTIVATED",IF(J5435&lt;&gt;"","?FAMILIAR",IF(F5435="NEW",IF(ISNA(VLOOKUP(E5435,#REF!,1,FALSE())),"?TYPE_IDENTIFIABLE","?REFERENTIAL"),"_")))))</f>
        <v> </v>
      </c>
      <c r="H5435" s="24" t="str">
        <f>IF(J5435&lt;&gt;1,"",IF(I5435="SBJ","CB","?"))</f>
        <v> </v>
      </c>
      <c r="I5435" s="25" t="str">
        <f>IF(OR(E5435="",E5435="!!!",F5435="NEW"),"",INDEX(B5434:B$2,-1+SUMPRODUCT(MAX(ROW(E5434:E$2)*(E5435=E5434:E$2)))))</f>
        <v> </v>
      </c>
      <c r="J5435" s="25" t="str">
        <f>IF(OR(E5435="",E5435="!!!",F5435="NEW"),"",COUNTBLANK(OFFSET(A$1,,,SUMPRODUCT(MAX(ROW(E$2:E5435)*(E5435=E$2:E5435)))))-COUNTBLANK(OFFSET(A$1,,,SUMPRODUCT(MAX(ROW(E$1:E5434)*(E2=E$1:E5434))))))</f>
        <v> </v>
      </c>
      <c r="K5435" s="25" t="str">
        <f>IF(OR(E5435="",E5435="!!!",F5435="NEW"),"",INDEX(J$1:J5434,SUMPRODUCT(MAX(ROW(E$1:E5434)*(E5435=E$1:E5434)))))</f>
        <v> </v>
      </c>
      <c r="L5435" s="26"/>
    </row>
    <row r="5436" spans="1:12">
      <c r="A5436" s="20" t="s">
        <v>1184</v>
      </c>
      <c r="E5436" s="21">
        <f>IF(D5436="?OLD","!!!","")</f>
        <v/>
      </c>
      <c r="F5436" s="22" t="str">
        <f>IF(OR(E5436="",E5436="!!!"),"",IF(NOT(ISNA(VLOOKUP(E5436,E$1:E5435,1,FALSE()))),"OLD",IF(AND(E5436&lt;&gt;"",E5436&lt;&gt;"!!!"),"NEW","")))</f>
        <v> </v>
      </c>
      <c r="G5436" s="23" t="str">
        <f>IF(OR(E5436="",E5436="!!!"),"",IF(OR(J5436=0,AND(J5436=1,K5436=1),AND(J5436=1,I5436="SBJ"),AND(J5436=1,I5436=0)),"?IN_FOCUS",IF(J5436&lt;=2,"?ACTIVATED",IF(J5436&lt;&gt;"","?FAMILIAR",IF(F5436="NEW",IF(ISNA(VLOOKUP(E5436,#REF!,1,FALSE())),"?TYPE_IDENTIFIABLE","?REFERENTIAL"),"_")))))</f>
        <v> </v>
      </c>
      <c r="H5436" s="24" t="str">
        <f>IF(J5436&lt;&gt;1,"",IF(I5436="SBJ","CB","?"))</f>
        <v> </v>
      </c>
      <c r="I5436" s="25" t="str">
        <f>IF(OR(E5436="",E5436="!!!",F5436="NEW"),"",INDEX(B5435:B$2,-1+SUMPRODUCT(MAX(ROW(E5435:E$2)*(E5436=E5435:E$2)))))</f>
        <v> </v>
      </c>
      <c r="J5436" s="25" t="str">
        <f>IF(OR(E5436="",E5436="!!!",F5436="NEW"),"",COUNTBLANK(OFFSET(A$1,,,SUMPRODUCT(MAX(ROW(E$2:E5436)*(E5436=E$2:E5436)))))-COUNTBLANK(OFFSET(A$1,,,SUMPRODUCT(MAX(ROW(E$1:E5435)*(E2=E$1:E5435))))))</f>
        <v> </v>
      </c>
      <c r="K5436" s="25" t="str">
        <f>IF(OR(E5436="",E5436="!!!",F5436="NEW"),"",INDEX(J$1:J5435,SUMPRODUCT(MAX(ROW(E$1:E5435)*(E5436=E$1:E5435)))))</f>
        <v> </v>
      </c>
      <c r="L5436" s="26"/>
    </row>
    <row r="5437" spans="1:12">
      <c r="A5437" s="20" t="s">
        <v>1080</v>
      </c>
      <c r="E5437" s="21">
        <f>IF(D5437="?OLD","!!!","")</f>
        <v/>
      </c>
      <c r="F5437" s="22" t="str">
        <f>IF(OR(E5437="",E5437="!!!"),"",IF(NOT(ISNA(VLOOKUP(E5437,E$1:E5436,1,FALSE()))),"OLD",IF(AND(E5437&lt;&gt;"",E5437&lt;&gt;"!!!"),"NEW","")))</f>
        <v> </v>
      </c>
      <c r="G5437" s="23" t="str">
        <f>IF(OR(E5437="",E5437="!!!"),"",IF(OR(J5437=0,AND(J5437=1,K5437=1),AND(J5437=1,I5437="SBJ"),AND(J5437=1,I5437=0)),"?IN_FOCUS",IF(J5437&lt;=2,"?ACTIVATED",IF(J5437&lt;&gt;"","?FAMILIAR",IF(F5437="NEW",IF(ISNA(VLOOKUP(E5437,#REF!,1,FALSE())),"?TYPE_IDENTIFIABLE","?REFERENTIAL"),"_")))))</f>
        <v> </v>
      </c>
      <c r="H5437" s="24" t="str">
        <f>IF(J5437&lt;&gt;1,"",IF(I5437="SBJ","CB","?"))</f>
        <v> </v>
      </c>
      <c r="I5437" s="25" t="str">
        <f>IF(OR(E5437="",E5437="!!!",F5437="NEW"),"",INDEX(B5436:B$2,-1+SUMPRODUCT(MAX(ROW(E5436:E$2)*(E5437=E5436:E$2)))))</f>
        <v> </v>
      </c>
      <c r="J5437" s="25" t="str">
        <f>IF(OR(E5437="",E5437="!!!",F5437="NEW"),"",COUNTBLANK(OFFSET(A$1,,,SUMPRODUCT(MAX(ROW(E$2:E5437)*(E5437=E$2:E5437)))))-COUNTBLANK(OFFSET(A$1,,,SUMPRODUCT(MAX(ROW(E$1:E5436)*(E2=E$1:E5436))))))</f>
        <v> </v>
      </c>
      <c r="K5437" s="25" t="str">
        <f>IF(OR(E5437="",E5437="!!!",F5437="NEW"),"",INDEX(J$1:J5436,SUMPRODUCT(MAX(ROW(E$1:E5436)*(E5437=E$1:E5436)))))</f>
        <v> </v>
      </c>
      <c r="L5437" s="26"/>
    </row>
    <row r="5438" spans="1:12">
      <c r="A5438" s="20"/>
    </row>
    <row r="5439" spans="1:12">
      <c r="A5439" s="20" t="s">
        <v>2590</v>
      </c>
    </row>
    <row r="5440" spans="1:12">
      <c r="A5440" s="20" t="s">
        <v>2215</v>
      </c>
      <c r="B5440" s="27" t="s">
        <v>1071</v>
      </c>
      <c r="C5440" s="27" t="s">
        <v>1072</v>
      </c>
      <c r="E5440" s="21">
        <f>IF(D5440="?OLD","!!!","")</f>
        <v/>
      </c>
      <c r="F5440" s="22" t="str">
        <f>IF(OR(E5440="",E5440="!!!"),"",IF(NOT(ISNA(VLOOKUP(E5440,E$1:E5439,1,FALSE()))),"OLD",IF(AND(E5440&lt;&gt;"",E5440&lt;&gt;"!!!"),"NEW","")))</f>
        <v> </v>
      </c>
      <c r="G5440" s="23" t="str">
        <f>IF(OR(E5440="",E5440="!!!"),"",IF(OR(J5440=0,AND(J5440=1,K5440=1),AND(J5440=1,I5440="SBJ"),AND(J5440=1,I5440=0)),"?IN_FOCUS",IF(J5440&lt;=2,"?ACTIVATED",IF(J5440&lt;&gt;"","?FAMILIAR",IF(F5440="NEW",IF(ISNA(VLOOKUP(E5440,#REF!,1,FALSE())),"?TYPE_IDENTIFIABLE","?REFERENTIAL"),"_")))))</f>
        <v> </v>
      </c>
      <c r="H5440" s="24" t="str">
        <f>IF(J5440&lt;&gt;1,"",IF(I5440="SBJ","CB","?"))</f>
        <v> </v>
      </c>
      <c r="I5440" s="25" t="str">
        <f>IF(OR(E5440="",E5440="!!!",F5440="NEW"),"",INDEX(B5439:B$2,-1+SUMPRODUCT(MAX(ROW(E5439:E$2)*(E5440=E5439:E$2)))))</f>
        <v> </v>
      </c>
      <c r="J5440" s="25" t="str">
        <f>IF(OR(E5440="",E5440="!!!",F5440="NEW"),"",COUNTBLANK(OFFSET(A$1,,,SUMPRODUCT(MAX(ROW(E$2:E5440)*(E5440=E$2:E5440)))))-COUNTBLANK(OFFSET(A$1,,,SUMPRODUCT(MAX(ROW(E$1:E5439)*(E2=E$1:E5439))))))</f>
        <v> </v>
      </c>
      <c r="K5440" s="25" t="str">
        <f>IF(OR(E5440="",E5440="!!!",F5440="NEW"),"",INDEX(J$1:J5439,SUMPRODUCT(MAX(ROW(E$1:E5439)*(E5440=E$1:E5439)))))</f>
        <v> </v>
      </c>
      <c r="L5440" s="26"/>
    </row>
    <row r="5441" spans="1:12">
      <c r="A5441" s="20" t="s">
        <v>1087</v>
      </c>
      <c r="E5441" s="21">
        <f>IF(D5441="?OLD","!!!","")</f>
        <v/>
      </c>
      <c r="F5441" s="22" t="str">
        <f>IF(OR(E5441="",E5441="!!!"),"",IF(NOT(ISNA(VLOOKUP(E5441,E$1:E5440,1,FALSE()))),"OLD",IF(AND(E5441&lt;&gt;"",E5441&lt;&gt;"!!!"),"NEW","")))</f>
        <v> </v>
      </c>
      <c r="G5441" s="23" t="str">
        <f>IF(OR(E5441="",E5441="!!!"),"",IF(OR(J5441=0,AND(J5441=1,K5441=1),AND(J5441=1,I5441="SBJ"),AND(J5441=1,I5441=0)),"?IN_FOCUS",IF(J5441&lt;=2,"?ACTIVATED",IF(J5441&lt;&gt;"","?FAMILIAR",IF(F5441="NEW",IF(ISNA(VLOOKUP(E5441,#REF!,1,FALSE())),"?TYPE_IDENTIFIABLE","?REFERENTIAL"),"_")))))</f>
        <v> </v>
      </c>
      <c r="H5441" s="24" t="str">
        <f>IF(J5441&lt;&gt;1,"",IF(I5441="SBJ","CB","?"))</f>
        <v> </v>
      </c>
      <c r="I5441" s="25" t="str">
        <f>IF(OR(E5441="",E5441="!!!",F5441="NEW"),"",INDEX(B5440:B$2,-1+SUMPRODUCT(MAX(ROW(E5440:E$2)*(E5441=E5440:E$2)))))</f>
        <v> </v>
      </c>
      <c r="J5441" s="25" t="str">
        <f>IF(OR(E5441="",E5441="!!!",F5441="NEW"),"",COUNTBLANK(OFFSET(A$1,,,SUMPRODUCT(MAX(ROW(E$2:E5441)*(E5441=E$2:E5441)))))-COUNTBLANK(OFFSET(A$1,,,SUMPRODUCT(MAX(ROW(E$1:E5440)*(E2=E$1:E5440))))))</f>
        <v> </v>
      </c>
      <c r="K5441" s="25" t="str">
        <f>IF(OR(E5441="",E5441="!!!",F5441="NEW"),"",INDEX(J$1:J5440,SUMPRODUCT(MAX(ROW(E$1:E5440)*(E5441=E$1:E5440)))))</f>
        <v> </v>
      </c>
      <c r="L5441" s="26"/>
    </row>
    <row r="5442" spans="1:12">
      <c r="A5442" s="20" t="s">
        <v>1806</v>
      </c>
      <c r="E5442" s="21">
        <f>IF(D5442="?OLD","!!!","")</f>
        <v/>
      </c>
      <c r="F5442" s="22" t="str">
        <f>IF(OR(E5442="",E5442="!!!"),"",IF(NOT(ISNA(VLOOKUP(E5442,E$1:E5441,1,FALSE()))),"OLD",IF(AND(E5442&lt;&gt;"",E5442&lt;&gt;"!!!"),"NEW","")))</f>
        <v> </v>
      </c>
      <c r="G5442" s="23" t="str">
        <f>IF(OR(E5442="",E5442="!!!"),"",IF(OR(J5442=0,AND(J5442=1,K5442=1),AND(J5442=1,I5442="SBJ"),AND(J5442=1,I5442=0)),"?IN_FOCUS",IF(J5442&lt;=2,"?ACTIVATED",IF(J5442&lt;&gt;"","?FAMILIAR",IF(F5442="NEW",IF(ISNA(VLOOKUP(E5442,#REF!,1,FALSE())),"?TYPE_IDENTIFIABLE","?REFERENTIAL"),"_")))))</f>
        <v> </v>
      </c>
      <c r="H5442" s="24" t="str">
        <f>IF(J5442&lt;&gt;1,"",IF(I5442="SBJ","CB","?"))</f>
        <v> </v>
      </c>
      <c r="I5442" s="25" t="str">
        <f>IF(OR(E5442="",E5442="!!!",F5442="NEW"),"",INDEX(B5441:B$2,-1+SUMPRODUCT(MAX(ROW(E5441:E$2)*(E5442=E5441:E$2)))))</f>
        <v> </v>
      </c>
      <c r="J5442" s="25" t="str">
        <f>IF(OR(E5442="",E5442="!!!",F5442="NEW"),"",COUNTBLANK(OFFSET(A$1,,,SUMPRODUCT(MAX(ROW(E$2:E5442)*(E5442=E$2:E5442)))))-COUNTBLANK(OFFSET(A$1,,,SUMPRODUCT(MAX(ROW(E$1:E5441)*(E2=E$1:E5441))))))</f>
        <v> </v>
      </c>
      <c r="K5442" s="25" t="str">
        <f>IF(OR(E5442="",E5442="!!!",F5442="NEW"),"",INDEX(J$1:J5441,SUMPRODUCT(MAX(ROW(E$1:E5441)*(E5442=E$1:E5441)))))</f>
        <v> </v>
      </c>
      <c r="L5442" s="26"/>
    </row>
    <row r="5443" spans="1:12">
      <c r="A5443" s="20" t="s">
        <v>743</v>
      </c>
      <c r="B5443" s="27" t="s">
        <v>1074</v>
      </c>
      <c r="C5443" s="27" t="s">
        <v>1117</v>
      </c>
      <c r="E5443" s="21">
        <f>IF(D5443="?OLD","!!!","")</f>
        <v/>
      </c>
      <c r="F5443" s="22" t="str">
        <f>IF(OR(E5443="",E5443="!!!"),"",IF(NOT(ISNA(VLOOKUP(E5443,E$1:E5442,1,FALSE()))),"OLD",IF(AND(E5443&lt;&gt;"",E5443&lt;&gt;"!!!"),"NEW","")))</f>
        <v> </v>
      </c>
      <c r="G5443" s="23" t="str">
        <f>IF(OR(E5443="",E5443="!!!"),"",IF(OR(J5443=0,AND(J5443=1,K5443=1),AND(J5443=1,I5443="SBJ"),AND(J5443=1,I5443=0)),"?IN_FOCUS",IF(J5443&lt;=2,"?ACTIVATED",IF(J5443&lt;&gt;"","?FAMILIAR",IF(F5443="NEW",IF(ISNA(VLOOKUP(E5443,#REF!,1,FALSE())),"?TYPE_IDENTIFIABLE","?REFERENTIAL"),"_")))))</f>
        <v> </v>
      </c>
      <c r="H5443" s="24" t="str">
        <f>IF(J5443&lt;&gt;1,"",IF(I5443="SBJ","CB","?"))</f>
        <v> </v>
      </c>
      <c r="I5443" s="25" t="str">
        <f>IF(OR(E5443="",E5443="!!!",F5443="NEW"),"",INDEX(B5442:B$2,-1+SUMPRODUCT(MAX(ROW(E5442:E$2)*(E5443=E5442:E$2)))))</f>
        <v> </v>
      </c>
      <c r="J5443" s="25" t="str">
        <f>IF(OR(E5443="",E5443="!!!",F5443="NEW"),"",COUNTBLANK(OFFSET(A$1,,,SUMPRODUCT(MAX(ROW(E$2:E5443)*(E5443=E$2:E5443)))))-COUNTBLANK(OFFSET(A$1,,,SUMPRODUCT(MAX(ROW(E$1:E5442)*(E2=E$1:E5442))))))</f>
        <v> </v>
      </c>
      <c r="K5443" s="25" t="str">
        <f>IF(OR(E5443="",E5443="!!!",F5443="NEW"),"",INDEX(J$1:J5442,SUMPRODUCT(MAX(ROW(E$1:E5442)*(E5443=E$1:E5442)))))</f>
        <v> </v>
      </c>
      <c r="L5443" s="26"/>
    </row>
    <row r="5444" spans="1:12">
      <c r="A5444" s="20" t="s">
        <v>1080</v>
      </c>
      <c r="E5444" s="21">
        <f>IF(D5444="?OLD","!!!","")</f>
        <v/>
      </c>
      <c r="F5444" s="22" t="str">
        <f>IF(OR(E5444="",E5444="!!!"),"",IF(NOT(ISNA(VLOOKUP(E5444,E$1:E5443,1,FALSE()))),"OLD",IF(AND(E5444&lt;&gt;"",E5444&lt;&gt;"!!!"),"NEW","")))</f>
        <v> </v>
      </c>
      <c r="G5444" s="23" t="str">
        <f>IF(OR(E5444="",E5444="!!!"),"",IF(OR(J5444=0,AND(J5444=1,K5444=1),AND(J5444=1,I5444="SBJ"),AND(J5444=1,I5444=0)),"?IN_FOCUS",IF(J5444&lt;=2,"?ACTIVATED",IF(J5444&lt;&gt;"","?FAMILIAR",IF(F5444="NEW",IF(ISNA(VLOOKUP(E5444,#REF!,1,FALSE())),"?TYPE_IDENTIFIABLE","?REFERENTIAL"),"_")))))</f>
        <v> </v>
      </c>
      <c r="H5444" s="24" t="str">
        <f>IF(J5444&lt;&gt;1,"",IF(I5444="SBJ","CB","?"))</f>
        <v> </v>
      </c>
      <c r="I5444" s="25" t="str">
        <f>IF(OR(E5444="",E5444="!!!",F5444="NEW"),"",INDEX(B5443:B$2,-1+SUMPRODUCT(MAX(ROW(E5443:E$2)*(E5444=E5443:E$2)))))</f>
        <v> </v>
      </c>
      <c r="J5444" s="25" t="str">
        <f>IF(OR(E5444="",E5444="!!!",F5444="NEW"),"",COUNTBLANK(OFFSET(A$1,,,SUMPRODUCT(MAX(ROW(E$2:E5444)*(E5444=E$2:E5444)))))-COUNTBLANK(OFFSET(A$1,,,SUMPRODUCT(MAX(ROW(E$1:E5443)*(E2=E$1:E5443))))))</f>
        <v> </v>
      </c>
      <c r="K5444" s="25" t="str">
        <f>IF(OR(E5444="",E5444="!!!",F5444="NEW"),"",INDEX(J$1:J5443,SUMPRODUCT(MAX(ROW(E$1:E5443)*(E5444=E$1:E5443)))))</f>
        <v> </v>
      </c>
      <c r="L5444" s="26"/>
    </row>
    <row r="5445" spans="1:12">
      <c r="A5445" s="20"/>
    </row>
    <row r="5446" spans="1:12">
      <c r="A5446" s="20" t="s">
        <v>2591</v>
      </c>
    </row>
    <row r="5447" spans="1:12">
      <c r="A5447" s="20" t="s">
        <v>785</v>
      </c>
      <c r="B5447" s="27" t="s">
        <v>1074</v>
      </c>
      <c r="C5447" s="27" t="s">
        <v>1134</v>
      </c>
      <c r="D5447" s="27" t="s">
        <v>1069</v>
      </c>
      <c r="E5447" s="21">
        <f>IF(D5447="?OLD","!!!","")</f>
        <v/>
      </c>
      <c r="F5447" s="22" t="str">
        <f>IF(OR(E5447="",E5447="!!!"),"",IF(NOT(ISNA(VLOOKUP(E5447,E$1:E5446,1,FALSE()))),"OLD",IF(AND(E5447&lt;&gt;"",E5447&lt;&gt;"!!!"),"NEW","")))</f>
        <v> </v>
      </c>
      <c r="G5447" s="23" t="str">
        <f>IF(OR(E5447="",E5447="!!!"),"",IF(OR(J5447=0,AND(J5447=1,K5447=1),AND(J5447=1,I5447="SBJ"),AND(J5447=1,I5447=0)),"?IN_FOCUS",IF(J5447&lt;=2,"?ACTIVATED",IF(J5447&lt;&gt;"","?FAMILIAR",IF(F5447="NEW",IF(ISNA(VLOOKUP(E5447,#REF!,1,FALSE())),"?TYPE_IDENTIFIABLE","?REFERENTIAL"),"_")))))</f>
        <v> </v>
      </c>
      <c r="H5447" s="24" t="str">
        <f>IF(J5447&lt;&gt;1,"",IF(I5447="SBJ","CB","?"))</f>
        <v> </v>
      </c>
      <c r="I5447" s="25" t="str">
        <f>IF(OR(E5447="",E5447="!!!",F5447="NEW"),"",INDEX(B5446:B$2,-1+SUMPRODUCT(MAX(ROW(E5446:E$2)*(E5447=E5446:E$2)))))</f>
        <v> </v>
      </c>
      <c r="J5447" s="25" t="str">
        <f>IF(OR(E5447="",E5447="!!!",F5447="NEW"),"",COUNTBLANK(OFFSET(A$1,,,SUMPRODUCT(MAX(ROW(E$2:E5447)*(E5447=E$2:E5447)))))-COUNTBLANK(OFFSET(A$1,,,SUMPRODUCT(MAX(ROW(E$1:E5446)*(E2=E$1:E5446))))))</f>
        <v> </v>
      </c>
      <c r="K5447" s="25" t="str">
        <f>IF(OR(E5447="",E5447="!!!",F5447="NEW"),"",INDEX(J$1:J5446,SUMPRODUCT(MAX(ROW(E$1:E5446)*(E5447=E$1:E5446)))))</f>
        <v> </v>
      </c>
      <c r="L5447" s="26"/>
    </row>
    <row r="5448" spans="1:12">
      <c r="A5448" s="20" t="s">
        <v>1317</v>
      </c>
      <c r="E5448" s="21">
        <f>IF(D5448="?OLD","!!!","")</f>
        <v/>
      </c>
      <c r="F5448" s="22" t="str">
        <f>IF(OR(E5448="",E5448="!!!"),"",IF(NOT(ISNA(VLOOKUP(E5448,E$1:E5447,1,FALSE()))),"OLD",IF(AND(E5448&lt;&gt;"",E5448&lt;&gt;"!!!"),"NEW","")))</f>
        <v> </v>
      </c>
      <c r="G5448" s="23" t="str">
        <f>IF(OR(E5448="",E5448="!!!"),"",IF(OR(J5448=0,AND(J5448=1,K5448=1),AND(J5448=1,I5448="SBJ"),AND(J5448=1,I5448=0)),"?IN_FOCUS",IF(J5448&lt;=2,"?ACTIVATED",IF(J5448&lt;&gt;"","?FAMILIAR",IF(F5448="NEW",IF(ISNA(VLOOKUP(E5448,#REF!,1,FALSE())),"?TYPE_IDENTIFIABLE","?REFERENTIAL"),"_")))))</f>
        <v> </v>
      </c>
      <c r="H5448" s="24" t="str">
        <f>IF(J5448&lt;&gt;1,"",IF(I5448="SBJ","CB","?"))</f>
        <v> </v>
      </c>
      <c r="I5448" s="25" t="str">
        <f>IF(OR(E5448="",E5448="!!!",F5448="NEW"),"",INDEX(B5447:B$2,-1+SUMPRODUCT(MAX(ROW(E5447:E$2)*(E5448=E5447:E$2)))))</f>
        <v> </v>
      </c>
      <c r="J5448" s="25" t="str">
        <f>IF(OR(E5448="",E5448="!!!",F5448="NEW"),"",COUNTBLANK(OFFSET(A$1,,,SUMPRODUCT(MAX(ROW(E$2:E5448)*(E5448=E$2:E5448)))))-COUNTBLANK(OFFSET(A$1,,,SUMPRODUCT(MAX(ROW(E$1:E5447)*(E2=E$1:E5447))))))</f>
        <v> </v>
      </c>
      <c r="K5448" s="25" t="str">
        <f>IF(OR(E5448="",E5448="!!!",F5448="NEW"),"",INDEX(J$1:J5447,SUMPRODUCT(MAX(ROW(E$1:E5447)*(E5448=E$1:E5447)))))</f>
        <v> </v>
      </c>
      <c r="L5448" s="26"/>
    </row>
    <row r="5449" spans="1:12">
      <c r="A5449" s="20" t="s">
        <v>2220</v>
      </c>
      <c r="B5449" s="27" t="s">
        <v>1074</v>
      </c>
      <c r="C5449" s="27" t="s">
        <v>1134</v>
      </c>
      <c r="D5449" s="27" t="s">
        <v>1069</v>
      </c>
      <c r="E5449" s="21">
        <f>IF(D5449="?OLD","!!!","")</f>
        <v/>
      </c>
      <c r="F5449" s="22" t="str">
        <f>IF(OR(E5449="",E5449="!!!"),"",IF(NOT(ISNA(VLOOKUP(E5449,E$1:E5448,1,FALSE()))),"OLD",IF(AND(E5449&lt;&gt;"",E5449&lt;&gt;"!!!"),"NEW","")))</f>
        <v> </v>
      </c>
      <c r="G5449" s="23" t="str">
        <f>IF(OR(E5449="",E5449="!!!"),"",IF(OR(J5449=0,AND(J5449=1,K5449=1),AND(J5449=1,I5449="SBJ"),AND(J5449=1,I5449=0)),"?IN_FOCUS",IF(J5449&lt;=2,"?ACTIVATED",IF(J5449&lt;&gt;"","?FAMILIAR",IF(F5449="NEW",IF(ISNA(VLOOKUP(E5449,#REF!,1,FALSE())),"?TYPE_IDENTIFIABLE","?REFERENTIAL"),"_")))))</f>
        <v> </v>
      </c>
      <c r="H5449" s="24" t="str">
        <f>IF(J5449&lt;&gt;1,"",IF(I5449="SBJ","CB","?"))</f>
        <v> </v>
      </c>
      <c r="I5449" s="25" t="str">
        <f>IF(OR(E5449="",E5449="!!!",F5449="NEW"),"",INDEX(B5448:B$2,-1+SUMPRODUCT(MAX(ROW(E5448:E$2)*(E5449=E5448:E$2)))))</f>
        <v> </v>
      </c>
      <c r="J5449" s="25" t="str">
        <f>IF(OR(E5449="",E5449="!!!",F5449="NEW"),"",COUNTBLANK(OFFSET(A$1,,,SUMPRODUCT(MAX(ROW(E$2:E5449)*(E5449=E$2:E5449)))))-COUNTBLANK(OFFSET(A$1,,,SUMPRODUCT(MAX(ROW(E$1:E5448)*(E2=E$1:E5448))))))</f>
        <v> </v>
      </c>
      <c r="K5449" s="25" t="str">
        <f>IF(OR(E5449="",E5449="!!!",F5449="NEW"),"",INDEX(J$1:J5448,SUMPRODUCT(MAX(ROW(E$1:E5448)*(E5449=E$1:E5448)))))</f>
        <v> </v>
      </c>
      <c r="L5449" s="26"/>
    </row>
    <row r="5450" spans="1:12">
      <c r="A5450" s="20" t="s">
        <v>1080</v>
      </c>
      <c r="E5450" s="21">
        <f>IF(D5450="?OLD","!!!","")</f>
        <v/>
      </c>
      <c r="F5450" s="22" t="str">
        <f>IF(OR(E5450="",E5450="!!!"),"",IF(NOT(ISNA(VLOOKUP(E5450,E$1:E5449,1,FALSE()))),"OLD",IF(AND(E5450&lt;&gt;"",E5450&lt;&gt;"!!!"),"NEW","")))</f>
        <v> </v>
      </c>
      <c r="G5450" s="23" t="str">
        <f>IF(OR(E5450="",E5450="!!!"),"",IF(OR(J5450=0,AND(J5450=1,K5450=1),AND(J5450=1,I5450="SBJ"),AND(J5450=1,I5450=0)),"?IN_FOCUS",IF(J5450&lt;=2,"?ACTIVATED",IF(J5450&lt;&gt;"","?FAMILIAR",IF(F5450="NEW",IF(ISNA(VLOOKUP(E5450,#REF!,1,FALSE())),"?TYPE_IDENTIFIABLE","?REFERENTIAL"),"_")))))</f>
        <v> </v>
      </c>
      <c r="H5450" s="24" t="str">
        <f>IF(J5450&lt;&gt;1,"",IF(I5450="SBJ","CB","?"))</f>
        <v> </v>
      </c>
      <c r="I5450" s="25" t="str">
        <f>IF(OR(E5450="",E5450="!!!",F5450="NEW"),"",INDEX(B5449:B$2,-1+SUMPRODUCT(MAX(ROW(E5449:E$2)*(E5450=E5449:E$2)))))</f>
        <v> </v>
      </c>
      <c r="J5450" s="25" t="str">
        <f>IF(OR(E5450="",E5450="!!!",F5450="NEW"),"",COUNTBLANK(OFFSET(A$1,,,SUMPRODUCT(MAX(ROW(E$2:E5450)*(E5450=E$2:E5450)))))-COUNTBLANK(OFFSET(A$1,,,SUMPRODUCT(MAX(ROW(E$1:E5449)*(E2=E$1:E5449))))))</f>
        <v> </v>
      </c>
      <c r="K5450" s="25" t="str">
        <f>IF(OR(E5450="",E5450="!!!",F5450="NEW"),"",INDEX(J$1:J5449,SUMPRODUCT(MAX(ROW(E$1:E5449)*(E5450=E$1:E5449)))))</f>
        <v> </v>
      </c>
      <c r="L5450" s="26"/>
    </row>
    <row r="5451" spans="1:12">
      <c r="A5451"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2024-12-05T17:56:06Z</dcterms:created>
  <dcterms:modified xsi:type="dcterms:W3CDTF">2024-12-05T17:56:06Z</dcterms:modified>
</cp:coreProperties>
</file>