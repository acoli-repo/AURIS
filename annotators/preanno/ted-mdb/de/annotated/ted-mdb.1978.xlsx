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<sst xmlns="http://schemas.openxmlformats.org/spreadsheetml/2006/main" count="4634" uniqueCount="1081">
  <si>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</si>
  <si>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</si>
  <si>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</si>
  <si>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</si>
  <si>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</si>
  <si>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</si>
  <si>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</si>
  <si>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</si>
  <si>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</si>
  <si>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</si>
  <si>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</si>
  <si>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</si>
  <si>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Ich sehe es als besonderes Glück , dass ich in meinem ersten Job am Museum für Moderne Kunst an einer Retrospektive der Malerin Elizabeth Murray arbeiten durfte .</t>
  </si>
  <si>
    <t>2</t>
  </si>
  <si>
    <t>(because)</t>
  </si>
  <si>
    <t>Ich lernte so viel von ihr .</t>
  </si>
  <si>
    <t>Contingency.Cause.Reason</t>
  </si>
  <si>
    <t>reason</t>
  </si>
  <si>
    <t>(orig: Contingency.Cause.Reason)</t>
  </si>
  <si>
    <t>3</t>
  </si>
  <si>
    <t>Nachdem der Kurator Robert Storr all die Gemälde aus ihrem lebenslangen Schaffen ausgewählt hatte , betrachtete ich liebend gerne die Gemälde aus den 1970ern .</t>
  </si>
  <si>
    <t>4</t>
  </si>
  <si>
    <t>(in fact)</t>
  </si>
  <si>
    <t>Da gab es einige Motive und Elemente , die sich später in ihrem Leben wiederholten .</t>
  </si>
  <si>
    <t>Expansion.Level-of-detail.Arg2-as-detail</t>
  </si>
  <si>
    <t>specific</t>
  </si>
  <si>
    <t>(orig: Expansion.Level-of-detail.Arg2-as-detail)</t>
  </si>
  <si>
    <t>5</t>
  </si>
  <si>
    <t>(and)</t>
  </si>
  <si>
    <t>Ich erinnere mich , dass ich sie danach fragte , was sie von diesen frühen Arbeiten hielt .</t>
  </si>
  <si>
    <t>Expansion.Conjunction</t>
  </si>
  <si>
    <t>Conjunction</t>
  </si>
  <si>
    <t>(orig: Expansion.Conjunction)</t>
  </si>
  <si>
    <t>6</t>
  </si>
  <si>
    <t>Wenn man nicht wusste , dass sie von ihr waren , hätte man es vielleicht nicht erraten .</t>
  </si>
  <si>
    <t>7</t>
  </si>
  <si>
    <t>Sie sagte mir , dass einige nicht dem entsprachen , was sie sich vorgestellt hatte .</t>
  </si>
  <si>
    <t>8</t>
  </si>
  <si>
    <t>(for example)</t>
  </si>
  <si>
    <t>Eine der Arbeiten traf faktisch so wenig ins Schwarze , dass sie sie zum Abfall in ihrem Studio stellte , und ihre Nachbarin die Arbeit nahm , weil sie ihren Wert erkannte .</t>
  </si>
  <si>
    <t>Expansion.Instantiation</t>
  </si>
  <si>
    <t>instance</t>
  </si>
  <si>
    <t>(orig: Expansion.Instantiation)</t>
  </si>
  <si>
    <t>9</t>
  </si>
  <si>
    <t>(as a result)</t>
  </si>
  <si>
    <t>In diesem Augenblick änderte sich meine Sicht auf Erfolg und Kreativität .</t>
  </si>
  <si>
    <t>Contingency.Cause.Result</t>
  </si>
  <si>
    <t>result</t>
  </si>
  <si>
    <t>(orig: Contingency.Cause.Result)</t>
  </si>
  <si>
    <t>10</t>
  </si>
  <si>
    <t>(in particular)</t>
  </si>
  <si>
    <t>Ich erkannte , dass Erfolg nur ein Augenblick ist .</t>
  </si>
  <si>
    <t>11</t>
  </si>
  <si>
    <t>Was wir aber immer würdigen , ist Kreativität und Meisterschaft .</t>
  </si>
  <si>
    <t>Comparison.Concession.Arg2-as-denier</t>
  </si>
  <si>
    <t>contra-expectation</t>
  </si>
  <si>
    <t>(orig: Comparison.Concession.Arg2-as-denier)</t>
  </si>
  <si>
    <t>12</t>
  </si>
  <si>
    <t>Aber hier ist die Frage : Was verleitet uns dazu , Erfolg in Meisterschaft zu wandeln ?</t>
  </si>
  <si>
    <t>13</t>
  </si>
  <si>
    <t>Mit dieser Frage habe ich mich lange auseinandergesetzt .</t>
  </si>
  <si>
    <t>14</t>
  </si>
  <si>
    <t>Ich glaube , sie entsteht , wenn wir das Geschenk eines Beinahe-Erfolgs schätzen lernen .</t>
  </si>
  <si>
    <t>15</t>
  </si>
  <si>
    <t>Ich begann es zu verstehen , als ich eines kalten Tages im Mai einige Uni-Bogenschützen beobachten ging , alles Frauen , wie das Schicksal es wollte , an der nördlichen Spitze von Manhatten , am Baker-Sportkomplex der Columbia-Universität .</t>
  </si>
  <si>
    <t>16</t>
  </si>
  <si>
    <t>Ich wollte sehen , was das sogenannte Archer ' s Paradox ist , die Idee , dass man , um das Ziel genau zu treffen , auf etwas zielen muss , das etwas daneben liegt .</t>
  </si>
  <si>
    <t>17</t>
  </si>
  <si>
    <t>(so)</t>
  </si>
  <si>
    <t>Ich stand da und schaute zu , wie der Trainer die Frauen in seinem grauen Kleinbus vorfuhr und sie mit einer Art gelassener Konzentration ausstiegen .</t>
  </si>
  <si>
    <t>18</t>
  </si>
  <si>
    <t>Eine hielt eine halb gegessene Eistüte in der einen Hand und Pfeile mit gelber Befiederung in der linken .</t>
  </si>
  <si>
    <t>19</t>
  </si>
  <si>
    <t>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</si>
  <si>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20</t>
  </si>
  <si>
    <t>Ich stand hinter einer Schützin , als sich ihr Coach dazwischen stellte , wohl um zu erkennen , wer Unterstützung benötigte , und ihr zusah .</t>
  </si>
  <si>
    <t>21</t>
  </si>
  <si>
    <t>Ich verstand nicht , wie auch nur eine den 10er-Ring treffen wollte .</t>
  </si>
  <si>
    <t>22</t>
  </si>
  <si>
    <t>Der 10er-Ring aus der 70-Meter-Standard-Distanz sieht etwa so klein aus wie ein Streichholzkopf etwa eine Armlänge entfernt .</t>
  </si>
  <si>
    <t>23</t>
  </si>
  <si>
    <t>Und das bei einem Zuggewicht von ca. 50 Pfund , das bei jedem Schuss gehalten wird .</t>
  </si>
  <si>
    <t>24</t>
  </si>
  <si>
    <t>Sie traf erst eine Sieben , meine ich , dann eine Neun , dann zweimal die Zehn , und der nächste Pfeil traf nicht mal das Ziel .</t>
  </si>
  <si>
    <t>25</t>
  </si>
  <si>
    <t>Und das verlieh ihr mehr Hartnäckigkeit , denn sie schoss wieder und wieder .</t>
  </si>
  <si>
    <t>26</t>
  </si>
  <si>
    <t>Das ging drei Stunden lang so weiter .</t>
  </si>
  <si>
    <t>27</t>
  </si>
  <si>
    <t>Am Ende der Übung war eine der Schützinnen so ausgelaugt , dass sie sich auf den Boden legte , platt wie eine Flunder , ihr Gesicht in den Himmel blickend .</t>
  </si>
  <si>
    <t>Temporal.Asynchronous.Precedence</t>
  </si>
  <si>
    <t>before</t>
  </si>
  <si>
    <t>(orig: Temporal.Asynchronous.Precedence)</t>
  </si>
  <si>
    <t>28</t>
  </si>
  <si>
    <t>Vielleicht suchte sie , was T. S. Eliot den " Ruhepol der sich drehenden Welt " nannte .</t>
  </si>
  <si>
    <t>29</t>
  </si>
  <si>
    <t>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</si>
  <si>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30</t>
  </si>
  <si>
    <t>Aber ich blieb , weil mir klar wurde , dass ich Zeugin von etwas war , was so selten zu sehen ist , den Unterschied zwischen Erfolg und Meisterschaft .</t>
  </si>
  <si>
    <t>31</t>
  </si>
  <si>
    <t>Erfolg haben , bedeutet also , den Ring Nr.</t>
  </si>
  <si>
    <t>32</t>
  </si>
  <si>
    <t>10 zu treffen , aber Meisterschaft lässt erkennen , dass das nichts bedeutet , wenn man es nicht immer wieder wiederholen kann .</t>
  </si>
  <si>
    <t>33</t>
  </si>
  <si>
    <t>Meisterschaft ist allerdings nicht gleich Spitzenleistung .</t>
  </si>
  <si>
    <t>34</t>
  </si>
  <si>
    <t>Es ist nicht das gleiche wie Erfolg , was ich als ein Ereignis ansehe , einen Augenblick in der Zeit und als einen Stempel , den die Welt dir aufdrückt .</t>
  </si>
  <si>
    <t>35</t>
  </si>
  <si>
    <t>(in other words)</t>
  </si>
  <si>
    <t>Meisterschaft ist nicht die Bekenntnis zu einem Ziel , sondern das ständige Streben danach .</t>
  </si>
  <si>
    <t>36</t>
  </si>
  <si>
    <t>Was uns dazu bringt , Dinge zu tun , uns weiter voran zu treiben , ist den Beinahe-Erfolg zu schätzen .</t>
  </si>
  <si>
    <t>37</t>
  </si>
  <si>
    <t>Wie oft haben wir etwas als einen Klassiker , ein Meisterwerk angesehen , während sein Schöpfer es als hoffnungslos unfertig ansieht , von Schwierigkeiten und Fehlern durchzogen , mit anderen Worten , ein Beinahe-Erfolg ?</t>
  </si>
  <si>
    <t>38</t>
  </si>
  <si>
    <t>Elizabeth Murray hat mich mit der Ansicht über ihre früheren Gemälde überrascht .</t>
  </si>
  <si>
    <t>39</t>
  </si>
  <si>
    <t>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</si>
  <si>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40</t>
  </si>
  <si>
    <t>Sein Lieblingsroman war " Das unbekannte Meisterwerk " von Honoré de Balzac und er fühlte sich selbst als Hauptdarsteller .</t>
  </si>
  <si>
    <t>41</t>
  </si>
  <si>
    <t>Franz Kafka sah Unvollständigkeit , wenn andere seine Werke nur loben konnten , so sehr , dass er all seine Tagebücher , seine Manuskripte , Briefe und sogar Skizzen nach seinem Tod verbrannt haben wollte .</t>
  </si>
  <si>
    <t>42</t>
  </si>
  <si>
    <t>(but)</t>
  </si>
  <si>
    <t>Sein Freund lehnte diese Bitte ab , weshalb wir heute all die Werke von Kafka kennen : " Amerika " ( " Der Verschollene " ) , " Der Prozess " und " Das Schloss " ; eine Arbeit so unvollständig , dass sie sogar mitten im Satz aufhört .</t>
  </si>
  <si>
    <t>Comparison.Contrast</t>
  </si>
  <si>
    <t>Contrast</t>
  </si>
  <si>
    <t>(orig: Comparison.Contrast)</t>
  </si>
  <si>
    <t>43</t>
  </si>
  <si>
    <t>Die Verfolgung der Meisterschaft , mit anderen Worten , ist fast so etwas wie ein ewiges Vorwärtsstreben .</t>
  </si>
  <si>
    <t>Expansion.Level-of-detail.Arg1-as-detail</t>
  </si>
  <si>
    <t>broad</t>
  </si>
  <si>
    <t>(orig: Expansion.Level-of-detail.Arg1-as-detail)</t>
  </si>
  <si>
    <t>44</t>
  </si>
  <si>
    <t>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</si>
  <si>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45</t>
  </si>
  <si>
    <t>Meisterschaft ist das Streben , nicht das Erreichen .</t>
  </si>
  <si>
    <t>46</t>
  </si>
  <si>
    <t>Es ist der ständige Wunsch , die Lücke zwischen dem , wo du bist und dem , wo du sein möchtest , zu schließen .</t>
  </si>
  <si>
    <t>47</t>
  </si>
  <si>
    <t>In der Meisterschaft geht darum , Opfer für die Tätigkeit zu bringen und nicht darum , Dinge deiner Karriere zuliebe zu tun .</t>
  </si>
  <si>
    <t>48</t>
  </si>
  <si>
    <t>Wie viele Erfinder und verborgene Unternehmer leben dieses Phänomen ?</t>
  </si>
  <si>
    <t>49</t>
  </si>
  <si>
    <t>Wir sehen es auch am Leben des unbezwingbaren Arktis-Forschers Ben Saunders , der mir erzählte , dass seine Triumphe nicht bloß das Ergebnis einer großartigen Leistung sind , sondern der Antrieb , der durch eine Reihe von Beinahe-Erfolgen entsteht .</t>
  </si>
  <si>
    <t>Hypophora</t>
  </si>
  <si>
    <t>50</t>
  </si>
  <si>
    <t>Wir haben Erfolg , wenn wir immer unsere Bestleistung versuchen .</t>
  </si>
  <si>
    <t>51</t>
  </si>
  <si>
    <t>Eine Weisheit , die Duke Ellington so auffasste : Das Lieblingslied aus seinem Repertoire ist immer das Nächste , immer jenes , das er noch komponieren muss .</t>
  </si>
  <si>
    <t>52</t>
  </si>
  <si>
    <t>Dass Beinahe-Erfolg und Meisterschaft verknüpft sind , liegt teilweise daran , dass wir mit größerer Professionalität auch eher erkennen können , dass wir nicht alles wissen , was wir zu wissen dachten .</t>
  </si>
  <si>
    <t>53</t>
  </si>
  <si>
    <t>Das nennt man den Dunning-Kruger-Effekt .</t>
  </si>
  <si>
    <t>54</t>
  </si>
  <si>
    <t>Die Paris Review hat das aus James Baldwin herausgekitzelt , als sie ihn fragten : " Was , glauben Sie , wächst mit dem Wissen ? " und er antwortete : " Sie lernen , wie wenig Sie wissen . "</t>
  </si>
  <si>
    <t>55</t>
  </si>
  <si>
    <t>Erfolg motiviert uns , aber ein Beinahe-Erfolg kann uns zu fortwährendem Streben antreiben .</t>
  </si>
  <si>
    <t>56</t>
  </si>
  <si>
    <t>Eines der anschaulichsten Beispiele ist , wenn wir uns den Unterschied zwischen Gewinnern von olympischem Silber und Gewinnern von Bronze nach dem Wettbewerb ansehen .</t>
  </si>
  <si>
    <t>57</t>
  </si>
  <si>
    <t>Thomas Gilovich und sein Team aus Cornell untersuchten diesen Unterschied und fanden heraus , dass die Frustration , die die Gewinner von Silber spüren , im Vergleich zu Bronze , die eher froh darüber sind , dass sie nicht auf dem 4.</t>
  </si>
  <si>
    <t>58</t>
  </si>
  <si>
    <t>Platz ohne Medaille gelandet sind , den Silbermedaillengewinnern einen Fokus auf den nachfolgenden Wettbewerb gibt .</t>
  </si>
  <si>
    <t>59</t>
  </si>
  <si>
    <t>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</si>
  <si>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60</t>
  </si>
  <si>
    <t>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</si>
  <si>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61</t>
  </si>
  <si>
    <t>Wenn ich Sie aber bitte , einen tollen Tag morgen bei TED zu beschreiben , werden Sie ihn sehr klar und detailliert beschreiben .</t>
  </si>
  <si>
    <t>62</t>
  </si>
  <si>
    <t>Das macht der Beinahe-Erfolg .</t>
  </si>
  <si>
    <t>63</t>
  </si>
  <si>
    <t>Er lässt uns auf das fokussieren , was wir gerade jetzt planen , um den vor uns liegenden Berg anzugehen .</t>
  </si>
  <si>
    <t>64</t>
  </si>
  <si>
    <t>(for instance)</t>
  </si>
  <si>
    <t>Es war Jackie Joyner-Kersee , die es 1984 verpasste , Gold im Siebenkampf zu holen um nur eine Drittelsekunde und ihr Mann sagte ihr voraus , dass es ihr die Hartnäckigkeit verleihen würde , die sie im nächsten Wettkampf benötigte .</t>
  </si>
  <si>
    <t>65</t>
  </si>
  <si>
    <t>1988 gewann sie Gold im Siebenkampf und setzte den Rekord von 7291 Punkten , ein Punktestand , dem kein anderer Athlet seitdem auch nur nahe kam .</t>
  </si>
  <si>
    <t>66</t>
  </si>
  <si>
    <t>Wir haben keinen Erfolg , wenn wir alles getan haben , sondern wenn wir noch mehr zu tun haben .</t>
  </si>
  <si>
    <t>67</t>
  </si>
  <si>
    <t>Ich stehe hier und denke an all die diversen Möglichkeiten , wie wir in eben in diesem Raum einen Beinahe-Erfolg erzielen könnten , wie das in Ihren Leben umgesetzt werden kann , weil ich glaube , dass wir das aus dem Bauch heraus irgendwie wissen .</t>
  </si>
  <si>
    <t>68</t>
  </si>
  <si>
    <t>Wir wissen , dass wir Erfolg haben , wenn wir immer unser Bestes geben , und darum ist das bewusst Unvollständige in unsere Schöpfungsmythen eingebaut .</t>
  </si>
  <si>
    <t>69</t>
  </si>
  <si>
    <t>In der Navajo-Kultur bauen manche Handwerker bewusst einen Fehler in die Textilien und Keramiken ein .</t>
  </si>
  <si>
    <t>70</t>
  </si>
  <si>
    <t>Das nennt man eine Stimmungslinie , ein bewusster Fehler im Muster , um dem Weber oder Macher einen Ausweg zu geben , aber auch einen Grund , weitere Arbeiten zu erstellen .</t>
  </si>
  <si>
    <t>71</t>
  </si>
  <si>
    <t>Meister sind keine Experten , weil sie einen Gegenstand zu seinem konzeptionellen Ende bringen .</t>
  </si>
  <si>
    <t>72</t>
  </si>
  <si>
    <t>Sie sind Meister , weil sie erkennen , dass da kein Ende ist .</t>
  </si>
  <si>
    <t>73</t>
  </si>
  <si>
    <t>(speicifically)</t>
  </si>
  <si>
    <t>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</si>
  <si>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74</t>
  </si>
  <si>
    <t>Es klang nicht wirklich nach einer Beschwerde , sondern eher nach einem Weg , mir etwas mitzuteilen , in einer Art Beitrittsangebot , mich daran zu erinnern , dass er sich einem maßlosen , unfertigen Weg hingibt , der immer noch mehr fordert .</t>
  </si>
  <si>
    <t>75</t>
  </si>
  <si>
    <t>Wir bauen auf unvollständigen Ideen auf , selbst wenn diese Idee unser früheres Selbst ist .</t>
  </si>
  <si>
    <t>76</t>
  </si>
  <si>
    <t>Das ist die Dynamik von Meisterschaft .</t>
  </si>
  <si>
    <t>77</t>
  </si>
  <si>
    <t>Dem nahe zu kommen , was man zu wollen dachte , kann dir helfen , mehr zu erhalten , als du dir jemals erträumt hättest .</t>
  </si>
  <si>
    <t>78</t>
  </si>
  <si>
    <t>Das , glaube ich , dachte Elizabeth Murray , als ich sie eines Tages in der Galerie ihre frühen Gemälde lächelnd betrachten sah .</t>
  </si>
  <si>
    <t>79</t>
  </si>
  <si>
    <t>Selbst wenn wir Utopien erschufen , glaube ich , gäbe es trotzdem noch das Unvollständige .</t>
  </si>
  <si>
    <t>80</t>
  </si>
  <si>
    <t>(in sum)</t>
  </si>
  <si>
    <t>Vervollständigung ist das Ziel , aber wir hoffen , dass es nie das Ende ist .</t>
  </si>
  <si>
    <t>81</t>
  </si>
  <si>
    <t>Danke schön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</si>
  <si>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</si>
  <si>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</si>
  <si>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</si>
  <si>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</si>
  <si>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</si>
  <si>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</si>
  <si>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</si>
  <si>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</si>
  <si>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</si>
  <si>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</si>
  <si>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</si>
  <si>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sehe es als besonderes Glück , dass ich in meinem ersten Job am Museum für Moderne Kunst an einer Retrospektive der Malerin Elizabeth Murray arbeiten durfte .</t>
  </si>
  <si>
    <t>Ich</t>
  </si>
  <si>
    <t>SBJ</t>
  </si>
  <si>
    <t>pron.pper</t>
  </si>
  <si>
    <t>?OLD</t>
  </si>
  <si>
    <t>sehe</t>
  </si>
  <si>
    <t>es</t>
  </si>
  <si>
    <t>OBJ</t>
  </si>
  <si>
    <t>als</t>
  </si>
  <si>
    <t>besonderes</t>
  </si>
  <si>
    <t>Glück</t>
  </si>
  <si>
    <t>other</t>
  </si>
  <si>
    <t>indef-np.bare</t>
  </si>
  <si>
    <t>,</t>
  </si>
  <si>
    <t>dass</t>
  </si>
  <si>
    <t>ich</t>
  </si>
  <si>
    <t>SBJ_2</t>
  </si>
  <si>
    <t>in</t>
  </si>
  <si>
    <t>meinem</t>
  </si>
  <si>
    <t>ersten</t>
  </si>
  <si>
    <t>Job</t>
  </si>
  <si>
    <t>other_2</t>
  </si>
  <si>
    <t>indef-np</t>
  </si>
  <si>
    <t>an</t>
  </si>
  <si>
    <t>dem</t>
  </si>
  <si>
    <t>Museum</t>
  </si>
  <si>
    <t>def-np.the</t>
  </si>
  <si>
    <t>für</t>
  </si>
  <si>
    <t>Moderne</t>
  </si>
  <si>
    <t>Kunst</t>
  </si>
  <si>
    <t>other_3</t>
  </si>
  <si>
    <t>einer</t>
  </si>
  <si>
    <t>Retrospektive</t>
  </si>
  <si>
    <t>other_4</t>
  </si>
  <si>
    <t>indef-np.a</t>
  </si>
  <si>
    <t>der</t>
  </si>
  <si>
    <t>Malerin</t>
  </si>
  <si>
    <t>other_5</t>
  </si>
  <si>
    <t>Elizabeth</t>
  </si>
  <si>
    <t>other_6</t>
  </si>
  <si>
    <t>ne</t>
  </si>
  <si>
    <t>Murray</t>
  </si>
  <si>
    <t>arbeiten</t>
  </si>
  <si>
    <t>durfte</t>
  </si>
  <si>
    <t>.</t>
  </si>
  <si>
    <t># text = Ich lernte so viel von ihr .</t>
  </si>
  <si>
    <t>lernte</t>
  </si>
  <si>
    <t>so</t>
  </si>
  <si>
    <t>viel</t>
  </si>
  <si>
    <t>pron.pind</t>
  </si>
  <si>
    <t>von</t>
  </si>
  <si>
    <t>ihr</t>
  </si>
  <si>
    <t># text = Nachdem der Kurator Robert Storr all die Gemälde aus ihrem lebenslangen Schaffen ausgewählt hatte , betrachtete ich liebend gerne die Gemälde aus den 1970ern .</t>
  </si>
  <si>
    <t>Nachdem</t>
  </si>
  <si>
    <t>Kurator</t>
  </si>
  <si>
    <t>Robert</t>
  </si>
  <si>
    <t>Storr</t>
  </si>
  <si>
    <t>all</t>
  </si>
  <si>
    <t>die</t>
  </si>
  <si>
    <t>Gemälde</t>
  </si>
  <si>
    <t>OBJ_2</t>
  </si>
  <si>
    <t>aus</t>
  </si>
  <si>
    <t>ihrem</t>
  </si>
  <si>
    <t>lebenslangen</t>
  </si>
  <si>
    <t>Schaffen</t>
  </si>
  <si>
    <t>ausgewählt</t>
  </si>
  <si>
    <t>hatte</t>
  </si>
  <si>
    <t>betrachtete</t>
  </si>
  <si>
    <t>liebend</t>
  </si>
  <si>
    <t>gerne</t>
  </si>
  <si>
    <t>den</t>
  </si>
  <si>
    <t>1970ern</t>
  </si>
  <si>
    <t># text = Da gab es einige Motive und Elemente , die sich später in ihrem Leben wiederholten .</t>
  </si>
  <si>
    <t>Da</t>
  </si>
  <si>
    <t>gab</t>
  </si>
  <si>
    <t>einige</t>
  </si>
  <si>
    <t>Motive</t>
  </si>
  <si>
    <t>indef-np.quant</t>
  </si>
  <si>
    <t>und</t>
  </si>
  <si>
    <t>Elemente</t>
  </si>
  <si>
    <t>SBJ_3</t>
  </si>
  <si>
    <t>sich</t>
  </si>
  <si>
    <t>OBJ_3</t>
  </si>
  <si>
    <t>später</t>
  </si>
  <si>
    <t>Leben</t>
  </si>
  <si>
    <t>wiederholten</t>
  </si>
  <si>
    <t># text = Ich erinnere mich , dass ich sie danach fragte , was sie von diesen frühen Arbeiten hielt .</t>
  </si>
  <si>
    <t>erinnere</t>
  </si>
  <si>
    <t>mich</t>
  </si>
  <si>
    <t>sie</t>
  </si>
  <si>
    <t>pron</t>
  </si>
  <si>
    <t>danach</t>
  </si>
  <si>
    <t>fragte</t>
  </si>
  <si>
    <t>was</t>
  </si>
  <si>
    <t>diesen</t>
  </si>
  <si>
    <t>pron.pds</t>
  </si>
  <si>
    <t>frühen</t>
  </si>
  <si>
    <t>Arbeiten</t>
  </si>
  <si>
    <t>def-np.dem</t>
  </si>
  <si>
    <t>hielt</t>
  </si>
  <si>
    <t># text = Wenn man nicht wusste , dass sie von ihr waren , hätte man es vielleicht nicht erraten .</t>
  </si>
  <si>
    <t>Wenn</t>
  </si>
  <si>
    <t>man</t>
  </si>
  <si>
    <t>nicht</t>
  </si>
  <si>
    <t>wusste</t>
  </si>
  <si>
    <t>waren</t>
  </si>
  <si>
    <t>hätte</t>
  </si>
  <si>
    <t>vielleicht</t>
  </si>
  <si>
    <t>erraten</t>
  </si>
  <si>
    <t># text = Sie sagte mir , dass einige nicht dem entsprachen , was sie sich vorgestellt hatte .</t>
  </si>
  <si>
    <t>Sie</t>
  </si>
  <si>
    <t>sagte</t>
  </si>
  <si>
    <t>mir</t>
  </si>
  <si>
    <t>entsprachen</t>
  </si>
  <si>
    <t>vorgestellt</t>
  </si>
  <si>
    <t># text = Eine der Arbeiten traf faktisch so wenig ins Schwarze , dass sie sie zum Abfall in ihrem Studio stellte , und ihre Nachbarin die Arbeit nahm , weil sie ihren Wert erkannte .</t>
  </si>
  <si>
    <t>Eine</t>
  </si>
  <si>
    <t>traf</t>
  </si>
  <si>
    <t>faktisch</t>
  </si>
  <si>
    <t>wenig</t>
  </si>
  <si>
    <t>das</t>
  </si>
  <si>
    <t>Schwarze</t>
  </si>
  <si>
    <t>zu</t>
  </si>
  <si>
    <t>Abfall</t>
  </si>
  <si>
    <t>Studio</t>
  </si>
  <si>
    <t>stellte</t>
  </si>
  <si>
    <t>ihre</t>
  </si>
  <si>
    <t>Nachbarin</t>
  </si>
  <si>
    <t>Arbeit</t>
  </si>
  <si>
    <t>nahm</t>
  </si>
  <si>
    <t>weil</t>
  </si>
  <si>
    <t>ihren</t>
  </si>
  <si>
    <t>Wert</t>
  </si>
  <si>
    <t>erkannte</t>
  </si>
  <si>
    <t># text = In diesem Augenblick änderte sich meine Sicht auf Erfolg und Kreativität .</t>
  </si>
  <si>
    <t>In</t>
  </si>
  <si>
    <t>diesem</t>
  </si>
  <si>
    <t>Augenblick</t>
  </si>
  <si>
    <t>änderte</t>
  </si>
  <si>
    <t>meine</t>
  </si>
  <si>
    <t>Sicht</t>
  </si>
  <si>
    <t>auf</t>
  </si>
  <si>
    <t>Erfolg</t>
  </si>
  <si>
    <t>Kreativität</t>
  </si>
  <si>
    <t># text = Ich erkannte , dass Erfolg nur ein Augenblick ist .</t>
  </si>
  <si>
    <t>nur</t>
  </si>
  <si>
    <t>ein</t>
  </si>
  <si>
    <t>ist</t>
  </si>
  <si>
    <t># text = Was wir aber immer würdigen , ist Kreativität und Meisterschaft .</t>
  </si>
  <si>
    <t>Was</t>
  </si>
  <si>
    <t>wir</t>
  </si>
  <si>
    <t>aber</t>
  </si>
  <si>
    <t>immer</t>
  </si>
  <si>
    <t>würdigen</t>
  </si>
  <si>
    <t>Meisterschaft</t>
  </si>
  <si>
    <t># text = Aber hier ist die Frage : Was verleitet uns dazu , Erfolg in Meisterschaft zu wandeln ?</t>
  </si>
  <si>
    <t>Aber</t>
  </si>
  <si>
    <t>hier</t>
  </si>
  <si>
    <t>Frage</t>
  </si>
  <si>
    <t>:</t>
  </si>
  <si>
    <t>verleitet</t>
  </si>
  <si>
    <t>uns</t>
  </si>
  <si>
    <t>dazu</t>
  </si>
  <si>
    <t>wandeln</t>
  </si>
  <si>
    <t>?</t>
  </si>
  <si>
    <t># text = Mit dieser Frage habe ich mich lange auseinandergesetzt .</t>
  </si>
  <si>
    <t>Mit</t>
  </si>
  <si>
    <t>dieser</t>
  </si>
  <si>
    <t>habe</t>
  </si>
  <si>
    <t>lange</t>
  </si>
  <si>
    <t>auseinandergesetzt</t>
  </si>
  <si>
    <t># text = Ich glaube , sie entsteht , wenn wir das Geschenk eines Beinahe-Erfolgs schätzen lernen .</t>
  </si>
  <si>
    <t>glaube</t>
  </si>
  <si>
    <t>entsteht</t>
  </si>
  <si>
    <t>wenn</t>
  </si>
  <si>
    <t>Geschenk</t>
  </si>
  <si>
    <t>eines</t>
  </si>
  <si>
    <t>Beinahe</t>
  </si>
  <si>
    <t>Erfolgs</t>
  </si>
  <si>
    <t>schätzen</t>
  </si>
  <si>
    <t>lernen</t>
  </si>
  <si>
    <t># text = Ich begann es zu verstehen , als ich eines kalten Tages im Mai einige Uni-Bogenschützen beobachten ging , alles Frauen , wie das Schicksal es wollte , an der nördlichen Spitze von Manhatten , am Baker-Sportkomplex der Columbia-Universität .</t>
  </si>
  <si>
    <t>begann</t>
  </si>
  <si>
    <t>verstehen</t>
  </si>
  <si>
    <t>kalten</t>
  </si>
  <si>
    <t>Tages</t>
  </si>
  <si>
    <t>Mai</t>
  </si>
  <si>
    <t>Uni</t>
  </si>
  <si>
    <t>Bogenschützen</t>
  </si>
  <si>
    <t>beobachten</t>
  </si>
  <si>
    <t>ging</t>
  </si>
  <si>
    <t>alles</t>
  </si>
  <si>
    <t>Frauen</t>
  </si>
  <si>
    <t>wie</t>
  </si>
  <si>
    <t>Schicksal</t>
  </si>
  <si>
    <t>wollte</t>
  </si>
  <si>
    <t>nördlichen</t>
  </si>
  <si>
    <t>Spitze</t>
  </si>
  <si>
    <t>Manhatten</t>
  </si>
  <si>
    <t>Baker</t>
  </si>
  <si>
    <t>Sportkomplex</t>
  </si>
  <si>
    <t>Columbia</t>
  </si>
  <si>
    <t>Universität</t>
  </si>
  <si>
    <t># text = Ich wollte sehen , was das sogenannte Archer ' s Paradox ist , die Idee , dass man , um das Ziel genau zu treffen , auf etwas zielen muss , das etwas daneben liegt .</t>
  </si>
  <si>
    <t>sehen</t>
  </si>
  <si>
    <t>sogenannte</t>
  </si>
  <si>
    <t>Archer</t>
  </si>
  <si>
    <t>'</t>
  </si>
  <si>
    <t>s</t>
  </si>
  <si>
    <t>Paradox</t>
  </si>
  <si>
    <t>Idee</t>
  </si>
  <si>
    <t>SBJ_4</t>
  </si>
  <si>
    <t>um</t>
  </si>
  <si>
    <t>Ziel</t>
  </si>
  <si>
    <t>OBJ_5</t>
  </si>
  <si>
    <t>genau</t>
  </si>
  <si>
    <t>treffen</t>
  </si>
  <si>
    <t>etwas</t>
  </si>
  <si>
    <t>zielen</t>
  </si>
  <si>
    <t>muss</t>
  </si>
  <si>
    <t>daneben</t>
  </si>
  <si>
    <t>liegt</t>
  </si>
  <si>
    <t># text = Ich stand da und schaute zu , wie der Trainer die Frauen in seinem grauen Kleinbus vorfuhr und sie mit einer Art gelassener Konzentration ausstiegen .</t>
  </si>
  <si>
    <t>stand</t>
  </si>
  <si>
    <t>da</t>
  </si>
  <si>
    <t>schaute</t>
  </si>
  <si>
    <t>Trainer</t>
  </si>
  <si>
    <t>seinem</t>
  </si>
  <si>
    <t>grauen</t>
  </si>
  <si>
    <t>Kleinbus</t>
  </si>
  <si>
    <t>vorfuhr</t>
  </si>
  <si>
    <t>mit</t>
  </si>
  <si>
    <t>Art</t>
  </si>
  <si>
    <t>gelassener</t>
  </si>
  <si>
    <t>Konzentration</t>
  </si>
  <si>
    <t>ausstiegen</t>
  </si>
  <si>
    <t># text = Eine hielt eine halb gegessene Eistüte in der einen Hand und Pfeile mit gelber Befiederung in der linken .</t>
  </si>
  <si>
    <t>eine</t>
  </si>
  <si>
    <t>halb</t>
  </si>
  <si>
    <t>gegessene</t>
  </si>
  <si>
    <t>Eistüte</t>
  </si>
  <si>
    <t>einen</t>
  </si>
  <si>
    <t>Hand</t>
  </si>
  <si>
    <t>Pfeile</t>
  </si>
  <si>
    <t>gelber</t>
  </si>
  <si>
    <t>Befiederung</t>
  </si>
  <si>
    <t>linken</t>
  </si>
  <si>
    <t># text = 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</si>
  <si>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Und</t>
  </si>
  <si>
    <t>gingen</t>
  </si>
  <si>
    <t>lächelnd</t>
  </si>
  <si>
    <t>vorbei</t>
  </si>
  <si>
    <t>taxierten</t>
  </si>
  <si>
    <t>während</t>
  </si>
  <si>
    <t>Rasen</t>
  </si>
  <si>
    <t>redeten</t>
  </si>
  <si>
    <t>miteinander</t>
  </si>
  <si>
    <t>durch</t>
  </si>
  <si>
    <t>Worte</t>
  </si>
  <si>
    <t>sondern</t>
  </si>
  <si>
    <t>Nummern</t>
  </si>
  <si>
    <t>Gradangaben</t>
  </si>
  <si>
    <t>dachte</t>
  </si>
  <si>
    <t>Positionen</t>
  </si>
  <si>
    <t>OBJ_4</t>
  </si>
  <si>
    <t>Möglichkeit</t>
  </si>
  <si>
    <t># text = Ich stand hinter einer Schützin , als sich ihr Coach dazwischen stellte , wohl um zu erkennen , wer Unterstützung benötigte , und ihr zusah .</t>
  </si>
  <si>
    <t>hinter</t>
  </si>
  <si>
    <t>Schützin</t>
  </si>
  <si>
    <t>Coach</t>
  </si>
  <si>
    <t>dazwischen</t>
  </si>
  <si>
    <t>wohl</t>
  </si>
  <si>
    <t>erkennen</t>
  </si>
  <si>
    <t>wer</t>
  </si>
  <si>
    <t>pron.pint</t>
  </si>
  <si>
    <t>Unterstützung</t>
  </si>
  <si>
    <t>benötigte</t>
  </si>
  <si>
    <t>zusah</t>
  </si>
  <si>
    <t># text = Ich verstand nicht , wie auch nur eine den 10er-Ring treffen wollte .</t>
  </si>
  <si>
    <t>verstand</t>
  </si>
  <si>
    <t>auch</t>
  </si>
  <si>
    <t>10er</t>
  </si>
  <si>
    <t>Ring</t>
  </si>
  <si>
    <t># text = Der 10er-Ring aus der 70-Meter-Standard-Distanz sieht etwa so klein aus wie ein Streichholzkopf etwa eine Armlänge entfernt .</t>
  </si>
  <si>
    <t>Der</t>
  </si>
  <si>
    <t>Meter</t>
  </si>
  <si>
    <t>Standard</t>
  </si>
  <si>
    <t>Distanz</t>
  </si>
  <si>
    <t>sieht</t>
  </si>
  <si>
    <t>etwa</t>
  </si>
  <si>
    <t>klein</t>
  </si>
  <si>
    <t>Streichholzkopf</t>
  </si>
  <si>
    <t>Armlänge</t>
  </si>
  <si>
    <t>entfernt</t>
  </si>
  <si>
    <t># text = Und das bei einem Zuggewicht von ca. 50 Pfund , das bei jedem Schuss gehalten wird .</t>
  </si>
  <si>
    <t>bei</t>
  </si>
  <si>
    <t>einem</t>
  </si>
  <si>
    <t>Zuggewicht</t>
  </si>
  <si>
    <t>ca</t>
  </si>
  <si>
    <t>Pfund</t>
  </si>
  <si>
    <t>jedem</t>
  </si>
  <si>
    <t>Schuss</t>
  </si>
  <si>
    <t>gehalten</t>
  </si>
  <si>
    <t>wird</t>
  </si>
  <si>
    <t># text = Sie traf erst eine Sieben , meine ich , dann eine Neun , dann zweimal die Zehn , und der nächste Pfeil traf nicht mal das Ziel .</t>
  </si>
  <si>
    <t>erst</t>
  </si>
  <si>
    <t>Sieben</t>
  </si>
  <si>
    <t>dann</t>
  </si>
  <si>
    <t>Neun</t>
  </si>
  <si>
    <t>zweimal</t>
  </si>
  <si>
    <t>Zehn</t>
  </si>
  <si>
    <t>nächste</t>
  </si>
  <si>
    <t>Pfeil</t>
  </si>
  <si>
    <t>mal</t>
  </si>
  <si>
    <t># text = Und das verlieh ihr mehr Hartnäckigkeit , denn sie schoss wieder und wieder .</t>
  </si>
  <si>
    <t>verlieh</t>
  </si>
  <si>
    <t>mehr</t>
  </si>
  <si>
    <t>Hartnäckigkeit</t>
  </si>
  <si>
    <t>denn</t>
  </si>
  <si>
    <t>schoss</t>
  </si>
  <si>
    <t>wieder</t>
  </si>
  <si>
    <t># text = Das ging drei Stunden lang so weiter .</t>
  </si>
  <si>
    <t>Das</t>
  </si>
  <si>
    <t>drei</t>
  </si>
  <si>
    <t>Stunden</t>
  </si>
  <si>
    <t>lang</t>
  </si>
  <si>
    <t>weiter</t>
  </si>
  <si>
    <t># text = Am Ende der Übung war eine der Schützinnen so ausgelaugt , dass sie sich auf den Boden legte , platt wie eine Flunder , ihr Gesicht in den Himmel blickend .</t>
  </si>
  <si>
    <t>An</t>
  </si>
  <si>
    <t>Ende</t>
  </si>
  <si>
    <t>Übung</t>
  </si>
  <si>
    <t>war</t>
  </si>
  <si>
    <t>Schützinnen</t>
  </si>
  <si>
    <t>ausgelaugt</t>
  </si>
  <si>
    <t>Boden</t>
  </si>
  <si>
    <t>legte</t>
  </si>
  <si>
    <t>platt</t>
  </si>
  <si>
    <t>Flunder</t>
  </si>
  <si>
    <t>Gesicht</t>
  </si>
  <si>
    <t>Himmel</t>
  </si>
  <si>
    <t>blickend</t>
  </si>
  <si>
    <t>--</t>
  </si>
  <si>
    <t># text = Vielleicht suchte sie , was T. S. Eliot den " Ruhepol der sich drehenden Welt " nannte .</t>
  </si>
  <si>
    <t>Vielleicht</t>
  </si>
  <si>
    <t>suchte</t>
  </si>
  <si>
    <t>T.</t>
  </si>
  <si>
    <t>S.</t>
  </si>
  <si>
    <t>Eliot</t>
  </si>
  <si>
    <t>&amp;quot;</t>
  </si>
  <si>
    <t>Ruhepol</t>
  </si>
  <si>
    <t>drehenden</t>
  </si>
  <si>
    <t>Welt</t>
  </si>
  <si>
    <t>nannte</t>
  </si>
  <si>
    <t># text = 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</si>
  <si>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amerikanischen</t>
  </si>
  <si>
    <t>Kultur</t>
  </si>
  <si>
    <t>kommt</t>
  </si>
  <si>
    <t>selten</t>
  </si>
  <si>
    <t>vor</t>
  </si>
  <si>
    <t>mittlerweile</t>
  </si>
  <si>
    <t>beruflich</t>
  </si>
  <si>
    <t>wichtig</t>
  </si>
  <si>
    <t>kann</t>
  </si>
  <si>
    <t>Grad</t>
  </si>
  <si>
    <t>Genauigkeit</t>
  </si>
  <si>
    <t>wirklich</t>
  </si>
  <si>
    <t>bedeutet</t>
  </si>
  <si>
    <t>Körperhaltung</t>
  </si>
  <si>
    <t>beachten</t>
  </si>
  <si>
    <t>Spitzenleistungen</t>
  </si>
  <si>
    <t>erreichen</t>
  </si>
  <si>
    <t>Vergessenheit</t>
  </si>
  <si>
    <t>geraten</t>
  </si>
  <si>
    <t>sind</t>
  </si>
  <si>
    <t># text = Aber ich blieb , weil mir klar wurde , dass ich Zeugin von etwas war , was so selten zu sehen ist , den Unterschied zwischen Erfolg und Meisterschaft .</t>
  </si>
  <si>
    <t>blieb</t>
  </si>
  <si>
    <t>klar</t>
  </si>
  <si>
    <t>wurde</t>
  </si>
  <si>
    <t>Zeugin</t>
  </si>
  <si>
    <t>SBJ_5</t>
  </si>
  <si>
    <t>Unterschied</t>
  </si>
  <si>
    <t>zwischen</t>
  </si>
  <si>
    <t># text = Erfolg haben , bedeutet also , den Ring Nr.</t>
  </si>
  <si>
    <t>haben</t>
  </si>
  <si>
    <t>also</t>
  </si>
  <si>
    <t>Nr</t>
  </si>
  <si>
    <t># text = 10 zu treffen , aber Meisterschaft lässt erkennen , dass das nichts bedeutet , wenn man es nicht immer wieder wiederholen kann .</t>
  </si>
  <si>
    <t>lässt</t>
  </si>
  <si>
    <t>nichts</t>
  </si>
  <si>
    <t>wiederholen</t>
  </si>
  <si>
    <t># text = Meisterschaft ist allerdings nicht gleich Spitzenleistung .</t>
  </si>
  <si>
    <t>allerdings</t>
  </si>
  <si>
    <t>gleich</t>
  </si>
  <si>
    <t>Spitzenleistung</t>
  </si>
  <si>
    <t># text = Es ist nicht das gleiche wie Erfolg , was ich als ein Ereignis ansehe , einen Augenblick in der Zeit und als einen Stempel , den die Welt dir aufdrückt .</t>
  </si>
  <si>
    <t>Es</t>
  </si>
  <si>
    <t>gleiche</t>
  </si>
  <si>
    <t>Ereignis</t>
  </si>
  <si>
    <t>ansehe</t>
  </si>
  <si>
    <t>Zeit</t>
  </si>
  <si>
    <t>Stempel</t>
  </si>
  <si>
    <t>OBJ_6</t>
  </si>
  <si>
    <t>SBJ_6</t>
  </si>
  <si>
    <t>dir</t>
  </si>
  <si>
    <t>aufdrückt</t>
  </si>
  <si>
    <t># text = Meisterschaft ist nicht die Bekenntnis zu einem Ziel , sondern das ständige Streben danach .</t>
  </si>
  <si>
    <t>Bekenntnis</t>
  </si>
  <si>
    <t>ständige</t>
  </si>
  <si>
    <t>Streben</t>
  </si>
  <si>
    <t># text = Was uns dazu bringt , Dinge zu tun , uns weiter voran zu treiben , ist den Beinahe-Erfolg zu schätzen .</t>
  </si>
  <si>
    <t>pron.padv</t>
  </si>
  <si>
    <t>bringt</t>
  </si>
  <si>
    <t>Dinge</t>
  </si>
  <si>
    <t>tun</t>
  </si>
  <si>
    <t>voran</t>
  </si>
  <si>
    <t>treiben</t>
  </si>
  <si>
    <t># text = Wie oft haben wir etwas als einen Klassiker , ein Meisterwerk angesehen , während sein Schöpfer es als hoffnungslos unfertig ansieht , von Schwierigkeiten und Fehlern durchzogen , mit anderen Worten , ein Beinahe-Erfolg ?</t>
  </si>
  <si>
    <t>Wie</t>
  </si>
  <si>
    <t>oft</t>
  </si>
  <si>
    <t>Klassiker</t>
  </si>
  <si>
    <t>Meisterwerk</t>
  </si>
  <si>
    <t>angesehen</t>
  </si>
  <si>
    <t>sein</t>
  </si>
  <si>
    <t>Schöpfer</t>
  </si>
  <si>
    <t>hoffnungslos</t>
  </si>
  <si>
    <t>unfertig</t>
  </si>
  <si>
    <t>ansieht</t>
  </si>
  <si>
    <t>Schwierigkeiten</t>
  </si>
  <si>
    <t>Fehlern</t>
  </si>
  <si>
    <t>durchzogen</t>
  </si>
  <si>
    <t>anderen</t>
  </si>
  <si>
    <t>Worten</t>
  </si>
  <si>
    <t># text = Elizabeth Murray hat mich mit der Ansicht über ihre früheren Gemälde überrascht .</t>
  </si>
  <si>
    <t>hat</t>
  </si>
  <si>
    <t>Ansicht</t>
  </si>
  <si>
    <t>über</t>
  </si>
  <si>
    <t>früheren</t>
  </si>
  <si>
    <t>überrascht</t>
  </si>
  <si>
    <t># text = 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</si>
  <si>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Maler</t>
  </si>
  <si>
    <t>Paul</t>
  </si>
  <si>
    <t>Cézanne</t>
  </si>
  <si>
    <t>gedacht</t>
  </si>
  <si>
    <t>seine</t>
  </si>
  <si>
    <t>wären</t>
  </si>
  <si>
    <t>unvollständig</t>
  </si>
  <si>
    <t>er</t>
  </si>
  <si>
    <t>unbeachtet</t>
  </si>
  <si>
    <t>links</t>
  </si>
  <si>
    <t>liegen</t>
  </si>
  <si>
    <t>ließ</t>
  </si>
  <si>
    <t>Absicht</t>
  </si>
  <si>
    <t>hervorzuholen</t>
  </si>
  <si>
    <t>other_7</t>
  </si>
  <si>
    <t>seines</t>
  </si>
  <si>
    <t>Lebens</t>
  </si>
  <si>
    <t>other_8</t>
  </si>
  <si>
    <t>SBJ_7</t>
  </si>
  <si>
    <t>Ergebnis</t>
  </si>
  <si>
    <t>zehn</t>
  </si>
  <si>
    <t>Prozent</t>
  </si>
  <si>
    <t>def-np.quant</t>
  </si>
  <si>
    <t>seiner</t>
  </si>
  <si>
    <t>signiert</t>
  </si>
  <si>
    <t># text = Sein Lieblingsroman war \" Das unbekannte Meisterwerk \" von Honoré de Balzac und er fühlte sich selbst als Hauptdarsteller .</t>
  </si>
  <si>
    <t>Sein</t>
  </si>
  <si>
    <t>Lieblingsroman</t>
  </si>
  <si>
    <t>unbekannte</t>
  </si>
  <si>
    <t>Honoré</t>
  </si>
  <si>
    <t>de</t>
  </si>
  <si>
    <t>Balzac</t>
  </si>
  <si>
    <t>fühlte</t>
  </si>
  <si>
    <t>selbst</t>
  </si>
  <si>
    <t>Hauptdarsteller</t>
  </si>
  <si>
    <t># text = Franz Kafka sah Unvollständigkeit , wenn andere seine Werke nur loben konnten , so sehr , dass er all seine Tagebücher , seine Manuskripte , Briefe und sogar Skizzen nach seinem Tod verbrannt haben wollte .</t>
  </si>
  <si>
    <t>Franz</t>
  </si>
  <si>
    <t>Kafka</t>
  </si>
  <si>
    <t>sah</t>
  </si>
  <si>
    <t>Unvollständigkeit</t>
  </si>
  <si>
    <t>andere</t>
  </si>
  <si>
    <t>Werke</t>
  </si>
  <si>
    <t>loben</t>
  </si>
  <si>
    <t>konnten</t>
  </si>
  <si>
    <t>sehr</t>
  </si>
  <si>
    <t>Tagebücher</t>
  </si>
  <si>
    <t>Manuskripte</t>
  </si>
  <si>
    <t>Briefe</t>
  </si>
  <si>
    <t>sogar</t>
  </si>
  <si>
    <t>Skizzen</t>
  </si>
  <si>
    <t>nach</t>
  </si>
  <si>
    <t>Tod</t>
  </si>
  <si>
    <t>verbrannt</t>
  </si>
  <si>
    <t># text = Sein Freund lehnte diese Bitte ab , weshalb wir heute all die Werke von Kafka kennen : " Amerika " ( " Der Verschollene " ) , " Der Prozess " und " Das Schloss " ; eine Arbeit so unvollständig , dass sie sogar mitten im Satz aufhört .</t>
  </si>
  <si>
    <t>Freund</t>
  </si>
  <si>
    <t>lehnte</t>
  </si>
  <si>
    <t>diese</t>
  </si>
  <si>
    <t>Bitte</t>
  </si>
  <si>
    <t>ab</t>
  </si>
  <si>
    <t>weshalb</t>
  </si>
  <si>
    <t>heute</t>
  </si>
  <si>
    <t>kennen</t>
  </si>
  <si>
    <t>Amerika</t>
  </si>
  <si>
    <t>(</t>
  </si>
  <si>
    <t>Verschollene</t>
  </si>
  <si>
    <t>)</t>
  </si>
  <si>
    <t>Prozess</t>
  </si>
  <si>
    <t>Schloss</t>
  </si>
  <si>
    <t>;</t>
  </si>
  <si>
    <t>mitten</t>
  </si>
  <si>
    <t>Satz</t>
  </si>
  <si>
    <t>aufhört</t>
  </si>
  <si>
    <t># text = Die Verfolgung der Meisterschaft , mit anderen Worten , ist fast so etwas wie ein ewiges Vorwärtsstreben .</t>
  </si>
  <si>
    <t>Die</t>
  </si>
  <si>
    <t>Verfolgung</t>
  </si>
  <si>
    <t>fast</t>
  </si>
  <si>
    <t>ewiges</t>
  </si>
  <si>
    <t>Vorwärtsstreben</t>
  </si>
  <si>
    <t># text = 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</si>
  <si>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Gott</t>
  </si>
  <si>
    <t>gib</t>
  </si>
  <si>
    <t>wünsche</t>
  </si>
  <si>
    <t>flehte</t>
  </si>
  <si>
    <t>Michelangelo</t>
  </si>
  <si>
    <t>alttestamentarischen</t>
  </si>
  <si>
    <t>Sixtinischen</t>
  </si>
  <si>
    <t>Kapelle</t>
  </si>
  <si>
    <t>wäre</t>
  </si>
  <si>
    <t>Adam</t>
  </si>
  <si>
    <t>ausgestreckten</t>
  </si>
  <si>
    <t>Finger</t>
  </si>
  <si>
    <t>Gottes</t>
  </si>
  <si>
    <t>ganz</t>
  </si>
  <si>
    <t>erreicht</t>
  </si>
  <si>
    <t># text = Meisterschaft ist das Streben , nicht das Erreichen .</t>
  </si>
  <si>
    <t>Erreichen</t>
  </si>
  <si>
    <t># text = Es ist der ständige Wunsch , die Lücke zwischen dem , wo du bist und dem , wo du sein möchtest , zu schließen .</t>
  </si>
  <si>
    <t>Wunsch</t>
  </si>
  <si>
    <t>Lücke</t>
  </si>
  <si>
    <t>wo</t>
  </si>
  <si>
    <t>du</t>
  </si>
  <si>
    <t>bist</t>
  </si>
  <si>
    <t>möchtest</t>
  </si>
  <si>
    <t>schließen</t>
  </si>
  <si>
    <t># text = In der Meisterschaft geht darum , Opfer für die Tätigkeit zu bringen und nicht darum , Dinge deiner Karriere zuliebe zu tun .</t>
  </si>
  <si>
    <t>geht</t>
  </si>
  <si>
    <t>darum</t>
  </si>
  <si>
    <t>Opfer</t>
  </si>
  <si>
    <t>Tätigkeit</t>
  </si>
  <si>
    <t>bringen</t>
  </si>
  <si>
    <t>deiner</t>
  </si>
  <si>
    <t>Karriere</t>
  </si>
  <si>
    <t>zuliebe</t>
  </si>
  <si>
    <t># text = Wie viele Erfinder und verborgene Unternehmer leben dieses Phänomen ?</t>
  </si>
  <si>
    <t>viele</t>
  </si>
  <si>
    <t>Erfinder</t>
  </si>
  <si>
    <t>verborgene</t>
  </si>
  <si>
    <t>Unternehmer</t>
  </si>
  <si>
    <t>leben</t>
  </si>
  <si>
    <t>dieses</t>
  </si>
  <si>
    <t>Phänomen</t>
  </si>
  <si>
    <t># text = Wir sehen es auch am Leben des unbezwingbaren Arktis-Forschers Ben Saunders , der mir erzählte , dass seine Triumphe nicht bloß das Ergebnis einer großartigen Leistung sind , sondern der Antrieb , der durch eine Reihe von Beinahe-Erfolgen entsteht .</t>
  </si>
  <si>
    <t>Wir</t>
  </si>
  <si>
    <t>def-np.poss</t>
  </si>
  <si>
    <t>des</t>
  </si>
  <si>
    <t>unbezwingbaren</t>
  </si>
  <si>
    <t>Arktis</t>
  </si>
  <si>
    <t>Forschers</t>
  </si>
  <si>
    <t>Ben</t>
  </si>
  <si>
    <t>Saunders</t>
  </si>
  <si>
    <t>erzählte</t>
  </si>
  <si>
    <t>Triumphe</t>
  </si>
  <si>
    <t>bloß</t>
  </si>
  <si>
    <t>großartigen</t>
  </si>
  <si>
    <t>Leistung</t>
  </si>
  <si>
    <t>Antrieb</t>
  </si>
  <si>
    <t>Reihe</t>
  </si>
  <si>
    <t>Erfolgen</t>
  </si>
  <si>
    <t># text = Wir haben Erfolg , wenn wir immer unsere Bestleistung versuchen .</t>
  </si>
  <si>
    <t>unsere</t>
  </si>
  <si>
    <t>pron.ppos</t>
  </si>
  <si>
    <t>Bestleistung</t>
  </si>
  <si>
    <t>versuchen</t>
  </si>
  <si>
    <t># text = Eine Weisheit , die Duke Ellington so auffasste : Das Lieblingslied aus seinem Repertoire ist immer das Nächste , immer jenes , das er noch komponieren muss .</t>
  </si>
  <si>
    <t>Weisheit</t>
  </si>
  <si>
    <t>Duke</t>
  </si>
  <si>
    <t>Ellington</t>
  </si>
  <si>
    <t>auffasste</t>
  </si>
  <si>
    <t>Lieblingslied</t>
  </si>
  <si>
    <t>Repertoire</t>
  </si>
  <si>
    <t>Nächste</t>
  </si>
  <si>
    <t>jenes</t>
  </si>
  <si>
    <t>noch</t>
  </si>
  <si>
    <t>komponieren</t>
  </si>
  <si>
    <t># text = Dass Beinahe-Erfolg und Meisterschaft verknüpft sind , liegt teilweise daran , dass wir mit größerer Professionalität auch eher erkennen können , dass wir nicht alles wissen , was wir zu wissen dachten .</t>
  </si>
  <si>
    <t>Dass</t>
  </si>
  <si>
    <t>verknüpft</t>
  </si>
  <si>
    <t>teilweise</t>
  </si>
  <si>
    <t>daran</t>
  </si>
  <si>
    <t>größerer</t>
  </si>
  <si>
    <t>Professionalität</t>
  </si>
  <si>
    <t>eher</t>
  </si>
  <si>
    <t>können</t>
  </si>
  <si>
    <t>wissen</t>
  </si>
  <si>
    <t>dachten</t>
  </si>
  <si>
    <t># text = Das nennt man den Dunning-Kruger-Effekt .</t>
  </si>
  <si>
    <t>nennt</t>
  </si>
  <si>
    <t>Dunning</t>
  </si>
  <si>
    <t>Kruger</t>
  </si>
  <si>
    <t>Effekt</t>
  </si>
  <si>
    <t># text = Die Paris Review hat das aus James Baldwin herausgekitzelt , als sie ihn fragten : " Was , glauben Sie , wächst mit dem Wissen ? " und er antwortete : " Sie lernen , wie wenig Sie wissen . "</t>
  </si>
  <si>
    <t>Paris</t>
  </si>
  <si>
    <t>Review</t>
  </si>
  <si>
    <t>James</t>
  </si>
  <si>
    <t>Baldwin</t>
  </si>
  <si>
    <t>herausgekitzelt</t>
  </si>
  <si>
    <t>ihn</t>
  </si>
  <si>
    <t>fragten</t>
  </si>
  <si>
    <t>glauben</t>
  </si>
  <si>
    <t>wächst</t>
  </si>
  <si>
    <t>Wissen</t>
  </si>
  <si>
    <t>antwortete</t>
  </si>
  <si>
    <t># text = Erfolg motiviert uns , aber ein Beinahe-Erfolg kann uns zu fortwährendem Streben antreiben .</t>
  </si>
  <si>
    <t>motiviert</t>
  </si>
  <si>
    <t>fortwährendem</t>
  </si>
  <si>
    <t>antreiben</t>
  </si>
  <si>
    <t># text = Eines der anschaulichsten Beispiele ist , wenn wir uns den Unterschied zwischen Gewinnern von olympischem Silber und Gewinnern von Bronze nach dem Wettbewerb ansehen .</t>
  </si>
  <si>
    <t>Eines</t>
  </si>
  <si>
    <t>anschaulichsten</t>
  </si>
  <si>
    <t>Beispiele</t>
  </si>
  <si>
    <t>Gewinnern</t>
  </si>
  <si>
    <t>olympischem</t>
  </si>
  <si>
    <t>Silber</t>
  </si>
  <si>
    <t>Bronze</t>
  </si>
  <si>
    <t>Wettbewerb</t>
  </si>
  <si>
    <t>ansehen</t>
  </si>
  <si>
    <t># text = Thomas Gilovich und sein Team aus Cornell untersuchten diesen Unterschied und fanden heraus , dass die Frustration , die die Gewinner von Silber spüren , im Vergleich zu Bronze , die eher froh darüber sind , dass sie nicht auf dem 4.</t>
  </si>
  <si>
    <t>Thomas</t>
  </si>
  <si>
    <t>Gilovich</t>
  </si>
  <si>
    <t>Team</t>
  </si>
  <si>
    <t>Cornell</t>
  </si>
  <si>
    <t>untersuchten</t>
  </si>
  <si>
    <t>fanden</t>
  </si>
  <si>
    <t>heraus</t>
  </si>
  <si>
    <t>Frustration</t>
  </si>
  <si>
    <t>Gewinner</t>
  </si>
  <si>
    <t>spüren</t>
  </si>
  <si>
    <t>Vergleich</t>
  </si>
  <si>
    <t>froh</t>
  </si>
  <si>
    <t>darüber</t>
  </si>
  <si>
    <t># text = Platz ohne Medaille gelandet sind , den Silbermedaillengewinnern einen Fokus auf den nachfolgenden Wettbewerb gibt .</t>
  </si>
  <si>
    <t>Platz</t>
  </si>
  <si>
    <t>ohne</t>
  </si>
  <si>
    <t>Medaille</t>
  </si>
  <si>
    <t>gelandet</t>
  </si>
  <si>
    <t>Silbermedaillengewinnern</t>
  </si>
  <si>
    <t>Fokus</t>
  </si>
  <si>
    <t>nachfolgenden</t>
  </si>
  <si>
    <t>gibt</t>
  </si>
  <si>
    <t># text = 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</si>
  <si>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Glücksspielindustrie</t>
  </si>
  <si>
    <t>einst</t>
  </si>
  <si>
    <t>Gewinns</t>
  </si>
  <si>
    <t>aufnahm</t>
  </si>
  <si>
    <t>Rubbellose</t>
  </si>
  <si>
    <t>erfand</t>
  </si>
  <si>
    <t>überdurchschnittliche</t>
  </si>
  <si>
    <t>Chance</t>
  </si>
  <si>
    <t>Gewinn</t>
  </si>
  <si>
    <t>hatten</t>
  </si>
  <si>
    <t>Leute</t>
  </si>
  <si>
    <t>verführten</t>
  </si>
  <si>
    <t>weitere</t>
  </si>
  <si>
    <t>Lose</t>
  </si>
  <si>
    <t>kaufen</t>
  </si>
  <si>
    <t>Herz</t>
  </si>
  <si>
    <t>Stopper</t>
  </si>
  <si>
    <t>genannt</t>
  </si>
  <si>
    <t>wurden</t>
  </si>
  <si>
    <t>Großbritannien</t>
  </si>
  <si>
    <t>Missbräuchen</t>
  </si>
  <si>
    <t>hinzugefügt</t>
  </si>
  <si>
    <t># text = 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</si>
  <si>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Grund</t>
  </si>
  <si>
    <t>warum</t>
  </si>
  <si>
    <t>antreibt</t>
  </si>
  <si>
    <t>darin</t>
  </si>
  <si>
    <t>Wahrnehmung</t>
  </si>
  <si>
    <t>ändert</t>
  </si>
  <si>
    <t>Ziele</t>
  </si>
  <si>
    <t>Ferne</t>
  </si>
  <si>
    <t>legen</t>
  </si>
  <si>
    <t>näher</t>
  </si>
  <si>
    <t>Position</t>
  </si>
  <si>
    <t>heranbringt</t>
  </si>
  <si>
    <t>bitte</t>
  </si>
  <si>
    <t>tollen</t>
  </si>
  <si>
    <t>Tag</t>
  </si>
  <si>
    <t>nächsten</t>
  </si>
  <si>
    <t>Woche</t>
  </si>
  <si>
    <t>beschreiben</t>
  </si>
  <si>
    <t>werden</t>
  </si>
  <si>
    <t>allgemein</t>
  </si>
  <si>
    <t># text = Wenn ich Sie aber bitte , einen tollen Tag morgen bei TED zu beschreiben , werden Sie ihn sehr klar und detailliert beschreiben .</t>
  </si>
  <si>
    <t>morgen</t>
  </si>
  <si>
    <t>TED</t>
  </si>
  <si>
    <t>detailliert</t>
  </si>
  <si>
    <t># text = Das macht der Beinahe-Erfolg .</t>
  </si>
  <si>
    <t>macht</t>
  </si>
  <si>
    <t># text = Er lässt uns auf das fokussieren , was wir gerade jetzt planen , um den vor uns liegenden Berg anzugehen .</t>
  </si>
  <si>
    <t>Er</t>
  </si>
  <si>
    <t>fokussieren</t>
  </si>
  <si>
    <t>gerade</t>
  </si>
  <si>
    <t>jetzt</t>
  </si>
  <si>
    <t>planen</t>
  </si>
  <si>
    <t>liegenden</t>
  </si>
  <si>
    <t>Berg</t>
  </si>
  <si>
    <t>anzugehen</t>
  </si>
  <si>
    <t># text = Es war Jackie Joyner-Kersee , die es 1984 verpasste , Gold im Siebenkampf zu holen um nur eine Drittelsekunde und ihr Mann sagte ihr voraus , dass es ihr die Hartnäckigkeit verleihen würde , die sie im nächsten Wettkampf benötigte .</t>
  </si>
  <si>
    <t>Jackie</t>
  </si>
  <si>
    <t>Joyner</t>
  </si>
  <si>
    <t>Kersee</t>
  </si>
  <si>
    <t>1984</t>
  </si>
  <si>
    <t>verpasste</t>
  </si>
  <si>
    <t>Gold</t>
  </si>
  <si>
    <t>Siebenkampf</t>
  </si>
  <si>
    <t>holen</t>
  </si>
  <si>
    <t>Drittelsekunde</t>
  </si>
  <si>
    <t>Mann</t>
  </si>
  <si>
    <t>voraus</t>
  </si>
  <si>
    <t>verleihen</t>
  </si>
  <si>
    <t>würde</t>
  </si>
  <si>
    <t>Wettkampf</t>
  </si>
  <si>
    <t># text = 1988 gewann sie Gold im Siebenkampf und setzte den Rekord von 7291 Punkten , ein Punktestand , dem kein anderer Athlet seitdem auch nur nahe kam .</t>
  </si>
  <si>
    <t>1988</t>
  </si>
  <si>
    <t>gewann</t>
  </si>
  <si>
    <t>setzte</t>
  </si>
  <si>
    <t>Rekord</t>
  </si>
  <si>
    <t>7291</t>
  </si>
  <si>
    <t>Punkten</t>
  </si>
  <si>
    <t>Punktestand</t>
  </si>
  <si>
    <t>kein</t>
  </si>
  <si>
    <t>anderer</t>
  </si>
  <si>
    <t>Athlet</t>
  </si>
  <si>
    <t>seitdem</t>
  </si>
  <si>
    <t>nahe</t>
  </si>
  <si>
    <t>kam</t>
  </si>
  <si>
    <t># text = Wir haben keinen Erfolg , wenn wir alles getan haben , sondern wenn wir noch mehr zu tun haben .</t>
  </si>
  <si>
    <t>keinen</t>
  </si>
  <si>
    <t>getan</t>
  </si>
  <si>
    <t># text = Ich stehe hier und denke an all die diversen Möglichkeiten , wie wir in eben in diesem Raum einen Beinahe-Erfolg erzielen könnten , wie das in Ihren Leben umgesetzt werden kann , weil ich glaube , dass wir das aus dem Bauch heraus irgendwie wissen .</t>
  </si>
  <si>
    <t>stehe</t>
  </si>
  <si>
    <t>denke</t>
  </si>
  <si>
    <t>diversen</t>
  </si>
  <si>
    <t>Möglichkeiten</t>
  </si>
  <si>
    <t>eben</t>
  </si>
  <si>
    <t>Raum</t>
  </si>
  <si>
    <t>erzielen</t>
  </si>
  <si>
    <t>könnten</t>
  </si>
  <si>
    <t>Ihren</t>
  </si>
  <si>
    <t>umgesetzt</t>
  </si>
  <si>
    <t>Bauch</t>
  </si>
  <si>
    <t>irgendwie</t>
  </si>
  <si>
    <t># text = Wir wissen , dass wir Erfolg haben , wenn wir immer unser Bestes geben , und darum ist das bewusst Unvollständige in unsere Schöpfungsmythen eingebaut .</t>
  </si>
  <si>
    <t>unser</t>
  </si>
  <si>
    <t>Bestes</t>
  </si>
  <si>
    <t>geben</t>
  </si>
  <si>
    <t>bewusst</t>
  </si>
  <si>
    <t>Unvollständige</t>
  </si>
  <si>
    <t>Schöpfungsmythen</t>
  </si>
  <si>
    <t>eingebaut</t>
  </si>
  <si>
    <t># text = In der Navajo-Kultur bauen manche Handwerker bewusst einen Fehler in die Textilien und Keramiken ein .</t>
  </si>
  <si>
    <t>Navajo</t>
  </si>
  <si>
    <t>bauen</t>
  </si>
  <si>
    <t>manche</t>
  </si>
  <si>
    <t>Handwerker</t>
  </si>
  <si>
    <t>Fehler</t>
  </si>
  <si>
    <t>Textilien</t>
  </si>
  <si>
    <t>Keramiken</t>
  </si>
  <si>
    <t># text = Das nennt man eine Stimmungslinie , ein bewusster Fehler im Muster , um dem Weber oder Macher einen Ausweg zu geben , aber auch einen Grund , weitere Arbeiten zu erstellen .</t>
  </si>
  <si>
    <t>Stimmungslinie</t>
  </si>
  <si>
    <t>bewusster</t>
  </si>
  <si>
    <t>Muster</t>
  </si>
  <si>
    <t>Weber</t>
  </si>
  <si>
    <t>oder</t>
  </si>
  <si>
    <t>Macher</t>
  </si>
  <si>
    <t>Ausweg</t>
  </si>
  <si>
    <t>erstellen</t>
  </si>
  <si>
    <t># text = Meister sind keine Experten , weil sie einen Gegenstand zu seinem konzeptionellen Ende bringen .</t>
  </si>
  <si>
    <t>Meister</t>
  </si>
  <si>
    <t>keine</t>
  </si>
  <si>
    <t>Experten</t>
  </si>
  <si>
    <t>Gegenstand</t>
  </si>
  <si>
    <t>konzeptionellen</t>
  </si>
  <si>
    <t># text = Sie sind Meister , weil sie erkennen , dass da kein Ende ist .</t>
  </si>
  <si>
    <t># text = 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</si>
  <si>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Als</t>
  </si>
  <si>
    <t>nachdachte</t>
  </si>
  <si>
    <t>Trainings</t>
  </si>
  <si>
    <t>außerhalb</t>
  </si>
  <si>
    <t>Hörweite</t>
  </si>
  <si>
    <t>Kollegen</t>
  </si>
  <si>
    <t>nie</t>
  </si>
  <si>
    <t>Gefühl</t>
  </si>
  <si>
    <t>genug</t>
  </si>
  <si>
    <t>gäbe</t>
  </si>
  <si>
    <t>genügend</t>
  </si>
  <si>
    <t>Visualisierungs</t>
  </si>
  <si>
    <t>Techniken</t>
  </si>
  <si>
    <t>Haltungsübungen</t>
  </si>
  <si>
    <t>SBJ_9</t>
  </si>
  <si>
    <t>ihnen</t>
  </si>
  <si>
    <t>OBJ_9</t>
  </si>
  <si>
    <t>helfen</t>
  </si>
  <si>
    <t>sollen</t>
  </si>
  <si>
    <t>ständigen</t>
  </si>
  <si>
    <t>Erfolge</t>
  </si>
  <si>
    <t>OBJ_8</t>
  </si>
  <si>
    <t>überwinden</t>
  </si>
  <si>
    <t># text = Es klang nicht wirklich nach einer Beschwerde , sondern eher nach einem Weg , mir etwas mitzuteilen , in einer Art Beitrittsangebot , mich daran zu erinnern , dass er sich einem maßlosen , unfertigen Weg hingibt , der immer noch mehr fordert .</t>
  </si>
  <si>
    <t>klang</t>
  </si>
  <si>
    <t>Beschwerde</t>
  </si>
  <si>
    <t>Weg</t>
  </si>
  <si>
    <t>mitzuteilen</t>
  </si>
  <si>
    <t>Beitrittsangebot</t>
  </si>
  <si>
    <t>erinnern</t>
  </si>
  <si>
    <t>maßlosen</t>
  </si>
  <si>
    <t>unfertigen</t>
  </si>
  <si>
    <t>hingibt</t>
  </si>
  <si>
    <t>fordert</t>
  </si>
  <si>
    <t># text = Wir bauen auf unvollständigen Ideen auf , selbst wenn diese Idee unser früheres Selbst ist .</t>
  </si>
  <si>
    <t>unvollständigen</t>
  </si>
  <si>
    <t>Ideen</t>
  </si>
  <si>
    <t>früheres</t>
  </si>
  <si>
    <t>Selbst</t>
  </si>
  <si>
    <t># text = Das ist die Dynamik von Meisterschaft .</t>
  </si>
  <si>
    <t>Dynamik</t>
  </si>
  <si>
    <t># text = Dem nahe zu kommen , was man zu wollen dachte , kann dir helfen , mehr zu erhalten , als du dir jemals erträumt hättest .</t>
  </si>
  <si>
    <t>Dem</t>
  </si>
  <si>
    <t>kommen</t>
  </si>
  <si>
    <t>wollen</t>
  </si>
  <si>
    <t>erhalten</t>
  </si>
  <si>
    <t>jemals</t>
  </si>
  <si>
    <t>erträumt</t>
  </si>
  <si>
    <t>hättest</t>
  </si>
  <si>
    <t># text = Das , glaube ich , dachte Elizabeth Murray , als ich sie eines Tages in der Galerie ihre frühen Gemälde lächelnd betrachten sah .</t>
  </si>
  <si>
    <t>Galerie</t>
  </si>
  <si>
    <t>betrachten</t>
  </si>
  <si>
    <t># text = Selbst wenn wir Utopien erschufen , glaube ich , gäbe es trotzdem noch das Unvollständige .</t>
  </si>
  <si>
    <t>Utopien</t>
  </si>
  <si>
    <t>erschufen</t>
  </si>
  <si>
    <t>trotzdem</t>
  </si>
  <si>
    <t># text = Vervollständigung ist das Ziel , aber wir hoffen , dass es nie das Ende ist .</t>
  </si>
  <si>
    <t>Vervollständigung</t>
  </si>
  <si>
    <t>hoffen</t>
  </si>
  <si>
    <t># text = Danke schön</t>
  </si>
  <si>
    <t>Danke</t>
  </si>
  <si>
    <t>schön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</si>
</sst>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11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21</v>
      </c>
      <c r="B5" s="6" t="s">
        <v>11</v>
      </c>
      <c r="C5" s="6" t="s">
        <v>22</v>
      </c>
      <c r="D5" s="7" t="s">
        <v>11</v>
      </c>
      <c r="E5" s="8" t="s">
        <v>23</v>
      </c>
      <c r="F5" s="6" t="s">
        <v>11</v>
      </c>
      <c r="G5" s="9">
        <f>IF(A5=1,"_",IF(C5="_","???",C5))</f>
        <v/>
      </c>
      <c r="H5" s="10" t="s">
        <v>19</v>
      </c>
      <c r="I5" s="11" t="s">
        <v>25</v>
      </c>
      <c r="J5" s="12" t="s">
        <v>26</v>
      </c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21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14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27</v>
      </c>
      <c r="I7" s="11" t="s">
        <v>17</v>
      </c>
      <c r="J7" s="12" t="s">
        <v>18</v>
      </c>
    </row>
    <row r="8" spans="1:10" ht="60" customHeight="1">
      <c r="A8" s="6" t="s">
        <v>35</v>
      </c>
      <c r="B8" s="6" t="s">
        <v>11</v>
      </c>
      <c r="C8" s="6" t="s">
        <v>28</v>
      </c>
      <c r="D8" s="7" t="s">
        <v>11</v>
      </c>
      <c r="E8" s="8" t="s">
        <v>36</v>
      </c>
      <c r="F8" s="6" t="s">
        <v>11</v>
      </c>
      <c r="G8" s="9">
        <f>IF(A8=1,"_",IF(C8="_","???",C8))</f>
        <v/>
      </c>
      <c r="H8" s="10" t="s">
        <v>33</v>
      </c>
      <c r="I8" s="11" t="s">
        <v>31</v>
      </c>
      <c r="J8" s="12" t="s">
        <v>32</v>
      </c>
    </row>
    <row r="9" spans="1:10" ht="60" customHeight="1">
      <c r="A9" s="6" t="s">
        <v>37</v>
      </c>
      <c r="B9" s="6" t="s">
        <v>11</v>
      </c>
      <c r="C9" s="6" t="s">
        <v>38</v>
      </c>
      <c r="D9" s="7" t="s">
        <v>11</v>
      </c>
      <c r="E9" s="8" t="s">
        <v>39</v>
      </c>
      <c r="F9" s="6" t="s">
        <v>11</v>
      </c>
      <c r="G9" s="9">
        <f>IF(A9=1,"_",IF(C9="_","???",C9))</f>
        <v/>
      </c>
      <c r="H9" s="10" t="s">
        <v>35</v>
      </c>
      <c r="I9" s="11" t="s">
        <v>41</v>
      </c>
      <c r="J9" s="12" t="s">
        <v>42</v>
      </c>
    </row>
    <row r="10" spans="1:10" ht="60" customHeight="1">
      <c r="A10" s="6" t="s">
        <v>43</v>
      </c>
      <c r="B10" s="6" t="s">
        <v>11</v>
      </c>
      <c r="C10" s="6" t="s">
        <v>44</v>
      </c>
      <c r="D10" s="7" t="s">
        <v>11</v>
      </c>
      <c r="E10" s="8" t="s">
        <v>45</v>
      </c>
      <c r="F10" s="6" t="s">
        <v>11</v>
      </c>
      <c r="G10" s="9">
        <f>IF(A10=1,"_",IF(C10="_","???",C10))</f>
        <v/>
      </c>
      <c r="H10" s="10" t="s">
        <v>37</v>
      </c>
      <c r="I10" s="11" t="s">
        <v>47</v>
      </c>
      <c r="J10" s="12" t="s">
        <v>48</v>
      </c>
    </row>
    <row r="11" spans="1:10" ht="60" customHeight="1">
      <c r="A11" s="6" t="s">
        <v>49</v>
      </c>
      <c r="B11" s="6" t="s">
        <v>11</v>
      </c>
      <c r="C11" s="6" t="s">
        <v>50</v>
      </c>
      <c r="D11" s="7" t="s">
        <v>11</v>
      </c>
      <c r="E11" s="8" t="s">
        <v>51</v>
      </c>
      <c r="F11" s="6" t="s">
        <v>11</v>
      </c>
      <c r="G11" s="9">
        <f>IF(A11=1,"_",IF(C11="_","???",C11))</f>
        <v/>
      </c>
      <c r="H11" s="10" t="s">
        <v>43</v>
      </c>
      <c r="I11" s="11" t="s">
        <v>25</v>
      </c>
      <c r="J11" s="12" t="s">
        <v>26</v>
      </c>
    </row>
    <row r="12" spans="1:10" ht="60" customHeight="1">
      <c r="A12" s="6" t="s">
        <v>52</v>
      </c>
      <c r="B12" s="6" t="s">
        <v>11</v>
      </c>
      <c r="C12" s="6" t="s">
        <v>11</v>
      </c>
      <c r="D12" s="7" t="s">
        <v>11</v>
      </c>
      <c r="E12" s="8" t="s">
        <v>53</v>
      </c>
      <c r="F12" s="6" t="s">
        <v>11</v>
      </c>
      <c r="G12" s="9">
        <f>IF(A12=1,"_",IF(C12="_","???",C12))</f>
        <v/>
      </c>
      <c r="H12" s="10" t="s">
        <v>49</v>
      </c>
      <c r="I12" s="11" t="s">
        <v>55</v>
      </c>
      <c r="J12" s="12" t="s">
        <v>56</v>
      </c>
    </row>
    <row r="13" spans="1:10" ht="60" customHeight="1">
      <c r="A13" s="6" t="s">
        <v>57</v>
      </c>
      <c r="B13" s="6" t="s">
        <v>11</v>
      </c>
      <c r="C13" s="6" t="s">
        <v>11</v>
      </c>
      <c r="D13" s="7" t="s">
        <v>11</v>
      </c>
      <c r="E13" s="8" t="s">
        <v>58</v>
      </c>
      <c r="F13" s="6" t="s">
        <v>11</v>
      </c>
      <c r="G13" s="9">
        <f>IF(A13=1,"_",IF(C13="_","???",C13))</f>
        <v/>
      </c>
      <c r="H13" s="10" t="s">
        <v>52</v>
      </c>
      <c r="I13" s="11" t="s">
        <v>55</v>
      </c>
      <c r="J13" s="12" t="s">
        <v>56</v>
      </c>
    </row>
    <row r="14" spans="1:10" ht="60" customHeight="1">
      <c r="A14" s="6" t="s">
        <v>59</v>
      </c>
      <c r="B14" s="6" t="s">
        <v>11</v>
      </c>
      <c r="C14" s="6" t="s">
        <v>11</v>
      </c>
      <c r="D14" s="7" t="s">
        <v>11</v>
      </c>
      <c r="E14" s="8" t="s">
        <v>60</v>
      </c>
      <c r="F14" s="6" t="s">
        <v>11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61</v>
      </c>
      <c r="B15" s="6" t="s">
        <v>11</v>
      </c>
      <c r="C15" s="6" t="s">
        <v>11</v>
      </c>
      <c r="D15" s="7" t="s">
        <v>11</v>
      </c>
      <c r="E15" s="8" t="s">
        <v>62</v>
      </c>
      <c r="F15" s="6" t="s">
        <v>11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63</v>
      </c>
      <c r="B16" s="6" t="s">
        <v>11</v>
      </c>
      <c r="C16" s="6" t="s">
        <v>11</v>
      </c>
      <c r="D16" s="7" t="s">
        <v>11</v>
      </c>
      <c r="E16" s="8" t="s">
        <v>64</v>
      </c>
      <c r="F16" s="6" t="s">
        <v>11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65</v>
      </c>
      <c r="B17" s="6" t="s">
        <v>11</v>
      </c>
      <c r="C17" s="6" t="s">
        <v>28</v>
      </c>
      <c r="D17" s="7" t="s">
        <v>11</v>
      </c>
      <c r="E17" s="8" t="s">
        <v>66</v>
      </c>
      <c r="F17" s="6" t="s">
        <v>11</v>
      </c>
      <c r="G17" s="9">
        <f>IF(A17=1,"_",IF(C17="_","???",C17))</f>
        <v/>
      </c>
      <c r="H17" s="10" t="s">
        <v>63</v>
      </c>
      <c r="I17" s="11" t="s">
        <v>31</v>
      </c>
      <c r="J17" s="12" t="s">
        <v>32</v>
      </c>
    </row>
    <row r="18" spans="1:10" ht="60" customHeight="1">
      <c r="A18" s="6" t="s">
        <v>67</v>
      </c>
      <c r="B18" s="6" t="s">
        <v>11</v>
      </c>
      <c r="C18" s="6" t="s">
        <v>68</v>
      </c>
      <c r="D18" s="7" t="s">
        <v>11</v>
      </c>
      <c r="E18" s="8" t="s">
        <v>69</v>
      </c>
      <c r="F18" s="6" t="s">
        <v>11</v>
      </c>
      <c r="G18" s="9">
        <f>IF(A18=1,"_",IF(C18="_","???",C18))</f>
        <v/>
      </c>
      <c r="H18" s="10" t="s">
        <v>65</v>
      </c>
      <c r="I18" s="11" t="s">
        <v>47</v>
      </c>
      <c r="J18" s="12" t="s">
        <v>48</v>
      </c>
    </row>
    <row r="19" spans="1:10" ht="60" customHeight="1">
      <c r="A19" s="6" t="s">
        <v>70</v>
      </c>
      <c r="B19" s="6" t="s">
        <v>11</v>
      </c>
      <c r="C19" s="6" t="s">
        <v>50</v>
      </c>
      <c r="D19" s="7" t="s">
        <v>11</v>
      </c>
      <c r="E19" s="8" t="s">
        <v>71</v>
      </c>
      <c r="F19" s="6" t="s">
        <v>11</v>
      </c>
      <c r="G19" s="9">
        <f>IF(A19=1,"_",IF(C19="_","???",C19))</f>
        <v/>
      </c>
      <c r="H19" s="10" t="s">
        <v>67</v>
      </c>
      <c r="I19" s="11" t="s">
        <v>25</v>
      </c>
      <c r="J19" s="12" t="s">
        <v>26</v>
      </c>
    </row>
    <row r="20" spans="1:10" ht="60" customHeight="1">
      <c r="A20" s="6" t="s">
        <v>72</v>
      </c>
      <c r="B20" s="6" t="s">
        <v>11</v>
      </c>
      <c r="C20" s="6" t="s">
        <v>11</v>
      </c>
      <c r="D20" s="7" t="s">
        <v>11</v>
      </c>
      <c r="E20" s="8" t="s">
        <v>73</v>
      </c>
      <c r="F20" s="6" t="s">
        <v>11</v>
      </c>
      <c r="G20" s="9">
        <f>IF(A20=1,"_",IF(C20="_","???",C20))</f>
        <v/>
      </c>
      <c r="H20" s="10" t="s">
        <v>70</v>
      </c>
      <c r="I20" s="11" t="s">
        <v>31</v>
      </c>
      <c r="J20" s="12" t="s">
        <v>32</v>
      </c>
    </row>
    <row r="21" spans="1:10" ht="60" customHeight="1">
      <c r="A21" s="6" t="s">
        <v>74</v>
      </c>
      <c r="B21" s="6" t="s">
        <v>11</v>
      </c>
      <c r="C21" s="6" t="s">
        <v>28</v>
      </c>
      <c r="D21" s="7" t="s">
        <v>11</v>
      </c>
      <c r="E21" s="8" t="s">
        <v>75</v>
      </c>
      <c r="F21" s="6" t="s">
        <v>11</v>
      </c>
      <c r="G21" s="9">
        <f>IF(A21=1,"_",IF(C21="_","???",C21))</f>
        <v/>
      </c>
      <c r="H21" s="10" t="s">
        <v>72</v>
      </c>
      <c r="I21" s="11" t="s">
        <v>31</v>
      </c>
      <c r="J21" s="12" t="s">
        <v>32</v>
      </c>
    </row>
    <row r="22" spans="1:10" ht="60" customHeight="1">
      <c r="A22" s="6" t="s">
        <v>76</v>
      </c>
      <c r="B22" s="6" t="s">
        <v>11</v>
      </c>
      <c r="C22" s="6" t="s">
        <v>28</v>
      </c>
      <c r="D22" s="7" t="s">
        <v>11</v>
      </c>
      <c r="E22" s="8" t="s">
        <v>77</v>
      </c>
      <c r="F22" s="6" t="s">
        <v>11</v>
      </c>
      <c r="G22" s="9">
        <f>IF(A22=1,"_",IF(C22="_","???",C22))</f>
        <v/>
      </c>
      <c r="H22" s="10" t="s">
        <v>74</v>
      </c>
      <c r="I22" s="11" t="s">
        <v>31</v>
      </c>
      <c r="J22" s="12" t="s">
        <v>32</v>
      </c>
    </row>
    <row r="23" spans="1:10" ht="60" customHeight="1">
      <c r="A23" s="6" t="s">
        <v>78</v>
      </c>
      <c r="B23" s="6" t="s">
        <v>11</v>
      </c>
      <c r="C23" s="6" t="s">
        <v>11</v>
      </c>
      <c r="D23" s="7" t="s">
        <v>11</v>
      </c>
      <c r="E23" s="8" t="s">
        <v>79</v>
      </c>
      <c r="F23" s="6" t="s">
        <v>11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80</v>
      </c>
      <c r="B24" s="6" t="s">
        <v>11</v>
      </c>
      <c r="C24" s="6" t="s">
        <v>11</v>
      </c>
      <c r="D24" s="7" t="s">
        <v>11</v>
      </c>
      <c r="E24" s="8" t="s">
        <v>81</v>
      </c>
      <c r="F24" s="6" t="s">
        <v>11</v>
      </c>
      <c r="G24" s="9">
        <f>IF(A24=1,"_",IF(C24="_","???",C24))</f>
        <v/>
      </c>
      <c r="H24" s="10" t="s">
        <v>78</v>
      </c>
      <c r="I24" s="11" t="s">
        <v>31</v>
      </c>
      <c r="J24" s="12" t="s">
        <v>32</v>
      </c>
    </row>
    <row r="25" spans="1:10" ht="60" customHeight="1">
      <c r="A25" s="6" t="s">
        <v>82</v>
      </c>
      <c r="B25" s="6" t="s">
        <v>11</v>
      </c>
      <c r="C25" s="6" t="s">
        <v>11</v>
      </c>
      <c r="D25" s="7" t="s">
        <v>11</v>
      </c>
      <c r="E25" s="8" t="s">
        <v>83</v>
      </c>
      <c r="F25" s="6" t="s">
        <v>11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84</v>
      </c>
      <c r="B26" s="6" t="s">
        <v>11</v>
      </c>
      <c r="C26" s="6" t="s">
        <v>11</v>
      </c>
      <c r="D26" s="7" t="s">
        <v>11</v>
      </c>
      <c r="E26" s="8" t="s">
        <v>85</v>
      </c>
      <c r="F26" s="6" t="s">
        <v>11</v>
      </c>
      <c r="G26" s="9">
        <f>IF(A26=1,"_",IF(C26="_","???",C26))</f>
        <v/>
      </c>
      <c r="H26" s="10" t="s">
        <v>82</v>
      </c>
      <c r="I26" s="11" t="s">
        <v>31</v>
      </c>
      <c r="J26" s="12" t="s">
        <v>32</v>
      </c>
    </row>
    <row r="27" spans="1:10" ht="60" customHeight="1">
      <c r="A27" s="6" t="s">
        <v>86</v>
      </c>
      <c r="B27" s="6" t="s">
        <v>11</v>
      </c>
      <c r="C27" s="6" t="s">
        <v>11</v>
      </c>
      <c r="D27" s="7" t="s">
        <v>11</v>
      </c>
      <c r="E27" s="8" t="s">
        <v>87</v>
      </c>
      <c r="F27" s="6" t="s">
        <v>11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88</v>
      </c>
      <c r="B28" s="6" t="s">
        <v>11</v>
      </c>
      <c r="C28" s="6" t="s">
        <v>11</v>
      </c>
      <c r="D28" s="7" t="s">
        <v>11</v>
      </c>
      <c r="E28" s="8" t="s">
        <v>89</v>
      </c>
      <c r="F28" s="6" t="s">
        <v>11</v>
      </c>
      <c r="G28" s="9">
        <f>IF(A28=1,"_",IF(C28="_","???",C28))</f>
        <v/>
      </c>
      <c r="H28" s="10" t="s">
        <v>86</v>
      </c>
      <c r="I28" s="11" t="s">
        <v>91</v>
      </c>
      <c r="J28" s="12" t="s">
        <v>92</v>
      </c>
    </row>
    <row r="29" spans="1:10" ht="60" customHeight="1">
      <c r="A29" s="6" t="s">
        <v>93</v>
      </c>
      <c r="B29" s="6" t="s">
        <v>11</v>
      </c>
      <c r="C29" s="6" t="s">
        <v>11</v>
      </c>
      <c r="D29" s="7" t="s">
        <v>11</v>
      </c>
      <c r="E29" s="8" t="s">
        <v>94</v>
      </c>
      <c r="F29" s="6" t="s">
        <v>11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95</v>
      </c>
      <c r="B30" s="6" t="s">
        <v>11</v>
      </c>
      <c r="C30" s="6" t="s">
        <v>11</v>
      </c>
      <c r="D30" s="7" t="s">
        <v>11</v>
      </c>
      <c r="E30" s="8" t="s">
        <v>96</v>
      </c>
      <c r="F30" s="6" t="s">
        <v>11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97</v>
      </c>
      <c r="B31" s="6" t="s">
        <v>11</v>
      </c>
      <c r="C31" s="6" t="s">
        <v>11</v>
      </c>
      <c r="D31" s="7" t="s">
        <v>11</v>
      </c>
      <c r="E31" s="8" t="s">
        <v>98</v>
      </c>
      <c r="F31" s="6" t="s">
        <v>11</v>
      </c>
      <c r="G31" s="9">
        <f>IF(A31=1,"_",IF(C31="_","???",C31))</f>
        <v/>
      </c>
      <c r="H31" s="10" t="s">
        <v>95</v>
      </c>
      <c r="I31" s="11" t="s">
        <v>55</v>
      </c>
      <c r="J31" s="12" t="s">
        <v>56</v>
      </c>
    </row>
    <row r="32" spans="1:10" ht="60" customHeight="1">
      <c r="A32" s="6" t="s">
        <v>99</v>
      </c>
      <c r="B32" s="6" t="s">
        <v>11</v>
      </c>
      <c r="C32" s="6" t="s">
        <v>11</v>
      </c>
      <c r="D32" s="7" t="s">
        <v>11</v>
      </c>
      <c r="E32" s="8" t="s">
        <v>100</v>
      </c>
      <c r="F32" s="6" t="s">
        <v>11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101</v>
      </c>
      <c r="B33" s="6" t="s">
        <v>11</v>
      </c>
      <c r="C33" s="6" t="s">
        <v>11</v>
      </c>
      <c r="D33" s="7" t="s">
        <v>11</v>
      </c>
      <c r="E33" s="8" t="s">
        <v>102</v>
      </c>
      <c r="F33" s="6" t="s">
        <v>11</v>
      </c>
      <c r="G33" s="9">
        <f>IF(A33=1,"_",IF(C33="_","???",C33))</f>
        <v/>
      </c>
      <c r="H33" s="10" t="s">
        <v>99</v>
      </c>
      <c r="I33" s="11" t="s">
        <v>55</v>
      </c>
      <c r="J33" s="12" t="s">
        <v>56</v>
      </c>
    </row>
    <row r="34" spans="1:10" ht="60" customHeight="1">
      <c r="A34" s="6" t="s">
        <v>103</v>
      </c>
      <c r="B34" s="6" t="s">
        <v>11</v>
      </c>
      <c r="C34" s="6" t="s">
        <v>11</v>
      </c>
      <c r="D34" s="7" t="s">
        <v>11</v>
      </c>
      <c r="E34" s="8" t="s">
        <v>104</v>
      </c>
      <c r="F34" s="6" t="s">
        <v>11</v>
      </c>
      <c r="G34" s="9">
        <f>IF(A34=1,"_",IF(C34="_","???",C34))</f>
        <v/>
      </c>
      <c r="H34" s="10" t="s">
        <v>101</v>
      </c>
      <c r="I34" s="11" t="s">
        <v>55</v>
      </c>
      <c r="J34" s="12" t="s">
        <v>56</v>
      </c>
    </row>
    <row r="35" spans="1:10" ht="60" customHeight="1">
      <c r="A35" s="6" t="s">
        <v>105</v>
      </c>
      <c r="B35" s="6" t="s">
        <v>11</v>
      </c>
      <c r="C35" s="6" t="s">
        <v>50</v>
      </c>
      <c r="D35" s="7" t="s">
        <v>11</v>
      </c>
      <c r="E35" s="8" t="s">
        <v>106</v>
      </c>
      <c r="F35" s="6" t="s">
        <v>11</v>
      </c>
      <c r="G35" s="9">
        <f>IF(A35=1,"_",IF(C35="_","???",C35))</f>
        <v/>
      </c>
      <c r="H35" s="10" t="s">
        <v>103</v>
      </c>
      <c r="I35" s="11" t="s">
        <v>25</v>
      </c>
      <c r="J35" s="12" t="s">
        <v>26</v>
      </c>
    </row>
    <row r="36" spans="1:10" ht="60" customHeight="1">
      <c r="A36" s="6" t="s">
        <v>107</v>
      </c>
      <c r="B36" s="6" t="s">
        <v>11</v>
      </c>
      <c r="C36" s="6" t="s">
        <v>108</v>
      </c>
      <c r="D36" s="7" t="s">
        <v>11</v>
      </c>
      <c r="E36" s="8" t="s">
        <v>109</v>
      </c>
      <c r="F36" s="6" t="s">
        <v>11</v>
      </c>
      <c r="G36" s="9">
        <f>IF(A36=1,"_",IF(C36="_","???",C36))</f>
        <v/>
      </c>
      <c r="H36" s="10" t="s">
        <v>105</v>
      </c>
      <c r="I36" s="11" t="s">
        <v>25</v>
      </c>
      <c r="J36" s="12" t="s">
        <v>26</v>
      </c>
    </row>
    <row r="37" spans="1:10" ht="60" customHeight="1">
      <c r="A37" s="6" t="s">
        <v>110</v>
      </c>
      <c r="B37" s="6" t="s">
        <v>11</v>
      </c>
      <c r="C37" s="6" t="s">
        <v>28</v>
      </c>
      <c r="D37" s="7" t="s">
        <v>11</v>
      </c>
      <c r="E37" s="8" t="s">
        <v>111</v>
      </c>
      <c r="F37" s="6" t="s">
        <v>11</v>
      </c>
      <c r="G37" s="9">
        <f>IF(A37=1,"_",IF(C37="_","???",C37))</f>
        <v/>
      </c>
      <c r="H37" s="10" t="s">
        <v>107</v>
      </c>
      <c r="I37" s="11" t="s">
        <v>31</v>
      </c>
      <c r="J37" s="12" t="s">
        <v>32</v>
      </c>
    </row>
    <row r="38" spans="1:10" ht="60" customHeight="1">
      <c r="A38" s="6" t="s">
        <v>112</v>
      </c>
      <c r="B38" s="6" t="s">
        <v>11</v>
      </c>
      <c r="C38" s="6" t="s">
        <v>11</v>
      </c>
      <c r="D38" s="7" t="s">
        <v>11</v>
      </c>
      <c r="E38" s="8" t="s">
        <v>113</v>
      </c>
      <c r="F38" s="6" t="s">
        <v>11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114</v>
      </c>
      <c r="B39" s="6" t="s">
        <v>11</v>
      </c>
      <c r="C39" s="6" t="s">
        <v>11</v>
      </c>
      <c r="D39" s="7" t="s">
        <v>11</v>
      </c>
      <c r="E39" s="8" t="s">
        <v>115</v>
      </c>
      <c r="F39" s="6" t="s">
        <v>11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116</v>
      </c>
      <c r="B40" s="6" t="s">
        <v>11</v>
      </c>
      <c r="C40" s="6" t="s">
        <v>28</v>
      </c>
      <c r="D40" s="7" t="s">
        <v>11</v>
      </c>
      <c r="E40" s="8" t="s">
        <v>117</v>
      </c>
      <c r="F40" s="6" t="s">
        <v>11</v>
      </c>
      <c r="G40" s="9">
        <f>IF(A40=1,"_",IF(C40="_","???",C40))</f>
        <v/>
      </c>
      <c r="H40" s="10" t="s">
        <v>114</v>
      </c>
      <c r="I40" s="11" t="s">
        <v>31</v>
      </c>
      <c r="J40" s="12" t="s">
        <v>32</v>
      </c>
    </row>
    <row r="41" spans="1:10" ht="60" customHeight="1">
      <c r="A41" s="6" t="s">
        <v>118</v>
      </c>
      <c r="B41" s="6" t="s">
        <v>11</v>
      </c>
      <c r="C41" s="6" t="s">
        <v>22</v>
      </c>
      <c r="D41" s="7" t="s">
        <v>11</v>
      </c>
      <c r="E41" s="8" t="s">
        <v>119</v>
      </c>
      <c r="F41" s="6" t="s">
        <v>11</v>
      </c>
      <c r="G41" s="9">
        <f>IF(A41=1,"_",IF(C41="_","???",C41))</f>
        <v/>
      </c>
      <c r="H41" s="10" t="s">
        <v>116</v>
      </c>
      <c r="I41" s="11" t="s">
        <v>25</v>
      </c>
      <c r="J41" s="12" t="s">
        <v>26</v>
      </c>
    </row>
    <row r="42" spans="1:10" ht="60" customHeight="1">
      <c r="A42" s="6" t="s">
        <v>120</v>
      </c>
      <c r="B42" s="6" t="s">
        <v>11</v>
      </c>
      <c r="C42" s="6" t="s">
        <v>28</v>
      </c>
      <c r="D42" s="7" t="s">
        <v>11</v>
      </c>
      <c r="E42" s="8" t="s">
        <v>121</v>
      </c>
      <c r="F42" s="6" t="s">
        <v>11</v>
      </c>
      <c r="G42" s="9">
        <f>IF(A42=1,"_",IF(C42="_","???",C42))</f>
        <v/>
      </c>
      <c r="H42" s="10" t="s">
        <v>118</v>
      </c>
      <c r="I42" s="11" t="s">
        <v>31</v>
      </c>
      <c r="J42" s="12" t="s">
        <v>32</v>
      </c>
    </row>
    <row r="43" spans="1:10" ht="60" customHeight="1">
      <c r="A43" s="6" t="s">
        <v>122</v>
      </c>
      <c r="B43" s="6" t="s">
        <v>11</v>
      </c>
      <c r="C43" s="6" t="s">
        <v>123</v>
      </c>
      <c r="D43" s="7" t="s">
        <v>11</v>
      </c>
      <c r="E43" s="8" t="s">
        <v>124</v>
      </c>
      <c r="F43" s="6" t="s">
        <v>11</v>
      </c>
      <c r="G43" s="9">
        <f>IF(A43=1,"_",IF(C43="_","???",C43))</f>
        <v/>
      </c>
      <c r="H43" s="10" t="s">
        <v>120</v>
      </c>
      <c r="I43" s="11" t="s">
        <v>126</v>
      </c>
      <c r="J43" s="12" t="s">
        <v>127</v>
      </c>
    </row>
    <row r="44" spans="1:10" ht="60" customHeight="1">
      <c r="A44" s="6" t="s">
        <v>128</v>
      </c>
      <c r="B44" s="6" t="s">
        <v>11</v>
      </c>
      <c r="C44" s="6" t="s">
        <v>11</v>
      </c>
      <c r="D44" s="7" t="s">
        <v>11</v>
      </c>
      <c r="E44" s="8" t="s">
        <v>129</v>
      </c>
      <c r="F44" s="6" t="s">
        <v>11</v>
      </c>
      <c r="G44" s="9">
        <f>IF(A44=1,"_",IF(C44="_","???",C44))</f>
        <v/>
      </c>
      <c r="H44" s="10" t="s">
        <v>116</v>
      </c>
      <c r="I44" s="11" t="s">
        <v>131</v>
      </c>
      <c r="J44" s="12" t="s">
        <v>132</v>
      </c>
    </row>
    <row r="45" spans="1:10" ht="60" customHeight="1">
      <c r="A45" s="6" t="s">
        <v>133</v>
      </c>
      <c r="B45" s="6" t="s">
        <v>11</v>
      </c>
      <c r="C45" s="6" t="s">
        <v>38</v>
      </c>
      <c r="D45" s="7" t="s">
        <v>11</v>
      </c>
      <c r="E45" s="8" t="s">
        <v>134</v>
      </c>
      <c r="F45" s="6" t="s">
        <v>11</v>
      </c>
      <c r="G45" s="9">
        <f>IF(A45=1,"_",IF(C45="_","???",C45))</f>
        <v/>
      </c>
      <c r="H45" s="10" t="s">
        <v>128</v>
      </c>
      <c r="I45" s="11" t="s">
        <v>41</v>
      </c>
      <c r="J45" s="12" t="s">
        <v>42</v>
      </c>
    </row>
    <row r="46" spans="1:10" ht="60" customHeight="1">
      <c r="A46" s="6" t="s">
        <v>135</v>
      </c>
      <c r="B46" s="6" t="s">
        <v>11</v>
      </c>
      <c r="C46" s="6" t="s">
        <v>68</v>
      </c>
      <c r="D46" s="7" t="s">
        <v>11</v>
      </c>
      <c r="E46" s="8" t="s">
        <v>136</v>
      </c>
      <c r="F46" s="6" t="s">
        <v>11</v>
      </c>
      <c r="G46" s="9">
        <f>IF(A46=1,"_",IF(C46="_","???",C46))</f>
        <v/>
      </c>
      <c r="H46" s="10" t="s">
        <v>133</v>
      </c>
      <c r="I46" s="11" t="s">
        <v>131</v>
      </c>
      <c r="J46" s="12" t="s">
        <v>132</v>
      </c>
    </row>
    <row r="47" spans="1:10" ht="60" customHeight="1">
      <c r="A47" s="6" t="s">
        <v>137</v>
      </c>
      <c r="B47" s="6" t="s">
        <v>11</v>
      </c>
      <c r="C47" s="6" t="s">
        <v>108</v>
      </c>
      <c r="D47" s="7" t="s">
        <v>11</v>
      </c>
      <c r="E47" s="8" t="s">
        <v>138</v>
      </c>
      <c r="F47" s="6" t="s">
        <v>11</v>
      </c>
      <c r="G47" s="9">
        <f>IF(A47=1,"_",IF(C47="_","???",C47))</f>
        <v/>
      </c>
      <c r="H47" s="10" t="s">
        <v>135</v>
      </c>
      <c r="I47" s="11" t="s">
        <v>25</v>
      </c>
      <c r="J47" s="12" t="s">
        <v>26</v>
      </c>
    </row>
    <row r="48" spans="1:10" ht="60" customHeight="1">
      <c r="A48" s="6" t="s">
        <v>139</v>
      </c>
      <c r="B48" s="6" t="s">
        <v>11</v>
      </c>
      <c r="C48" s="6" t="s">
        <v>50</v>
      </c>
      <c r="D48" s="7" t="s">
        <v>11</v>
      </c>
      <c r="E48" s="8" t="s">
        <v>140</v>
      </c>
      <c r="F48" s="6" t="s">
        <v>11</v>
      </c>
      <c r="G48" s="9">
        <f>IF(A48=1,"_",IF(C48="_","???",C48))</f>
        <v/>
      </c>
      <c r="H48" s="10" t="s">
        <v>137</v>
      </c>
      <c r="I48" s="11" t="s">
        <v>25</v>
      </c>
      <c r="J48" s="12" t="s">
        <v>26</v>
      </c>
    </row>
    <row r="49" spans="1:10" ht="60" customHeight="1">
      <c r="A49" s="6" t="s">
        <v>141</v>
      </c>
      <c r="B49" s="6" t="s">
        <v>11</v>
      </c>
      <c r="C49" s="6" t="s">
        <v>11</v>
      </c>
      <c r="D49" s="7" t="s">
        <v>11</v>
      </c>
      <c r="E49" s="8" t="s">
        <v>142</v>
      </c>
      <c r="F49" s="6" t="s">
        <v>11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143</v>
      </c>
      <c r="B50" s="6" t="s">
        <v>11</v>
      </c>
      <c r="C50" s="6" t="s">
        <v>11</v>
      </c>
      <c r="D50" s="7" t="s">
        <v>11</v>
      </c>
      <c r="E50" s="8" t="s">
        <v>144</v>
      </c>
      <c r="F50" s="6" t="s">
        <v>11</v>
      </c>
      <c r="G50" s="9">
        <f>IF(A50=1,"_",IF(C50="_","???",C50))</f>
        <v/>
      </c>
      <c r="H50" s="10" t="s">
        <v>141</v>
      </c>
      <c r="I50" s="11" t="s">
        <v>145</v>
      </c>
      <c r="J50" s="12"/>
    </row>
    <row r="51" spans="1:10" ht="60" customHeight="1">
      <c r="A51" s="6" t="s">
        <v>146</v>
      </c>
      <c r="B51" s="6" t="s">
        <v>11</v>
      </c>
      <c r="C51" s="6" t="s">
        <v>68</v>
      </c>
      <c r="D51" s="7" t="s">
        <v>11</v>
      </c>
      <c r="E51" s="8" t="s">
        <v>147</v>
      </c>
      <c r="F51" s="6" t="s">
        <v>11</v>
      </c>
      <c r="G51" s="9">
        <f>IF(A51=1,"_",IF(C51="_","???",C51))</f>
        <v/>
      </c>
      <c r="H51" s="10" t="s">
        <v>143</v>
      </c>
      <c r="I51" s="11" t="s">
        <v>131</v>
      </c>
      <c r="J51" s="12" t="s">
        <v>132</v>
      </c>
    </row>
    <row r="52" spans="1:10" ht="60" customHeight="1">
      <c r="A52" s="6" t="s">
        <v>148</v>
      </c>
      <c r="B52" s="6" t="s">
        <v>11</v>
      </c>
      <c r="C52" s="6" t="s">
        <v>28</v>
      </c>
      <c r="D52" s="7" t="s">
        <v>11</v>
      </c>
      <c r="E52" s="8" t="s">
        <v>149</v>
      </c>
      <c r="F52" s="6" t="s">
        <v>11</v>
      </c>
      <c r="G52" s="9">
        <f>IF(A52=1,"_",IF(C52="_","???",C52))</f>
        <v/>
      </c>
      <c r="H52" s="10" t="s">
        <v>146</v>
      </c>
      <c r="I52" s="11" t="s">
        <v>31</v>
      </c>
      <c r="J52" s="12" t="s">
        <v>32</v>
      </c>
    </row>
    <row r="53" spans="1:10" ht="60" customHeight="1">
      <c r="A53" s="6" t="s">
        <v>150</v>
      </c>
      <c r="B53" s="6" t="s">
        <v>11</v>
      </c>
      <c r="C53" s="6" t="s">
        <v>11</v>
      </c>
      <c r="D53" s="7" t="s">
        <v>11</v>
      </c>
      <c r="E53" s="8" t="s">
        <v>151</v>
      </c>
      <c r="F53" s="6" t="s">
        <v>11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152</v>
      </c>
      <c r="B54" s="6" t="s">
        <v>11</v>
      </c>
      <c r="C54" s="6" t="s">
        <v>11</v>
      </c>
      <c r="D54" s="7" t="s">
        <v>11</v>
      </c>
      <c r="E54" s="8" t="s">
        <v>153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154</v>
      </c>
      <c r="B55" s="6" t="s">
        <v>11</v>
      </c>
      <c r="C55" s="6" t="s">
        <v>50</v>
      </c>
      <c r="D55" s="7" t="s">
        <v>11</v>
      </c>
      <c r="E55" s="8" t="s">
        <v>155</v>
      </c>
      <c r="F55" s="6" t="s">
        <v>11</v>
      </c>
      <c r="G55" s="9">
        <f>IF(A55=1,"_",IF(C55="_","???",C55))</f>
        <v/>
      </c>
      <c r="H55" s="10" t="s">
        <v>152</v>
      </c>
      <c r="I55" s="11" t="s">
        <v>25</v>
      </c>
      <c r="J55" s="12" t="s">
        <v>26</v>
      </c>
    </row>
    <row r="56" spans="1:10" ht="60" customHeight="1">
      <c r="A56" s="6" t="s">
        <v>156</v>
      </c>
      <c r="B56" s="6" t="s">
        <v>11</v>
      </c>
      <c r="C56" s="6" t="s">
        <v>11</v>
      </c>
      <c r="D56" s="7" t="s">
        <v>11</v>
      </c>
      <c r="E56" s="8" t="s">
        <v>157</v>
      </c>
      <c r="F56" s="6" t="s">
        <v>11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158</v>
      </c>
      <c r="B57" s="6" t="s">
        <v>11</v>
      </c>
      <c r="C57" s="6" t="s">
        <v>11</v>
      </c>
      <c r="D57" s="7" t="s">
        <v>11</v>
      </c>
      <c r="E57" s="8" t="s">
        <v>159</v>
      </c>
      <c r="F57" s="6" t="s">
        <v>11</v>
      </c>
      <c r="G57" s="9">
        <f>IF(A57=1,"_",IF(C57="_","???",C57))</f>
        <v/>
      </c>
      <c r="H57" s="10" t="s">
        <v>156</v>
      </c>
      <c r="I57" s="11" t="s">
        <v>41</v>
      </c>
      <c r="J57" s="12" t="s">
        <v>42</v>
      </c>
    </row>
    <row r="58" spans="1:10" ht="60" customHeight="1">
      <c r="A58" s="6" t="s">
        <v>160</v>
      </c>
      <c r="B58" s="6" t="s">
        <v>11</v>
      </c>
      <c r="C58" s="6" t="s">
        <v>50</v>
      </c>
      <c r="D58" s="7" t="s">
        <v>11</v>
      </c>
      <c r="E58" s="8" t="s">
        <v>161</v>
      </c>
      <c r="F58" s="6" t="s">
        <v>11</v>
      </c>
      <c r="G58" s="9">
        <f>IF(A58=1,"_",IF(C58="_","???",C58))</f>
        <v/>
      </c>
      <c r="H58" s="10" t="s">
        <v>158</v>
      </c>
      <c r="I58" s="11" t="s">
        <v>25</v>
      </c>
      <c r="J58" s="12" t="s">
        <v>26</v>
      </c>
    </row>
    <row r="59" spans="1:10" ht="60" customHeight="1">
      <c r="A59" s="6" t="s">
        <v>162</v>
      </c>
      <c r="B59" s="6" t="s">
        <v>11</v>
      </c>
      <c r="C59" s="6" t="s">
        <v>11</v>
      </c>
      <c r="D59" s="7" t="s">
        <v>11</v>
      </c>
      <c r="E59" s="8" t="s">
        <v>163</v>
      </c>
      <c r="F59" s="6" t="s">
        <v>11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164</v>
      </c>
      <c r="B60" s="6" t="s">
        <v>11</v>
      </c>
      <c r="C60" s="6" t="s">
        <v>28</v>
      </c>
      <c r="D60" s="7" t="s">
        <v>11</v>
      </c>
      <c r="E60" s="8" t="s">
        <v>165</v>
      </c>
      <c r="F60" s="6" t="s">
        <v>11</v>
      </c>
      <c r="G60" s="9">
        <f>IF(A60=1,"_",IF(C60="_","???",C60))</f>
        <v/>
      </c>
      <c r="H60" s="10" t="s">
        <v>160</v>
      </c>
      <c r="I60" s="11" t="s">
        <v>31</v>
      </c>
      <c r="J60" s="12" t="s">
        <v>32</v>
      </c>
    </row>
    <row r="61" spans="1:10" ht="60" customHeight="1">
      <c r="A61" s="6" t="s">
        <v>166</v>
      </c>
      <c r="B61" s="6" t="s">
        <v>11</v>
      </c>
      <c r="C61" s="6" t="s">
        <v>22</v>
      </c>
      <c r="D61" s="7" t="s">
        <v>11</v>
      </c>
      <c r="E61" s="8" t="s">
        <v>167</v>
      </c>
      <c r="F61" s="6" t="s">
        <v>11</v>
      </c>
      <c r="G61" s="9">
        <f>IF(A61=1,"_",IF(C61="_","???",C61))</f>
        <v/>
      </c>
      <c r="H61" s="10" t="s">
        <v>164</v>
      </c>
      <c r="I61" s="11" t="s">
        <v>25</v>
      </c>
      <c r="J61" s="12" t="s">
        <v>26</v>
      </c>
    </row>
    <row r="62" spans="1:10" ht="60" customHeight="1">
      <c r="A62" s="6" t="s">
        <v>168</v>
      </c>
      <c r="B62" s="6" t="s">
        <v>11</v>
      </c>
      <c r="C62" s="6" t="s">
        <v>11</v>
      </c>
      <c r="D62" s="7" t="s">
        <v>11</v>
      </c>
      <c r="E62" s="8" t="s">
        <v>169</v>
      </c>
      <c r="F62" s="6" t="s">
        <v>11</v>
      </c>
      <c r="G62" s="9">
        <f>IF(A62=1,"_",IF(C62="_","???",C62))</f>
        <v/>
      </c>
      <c r="H62" s="10" t="s">
        <v>166</v>
      </c>
      <c r="I62" s="11" t="s">
        <v>55</v>
      </c>
      <c r="J62" s="12" t="s">
        <v>56</v>
      </c>
    </row>
    <row r="63" spans="1:10" ht="60" customHeight="1">
      <c r="A63" s="6" t="s">
        <v>170</v>
      </c>
      <c r="B63" s="6" t="s">
        <v>11</v>
      </c>
      <c r="C63" s="6" t="s">
        <v>11</v>
      </c>
      <c r="D63" s="7" t="s">
        <v>11</v>
      </c>
      <c r="E63" s="8" t="s">
        <v>171</v>
      </c>
      <c r="F63" s="6" t="s">
        <v>11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172</v>
      </c>
      <c r="B64" s="6" t="s">
        <v>11</v>
      </c>
      <c r="C64" s="6" t="s">
        <v>50</v>
      </c>
      <c r="D64" s="7" t="s">
        <v>11</v>
      </c>
      <c r="E64" s="8" t="s">
        <v>173</v>
      </c>
      <c r="F64" s="6" t="s">
        <v>11</v>
      </c>
      <c r="G64" s="9">
        <f>IF(A64=1,"_",IF(C64="_","???",C64))</f>
        <v/>
      </c>
      <c r="H64" s="10" t="s">
        <v>170</v>
      </c>
      <c r="I64" s="11" t="s">
        <v>25</v>
      </c>
      <c r="J64" s="12" t="s">
        <v>26</v>
      </c>
    </row>
    <row r="65" spans="1:10" ht="60" customHeight="1">
      <c r="A65" s="6" t="s">
        <v>174</v>
      </c>
      <c r="B65" s="6" t="s">
        <v>11</v>
      </c>
      <c r="C65" s="6" t="s">
        <v>175</v>
      </c>
      <c r="D65" s="7" t="s">
        <v>11</v>
      </c>
      <c r="E65" s="8" t="s">
        <v>176</v>
      </c>
      <c r="F65" s="6" t="s">
        <v>11</v>
      </c>
      <c r="G65" s="9">
        <f>IF(A65=1,"_",IF(C65="_","???",C65))</f>
        <v/>
      </c>
      <c r="H65" s="10" t="s">
        <v>172</v>
      </c>
      <c r="I65" s="11" t="s">
        <v>41</v>
      </c>
      <c r="J65" s="12" t="s">
        <v>42</v>
      </c>
    </row>
    <row r="66" spans="1:10" ht="60" customHeight="1">
      <c r="A66" s="6" t="s">
        <v>177</v>
      </c>
      <c r="B66" s="6" t="s">
        <v>11</v>
      </c>
      <c r="C66" s="6" t="s">
        <v>123</v>
      </c>
      <c r="D66" s="7" t="s">
        <v>11</v>
      </c>
      <c r="E66" s="8" t="s">
        <v>178</v>
      </c>
      <c r="F66" s="6" t="s">
        <v>11</v>
      </c>
      <c r="G66" s="9">
        <f>IF(A66=1,"_",IF(C66="_","???",C66))</f>
        <v/>
      </c>
      <c r="H66" s="10" t="s">
        <v>174</v>
      </c>
      <c r="I66" s="11" t="s">
        <v>91</v>
      </c>
      <c r="J66" s="12" t="s">
        <v>92</v>
      </c>
    </row>
    <row r="67" spans="1:10" ht="60" customHeight="1">
      <c r="A67" s="6" t="s">
        <v>179</v>
      </c>
      <c r="B67" s="6" t="s">
        <v>11</v>
      </c>
      <c r="C67" s="6" t="s">
        <v>11</v>
      </c>
      <c r="D67" s="7" t="s">
        <v>11</v>
      </c>
      <c r="E67" s="8" t="s">
        <v>180</v>
      </c>
      <c r="F67" s="6" t="s">
        <v>11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181</v>
      </c>
      <c r="B68" s="6" t="s">
        <v>11</v>
      </c>
      <c r="C68" s="6" t="s">
        <v>28</v>
      </c>
      <c r="D68" s="7" t="s">
        <v>11</v>
      </c>
      <c r="E68" s="8" t="s">
        <v>182</v>
      </c>
      <c r="F68" s="6" t="s">
        <v>11</v>
      </c>
      <c r="G68" s="9">
        <f>IF(A68=1,"_",IF(C68="_","???",C68))</f>
        <v/>
      </c>
      <c r="H68" s="10" t="s">
        <v>179</v>
      </c>
      <c r="I68" s="11" t="s">
        <v>31</v>
      </c>
      <c r="J68" s="12" t="s">
        <v>32</v>
      </c>
    </row>
    <row r="69" spans="1:10" ht="60" customHeight="1">
      <c r="A69" s="6" t="s">
        <v>183</v>
      </c>
      <c r="B69" s="6" t="s">
        <v>11</v>
      </c>
      <c r="C69" s="6" t="s">
        <v>50</v>
      </c>
      <c r="D69" s="7" t="s">
        <v>11</v>
      </c>
      <c r="E69" s="8" t="s">
        <v>184</v>
      </c>
      <c r="F69" s="6" t="s">
        <v>11</v>
      </c>
      <c r="G69" s="9">
        <f>IF(A69=1,"_",IF(C69="_","???",C69))</f>
        <v/>
      </c>
      <c r="H69" s="10" t="s">
        <v>181</v>
      </c>
      <c r="I69" s="11" t="s">
        <v>25</v>
      </c>
      <c r="J69" s="12" t="s">
        <v>26</v>
      </c>
    </row>
    <row r="70" spans="1:10" ht="60" customHeight="1">
      <c r="A70" s="6" t="s">
        <v>185</v>
      </c>
      <c r="B70" s="6" t="s">
        <v>11</v>
      </c>
      <c r="C70" s="6" t="s">
        <v>38</v>
      </c>
      <c r="D70" s="7" t="s">
        <v>11</v>
      </c>
      <c r="E70" s="8" t="s">
        <v>186</v>
      </c>
      <c r="F70" s="6" t="s">
        <v>11</v>
      </c>
      <c r="G70" s="9">
        <f>IF(A70=1,"_",IF(C70="_","???",C70))</f>
        <v/>
      </c>
      <c r="H70" s="10" t="s">
        <v>183</v>
      </c>
      <c r="I70" s="11" t="s">
        <v>41</v>
      </c>
      <c r="J70" s="12" t="s">
        <v>42</v>
      </c>
    </row>
    <row r="71" spans="1:10" ht="60" customHeight="1">
      <c r="A71" s="6" t="s">
        <v>187</v>
      </c>
      <c r="B71" s="6" t="s">
        <v>11</v>
      </c>
      <c r="C71" s="6" t="s">
        <v>11</v>
      </c>
      <c r="D71" s="7" t="s">
        <v>11</v>
      </c>
      <c r="E71" s="8" t="s">
        <v>188</v>
      </c>
      <c r="F71" s="6" t="s">
        <v>11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189</v>
      </c>
      <c r="B72" s="6" t="s">
        <v>11</v>
      </c>
      <c r="C72" s="6" t="s">
        <v>11</v>
      </c>
      <c r="D72" s="7" t="s">
        <v>11</v>
      </c>
      <c r="E72" s="8" t="s">
        <v>190</v>
      </c>
      <c r="F72" s="6" t="s">
        <v>11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191</v>
      </c>
      <c r="B73" s="6" t="s">
        <v>11</v>
      </c>
      <c r="C73" s="6" t="s">
        <v>123</v>
      </c>
      <c r="D73" s="7" t="s">
        <v>11</v>
      </c>
      <c r="E73" s="8" t="s">
        <v>192</v>
      </c>
      <c r="F73" s="6" t="s">
        <v>11</v>
      </c>
      <c r="G73" s="9">
        <f>IF(A73=1,"_",IF(C73="_","???",C73))</f>
        <v/>
      </c>
      <c r="H73" s="10" t="s">
        <v>189</v>
      </c>
      <c r="I73" s="11" t="s">
        <v>55</v>
      </c>
      <c r="J73" s="12" t="s">
        <v>56</v>
      </c>
    </row>
    <row r="74" spans="1:10" ht="60" customHeight="1">
      <c r="A74" s="6" t="s">
        <v>193</v>
      </c>
      <c r="B74" s="6" t="s">
        <v>11</v>
      </c>
      <c r="C74" s="6" t="s">
        <v>194</v>
      </c>
      <c r="D74" s="7" t="s">
        <v>11</v>
      </c>
      <c r="E74" s="8" t="s">
        <v>195</v>
      </c>
      <c r="F74" s="6" t="s">
        <v>11</v>
      </c>
      <c r="G74" s="9">
        <f>IF(A74=1,"_",IF(C74="_","???",C74))</f>
        <v/>
      </c>
      <c r="H74" s="10" t="s">
        <v>191</v>
      </c>
      <c r="I74" s="11" t="s">
        <v>25</v>
      </c>
      <c r="J74" s="12" t="s">
        <v>26</v>
      </c>
    </row>
    <row r="75" spans="1:10" ht="60" customHeight="1">
      <c r="A75" s="6" t="s">
        <v>196</v>
      </c>
      <c r="B75" s="6" t="s">
        <v>11</v>
      </c>
      <c r="C75" s="6" t="s">
        <v>11</v>
      </c>
      <c r="D75" s="7" t="s">
        <v>11</v>
      </c>
      <c r="E75" s="8" t="s">
        <v>197</v>
      </c>
      <c r="F75" s="6" t="s">
        <v>11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198</v>
      </c>
      <c r="B76" s="6" t="s">
        <v>11</v>
      </c>
      <c r="C76" s="6" t="s">
        <v>108</v>
      </c>
      <c r="D76" s="7" t="s">
        <v>11</v>
      </c>
      <c r="E76" s="8" t="s">
        <v>199</v>
      </c>
      <c r="F76" s="6" t="s">
        <v>11</v>
      </c>
      <c r="G76" s="9">
        <f>IF(A76=1,"_",IF(C76="_","???",C76))</f>
        <v/>
      </c>
      <c r="H76" s="10" t="s">
        <v>196</v>
      </c>
      <c r="I76" s="11" t="s">
        <v>25</v>
      </c>
      <c r="J76" s="12" t="s">
        <v>26</v>
      </c>
    </row>
    <row r="77" spans="1:10" ht="60" customHeight="1">
      <c r="A77" s="6" t="s">
        <v>200</v>
      </c>
      <c r="B77" s="6" t="s">
        <v>11</v>
      </c>
      <c r="C77" s="6" t="s">
        <v>11</v>
      </c>
      <c r="D77" s="7" t="s">
        <v>11</v>
      </c>
      <c r="E77" s="8" t="s">
        <v>201</v>
      </c>
      <c r="F77" s="6" t="s">
        <v>11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202</v>
      </c>
      <c r="B78" s="6" t="s">
        <v>11</v>
      </c>
      <c r="C78" s="6" t="s">
        <v>28</v>
      </c>
      <c r="D78" s="7" t="s">
        <v>11</v>
      </c>
      <c r="E78" s="8" t="s">
        <v>203</v>
      </c>
      <c r="F78" s="6" t="s">
        <v>11</v>
      </c>
      <c r="G78" s="9">
        <f>IF(A78=1,"_",IF(C78="_","???",C78))</f>
        <v/>
      </c>
      <c r="H78" s="10" t="s">
        <v>200</v>
      </c>
      <c r="I78" s="11" t="s">
        <v>31</v>
      </c>
      <c r="J78" s="12" t="s">
        <v>32</v>
      </c>
    </row>
    <row r="79" spans="1:10" ht="60" customHeight="1">
      <c r="A79" s="6" t="s">
        <v>204</v>
      </c>
      <c r="B79" s="6" t="s">
        <v>11</v>
      </c>
      <c r="C79" s="6" t="s">
        <v>11</v>
      </c>
      <c r="D79" s="7" t="s">
        <v>11</v>
      </c>
      <c r="E79" s="8" t="s">
        <v>205</v>
      </c>
      <c r="F79" s="6" t="s">
        <v>11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206</v>
      </c>
      <c r="B80" s="6" t="s">
        <v>11</v>
      </c>
      <c r="C80" s="6" t="s">
        <v>28</v>
      </c>
      <c r="D80" s="7" t="s">
        <v>11</v>
      </c>
      <c r="E80" s="8" t="s">
        <v>207</v>
      </c>
      <c r="F80" s="6" t="s">
        <v>11</v>
      </c>
      <c r="G80" s="9">
        <f>IF(A80=1,"_",IF(C80="_","???",C80))</f>
        <v/>
      </c>
      <c r="H80" s="10" t="s">
        <v>204</v>
      </c>
      <c r="I80" s="11" t="s">
        <v>31</v>
      </c>
      <c r="J80" s="12" t="s">
        <v>32</v>
      </c>
    </row>
    <row r="81" spans="1:10" ht="60" customHeight="1">
      <c r="A81" s="6" t="s">
        <v>208</v>
      </c>
      <c r="B81" s="6" t="s">
        <v>11</v>
      </c>
      <c r="C81" s="6" t="s">
        <v>209</v>
      </c>
      <c r="D81" s="7" t="s">
        <v>11</v>
      </c>
      <c r="E81" s="8" t="s">
        <v>210</v>
      </c>
      <c r="F81" s="6" t="s">
        <v>11</v>
      </c>
      <c r="G81" s="9">
        <f>IF(A81=1,"_",IF(C81="_","???",C81))</f>
        <v/>
      </c>
      <c r="H81" s="10" t="s">
        <v>206</v>
      </c>
      <c r="I81" s="11" t="s">
        <v>131</v>
      </c>
      <c r="J81" s="12" t="s">
        <v>132</v>
      </c>
    </row>
    <row r="82" spans="1:10" ht="60" customHeight="1">
      <c r="A82" s="6" t="s">
        <v>211</v>
      </c>
      <c r="B82" s="6" t="s">
        <v>11</v>
      </c>
      <c r="C82" s="6" t="s">
        <v>11</v>
      </c>
      <c r="D82" s="7" t="s">
        <v>11</v>
      </c>
      <c r="E82" s="8" t="s">
        <v>212</v>
      </c>
      <c r="F82" s="6" t="s">
        <v>11</v>
      </c>
      <c r="G82" s="9">
        <f>IF(A82=1,"_",IF(C82="_","???",C82))</f>
        <v/>
      </c>
      <c r="H82" s="10" t="s">
        <v>11</v>
      </c>
      <c r="I82" s="11" t="s">
        <v>11</v>
      </c>
      <c r="J8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213</v>
      </c>
      <c r="B1" s="13" t="s">
        <v>214</v>
      </c>
      <c r="C1" s="13" t="s">
        <v>215</v>
      </c>
      <c r="D1" s="13" t="s">
        <v>216</v>
      </c>
      <c r="E1" s="14" t="s">
        <v>217</v>
      </c>
      <c r="F1" s="15" t="s">
        <v>218</v>
      </c>
      <c r="G1" s="16" t="s">
        <v>219</v>
      </c>
      <c r="H1" s="17" t="s">
        <v>220</v>
      </c>
      <c r="I1" s="18" t="s">
        <v>221</v>
      </c>
      <c r="J1" s="18" t="s">
        <v>222</v>
      </c>
      <c r="K1" s="18" t="s">
        <v>223</v>
      </c>
      <c r="L1" s="19" t="s">
        <v>9</v>
      </c>
    </row>
    <row r="2" spans="1:12">
      <c r="A2" s="20" t="s">
        <v>224</v>
      </c>
    </row>
    <row r="3" spans="1:12">
      <c r="A3" s="20" t="s">
        <v>225</v>
      </c>
      <c r="B3" s="21" t="s">
        <v>226</v>
      </c>
      <c r="C3" s="21" t="s">
        <v>227</v>
      </c>
      <c r="D3" s="21" t="s">
        <v>228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229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230</v>
      </c>
      <c r="B5" s="21" t="s">
        <v>231</v>
      </c>
      <c r="C5" s="21" t="s">
        <v>227</v>
      </c>
      <c r="D5" s="21" t="s">
        <v>228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232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233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234</v>
      </c>
      <c r="B8" s="21" t="s">
        <v>235</v>
      </c>
      <c r="C8" s="21" t="s">
        <v>236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237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238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239</v>
      </c>
      <c r="B11" s="21" t="s">
        <v>240</v>
      </c>
      <c r="C11" s="21" t="s">
        <v>227</v>
      </c>
      <c r="D11" s="21" t="s">
        <v>228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241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242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243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244</v>
      </c>
      <c r="B15" s="21" t="s">
        <v>245</v>
      </c>
      <c r="C15" s="21" t="s">
        <v>246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247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248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249</v>
      </c>
      <c r="B18" s="21" t="s">
        <v>245</v>
      </c>
      <c r="C18" s="21" t="s">
        <v>250</v>
      </c>
      <c r="D18" s="21" t="s">
        <v>228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251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252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253</v>
      </c>
      <c r="B21" s="21" t="s">
        <v>254</v>
      </c>
      <c r="C21" s="21" t="s">
        <v>236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247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255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256</v>
      </c>
      <c r="B24" s="21" t="s">
        <v>257</v>
      </c>
      <c r="C24" s="21" t="s">
        <v>258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259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260</v>
      </c>
      <c r="B26" s="21" t="s">
        <v>261</v>
      </c>
      <c r="C26" s="21" t="s">
        <v>250</v>
      </c>
      <c r="D26" s="21" t="s">
        <v>228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262</v>
      </c>
      <c r="B27" s="21" t="s">
        <v>263</v>
      </c>
      <c r="C27" s="21" t="s">
        <v>264</v>
      </c>
      <c r="D27" s="21" t="s">
        <v>228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265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266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267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268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/>
    </row>
    <row r="33" spans="1:12">
      <c r="A33" s="20" t="s">
        <v>269</v>
      </c>
    </row>
    <row r="34" spans="1:12">
      <c r="A34" s="20" t="s">
        <v>225</v>
      </c>
      <c r="B34" s="21" t="s">
        <v>226</v>
      </c>
      <c r="C34" s="21" t="s">
        <v>227</v>
      </c>
      <c r="D34" s="21" t="s">
        <v>228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270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271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272</v>
      </c>
      <c r="B37" s="21" t="s">
        <v>231</v>
      </c>
      <c r="C37" s="21" t="s">
        <v>273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274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275</v>
      </c>
      <c r="B39" s="21" t="s">
        <v>245</v>
      </c>
      <c r="C39" s="21" t="s">
        <v>227</v>
      </c>
      <c r="D39" s="21" t="s">
        <v>228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268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/>
    </row>
    <row r="42" spans="1:12">
      <c r="A42" s="20" t="s">
        <v>276</v>
      </c>
    </row>
    <row r="43" spans="1:12">
      <c r="A43" s="20" t="s">
        <v>277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259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278</v>
      </c>
      <c r="B45" s="21" t="s">
        <v>240</v>
      </c>
      <c r="C45" s="21" t="s">
        <v>250</v>
      </c>
      <c r="D45" s="21" t="s">
        <v>228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279</v>
      </c>
      <c r="B46" s="21" t="s">
        <v>254</v>
      </c>
      <c r="C46" s="21" t="s">
        <v>264</v>
      </c>
      <c r="D46" s="21" t="s">
        <v>228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280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281</v>
      </c>
      <c r="B48" s="21" t="s">
        <v>240</v>
      </c>
      <c r="C48" s="21" t="s">
        <v>273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282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283</v>
      </c>
      <c r="B50" s="21" t="s">
        <v>284</v>
      </c>
      <c r="C50" s="21" t="s">
        <v>250</v>
      </c>
      <c r="D50" s="21" t="s">
        <v>228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285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286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287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288</v>
      </c>
      <c r="B54" s="21" t="s">
        <v>245</v>
      </c>
      <c r="C54" s="21" t="s">
        <v>246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289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290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237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291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239</v>
      </c>
      <c r="B59" s="21" t="s">
        <v>226</v>
      </c>
      <c r="C59" s="21" t="s">
        <v>227</v>
      </c>
      <c r="D59" s="21" t="s">
        <v>228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292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293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282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283</v>
      </c>
      <c r="B63" s="21" t="s">
        <v>226</v>
      </c>
      <c r="C63" s="21" t="s">
        <v>250</v>
      </c>
      <c r="D63" s="21" t="s">
        <v>228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285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294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295</v>
      </c>
      <c r="B66" s="21" t="s">
        <v>245</v>
      </c>
      <c r="C66" s="21" t="s">
        <v>250</v>
      </c>
      <c r="D66" s="21" t="s">
        <v>228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268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/>
    </row>
    <row r="69" spans="1:12">
      <c r="A69" s="20" t="s">
        <v>296</v>
      </c>
    </row>
    <row r="70" spans="1:12">
      <c r="A70" s="20" t="s">
        <v>297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298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230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299</v>
      </c>
      <c r="B73" s="21" t="s">
        <v>245</v>
      </c>
      <c r="C73" s="21" t="s">
        <v>273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300</v>
      </c>
      <c r="B74" s="21" t="s">
        <v>226</v>
      </c>
      <c r="C74" s="21" t="s">
        <v>301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302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303</v>
      </c>
      <c r="B76" s="21" t="s">
        <v>245</v>
      </c>
      <c r="C76" s="21" t="s">
        <v>236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237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282</v>
      </c>
      <c r="B78" s="21" t="s">
        <v>304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305</v>
      </c>
      <c r="B79" s="21" t="s">
        <v>306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307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241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286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308</v>
      </c>
      <c r="B83" s="21" t="s">
        <v>254</v>
      </c>
      <c r="C83" s="21" t="s">
        <v>246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309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268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310</v>
      </c>
    </row>
    <row r="88" spans="1:12">
      <c r="A88" s="20" t="s">
        <v>225</v>
      </c>
      <c r="B88" s="21" t="s">
        <v>226</v>
      </c>
      <c r="C88" s="21" t="s">
        <v>227</v>
      </c>
      <c r="D88" s="21" t="s">
        <v>228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311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312</v>
      </c>
      <c r="B90" s="21" t="s">
        <v>231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237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238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239</v>
      </c>
      <c r="B93" s="21" t="s">
        <v>240</v>
      </c>
      <c r="C93" s="21" t="s">
        <v>227</v>
      </c>
      <c r="D93" s="21" t="s">
        <v>228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313</v>
      </c>
      <c r="B94" s="21" t="s">
        <v>284</v>
      </c>
      <c r="C94" s="21" t="s">
        <v>314</v>
      </c>
      <c r="D94" s="21" t="s">
        <v>228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315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316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237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317</v>
      </c>
      <c r="B98" s="21" t="s">
        <v>240</v>
      </c>
      <c r="C98" s="21" t="s">
        <v>314</v>
      </c>
      <c r="D98" s="21" t="s">
        <v>228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313</v>
      </c>
      <c r="B99" s="21" t="s">
        <v>284</v>
      </c>
      <c r="C99" s="21" t="s">
        <v>314</v>
      </c>
      <c r="D99" s="21" t="s">
        <v>228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274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318</v>
      </c>
      <c r="B101" s="21" t="s">
        <v>254</v>
      </c>
      <c r="C101" s="21" t="s">
        <v>319</v>
      </c>
      <c r="D101" s="21" t="s">
        <v>228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320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321</v>
      </c>
      <c r="B103" s="21" t="s">
        <v>245</v>
      </c>
      <c r="C103" s="21" t="s">
        <v>322</v>
      </c>
      <c r="D103" s="21" t="s">
        <v>228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323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268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/>
    </row>
    <row r="107" spans="1:12">
      <c r="A107" s="20" t="s">
        <v>324</v>
      </c>
    </row>
    <row r="108" spans="1:12">
      <c r="A108" s="20" t="s">
        <v>325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326</v>
      </c>
      <c r="B109" s="21" t="s">
        <v>240</v>
      </c>
      <c r="C109" s="21" t="s">
        <v>273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327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328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313</v>
      </c>
      <c r="B114" s="21" t="s">
        <v>304</v>
      </c>
      <c r="C114" s="21" t="s">
        <v>314</v>
      </c>
      <c r="D114" s="21" t="s">
        <v>228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274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275</v>
      </c>
      <c r="B116" s="21" t="s">
        <v>245</v>
      </c>
      <c r="C116" s="21" t="s">
        <v>227</v>
      </c>
      <c r="D116" s="21" t="s">
        <v>228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329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237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330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326</v>
      </c>
      <c r="B120" s="21" t="s">
        <v>226</v>
      </c>
      <c r="C120" s="21" t="s">
        <v>273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230</v>
      </c>
      <c r="B121" s="21" t="s">
        <v>231</v>
      </c>
      <c r="C121" s="21" t="s">
        <v>227</v>
      </c>
      <c r="D121" s="21" t="s">
        <v>228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331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327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332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268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333</v>
      </c>
    </row>
    <row r="128" spans="1:12">
      <c r="A128" s="20" t="s">
        <v>334</v>
      </c>
      <c r="B128" s="21" t="s">
        <v>226</v>
      </c>
      <c r="C128" s="21" t="s">
        <v>227</v>
      </c>
      <c r="D128" s="21" t="s">
        <v>228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335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336</v>
      </c>
      <c r="B130" s="21" t="s">
        <v>231</v>
      </c>
      <c r="C130" s="21" t="s">
        <v>227</v>
      </c>
      <c r="D130" s="21" t="s">
        <v>228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237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238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299</v>
      </c>
      <c r="B133" s="21" t="s">
        <v>240</v>
      </c>
      <c r="C133" s="21" t="s">
        <v>273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327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248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337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237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317</v>
      </c>
      <c r="B138" s="21" t="s">
        <v>306</v>
      </c>
      <c r="C138" s="21" t="s">
        <v>314</v>
      </c>
      <c r="D138" s="21" t="s">
        <v>228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313</v>
      </c>
      <c r="B139" s="21" t="s">
        <v>304</v>
      </c>
      <c r="C139" s="21" t="s">
        <v>314</v>
      </c>
      <c r="D139" s="21" t="s">
        <v>228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305</v>
      </c>
      <c r="B140" s="21" t="s">
        <v>306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338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290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268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339</v>
      </c>
    </row>
    <row r="146" spans="1:12">
      <c r="A146" s="20" t="s">
        <v>340</v>
      </c>
      <c r="B146" s="21" t="s">
        <v>245</v>
      </c>
      <c r="C146" s="21" t="s">
        <v>273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259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321</v>
      </c>
      <c r="B148" s="21" t="s">
        <v>226</v>
      </c>
      <c r="C148" s="21" t="s">
        <v>250</v>
      </c>
      <c r="D148" s="21" t="s">
        <v>228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341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342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271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343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241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344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345</v>
      </c>
      <c r="B155" s="21" t="s">
        <v>235</v>
      </c>
      <c r="C155" s="21" t="s">
        <v>250</v>
      </c>
      <c r="D155" s="21" t="s">
        <v>228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237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238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313</v>
      </c>
      <c r="B158" s="21" t="s">
        <v>240</v>
      </c>
      <c r="C158" s="21" t="s">
        <v>314</v>
      </c>
      <c r="D158" s="21" t="s">
        <v>228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313</v>
      </c>
      <c r="B159" s="21" t="s">
        <v>240</v>
      </c>
      <c r="C159" s="21" t="s">
        <v>314</v>
      </c>
      <c r="D159" s="21" t="s">
        <v>228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346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248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347</v>
      </c>
      <c r="B162" s="21" t="s">
        <v>245</v>
      </c>
      <c r="C162" s="21" t="s">
        <v>250</v>
      </c>
      <c r="D162" s="21" t="s">
        <v>228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241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286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348</v>
      </c>
      <c r="B165" s="21" t="s">
        <v>245</v>
      </c>
      <c r="C165" s="21" t="s">
        <v>246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349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237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302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350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351</v>
      </c>
      <c r="B170" s="21" t="s">
        <v>304</v>
      </c>
      <c r="C170" s="21" t="s">
        <v>246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282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352</v>
      </c>
      <c r="B172" s="21" t="s">
        <v>306</v>
      </c>
      <c r="C172" s="21" t="s">
        <v>250</v>
      </c>
      <c r="D172" s="21" t="s">
        <v>228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353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237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354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313</v>
      </c>
      <c r="B176" s="21" t="s">
        <v>304</v>
      </c>
      <c r="C176" s="21" t="s">
        <v>314</v>
      </c>
      <c r="D176" s="21" t="s">
        <v>228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355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356</v>
      </c>
      <c r="B178" s="21" t="s">
        <v>306</v>
      </c>
      <c r="C178" s="21" t="s">
        <v>246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357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268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/>
    </row>
    <row r="182" spans="1:12">
      <c r="A182" s="20" t="s">
        <v>358</v>
      </c>
    </row>
    <row r="183" spans="1:12">
      <c r="A183" s="20" t="s">
        <v>359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360</v>
      </c>
      <c r="B184" s="21" t="s">
        <v>245</v>
      </c>
      <c r="C184" s="21" t="s">
        <v>319</v>
      </c>
      <c r="D184" s="21" t="s">
        <v>228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361</v>
      </c>
      <c r="B185" s="21" t="s">
        <v>235</v>
      </c>
      <c r="C185" s="21" t="s">
        <v>322</v>
      </c>
      <c r="D185" s="21" t="s">
        <v>228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362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305</v>
      </c>
      <c r="B187" s="21" t="s">
        <v>231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363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364</v>
      </c>
      <c r="B189" s="21" t="s">
        <v>226</v>
      </c>
      <c r="C189" s="21" t="s">
        <v>246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365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366</v>
      </c>
      <c r="B191" s="21" t="s">
        <v>235</v>
      </c>
      <c r="C191" s="21" t="s">
        <v>236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302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367</v>
      </c>
      <c r="B193" s="21" t="s">
        <v>245</v>
      </c>
      <c r="C193" s="21" t="s">
        <v>236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268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/>
    </row>
    <row r="196" spans="1:12">
      <c r="A196" s="20" t="s">
        <v>368</v>
      </c>
    </row>
    <row r="197" spans="1:12">
      <c r="A197" s="20" t="s">
        <v>225</v>
      </c>
      <c r="B197" s="21" t="s">
        <v>226</v>
      </c>
      <c r="C197" s="21" t="s">
        <v>227</v>
      </c>
      <c r="D197" s="21" t="s">
        <v>228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357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238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366</v>
      </c>
      <c r="B201" s="21" t="s">
        <v>240</v>
      </c>
      <c r="C201" s="21" t="s">
        <v>236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369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370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361</v>
      </c>
      <c r="B204" s="21" t="s">
        <v>235</v>
      </c>
      <c r="C204" s="21" t="s">
        <v>258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371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268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/>
    </row>
    <row r="208" spans="1:12">
      <c r="A208" s="20" t="s">
        <v>372</v>
      </c>
    </row>
    <row r="209" spans="1:12">
      <c r="A209" s="20" t="s">
        <v>373</v>
      </c>
      <c r="B209" s="21" t="s">
        <v>284</v>
      </c>
      <c r="C209" s="21" t="s">
        <v>314</v>
      </c>
      <c r="D209" s="21" t="s">
        <v>228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374</v>
      </c>
      <c r="B210" s="21" t="s">
        <v>240</v>
      </c>
      <c r="C210" s="21" t="s">
        <v>314</v>
      </c>
      <c r="D210" s="21" t="s">
        <v>228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375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376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377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237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371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367</v>
      </c>
      <c r="B216" s="21" t="s">
        <v>235</v>
      </c>
      <c r="C216" s="21" t="s">
        <v>236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302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378</v>
      </c>
      <c r="B218" s="21" t="s">
        <v>235</v>
      </c>
      <c r="C218" s="21" t="s">
        <v>236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268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379</v>
      </c>
    </row>
    <row r="222" spans="1:12">
      <c r="A222" s="20" t="s">
        <v>380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381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371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282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382</v>
      </c>
      <c r="B226" s="21" t="s">
        <v>226</v>
      </c>
      <c r="C226" s="21" t="s">
        <v>250</v>
      </c>
      <c r="D226" s="21" t="s">
        <v>228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383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373</v>
      </c>
      <c r="B228" s="21" t="s">
        <v>226</v>
      </c>
      <c r="C228" s="21" t="s">
        <v>314</v>
      </c>
      <c r="D228" s="21" t="s">
        <v>228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384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385</v>
      </c>
      <c r="B230" s="21" t="s">
        <v>231</v>
      </c>
      <c r="C230" s="21" t="s">
        <v>314</v>
      </c>
      <c r="D230" s="21" t="s">
        <v>228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386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237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366</v>
      </c>
      <c r="B233" s="21" t="s">
        <v>284</v>
      </c>
      <c r="C233" s="21" t="s">
        <v>236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241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378</v>
      </c>
      <c r="B235" s="21" t="s">
        <v>245</v>
      </c>
      <c r="C235" s="21" t="s">
        <v>236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346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387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388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/>
    </row>
    <row r="240" spans="1:12">
      <c r="A240" s="20" t="s">
        <v>389</v>
      </c>
    </row>
    <row r="241" spans="1:12">
      <c r="A241" s="20" t="s">
        <v>390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391</v>
      </c>
      <c r="B242" s="21" t="s">
        <v>245</v>
      </c>
      <c r="C242" s="21" t="s">
        <v>319</v>
      </c>
      <c r="D242" s="21" t="s">
        <v>228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382</v>
      </c>
      <c r="B243" s="21" t="s">
        <v>235</v>
      </c>
      <c r="C243" s="21" t="s">
        <v>322</v>
      </c>
      <c r="D243" s="21" t="s">
        <v>228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392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239</v>
      </c>
      <c r="B245" s="21" t="s">
        <v>226</v>
      </c>
      <c r="C245" s="21" t="s">
        <v>227</v>
      </c>
      <c r="D245" s="21" t="s">
        <v>228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312</v>
      </c>
      <c r="B246" s="21" t="s">
        <v>231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393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394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268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/>
    </row>
    <row r="251" spans="1:12">
      <c r="A251" s="20" t="s">
        <v>395</v>
      </c>
    </row>
    <row r="252" spans="1:12">
      <c r="A252" s="20" t="s">
        <v>225</v>
      </c>
      <c r="B252" s="21" t="s">
        <v>226</v>
      </c>
      <c r="C252" s="21" t="s">
        <v>227</v>
      </c>
      <c r="D252" s="21" t="s">
        <v>228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396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237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313</v>
      </c>
      <c r="B255" s="21" t="s">
        <v>240</v>
      </c>
      <c r="C255" s="21" t="s">
        <v>314</v>
      </c>
      <c r="D255" s="21" t="s">
        <v>228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397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237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398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374</v>
      </c>
      <c r="B259" s="21" t="s">
        <v>304</v>
      </c>
      <c r="C259" s="21" t="s">
        <v>314</v>
      </c>
      <c r="D259" s="21" t="s">
        <v>228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344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399</v>
      </c>
      <c r="B261" s="21" t="s">
        <v>304</v>
      </c>
      <c r="C261" s="21" t="s">
        <v>250</v>
      </c>
      <c r="D261" s="21" t="s">
        <v>228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400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401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11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402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403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404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268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405</v>
      </c>
    </row>
    <row r="271" spans="1:12">
      <c r="A271" s="20" t="s">
        <v>225</v>
      </c>
      <c r="B271" s="21" t="s">
        <v>226</v>
      </c>
      <c r="C271" s="21" t="s">
        <v>227</v>
      </c>
      <c r="D271" s="21" t="s">
        <v>228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406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230</v>
      </c>
      <c r="B273" s="21" t="s">
        <v>226</v>
      </c>
      <c r="C273" s="21" t="s">
        <v>227</v>
      </c>
      <c r="D273" s="21" t="s">
        <v>228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346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407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232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239</v>
      </c>
      <c r="B278" s="21" t="s">
        <v>240</v>
      </c>
      <c r="C278" s="21" t="s">
        <v>227</v>
      </c>
      <c r="D278" s="21" t="s">
        <v>228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400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408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409</v>
      </c>
      <c r="B281" s="21" t="s">
        <v>306</v>
      </c>
      <c r="C281" s="21" t="s">
        <v>258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241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248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410</v>
      </c>
      <c r="B284" s="21" t="s">
        <v>254</v>
      </c>
      <c r="C284" s="21" t="s">
        <v>264</v>
      </c>
      <c r="D284" s="21" t="s">
        <v>228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299</v>
      </c>
      <c r="B285" s="21" t="s">
        <v>257</v>
      </c>
      <c r="C285" s="21" t="s">
        <v>273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411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11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412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413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414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237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415</v>
      </c>
      <c r="B292" s="21" t="s">
        <v>245</v>
      </c>
      <c r="C292" s="21" t="s">
        <v>273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416</v>
      </c>
      <c r="B293" s="21" t="s">
        <v>231</v>
      </c>
      <c r="C293" s="21" t="s">
        <v>301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237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417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344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418</v>
      </c>
      <c r="B297" s="21" t="s">
        <v>235</v>
      </c>
      <c r="C297" s="21" t="s">
        <v>250</v>
      </c>
      <c r="D297" s="21" t="s">
        <v>228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230</v>
      </c>
      <c r="B298" s="21" t="s">
        <v>231</v>
      </c>
      <c r="C298" s="21" t="s">
        <v>227</v>
      </c>
      <c r="D298" s="21" t="s">
        <v>228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419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237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247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259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420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421</v>
      </c>
      <c r="B304" s="21" t="s">
        <v>245</v>
      </c>
      <c r="C304" s="21" t="s">
        <v>250</v>
      </c>
      <c r="D304" s="21" t="s">
        <v>228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274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422</v>
      </c>
      <c r="B306" s="21" t="s">
        <v>254</v>
      </c>
      <c r="C306" s="21" t="s">
        <v>264</v>
      </c>
      <c r="D306" s="21" t="s">
        <v>228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237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247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248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423</v>
      </c>
      <c r="B310" s="21" t="s">
        <v>254</v>
      </c>
      <c r="C310" s="21" t="s">
        <v>264</v>
      </c>
      <c r="D310" s="21" t="s">
        <v>228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424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259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425</v>
      </c>
      <c r="B314" s="21" t="s">
        <v>257</v>
      </c>
      <c r="C314" s="21" t="s">
        <v>264</v>
      </c>
      <c r="D314" s="21" t="s">
        <v>228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11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426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268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/>
    </row>
    <row r="319" spans="1:12">
      <c r="A319" s="20" t="s">
        <v>427</v>
      </c>
    </row>
    <row r="320" spans="1:12">
      <c r="A320" s="20" t="s">
        <v>225</v>
      </c>
      <c r="B320" s="21" t="s">
        <v>226</v>
      </c>
      <c r="C320" s="21" t="s">
        <v>227</v>
      </c>
      <c r="D320" s="21" t="s">
        <v>228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419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428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237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317</v>
      </c>
      <c r="B324" s="21" t="s">
        <v>240</v>
      </c>
      <c r="C324" s="21" t="s">
        <v>314</v>
      </c>
      <c r="D324" s="21" t="s">
        <v>228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344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429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430</v>
      </c>
      <c r="B327" s="21" t="s">
        <v>235</v>
      </c>
      <c r="C327" s="21" t="s">
        <v>250</v>
      </c>
      <c r="D327" s="21" t="s">
        <v>228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431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432</v>
      </c>
      <c r="B329" s="21" t="s">
        <v>254</v>
      </c>
      <c r="C329" s="21" t="s">
        <v>314</v>
      </c>
      <c r="D329" s="21" t="s">
        <v>228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433</v>
      </c>
      <c r="B330" s="21" t="s">
        <v>245</v>
      </c>
      <c r="C330" s="21" t="s">
        <v>236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371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237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282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434</v>
      </c>
      <c r="B334" s="21" t="s">
        <v>245</v>
      </c>
      <c r="C334" s="21" t="s">
        <v>250</v>
      </c>
      <c r="D334" s="21" t="s">
        <v>228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237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238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326</v>
      </c>
      <c r="B337" s="21" t="s">
        <v>435</v>
      </c>
      <c r="C337" s="21" t="s">
        <v>273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237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436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437</v>
      </c>
      <c r="B341" s="21" t="s">
        <v>438</v>
      </c>
      <c r="C341" s="21" t="s">
        <v>250</v>
      </c>
      <c r="D341" s="21" t="s">
        <v>228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439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346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440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237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365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441</v>
      </c>
      <c r="B347" s="21" t="s">
        <v>257</v>
      </c>
      <c r="C347" s="21" t="s">
        <v>273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442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443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237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344</v>
      </c>
      <c r="B351" s="21" t="s">
        <v>435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441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444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445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268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446</v>
      </c>
    </row>
    <row r="358" spans="1:12">
      <c r="A358" s="20" t="s">
        <v>225</v>
      </c>
      <c r="B358" s="21" t="s">
        <v>226</v>
      </c>
      <c r="C358" s="21" t="s">
        <v>227</v>
      </c>
      <c r="D358" s="21" t="s">
        <v>228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447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448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449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346</v>
      </c>
      <c r="B363" s="21" t="s">
        <v>245</v>
      </c>
      <c r="C363" s="21" t="s">
        <v>273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237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417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259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450</v>
      </c>
      <c r="B367" s="21" t="s">
        <v>235</v>
      </c>
      <c r="C367" s="21" t="s">
        <v>250</v>
      </c>
      <c r="D367" s="21" t="s">
        <v>228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282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416</v>
      </c>
      <c r="B369" s="21" t="s">
        <v>226</v>
      </c>
      <c r="C369" s="21" t="s">
        <v>250</v>
      </c>
      <c r="D369" s="21" t="s">
        <v>228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241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451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452</v>
      </c>
      <c r="B372" s="21" t="s">
        <v>245</v>
      </c>
      <c r="C372" s="21" t="s">
        <v>246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453</v>
      </c>
      <c r="B373" s="21" t="s">
        <v>254</v>
      </c>
      <c r="C373" s="21" t="s">
        <v>264</v>
      </c>
      <c r="D373" s="21" t="s">
        <v>228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454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302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313</v>
      </c>
      <c r="B376" s="21" t="s">
        <v>240</v>
      </c>
      <c r="C376" s="21" t="s">
        <v>314</v>
      </c>
      <c r="D376" s="21" t="s">
        <v>228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455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255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456</v>
      </c>
      <c r="B379" s="21" t="s">
        <v>245</v>
      </c>
      <c r="C379" s="21" t="s">
        <v>258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457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458</v>
      </c>
      <c r="B381" s="21" t="s">
        <v>245</v>
      </c>
      <c r="C381" s="21" t="s">
        <v>236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459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268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/>
    </row>
    <row r="385" spans="1:12">
      <c r="A385" s="20" t="s">
        <v>460</v>
      </c>
    </row>
    <row r="386" spans="1:12">
      <c r="A386" s="20" t="s">
        <v>340</v>
      </c>
      <c r="B386" s="21" t="s">
        <v>226</v>
      </c>
      <c r="C386" s="21" t="s">
        <v>273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323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461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462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463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464</v>
      </c>
      <c r="B391" s="21" t="s">
        <v>231</v>
      </c>
      <c r="C391" s="21" t="s">
        <v>258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241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259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465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466</v>
      </c>
      <c r="B395" s="21" t="s">
        <v>235</v>
      </c>
      <c r="C395" s="21" t="s">
        <v>250</v>
      </c>
      <c r="D395" s="21" t="s">
        <v>228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302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467</v>
      </c>
      <c r="B397" s="21" t="s">
        <v>245</v>
      </c>
      <c r="C397" s="21" t="s">
        <v>236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455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468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469</v>
      </c>
      <c r="B400" s="21" t="s">
        <v>235</v>
      </c>
      <c r="C400" s="21" t="s">
        <v>236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241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259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470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268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/>
    </row>
    <row r="406" spans="1:12">
      <c r="A406" s="20" t="s">
        <v>471</v>
      </c>
    </row>
    <row r="407" spans="1:12">
      <c r="A407" s="20" t="s">
        <v>472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313</v>
      </c>
      <c r="B408" s="21" t="s">
        <v>226</v>
      </c>
      <c r="C408" s="21" t="s">
        <v>314</v>
      </c>
      <c r="D408" s="21" t="s">
        <v>228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473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474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247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336</v>
      </c>
      <c r="B412" s="21" t="s">
        <v>235</v>
      </c>
      <c r="C412" s="21" t="s">
        <v>227</v>
      </c>
      <c r="D412" s="21" t="s">
        <v>228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475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237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375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313</v>
      </c>
      <c r="B416" s="21" t="s">
        <v>240</v>
      </c>
      <c r="C416" s="21" t="s">
        <v>314</v>
      </c>
      <c r="D416" s="21" t="s">
        <v>228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476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312</v>
      </c>
      <c r="B418" s="21" t="s">
        <v>284</v>
      </c>
      <c r="C418" s="21" t="s">
        <v>227</v>
      </c>
      <c r="D418" s="21" t="s">
        <v>228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237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477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313</v>
      </c>
      <c r="B421" s="21" t="s">
        <v>240</v>
      </c>
      <c r="C421" s="21" t="s">
        <v>314</v>
      </c>
      <c r="D421" s="21" t="s">
        <v>228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346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248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478</v>
      </c>
      <c r="B424" s="21" t="s">
        <v>245</v>
      </c>
      <c r="C424" s="21" t="s">
        <v>250</v>
      </c>
      <c r="D424" s="21" t="s">
        <v>228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473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237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302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479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480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327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481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482</v>
      </c>
      <c r="B432" s="21" t="s">
        <v>245</v>
      </c>
      <c r="C432" s="21" t="s">
        <v>236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237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483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481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484</v>
      </c>
      <c r="B436" s="21" t="s">
        <v>235</v>
      </c>
      <c r="C436" s="21" t="s">
        <v>236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237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485</v>
      </c>
      <c r="B438" s="21" t="s">
        <v>245</v>
      </c>
      <c r="C438" s="21" t="s">
        <v>236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237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417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239</v>
      </c>
      <c r="B441" s="21" t="s">
        <v>304</v>
      </c>
      <c r="C441" s="21" t="s">
        <v>227</v>
      </c>
      <c r="D441" s="21" t="s">
        <v>228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486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237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487</v>
      </c>
      <c r="B444" s="21" t="s">
        <v>488</v>
      </c>
      <c r="C444" s="21" t="s">
        <v>236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251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282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489</v>
      </c>
      <c r="B447" s="21" t="s">
        <v>257</v>
      </c>
      <c r="C447" s="21" t="s">
        <v>250</v>
      </c>
      <c r="D447" s="21" t="s">
        <v>228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237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275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437</v>
      </c>
      <c r="B450" s="21" t="s">
        <v>488</v>
      </c>
      <c r="C450" s="21" t="s">
        <v>246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346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440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268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490</v>
      </c>
    </row>
    <row r="456" spans="1:12">
      <c r="A456" s="20" t="s">
        <v>225</v>
      </c>
      <c r="B456" s="21" t="s">
        <v>226</v>
      </c>
      <c r="C456" s="21" t="s">
        <v>227</v>
      </c>
      <c r="D456" s="21" t="s">
        <v>228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447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491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255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492</v>
      </c>
      <c r="B460" s="21" t="s">
        <v>235</v>
      </c>
      <c r="C460" s="21" t="s">
        <v>258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237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232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305</v>
      </c>
      <c r="B463" s="21" t="s">
        <v>284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275</v>
      </c>
      <c r="B464" s="21" t="s">
        <v>254</v>
      </c>
      <c r="C464" s="21" t="s">
        <v>227</v>
      </c>
      <c r="D464" s="21" t="s">
        <v>228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493</v>
      </c>
      <c r="B465" s="21" t="s">
        <v>240</v>
      </c>
      <c r="C465" s="21" t="s">
        <v>246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494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349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237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495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436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346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496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237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497</v>
      </c>
      <c r="B474" s="21" t="s">
        <v>240</v>
      </c>
      <c r="C474" s="21" t="s">
        <v>498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499</v>
      </c>
      <c r="B475" s="21" t="s">
        <v>284</v>
      </c>
      <c r="C475" s="21" t="s">
        <v>236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500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237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302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275</v>
      </c>
      <c r="B479" s="21" t="s">
        <v>284</v>
      </c>
      <c r="C479" s="21" t="s">
        <v>227</v>
      </c>
      <c r="D479" s="21" t="s">
        <v>228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501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268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/>
    </row>
    <row r="483" spans="1:12">
      <c r="A483" s="20" t="s">
        <v>502</v>
      </c>
    </row>
    <row r="484" spans="1:12">
      <c r="A484" s="20" t="s">
        <v>225</v>
      </c>
      <c r="B484" s="21" t="s">
        <v>226</v>
      </c>
      <c r="C484" s="21" t="s">
        <v>227</v>
      </c>
      <c r="D484" s="21" t="s">
        <v>228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503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327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237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417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504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369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461</v>
      </c>
      <c r="B491" s="21" t="s">
        <v>240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294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505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506</v>
      </c>
      <c r="B495" s="21" t="s">
        <v>284</v>
      </c>
      <c r="C495" s="21" t="s">
        <v>250</v>
      </c>
      <c r="D495" s="21" t="s">
        <v>228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440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419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268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/>
    </row>
    <row r="500" spans="1:12">
      <c r="A500" s="20" t="s">
        <v>507</v>
      </c>
    </row>
    <row r="501" spans="1:12">
      <c r="A501" s="20" t="s">
        <v>508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505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506</v>
      </c>
      <c r="B504" s="21" t="s">
        <v>226</v>
      </c>
      <c r="C504" s="21" t="s">
        <v>250</v>
      </c>
      <c r="D504" s="21" t="s">
        <v>228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285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259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187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11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509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510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11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511</v>
      </c>
      <c r="B513" s="21" t="s">
        <v>245</v>
      </c>
      <c r="C513" s="21" t="s">
        <v>250</v>
      </c>
      <c r="D513" s="21" t="s">
        <v>228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512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513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271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514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285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417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370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515</v>
      </c>
      <c r="B521" s="21" t="s">
        <v>245</v>
      </c>
      <c r="C521" s="21" t="s">
        <v>258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513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461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516</v>
      </c>
      <c r="B524" s="21" t="s">
        <v>240</v>
      </c>
      <c r="C524" s="21" t="s">
        <v>258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517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268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/>
    </row>
    <row r="528" spans="1:12">
      <c r="A528" s="20" t="s">
        <v>518</v>
      </c>
    </row>
    <row r="529" spans="1:12">
      <c r="A529" s="20" t="s">
        <v>472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344</v>
      </c>
      <c r="B530" s="21" t="s">
        <v>235</v>
      </c>
      <c r="C530" s="21" t="s">
        <v>319</v>
      </c>
      <c r="D530" s="21" t="s">
        <v>228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519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520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521</v>
      </c>
      <c r="B533" s="21" t="s">
        <v>235</v>
      </c>
      <c r="C533" s="21" t="s">
        <v>258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274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522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268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146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523</v>
      </c>
      <c r="B538" s="21" t="s">
        <v>245</v>
      </c>
      <c r="C538" s="21" t="s">
        <v>301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237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344</v>
      </c>
      <c r="B540" s="21" t="s">
        <v>304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519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524</v>
      </c>
      <c r="B542" s="21" t="s">
        <v>257</v>
      </c>
      <c r="C542" s="21" t="s">
        <v>273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525</v>
      </c>
      <c r="B543" s="21" t="s">
        <v>254</v>
      </c>
      <c r="C543" s="21" t="s">
        <v>236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526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527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268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/>
    </row>
    <row r="548" spans="1:12">
      <c r="A548" s="20" t="s">
        <v>528</v>
      </c>
    </row>
    <row r="549" spans="1:12">
      <c r="A549" s="20" t="s">
        <v>334</v>
      </c>
      <c r="B549" s="21" t="s">
        <v>226</v>
      </c>
      <c r="C549" s="21" t="s">
        <v>227</v>
      </c>
      <c r="D549" s="21" t="s">
        <v>228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341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529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461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530</v>
      </c>
      <c r="B553" s="21" t="s">
        <v>231</v>
      </c>
      <c r="C553" s="21" t="s">
        <v>258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237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363</v>
      </c>
      <c r="B555" s="21" t="s">
        <v>245</v>
      </c>
      <c r="C555" s="21" t="s">
        <v>314</v>
      </c>
      <c r="D555" s="21" t="s">
        <v>228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239</v>
      </c>
      <c r="B556" s="21" t="s">
        <v>304</v>
      </c>
      <c r="C556" s="21" t="s">
        <v>227</v>
      </c>
      <c r="D556" s="21" t="s">
        <v>228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237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531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461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532</v>
      </c>
      <c r="B560" s="21" t="s">
        <v>235</v>
      </c>
      <c r="C560" s="21" t="s">
        <v>258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237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531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533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282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534</v>
      </c>
      <c r="B565" s="21" t="s">
        <v>235</v>
      </c>
      <c r="C565" s="21" t="s">
        <v>250</v>
      </c>
      <c r="D565" s="21" t="s">
        <v>228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237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302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259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535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536</v>
      </c>
      <c r="B570" s="21" t="s">
        <v>240</v>
      </c>
      <c r="C570" s="21" t="s">
        <v>250</v>
      </c>
      <c r="D570" s="21" t="s">
        <v>228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341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327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537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344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437</v>
      </c>
      <c r="B575" s="21" t="s">
        <v>284</v>
      </c>
      <c r="C575" s="21" t="s">
        <v>250</v>
      </c>
      <c r="D575" s="21" t="s">
        <v>228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268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/>
    </row>
    <row r="578" spans="1:12">
      <c r="A578" s="20" t="s">
        <v>538</v>
      </c>
    </row>
    <row r="579" spans="1:12">
      <c r="A579" s="20" t="s">
        <v>472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344</v>
      </c>
      <c r="B580" s="21" t="s">
        <v>226</v>
      </c>
      <c r="C580" s="21" t="s">
        <v>319</v>
      </c>
      <c r="D580" s="21" t="s">
        <v>228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539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275</v>
      </c>
      <c r="B582" s="21" t="s">
        <v>231</v>
      </c>
      <c r="C582" s="21" t="s">
        <v>227</v>
      </c>
      <c r="D582" s="21" t="s">
        <v>228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540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541</v>
      </c>
      <c r="B584" s="21" t="s">
        <v>231</v>
      </c>
      <c r="C584" s="21" t="s">
        <v>236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237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542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313</v>
      </c>
      <c r="B587" s="21" t="s">
        <v>240</v>
      </c>
      <c r="C587" s="21" t="s">
        <v>314</v>
      </c>
      <c r="D587" s="21" t="s">
        <v>228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543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544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302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544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268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545</v>
      </c>
    </row>
    <row r="595" spans="1:12">
      <c r="A595" s="20" t="s">
        <v>546</v>
      </c>
      <c r="B595" s="21" t="s">
        <v>226</v>
      </c>
      <c r="C595" s="21" t="s">
        <v>319</v>
      </c>
      <c r="D595" s="21" t="s">
        <v>228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414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547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548</v>
      </c>
      <c r="B598" s="21" t="s">
        <v>245</v>
      </c>
      <c r="C598" s="21" t="s">
        <v>301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549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271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550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268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/>
    </row>
    <row r="604" spans="1:12">
      <c r="A604" s="20" t="s">
        <v>551</v>
      </c>
    </row>
    <row r="605" spans="1:12">
      <c r="A605" s="20" t="s">
        <v>552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248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553</v>
      </c>
      <c r="B607" s="21" t="s">
        <v>235</v>
      </c>
      <c r="C607" s="21" t="s">
        <v>250</v>
      </c>
      <c r="D607" s="21" t="s">
        <v>228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259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554</v>
      </c>
      <c r="B609" s="21" t="s">
        <v>245</v>
      </c>
      <c r="C609" s="21" t="s">
        <v>250</v>
      </c>
      <c r="D609" s="21" t="s">
        <v>228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555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461</v>
      </c>
      <c r="B611" s="21" t="s">
        <v>226</v>
      </c>
      <c r="C611" s="21" t="s">
        <v>273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259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556</v>
      </c>
      <c r="B613" s="21" t="s">
        <v>245</v>
      </c>
      <c r="C613" s="21" t="s">
        <v>250</v>
      </c>
      <c r="D613" s="21" t="s">
        <v>228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271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557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237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238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313</v>
      </c>
      <c r="B618" s="21" t="s">
        <v>240</v>
      </c>
      <c r="C618" s="21" t="s">
        <v>314</v>
      </c>
      <c r="D618" s="21" t="s">
        <v>228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305</v>
      </c>
      <c r="B619" s="21" t="s">
        <v>284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365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294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558</v>
      </c>
      <c r="B622" s="21" t="s">
        <v>245</v>
      </c>
      <c r="C622" s="21" t="s">
        <v>250</v>
      </c>
      <c r="D622" s="21" t="s">
        <v>228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559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237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560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417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461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561</v>
      </c>
      <c r="B628" s="21" t="s">
        <v>245</v>
      </c>
      <c r="C628" s="21" t="s">
        <v>258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237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275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562</v>
      </c>
      <c r="B631" s="21" t="s">
        <v>435</v>
      </c>
      <c r="C631" s="21" t="s">
        <v>246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241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294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563</v>
      </c>
      <c r="B634" s="21" t="s">
        <v>257</v>
      </c>
      <c r="C634" s="21" t="s">
        <v>250</v>
      </c>
      <c r="D634" s="21" t="s">
        <v>228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564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268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/>
    </row>
    <row r="638" spans="1:12">
      <c r="A638" s="20" t="s">
        <v>565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566</v>
      </c>
    </row>
    <row r="640" spans="1:12">
      <c r="A640" s="20" t="s">
        <v>567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568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313</v>
      </c>
      <c r="B642" s="21" t="s">
        <v>226</v>
      </c>
      <c r="C642" s="21" t="s">
        <v>314</v>
      </c>
      <c r="D642" s="21" t="s">
        <v>228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237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317</v>
      </c>
      <c r="B644" s="21" t="s">
        <v>240</v>
      </c>
      <c r="C644" s="21" t="s">
        <v>314</v>
      </c>
      <c r="D644" s="21" t="s">
        <v>228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569</v>
      </c>
      <c r="B645" s="21" t="s">
        <v>240</v>
      </c>
      <c r="C645" s="21" t="s">
        <v>264</v>
      </c>
      <c r="D645" s="21" t="s">
        <v>228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570</v>
      </c>
      <c r="B646" s="21" t="s">
        <v>254</v>
      </c>
      <c r="C646" s="21" t="s">
        <v>264</v>
      </c>
      <c r="D646" s="21" t="s">
        <v>228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571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294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572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573</v>
      </c>
      <c r="B650" s="21" t="s">
        <v>284</v>
      </c>
      <c r="C650" s="21" t="s">
        <v>264</v>
      </c>
      <c r="D650" s="21" t="s">
        <v>228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259</v>
      </c>
      <c r="B651" s="21" t="s">
        <v>240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305</v>
      </c>
      <c r="B652" s="21" t="s">
        <v>284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574</v>
      </c>
      <c r="B653" s="21" t="s">
        <v>254</v>
      </c>
      <c r="C653" s="21" t="s">
        <v>264</v>
      </c>
      <c r="D653" s="21" t="s">
        <v>228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575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572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576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268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/>
    </row>
    <row r="659" spans="1:12">
      <c r="A659" s="20" t="s">
        <v>577</v>
      </c>
    </row>
    <row r="660" spans="1:12">
      <c r="A660" s="20" t="s">
        <v>359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259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578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579</v>
      </c>
      <c r="B663" s="21" t="s">
        <v>235</v>
      </c>
      <c r="C663" s="21" t="s">
        <v>250</v>
      </c>
      <c r="D663" s="21" t="s">
        <v>228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580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230</v>
      </c>
      <c r="B665" s="21" t="s">
        <v>226</v>
      </c>
      <c r="C665" s="21" t="s">
        <v>227</v>
      </c>
      <c r="D665" s="21" t="s">
        <v>228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581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582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11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230</v>
      </c>
      <c r="B669" s="21" t="s">
        <v>240</v>
      </c>
      <c r="C669" s="21" t="s">
        <v>227</v>
      </c>
      <c r="D669" s="21" t="s">
        <v>228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371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583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584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327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540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271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585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11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238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326</v>
      </c>
      <c r="B679" s="21" t="s">
        <v>240</v>
      </c>
      <c r="C679" s="21" t="s">
        <v>273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541</v>
      </c>
      <c r="B680" s="21" t="s">
        <v>284</v>
      </c>
      <c r="C680" s="21" t="s">
        <v>236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413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586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455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360</v>
      </c>
      <c r="B684" s="21" t="s">
        <v>254</v>
      </c>
      <c r="C684" s="21" t="s">
        <v>319</v>
      </c>
      <c r="D684" s="21" t="s">
        <v>228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587</v>
      </c>
      <c r="B685" s="21" t="s">
        <v>245</v>
      </c>
      <c r="C685" s="21" t="s">
        <v>322</v>
      </c>
      <c r="D685" s="21" t="s">
        <v>228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247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588</v>
      </c>
      <c r="B687" s="21" t="s">
        <v>254</v>
      </c>
      <c r="C687" s="21" t="s">
        <v>236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237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317</v>
      </c>
      <c r="B689" s="21" t="s">
        <v>435</v>
      </c>
      <c r="C689" s="21" t="s">
        <v>314</v>
      </c>
      <c r="D689" s="21" t="s">
        <v>228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230</v>
      </c>
      <c r="B690" s="21" t="s">
        <v>435</v>
      </c>
      <c r="C690" s="21" t="s">
        <v>227</v>
      </c>
      <c r="D690" s="21" t="s">
        <v>228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589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590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237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282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591</v>
      </c>
      <c r="B695" s="21" t="s">
        <v>438</v>
      </c>
      <c r="C695" s="21" t="s">
        <v>250</v>
      </c>
      <c r="D695" s="21" t="s">
        <v>228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547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548</v>
      </c>
      <c r="B697" s="21" t="s">
        <v>263</v>
      </c>
      <c r="C697" s="21" t="s">
        <v>301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549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346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592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237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436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370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437</v>
      </c>
      <c r="B704" s="21" t="s">
        <v>306</v>
      </c>
      <c r="C704" s="21" t="s">
        <v>258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346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440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302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593</v>
      </c>
      <c r="B708" s="21" t="s">
        <v>488</v>
      </c>
      <c r="C708" s="21" t="s">
        <v>236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346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594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237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282</v>
      </c>
      <c r="B712" s="21" t="s">
        <v>240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241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595</v>
      </c>
      <c r="B714" s="21" t="s">
        <v>245</v>
      </c>
      <c r="C714" s="21" t="s">
        <v>236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596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597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268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/>
    </row>
    <row r="719" spans="1:12">
      <c r="A719" s="20" t="s">
        <v>598</v>
      </c>
    </row>
    <row r="720" spans="1:12">
      <c r="A720" s="20" t="s">
        <v>380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239</v>
      </c>
      <c r="B721" s="21" t="s">
        <v>226</v>
      </c>
      <c r="C721" s="21" t="s">
        <v>227</v>
      </c>
      <c r="D721" s="21" t="s">
        <v>228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599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237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354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336</v>
      </c>
      <c r="B725" s="21" t="s">
        <v>306</v>
      </c>
      <c r="C725" s="21" t="s">
        <v>227</v>
      </c>
      <c r="D725" s="21" t="s">
        <v>228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600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601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237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238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239</v>
      </c>
      <c r="B730" s="21" t="s">
        <v>435</v>
      </c>
      <c r="C730" s="21" t="s">
        <v>227</v>
      </c>
      <c r="D730" s="21" t="s">
        <v>228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602</v>
      </c>
      <c r="B731" s="21" t="s">
        <v>254</v>
      </c>
      <c r="C731" s="21" t="s">
        <v>301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274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441</v>
      </c>
      <c r="B733" s="21" t="s">
        <v>257</v>
      </c>
      <c r="C733" s="21" t="s">
        <v>314</v>
      </c>
      <c r="D733" s="21" t="s">
        <v>228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555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237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317</v>
      </c>
      <c r="B736" s="21" t="s">
        <v>603</v>
      </c>
      <c r="C736" s="21" t="s">
        <v>314</v>
      </c>
      <c r="D736" s="21" t="s">
        <v>228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271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581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346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428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371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237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294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604</v>
      </c>
      <c r="B744" s="21" t="s">
        <v>235</v>
      </c>
      <c r="C744" s="21" t="s">
        <v>250</v>
      </c>
      <c r="D744" s="21" t="s">
        <v>228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605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366</v>
      </c>
      <c r="B746" s="21" t="s">
        <v>245</v>
      </c>
      <c r="C746" s="21" t="s">
        <v>236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302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378</v>
      </c>
      <c r="B748" s="21" t="s">
        <v>254</v>
      </c>
      <c r="C748" s="21" t="s">
        <v>236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268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/>
    </row>
    <row r="751" spans="1:12">
      <c r="A751" s="20" t="s">
        <v>606</v>
      </c>
    </row>
    <row r="752" spans="1:12">
      <c r="A752" s="20" t="s">
        <v>366</v>
      </c>
      <c r="B752" s="21" t="s">
        <v>226</v>
      </c>
      <c r="C752" s="21" t="s">
        <v>236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607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237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590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608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237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294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506</v>
      </c>
      <c r="B759" s="21" t="s">
        <v>240</v>
      </c>
      <c r="C759" s="21" t="s">
        <v>250</v>
      </c>
      <c r="D759" s="21" t="s">
        <v>228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609</v>
      </c>
      <c r="B760" s="21" t="s">
        <v>254</v>
      </c>
      <c r="C760" s="21" t="s">
        <v>264</v>
      </c>
      <c r="D760" s="21" t="s">
        <v>228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268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/>
    </row>
    <row r="763" spans="1:12">
      <c r="A763" s="20" t="s">
        <v>610</v>
      </c>
    </row>
    <row r="764" spans="1:12">
      <c r="A764" s="20" t="s">
        <v>49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346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440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237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375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378</v>
      </c>
      <c r="B769" s="21" t="s">
        <v>240</v>
      </c>
      <c r="C769" s="21" t="s">
        <v>236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611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496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237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238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344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612</v>
      </c>
      <c r="B775" s="21" t="s">
        <v>240</v>
      </c>
      <c r="C775" s="21" t="s">
        <v>314</v>
      </c>
      <c r="D775" s="21" t="s">
        <v>228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590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237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398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326</v>
      </c>
      <c r="B779" s="21" t="s">
        <v>304</v>
      </c>
      <c r="C779" s="21" t="s">
        <v>273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230</v>
      </c>
      <c r="B780" s="21" t="s">
        <v>306</v>
      </c>
      <c r="C780" s="21" t="s">
        <v>227</v>
      </c>
      <c r="D780" s="21" t="s">
        <v>228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327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376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544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613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586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268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/>
    </row>
    <row r="788" spans="1:12">
      <c r="A788" s="20" t="s">
        <v>614</v>
      </c>
    </row>
    <row r="789" spans="1:12">
      <c r="A789" s="20" t="s">
        <v>378</v>
      </c>
      <c r="B789" s="21" t="s">
        <v>226</v>
      </c>
      <c r="C789" s="21" t="s">
        <v>236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371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615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327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616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617</v>
      </c>
      <c r="B794" s="21" t="s">
        <v>235</v>
      </c>
      <c r="C794" s="21" t="s">
        <v>236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268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/>
    </row>
    <row r="797" spans="1:12">
      <c r="A797" s="20" t="s">
        <v>618</v>
      </c>
    </row>
    <row r="798" spans="1:12">
      <c r="A798" s="20" t="s">
        <v>619</v>
      </c>
      <c r="B798" s="21" t="s">
        <v>226</v>
      </c>
      <c r="C798" s="21" t="s">
        <v>227</v>
      </c>
      <c r="D798" s="21" t="s">
        <v>228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371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327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344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620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417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366</v>
      </c>
      <c r="B804" s="21" t="s">
        <v>235</v>
      </c>
      <c r="C804" s="21" t="s">
        <v>236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237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317</v>
      </c>
      <c r="B806" s="21" t="s">
        <v>284</v>
      </c>
      <c r="C806" s="21" t="s">
        <v>314</v>
      </c>
      <c r="D806" s="21" t="s">
        <v>228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239</v>
      </c>
      <c r="B807" s="21" t="s">
        <v>240</v>
      </c>
      <c r="C807" s="21" t="s">
        <v>227</v>
      </c>
      <c r="D807" s="21" t="s">
        <v>228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232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370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621</v>
      </c>
      <c r="B810" s="21" t="s">
        <v>245</v>
      </c>
      <c r="C810" s="21" t="s">
        <v>258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622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237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465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361</v>
      </c>
      <c r="B814" s="21" t="s">
        <v>284</v>
      </c>
      <c r="C814" s="21" t="s">
        <v>258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241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259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623</v>
      </c>
      <c r="B817" s="21" t="s">
        <v>254</v>
      </c>
      <c r="C817" s="21" t="s">
        <v>250</v>
      </c>
      <c r="D817" s="21" t="s">
        <v>228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302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232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465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624</v>
      </c>
      <c r="B821" s="21" t="s">
        <v>257</v>
      </c>
      <c r="C821" s="21" t="s">
        <v>258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237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294</v>
      </c>
      <c r="B823" s="21" t="s">
        <v>625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282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575</v>
      </c>
      <c r="B825" s="21" t="s">
        <v>626</v>
      </c>
      <c r="C825" s="21" t="s">
        <v>250</v>
      </c>
      <c r="D825" s="21" t="s">
        <v>228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627</v>
      </c>
      <c r="B826" s="21" t="s">
        <v>625</v>
      </c>
      <c r="C826" s="21" t="s">
        <v>314</v>
      </c>
      <c r="D826" s="21" t="s">
        <v>228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628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268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/>
    </row>
    <row r="830" spans="1:12">
      <c r="A830" s="20" t="s">
        <v>629</v>
      </c>
    </row>
    <row r="831" spans="1:12">
      <c r="A831" s="20" t="s">
        <v>378</v>
      </c>
      <c r="B831" s="21" t="s">
        <v>235</v>
      </c>
      <c r="C831" s="21" t="s">
        <v>236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371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327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282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630</v>
      </c>
      <c r="B835" s="21" t="s">
        <v>226</v>
      </c>
      <c r="C835" s="21" t="s">
        <v>250</v>
      </c>
      <c r="D835" s="21" t="s">
        <v>228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346</v>
      </c>
      <c r="B836" s="21" t="s">
        <v>245</v>
      </c>
      <c r="C836" s="21" t="s">
        <v>273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520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437</v>
      </c>
      <c r="B838" s="21" t="s">
        <v>235</v>
      </c>
      <c r="C838" s="21" t="s">
        <v>258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237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483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344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631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632</v>
      </c>
      <c r="B843" s="21" t="s">
        <v>235</v>
      </c>
      <c r="C843" s="21" t="s">
        <v>250</v>
      </c>
      <c r="D843" s="21" t="s">
        <v>228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315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268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/>
    </row>
    <row r="847" spans="1:12">
      <c r="A847" s="20" t="s">
        <v>633</v>
      </c>
    </row>
    <row r="848" spans="1:12">
      <c r="A848" s="20" t="s">
        <v>373</v>
      </c>
      <c r="B848" s="21" t="s">
        <v>240</v>
      </c>
      <c r="C848" s="21" t="s">
        <v>314</v>
      </c>
      <c r="D848" s="21" t="s">
        <v>228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385</v>
      </c>
      <c r="B849" s="21" t="s">
        <v>284</v>
      </c>
      <c r="C849" s="21" t="s">
        <v>314</v>
      </c>
      <c r="D849" s="21" t="s">
        <v>228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386</v>
      </c>
      <c r="B850" s="21" t="s">
        <v>240</v>
      </c>
      <c r="C850" s="21" t="s">
        <v>634</v>
      </c>
      <c r="D850" s="21" t="s">
        <v>228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635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237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636</v>
      </c>
      <c r="B853" s="21" t="s">
        <v>306</v>
      </c>
      <c r="C853" s="21" t="s">
        <v>236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346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637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237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385</v>
      </c>
      <c r="B857" s="21" t="s">
        <v>488</v>
      </c>
      <c r="C857" s="21" t="s">
        <v>314</v>
      </c>
      <c r="D857" s="21" t="s">
        <v>228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550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638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346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639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237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371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294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401</v>
      </c>
      <c r="B865" s="21" t="s">
        <v>231</v>
      </c>
      <c r="C865" s="21" t="s">
        <v>264</v>
      </c>
      <c r="D865" s="21" t="s">
        <v>228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11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366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346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403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268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/>
    </row>
    <row r="872" spans="1:12">
      <c r="A872" s="20" t="s">
        <v>640</v>
      </c>
    </row>
    <row r="873" spans="1:12">
      <c r="A873" s="20" t="s">
        <v>641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642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607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374</v>
      </c>
      <c r="B876" s="21" t="s">
        <v>226</v>
      </c>
      <c r="C876" s="21" t="s">
        <v>314</v>
      </c>
      <c r="D876" s="21" t="s">
        <v>228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441</v>
      </c>
      <c r="B877" s="21" t="s">
        <v>231</v>
      </c>
      <c r="C877" s="21" t="s">
        <v>273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232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465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643</v>
      </c>
      <c r="B880" s="21" t="s">
        <v>245</v>
      </c>
      <c r="C880" s="21" t="s">
        <v>258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237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370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644</v>
      </c>
      <c r="B883" s="21" t="s">
        <v>254</v>
      </c>
      <c r="C883" s="21" t="s">
        <v>258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645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237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477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646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647</v>
      </c>
      <c r="B888" s="21" t="s">
        <v>240</v>
      </c>
      <c r="C888" s="21" t="s">
        <v>246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230</v>
      </c>
      <c r="B889" s="21" t="s">
        <v>240</v>
      </c>
      <c r="C889" s="21" t="s">
        <v>227</v>
      </c>
      <c r="D889" s="21" t="s">
        <v>228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232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648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649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650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237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274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651</v>
      </c>
      <c r="B896" s="21" t="s">
        <v>254</v>
      </c>
      <c r="C896" s="21" t="s">
        <v>236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302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652</v>
      </c>
      <c r="B898" s="21" t="s">
        <v>257</v>
      </c>
      <c r="C898" s="21" t="s">
        <v>236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653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237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455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654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655</v>
      </c>
      <c r="B903" s="21" t="s">
        <v>235</v>
      </c>
      <c r="C903" s="21" t="s">
        <v>236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237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370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401</v>
      </c>
      <c r="B906" s="21" t="s">
        <v>245</v>
      </c>
      <c r="C906" s="21" t="s">
        <v>264</v>
      </c>
      <c r="D906" s="21" t="s">
        <v>228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11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366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388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/>
    </row>
    <row r="911" spans="1:12">
      <c r="A911" s="20" t="s">
        <v>656</v>
      </c>
    </row>
    <row r="912" spans="1:12">
      <c r="A912" s="20" t="s">
        <v>262</v>
      </c>
      <c r="B912" s="21" t="s">
        <v>226</v>
      </c>
      <c r="C912" s="21" t="s">
        <v>264</v>
      </c>
      <c r="D912" s="21" t="s">
        <v>228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265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657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312</v>
      </c>
      <c r="B915" s="21" t="s">
        <v>231</v>
      </c>
      <c r="C915" s="21" t="s">
        <v>227</v>
      </c>
      <c r="D915" s="21" t="s">
        <v>228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455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259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658</v>
      </c>
      <c r="B918" s="21" t="s">
        <v>235</v>
      </c>
      <c r="C918" s="21" t="s">
        <v>250</v>
      </c>
      <c r="D918" s="21" t="s">
        <v>228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659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350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660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283</v>
      </c>
      <c r="B922" s="21" t="s">
        <v>235</v>
      </c>
      <c r="C922" s="21" t="s">
        <v>246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661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268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/>
    </row>
    <row r="926" spans="1:12">
      <c r="A926" s="20" t="s">
        <v>662</v>
      </c>
    </row>
    <row r="927" spans="1:12">
      <c r="A927" s="20" t="s">
        <v>508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663</v>
      </c>
      <c r="B928" s="21" t="s">
        <v>226</v>
      </c>
      <c r="C928" s="21" t="s">
        <v>250</v>
      </c>
      <c r="D928" s="21" t="s">
        <v>228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664</v>
      </c>
      <c r="B929" s="21" t="s">
        <v>245</v>
      </c>
      <c r="C929" s="21" t="s">
        <v>264</v>
      </c>
      <c r="D929" s="21" t="s">
        <v>228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665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657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271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642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666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237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667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321</v>
      </c>
      <c r="B937" s="21" t="s">
        <v>240</v>
      </c>
      <c r="C937" s="21" t="s">
        <v>246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668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669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237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238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670</v>
      </c>
      <c r="B942" s="21" t="s">
        <v>304</v>
      </c>
      <c r="C942" s="21" t="s">
        <v>227</v>
      </c>
      <c r="D942" s="21" t="s">
        <v>228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313</v>
      </c>
      <c r="B943" s="21" t="s">
        <v>304</v>
      </c>
      <c r="C943" s="21" t="s">
        <v>314</v>
      </c>
      <c r="D943" s="21" t="s">
        <v>228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671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672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673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674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455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259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675</v>
      </c>
      <c r="B950" s="21" t="s">
        <v>257</v>
      </c>
      <c r="C950" s="21" t="s">
        <v>250</v>
      </c>
      <c r="D950" s="21" t="s">
        <v>228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237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313</v>
      </c>
      <c r="B952" s="21" t="s">
        <v>626</v>
      </c>
      <c r="C952" s="21" t="s">
        <v>314</v>
      </c>
      <c r="D952" s="21" t="s">
        <v>228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307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544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676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237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375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247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248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553</v>
      </c>
      <c r="B960" s="21" t="s">
        <v>677</v>
      </c>
      <c r="C960" s="21" t="s">
        <v>250</v>
      </c>
      <c r="D960" s="21" t="s">
        <v>228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678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679</v>
      </c>
      <c r="B962" s="21" t="s">
        <v>680</v>
      </c>
      <c r="C962" s="21" t="s">
        <v>246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290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670</v>
      </c>
      <c r="B964" s="21" t="s">
        <v>681</v>
      </c>
      <c r="C964" s="21" t="s">
        <v>227</v>
      </c>
      <c r="D964" s="21" t="s">
        <v>228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232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682</v>
      </c>
      <c r="B966" s="21" t="s">
        <v>677</v>
      </c>
      <c r="C966" s="21" t="s">
        <v>236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346</v>
      </c>
      <c r="B967" s="21" t="s">
        <v>261</v>
      </c>
      <c r="C967" s="21" t="s">
        <v>273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259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683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684</v>
      </c>
      <c r="B970" s="21" t="s">
        <v>257</v>
      </c>
      <c r="C970" s="21" t="s">
        <v>685</v>
      </c>
      <c r="D970" s="21" t="s">
        <v>228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686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283</v>
      </c>
      <c r="B972" s="21" t="s">
        <v>261</v>
      </c>
      <c r="C972" s="21" t="s">
        <v>246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687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268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/>
    </row>
    <row r="976" spans="1:12">
      <c r="A976" s="20" t="s">
        <v>565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688</v>
      </c>
    </row>
    <row r="978" spans="1:12">
      <c r="A978" s="20" t="s">
        <v>689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690</v>
      </c>
      <c r="B979" s="21" t="s">
        <v>226</v>
      </c>
      <c r="C979" s="21" t="s">
        <v>246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555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572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546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691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644</v>
      </c>
      <c r="B984" s="21" t="s">
        <v>226</v>
      </c>
      <c r="C984" s="21" t="s">
        <v>236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572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274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692</v>
      </c>
      <c r="B987" s="21" t="s">
        <v>235</v>
      </c>
      <c r="C987" s="21" t="s">
        <v>264</v>
      </c>
      <c r="D987" s="21" t="s">
        <v>228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693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694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302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670</v>
      </c>
      <c r="B991" s="21" t="s">
        <v>226</v>
      </c>
      <c r="C991" s="21" t="s">
        <v>227</v>
      </c>
      <c r="D991" s="21" t="s">
        <v>228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695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305</v>
      </c>
      <c r="B993" s="21" t="s">
        <v>231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696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232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697</v>
      </c>
      <c r="B996" s="21" t="s">
        <v>235</v>
      </c>
      <c r="C996" s="21" t="s">
        <v>236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268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/>
    </row>
    <row r="999" spans="1:12">
      <c r="A999" s="20" t="s">
        <v>698</v>
      </c>
    </row>
    <row r="1000" spans="1:12">
      <c r="A1000" s="20" t="s">
        <v>699</v>
      </c>
      <c r="B1000" s="21" t="s">
        <v>226</v>
      </c>
      <c r="C1000" s="21" t="s">
        <v>264</v>
      </c>
      <c r="D1000" s="21" t="s">
        <v>228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700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701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702</v>
      </c>
      <c r="B1003" s="21" t="s">
        <v>231</v>
      </c>
      <c r="C1003" s="21" t="s">
        <v>236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237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398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703</v>
      </c>
      <c r="B1006" s="21" t="s">
        <v>240</v>
      </c>
      <c r="C1006" s="21" t="s">
        <v>314</v>
      </c>
      <c r="D1006" s="21" t="s">
        <v>228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667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704</v>
      </c>
      <c r="B1008" s="21" t="s">
        <v>284</v>
      </c>
      <c r="C1008" s="21" t="s">
        <v>246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369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705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706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237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271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707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237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238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670</v>
      </c>
      <c r="B1017" s="21" t="s">
        <v>304</v>
      </c>
      <c r="C1017" s="21" t="s">
        <v>227</v>
      </c>
      <c r="D1017" s="21" t="s">
        <v>228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281</v>
      </c>
      <c r="B1018" s="21" t="s">
        <v>257</v>
      </c>
      <c r="C1018" s="21" t="s">
        <v>273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667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708</v>
      </c>
      <c r="B1020" s="21" t="s">
        <v>306</v>
      </c>
      <c r="C1020" s="21" t="s">
        <v>301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237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667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709</v>
      </c>
      <c r="B1023" s="21" t="s">
        <v>257</v>
      </c>
      <c r="C1023" s="21" t="s">
        <v>246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237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710</v>
      </c>
      <c r="B1025" s="21" t="s">
        <v>257</v>
      </c>
      <c r="C1025" s="21" t="s">
        <v>236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302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711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712</v>
      </c>
      <c r="B1028" s="21" t="s">
        <v>257</v>
      </c>
      <c r="C1028" s="21" t="s">
        <v>236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713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451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714</v>
      </c>
      <c r="B1031" s="21" t="s">
        <v>254</v>
      </c>
      <c r="C1031" s="21" t="s">
        <v>246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715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607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419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268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/>
    </row>
    <row r="1037" spans="1:12">
      <c r="A1037" s="20" t="s">
        <v>565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716</v>
      </c>
    </row>
    <row r="1039" spans="1:12">
      <c r="A1039" s="20" t="s">
        <v>689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717</v>
      </c>
      <c r="B1040" s="21" t="s">
        <v>226</v>
      </c>
      <c r="C1040" s="21" t="s">
        <v>246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718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719</v>
      </c>
      <c r="B1042" s="21" t="s">
        <v>245</v>
      </c>
      <c r="C1042" s="21" t="s">
        <v>319</v>
      </c>
      <c r="D1042" s="21" t="s">
        <v>228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720</v>
      </c>
      <c r="B1043" s="21" t="s">
        <v>231</v>
      </c>
      <c r="C1043" s="21" t="s">
        <v>322</v>
      </c>
      <c r="D1043" s="21" t="s">
        <v>228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721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237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722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374</v>
      </c>
      <c r="B1047" s="21" t="s">
        <v>240</v>
      </c>
      <c r="C1047" s="21" t="s">
        <v>314</v>
      </c>
      <c r="D1047" s="21" t="s">
        <v>228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723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281</v>
      </c>
      <c r="B1049" s="21" t="s">
        <v>254</v>
      </c>
      <c r="C1049" s="21" t="s">
        <v>273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282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704</v>
      </c>
      <c r="B1051" s="21" t="s">
        <v>284</v>
      </c>
      <c r="C1051" s="21" t="s">
        <v>250</v>
      </c>
      <c r="D1051" s="21" t="s">
        <v>228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274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700</v>
      </c>
      <c r="B1053" s="21" t="s">
        <v>254</v>
      </c>
      <c r="C1053" s="21" t="s">
        <v>264</v>
      </c>
      <c r="D1053" s="21" t="s">
        <v>228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724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383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572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725</v>
      </c>
      <c r="B1057" s="21" t="s">
        <v>235</v>
      </c>
      <c r="C1057" s="21" t="s">
        <v>264</v>
      </c>
      <c r="D1057" s="21" t="s">
        <v>228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572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726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572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508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727</v>
      </c>
      <c r="B1062" s="21" t="s">
        <v>245</v>
      </c>
      <c r="C1062" s="21" t="s">
        <v>250</v>
      </c>
      <c r="D1062" s="21" t="s">
        <v>228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572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728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237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572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508</v>
      </c>
      <c r="B1067" s="21" t="s">
        <v>254</v>
      </c>
      <c r="C1067" s="21" t="s">
        <v>314</v>
      </c>
      <c r="D1067" s="21" t="s">
        <v>228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729</v>
      </c>
      <c r="B1068" s="21" t="s">
        <v>245</v>
      </c>
      <c r="C1068" s="21" t="s">
        <v>264</v>
      </c>
      <c r="D1068" s="21" t="s">
        <v>228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572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302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 t="s">
        <v>572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546</v>
      </c>
      <c r="B1072" s="21" t="s">
        <v>254</v>
      </c>
      <c r="C1072" s="21" t="s">
        <v>314</v>
      </c>
      <c r="D1072" s="21" t="s">
        <v>228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730</v>
      </c>
      <c r="B1073" s="21" t="s">
        <v>245</v>
      </c>
      <c r="C1073" s="21" t="s">
        <v>264</v>
      </c>
      <c r="D1073" s="21" t="s">
        <v>228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572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731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461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352</v>
      </c>
      <c r="B1077" s="21" t="s">
        <v>240</v>
      </c>
      <c r="C1077" s="21" t="s">
        <v>258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271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669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237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238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313</v>
      </c>
      <c r="B1082" s="21" t="s">
        <v>240</v>
      </c>
      <c r="C1082" s="21" t="s">
        <v>314</v>
      </c>
      <c r="D1082" s="21" t="s">
        <v>228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711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732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241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248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733</v>
      </c>
      <c r="B1087" s="21" t="s">
        <v>245</v>
      </c>
      <c r="C1087" s="21" t="s">
        <v>250</v>
      </c>
      <c r="D1087" s="21" t="s">
        <v>228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734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268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/>
    </row>
    <row r="1091" spans="1:12">
      <c r="A1091" s="20" t="s">
        <v>735</v>
      </c>
    </row>
    <row r="1092" spans="1:12">
      <c r="A1092" s="20" t="s">
        <v>736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737</v>
      </c>
      <c r="B1093" s="21" t="s">
        <v>226</v>
      </c>
      <c r="C1093" s="21" t="s">
        <v>250</v>
      </c>
      <c r="D1093" s="21" t="s">
        <v>228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259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378</v>
      </c>
      <c r="B1095" s="21" t="s">
        <v>245</v>
      </c>
      <c r="C1095" s="21" t="s">
        <v>250</v>
      </c>
      <c r="D1095" s="21" t="s">
        <v>228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237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455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654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655</v>
      </c>
      <c r="B1099" s="21" t="s">
        <v>245</v>
      </c>
      <c r="C1099" s="21" t="s">
        <v>236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237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371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738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271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441</v>
      </c>
      <c r="B1104" s="21" t="s">
        <v>235</v>
      </c>
      <c r="C1104" s="21" t="s">
        <v>273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417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370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739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740</v>
      </c>
      <c r="B1108" s="21" t="s">
        <v>235</v>
      </c>
      <c r="C1108" s="21" t="s">
        <v>258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268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/>
    </row>
    <row r="1111" spans="1:12">
      <c r="A1111" s="20" t="s">
        <v>565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741</v>
      </c>
    </row>
    <row r="1113" spans="1:12">
      <c r="A1113" s="20" t="s">
        <v>572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742</v>
      </c>
      <c r="B1114" s="21" t="s">
        <v>435</v>
      </c>
      <c r="C1114" s="21" t="s">
        <v>236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237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743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237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238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239</v>
      </c>
      <c r="B1119" s="21" t="s">
        <v>603</v>
      </c>
      <c r="C1119" s="21" t="s">
        <v>227</v>
      </c>
      <c r="D1119" s="21" t="s">
        <v>228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540</v>
      </c>
      <c r="B1120" s="21" t="s">
        <v>438</v>
      </c>
      <c r="C1120" s="21" t="s">
        <v>314</v>
      </c>
      <c r="D1120" s="21" t="s">
        <v>228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744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237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232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239</v>
      </c>
      <c r="B1124" s="21" t="s">
        <v>603</v>
      </c>
      <c r="C1124" s="21" t="s">
        <v>227</v>
      </c>
      <c r="D1124" s="21" t="s">
        <v>228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594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 t="s">
        <v>586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572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237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745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746</v>
      </c>
      <c r="B1130" s="21" t="s">
        <v>226</v>
      </c>
      <c r="C1130" s="21" t="s">
        <v>264</v>
      </c>
      <c r="D1130" s="21" t="s">
        <v>228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237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331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346</v>
      </c>
      <c r="B1133" s="21" t="s">
        <v>245</v>
      </c>
      <c r="C1133" s="21" t="s">
        <v>273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248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747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742</v>
      </c>
      <c r="B1136" s="21" t="s">
        <v>235</v>
      </c>
      <c r="C1136" s="21" t="s">
        <v>250</v>
      </c>
      <c r="D1136" s="21" t="s">
        <v>228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241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259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748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749</v>
      </c>
      <c r="B1140" s="21" t="s">
        <v>245</v>
      </c>
      <c r="C1140" s="21" t="s">
        <v>250</v>
      </c>
      <c r="D1140" s="21" t="s">
        <v>228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237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302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670</v>
      </c>
      <c r="B1143" s="21" t="s">
        <v>226</v>
      </c>
      <c r="C1143" s="21" t="s">
        <v>227</v>
      </c>
      <c r="D1143" s="21" t="s">
        <v>228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696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750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751</v>
      </c>
      <c r="B1146" s="21" t="s">
        <v>226</v>
      </c>
      <c r="C1146" s="21" t="s">
        <v>264</v>
      </c>
      <c r="D1146" s="21" t="s">
        <v>228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455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248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752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753</v>
      </c>
      <c r="B1150" s="21" t="s">
        <v>235</v>
      </c>
      <c r="C1150" s="21" t="s">
        <v>250</v>
      </c>
      <c r="D1150" s="21" t="s">
        <v>228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 t="s">
        <v>237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259</v>
      </c>
      <c r="B1152" s="21" t="s">
        <v>226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282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466</v>
      </c>
      <c r="B1154" s="21" t="s">
        <v>231</v>
      </c>
      <c r="C1154" s="21" t="s">
        <v>250</v>
      </c>
      <c r="D1154" s="21" t="s">
        <v>228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754</v>
      </c>
      <c r="B1155" s="21" t="s">
        <v>245</v>
      </c>
      <c r="C1155" s="21" t="s">
        <v>236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327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755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 t="s">
        <v>756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 t="s">
        <v>268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/>
    </row>
    <row r="1161" spans="1:12">
      <c r="A1161" s="20" t="s">
        <v>757</v>
      </c>
    </row>
    <row r="1162" spans="1:12">
      <c r="A1162" s="20" t="s">
        <v>378</v>
      </c>
      <c r="B1162" s="21" t="s">
        <v>226</v>
      </c>
      <c r="C1162" s="21" t="s">
        <v>236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371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 t="s">
        <v>344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632</v>
      </c>
      <c r="B1165" s="21" t="s">
        <v>235</v>
      </c>
      <c r="C1165" s="21" t="s">
        <v>250</v>
      </c>
      <c r="D1165" s="21" t="s">
        <v>228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237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327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344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758</v>
      </c>
      <c r="B1169" s="21" t="s">
        <v>235</v>
      </c>
      <c r="C1169" s="21" t="s">
        <v>250</v>
      </c>
      <c r="D1169" s="21" t="s">
        <v>228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268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/>
    </row>
    <row r="1172" spans="1:12">
      <c r="A1172" s="20" t="s">
        <v>759</v>
      </c>
    </row>
    <row r="1173" spans="1:12">
      <c r="A1173" s="20" t="s">
        <v>619</v>
      </c>
      <c r="B1173" s="21" t="s">
        <v>226</v>
      </c>
      <c r="C1173" s="21" t="s">
        <v>227</v>
      </c>
      <c r="D1173" s="21" t="s">
        <v>228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371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259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631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760</v>
      </c>
      <c r="B1177" s="21" t="s">
        <v>235</v>
      </c>
      <c r="C1177" s="21" t="s">
        <v>250</v>
      </c>
      <c r="D1177" s="21" t="s">
        <v>228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237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282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761</v>
      </c>
      <c r="B1180" s="21" t="s">
        <v>284</v>
      </c>
      <c r="C1180" s="21" t="s">
        <v>250</v>
      </c>
      <c r="D1180" s="21" t="s">
        <v>228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605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248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237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762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763</v>
      </c>
      <c r="B1185" s="21" t="s">
        <v>304</v>
      </c>
      <c r="C1185" s="21" t="s">
        <v>227</v>
      </c>
      <c r="D1185" s="21" t="s">
        <v>228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764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302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248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237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762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763</v>
      </c>
      <c r="B1191" s="21" t="s">
        <v>603</v>
      </c>
      <c r="C1191" s="21" t="s">
        <v>227</v>
      </c>
      <c r="D1191" s="21" t="s">
        <v>228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646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765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237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346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766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 t="s">
        <v>268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/>
    </row>
    <row r="1199" spans="1:12">
      <c r="A1199" s="20" t="s">
        <v>767</v>
      </c>
    </row>
    <row r="1200" spans="1:12">
      <c r="A1200" s="20" t="s">
        <v>359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259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378</v>
      </c>
      <c r="B1202" s="21" t="s">
        <v>235</v>
      </c>
      <c r="C1202" s="21" t="s">
        <v>250</v>
      </c>
      <c r="D1202" s="21" t="s">
        <v>228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768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769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237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770</v>
      </c>
      <c r="B1206" s="21" t="s">
        <v>284</v>
      </c>
      <c r="C1206" s="21" t="s">
        <v>236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251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282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771</v>
      </c>
      <c r="B1209" s="21" t="s">
        <v>245</v>
      </c>
      <c r="C1209" s="21" t="s">
        <v>250</v>
      </c>
      <c r="D1209" s="21" t="s">
        <v>228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346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772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302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327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769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 t="s">
        <v>237</v>
      </c>
      <c r="E1215" s="22">
        <f>IF(D1215="?OLD","!!!","")</f>
        <v/>
      </c>
      <c r="F1215" s="23" t="str">
        <f>IF(OR(E1215="",E1215="!!!"),"",IF(NOT(ISNA(VLOOKUP(E1215,E$1:E1214,1,FALSE()))),"OLD",IF(AND(E1215&lt;&gt;"",E1215&lt;&gt;"!!!"),"NEW","")))</f>
        <v> </v>
      </c>
      <c r="G1215" s="24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5" t="str">
        <f>IF(J1215&lt;&gt;1,"",IF(I1215="SBJ","CB","?"))</f>
        <v> </v>
      </c>
      <c r="I1215" s="26" t="str">
        <f>IF(OR(E1215="",E1215="!!!",F1215="NEW"),"",INDEX(B1214:B$2,-1+SUMPRODUCT(MAX(ROW(E1214:E$2)*(E1215=E1214:E$2)))))</f>
        <v> </v>
      </c>
      <c r="J1215" s="26" t="str">
        <f>IF(OR(E1215="",E1215="!!!",F1215="NEW"),"",COUNTBLANK(OFFSET(A$1,,,SUMPRODUCT(MAX(ROW(E$2:E1215)*(E1215=E$2:E1215)))))-COUNTBLANK(OFFSET(A$1,,,SUMPRODUCT(MAX(ROW(E$1:E1214)*(E2=E$1:E1214))))))</f>
        <v> </v>
      </c>
      <c r="K1215" s="26" t="str">
        <f>IF(OR(E1215="",E1215="!!!",F1215="NEW"),"",INDEX(J$1:J1214,SUMPRODUCT(MAX(ROW(E$1:E1214)*(E1215=E$1:E1214)))))</f>
        <v> </v>
      </c>
      <c r="L1215" s="27"/>
    </row>
    <row r="1216" spans="1:12">
      <c r="A1216" s="20" t="s">
        <v>636</v>
      </c>
      <c r="B1216" s="21" t="s">
        <v>284</v>
      </c>
      <c r="C1216" s="21" t="s">
        <v>236</v>
      </c>
      <c r="E1216" s="22">
        <f>IF(D1216="?OLD","!!!","")</f>
        <v/>
      </c>
      <c r="F1216" s="23" t="str">
        <f>IF(OR(E1216="",E1216="!!!"),"",IF(NOT(ISNA(VLOOKUP(E1216,E$1:E1215,1,FALSE()))),"OLD",IF(AND(E1216&lt;&gt;"",E1216&lt;&gt;"!!!"),"NEW","")))</f>
        <v> </v>
      </c>
      <c r="G1216" s="24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5" t="str">
        <f>IF(J1216&lt;&gt;1,"",IF(I1216="SBJ","CB","?"))</f>
        <v> </v>
      </c>
      <c r="I1216" s="26" t="str">
        <f>IF(OR(E1216="",E1216="!!!",F1216="NEW"),"",INDEX(B1215:B$2,-1+SUMPRODUCT(MAX(ROW(E1215:E$2)*(E1216=E1215:E$2)))))</f>
        <v> </v>
      </c>
      <c r="J1216" s="26" t="str">
        <f>IF(OR(E1216="",E1216="!!!",F1216="NEW"),"",COUNTBLANK(OFFSET(A$1,,,SUMPRODUCT(MAX(ROW(E$2:E1216)*(E1216=E$2:E1216)))))-COUNTBLANK(OFFSET(A$1,,,SUMPRODUCT(MAX(ROW(E$1:E1215)*(E2=E$1:E1215))))))</f>
        <v> </v>
      </c>
      <c r="K1216" s="26" t="str">
        <f>IF(OR(E1216="",E1216="!!!",F1216="NEW"),"",INDEX(J$1:J1215,SUMPRODUCT(MAX(ROW(E$1:E1215)*(E1216=E$1:E1215)))))</f>
        <v> </v>
      </c>
      <c r="L1216" s="27"/>
    </row>
    <row r="1217" spans="1:12">
      <c r="A1217" s="20" t="s">
        <v>773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 t="s">
        <v>774</v>
      </c>
      <c r="B1218" s="21" t="s">
        <v>284</v>
      </c>
      <c r="C1218" s="21" t="s">
        <v>246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775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346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637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268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/>
    </row>
    <row r="1224" spans="1:12">
      <c r="A1224" s="20" t="s">
        <v>776</v>
      </c>
    </row>
    <row r="1225" spans="1:12">
      <c r="A1225" s="20" t="s">
        <v>641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777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778</v>
      </c>
      <c r="B1227" s="21" t="s">
        <v>226</v>
      </c>
      <c r="C1227" s="21" t="s">
        <v>301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 t="s">
        <v>302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779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780</v>
      </c>
      <c r="B1230" s="21" t="s">
        <v>245</v>
      </c>
      <c r="C1230" s="21" t="s">
        <v>236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781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782</v>
      </c>
      <c r="B1232" s="21" t="s">
        <v>245</v>
      </c>
      <c r="C1232" s="21" t="s">
        <v>319</v>
      </c>
      <c r="D1232" s="21" t="s">
        <v>228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783</v>
      </c>
      <c r="B1233" s="21" t="s">
        <v>226</v>
      </c>
      <c r="C1233" s="21" t="s">
        <v>322</v>
      </c>
      <c r="D1233" s="21" t="s">
        <v>228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388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/>
    </row>
    <row r="1236" spans="1:12">
      <c r="A1236" s="20" t="s">
        <v>784</v>
      </c>
    </row>
    <row r="1237" spans="1:12">
      <c r="A1237" s="20" t="s">
        <v>785</v>
      </c>
      <c r="B1237" s="21" t="s">
        <v>226</v>
      </c>
      <c r="C1237" s="21" t="s">
        <v>314</v>
      </c>
      <c r="D1237" s="21" t="s">
        <v>228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428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230</v>
      </c>
      <c r="B1239" s="21" t="s">
        <v>226</v>
      </c>
      <c r="C1239" s="21" t="s">
        <v>227</v>
      </c>
      <c r="D1239" s="21" t="s">
        <v>228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504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247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248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308</v>
      </c>
      <c r="B1243" s="21" t="s">
        <v>235</v>
      </c>
      <c r="C1243" s="21" t="s">
        <v>786</v>
      </c>
      <c r="D1243" s="21" t="s">
        <v>228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787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788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 t="s">
        <v>789</v>
      </c>
      <c r="B1246" s="21" t="s">
        <v>245</v>
      </c>
      <c r="C1246" s="21" t="s">
        <v>264</v>
      </c>
      <c r="D1246" s="21" t="s">
        <v>228</v>
      </c>
      <c r="E1246" s="22">
        <f>IF(D1246="?OLD","!!!","")</f>
        <v/>
      </c>
      <c r="F1246" s="23" t="str">
        <f>IF(OR(E1246="",E1246="!!!"),"",IF(NOT(ISNA(VLOOKUP(E1246,E$1:E1245,1,FALSE()))),"OLD",IF(AND(E1246&lt;&gt;"",E1246&lt;&gt;"!!!"),"NEW","")))</f>
        <v> </v>
      </c>
      <c r="G1246" s="24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5" t="str">
        <f>IF(J1246&lt;&gt;1,"",IF(I1246="SBJ","CB","?"))</f>
        <v> </v>
      </c>
      <c r="I1246" s="26" t="str">
        <f>IF(OR(E1246="",E1246="!!!",F1246="NEW"),"",INDEX(B1245:B$2,-1+SUMPRODUCT(MAX(ROW(E1245:E$2)*(E1246=E1245:E$2)))))</f>
        <v> </v>
      </c>
      <c r="J1246" s="26" t="str">
        <f>IF(OR(E1246="",E1246="!!!",F1246="NEW"),"",COUNTBLANK(OFFSET(A$1,,,SUMPRODUCT(MAX(ROW(E$2:E1246)*(E1246=E$2:E1246)))))-COUNTBLANK(OFFSET(A$1,,,SUMPRODUCT(MAX(ROW(E$1:E1245)*(E2=E$1:E1245))))))</f>
        <v> </v>
      </c>
      <c r="K1246" s="26" t="str">
        <f>IF(OR(E1246="",E1246="!!!",F1246="NEW"),"",INDEX(J$1:J1245,SUMPRODUCT(MAX(ROW(E$1:E1245)*(E1246=E$1:E1245)))))</f>
        <v> </v>
      </c>
      <c r="L1246" s="27"/>
    </row>
    <row r="1247" spans="1:12">
      <c r="A1247" s="20" t="s">
        <v>11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790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791</v>
      </c>
      <c r="B1249" s="21" t="s">
        <v>254</v>
      </c>
      <c r="C1249" s="21" t="s">
        <v>264</v>
      </c>
      <c r="D1249" s="21" t="s">
        <v>228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792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237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259</v>
      </c>
      <c r="B1252" s="21" t="s">
        <v>240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336</v>
      </c>
      <c r="B1253" s="21" t="s">
        <v>284</v>
      </c>
      <c r="C1253" s="21" t="s">
        <v>227</v>
      </c>
      <c r="D1253" s="21" t="s">
        <v>228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793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237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238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667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794</v>
      </c>
      <c r="B1258" s="21" t="s">
        <v>304</v>
      </c>
      <c r="C1258" s="21" t="s">
        <v>246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327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795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344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682</v>
      </c>
      <c r="B1262" s="21" t="s">
        <v>304</v>
      </c>
      <c r="C1262" s="21" t="s">
        <v>250</v>
      </c>
      <c r="D1262" s="21" t="s">
        <v>228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255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796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797</v>
      </c>
      <c r="B1265" s="21" t="s">
        <v>257</v>
      </c>
      <c r="C1265" s="21" t="s">
        <v>258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 t="s">
        <v>597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237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483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259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798</v>
      </c>
      <c r="B1270" s="21" t="s">
        <v>235</v>
      </c>
      <c r="C1270" s="21" t="s">
        <v>250</v>
      </c>
      <c r="D1270" s="21" t="s">
        <v>228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 t="s">
        <v>237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259</v>
      </c>
      <c r="B1272" s="21" t="s">
        <v>304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481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461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799</v>
      </c>
      <c r="B1275" s="21" t="s">
        <v>254</v>
      </c>
      <c r="C1275" s="21" t="s">
        <v>258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274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401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11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800</v>
      </c>
      <c r="B1279" s="21" t="s">
        <v>257</v>
      </c>
      <c r="C1279" s="21" t="s">
        <v>236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397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268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/>
    </row>
    <row r="1283" spans="1:12">
      <c r="A1283" s="20" t="s">
        <v>801</v>
      </c>
    </row>
    <row r="1284" spans="1:12">
      <c r="A1284" s="20" t="s">
        <v>785</v>
      </c>
      <c r="B1284" s="21" t="s">
        <v>226</v>
      </c>
      <c r="C1284" s="21" t="s">
        <v>314</v>
      </c>
      <c r="D1284" s="21" t="s">
        <v>228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607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366</v>
      </c>
      <c r="B1286" s="21" t="s">
        <v>231</v>
      </c>
      <c r="C1286" s="21" t="s">
        <v>236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237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 t="s">
        <v>398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374</v>
      </c>
      <c r="B1289" s="21" t="s">
        <v>240</v>
      </c>
      <c r="C1289" s="21" t="s">
        <v>314</v>
      </c>
      <c r="D1289" s="21" t="s">
        <v>228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376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802</v>
      </c>
      <c r="B1291" s="21" t="s">
        <v>254</v>
      </c>
      <c r="C1291" s="21" t="s">
        <v>803</v>
      </c>
      <c r="D1291" s="21" t="s">
        <v>228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804</v>
      </c>
      <c r="B1292" s="21" t="s">
        <v>284</v>
      </c>
      <c r="C1292" s="21" t="s">
        <v>236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805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268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/>
    </row>
    <row r="1296" spans="1:12">
      <c r="A1296" s="20" t="s">
        <v>806</v>
      </c>
    </row>
    <row r="1297" spans="1:12">
      <c r="A1297" s="20" t="s">
        <v>340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807</v>
      </c>
      <c r="B1298" s="21" t="s">
        <v>226</v>
      </c>
      <c r="C1298" s="21" t="s">
        <v>258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237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282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808</v>
      </c>
      <c r="B1301" s="21" t="s">
        <v>245</v>
      </c>
      <c r="C1301" s="21" t="s">
        <v>264</v>
      </c>
      <c r="D1301" s="21" t="s">
        <v>228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809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271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810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383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546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811</v>
      </c>
      <c r="B1307" s="21" t="s">
        <v>304</v>
      </c>
      <c r="C1307" s="21" t="s">
        <v>250</v>
      </c>
      <c r="D1307" s="21" t="s">
        <v>228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285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451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812</v>
      </c>
      <c r="B1310" s="21" t="s">
        <v>257</v>
      </c>
      <c r="C1310" s="21" t="s">
        <v>246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371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376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344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813</v>
      </c>
      <c r="B1314" s="21" t="s">
        <v>284</v>
      </c>
      <c r="C1314" s="21" t="s">
        <v>250</v>
      </c>
      <c r="D1314" s="21" t="s">
        <v>228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237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376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814</v>
      </c>
      <c r="B1317" s="21" t="s">
        <v>254</v>
      </c>
      <c r="C1317" s="21" t="s">
        <v>319</v>
      </c>
      <c r="D1317" s="21" t="s">
        <v>228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237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344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670</v>
      </c>
      <c r="B1320" s="21" t="s">
        <v>240</v>
      </c>
      <c r="C1320" s="21" t="s">
        <v>227</v>
      </c>
      <c r="D1320" s="21" t="s">
        <v>228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815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816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443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268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/>
    </row>
    <row r="1326" spans="1:12">
      <c r="A1326" s="20" t="s">
        <v>817</v>
      </c>
    </row>
    <row r="1327" spans="1:12">
      <c r="A1327" s="20" t="s">
        <v>818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401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11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366</v>
      </c>
      <c r="B1330" s="21" t="s">
        <v>240</v>
      </c>
      <c r="C1330" s="21" t="s">
        <v>236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302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378</v>
      </c>
      <c r="B1332" s="21" t="s">
        <v>254</v>
      </c>
      <c r="C1332" s="21" t="s">
        <v>236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819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597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237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445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820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821</v>
      </c>
      <c r="B1338" s="21" t="s">
        <v>245</v>
      </c>
      <c r="C1338" s="21" t="s">
        <v>634</v>
      </c>
      <c r="D1338" s="21" t="s">
        <v>228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237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238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374</v>
      </c>
      <c r="B1341" s="21" t="s">
        <v>240</v>
      </c>
      <c r="C1341" s="21" t="s">
        <v>314</v>
      </c>
      <c r="D1341" s="21" t="s">
        <v>228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455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822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823</v>
      </c>
      <c r="B1344" s="21" t="s">
        <v>245</v>
      </c>
      <c r="C1344" s="21" t="s">
        <v>236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504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824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496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825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237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238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374</v>
      </c>
      <c r="B1351" s="21" t="s">
        <v>304</v>
      </c>
      <c r="C1351" s="21" t="s">
        <v>314</v>
      </c>
      <c r="D1351" s="21" t="s">
        <v>228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327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415</v>
      </c>
      <c r="B1353" s="21" t="s">
        <v>306</v>
      </c>
      <c r="C1353" s="21" t="s">
        <v>273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826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237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317</v>
      </c>
      <c r="B1356" s="21" t="s">
        <v>488</v>
      </c>
      <c r="C1356" s="21" t="s">
        <v>314</v>
      </c>
      <c r="D1356" s="21" t="s">
        <v>228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374</v>
      </c>
      <c r="B1357" s="21" t="s">
        <v>435</v>
      </c>
      <c r="C1357" s="21" t="s">
        <v>314</v>
      </c>
      <c r="D1357" s="21" t="s">
        <v>228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346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826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827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268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/>
    </row>
    <row r="1363" spans="1:12">
      <c r="A1363" s="20" t="s">
        <v>828</v>
      </c>
    </row>
    <row r="1364" spans="1:12">
      <c r="A1364" s="20" t="s">
        <v>546</v>
      </c>
      <c r="B1364" s="21" t="s">
        <v>226</v>
      </c>
      <c r="C1364" s="21" t="s">
        <v>319</v>
      </c>
      <c r="D1364" s="21" t="s">
        <v>228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829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326</v>
      </c>
      <c r="B1366" s="21" t="s">
        <v>226</v>
      </c>
      <c r="C1366" s="21" t="s">
        <v>273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294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830</v>
      </c>
      <c r="B1368" s="21" t="s">
        <v>235</v>
      </c>
      <c r="C1368" s="21" t="s">
        <v>264</v>
      </c>
      <c r="D1368" s="21" t="s">
        <v>228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11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831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11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832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268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/>
    </row>
    <row r="1375" spans="1:12">
      <c r="A1375" s="20" t="s">
        <v>565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833</v>
      </c>
    </row>
    <row r="1377" spans="1:12">
      <c r="A1377" s="20" t="s">
        <v>736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834</v>
      </c>
      <c r="B1378" s="21" t="s">
        <v>226</v>
      </c>
      <c r="C1378" s="21" t="s">
        <v>264</v>
      </c>
      <c r="D1378" s="21" t="s">
        <v>228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835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657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344</v>
      </c>
      <c r="B1381" s="21" t="s">
        <v>226</v>
      </c>
      <c r="C1381" s="21" t="s">
        <v>319</v>
      </c>
      <c r="D1381" s="21" t="s">
        <v>228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285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836</v>
      </c>
      <c r="B1383" s="21" t="s">
        <v>235</v>
      </c>
      <c r="C1383" s="21" t="s">
        <v>264</v>
      </c>
      <c r="D1383" s="21" t="s">
        <v>228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837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838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237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232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313</v>
      </c>
      <c r="B1388" s="21" t="s">
        <v>240</v>
      </c>
      <c r="C1388" s="21" t="s">
        <v>314</v>
      </c>
      <c r="D1388" s="21" t="s">
        <v>228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839</v>
      </c>
      <c r="B1389" s="21" t="s">
        <v>284</v>
      </c>
      <c r="C1389" s="21" t="s">
        <v>227</v>
      </c>
      <c r="D1389" s="21" t="s">
        <v>228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840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383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572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 t="s">
        <v>373</v>
      </c>
      <c r="B1393" s="21" t="s">
        <v>306</v>
      </c>
      <c r="C1393" s="21" t="s">
        <v>314</v>
      </c>
      <c r="D1393" s="21" t="s">
        <v>228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237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841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334</v>
      </c>
      <c r="B1396" s="21" t="s">
        <v>304</v>
      </c>
      <c r="C1396" s="21" t="s">
        <v>227</v>
      </c>
      <c r="D1396" s="21" t="s">
        <v>228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237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842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455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248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843</v>
      </c>
      <c r="B1401" s="21" t="s">
        <v>257</v>
      </c>
      <c r="C1401" s="21" t="s">
        <v>250</v>
      </c>
      <c r="D1401" s="21" t="s">
        <v>228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388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572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302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670</v>
      </c>
      <c r="B1405" s="21" t="s">
        <v>435</v>
      </c>
      <c r="C1405" s="21" t="s">
        <v>227</v>
      </c>
      <c r="D1405" s="21" t="s">
        <v>228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844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383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572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334</v>
      </c>
      <c r="B1409" s="21" t="s">
        <v>603</v>
      </c>
      <c r="C1409" s="21" t="s">
        <v>227</v>
      </c>
      <c r="D1409" s="21" t="s">
        <v>228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404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237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417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343</v>
      </c>
      <c r="B1413" s="21" t="s">
        <v>263</v>
      </c>
      <c r="C1413" s="21" t="s">
        <v>314</v>
      </c>
      <c r="D1413" s="21" t="s">
        <v>228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334</v>
      </c>
      <c r="B1414" s="21" t="s">
        <v>626</v>
      </c>
      <c r="C1414" s="21" t="s">
        <v>227</v>
      </c>
      <c r="D1414" s="21" t="s">
        <v>228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826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268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572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/>
    </row>
    <row r="1419" spans="1:12">
      <c r="A1419" s="20" t="s">
        <v>845</v>
      </c>
    </row>
    <row r="1420" spans="1:12">
      <c r="A1420" s="20" t="s">
        <v>366</v>
      </c>
      <c r="B1420" s="21" t="s">
        <v>226</v>
      </c>
      <c r="C1420" s="21" t="s">
        <v>236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846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385</v>
      </c>
      <c r="B1422" s="21" t="s">
        <v>231</v>
      </c>
      <c r="C1422" s="21" t="s">
        <v>314</v>
      </c>
      <c r="D1422" s="21" t="s">
        <v>228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237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375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370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401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11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 t="s">
        <v>366</v>
      </c>
      <c r="B1428" s="21" t="s">
        <v>240</v>
      </c>
      <c r="C1428" s="21" t="s">
        <v>258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586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385</v>
      </c>
      <c r="B1430" s="21" t="s">
        <v>284</v>
      </c>
      <c r="C1430" s="21" t="s">
        <v>314</v>
      </c>
      <c r="D1430" s="21" t="s">
        <v>228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346</v>
      </c>
      <c r="B1431" s="21" t="s">
        <v>254</v>
      </c>
      <c r="C1431" s="21" t="s">
        <v>273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847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632</v>
      </c>
      <c r="B1433" s="21" t="s">
        <v>245</v>
      </c>
      <c r="C1433" s="21" t="s">
        <v>236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848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268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/>
    </row>
    <row r="1437" spans="1:12">
      <c r="A1437" s="20" t="s">
        <v>849</v>
      </c>
    </row>
    <row r="1438" spans="1:12">
      <c r="A1438" s="20" t="s">
        <v>850</v>
      </c>
      <c r="B1438" s="21" t="s">
        <v>226</v>
      </c>
      <c r="C1438" s="21" t="s">
        <v>273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259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851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852</v>
      </c>
      <c r="B1441" s="21" t="s">
        <v>245</v>
      </c>
      <c r="C1441" s="21" t="s">
        <v>250</v>
      </c>
      <c r="D1441" s="21" t="s">
        <v>228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371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237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398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374</v>
      </c>
      <c r="B1445" s="21" t="s">
        <v>226</v>
      </c>
      <c r="C1445" s="21" t="s">
        <v>314</v>
      </c>
      <c r="D1445" s="21" t="s">
        <v>228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385</v>
      </c>
      <c r="B1446" s="21" t="s">
        <v>231</v>
      </c>
      <c r="C1446" s="21" t="s">
        <v>314</v>
      </c>
      <c r="D1446" s="21" t="s">
        <v>228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294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604</v>
      </c>
      <c r="B1448" s="21" t="s">
        <v>231</v>
      </c>
      <c r="C1448" s="21" t="s">
        <v>250</v>
      </c>
      <c r="D1448" s="21" t="s">
        <v>228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605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853</v>
      </c>
      <c r="B1450" s="21" t="s">
        <v>235</v>
      </c>
      <c r="C1450" s="21" t="s">
        <v>236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274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854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855</v>
      </c>
      <c r="B1453" s="21" t="s">
        <v>245</v>
      </c>
      <c r="C1453" s="21" t="s">
        <v>236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302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853</v>
      </c>
      <c r="B1455" s="21" t="s">
        <v>254</v>
      </c>
      <c r="C1455" s="21" t="s">
        <v>236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274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856</v>
      </c>
      <c r="B1457" s="21" t="s">
        <v>257</v>
      </c>
      <c r="C1457" s="21" t="s">
        <v>236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713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248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857</v>
      </c>
      <c r="B1460" s="21" t="s">
        <v>235</v>
      </c>
      <c r="C1460" s="21" t="s">
        <v>250</v>
      </c>
      <c r="D1460" s="21" t="s">
        <v>228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858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268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/>
    </row>
    <row r="1464" spans="1:12">
      <c r="A1464" s="20" t="s">
        <v>859</v>
      </c>
    </row>
    <row r="1465" spans="1:12">
      <c r="A1465" s="20" t="s">
        <v>860</v>
      </c>
      <c r="B1465" s="21" t="s">
        <v>226</v>
      </c>
      <c r="C1465" s="21" t="s">
        <v>264</v>
      </c>
      <c r="D1465" s="21" t="s">
        <v>228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861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302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646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862</v>
      </c>
      <c r="B1469" s="21" t="s">
        <v>245</v>
      </c>
      <c r="C1469" s="21" t="s">
        <v>246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285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863</v>
      </c>
      <c r="B1471" s="21" t="s">
        <v>254</v>
      </c>
      <c r="C1471" s="21" t="s">
        <v>264</v>
      </c>
      <c r="D1471" s="21" t="s">
        <v>228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864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318</v>
      </c>
      <c r="B1473" s="21" t="s">
        <v>245</v>
      </c>
      <c r="C1473" s="21" t="s">
        <v>319</v>
      </c>
      <c r="D1473" s="21" t="s">
        <v>228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604</v>
      </c>
      <c r="B1474" s="21" t="s">
        <v>231</v>
      </c>
      <c r="C1474" s="21" t="s">
        <v>322</v>
      </c>
      <c r="D1474" s="21" t="s">
        <v>228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302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865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866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237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238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282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867</v>
      </c>
      <c r="B1481" s="21" t="s">
        <v>304</v>
      </c>
      <c r="C1481" s="21" t="s">
        <v>250</v>
      </c>
      <c r="D1481" s="21" t="s">
        <v>228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237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282</v>
      </c>
      <c r="B1483" s="21" t="s">
        <v>603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282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868</v>
      </c>
      <c r="B1485" s="21" t="s">
        <v>438</v>
      </c>
      <c r="C1485" s="21" t="s">
        <v>250</v>
      </c>
      <c r="D1485" s="21" t="s">
        <v>228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274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855</v>
      </c>
      <c r="B1487" s="21" t="s">
        <v>263</v>
      </c>
      <c r="C1487" s="21" t="s">
        <v>236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869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237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241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248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870</v>
      </c>
      <c r="B1492" s="21" t="s">
        <v>254</v>
      </c>
      <c r="C1492" s="21" t="s">
        <v>250</v>
      </c>
      <c r="D1492" s="21" t="s">
        <v>228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346</v>
      </c>
      <c r="B1493" s="21" t="s">
        <v>261</v>
      </c>
      <c r="C1493" s="21" t="s">
        <v>273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856</v>
      </c>
      <c r="B1494" s="21" t="s">
        <v>257</v>
      </c>
      <c r="C1494" s="21" t="s">
        <v>236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237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282</v>
      </c>
      <c r="B1496" s="21" t="s">
        <v>435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824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871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872</v>
      </c>
      <c r="B1499" s="21" t="s">
        <v>245</v>
      </c>
      <c r="C1499" s="21" t="s">
        <v>634</v>
      </c>
      <c r="D1499" s="21" t="s">
        <v>228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597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237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238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313</v>
      </c>
      <c r="B1503" s="21" t="s">
        <v>435</v>
      </c>
      <c r="C1503" s="21" t="s">
        <v>314</v>
      </c>
      <c r="D1503" s="21" t="s">
        <v>228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 t="s">
        <v>327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365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248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21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268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/>
    </row>
    <row r="1510" spans="1:12">
      <c r="A1510" s="20" t="s">
        <v>873</v>
      </c>
    </row>
    <row r="1511" spans="1:12">
      <c r="A1511" s="20" t="s">
        <v>874</v>
      </c>
      <c r="B1511" s="21" t="s">
        <v>235</v>
      </c>
      <c r="C1511" s="21" t="s">
        <v>236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875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876</v>
      </c>
      <c r="B1513" s="21" t="s">
        <v>245</v>
      </c>
      <c r="C1513" s="21" t="s">
        <v>236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877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597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237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294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878</v>
      </c>
      <c r="B1518" s="21" t="s">
        <v>284</v>
      </c>
      <c r="C1518" s="21" t="s">
        <v>250</v>
      </c>
      <c r="D1518" s="21" t="s">
        <v>228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465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 t="s">
        <v>879</v>
      </c>
      <c r="B1520" s="21" t="s">
        <v>284</v>
      </c>
      <c r="C1520" s="21" t="s">
        <v>258</v>
      </c>
      <c r="E1520" s="22">
        <f>IF(D1520="?OLD","!!!","")</f>
        <v/>
      </c>
      <c r="F1520" s="23" t="str">
        <f>IF(OR(E1520="",E1520="!!!"),"",IF(NOT(ISNA(VLOOKUP(E1520,E$1:E1519,1,FALSE()))),"OLD",IF(AND(E1520&lt;&gt;"",E1520&lt;&gt;"!!!"),"NEW","")))</f>
        <v> </v>
      </c>
      <c r="G1520" s="24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5" t="str">
        <f>IF(J1520&lt;&gt;1,"",IF(I1520="SBJ","CB","?"))</f>
        <v> </v>
      </c>
      <c r="I1520" s="26" t="str">
        <f>IF(OR(E1520="",E1520="!!!",F1520="NEW"),"",INDEX(B1519:B$2,-1+SUMPRODUCT(MAX(ROW(E1519:E$2)*(E1520=E1519:E$2)))))</f>
        <v> </v>
      </c>
      <c r="J1520" s="26" t="str">
        <f>IF(OR(E1520="",E1520="!!!",F1520="NEW"),"",COUNTBLANK(OFFSET(A$1,,,SUMPRODUCT(MAX(ROW(E$2:E1520)*(E1520=E$2:E1520)))))-COUNTBLANK(OFFSET(A$1,,,SUMPRODUCT(MAX(ROW(E$1:E1519)*(E2=E$1:E1519))))))</f>
        <v> </v>
      </c>
      <c r="K1520" s="26" t="str">
        <f>IF(OR(E1520="",E1520="!!!",F1520="NEW"),"",INDEX(J$1:J1519,SUMPRODUCT(MAX(ROW(E$1:E1519)*(E1520=E$1:E1519)))))</f>
        <v> </v>
      </c>
      <c r="L1520" s="27"/>
    </row>
    <row r="1521" spans="1:12">
      <c r="A1521" s="20" t="s">
        <v>365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294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880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857</v>
      </c>
      <c r="B1524" s="21" t="s">
        <v>245</v>
      </c>
      <c r="C1524" s="21" t="s">
        <v>250</v>
      </c>
      <c r="D1524" s="21" t="s">
        <v>228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881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268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/>
    </row>
    <row r="1528" spans="1:12">
      <c r="A1528" s="20" t="s">
        <v>882</v>
      </c>
    </row>
    <row r="1529" spans="1:12">
      <c r="A1529" s="20" t="s">
        <v>785</v>
      </c>
      <c r="B1529" s="21" t="s">
        <v>226</v>
      </c>
      <c r="C1529" s="21" t="s">
        <v>314</v>
      </c>
      <c r="D1529" s="21" t="s">
        <v>228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428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230</v>
      </c>
      <c r="B1531" s="21" t="s">
        <v>231</v>
      </c>
      <c r="C1531" s="21" t="s">
        <v>227</v>
      </c>
      <c r="D1531" s="21" t="s">
        <v>228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711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241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259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883</v>
      </c>
      <c r="B1535" s="21" t="s">
        <v>235</v>
      </c>
      <c r="C1535" s="21" t="s">
        <v>250</v>
      </c>
      <c r="D1535" s="21" t="s">
        <v>228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237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282</v>
      </c>
      <c r="B1537" s="21" t="s">
        <v>304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884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344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783</v>
      </c>
      <c r="B1540" s="21" t="s">
        <v>304</v>
      </c>
      <c r="C1540" s="21" t="s">
        <v>250</v>
      </c>
      <c r="D1540" s="21" t="s">
        <v>228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787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401</v>
      </c>
      <c r="B1542" s="21" t="s">
        <v>257</v>
      </c>
      <c r="C1542" s="21" t="s">
        <v>264</v>
      </c>
      <c r="D1542" s="21" t="s">
        <v>228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11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885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886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302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282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887</v>
      </c>
      <c r="B1548" s="21" t="s">
        <v>488</v>
      </c>
      <c r="C1548" s="21" t="s">
        <v>250</v>
      </c>
      <c r="D1548" s="21" t="s">
        <v>228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888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237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282</v>
      </c>
      <c r="B1551" s="21" t="s">
        <v>304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461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 t="s">
        <v>889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890</v>
      </c>
      <c r="B1554" s="21" t="s">
        <v>306</v>
      </c>
      <c r="C1554" s="21" t="s">
        <v>258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365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465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401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11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891</v>
      </c>
      <c r="B1559" s="21" t="s">
        <v>254</v>
      </c>
      <c r="C1559" s="21" t="s">
        <v>236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892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302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282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893</v>
      </c>
      <c r="B1563" s="21" t="s">
        <v>435</v>
      </c>
      <c r="C1563" s="21" t="s">
        <v>250</v>
      </c>
      <c r="D1563" s="21" t="s">
        <v>228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386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894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237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 t="s">
        <v>895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896</v>
      </c>
      <c r="B1568" s="21" t="s">
        <v>603</v>
      </c>
      <c r="C1568" s="21" t="s">
        <v>236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346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897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237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271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238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313</v>
      </c>
      <c r="B1574" s="21" t="s">
        <v>626</v>
      </c>
      <c r="C1574" s="21" t="s">
        <v>314</v>
      </c>
      <c r="D1574" s="21" t="s">
        <v>228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898</v>
      </c>
      <c r="B1575" s="21" t="s">
        <v>626</v>
      </c>
      <c r="C1575" s="21" t="s">
        <v>264</v>
      </c>
      <c r="D1575" s="21" t="s">
        <v>228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11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899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900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901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302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241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902</v>
      </c>
      <c r="B1582" s="21" t="s">
        <v>677</v>
      </c>
      <c r="C1582" s="21" t="s">
        <v>264</v>
      </c>
      <c r="D1582" s="21" t="s">
        <v>228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241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294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295</v>
      </c>
      <c r="B1585" s="21" t="s">
        <v>677</v>
      </c>
      <c r="C1585" s="21" t="s">
        <v>250</v>
      </c>
      <c r="D1585" s="21" t="s">
        <v>228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346</v>
      </c>
      <c r="B1586" s="21" t="s">
        <v>680</v>
      </c>
      <c r="C1586" s="21" t="s">
        <v>273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259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799</v>
      </c>
      <c r="B1588" s="21" t="s">
        <v>677</v>
      </c>
      <c r="C1588" s="21" t="s">
        <v>250</v>
      </c>
      <c r="D1588" s="21" t="s">
        <v>228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274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903</v>
      </c>
      <c r="B1590" s="21" t="s">
        <v>677</v>
      </c>
      <c r="C1590" s="21" t="s">
        <v>236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259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883</v>
      </c>
      <c r="B1592" s="21" t="s">
        <v>680</v>
      </c>
      <c r="C1592" s="21" t="s">
        <v>250</v>
      </c>
      <c r="D1592" s="21" t="s">
        <v>228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904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901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268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/>
    </row>
    <row r="1597" spans="1:12">
      <c r="A1597" s="20" t="s">
        <v>905</v>
      </c>
    </row>
    <row r="1598" spans="1:12">
      <c r="A1598" s="20" t="s">
        <v>508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906</v>
      </c>
      <c r="B1599" s="21" t="s">
        <v>226</v>
      </c>
      <c r="C1599" s="21" t="s">
        <v>250</v>
      </c>
      <c r="D1599" s="21" t="s">
        <v>228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237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907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259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401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11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366</v>
      </c>
      <c r="B1605" s="21" t="s">
        <v>304</v>
      </c>
      <c r="C1605" s="21" t="s">
        <v>236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385</v>
      </c>
      <c r="B1606" s="21" t="s">
        <v>306</v>
      </c>
      <c r="C1606" s="21" t="s">
        <v>314</v>
      </c>
      <c r="D1606" s="21" t="s">
        <v>228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908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237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445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909</v>
      </c>
      <c r="B1610" s="21" t="s">
        <v>235</v>
      </c>
      <c r="C1610" s="21" t="s">
        <v>634</v>
      </c>
      <c r="D1610" s="21" t="s">
        <v>228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237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238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670</v>
      </c>
      <c r="B1613" s="21" t="s">
        <v>240</v>
      </c>
      <c r="C1613" s="21" t="s">
        <v>227</v>
      </c>
      <c r="D1613" s="21" t="s">
        <v>228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802</v>
      </c>
      <c r="B1614" s="21" t="s">
        <v>254</v>
      </c>
      <c r="C1614" s="21" t="s">
        <v>803</v>
      </c>
      <c r="D1614" s="21" t="s">
        <v>228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910</v>
      </c>
      <c r="B1615" s="21" t="s">
        <v>284</v>
      </c>
      <c r="C1615" s="21" t="s">
        <v>236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911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302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802</v>
      </c>
      <c r="B1618" s="21" t="s">
        <v>254</v>
      </c>
      <c r="C1618" s="21" t="s">
        <v>803</v>
      </c>
      <c r="D1618" s="21" t="s">
        <v>228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912</v>
      </c>
      <c r="B1619" s="21" t="s">
        <v>284</v>
      </c>
      <c r="C1619" s="21" t="s">
        <v>236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237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282</v>
      </c>
      <c r="B1621" s="21" t="s">
        <v>435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374</v>
      </c>
      <c r="B1622" s="21" t="s">
        <v>435</v>
      </c>
      <c r="C1622" s="21" t="s">
        <v>314</v>
      </c>
      <c r="D1622" s="21" t="s">
        <v>228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824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241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282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913</v>
      </c>
      <c r="B1626" s="21" t="s">
        <v>257</v>
      </c>
      <c r="C1626" s="21" t="s">
        <v>250</v>
      </c>
      <c r="D1626" s="21" t="s">
        <v>228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914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237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915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247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802</v>
      </c>
      <c r="B1631" s="21" t="s">
        <v>263</v>
      </c>
      <c r="C1631" s="21" t="s">
        <v>803</v>
      </c>
      <c r="D1631" s="21" t="s">
        <v>228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916</v>
      </c>
      <c r="B1632" s="21" t="s">
        <v>261</v>
      </c>
      <c r="C1632" s="21" t="s">
        <v>236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917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237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325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 t="s">
        <v>239</v>
      </c>
      <c r="B1636" s="21" t="s">
        <v>304</v>
      </c>
      <c r="C1636" s="21" t="s">
        <v>227</v>
      </c>
      <c r="D1636" s="21" t="s">
        <v>228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334</v>
      </c>
      <c r="B1637" s="21" t="s">
        <v>306</v>
      </c>
      <c r="C1637" s="21" t="s">
        <v>227</v>
      </c>
      <c r="D1637" s="21" t="s">
        <v>228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 t="s">
        <v>918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237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465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919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920</v>
      </c>
      <c r="B1642" s="21" t="s">
        <v>306</v>
      </c>
      <c r="C1642" s="21" t="s">
        <v>258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259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921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922</v>
      </c>
      <c r="B1645" s="21" t="s">
        <v>257</v>
      </c>
      <c r="C1645" s="21" t="s">
        <v>250</v>
      </c>
      <c r="D1645" s="21" t="s">
        <v>228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346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923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237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924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334</v>
      </c>
      <c r="B1650" s="21" t="s">
        <v>240</v>
      </c>
      <c r="C1650" s="21" t="s">
        <v>227</v>
      </c>
      <c r="D1650" s="21" t="s">
        <v>228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839</v>
      </c>
      <c r="B1651" s="21" t="s">
        <v>284</v>
      </c>
      <c r="C1651" s="21" t="s">
        <v>227</v>
      </c>
      <c r="D1651" s="21" t="s">
        <v>228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824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925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923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268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/>
    </row>
    <row r="1657" spans="1:12">
      <c r="A1657" s="20" t="s">
        <v>926</v>
      </c>
    </row>
    <row r="1658" spans="1:12">
      <c r="A1658" s="20" t="s">
        <v>325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239</v>
      </c>
      <c r="B1659" s="21" t="s">
        <v>240</v>
      </c>
      <c r="C1659" s="21" t="s">
        <v>227</v>
      </c>
      <c r="D1659" s="21" t="s">
        <v>228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334</v>
      </c>
      <c r="B1660" s="21" t="s">
        <v>284</v>
      </c>
      <c r="C1660" s="21" t="s">
        <v>227</v>
      </c>
      <c r="D1660" s="21" t="s">
        <v>228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375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918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237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465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919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920</v>
      </c>
      <c r="B1666" s="21" t="s">
        <v>306</v>
      </c>
      <c r="C1666" s="21" t="s">
        <v>258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927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519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928</v>
      </c>
      <c r="B1669" s="21" t="s">
        <v>254</v>
      </c>
      <c r="C1669" s="21" t="s">
        <v>264</v>
      </c>
      <c r="D1669" s="21" t="s">
        <v>228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346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923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237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924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334</v>
      </c>
      <c r="B1674" s="21" t="s">
        <v>226</v>
      </c>
      <c r="C1674" s="21" t="s">
        <v>227</v>
      </c>
      <c r="D1674" s="21" t="s">
        <v>228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839</v>
      </c>
      <c r="B1675" s="21" t="s">
        <v>231</v>
      </c>
      <c r="C1675" s="21" t="s">
        <v>227</v>
      </c>
      <c r="D1675" s="21" t="s">
        <v>228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707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600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302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929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923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268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/>
    </row>
    <row r="1683" spans="1:12">
      <c r="A1683" s="20" t="s">
        <v>930</v>
      </c>
    </row>
    <row r="1684" spans="1:12">
      <c r="A1684" s="20" t="s">
        <v>546</v>
      </c>
      <c r="B1684" s="21" t="s">
        <v>226</v>
      </c>
      <c r="C1684" s="21" t="s">
        <v>319</v>
      </c>
      <c r="D1684" s="21" t="s">
        <v>228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931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259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401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11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366</v>
      </c>
      <c r="B1689" s="21" t="s">
        <v>231</v>
      </c>
      <c r="C1689" s="21" t="s">
        <v>236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268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/>
    </row>
    <row r="1692" spans="1:12">
      <c r="A1692" s="20" t="s">
        <v>932</v>
      </c>
    </row>
    <row r="1693" spans="1:12">
      <c r="A1693" s="20" t="s">
        <v>933</v>
      </c>
      <c r="B1693" s="21" t="s">
        <v>226</v>
      </c>
      <c r="C1693" s="21" t="s">
        <v>227</v>
      </c>
      <c r="D1693" s="21" t="s">
        <v>228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611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385</v>
      </c>
      <c r="B1695" s="21" t="s">
        <v>231</v>
      </c>
      <c r="C1695" s="21" t="s">
        <v>314</v>
      </c>
      <c r="D1695" s="21" t="s">
        <v>228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365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344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934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237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317</v>
      </c>
      <c r="B1700" s="21" t="s">
        <v>306</v>
      </c>
      <c r="C1700" s="21" t="s">
        <v>314</v>
      </c>
      <c r="D1700" s="21" t="s">
        <v>228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374</v>
      </c>
      <c r="B1701" s="21" t="s">
        <v>304</v>
      </c>
      <c r="C1701" s="21" t="s">
        <v>314</v>
      </c>
      <c r="D1701" s="21" t="s">
        <v>228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935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936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937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237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436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294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582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385</v>
      </c>
      <c r="B1709" s="21" t="s">
        <v>263</v>
      </c>
      <c r="C1709" s="21" t="s">
        <v>314</v>
      </c>
      <c r="D1709" s="21" t="s">
        <v>228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938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939</v>
      </c>
      <c r="B1711" s="21" t="s">
        <v>488</v>
      </c>
      <c r="C1711" s="21" t="s">
        <v>250</v>
      </c>
      <c r="D1711" s="21" t="s">
        <v>228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940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268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/>
    </row>
    <row r="1715" spans="1:12">
      <c r="A1715" s="20" t="s">
        <v>941</v>
      </c>
    </row>
    <row r="1716" spans="1:12">
      <c r="A1716" s="20" t="s">
        <v>619</v>
      </c>
      <c r="B1716" s="21" t="s">
        <v>240</v>
      </c>
      <c r="C1716" s="21" t="s">
        <v>227</v>
      </c>
      <c r="D1716" s="21" t="s">
        <v>228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555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942</v>
      </c>
      <c r="B1718" s="21" t="s">
        <v>235</v>
      </c>
      <c r="C1718" s="21" t="s">
        <v>264</v>
      </c>
      <c r="D1718" s="21" t="s">
        <v>228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943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11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944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237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282</v>
      </c>
      <c r="B1723" s="21" t="s">
        <v>304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230</v>
      </c>
      <c r="B1724" s="21" t="s">
        <v>306</v>
      </c>
      <c r="C1724" s="21" t="s">
        <v>227</v>
      </c>
      <c r="D1724" s="21" t="s">
        <v>228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945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946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237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947</v>
      </c>
      <c r="B1728" s="21" t="s">
        <v>488</v>
      </c>
      <c r="C1728" s="21" t="s">
        <v>236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241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248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948</v>
      </c>
      <c r="B1731" s="21" t="s">
        <v>257</v>
      </c>
      <c r="C1731" s="21" t="s">
        <v>250</v>
      </c>
      <c r="D1731" s="21" t="s">
        <v>228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346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949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436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369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461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950</v>
      </c>
      <c r="B1737" s="21" t="s">
        <v>235</v>
      </c>
      <c r="C1737" s="21" t="s">
        <v>258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302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275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951</v>
      </c>
      <c r="B1740" s="21" t="s">
        <v>245</v>
      </c>
      <c r="C1740" s="21" t="s">
        <v>246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335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275</v>
      </c>
      <c r="B1742" s="21" t="s">
        <v>226</v>
      </c>
      <c r="C1742" s="21" t="s">
        <v>227</v>
      </c>
      <c r="D1742" s="21" t="s">
        <v>228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952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237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238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230</v>
      </c>
      <c r="B1746" s="21" t="s">
        <v>240</v>
      </c>
      <c r="C1746" s="21" t="s">
        <v>227</v>
      </c>
      <c r="D1746" s="21" t="s">
        <v>228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275</v>
      </c>
      <c r="B1747" s="21" t="s">
        <v>284</v>
      </c>
      <c r="C1747" s="21" t="s">
        <v>227</v>
      </c>
      <c r="D1747" s="21" t="s">
        <v>228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282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541</v>
      </c>
      <c r="B1749" s="21" t="s">
        <v>284</v>
      </c>
      <c r="C1749" s="21" t="s">
        <v>250</v>
      </c>
      <c r="D1749" s="21" t="s">
        <v>228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953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954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237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282</v>
      </c>
      <c r="B1753" s="21" t="s">
        <v>284</v>
      </c>
      <c r="C1753" s="21" t="s">
        <v>314</v>
      </c>
      <c r="D1753" s="21" t="s">
        <v>228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313</v>
      </c>
      <c r="B1754" s="21" t="s">
        <v>240</v>
      </c>
      <c r="C1754" s="21" t="s">
        <v>314</v>
      </c>
      <c r="D1754" s="21" t="s">
        <v>228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241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248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921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955</v>
      </c>
      <c r="B1758" s="21" t="s">
        <v>245</v>
      </c>
      <c r="C1758" s="21" t="s">
        <v>250</v>
      </c>
      <c r="D1758" s="21" t="s">
        <v>228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500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268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/>
    </row>
    <row r="1762" spans="1:12">
      <c r="A1762" s="20" t="s">
        <v>956</v>
      </c>
    </row>
    <row r="1763" spans="1:12">
      <c r="A1763" s="20" t="s">
        <v>957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958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313</v>
      </c>
      <c r="B1765" s="21" t="s">
        <v>226</v>
      </c>
      <c r="C1765" s="21" t="s">
        <v>314</v>
      </c>
      <c r="D1765" s="21" t="s">
        <v>228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947</v>
      </c>
      <c r="B1766" s="21" t="s">
        <v>231</v>
      </c>
      <c r="C1766" s="21" t="s">
        <v>236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241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248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948</v>
      </c>
      <c r="B1769" s="21" t="s">
        <v>235</v>
      </c>
      <c r="C1769" s="21" t="s">
        <v>250</v>
      </c>
      <c r="D1769" s="21" t="s">
        <v>228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302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959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294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960</v>
      </c>
      <c r="B1773" s="21" t="s">
        <v>284</v>
      </c>
      <c r="C1773" s="21" t="s">
        <v>250</v>
      </c>
      <c r="D1773" s="21" t="s">
        <v>228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274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961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962</v>
      </c>
      <c r="B1776" s="21" t="s">
        <v>254</v>
      </c>
      <c r="C1776" s="21" t="s">
        <v>301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237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370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963</v>
      </c>
      <c r="B1779" s="21" t="s">
        <v>254</v>
      </c>
      <c r="C1779" s="21" t="s">
        <v>258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237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248</v>
      </c>
      <c r="B1781" s="21" t="s">
        <v>603</v>
      </c>
      <c r="C1781" s="21" t="s">
        <v>314</v>
      </c>
      <c r="D1781" s="21" t="s">
        <v>228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964</v>
      </c>
      <c r="B1782" s="21" t="s">
        <v>261</v>
      </c>
      <c r="C1782" s="21" t="s">
        <v>314</v>
      </c>
      <c r="D1782" s="21" t="s">
        <v>228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965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966</v>
      </c>
      <c r="B1784" s="21" t="s">
        <v>263</v>
      </c>
      <c r="C1784" s="21" t="s">
        <v>236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967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504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369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968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969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268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/>
    </row>
    <row r="1792" spans="1:12">
      <c r="A1792" s="20" t="s">
        <v>970</v>
      </c>
    </row>
    <row r="1793" spans="1:12">
      <c r="A1793" s="20" t="s">
        <v>785</v>
      </c>
      <c r="B1793" s="21" t="s">
        <v>226</v>
      </c>
      <c r="C1793" s="21" t="s">
        <v>314</v>
      </c>
      <c r="D1793" s="21" t="s">
        <v>228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607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971</v>
      </c>
      <c r="B1795" s="21" t="s">
        <v>245</v>
      </c>
      <c r="C1795" s="21" t="s">
        <v>314</v>
      </c>
      <c r="D1795" s="21" t="s">
        <v>228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366</v>
      </c>
      <c r="B1796" s="21" t="s">
        <v>231</v>
      </c>
      <c r="C1796" s="21" t="s">
        <v>301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237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398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374</v>
      </c>
      <c r="B1799" s="21" t="s">
        <v>240</v>
      </c>
      <c r="C1799" s="21" t="s">
        <v>314</v>
      </c>
      <c r="D1799" s="21" t="s">
        <v>228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415</v>
      </c>
      <c r="B1800" s="21" t="s">
        <v>284</v>
      </c>
      <c r="C1800" s="21" t="s">
        <v>273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972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607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237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483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398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374</v>
      </c>
      <c r="B1806" s="21" t="s">
        <v>240</v>
      </c>
      <c r="C1806" s="21" t="s">
        <v>314</v>
      </c>
      <c r="D1806" s="21" t="s">
        <v>228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815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540</v>
      </c>
      <c r="B1808" s="21" t="s">
        <v>284</v>
      </c>
      <c r="C1808" s="21" t="s">
        <v>314</v>
      </c>
      <c r="D1808" s="21" t="s">
        <v>228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346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637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607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268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/>
    </row>
    <row r="1814" spans="1:12">
      <c r="A1814" s="20" t="s">
        <v>973</v>
      </c>
    </row>
    <row r="1815" spans="1:12">
      <c r="A1815" s="20" t="s">
        <v>225</v>
      </c>
      <c r="B1815" s="21" t="s">
        <v>226</v>
      </c>
      <c r="C1815" s="21" t="s">
        <v>227</v>
      </c>
      <c r="D1815" s="21" t="s">
        <v>228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974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381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302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 t="s">
        <v>975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247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281</v>
      </c>
      <c r="B1821" s="21" t="s">
        <v>254</v>
      </c>
      <c r="C1821" s="21" t="s">
        <v>273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282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976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977</v>
      </c>
      <c r="B1824" s="21" t="s">
        <v>245</v>
      </c>
      <c r="C1824" s="21" t="s">
        <v>250</v>
      </c>
      <c r="D1824" s="21" t="s">
        <v>228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237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417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374</v>
      </c>
      <c r="B1827" s="21" t="s">
        <v>603</v>
      </c>
      <c r="C1827" s="21" t="s">
        <v>314</v>
      </c>
      <c r="D1827" s="21" t="s">
        <v>228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241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978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241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360</v>
      </c>
      <c r="B1831" s="21" t="s">
        <v>263</v>
      </c>
      <c r="C1831" s="21" t="s">
        <v>319</v>
      </c>
      <c r="D1831" s="21" t="s">
        <v>228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979</v>
      </c>
      <c r="B1832" s="21" t="s">
        <v>261</v>
      </c>
      <c r="C1832" s="21" t="s">
        <v>322</v>
      </c>
      <c r="D1832" s="21" t="s">
        <v>228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465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401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 t="s">
        <v>11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366</v>
      </c>
      <c r="B1836" s="21" t="s">
        <v>261</v>
      </c>
      <c r="C1836" s="21" t="s">
        <v>236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980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981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237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417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344</v>
      </c>
      <c r="B1841" s="21" t="s">
        <v>257</v>
      </c>
      <c r="C1841" s="21" t="s">
        <v>319</v>
      </c>
      <c r="D1841" s="21" t="s">
        <v>228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241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982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308</v>
      </c>
      <c r="B1844" s="21" t="s">
        <v>257</v>
      </c>
      <c r="C1844" s="21" t="s">
        <v>246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983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924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586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237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354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239</v>
      </c>
      <c r="B1850" s="21" t="s">
        <v>603</v>
      </c>
      <c r="C1850" s="21" t="s">
        <v>227</v>
      </c>
      <c r="D1850" s="21" t="s">
        <v>228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396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237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238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374</v>
      </c>
      <c r="B1854" s="21" t="s">
        <v>626</v>
      </c>
      <c r="C1854" s="21" t="s">
        <v>314</v>
      </c>
      <c r="D1854" s="21" t="s">
        <v>228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344</v>
      </c>
      <c r="B1855" s="21" t="s">
        <v>625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285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248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984</v>
      </c>
      <c r="B1858" s="21" t="s">
        <v>263</v>
      </c>
      <c r="C1858" s="21" t="s">
        <v>250</v>
      </c>
      <c r="D1858" s="21" t="s">
        <v>228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 t="s">
        <v>866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985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826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268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/>
    </row>
    <row r="1864" spans="1:12">
      <c r="A1864" s="20" t="s">
        <v>986</v>
      </c>
    </row>
    <row r="1865" spans="1:12">
      <c r="A1865" s="20" t="s">
        <v>785</v>
      </c>
      <c r="B1865" s="21" t="s">
        <v>226</v>
      </c>
      <c r="C1865" s="21" t="s">
        <v>314</v>
      </c>
      <c r="D1865" s="21" t="s">
        <v>228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826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237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238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374</v>
      </c>
      <c r="B1869" s="21" t="s">
        <v>240</v>
      </c>
      <c r="C1869" s="21" t="s">
        <v>314</v>
      </c>
      <c r="D1869" s="21" t="s">
        <v>228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366</v>
      </c>
      <c r="B1870" s="21" t="s">
        <v>284</v>
      </c>
      <c r="C1870" s="21" t="s">
        <v>236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607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237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398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374</v>
      </c>
      <c r="B1874" s="21" t="s">
        <v>304</v>
      </c>
      <c r="C1874" s="21" t="s">
        <v>314</v>
      </c>
      <c r="D1874" s="21" t="s">
        <v>228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376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987</v>
      </c>
      <c r="B1876" s="21" t="s">
        <v>254</v>
      </c>
      <c r="C1876" s="21" t="s">
        <v>803</v>
      </c>
      <c r="D1876" s="21" t="s">
        <v>228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 t="s">
        <v>988</v>
      </c>
      <c r="B1877" s="21" t="s">
        <v>245</v>
      </c>
      <c r="C1877" s="21" t="s">
        <v>236</v>
      </c>
      <c r="E1877" s="22">
        <f>IF(D1877="?OLD","!!!","")</f>
        <v/>
      </c>
      <c r="F1877" s="23" t="str">
        <f>IF(OR(E1877="",E1877="!!!"),"",IF(NOT(ISNA(VLOOKUP(E1877,E$1:E1876,1,FALSE()))),"OLD",IF(AND(E1877&lt;&gt;"",E1877&lt;&gt;"!!!"),"NEW","")))</f>
        <v> </v>
      </c>
      <c r="G1877" s="24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5" t="str">
        <f>IF(J1877&lt;&gt;1,"",IF(I1877="SBJ","CB","?"))</f>
        <v> </v>
      </c>
      <c r="I1877" s="26" t="str">
        <f>IF(OR(E1877="",E1877="!!!",F1877="NEW"),"",INDEX(B1876:B$2,-1+SUMPRODUCT(MAX(ROW(E1876:E$2)*(E1877=E1876:E$2)))))</f>
        <v> </v>
      </c>
      <c r="J1877" s="26" t="str">
        <f>IF(OR(E1877="",E1877="!!!",F1877="NEW"),"",COUNTBLANK(OFFSET(A$1,,,SUMPRODUCT(MAX(ROW(E$2:E1877)*(E1877=E$2:E1877)))))-COUNTBLANK(OFFSET(A$1,,,SUMPRODUCT(MAX(ROW(E$1:E1876)*(E2=E$1:E1876))))))</f>
        <v> </v>
      </c>
      <c r="K1877" s="26" t="str">
        <f>IF(OR(E1877="",E1877="!!!",F1877="NEW"),"",INDEX(J$1:J1876,SUMPRODUCT(MAX(ROW(E$1:E1876)*(E1877=E$1:E1876)))))</f>
        <v> </v>
      </c>
      <c r="L1877" s="27"/>
    </row>
    <row r="1878" spans="1:12">
      <c r="A1878" s="20" t="s">
        <v>989</v>
      </c>
      <c r="B1878" s="21" t="s">
        <v>254</v>
      </c>
      <c r="C1878" s="21" t="s">
        <v>236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237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302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769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371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344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990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991</v>
      </c>
      <c r="B1885" s="21" t="s">
        <v>435</v>
      </c>
      <c r="C1885" s="21" t="s">
        <v>250</v>
      </c>
      <c r="D1885" s="21" t="s">
        <v>228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241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802</v>
      </c>
      <c r="B1887" s="21" t="s">
        <v>261</v>
      </c>
      <c r="C1887" s="21" t="s">
        <v>803</v>
      </c>
      <c r="D1887" s="21" t="s">
        <v>228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992</v>
      </c>
      <c r="B1888" s="21" t="s">
        <v>257</v>
      </c>
      <c r="C1888" s="21" t="s">
        <v>236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993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268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/>
    </row>
    <row r="1892" spans="1:12">
      <c r="A1892" s="20" t="s">
        <v>994</v>
      </c>
    </row>
    <row r="1893" spans="1:12">
      <c r="A1893" s="20" t="s">
        <v>359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259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995</v>
      </c>
      <c r="B1895" s="21" t="s">
        <v>235</v>
      </c>
      <c r="C1895" s="21" t="s">
        <v>264</v>
      </c>
      <c r="D1895" s="21" t="s">
        <v>228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11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579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996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997</v>
      </c>
      <c r="B1899" s="21" t="s">
        <v>245</v>
      </c>
      <c r="C1899" s="21" t="s">
        <v>273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998</v>
      </c>
      <c r="B1900" s="21" t="s">
        <v>226</v>
      </c>
      <c r="C1900" s="21" t="s">
        <v>301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990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465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999</v>
      </c>
      <c r="B1903" s="21" t="s">
        <v>284</v>
      </c>
      <c r="C1903" s="21" t="s">
        <v>258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241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282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1000</v>
      </c>
      <c r="B1906" s="21" t="s">
        <v>254</v>
      </c>
      <c r="C1906" s="21" t="s">
        <v>250</v>
      </c>
      <c r="D1906" s="21" t="s">
        <v>228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302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1001</v>
      </c>
      <c r="B1908" s="21" t="s">
        <v>257</v>
      </c>
      <c r="C1908" s="21" t="s">
        <v>236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370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268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/>
    </row>
    <row r="1912" spans="1:12">
      <c r="A1912" s="20" t="s">
        <v>1002</v>
      </c>
    </row>
    <row r="1913" spans="1:12">
      <c r="A1913" s="20" t="s">
        <v>546</v>
      </c>
      <c r="B1913" s="21" t="s">
        <v>226</v>
      </c>
      <c r="C1913" s="21" t="s">
        <v>319</v>
      </c>
      <c r="D1913" s="21" t="s">
        <v>228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829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326</v>
      </c>
      <c r="B1915" s="21" t="s">
        <v>226</v>
      </c>
      <c r="C1915" s="21" t="s">
        <v>273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461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1003</v>
      </c>
      <c r="B1917" s="21" t="s">
        <v>231</v>
      </c>
      <c r="C1917" s="21" t="s">
        <v>258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 t="s">
        <v>237</v>
      </c>
      <c r="E1918" s="22">
        <f>IF(D1918="?OLD","!!!","")</f>
        <v/>
      </c>
      <c r="F1918" s="23" t="str">
        <f>IF(OR(E1918="",E1918="!!!"),"",IF(NOT(ISNA(VLOOKUP(E1918,E$1:E1917,1,FALSE()))),"OLD",IF(AND(E1918&lt;&gt;"",E1918&lt;&gt;"!!!"),"NEW","")))</f>
        <v> </v>
      </c>
      <c r="G1918" s="24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5" t="str">
        <f>IF(J1918&lt;&gt;1,"",IF(I1918="SBJ","CB","?"))</f>
        <v> </v>
      </c>
      <c r="I1918" s="26" t="str">
        <f>IF(OR(E1918="",E1918="!!!",F1918="NEW"),"",INDEX(B1917:B$2,-1+SUMPRODUCT(MAX(ROW(E1917:E$2)*(E1918=E1917:E$2)))))</f>
        <v> </v>
      </c>
      <c r="J1918" s="26" t="str">
        <f>IF(OR(E1918="",E1918="!!!",F1918="NEW"),"",COUNTBLANK(OFFSET(A$1,,,SUMPRODUCT(MAX(ROW(E$2:E1918)*(E1918=E$2:E1918)))))-COUNTBLANK(OFFSET(A$1,,,SUMPRODUCT(MAX(ROW(E$1:E1917)*(E2=E$1:E1917))))))</f>
        <v> </v>
      </c>
      <c r="K1918" s="26" t="str">
        <f>IF(OR(E1918="",E1918="!!!",F1918="NEW"),"",INDEX(J$1:J1917,SUMPRODUCT(MAX(ROW(E$1:E1917)*(E1918=E$1:E1917)))))</f>
        <v> </v>
      </c>
      <c r="L1918" s="27"/>
    </row>
    <row r="1919" spans="1:12">
      <c r="A1919" s="20" t="s">
        <v>370</v>
      </c>
      <c r="E1919" s="22">
        <f>IF(D1919="?OLD","!!!","")</f>
        <v/>
      </c>
      <c r="F1919" s="23" t="str">
        <f>IF(OR(E1919="",E1919="!!!"),"",IF(NOT(ISNA(VLOOKUP(E1919,E$1:E1918,1,FALSE()))),"OLD",IF(AND(E1919&lt;&gt;"",E1919&lt;&gt;"!!!"),"NEW","")))</f>
        <v> </v>
      </c>
      <c r="G1919" s="24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5" t="str">
        <f>IF(J1919&lt;&gt;1,"",IF(I1919="SBJ","CB","?"))</f>
        <v> </v>
      </c>
      <c r="I1919" s="26" t="str">
        <f>IF(OR(E1919="",E1919="!!!",F1919="NEW"),"",INDEX(B1918:B$2,-1+SUMPRODUCT(MAX(ROW(E1918:E$2)*(E1919=E1918:E$2)))))</f>
        <v> </v>
      </c>
      <c r="J1919" s="26" t="str">
        <f>IF(OR(E1919="",E1919="!!!",F1919="NEW"),"",COUNTBLANK(OFFSET(A$1,,,SUMPRODUCT(MAX(ROW(E$2:E1919)*(E1919=E$2:E1919)))))-COUNTBLANK(OFFSET(A$1,,,SUMPRODUCT(MAX(ROW(E$1:E1918)*(E2=E$1:E1918))))))</f>
        <v> </v>
      </c>
      <c r="K1919" s="26" t="str">
        <f>IF(OR(E1919="",E1919="!!!",F1919="NEW"),"",INDEX(J$1:J1918,SUMPRODUCT(MAX(ROW(E$1:E1918)*(E1919=E$1:E1918)))))</f>
        <v> </v>
      </c>
      <c r="L1919" s="27"/>
    </row>
    <row r="1920" spans="1:12">
      <c r="A1920" s="20" t="s">
        <v>1004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999</v>
      </c>
      <c r="B1921" s="21" t="s">
        <v>245</v>
      </c>
      <c r="C1921" s="21" t="s">
        <v>258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241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248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1005</v>
      </c>
      <c r="B1924" s="21" t="s">
        <v>254</v>
      </c>
      <c r="C1924" s="21" t="s">
        <v>250</v>
      </c>
      <c r="D1924" s="21" t="s">
        <v>228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237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436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248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1006</v>
      </c>
      <c r="B1928" s="21" t="s">
        <v>488</v>
      </c>
      <c r="C1928" s="21" t="s">
        <v>250</v>
      </c>
      <c r="D1928" s="21" t="s">
        <v>228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1007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1008</v>
      </c>
      <c r="B1930" s="21" t="s">
        <v>261</v>
      </c>
      <c r="C1930" s="21" t="s">
        <v>236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465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1009</v>
      </c>
      <c r="B1932" s="21" t="s">
        <v>488</v>
      </c>
      <c r="C1932" s="21" t="s">
        <v>258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346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989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237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 t="s">
        <v>375</v>
      </c>
      <c r="E1936" s="22">
        <f>IF(D1936="?OLD","!!!","")</f>
        <v/>
      </c>
      <c r="F1936" s="23" t="str">
        <f>IF(OR(E1936="",E1936="!!!"),"",IF(NOT(ISNA(VLOOKUP(E1936,E$1:E1935,1,FALSE()))),"OLD",IF(AND(E1936&lt;&gt;"",E1936&lt;&gt;"!!!"),"NEW","")))</f>
        <v> </v>
      </c>
      <c r="G1936" s="24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5" t="str">
        <f>IF(J1936&lt;&gt;1,"",IF(I1936="SBJ","CB","?"))</f>
        <v> </v>
      </c>
      <c r="I1936" s="26" t="str">
        <f>IF(OR(E1936="",E1936="!!!",F1936="NEW"),"",INDEX(B1935:B$2,-1+SUMPRODUCT(MAX(ROW(E1935:E$2)*(E1936=E1935:E$2)))))</f>
        <v> </v>
      </c>
      <c r="J1936" s="26" t="str">
        <f>IF(OR(E1936="",E1936="!!!",F1936="NEW"),"",COUNTBLANK(OFFSET(A$1,,,SUMPRODUCT(MAX(ROW(E$2:E1936)*(E1936=E$2:E1936)))))-COUNTBLANK(OFFSET(A$1,,,SUMPRODUCT(MAX(ROW(E$1:E1935)*(E2=E$1:E1935))))))</f>
        <v> </v>
      </c>
      <c r="K1936" s="26" t="str">
        <f>IF(OR(E1936="",E1936="!!!",F1936="NEW"),"",INDEX(J$1:J1935,SUMPRODUCT(MAX(ROW(E$1:E1935)*(E1936=E$1:E1935)))))</f>
        <v> </v>
      </c>
      <c r="L1936" s="27"/>
    </row>
    <row r="1937" spans="1:12">
      <c r="A1937" s="20" t="s">
        <v>504</v>
      </c>
      <c r="E1937" s="22">
        <f>IF(D1937="?OLD","!!!","")</f>
        <v/>
      </c>
      <c r="F1937" s="23" t="str">
        <f>IF(OR(E1937="",E1937="!!!"),"",IF(NOT(ISNA(VLOOKUP(E1937,E$1:E1936,1,FALSE()))),"OLD",IF(AND(E1937&lt;&gt;"",E1937&lt;&gt;"!!!"),"NEW","")))</f>
        <v> </v>
      </c>
      <c r="G1937" s="24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5" t="str">
        <f>IF(J1937&lt;&gt;1,"",IF(I1937="SBJ","CB","?"))</f>
        <v> </v>
      </c>
      <c r="I1937" s="26" t="str">
        <f>IF(OR(E1937="",E1937="!!!",F1937="NEW"),"",INDEX(B1936:B$2,-1+SUMPRODUCT(MAX(ROW(E1936:E$2)*(E1937=E1936:E$2)))))</f>
        <v> </v>
      </c>
      <c r="J1937" s="26" t="str">
        <f>IF(OR(E1937="",E1937="!!!",F1937="NEW"),"",COUNTBLANK(OFFSET(A$1,,,SUMPRODUCT(MAX(ROW(E$2:E1937)*(E1937=E$2:E1937)))))-COUNTBLANK(OFFSET(A$1,,,SUMPRODUCT(MAX(ROW(E$1:E1936)*(E2=E$1:E1936))))))</f>
        <v> </v>
      </c>
      <c r="K1937" s="26" t="str">
        <f>IF(OR(E1937="",E1937="!!!",F1937="NEW"),"",INDEX(J$1:J1936,SUMPRODUCT(MAX(ROW(E$1:E1936)*(E1937=E$1:E1936)))))</f>
        <v> </v>
      </c>
      <c r="L1937" s="27"/>
    </row>
    <row r="1938" spans="1:12">
      <c r="A1938" s="20" t="s">
        <v>465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906</v>
      </c>
      <c r="B1939" s="21" t="s">
        <v>245</v>
      </c>
      <c r="C1939" s="21" t="s">
        <v>258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237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895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321</v>
      </c>
      <c r="B1942" s="21" t="s">
        <v>488</v>
      </c>
      <c r="C1942" s="21" t="s">
        <v>236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346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1010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268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/>
    </row>
    <row r="1947" spans="1:12">
      <c r="A1947" s="20" t="s">
        <v>1011</v>
      </c>
    </row>
    <row r="1948" spans="1:12">
      <c r="A1948" s="20" t="s">
        <v>1012</v>
      </c>
      <c r="B1948" s="21" t="s">
        <v>226</v>
      </c>
      <c r="C1948" s="21" t="s">
        <v>236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597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1013</v>
      </c>
      <c r="B1950" s="21" t="s">
        <v>235</v>
      </c>
      <c r="C1950" s="21" t="s">
        <v>314</v>
      </c>
      <c r="D1950" s="21" t="s">
        <v>228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1014</v>
      </c>
      <c r="B1951" s="21" t="s">
        <v>235</v>
      </c>
      <c r="C1951" s="21" t="s">
        <v>301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237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354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313</v>
      </c>
      <c r="B1954" s="21" t="s">
        <v>240</v>
      </c>
      <c r="C1954" s="21" t="s">
        <v>314</v>
      </c>
      <c r="D1954" s="21" t="s">
        <v>228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465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1015</v>
      </c>
      <c r="B1956" s="21" t="s">
        <v>284</v>
      </c>
      <c r="C1956" s="21" t="s">
        <v>258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346</v>
      </c>
      <c r="B1957" s="21" t="s">
        <v>254</v>
      </c>
      <c r="C1957" s="21" t="s">
        <v>273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451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1016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 t="s">
        <v>553</v>
      </c>
      <c r="B1960" s="21" t="s">
        <v>245</v>
      </c>
      <c r="C1960" s="21" t="s">
        <v>246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772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 t="s">
        <v>268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/>
    </row>
    <row r="1964" spans="1:12">
      <c r="A1964" s="20" t="s">
        <v>1017</v>
      </c>
    </row>
    <row r="1965" spans="1:12">
      <c r="A1965" s="20" t="s">
        <v>334</v>
      </c>
      <c r="B1965" s="21" t="s">
        <v>226</v>
      </c>
      <c r="C1965" s="21" t="s">
        <v>227</v>
      </c>
      <c r="D1965" s="21" t="s">
        <v>228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597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1012</v>
      </c>
      <c r="B1967" s="21" t="s">
        <v>235</v>
      </c>
      <c r="C1967" s="21" t="s">
        <v>236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237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354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313</v>
      </c>
      <c r="B1970" s="21" t="s">
        <v>240</v>
      </c>
      <c r="C1970" s="21" t="s">
        <v>314</v>
      </c>
      <c r="D1970" s="21" t="s">
        <v>228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496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237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238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448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964</v>
      </c>
      <c r="B1975" s="21" t="s">
        <v>257</v>
      </c>
      <c r="C1975" s="21" t="s">
        <v>314</v>
      </c>
      <c r="D1975" s="21" t="s">
        <v>228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553</v>
      </c>
      <c r="B1976" s="21" t="s">
        <v>304</v>
      </c>
      <c r="C1976" s="21" t="s">
        <v>301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371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268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/>
    </row>
    <row r="1980" spans="1:12">
      <c r="A1980" s="20" t="s">
        <v>1018</v>
      </c>
    </row>
    <row r="1981" spans="1:12">
      <c r="A1981" s="20" t="s">
        <v>1019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239</v>
      </c>
      <c r="B1982" s="21" t="s">
        <v>240</v>
      </c>
      <c r="C1982" s="21" t="s">
        <v>227</v>
      </c>
      <c r="D1982" s="21" t="s">
        <v>228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872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1020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237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601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336</v>
      </c>
      <c r="B1987" s="21" t="s">
        <v>231</v>
      </c>
      <c r="C1987" s="21" t="s">
        <v>227</v>
      </c>
      <c r="D1987" s="21" t="s">
        <v>228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600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237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907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336</v>
      </c>
      <c r="B1991" s="21" t="s">
        <v>284</v>
      </c>
      <c r="C1991" s="21" t="s">
        <v>227</v>
      </c>
      <c r="D1991" s="21" t="s">
        <v>228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259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 t="s">
        <v>450</v>
      </c>
      <c r="B1993" s="21" t="s">
        <v>240</v>
      </c>
      <c r="C1993" s="21" t="s">
        <v>250</v>
      </c>
      <c r="D1993" s="21" t="s">
        <v>228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259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412</v>
      </c>
      <c r="B1995" s="21" t="s">
        <v>254</v>
      </c>
      <c r="C1995" s="21" t="s">
        <v>250</v>
      </c>
      <c r="D1995" s="21" t="s">
        <v>228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247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248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553</v>
      </c>
      <c r="B1998" s="21" t="s">
        <v>257</v>
      </c>
      <c r="C1998" s="21" t="s">
        <v>786</v>
      </c>
      <c r="D1998" s="21" t="s">
        <v>228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782</v>
      </c>
      <c r="B1999" s="21" t="s">
        <v>263</v>
      </c>
      <c r="C1999" s="21" t="s">
        <v>319</v>
      </c>
      <c r="D1999" s="21" t="s">
        <v>228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1021</v>
      </c>
      <c r="B2000" s="21" t="s">
        <v>261</v>
      </c>
      <c r="C2000" s="21" t="s">
        <v>322</v>
      </c>
      <c r="D2000" s="21" t="s">
        <v>228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1022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259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1023</v>
      </c>
      <c r="B2003" s="21" t="s">
        <v>263</v>
      </c>
      <c r="C2003" s="21" t="s">
        <v>250</v>
      </c>
      <c r="D2003" s="21" t="s">
        <v>228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259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556</v>
      </c>
      <c r="B2005" s="21" t="s">
        <v>677</v>
      </c>
      <c r="C2005" s="21" t="s">
        <v>250</v>
      </c>
      <c r="D2005" s="21" t="s">
        <v>228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335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237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238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667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1024</v>
      </c>
      <c r="B2010" s="21" t="s">
        <v>304</v>
      </c>
      <c r="C2010" s="21" t="s">
        <v>246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302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670</v>
      </c>
      <c r="B2012" s="21" t="s">
        <v>257</v>
      </c>
      <c r="C2012" s="21" t="s">
        <v>227</v>
      </c>
      <c r="D2012" s="21" t="s">
        <v>228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1025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344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1026</v>
      </c>
      <c r="B2015" s="21" t="s">
        <v>306</v>
      </c>
      <c r="C2015" s="21" t="s">
        <v>250</v>
      </c>
      <c r="D2015" s="21" t="s">
        <v>228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607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237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1027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251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275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862</v>
      </c>
      <c r="B2021" s="21" t="s">
        <v>257</v>
      </c>
      <c r="C2021" s="21" t="s">
        <v>246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637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346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825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237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1025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344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1026</v>
      </c>
      <c r="B2028" s="21" t="s">
        <v>438</v>
      </c>
      <c r="C2028" s="21" t="s">
        <v>250</v>
      </c>
      <c r="D2028" s="21" t="s">
        <v>228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607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237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230</v>
      </c>
      <c r="B2031" s="21" t="s">
        <v>626</v>
      </c>
      <c r="C2031" s="21" t="s">
        <v>227</v>
      </c>
      <c r="D2031" s="21" t="s">
        <v>228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1028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1029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1030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11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1031</v>
      </c>
      <c r="B2036" s="21" t="s">
        <v>625</v>
      </c>
      <c r="C2036" s="21" t="s">
        <v>301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302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1032</v>
      </c>
      <c r="B2038" s="21" t="s">
        <v>677</v>
      </c>
      <c r="C2038" s="21" t="s">
        <v>236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237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282</v>
      </c>
      <c r="B2040" s="21" t="s">
        <v>1033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1034</v>
      </c>
      <c r="B2041" s="21" t="s">
        <v>1035</v>
      </c>
      <c r="C2041" s="21" t="s">
        <v>227</v>
      </c>
      <c r="D2041" s="21" t="s">
        <v>228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1036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1037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237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719</v>
      </c>
      <c r="B2045" s="21" t="s">
        <v>681</v>
      </c>
      <c r="C2045" s="21" t="s">
        <v>319</v>
      </c>
      <c r="D2045" s="21" t="s">
        <v>228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1038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401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11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1039</v>
      </c>
      <c r="B2049" s="21" t="s">
        <v>1040</v>
      </c>
      <c r="C2049" s="21" t="s">
        <v>236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346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1041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268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/>
    </row>
    <row r="2054" spans="1:12">
      <c r="A2054" s="20" t="s">
        <v>1042</v>
      </c>
    </row>
    <row r="2055" spans="1:12">
      <c r="A2055" s="20" t="s">
        <v>619</v>
      </c>
      <c r="B2055" s="21" t="s">
        <v>226</v>
      </c>
      <c r="C2055" s="21" t="s">
        <v>227</v>
      </c>
      <c r="D2055" s="21" t="s">
        <v>228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1043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327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589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713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255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1044</v>
      </c>
      <c r="B2061" s="21" t="s">
        <v>235</v>
      </c>
      <c r="C2061" s="21" t="s">
        <v>258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237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483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824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713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520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1045</v>
      </c>
      <c r="B2067" s="21" t="s">
        <v>245</v>
      </c>
      <c r="C2067" s="21" t="s">
        <v>258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237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336</v>
      </c>
      <c r="B2069" s="21" t="s">
        <v>284</v>
      </c>
      <c r="C2069" s="21" t="s">
        <v>227</v>
      </c>
      <c r="D2069" s="21" t="s">
        <v>228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441</v>
      </c>
      <c r="B2070" s="21" t="s">
        <v>284</v>
      </c>
      <c r="C2070" s="21" t="s">
        <v>273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1046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237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241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255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456</v>
      </c>
      <c r="B2075" s="21" t="s">
        <v>235</v>
      </c>
      <c r="C2075" s="21" t="s">
        <v>258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1047</v>
      </c>
      <c r="B2076" s="21" t="s">
        <v>245</v>
      </c>
      <c r="C2076" s="21" t="s">
        <v>236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237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 t="s">
        <v>312</v>
      </c>
      <c r="B2078" s="21" t="s">
        <v>488</v>
      </c>
      <c r="C2078" s="21" t="s">
        <v>227</v>
      </c>
      <c r="D2078" s="21" t="s">
        <v>228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821</v>
      </c>
      <c r="B2079" s="21" t="s">
        <v>257</v>
      </c>
      <c r="C2079" s="21" t="s">
        <v>634</v>
      </c>
      <c r="D2079" s="21" t="s">
        <v>228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346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1048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237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238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670</v>
      </c>
      <c r="B2084" s="21" t="s">
        <v>603</v>
      </c>
      <c r="C2084" s="21" t="s">
        <v>227</v>
      </c>
      <c r="D2084" s="21" t="s">
        <v>228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305</v>
      </c>
      <c r="B2085" s="21" t="s">
        <v>438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520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1049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237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1050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1045</v>
      </c>
      <c r="B2090" s="21" t="s">
        <v>438</v>
      </c>
      <c r="C2090" s="21" t="s">
        <v>258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1051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237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259</v>
      </c>
      <c r="B2093" s="21" t="s">
        <v>626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376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815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540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1052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268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/>
    </row>
    <row r="2100" spans="1:12">
      <c r="A2100" s="20" t="s">
        <v>1053</v>
      </c>
    </row>
    <row r="2101" spans="1:12">
      <c r="A2101" s="20" t="s">
        <v>785</v>
      </c>
      <c r="B2101" s="21" t="s">
        <v>226</v>
      </c>
      <c r="C2101" s="21" t="s">
        <v>314</v>
      </c>
      <c r="D2101" s="21" t="s">
        <v>228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996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365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1054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1055</v>
      </c>
      <c r="B2105" s="21" t="s">
        <v>235</v>
      </c>
      <c r="C2105" s="21" t="s">
        <v>236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365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237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696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398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719</v>
      </c>
      <c r="B2110" s="21" t="s">
        <v>254</v>
      </c>
      <c r="C2110" s="21" t="s">
        <v>319</v>
      </c>
      <c r="D2110" s="21" t="s">
        <v>228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 t="s">
        <v>434</v>
      </c>
      <c r="B2111" s="21" t="s">
        <v>240</v>
      </c>
      <c r="C2111" s="21" t="s">
        <v>322</v>
      </c>
      <c r="D2111" s="21" t="s">
        <v>228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987</v>
      </c>
      <c r="B2112" s="21" t="s">
        <v>245</v>
      </c>
      <c r="C2112" s="21" t="s">
        <v>803</v>
      </c>
      <c r="D2112" s="21" t="s">
        <v>228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1056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1057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371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268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/>
    </row>
    <row r="2118" spans="1:12">
      <c r="A2118" s="20" t="s">
        <v>1058</v>
      </c>
    </row>
    <row r="2119" spans="1:12">
      <c r="A2119" s="20" t="s">
        <v>546</v>
      </c>
      <c r="B2119" s="21" t="s">
        <v>226</v>
      </c>
      <c r="C2119" s="21" t="s">
        <v>319</v>
      </c>
      <c r="D2119" s="21" t="s">
        <v>228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371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282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1059</v>
      </c>
      <c r="B2122" s="21" t="s">
        <v>235</v>
      </c>
      <c r="C2122" s="21" t="s">
        <v>250</v>
      </c>
      <c r="D2122" s="21" t="s">
        <v>228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274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378</v>
      </c>
      <c r="B2124" s="21" t="s">
        <v>235</v>
      </c>
      <c r="C2124" s="21" t="s">
        <v>236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268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/>
    </row>
    <row r="2127" spans="1:12">
      <c r="A2127" s="20" t="s">
        <v>1060</v>
      </c>
    </row>
    <row r="2128" spans="1:12">
      <c r="A2128" s="20" t="s">
        <v>1061</v>
      </c>
      <c r="B2128" s="21" t="s">
        <v>306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968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346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1062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237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317</v>
      </c>
      <c r="B2133" s="21" t="s">
        <v>306</v>
      </c>
      <c r="C2133" s="21" t="s">
        <v>314</v>
      </c>
      <c r="D2133" s="21" t="s">
        <v>228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326</v>
      </c>
      <c r="B2134" s="21" t="s">
        <v>304</v>
      </c>
      <c r="C2134" s="21" t="s">
        <v>273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346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1063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486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237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586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627</v>
      </c>
      <c r="B2140" s="21" t="s">
        <v>226</v>
      </c>
      <c r="C2140" s="21" t="s">
        <v>227</v>
      </c>
      <c r="D2140" s="21" t="s">
        <v>228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1036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237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540</v>
      </c>
      <c r="B2143" s="21" t="s">
        <v>284</v>
      </c>
      <c r="C2143" s="21" t="s">
        <v>273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346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1064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237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232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763</v>
      </c>
      <c r="B2148" s="21" t="s">
        <v>240</v>
      </c>
      <c r="C2148" s="21" t="s">
        <v>227</v>
      </c>
      <c r="D2148" s="21" t="s">
        <v>228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627</v>
      </c>
      <c r="B2149" s="21" t="s">
        <v>254</v>
      </c>
      <c r="C2149" s="21" t="s">
        <v>227</v>
      </c>
      <c r="D2149" s="21" t="s">
        <v>228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1065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1066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1067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268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/>
    </row>
    <row r="2155" spans="1:12">
      <c r="A2155" s="20" t="s">
        <v>1068</v>
      </c>
    </row>
    <row r="2156" spans="1:12">
      <c r="A2156" s="20" t="s">
        <v>546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237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396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239</v>
      </c>
      <c r="B2159" s="21" t="s">
        <v>240</v>
      </c>
      <c r="C2159" s="21" t="s">
        <v>227</v>
      </c>
      <c r="D2159" s="21" t="s">
        <v>228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237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486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262</v>
      </c>
      <c r="B2162" s="21" t="s">
        <v>226</v>
      </c>
      <c r="C2162" s="21" t="s">
        <v>264</v>
      </c>
      <c r="D2162" s="21" t="s">
        <v>228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265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237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232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239</v>
      </c>
      <c r="B2166" s="21" t="s">
        <v>240</v>
      </c>
      <c r="C2166" s="21" t="s">
        <v>227</v>
      </c>
      <c r="D2166" s="21" t="s">
        <v>228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313</v>
      </c>
      <c r="B2167" s="21" t="s">
        <v>284</v>
      </c>
      <c r="C2167" s="21" t="s">
        <v>314</v>
      </c>
      <c r="D2167" s="21" t="s">
        <v>228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400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409</v>
      </c>
      <c r="B2169" s="21" t="s">
        <v>245</v>
      </c>
      <c r="C2169" s="21" t="s">
        <v>258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241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259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1069</v>
      </c>
      <c r="B2172" s="21" t="s">
        <v>245</v>
      </c>
      <c r="C2172" s="21" t="s">
        <v>250</v>
      </c>
      <c r="D2172" s="21" t="s">
        <v>228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350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320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283</v>
      </c>
      <c r="B2175" s="21" t="s">
        <v>240</v>
      </c>
      <c r="C2175" s="21" t="s">
        <v>246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474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1070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701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268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/>
    </row>
    <row r="2181" spans="1:12">
      <c r="A2181" s="20" t="s">
        <v>1071</v>
      </c>
    </row>
    <row r="2182" spans="1:12">
      <c r="A2182" s="20" t="s">
        <v>1057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398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374</v>
      </c>
      <c r="B2184" s="21" t="s">
        <v>240</v>
      </c>
      <c r="C2184" s="21" t="s">
        <v>314</v>
      </c>
      <c r="D2184" s="21" t="s">
        <v>228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1072</v>
      </c>
      <c r="B2185" s="21" t="s">
        <v>284</v>
      </c>
      <c r="C2185" s="21" t="s">
        <v>264</v>
      </c>
      <c r="D2185" s="21" t="s">
        <v>228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1073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237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396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239</v>
      </c>
      <c r="B2189" s="21" t="s">
        <v>226</v>
      </c>
      <c r="C2189" s="21" t="s">
        <v>227</v>
      </c>
      <c r="D2189" s="21" t="s">
        <v>228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237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1028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230</v>
      </c>
      <c r="B2192" s="21" t="s">
        <v>240</v>
      </c>
      <c r="C2192" s="21" t="s">
        <v>227</v>
      </c>
      <c r="D2192" s="21" t="s">
        <v>228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1074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815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344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991</v>
      </c>
      <c r="B2196" s="21" t="s">
        <v>284</v>
      </c>
      <c r="C2196" s="21" t="s">
        <v>250</v>
      </c>
      <c r="D2196" s="21" t="s">
        <v>228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268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/>
    </row>
    <row r="2199" spans="1:12">
      <c r="A2199" s="20" t="s">
        <v>1075</v>
      </c>
    </row>
    <row r="2200" spans="1:12">
      <c r="A2200" s="20" t="s">
        <v>1076</v>
      </c>
      <c r="B2200" s="21" t="s">
        <v>226</v>
      </c>
      <c r="C2200" s="21" t="s">
        <v>236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371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344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437</v>
      </c>
      <c r="B2203" s="21" t="s">
        <v>235</v>
      </c>
      <c r="C2203" s="21" t="s">
        <v>250</v>
      </c>
      <c r="D2203" s="21" t="s">
        <v>228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237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375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374</v>
      </c>
      <c r="B2206" s="21" t="s">
        <v>240</v>
      </c>
      <c r="C2206" s="21" t="s">
        <v>314</v>
      </c>
      <c r="D2206" s="21" t="s">
        <v>228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1077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237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238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230</v>
      </c>
      <c r="B2210" s="21" t="s">
        <v>304</v>
      </c>
      <c r="C2210" s="21" t="s">
        <v>227</v>
      </c>
      <c r="D2210" s="21" t="s">
        <v>228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1025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344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553</v>
      </c>
      <c r="B2213" s="21" t="s">
        <v>245</v>
      </c>
      <c r="C2213" s="21" t="s">
        <v>250</v>
      </c>
      <c r="D2213" s="21" t="s">
        <v>228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371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268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/>
    </row>
    <row r="2217" spans="1:12">
      <c r="A2217" s="20" t="s">
        <v>1078</v>
      </c>
    </row>
    <row r="2218" spans="1:12">
      <c r="A2218" s="20" t="s">
        <v>1079</v>
      </c>
      <c r="B2218" s="21" t="s">
        <v>226</v>
      </c>
      <c r="C2218" s="21" t="s">
        <v>236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1080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2025-07-15T17:44:53Z</dcterms:created>
  <dcterms:modified xsi:type="dcterms:W3CDTF">2025-07-15T17:44:53Z</dcterms:modified>
</cp:coreProperties>
</file>